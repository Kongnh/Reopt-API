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ngn\Pictures\CodeProject\Reopt API\REopt_API\outputs\vietnam_case\factory_a\case_1\"/>
    </mc:Choice>
  </mc:AlternateContent>
  <xr:revisionPtr revIDLastSave="0" documentId="13_ncr:1_{913747B3-0CD6-422D-80D9-5A0EC9BCF90A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Cover" sheetId="1" r:id="rId1"/>
    <sheet name="Executive Summary" sheetId="2" r:id="rId2"/>
    <sheet name="Assumptions" sheetId="3" r:id="rId3"/>
    <sheet name="Model Basis" sheetId="4" r:id="rId4"/>
    <sheet name="Pro Forma (Audit)" sheetId="5" r:id="rId5"/>
    <sheet name="FX Sensitivity" sheetId="6" r:id="rId6"/>
    <sheet name="Buyer Analysis" sheetId="7" r:id="rId7"/>
    <sheet name="Developer Returns" sheetId="8" r:id="rId8"/>
    <sheet name="Technical Results" sheetId="9" r:id="rId9"/>
    <sheet name="Dispatch Profile" sheetId="10" r:id="rId10"/>
    <sheet name="Load Duration" sheetId="11" r:id="rId11"/>
  </sheets>
  <definedNames>
    <definedName name="BASE_DEMAND_SAVINGS">Assumptions!$C$91</definedName>
    <definedName name="BASE_ENERGY_REV">Assumptions!$C$93</definedName>
    <definedName name="BASE_GRID_ARB">Assumptions!$C$94</definedName>
    <definedName name="BASE_SERVED_RETAIL">Assumptions!$C$92</definedName>
    <definedName name="BAU_BILL_Y1">Assumptions!$C$87</definedName>
    <definedName name="BAU_DEMAND_Y1">Assumptions!$C$89</definedName>
    <definedName name="BESS_CAPEX">Assumptions!$C$51</definedName>
    <definedName name="BESS_DEP_YEARS">Assumptions!$C$85</definedName>
    <definedName name="CIT_CLOCK_CAP_YEAR">Assumptions!$C$83</definedName>
    <definedName name="CIT_HOLIDAY_YEARS">Assumptions!$C$79</definedName>
    <definedName name="CIT_LOSS_CF_YEARS">Assumptions!$C$82</definedName>
    <definedName name="CIT_RATE">Assumptions!$C$78</definedName>
    <definedName name="CIT_REDUCED_FRACTION">Assumptions!$C$81</definedName>
    <definedName name="CIT_REDUCED_YEARS">Assumptions!$C$80</definedName>
    <definedName name="DEBT_FRACTION">Assumptions!$C$69</definedName>
    <definedName name="DEBT_PAYMENT">Assumptions!$C$74</definedName>
    <definedName name="DEBT_PRINCIPAL">Assumptions!$C$72</definedName>
    <definedName name="DEBT_RATE">Assumptions!$C$70</definedName>
    <definedName name="DEBT_TERM_YEARS">Assumptions!$C$71</definedName>
    <definedName name="DEMAND_SHARE">Assumptions!$C$66</definedName>
    <definedName name="DISC_RATE">Assumptions!$C$75</definedName>
    <definedName name="EQUITY_INVESTMENT">Assumptions!$C$73</definedName>
    <definedName name="ESC_CAPACITY">Assumptions!$C$60</definedName>
    <definedName name="ESC_ENERGY">Assumptions!$C$59</definedName>
    <definedName name="ESC_OM">Assumptions!$C$56</definedName>
    <definedName name="ESCO_DISCOUNT">Assumptions!$C$65</definedName>
    <definedName name="FX_VND_PER_USD">Assumptions!$C$47</definedName>
    <definedName name="OM_YEAR1">Assumptions!$C$55</definedName>
    <definedName name="OPT_BILL_Y1">Assumptions!$C$88</definedName>
    <definedName name="OPT_DEMAND_Y1">Assumptions!$C$90</definedName>
    <definedName name="OTHER_CAPEX">Assumptions!$C$52</definedName>
    <definedName name="PROJECT_YEARS">Assumptions!$C$9</definedName>
    <definedName name="PV_CAPEX">Assumptions!$C$50</definedName>
    <definedName name="PV_DEGRADATION">Assumptions!$C$61</definedName>
    <definedName name="PV_DEP_YEARS">Assumptions!$C$84</definedName>
    <definedName name="TOTAL_CAPEX">Assumptions!$C$53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6" l="1"/>
  <c r="A14" i="6"/>
  <c r="A13" i="6"/>
  <c r="A12" i="6"/>
  <c r="AA65" i="5"/>
  <c r="AA63" i="5"/>
  <c r="S63" i="5"/>
  <c r="R63" i="5"/>
  <c r="AA60" i="5"/>
  <c r="V60" i="5"/>
  <c r="C57" i="5"/>
  <c r="Y34" i="5"/>
  <c r="P34" i="5"/>
  <c r="J34" i="5"/>
  <c r="I34" i="5"/>
  <c r="F34" i="5"/>
  <c r="D34" i="5"/>
  <c r="AB33" i="5"/>
  <c r="AA33" i="5"/>
  <c r="Z33" i="5"/>
  <c r="Y33" i="5"/>
  <c r="X33" i="5"/>
  <c r="W33" i="5"/>
  <c r="V33" i="5"/>
  <c r="U33" i="5"/>
  <c r="T33" i="5"/>
  <c r="S33" i="5"/>
  <c r="R33" i="5"/>
  <c r="R34" i="5" s="1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AB32" i="5"/>
  <c r="AA32" i="5"/>
  <c r="Z32" i="5"/>
  <c r="Z34" i="5" s="1"/>
  <c r="Y32" i="5"/>
  <c r="X32" i="5"/>
  <c r="X34" i="5" s="1"/>
  <c r="W32" i="5"/>
  <c r="V32" i="5"/>
  <c r="V34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H34" i="5" s="1"/>
  <c r="G32" i="5"/>
  <c r="F32" i="5"/>
  <c r="E32" i="5"/>
  <c r="D32" i="5"/>
  <c r="AB31" i="5"/>
  <c r="AA31" i="5"/>
  <c r="Z31" i="5"/>
  <c r="Y31" i="5"/>
  <c r="X31" i="5"/>
  <c r="W31" i="5"/>
  <c r="W34" i="5" s="1"/>
  <c r="V31" i="5"/>
  <c r="U31" i="5"/>
  <c r="T31" i="5"/>
  <c r="T34" i="5" s="1"/>
  <c r="S31" i="5"/>
  <c r="S34" i="5" s="1"/>
  <c r="R31" i="5"/>
  <c r="Q31" i="5"/>
  <c r="P31" i="5"/>
  <c r="O31" i="5"/>
  <c r="O34" i="5" s="1"/>
  <c r="N31" i="5"/>
  <c r="N34" i="5" s="1"/>
  <c r="M31" i="5"/>
  <c r="L31" i="5"/>
  <c r="K31" i="5"/>
  <c r="J31" i="5"/>
  <c r="I31" i="5"/>
  <c r="H31" i="5"/>
  <c r="G31" i="5"/>
  <c r="G34" i="5" s="1"/>
  <c r="F31" i="5"/>
  <c r="E31" i="5"/>
  <c r="D31" i="5"/>
  <c r="AA27" i="5"/>
  <c r="V27" i="5"/>
  <c r="U27" i="5"/>
  <c r="U60" i="5" s="1"/>
  <c r="AB26" i="5"/>
  <c r="AB27" i="5" s="1"/>
  <c r="AB60" i="5" s="1"/>
  <c r="AA26" i="5"/>
  <c r="Z26" i="5"/>
  <c r="Y26" i="5"/>
  <c r="X26" i="5"/>
  <c r="W26" i="5"/>
  <c r="V26" i="5"/>
  <c r="U26" i="5"/>
  <c r="T26" i="5"/>
  <c r="S26" i="5"/>
  <c r="R26" i="5"/>
  <c r="Q26" i="5"/>
  <c r="P26" i="5"/>
  <c r="P27" i="5" s="1"/>
  <c r="P60" i="5" s="1"/>
  <c r="O26" i="5"/>
  <c r="O27" i="5" s="1"/>
  <c r="O60" i="5" s="1"/>
  <c r="N26" i="5"/>
  <c r="N27" i="5" s="1"/>
  <c r="N60" i="5" s="1"/>
  <c r="AB25" i="5"/>
  <c r="AA25" i="5"/>
  <c r="Z25" i="5"/>
  <c r="Y25" i="5"/>
  <c r="X25" i="5"/>
  <c r="X27" i="5" s="1"/>
  <c r="X60" i="5" s="1"/>
  <c r="W25" i="5"/>
  <c r="W27" i="5" s="1"/>
  <c r="W60" i="5" s="1"/>
  <c r="V25" i="5"/>
  <c r="U25" i="5"/>
  <c r="T25" i="5"/>
  <c r="T27" i="5" s="1"/>
  <c r="T60" i="5" s="1"/>
  <c r="S25" i="5"/>
  <c r="S27" i="5" s="1"/>
  <c r="S60" i="5" s="1"/>
  <c r="R25" i="5"/>
  <c r="R27" i="5" s="1"/>
  <c r="R60" i="5" s="1"/>
  <c r="Q25" i="5"/>
  <c r="Q27" i="5" s="1"/>
  <c r="Q60" i="5" s="1"/>
  <c r="P25" i="5"/>
  <c r="O25" i="5"/>
  <c r="N25" i="5"/>
  <c r="T19" i="5"/>
  <c r="S19" i="5"/>
  <c r="R19" i="5"/>
  <c r="P19" i="5"/>
  <c r="N19" i="5"/>
  <c r="M19" i="5"/>
  <c r="L19" i="5"/>
  <c r="K19" i="5"/>
  <c r="D19" i="5"/>
  <c r="AA16" i="5"/>
  <c r="AA21" i="5" s="1"/>
  <c r="V15" i="5"/>
  <c r="U15" i="5"/>
  <c r="T15" i="5"/>
  <c r="R15" i="5"/>
  <c r="P15" i="5"/>
  <c r="O15" i="5"/>
  <c r="F15" i="5"/>
  <c r="D15" i="5"/>
  <c r="AA14" i="5"/>
  <c r="X14" i="5"/>
  <c r="W14" i="5"/>
  <c r="V14" i="5"/>
  <c r="V16" i="5" s="1"/>
  <c r="V21" i="5" s="1"/>
  <c r="N14" i="5"/>
  <c r="M14" i="5"/>
  <c r="K14" i="5"/>
  <c r="I14" i="5"/>
  <c r="W13" i="5"/>
  <c r="R13" i="5"/>
  <c r="R14" i="5" s="1"/>
  <c r="Q13" i="5"/>
  <c r="Q14" i="5" s="1"/>
  <c r="P13" i="5"/>
  <c r="P14" i="5" s="1"/>
  <c r="O13" i="5"/>
  <c r="O14" i="5" s="1"/>
  <c r="N13" i="5"/>
  <c r="M13" i="5"/>
  <c r="H13" i="5"/>
  <c r="H14" i="5" s="1"/>
  <c r="G13" i="5"/>
  <c r="G14" i="5" s="1"/>
  <c r="F13" i="5"/>
  <c r="F14" i="5" s="1"/>
  <c r="F16" i="5" s="1"/>
  <c r="F21" i="5" s="1"/>
  <c r="AA12" i="5"/>
  <c r="Y12" i="5"/>
  <c r="X12" i="5"/>
  <c r="W12" i="5"/>
  <c r="P12" i="5"/>
  <c r="O12" i="5"/>
  <c r="K12" i="5"/>
  <c r="K16" i="5" s="1"/>
  <c r="I12" i="5"/>
  <c r="H12" i="5"/>
  <c r="G12" i="5"/>
  <c r="AB9" i="5"/>
  <c r="AA9" i="5"/>
  <c r="AA64" i="5" s="1"/>
  <c r="Z9" i="5"/>
  <c r="Y9" i="5"/>
  <c r="X9" i="5"/>
  <c r="W9" i="5"/>
  <c r="V9" i="5"/>
  <c r="V12" i="5" s="1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F12" i="5" s="1"/>
  <c r="E9" i="5"/>
  <c r="D9" i="5"/>
  <c r="AB8" i="5"/>
  <c r="AB19" i="5" s="1"/>
  <c r="AA8" i="5"/>
  <c r="AA19" i="5" s="1"/>
  <c r="Z8" i="5"/>
  <c r="Z19" i="5" s="1"/>
  <c r="Y8" i="5"/>
  <c r="Y19" i="5" s="1"/>
  <c r="X8" i="5"/>
  <c r="X19" i="5" s="1"/>
  <c r="W8" i="5"/>
  <c r="W19" i="5" s="1"/>
  <c r="V8" i="5"/>
  <c r="V19" i="5" s="1"/>
  <c r="U8" i="5"/>
  <c r="U19" i="5" s="1"/>
  <c r="T8" i="5"/>
  <c r="S8" i="5"/>
  <c r="R8" i="5"/>
  <c r="Q8" i="5"/>
  <c r="Q19" i="5" s="1"/>
  <c r="P8" i="5"/>
  <c r="O8" i="5"/>
  <c r="O19" i="5" s="1"/>
  <c r="N8" i="5"/>
  <c r="M8" i="5"/>
  <c r="L8" i="5"/>
  <c r="K8" i="5"/>
  <c r="J8" i="5"/>
  <c r="J19" i="5" s="1"/>
  <c r="I8" i="5"/>
  <c r="I19" i="5" s="1"/>
  <c r="H8" i="5"/>
  <c r="H19" i="5" s="1"/>
  <c r="G8" i="5"/>
  <c r="G19" i="5" s="1"/>
  <c r="F8" i="5"/>
  <c r="F19" i="5" s="1"/>
  <c r="E8" i="5"/>
  <c r="E19" i="5" s="1"/>
  <c r="D8" i="5"/>
  <c r="AB7" i="5"/>
  <c r="AB13" i="5" s="1"/>
  <c r="AB14" i="5" s="1"/>
  <c r="AA7" i="5"/>
  <c r="AA13" i="5" s="1"/>
  <c r="Z7" i="5"/>
  <c r="Z13" i="5" s="1"/>
  <c r="Z14" i="5" s="1"/>
  <c r="Y7" i="5"/>
  <c r="Y13" i="5" s="1"/>
  <c r="Y14" i="5" s="1"/>
  <c r="X7" i="5"/>
  <c r="X13" i="5" s="1"/>
  <c r="W7" i="5"/>
  <c r="V7" i="5"/>
  <c r="V13" i="5" s="1"/>
  <c r="U7" i="5"/>
  <c r="U13" i="5" s="1"/>
  <c r="U14" i="5" s="1"/>
  <c r="T7" i="5"/>
  <c r="T13" i="5" s="1"/>
  <c r="T14" i="5" s="1"/>
  <c r="S7" i="5"/>
  <c r="S13" i="5" s="1"/>
  <c r="S14" i="5" s="1"/>
  <c r="R7" i="5"/>
  <c r="Q7" i="5"/>
  <c r="P7" i="5"/>
  <c r="O7" i="5"/>
  <c r="N7" i="5"/>
  <c r="M7" i="5"/>
  <c r="L7" i="5"/>
  <c r="L13" i="5" s="1"/>
  <c r="L14" i="5" s="1"/>
  <c r="K7" i="5"/>
  <c r="K13" i="5" s="1"/>
  <c r="J7" i="5"/>
  <c r="J13" i="5" s="1"/>
  <c r="J14" i="5" s="1"/>
  <c r="I7" i="5"/>
  <c r="I13" i="5" s="1"/>
  <c r="H7" i="5"/>
  <c r="G7" i="5"/>
  <c r="F7" i="5"/>
  <c r="E7" i="5"/>
  <c r="E13" i="5" s="1"/>
  <c r="E14" i="5" s="1"/>
  <c r="D7" i="5"/>
  <c r="D13" i="5" s="1"/>
  <c r="D14" i="5" s="1"/>
  <c r="AB6" i="5"/>
  <c r="AA6" i="5"/>
  <c r="AA15" i="5" s="1"/>
  <c r="Z6" i="5"/>
  <c r="Z63" i="5" s="1"/>
  <c r="Y6" i="5"/>
  <c r="Y63" i="5" s="1"/>
  <c r="X6" i="5"/>
  <c r="X63" i="5" s="1"/>
  <c r="W6" i="5"/>
  <c r="W63" i="5" s="1"/>
  <c r="V6" i="5"/>
  <c r="V63" i="5" s="1"/>
  <c r="U6" i="5"/>
  <c r="T6" i="5"/>
  <c r="S6" i="5"/>
  <c r="R6" i="5"/>
  <c r="Q6" i="5"/>
  <c r="Q15" i="5" s="1"/>
  <c r="P6" i="5"/>
  <c r="P63" i="5" s="1"/>
  <c r="O6" i="5"/>
  <c r="O63" i="5" s="1"/>
  <c r="N6" i="5"/>
  <c r="M6" i="5"/>
  <c r="M12" i="5" s="1"/>
  <c r="L6" i="5"/>
  <c r="K6" i="5"/>
  <c r="K15" i="5" s="1"/>
  <c r="J6" i="5"/>
  <c r="J63" i="5" s="1"/>
  <c r="I6" i="5"/>
  <c r="I63" i="5" s="1"/>
  <c r="H6" i="5"/>
  <c r="H63" i="5" s="1"/>
  <c r="G6" i="5"/>
  <c r="G63" i="5" s="1"/>
  <c r="F6" i="5"/>
  <c r="F63" i="5" s="1"/>
  <c r="E6" i="5"/>
  <c r="D6" i="5"/>
  <c r="C72" i="3"/>
  <c r="C53" i="3"/>
  <c r="V35" i="5" l="1"/>
  <c r="L64" i="5"/>
  <c r="E34" i="5"/>
  <c r="U34" i="5"/>
  <c r="O64" i="5"/>
  <c r="O65" i="5" s="1"/>
  <c r="O66" i="5" s="1"/>
  <c r="K21" i="5"/>
  <c r="L15" i="5"/>
  <c r="L12" i="5"/>
  <c r="L16" i="5" s="1"/>
  <c r="L21" i="5" s="1"/>
  <c r="L63" i="5"/>
  <c r="AB15" i="5"/>
  <c r="AB12" i="5"/>
  <c r="AB16" i="5" s="1"/>
  <c r="AB21" i="5" s="1"/>
  <c r="Q64" i="5"/>
  <c r="O16" i="5"/>
  <c r="O21" i="5" s="1"/>
  <c r="AA35" i="5"/>
  <c r="AA66" i="5"/>
  <c r="M64" i="5"/>
  <c r="M15" i="5"/>
  <c r="M16" i="5" s="1"/>
  <c r="M21" i="5" s="1"/>
  <c r="M63" i="5"/>
  <c r="N12" i="5"/>
  <c r="N63" i="5"/>
  <c r="N15" i="5"/>
  <c r="N64" i="5" s="1"/>
  <c r="AB63" i="5"/>
  <c r="T64" i="5"/>
  <c r="E12" i="5"/>
  <c r="E16" i="5" s="1"/>
  <c r="E21" i="5" s="1"/>
  <c r="E63" i="5"/>
  <c r="U12" i="5"/>
  <c r="U16" i="5" s="1"/>
  <c r="U21" i="5" s="1"/>
  <c r="U63" i="5"/>
  <c r="Z64" i="5"/>
  <c r="Z65" i="5" s="1"/>
  <c r="Z66" i="5" s="1"/>
  <c r="L34" i="5"/>
  <c r="AB34" i="5"/>
  <c r="Q63" i="5"/>
  <c r="V65" i="5"/>
  <c r="K64" i="5"/>
  <c r="M34" i="5"/>
  <c r="Q34" i="5"/>
  <c r="P64" i="5"/>
  <c r="P65" i="5" s="1"/>
  <c r="P66" i="5" s="1"/>
  <c r="J12" i="5"/>
  <c r="J64" i="5" s="1"/>
  <c r="J65" i="5" s="1"/>
  <c r="J66" i="5" s="1"/>
  <c r="F64" i="5"/>
  <c r="F65" i="5" s="1"/>
  <c r="F66" i="5" s="1"/>
  <c r="P16" i="5"/>
  <c r="P21" i="5" s="1"/>
  <c r="Y27" i="5"/>
  <c r="Y60" i="5" s="1"/>
  <c r="U64" i="5"/>
  <c r="Q12" i="5"/>
  <c r="Q16" i="5" s="1"/>
  <c r="Q21" i="5" s="1"/>
  <c r="Z27" i="5"/>
  <c r="Z60" i="5" s="1"/>
  <c r="K63" i="5"/>
  <c r="V64" i="5"/>
  <c r="D24" i="5"/>
  <c r="C73" i="3"/>
  <c r="R12" i="5"/>
  <c r="E15" i="5"/>
  <c r="C74" i="3"/>
  <c r="S12" i="5"/>
  <c r="S16" i="5" s="1"/>
  <c r="S21" i="5" s="1"/>
  <c r="S15" i="5"/>
  <c r="D12" i="5"/>
  <c r="D63" i="5"/>
  <c r="T12" i="5"/>
  <c r="T16" i="5" s="1"/>
  <c r="T21" i="5" s="1"/>
  <c r="T63" i="5"/>
  <c r="Z12" i="5"/>
  <c r="Z16" i="5" s="1"/>
  <c r="Z21" i="5" s="1"/>
  <c r="K34" i="5"/>
  <c r="AA34" i="5"/>
  <c r="V66" i="5"/>
  <c r="G15" i="5"/>
  <c r="G64" i="5" s="1"/>
  <c r="G65" i="5" s="1"/>
  <c r="G66" i="5" s="1"/>
  <c r="W15" i="5"/>
  <c r="W16" i="5" s="1"/>
  <c r="W21" i="5" s="1"/>
  <c r="H15" i="5"/>
  <c r="H64" i="5" s="1"/>
  <c r="H65" i="5" s="1"/>
  <c r="H66" i="5" s="1"/>
  <c r="X15" i="5"/>
  <c r="X16" i="5" s="1"/>
  <c r="X21" i="5" s="1"/>
  <c r="I15" i="5"/>
  <c r="I64" i="5" s="1"/>
  <c r="I65" i="5" s="1"/>
  <c r="I66" i="5" s="1"/>
  <c r="Y15" i="5"/>
  <c r="Y16" i="5" s="1"/>
  <c r="Y21" i="5" s="1"/>
  <c r="J15" i="5"/>
  <c r="Z15" i="5"/>
  <c r="W35" i="5" l="1"/>
  <c r="X35" i="5"/>
  <c r="Y35" i="5"/>
  <c r="D26" i="5"/>
  <c r="D28" i="5" s="1"/>
  <c r="E24" i="5" s="1"/>
  <c r="E64" i="5"/>
  <c r="E65" i="5" s="1"/>
  <c r="E66" i="5" s="1"/>
  <c r="Y64" i="5"/>
  <c r="Y65" i="5" s="1"/>
  <c r="Y66" i="5" s="1"/>
  <c r="X64" i="5"/>
  <c r="X65" i="5" s="1"/>
  <c r="X66" i="5" s="1"/>
  <c r="G16" i="5"/>
  <c r="G21" i="5" s="1"/>
  <c r="R16" i="5"/>
  <c r="R21" i="5" s="1"/>
  <c r="R64" i="5"/>
  <c r="R65" i="5" s="1"/>
  <c r="R66" i="5" s="1"/>
  <c r="M65" i="5"/>
  <c r="M66" i="5" s="1"/>
  <c r="U65" i="5"/>
  <c r="U66" i="5"/>
  <c r="H16" i="5"/>
  <c r="H21" i="5" s="1"/>
  <c r="AB35" i="5"/>
  <c r="S35" i="5"/>
  <c r="U35" i="5"/>
  <c r="J16" i="5"/>
  <c r="J21" i="5" s="1"/>
  <c r="W64" i="5"/>
  <c r="W65" i="5" s="1"/>
  <c r="W66" i="5" s="1"/>
  <c r="C58" i="5"/>
  <c r="T35" i="5"/>
  <c r="S64" i="5"/>
  <c r="S65" i="5" s="1"/>
  <c r="S66" i="5" s="1"/>
  <c r="Z35" i="5"/>
  <c r="K66" i="5"/>
  <c r="K65" i="5"/>
  <c r="Q65" i="5"/>
  <c r="Q66" i="5"/>
  <c r="L65" i="5"/>
  <c r="L66" i="5" s="1"/>
  <c r="I16" i="5"/>
  <c r="I21" i="5" s="1"/>
  <c r="P35" i="5"/>
  <c r="AA36" i="5"/>
  <c r="AB38" i="5" s="1"/>
  <c r="AA37" i="5"/>
  <c r="O35" i="5"/>
  <c r="V37" i="5"/>
  <c r="V36" i="5"/>
  <c r="W38" i="5" s="1"/>
  <c r="D25" i="5"/>
  <c r="T65" i="5"/>
  <c r="T66" i="5"/>
  <c r="D64" i="5"/>
  <c r="D65" i="5" s="1"/>
  <c r="D16" i="5"/>
  <c r="D21" i="5" s="1"/>
  <c r="N65" i="5"/>
  <c r="N66" i="5" s="1"/>
  <c r="Q35" i="5"/>
  <c r="N16" i="5"/>
  <c r="N21" i="5" s="1"/>
  <c r="AB64" i="5"/>
  <c r="AB65" i="5" s="1"/>
  <c r="AB66" i="5" s="1"/>
  <c r="C77" i="5" l="1"/>
  <c r="C94" i="5" s="1"/>
  <c r="D66" i="5"/>
  <c r="E25" i="5"/>
  <c r="Q37" i="5"/>
  <c r="Q36" i="5"/>
  <c r="R38" i="5" s="1"/>
  <c r="U37" i="5"/>
  <c r="U36" i="5"/>
  <c r="V38" i="5" s="1"/>
  <c r="R35" i="5"/>
  <c r="P37" i="5"/>
  <c r="P36" i="5"/>
  <c r="Q38" i="5" s="1"/>
  <c r="O36" i="5"/>
  <c r="P38" i="5" s="1"/>
  <c r="O37" i="5"/>
  <c r="D35" i="5"/>
  <c r="S37" i="5"/>
  <c r="S36" i="5"/>
  <c r="T38" i="5" s="1"/>
  <c r="Y36" i="5"/>
  <c r="Z38" i="5" s="1"/>
  <c r="Y37" i="5"/>
  <c r="AB36" i="5"/>
  <c r="AB37" i="5"/>
  <c r="D27" i="5"/>
  <c r="X37" i="5"/>
  <c r="X36" i="5"/>
  <c r="Y38" i="5" s="1"/>
  <c r="N35" i="5"/>
  <c r="Z36" i="5"/>
  <c r="AA38" i="5" s="1"/>
  <c r="Z37" i="5"/>
  <c r="T37" i="5"/>
  <c r="T36" i="5"/>
  <c r="U38" i="5" s="1"/>
  <c r="B14" i="6"/>
  <c r="B12" i="6"/>
  <c r="B15" i="6"/>
  <c r="B13" i="6"/>
  <c r="C83" i="5"/>
  <c r="C59" i="5"/>
  <c r="W37" i="5"/>
  <c r="W36" i="5"/>
  <c r="X38" i="5" s="1"/>
  <c r="N36" i="5" l="1"/>
  <c r="O38" i="5" s="1"/>
  <c r="N37" i="5"/>
  <c r="D50" i="5"/>
  <c r="D37" i="5"/>
  <c r="D36" i="5"/>
  <c r="E38" i="5" s="1"/>
  <c r="E35" i="5"/>
  <c r="E26" i="5"/>
  <c r="E28" i="5" s="1"/>
  <c r="F24" i="5" s="1"/>
  <c r="R37" i="5"/>
  <c r="R36" i="5"/>
  <c r="S38" i="5" s="1"/>
  <c r="F94" i="5"/>
  <c r="E94" i="5"/>
  <c r="E50" i="5" l="1"/>
  <c r="F25" i="5"/>
  <c r="E27" i="5"/>
  <c r="E37" i="5"/>
  <c r="E36" i="5"/>
  <c r="F38" i="5" s="1"/>
  <c r="D43" i="5"/>
  <c r="D44" i="5"/>
  <c r="E42" i="5" s="1"/>
  <c r="D45" i="5" l="1"/>
  <c r="E41" i="5" s="1"/>
  <c r="E43" i="5"/>
  <c r="E44" i="5"/>
  <c r="F35" i="5"/>
  <c r="F26" i="5"/>
  <c r="F28" i="5" s="1"/>
  <c r="G24" i="5" s="1"/>
  <c r="D46" i="5"/>
  <c r="E40" i="5" s="1"/>
  <c r="F37" i="5" l="1"/>
  <c r="F36" i="5"/>
  <c r="G38" i="5" s="1"/>
  <c r="E45" i="5"/>
  <c r="E46" i="5" s="1"/>
  <c r="F50" i="5"/>
  <c r="D47" i="5"/>
  <c r="E39" i="5" s="1"/>
  <c r="G25" i="5"/>
  <c r="F27" i="5"/>
  <c r="F42" i="5"/>
  <c r="E47" i="5" l="1"/>
  <c r="F39" i="5" s="1"/>
  <c r="E48" i="5"/>
  <c r="E49" i="5" s="1"/>
  <c r="G26" i="5"/>
  <c r="G28" i="5" s="1"/>
  <c r="H24" i="5" s="1"/>
  <c r="G35" i="5"/>
  <c r="D48" i="5"/>
  <c r="D49" i="5" s="1"/>
  <c r="F41" i="5"/>
  <c r="G50" i="5"/>
  <c r="C51" i="5"/>
  <c r="F40" i="5"/>
  <c r="F44" i="5"/>
  <c r="F46" i="5" s="1"/>
  <c r="F45" i="5"/>
  <c r="F43" i="5"/>
  <c r="F47" i="5" l="1"/>
  <c r="G39" i="5" s="1"/>
  <c r="G41" i="5"/>
  <c r="G42" i="5"/>
  <c r="AB52" i="5"/>
  <c r="L52" i="5"/>
  <c r="AA52" i="5"/>
  <c r="K52" i="5"/>
  <c r="Z52" i="5"/>
  <c r="J52" i="5"/>
  <c r="Y52" i="5"/>
  <c r="I52" i="5"/>
  <c r="X52" i="5"/>
  <c r="H52" i="5"/>
  <c r="W52" i="5"/>
  <c r="G52" i="5"/>
  <c r="V52" i="5"/>
  <c r="F52" i="5"/>
  <c r="R52" i="5"/>
  <c r="P52" i="5"/>
  <c r="M52" i="5"/>
  <c r="D52" i="5"/>
  <c r="E52" i="5"/>
  <c r="U52" i="5"/>
  <c r="O52" i="5"/>
  <c r="N52" i="5"/>
  <c r="T52" i="5"/>
  <c r="S52" i="5"/>
  <c r="Q52" i="5"/>
  <c r="D53" i="5"/>
  <c r="D56" i="5" s="1"/>
  <c r="G36" i="5"/>
  <c r="H38" i="5" s="1"/>
  <c r="G37" i="5"/>
  <c r="H25" i="5"/>
  <c r="G27" i="5"/>
  <c r="F48" i="5"/>
  <c r="F49" i="5" s="1"/>
  <c r="F53" i="5" s="1"/>
  <c r="F56" i="5" s="1"/>
  <c r="E53" i="5"/>
  <c r="E56" i="5" s="1"/>
  <c r="G40" i="5"/>
  <c r="D58" i="5" l="1"/>
  <c r="D57" i="5"/>
  <c r="D60" i="5"/>
  <c r="E58" i="5"/>
  <c r="E57" i="5"/>
  <c r="E60" i="5"/>
  <c r="G43" i="5"/>
  <c r="F58" i="5"/>
  <c r="F57" i="5"/>
  <c r="F60" i="5"/>
  <c r="H26" i="5"/>
  <c r="H28" i="5" s="1"/>
  <c r="I24" i="5" s="1"/>
  <c r="H35" i="5"/>
  <c r="H36" i="5" l="1"/>
  <c r="I38" i="5" s="1"/>
  <c r="H37" i="5"/>
  <c r="H50" i="5"/>
  <c r="G44" i="5"/>
  <c r="H42" i="5" s="1"/>
  <c r="E15" i="6"/>
  <c r="E12" i="6"/>
  <c r="F83" i="5"/>
  <c r="E14" i="6"/>
  <c r="E13" i="6"/>
  <c r="G45" i="5"/>
  <c r="H41" i="5" s="1"/>
  <c r="I25" i="5"/>
  <c r="H27" i="5"/>
  <c r="D14" i="6"/>
  <c r="D15" i="6"/>
  <c r="E83" i="5"/>
  <c r="D12" i="6"/>
  <c r="D13" i="6"/>
  <c r="C14" i="6"/>
  <c r="C15" i="6"/>
  <c r="C12" i="6"/>
  <c r="D83" i="5"/>
  <c r="C13" i="6"/>
  <c r="D59" i="5"/>
  <c r="G46" i="5" l="1"/>
  <c r="H40" i="5" s="1"/>
  <c r="I27" i="5"/>
  <c r="I26" i="5"/>
  <c r="I28" i="5" s="1"/>
  <c r="J24" i="5" s="1"/>
  <c r="I35" i="5"/>
  <c r="H44" i="5"/>
  <c r="I42" i="5" s="1"/>
  <c r="H43" i="5"/>
  <c r="H45" i="5" s="1"/>
  <c r="E59" i="5"/>
  <c r="F59" i="5" s="1"/>
  <c r="I36" i="5" l="1"/>
  <c r="J38" i="5" s="1"/>
  <c r="I37" i="5"/>
  <c r="J25" i="5"/>
  <c r="I41" i="5"/>
  <c r="I50" i="5"/>
  <c r="G47" i="5"/>
  <c r="J26" i="5" l="1"/>
  <c r="J28" i="5" s="1"/>
  <c r="K24" i="5" s="1"/>
  <c r="J35" i="5"/>
  <c r="I43" i="5"/>
  <c r="H39" i="5"/>
  <c r="G48" i="5"/>
  <c r="G49" i="5" s="1"/>
  <c r="G53" i="5" s="1"/>
  <c r="G56" i="5" s="1"/>
  <c r="J50" i="5"/>
  <c r="H46" i="5" l="1"/>
  <c r="J36" i="5"/>
  <c r="K38" i="5" s="1"/>
  <c r="J37" i="5"/>
  <c r="G57" i="5"/>
  <c r="G58" i="5"/>
  <c r="G60" i="5"/>
  <c r="I44" i="5"/>
  <c r="J42" i="5" s="1"/>
  <c r="K25" i="5"/>
  <c r="J27" i="5"/>
  <c r="F15" i="6" l="1"/>
  <c r="F12" i="6"/>
  <c r="G83" i="5"/>
  <c r="F14" i="6"/>
  <c r="F13" i="6"/>
  <c r="G59" i="5"/>
  <c r="K35" i="5"/>
  <c r="K26" i="5"/>
  <c r="K28" i="5" s="1"/>
  <c r="L24" i="5" s="1"/>
  <c r="J43" i="5"/>
  <c r="H47" i="5"/>
  <c r="I39" i="5" s="1"/>
  <c r="H48" i="5"/>
  <c r="H49" i="5" s="1"/>
  <c r="H53" i="5" s="1"/>
  <c r="H56" i="5" s="1"/>
  <c r="I40" i="5"/>
  <c r="L25" i="5" l="1"/>
  <c r="I45" i="5"/>
  <c r="J41" i="5" s="1"/>
  <c r="H58" i="5"/>
  <c r="H57" i="5"/>
  <c r="H60" i="5"/>
  <c r="K36" i="5"/>
  <c r="L38" i="5" s="1"/>
  <c r="K37" i="5"/>
  <c r="K50" i="5"/>
  <c r="K27" i="5"/>
  <c r="J44" i="5" l="1"/>
  <c r="G15" i="6"/>
  <c r="G12" i="6"/>
  <c r="H83" i="5"/>
  <c r="G13" i="6"/>
  <c r="G14" i="6"/>
  <c r="I46" i="5"/>
  <c r="J40" i="5" s="1"/>
  <c r="I47" i="5"/>
  <c r="J39" i="5" s="1"/>
  <c r="H59" i="5"/>
  <c r="L26" i="5"/>
  <c r="L28" i="5" s="1"/>
  <c r="M24" i="5" s="1"/>
  <c r="L35" i="5"/>
  <c r="M25" i="5" l="1"/>
  <c r="L27" i="5"/>
  <c r="L36" i="5"/>
  <c r="M38" i="5" s="1"/>
  <c r="L37" i="5"/>
  <c r="I48" i="5"/>
  <c r="I49" i="5" s="1"/>
  <c r="I53" i="5" s="1"/>
  <c r="I56" i="5" s="1"/>
  <c r="J45" i="5"/>
  <c r="L50" i="5"/>
  <c r="K42" i="5"/>
  <c r="K43" i="5" s="1"/>
  <c r="I58" i="5" l="1"/>
  <c r="I57" i="5"/>
  <c r="I60" i="5"/>
  <c r="K41" i="5"/>
  <c r="M50" i="5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J46" i="5"/>
  <c r="K40" i="5" s="1"/>
  <c r="M35" i="5"/>
  <c r="M26" i="5"/>
  <c r="M28" i="5" s="1"/>
  <c r="N24" i="5" s="1"/>
  <c r="N28" i="5" s="1"/>
  <c r="O24" i="5" s="1"/>
  <c r="O28" i="5" s="1"/>
  <c r="P24" i="5" s="1"/>
  <c r="P28" i="5" s="1"/>
  <c r="Q24" i="5" s="1"/>
  <c r="Q28" i="5" s="1"/>
  <c r="R24" i="5" s="1"/>
  <c r="R28" i="5" s="1"/>
  <c r="S24" i="5" s="1"/>
  <c r="S28" i="5" s="1"/>
  <c r="T24" i="5" s="1"/>
  <c r="T28" i="5" s="1"/>
  <c r="U24" i="5" s="1"/>
  <c r="U28" i="5" s="1"/>
  <c r="V24" i="5" s="1"/>
  <c r="V28" i="5" s="1"/>
  <c r="W24" i="5" s="1"/>
  <c r="W28" i="5" s="1"/>
  <c r="X24" i="5" s="1"/>
  <c r="X28" i="5" s="1"/>
  <c r="Y24" i="5" s="1"/>
  <c r="Y28" i="5" s="1"/>
  <c r="Z24" i="5" s="1"/>
  <c r="Z28" i="5" s="1"/>
  <c r="AA24" i="5" s="1"/>
  <c r="AA28" i="5" s="1"/>
  <c r="AB24" i="5" s="1"/>
  <c r="AB28" i="5" s="1"/>
  <c r="M36" i="5" l="1"/>
  <c r="N38" i="5" s="1"/>
  <c r="M37" i="5"/>
  <c r="M27" i="5"/>
  <c r="J47" i="5"/>
  <c r="K39" i="5" s="1"/>
  <c r="H15" i="6"/>
  <c r="H12" i="6"/>
  <c r="I83" i="5"/>
  <c r="H13" i="6"/>
  <c r="H14" i="6"/>
  <c r="I59" i="5"/>
  <c r="K44" i="5"/>
  <c r="J48" i="5" l="1"/>
  <c r="J49" i="5" s="1"/>
  <c r="J53" i="5" s="1"/>
  <c r="J56" i="5" s="1"/>
  <c r="K45" i="5"/>
  <c r="L41" i="5" s="1"/>
  <c r="L42" i="5"/>
  <c r="L43" i="5" s="1"/>
  <c r="J57" i="5" l="1"/>
  <c r="J58" i="5"/>
  <c r="J60" i="5"/>
  <c r="L44" i="5"/>
  <c r="K46" i="5"/>
  <c r="L40" i="5" s="1"/>
  <c r="K47" i="5"/>
  <c r="L39" i="5" s="1"/>
  <c r="M42" i="5"/>
  <c r="M43" i="5" s="1"/>
  <c r="K48" i="5"/>
  <c r="K49" i="5" s="1"/>
  <c r="K53" i="5" s="1"/>
  <c r="K56" i="5" s="1"/>
  <c r="K57" i="5" l="1"/>
  <c r="K58" i="5"/>
  <c r="K60" i="5"/>
  <c r="L45" i="5"/>
  <c r="I15" i="6"/>
  <c r="I12" i="6"/>
  <c r="J83" i="5"/>
  <c r="I13" i="6"/>
  <c r="I14" i="6"/>
  <c r="J59" i="5"/>
  <c r="J12" i="6" l="1"/>
  <c r="K83" i="5"/>
  <c r="J13" i="6"/>
  <c r="J15" i="6"/>
  <c r="J14" i="6"/>
  <c r="M41" i="5"/>
  <c r="K59" i="5"/>
  <c r="L46" i="5"/>
  <c r="M44" i="5" l="1"/>
  <c r="M40" i="5"/>
  <c r="L47" i="5"/>
  <c r="M39" i="5" s="1"/>
  <c r="L48" i="5"/>
  <c r="L49" i="5" s="1"/>
  <c r="L53" i="5" s="1"/>
  <c r="L56" i="5" s="1"/>
  <c r="L57" i="5" l="1"/>
  <c r="L58" i="5"/>
  <c r="L60" i="5"/>
  <c r="M45" i="5"/>
  <c r="M46" i="5"/>
  <c r="N40" i="5" s="1"/>
  <c r="N42" i="5"/>
  <c r="N43" i="5" s="1"/>
  <c r="N41" i="5" l="1"/>
  <c r="N44" i="5"/>
  <c r="N45" i="5" s="1"/>
  <c r="O41" i="5" s="1"/>
  <c r="M47" i="5"/>
  <c r="N39" i="5" s="1"/>
  <c r="L83" i="5"/>
  <c r="K13" i="6"/>
  <c r="K12" i="6"/>
  <c r="K15" i="6"/>
  <c r="K14" i="6"/>
  <c r="L59" i="5"/>
  <c r="M48" i="5" l="1"/>
  <c r="M49" i="5" s="1"/>
  <c r="M53" i="5" s="1"/>
  <c r="M56" i="5" s="1"/>
  <c r="N46" i="5"/>
  <c r="O42" i="5"/>
  <c r="O43" i="5" s="1"/>
  <c r="O44" i="5" l="1"/>
  <c r="P42" i="5" s="1"/>
  <c r="P43" i="5" s="1"/>
  <c r="N47" i="5"/>
  <c r="O39" i="5" s="1"/>
  <c r="O40" i="5"/>
  <c r="O45" i="5" s="1"/>
  <c r="O46" i="5" s="1"/>
  <c r="M57" i="5"/>
  <c r="M58" i="5"/>
  <c r="M60" i="5"/>
  <c r="C73" i="5" l="1"/>
  <c r="C91" i="5" s="1"/>
  <c r="C72" i="5"/>
  <c r="C90" i="5" s="1"/>
  <c r="L13" i="6"/>
  <c r="L15" i="6"/>
  <c r="L12" i="6"/>
  <c r="L14" i="6"/>
  <c r="M83" i="5"/>
  <c r="M59" i="5"/>
  <c r="P41" i="5"/>
  <c r="P40" i="5"/>
  <c r="P44" i="5"/>
  <c r="P46" i="5" s="1"/>
  <c r="P45" i="5"/>
  <c r="O47" i="5"/>
  <c r="P39" i="5" s="1"/>
  <c r="N48" i="5"/>
  <c r="N49" i="5" s="1"/>
  <c r="N53" i="5" s="1"/>
  <c r="N56" i="5" s="1"/>
  <c r="P47" i="5" l="1"/>
  <c r="Q39" i="5" s="1"/>
  <c r="Q40" i="5"/>
  <c r="P48" i="5"/>
  <c r="P49" i="5" s="1"/>
  <c r="P53" i="5" s="1"/>
  <c r="P56" i="5" s="1"/>
  <c r="Q42" i="5"/>
  <c r="Q43" i="5" s="1"/>
  <c r="F90" i="5"/>
  <c r="E90" i="5"/>
  <c r="Q41" i="5"/>
  <c r="N57" i="5"/>
  <c r="N58" i="5"/>
  <c r="O48" i="5"/>
  <c r="O49" i="5" s="1"/>
  <c r="O53" i="5" s="1"/>
  <c r="O56" i="5" s="1"/>
  <c r="E91" i="5"/>
  <c r="F91" i="5"/>
  <c r="O57" i="5" l="1"/>
  <c r="O58" i="5"/>
  <c r="M13" i="6"/>
  <c r="M14" i="6"/>
  <c r="M12" i="6"/>
  <c r="M15" i="6"/>
  <c r="N83" i="5"/>
  <c r="N59" i="5"/>
  <c r="O59" i="5" s="1"/>
  <c r="Q44" i="5"/>
  <c r="R42" i="5" s="1"/>
  <c r="R43" i="5" s="1"/>
  <c r="Q45" i="5"/>
  <c r="R41" i="5" s="1"/>
  <c r="P57" i="5"/>
  <c r="P58" i="5"/>
  <c r="R44" i="5" l="1"/>
  <c r="S42" i="5" s="1"/>
  <c r="S43" i="5" s="1"/>
  <c r="O13" i="6"/>
  <c r="O14" i="6"/>
  <c r="O12" i="6"/>
  <c r="P83" i="5"/>
  <c r="O15" i="6"/>
  <c r="Q46" i="5"/>
  <c r="R40" i="5" s="1"/>
  <c r="P59" i="5"/>
  <c r="N13" i="6"/>
  <c r="N14" i="6"/>
  <c r="N15" i="6"/>
  <c r="N12" i="6"/>
  <c r="O83" i="5"/>
  <c r="Q47" i="5" l="1"/>
  <c r="R39" i="5" s="1"/>
  <c r="R45" i="5"/>
  <c r="S41" i="5" s="1"/>
  <c r="S44" i="5" l="1"/>
  <c r="Q48" i="5"/>
  <c r="Q49" i="5" s="1"/>
  <c r="Q53" i="5" s="1"/>
  <c r="Q56" i="5" s="1"/>
  <c r="R46" i="5"/>
  <c r="S40" i="5" s="1"/>
  <c r="R47" i="5" l="1"/>
  <c r="S39" i="5" s="1"/>
  <c r="Q58" i="5"/>
  <c r="Q57" i="5"/>
  <c r="S45" i="5"/>
  <c r="T41" i="5" s="1"/>
  <c r="T42" i="5"/>
  <c r="T43" i="5" s="1"/>
  <c r="T44" i="5" l="1"/>
  <c r="U42" i="5" s="1"/>
  <c r="U43" i="5" s="1"/>
  <c r="S46" i="5"/>
  <c r="P14" i="6"/>
  <c r="P12" i="6"/>
  <c r="P15" i="6"/>
  <c r="Q83" i="5"/>
  <c r="P13" i="6"/>
  <c r="Q59" i="5"/>
  <c r="R48" i="5"/>
  <c r="R49" i="5" s="1"/>
  <c r="R53" i="5" s="1"/>
  <c r="R56" i="5" s="1"/>
  <c r="T40" i="5"/>
  <c r="R58" i="5" l="1"/>
  <c r="R57" i="5"/>
  <c r="S47" i="5"/>
  <c r="T39" i="5" s="1"/>
  <c r="R59" i="5"/>
  <c r="T45" i="5"/>
  <c r="T46" i="5" l="1"/>
  <c r="T48" i="5" s="1"/>
  <c r="T49" i="5" s="1"/>
  <c r="T53" i="5" s="1"/>
  <c r="T56" i="5" s="1"/>
  <c r="S48" i="5"/>
  <c r="S49" i="5" s="1"/>
  <c r="S53" i="5" s="1"/>
  <c r="S56" i="5" s="1"/>
  <c r="U41" i="5"/>
  <c r="U40" i="5"/>
  <c r="T47" i="5"/>
  <c r="U39" i="5" s="1"/>
  <c r="Q14" i="6"/>
  <c r="Q15" i="6"/>
  <c r="R83" i="5"/>
  <c r="Q12" i="6"/>
  <c r="Q13" i="6"/>
  <c r="T58" i="5" l="1"/>
  <c r="T57" i="5"/>
  <c r="S58" i="5"/>
  <c r="S57" i="5"/>
  <c r="U44" i="5"/>
  <c r="U45" i="5" l="1"/>
  <c r="V41" i="5" s="1"/>
  <c r="U46" i="5"/>
  <c r="V40" i="5" s="1"/>
  <c r="V42" i="5"/>
  <c r="V43" i="5" s="1"/>
  <c r="R14" i="6"/>
  <c r="R12" i="6"/>
  <c r="R15" i="6"/>
  <c r="R13" i="6"/>
  <c r="S83" i="5"/>
  <c r="S59" i="5"/>
  <c r="T59" i="5" s="1"/>
  <c r="S14" i="6"/>
  <c r="S15" i="6"/>
  <c r="S12" i="6"/>
  <c r="T83" i="5"/>
  <c r="S13" i="6"/>
  <c r="V44" i="5" l="1"/>
  <c r="W42" i="5" s="1"/>
  <c r="W43" i="5" s="1"/>
  <c r="U47" i="5"/>
  <c r="V39" i="5" s="1"/>
  <c r="U48" i="5" l="1"/>
  <c r="U49" i="5" s="1"/>
  <c r="U53" i="5" s="1"/>
  <c r="U56" i="5" s="1"/>
  <c r="V45" i="5"/>
  <c r="W41" i="5" s="1"/>
  <c r="U58" i="5" l="1"/>
  <c r="U57" i="5"/>
  <c r="V46" i="5"/>
  <c r="W40" i="5" s="1"/>
  <c r="W44" i="5"/>
  <c r="W45" i="5" l="1"/>
  <c r="V47" i="5"/>
  <c r="W39" i="5" s="1"/>
  <c r="X41" i="5"/>
  <c r="X42" i="5"/>
  <c r="X43" i="5" s="1"/>
  <c r="T14" i="6"/>
  <c r="T15" i="6"/>
  <c r="U83" i="5"/>
  <c r="T12" i="6"/>
  <c r="T13" i="6"/>
  <c r="U59" i="5"/>
  <c r="V48" i="5" l="1"/>
  <c r="V49" i="5" s="1"/>
  <c r="V53" i="5" s="1"/>
  <c r="V56" i="5" s="1"/>
  <c r="X44" i="5"/>
  <c r="Y42" i="5" s="1"/>
  <c r="Y43" i="5" s="1"/>
  <c r="W46" i="5"/>
  <c r="X40" i="5" l="1"/>
  <c r="X45" i="5" s="1"/>
  <c r="W47" i="5"/>
  <c r="X39" i="5" s="1"/>
  <c r="V58" i="5"/>
  <c r="V57" i="5"/>
  <c r="X47" i="5" l="1"/>
  <c r="Y39" i="5" s="1"/>
  <c r="X46" i="5"/>
  <c r="Y40" i="5"/>
  <c r="U15" i="6"/>
  <c r="U12" i="6"/>
  <c r="V83" i="5"/>
  <c r="U14" i="6"/>
  <c r="U13" i="6"/>
  <c r="V59" i="5"/>
  <c r="Y41" i="5"/>
  <c r="W48" i="5"/>
  <c r="W49" i="5" s="1"/>
  <c r="W53" i="5" s="1"/>
  <c r="W56" i="5" s="1"/>
  <c r="Y44" i="5" l="1"/>
  <c r="W57" i="5"/>
  <c r="W58" i="5"/>
  <c r="W59" i="5"/>
  <c r="X48" i="5"/>
  <c r="X49" i="5" s="1"/>
  <c r="X53" i="5" s="1"/>
  <c r="X56" i="5" s="1"/>
  <c r="X58" i="5" l="1"/>
  <c r="X57" i="5"/>
  <c r="X59" i="5"/>
  <c r="V15" i="6"/>
  <c r="V12" i="6"/>
  <c r="W83" i="5"/>
  <c r="V13" i="6"/>
  <c r="V14" i="6"/>
  <c r="Y45" i="5"/>
  <c r="Z41" i="5" s="1"/>
  <c r="Z42" i="5"/>
  <c r="Z43" i="5" s="1"/>
  <c r="Z44" i="5" l="1"/>
  <c r="AA42" i="5" s="1"/>
  <c r="AA43" i="5" s="1"/>
  <c r="Y47" i="5"/>
  <c r="Z39" i="5" s="1"/>
  <c r="Y46" i="5"/>
  <c r="W15" i="6"/>
  <c r="W12" i="6"/>
  <c r="X83" i="5"/>
  <c r="W14" i="6"/>
  <c r="W13" i="6"/>
  <c r="Z40" i="5" l="1"/>
  <c r="Y48" i="5"/>
  <c r="Y49" i="5" s="1"/>
  <c r="Y53" i="5" s="1"/>
  <c r="Y56" i="5" s="1"/>
  <c r="Y57" i="5" l="1"/>
  <c r="Y58" i="5"/>
  <c r="Z45" i="5"/>
  <c r="Z46" i="5" l="1"/>
  <c r="AA40" i="5" s="1"/>
  <c r="AA41" i="5"/>
  <c r="X15" i="6"/>
  <c r="X12" i="6"/>
  <c r="Y83" i="5"/>
  <c r="X13" i="6"/>
  <c r="X14" i="6"/>
  <c r="Y59" i="5"/>
  <c r="AA44" i="5" l="1"/>
  <c r="Z47" i="5"/>
  <c r="AA39" i="5" l="1"/>
  <c r="Z48" i="5"/>
  <c r="Z49" i="5" s="1"/>
  <c r="Z53" i="5" s="1"/>
  <c r="Z56" i="5" s="1"/>
  <c r="AA45" i="5"/>
  <c r="AB41" i="5" s="1"/>
  <c r="AB42" i="5"/>
  <c r="AB43" i="5" s="1"/>
  <c r="AB44" i="5" l="1"/>
  <c r="AA46" i="5"/>
  <c r="AA47" i="5"/>
  <c r="AB39" i="5" s="1"/>
  <c r="AA48" i="5"/>
  <c r="AA49" i="5" s="1"/>
  <c r="AA53" i="5" s="1"/>
  <c r="AA56" i="5" s="1"/>
  <c r="Z57" i="5"/>
  <c r="Z58" i="5"/>
  <c r="AB40" i="5"/>
  <c r="Y15" i="6" l="1"/>
  <c r="Y12" i="6"/>
  <c r="Z83" i="5"/>
  <c r="Y13" i="6"/>
  <c r="Y14" i="6"/>
  <c r="Z59" i="5"/>
  <c r="AA59" i="5" s="1"/>
  <c r="AA57" i="5"/>
  <c r="AA58" i="5"/>
  <c r="AB45" i="5"/>
  <c r="AB46" i="5" s="1"/>
  <c r="AB47" i="5" l="1"/>
  <c r="Z12" i="6"/>
  <c r="AA83" i="5"/>
  <c r="Z13" i="6"/>
  <c r="Z15" i="6"/>
  <c r="Z14" i="6"/>
  <c r="AB48" i="5"/>
  <c r="AB49" i="5" s="1"/>
  <c r="AB53" i="5" s="1"/>
  <c r="AB56" i="5" s="1"/>
  <c r="AB57" i="5" l="1"/>
  <c r="C70" i="5" s="1"/>
  <c r="C88" i="5" s="1"/>
  <c r="AB58" i="5"/>
  <c r="AB83" i="5" l="1"/>
  <c r="C86" i="5" s="1"/>
  <c r="AA13" i="6"/>
  <c r="AA15" i="6"/>
  <c r="AA12" i="6"/>
  <c r="AA14" i="6"/>
  <c r="C76" i="5"/>
  <c r="C93" i="5" s="1"/>
  <c r="C69" i="5"/>
  <c r="C87" i="5" s="1"/>
  <c r="C71" i="5"/>
  <c r="C89" i="5" s="1"/>
  <c r="AB59" i="5"/>
  <c r="C74" i="5" s="1"/>
  <c r="C75" i="5" s="1"/>
  <c r="C92" i="5" s="1"/>
  <c r="F88" i="5"/>
  <c r="E88" i="5"/>
  <c r="F87" i="5" l="1"/>
  <c r="E87" i="5"/>
  <c r="F89" i="5"/>
  <c r="E89" i="5"/>
  <c r="F93" i="5"/>
  <c r="E93" i="5"/>
  <c r="B7" i="6"/>
  <c r="F7" i="6" s="1"/>
  <c r="C7" i="6"/>
  <c r="C5" i="6"/>
  <c r="B5" i="6"/>
  <c r="F5" i="6" s="1"/>
  <c r="E92" i="5"/>
  <c r="F92" i="5"/>
  <c r="C6" i="6"/>
  <c r="B6" i="6"/>
  <c r="F6" i="6" s="1"/>
  <c r="C8" i="6"/>
  <c r="B8" i="6"/>
  <c r="F8" i="6" s="1"/>
  <c r="E86" i="5"/>
  <c r="F86" i="5"/>
  <c r="C6" i="1" l="1"/>
</calcChain>
</file>

<file path=xl/sharedStrings.xml><?xml version="1.0" encoding="utf-8"?>
<sst xmlns="http://schemas.openxmlformats.org/spreadsheetml/2006/main" count="596" uniqueCount="459">
  <si>
    <t>Investment Case Workbook - Factory A Vietnam ESCO E2E</t>
  </si>
  <si>
    <t>Model validation status</t>
  </si>
  <si>
    <t>Live tie-out of every Excel-derived metric against the engine</t>
  </si>
  <si>
    <t>Colour legend</t>
  </si>
  <si>
    <t>Hardcoded input / engine output</t>
  </si>
  <si>
    <t>Live Excel formula (white)</t>
  </si>
  <si>
    <t>Everything derivable is a formula - trace with Excel's formula auditing tools</t>
  </si>
  <si>
    <t>PASS / REVIEW check cell</t>
  </si>
  <si>
    <t>Excel-vs-engine tie-out at stated tolerances</t>
  </si>
  <si>
    <t>Contents</t>
  </si>
  <si>
    <t>Executive Summary</t>
  </si>
  <si>
    <t>Headline KPIs for both counterparties</t>
  </si>
  <si>
    <t>Assumptions</t>
  </si>
  <si>
    <t>Every case input &amp; contract term with unit, source and named cell</t>
  </si>
  <si>
    <t>Model Basis</t>
  </si>
  <si>
    <t>Methodology, settlement math, simplifications register</t>
  </si>
  <si>
    <t>Pro Forma (Audit)</t>
  </si>
  <si>
    <t>Full cash flow rebuilt with live formulas + engine tie-out</t>
  </si>
  <si>
    <t>FX Sensitivity</t>
  </si>
  <si>
    <t>USD returns under VND depreciation (editable)</t>
  </si>
  <si>
    <t>Buyer Analysis</t>
  </si>
  <si>
    <t>Offtaker savings vs business-as-usual</t>
  </si>
  <si>
    <t>Developer Returns</t>
  </si>
  <si>
    <t>Sources &amp; uses, coverage, equity cash flow</t>
  </si>
  <si>
    <t>Technical Results</t>
  </si>
  <si>
    <t>System sizing, year-1 energy balance, bill comparison</t>
  </si>
  <si>
    <t>Dispatch Profile</t>
  </si>
  <si>
    <t>8760-h dispatch incl. original PV generation; chart shows the peak-load week</t>
  </si>
  <si>
    <t>Load Duration</t>
  </si>
  <si>
    <t>Load and net-load duration curves</t>
  </si>
  <si>
    <t>Regenerate offline anytime: python -m proforma_vietnam.rebuild_report --case-dir &lt;case&gt;.</t>
  </si>
  <si>
    <t>Investment &amp; PPA Negotiation Summary - Factory A Vietnam ESCO E2E</t>
  </si>
  <si>
    <t>Project &amp; System</t>
  </si>
  <si>
    <t>PV Size (kW)</t>
  </si>
  <si>
    <t>Battery Power (kW)</t>
  </si>
  <si>
    <t>Battery Energy (kWh)</t>
  </si>
  <si>
    <t>Total Investment (USD)</t>
  </si>
  <si>
    <t>Contract Terms</t>
  </si>
  <si>
    <t>ESCO Energy Price (fraction of EVN tariff)</t>
  </si>
  <si>
    <t>Demand Savings Share to ESCO</t>
  </si>
  <si>
    <t>Analysis Period (Years)</t>
  </si>
  <si>
    <t>Developer (Seller) Returns</t>
  </si>
  <si>
    <t>Equity IRR</t>
  </si>
  <si>
    <t>Project IRR</t>
  </si>
  <si>
    <t>NPV (USD)</t>
  </si>
  <si>
    <t>At owner discount rate</t>
  </si>
  <si>
    <t>Minimum DSCR (debt years)</t>
  </si>
  <si>
    <t>Lender covenant view</t>
  </si>
  <si>
    <t>Average DSCR</t>
  </si>
  <si>
    <t>Simple Payback (Years)</t>
  </si>
  <si>
    <t>Equity Investment (USD)</t>
  </si>
  <si>
    <t>Debt Principal (USD)</t>
  </si>
  <si>
    <t>Buyer (Offtaker) Outcome</t>
  </si>
  <si>
    <t>Year 1 BAU Cost (USD)</t>
  </si>
  <si>
    <t>Year 1 Cost With Project (USD)</t>
  </si>
  <si>
    <t>Year 1 Buyer Savings (USD)</t>
  </si>
  <si>
    <t>Year 1 Savings (% of BAU)</t>
  </si>
  <si>
    <t>First 10 Years Buyer Savings (USD)</t>
  </si>
  <si>
    <t>Cumulative, years 1-10</t>
  </si>
  <si>
    <t>First 10 Years Savings (% of BAU)</t>
  </si>
  <si>
    <t>Lifetime Buyer Savings (USD)</t>
  </si>
  <si>
    <t>Sum over analysis period</t>
  </si>
  <si>
    <t>Lifetime Savings (% of BAU)</t>
  </si>
  <si>
    <t>Model Basis &amp; Conventions</t>
  </si>
  <si>
    <t>•  ESCO is paid a discount to the time-specific EVN tariff for project-served energy.</t>
  </si>
  <si>
    <t>•  PV straight-line depreciation over 20 years (Circular 45/2013/TT-BTC permits 7-20 years for generating equipment).</t>
  </si>
  <si>
    <t>•  Vietnam CIT: 4-year exemption + 9-year 50% reduction from first profitable year; 5-year tax-loss carryforward.</t>
  </si>
  <si>
    <t>•  All USD figures at the fixed contract exchange rate (see Assumptions); FX drift between VND revenue and USD reporting is quantified on the FX Sensitivity sheet.</t>
  </si>
  <si>
    <t>Assumptions &amp; Model Inputs</t>
  </si>
  <si>
    <t>Shaded cells are hardcoded inputs (case file or engine output); named cells drive every formula on the Pro Forma (Audit) sheet.</t>
  </si>
  <si>
    <t>Project &amp; Run</t>
  </si>
  <si>
    <t>Case name</t>
  </si>
  <si>
    <t>Factory A Vietnam ESCO E2E</t>
  </si>
  <si>
    <t>case.json</t>
  </si>
  <si>
    <t>Financing structure</t>
  </si>
  <si>
    <t>ESCO discount-to-EVN (behind-the-meter)</t>
  </si>
  <si>
    <t>proforma_vietnam.structures</t>
  </si>
  <si>
    <t>3dd5bf1f-fa51-4f1e-aa64-d24ae11a1820</t>
  </si>
  <si>
    <t>Report prepared</t>
  </si>
  <si>
    <t>2026-07-09</t>
  </si>
  <si>
    <t>Analysis period</t>
  </si>
  <si>
    <t>years</t>
  </si>
  <si>
    <t>case.json financial.analysis_years</t>
  </si>
  <si>
    <t>Tariff year</t>
  </si>
  <si>
    <t>case.json tariff.year</t>
  </si>
  <si>
    <t>Voltage level</t>
  </si>
  <si>
    <t>22-110kV</t>
  </si>
  <si>
    <t>case.json tariff.voltage_level</t>
  </si>
  <si>
    <t>TOU schedule</t>
  </si>
  <si>
    <t>current</t>
  </si>
  <si>
    <t>case.json tariff.tou_schedule</t>
  </si>
  <si>
    <t>Site &amp; Load Profile (case.json)</t>
  </si>
  <si>
    <t>Latitude</t>
  </si>
  <si>
    <t>deg</t>
  </si>
  <si>
    <t>case.json site.latitude</t>
  </si>
  <si>
    <t>Longitude</t>
  </si>
  <si>
    <t>case.json site.longitude</t>
  </si>
  <si>
    <t>Load profile file</t>
  </si>
  <si>
    <t>Sample Load Profile/Emivest_clean.csv</t>
  </si>
  <si>
    <t>case.json load_profile.path (8760 hourly kW)</t>
  </si>
  <si>
    <t>Load year</t>
  </si>
  <si>
    <t>case.json load_profile.year</t>
  </si>
  <si>
    <t>PV Technology (case.json)</t>
  </si>
  <si>
    <t>PV minimum size</t>
  </si>
  <si>
    <t>kW</t>
  </si>
  <si>
    <t>case.json technologies.pv.min_kw</t>
  </si>
  <si>
    <t>PV maximum size</t>
  </si>
  <si>
    <t>case.json technologies.pv.max_kw</t>
  </si>
  <si>
    <t>PV installed cost</t>
  </si>
  <si>
    <t>USD/kW</t>
  </si>
  <si>
    <t>case.json technologies.pv.installed_cost_per_kw</t>
  </si>
  <si>
    <t>PV O&amp;M cost</t>
  </si>
  <si>
    <t>USD/kW/yr</t>
  </si>
  <si>
    <t>case.json technologies.pv.om_cost_per_kw</t>
  </si>
  <si>
    <t>PV degradation (case input)</t>
  </si>
  <si>
    <t>per year</t>
  </si>
  <si>
    <t>case.json technologies.pv.degradation_fraction</t>
  </si>
  <si>
    <t>PVWatts tilt</t>
  </si>
  <si>
    <t>case.json technologies.pv.pvwatts (production factor inputs)</t>
  </si>
  <si>
    <t>PVWatts azimuth</t>
  </si>
  <si>
    <t>PVWatts array_type</t>
  </si>
  <si>
    <t>PVWatts module_type</t>
  </si>
  <si>
    <t>PVWatts losses</t>
  </si>
  <si>
    <t>PVWatts dc_ac_ratio</t>
  </si>
  <si>
    <t>Storage Technology (case.json)</t>
  </si>
  <si>
    <t>Storage minimum power</t>
  </si>
  <si>
    <t>case.json technologies.storage.min_kw</t>
  </si>
  <si>
    <t>Storage maximum power</t>
  </si>
  <si>
    <t>case.json technologies.storage.max_kw</t>
  </si>
  <si>
    <t>Storage minimum energy</t>
  </si>
  <si>
    <t>kWh</t>
  </si>
  <si>
    <t>case.json technologies.storage.min_kwh</t>
  </si>
  <si>
    <t>Storage maximum energy</t>
  </si>
  <si>
    <t>case.json technologies.storage.max_kwh</t>
  </si>
  <si>
    <t>Storage cost per kW</t>
  </si>
  <si>
    <t>case.json technologies.storage.installed_cost_per_kw</t>
  </si>
  <si>
    <t>Storage cost per kWh</t>
  </si>
  <si>
    <t>USD/kWh</t>
  </si>
  <si>
    <t>case.json technologies.storage.installed_cost_per_kwh</t>
  </si>
  <si>
    <t>Storage fixed cost</t>
  </si>
  <si>
    <t>USD</t>
  </si>
  <si>
    <t>case.json technologies.storage.installed_cost_constant</t>
  </si>
  <si>
    <t>Replacement cost per kW</t>
  </si>
  <si>
    <t>case.json technologies.storage.replace_cost_per_kw</t>
  </si>
  <si>
    <t>Replacement cost per kWh</t>
  </si>
  <si>
    <t>case.json technologies.storage.replace_cost_per_kwh</t>
  </si>
  <si>
    <t>Replacement fixed cost</t>
  </si>
  <si>
    <t>case.json technologies.storage.replace_cost_constant</t>
  </si>
  <si>
    <t>Inverter replacement year</t>
  </si>
  <si>
    <t>year</t>
  </si>
  <si>
    <t>case.json technologies.storage.inverter_replacement_year</t>
  </si>
  <si>
    <t>Battery replacement year</t>
  </si>
  <si>
    <t>case.json technologies.storage.battery_replacement_year</t>
  </si>
  <si>
    <t>Fixed-cost replacement year</t>
  </si>
  <si>
    <t>case.json technologies.storage.cost_constant_replacement_year</t>
  </si>
  <si>
    <t>O&amp;M (fraction of installed cost)</t>
  </si>
  <si>
    <t>case.json technologies.storage.om_cost_fraction_of_installed_cost</t>
  </si>
  <si>
    <t>Currency &amp; FX</t>
  </si>
  <si>
    <t>Model currency</t>
  </si>
  <si>
    <t>Contract exchange rate</t>
  </si>
  <si>
    <t>VND per USD</t>
  </si>
  <si>
    <t>case.json tariff.exchange_rate_vnd_per_usd</t>
  </si>
  <si>
    <t>FX treatment</t>
  </si>
  <si>
    <t>Held flat over the analysis period</t>
  </si>
  <si>
    <t>Simplification - see FX Sensitivity sheet</t>
  </si>
  <si>
    <t>Capital Costs</t>
  </si>
  <si>
    <t>PV capex</t>
  </si>
  <si>
    <t>BESS capex</t>
  </si>
  <si>
    <t>Other capex</t>
  </si>
  <si>
    <t>case.json (developer overrides)</t>
  </si>
  <si>
    <t>Total investment</t>
  </si>
  <si>
    <t>Formula: PV + BESS + Other</t>
  </si>
  <si>
    <t>Operating Costs</t>
  </si>
  <si>
    <t>Year-1 O&amp;M</t>
  </si>
  <si>
    <t>USD/yr</t>
  </si>
  <si>
    <t>O&amp;M escalation</t>
  </si>
  <si>
    <t>vietnam_defaults.json / case.json financial.om_escalation_rate</t>
  </si>
  <si>
    <t>Tariff &amp; Escalation</t>
  </si>
  <si>
    <t>EVN energy escalation</t>
  </si>
  <si>
    <t>case.json tariff.evn_energy_escalation_rate</t>
  </si>
  <si>
    <t>EVN capacity (demand) escalation</t>
  </si>
  <si>
    <t>case.json tariff.evn_capacity_escalation_rate</t>
  </si>
  <si>
    <t>PV degradation</t>
  </si>
  <si>
    <t>case.json tariff.currency</t>
  </si>
  <si>
    <t>Two-component tariff pilot</t>
  </si>
  <si>
    <t>yes/no</t>
  </si>
  <si>
    <t>case.json tariff.two_component_pilot_enabled</t>
  </si>
  <si>
    <t>ESCO energy price (fraction of EVN tariff)</t>
  </si>
  <si>
    <t>fraction</t>
  </si>
  <si>
    <t>case.json esco_contract.esco_energy_discount_fraction</t>
  </si>
  <si>
    <t>Demand savings share to ESCO</t>
  </si>
  <si>
    <t>case.json esco_contract.demand_savings_esco_share</t>
  </si>
  <si>
    <t>Grid charging enabled</t>
  </si>
  <si>
    <t>case.json esco_contract.grid_charging_enabled</t>
  </si>
  <si>
    <t>Financing</t>
  </si>
  <si>
    <t>Debt fraction</t>
  </si>
  <si>
    <t>of total capex</t>
  </si>
  <si>
    <t>vietnam_defaults.json / case.json financial.debt_fraction</t>
  </si>
  <si>
    <t>Debt interest rate</t>
  </si>
  <si>
    <t>vietnam_defaults.json / case.json financial.debt_interest_rate_fraction</t>
  </si>
  <si>
    <t>Debt term</t>
  </si>
  <si>
    <t>vietnam_defaults.json / case.json financial.debt_term_years</t>
  </si>
  <si>
    <t>Debt principal</t>
  </si>
  <si>
    <t>Formula: total investment × debt fraction</t>
  </si>
  <si>
    <t>Equity investment</t>
  </si>
  <si>
    <t>Formula: total investment − debt</t>
  </si>
  <si>
    <t>Annual debt payment (level)</t>
  </si>
  <si>
    <t>Standard annuity over the debt term</t>
  </si>
  <si>
    <t>Owner discount rate</t>
  </si>
  <si>
    <t>case.json financial.owner_discount_rate_fraction</t>
  </si>
  <si>
    <t>Tax &amp; Depreciation (Vietnam)</t>
  </si>
  <si>
    <t>CIT regime</t>
  </si>
  <si>
    <t>Standard + holiday (conservative ESCO default)</t>
  </si>
  <si>
    <t>proforma_vietnam.cash_flow (structure-dependent; explicit override wins)</t>
  </si>
  <si>
    <t>CIT standard rate</t>
  </si>
  <si>
    <t>of taxable income</t>
  </si>
  <si>
    <t>Law 67/2025/QH15; vietnam_defaults.json</t>
  </si>
  <si>
    <t>CIT holiday</t>
  </si>
  <si>
    <t>Law 67/2025 (from first profitable year); Circular 78/2014 Art. 18 shape</t>
  </si>
  <si>
    <t>CIT reduced-rate period</t>
  </si>
  <si>
    <t>Law 67/2025; Circular 78/2014 Art. 18 shape</t>
  </si>
  <si>
    <t>CIT reduction during period</t>
  </si>
  <si>
    <t>of applicable base rate</t>
  </si>
  <si>
    <t>Law 67/2025 (50% of base rate)</t>
  </si>
  <si>
    <t>Tax-loss carryforward limit</t>
  </si>
  <si>
    <t>Law 67/2025; Circular 78/2014 Art. 9 shape</t>
  </si>
  <si>
    <t>Incentive clock cap</t>
  </si>
  <si>
    <t>year (latest start)</t>
  </si>
  <si>
    <t>PV depreciation (straight-line)</t>
  </si>
  <si>
    <t>Circular 45/2013/TT-BTC (7–20 yr band)</t>
  </si>
  <si>
    <t>BESS depreciation (straight-line)</t>
  </si>
  <si>
    <t>Circular 45/2013/TT-BTC</t>
  </si>
  <si>
    <t>Year-1 Engine Outputs (hardcoded - dispatch × tariff, not derivable in-sheet)</t>
  </si>
  <si>
    <t>Year-1 BAU EVN bill</t>
  </si>
  <si>
    <t>Year-1 optimized EVN bill</t>
  </si>
  <si>
    <t>Year-1 BAU demand charge</t>
  </si>
  <si>
    <t>Year-1 optimized demand charge</t>
  </si>
  <si>
    <t>Year-1 demand savings base</t>
  </si>
  <si>
    <t>max(BAU − optimized demand charge, 0)</t>
  </si>
  <si>
    <t>Year-1 served-energy retail value</t>
  </si>
  <si>
    <t>Σ project-served kWh × EVN TOU rate (8760 h)</t>
  </si>
  <si>
    <t>Year-1 ESCO energy revenue base</t>
  </si>
  <si>
    <t>Σ served kWh × EVN TOU rate × ESCO discount</t>
  </si>
  <si>
    <t>Year-1 grid arbitrage base</t>
  </si>
  <si>
    <t>Other Assumptions (assumptions.json echo)</t>
  </si>
  <si>
    <t>rate_vintage_source</t>
  </si>
  <si>
    <t>EVN retail electricity tariff, Decision 1279/QD-BCT dated 2025-05-09</t>
  </si>
  <si>
    <t>assumptions.json</t>
  </si>
  <si>
    <t>rate_vintage_year</t>
  </si>
  <si>
    <t>Model Basis, Conventions &amp; Simplifications</t>
  </si>
  <si>
    <t>1. Model architecture</t>
  </si>
  <si>
    <t>•  This workbook is generated from that engine. The Pro Forma (Audit) sheet re-derives the full cash flow with live Excel formulas from the named inputs on the Assumptions sheet; the Checks block ties every metric back to the engine (PASS/REVIEW).</t>
  </si>
  <si>
    <t>2. Currency &amp; FX</t>
  </si>
  <si>
    <t>•  All money flows are computed in USD at the fixed contract rate (26,300 VND/USD).</t>
  </si>
  <si>
    <t>•  Underlying revenue is VND-denominated (EVN tariff, FMP market, DPPA fees). Holding FX flat for the analysis period is a simplification: the FX Sensitivity sheet quantifies USD-reported returns under 0-3%/yr VND depreciation.</t>
  </si>
  <si>
    <t>•  Sheets that show VND amounts (Hourly/Monthly Settlement, DPPA fee inputs) are VND-native regulatory quantities, not conversions.</t>
  </si>
  <si>
    <t>•  Debt is assumed VND-denominated (local bank), so DSCR is FX-neutral.</t>
  </si>
  <si>
    <t>3. Settlement math - ESCO discount-to-EVN</t>
  </si>
  <si>
    <t>•  The ESCO is paid a contracted fraction of the time-specific EVN tariff for project-served energy (PV→load, plus battery→load when the battery cannot grid-charge).</t>
  </si>
  <si>
    <t>•  Demand-charge savings vs BAU are split between ESCO and offtaker at the contracted share.</t>
  </si>
  <si>
    <t>4. Multi-year mechanics</t>
  </si>
  <si>
    <t>•  PV degradation compounds on generation-linked terms; energy lost to degradation is repurchased from EVN at retail (added to the buyer's residual bill / C_BL).</t>
  </si>
  <si>
    <t>•  Debt: level-payment annuity over the debt term (interest + principal split per the Debt Schedule block).</t>
  </si>
  <si>
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</si>
  <si>
    <t>•  Straight-line depreciation: PV over the configured life within the 7-20y band of Circular 45/2013/TT-BTC; BESS over its own life.</t>
  </si>
  <si>
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</si>
  <si>
    <t>5. Simplifications register (disclosed for audit)</t>
  </si>
  <si>
    <t>•  Fixed FX over the analysis period - quantified on the FX Sensitivity sheet.</t>
  </si>
  <si>
    <t>•  Battery replacement depreciation is truncated at the analysis horizon: charges beyond the final year are simply not taken and the undepreciated remainder is not written off (no terminal disposal/salvage of the replaced or residual battery is modelled).</t>
  </si>
  <si>
    <t>•  VAT is out of scope (pass-through assumed for both parties).</t>
  </si>
  <si>
    <t>•  No working-capital, DSRA, or terminal/residual value is modelled.</t>
  </si>
  <si>
    <t>•  A single dispatch year (8760 h) is escalated; no re-dispatch in later years.</t>
  </si>
  <si>
    <t>6. How to validate this workbook</t>
  </si>
  <si>
    <t>•  1) Assumptions sheet: confirm every shaded input against the case file / contract term sheet.</t>
  </si>
  <si>
    <t>•  2) Pro Forma (Audit): trace any line - formulas reference named cells (e.g. ESC_ENERGY, DEBT_RATE) and prior rows only.</t>
  </si>
  <si>
    <t>•  3) Checks block: every metric shows Excel vs engine with PASS/REVIEW at stated tolerances (amounts $1, rates 5 bp, DSCR 0.005, payback 0.05 yr).</t>
  </si>
  <si>
    <t>•  4) FX Sensitivity: rate cells are editable; Excel recomputes IRR/NPV live.</t>
  </si>
  <si>
    <t>7. Key references</t>
  </si>
  <si>
    <t>•  ND57/2025 (DPPA decree) Art. 14-18 - settlement chain and eligibility.</t>
  </si>
  <si>
    <t>•  NSMO/CD7 simulation examples - k price-only conversion (Ví dụ 1), CfD cap on matched volume (Ví dụ 4).</t>
  </si>
  <si>
    <t>•  Law 67/2025/QH15 + Decree 320/2025/NĐ-CP - CIT rates, RE-producer preferential incentive, holiday &amp; loss carryforward (legacy Circular 78/2014 Art. 9, 18 shape kept for the standard regime).</t>
  </si>
  <si>
    <t>•  Circular 45/2013/TT-BTC - fixed-asset depreciation bands.</t>
  </si>
  <si>
    <t>•  EVN retail tariff (current &amp; QĐ963 TOU structures) as configured in the case file.</t>
  </si>
  <si>
    <t>Pro Forma (Audit) - every white cell is a live Excel formula</t>
  </si>
  <si>
    <t>TIMELINE &amp; INDEXATION</t>
  </si>
  <si>
    <t>Year</t>
  </si>
  <si>
    <t>index</t>
  </si>
  <si>
    <t>EVN energy escalation factor</t>
  </si>
  <si>
    <t>EVN capacity escalation factor</t>
  </si>
  <si>
    <t>O&amp;M escalation factor</t>
  </si>
  <si>
    <t>PV degradation factor</t>
  </si>
  <si>
    <t>REVENUE (USD)</t>
  </si>
  <si>
    <t>ESCO energy revenue (discount-to-EVN)</t>
  </si>
  <si>
    <t>Demand charge savings (total)</t>
  </si>
  <si>
    <t>ESCO share of demand savings</t>
  </si>
  <si>
    <t>Grid arbitrage revenue</t>
  </si>
  <si>
    <t>Total developer revenue</t>
  </si>
  <si>
    <t>OPERATING COSTS (USD)</t>
  </si>
  <si>
    <t>O&amp;M</t>
  </si>
  <si>
    <t>Battery replacement (engine schedule)</t>
  </si>
  <si>
    <t>EBITDA</t>
  </si>
  <si>
    <t>DEBT SCHEDULE (USD)</t>
  </si>
  <si>
    <t>Opening debt balance</t>
  </si>
  <si>
    <t>Interest</t>
  </si>
  <si>
    <t>Principal repayment</t>
  </si>
  <si>
    <t>Debt service</t>
  </si>
  <si>
    <t>Closing debt balance</t>
  </si>
  <si>
    <t>DEPRECIATION &amp; VIETNAM CIT (USD)</t>
  </si>
  <si>
    <t>Replacement depreciation (in-service yr 11)</t>
  </si>
  <si>
    <t>Total depreciation</t>
  </si>
  <si>
    <t>Taxable income before loss relief (EBT)</t>
  </si>
  <si>
    <t>New tax loss arising</t>
  </si>
  <si>
    <t>Assessable income (pre-relief)</t>
  </si>
  <si>
    <t>Loss vintage aged 1y - available</t>
  </si>
  <si>
    <t>Loss vintage aged 2y - available</t>
  </si>
  <si>
    <t>Loss vintage aged 3y - available</t>
  </si>
  <si>
    <t>Loss vintage aged 4y - available</t>
  </si>
  <si>
    <t>Loss vintage aged 5y - available</t>
  </si>
  <si>
    <t>Loss vintage aged 5y - utilised</t>
  </si>
  <si>
    <t>Loss vintage aged 4y - utilised</t>
  </si>
  <si>
    <t>Loss vintage aged 3y - utilised</t>
  </si>
  <si>
    <t>Loss vintage aged 2y - utilised</t>
  </si>
  <si>
    <t>Loss vintage aged 1y - utilised</t>
  </si>
  <si>
    <t>Loss relief utilised (FIFO, ≤5y old)</t>
  </si>
  <si>
    <t>Taxable income after loss relief</t>
  </si>
  <si>
    <t>Profitable-to-date flag (starts CIT clock)</t>
  </si>
  <si>
    <t>0/1</t>
  </si>
  <si>
    <t>CIT clock start year (first profit, capped)</t>
  </si>
  <si>
    <t>Circular 78/2014 Art. 18</t>
  </si>
  <si>
    <t>Applicable CIT rate</t>
  </si>
  <si>
    <t>%</t>
  </si>
  <si>
    <t>CIT payable</t>
  </si>
  <si>
    <t>CASH FLOW &amp; COVERAGE (USD)</t>
  </si>
  <si>
    <t>Cash available for debt service (CFADS)</t>
  </si>
  <si>
    <t>Project cash flow (unlevered, post-tax)</t>
  </si>
  <si>
    <t>Equity cash flow</t>
  </si>
  <si>
    <t>Cumulative equity cash flow</t>
  </si>
  <si>
    <t>DSCR (debt years)</t>
  </si>
  <si>
    <t>x</t>
  </si>
  <si>
    <t>OFFTAKER (BUYER) POSITION (USD)</t>
  </si>
  <si>
    <t>BAU EVN bill (energy + demand)</t>
  </si>
  <si>
    <t>Buyer cost with project</t>
  </si>
  <si>
    <t>Buyer savings vs BAU</t>
  </si>
  <si>
    <t>Buyer savings (% of BAU)</t>
  </si>
  <si>
    <t>RETURN METRICS (Excel formulas)</t>
  </si>
  <si>
    <t>Project IRR (unlevered)</t>
  </si>
  <si>
    <t>Equity NPV @ owner discount rate</t>
  </si>
  <si>
    <t>MIN ignores the blank non-debt years</t>
  </si>
  <si>
    <t>Average DSCR (debt years)</t>
  </si>
  <si>
    <t>First year cumulative equity CF ≥ 0</t>
  </si>
  <si>
    <t>Simple equity payback</t>
  </si>
  <si>
    <t>ROI (cumulative equity CF / equity)</t>
  </si>
  <si>
    <t>Buyer savings, years 1-10 (% of BAU)</t>
  </si>
  <si>
    <t>CHECKS - EXCEL vs ENGINE (per-year tie-out)</t>
  </si>
  <si>
    <t>Equity cash flow (engine)</t>
  </si>
  <si>
    <t>CFADS (engine)</t>
  </si>
  <si>
    <t>CIT (engine)</t>
  </si>
  <si>
    <t>Max |Excel − engine| this year</t>
  </si>
  <si>
    <t>Check</t>
  </si>
  <si>
    <t>Excel</t>
  </si>
  <si>
    <t>Engine</t>
  </si>
  <si>
    <t>Delta</t>
  </si>
  <si>
    <t>Status</t>
  </si>
  <si>
    <t>Per-year cash flow tie-out (max delta, all years)</t>
  </si>
  <si>
    <t>Equity NPV</t>
  </si>
  <si>
    <t>Minimum DSCR</t>
  </si>
  <si>
    <t>ROI</t>
  </si>
  <si>
    <t>FX Sensitivity - VND depreciation vs USD returns</t>
  </si>
  <si>
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</si>
  <si>
    <t>VND depreciation (per year)</t>
  </si>
  <si>
    <t>Equity IRR (USD)</t>
  </si>
  <si>
    <t>Equity NPV (USD)</t>
  </si>
  <si>
    <t>Equity IRR (engine)</t>
  </si>
  <si>
    <t>Equity NPV (engine)</t>
  </si>
  <si>
    <t>Helper - FX-adjusted equity cash flow per scenario (USD): CF_t / (1 + d)^t</t>
  </si>
  <si>
    <t>Buyer Analysis - Cost vs Business-As-Usual</t>
  </si>
  <si>
    <t>Annual electricity cost with the project compared against the EVN-only baseline (USD)</t>
  </si>
  <si>
    <t>Year 1 Snapshot</t>
  </si>
  <si>
    <t>Year 1 Savings (USD)</t>
  </si>
  <si>
    <t>First 10 Years Savings (USD)</t>
  </si>
  <si>
    <t>Lifetime Savings (USD)</t>
  </si>
  <si>
    <t>Cumulative over analysis period</t>
  </si>
  <si>
    <t>BAU Cost (USD)</t>
  </si>
  <si>
    <t>Cost With Project (USD)</t>
  </si>
  <si>
    <t>Savings (USD)</t>
  </si>
  <si>
    <t>Savings (% of BAU)</t>
  </si>
  <si>
    <t>Cumulative Savings (USD)</t>
  </si>
  <si>
    <t>Developer Returns - Financing &amp; Cash Flow</t>
  </si>
  <si>
    <t>Seller/ESCO investment case: sources &amp; uses, return metrics and annual equity cash flow (USD)</t>
  </si>
  <si>
    <t>Sources &amp; Uses</t>
  </si>
  <si>
    <t>Return Metrics</t>
  </si>
  <si>
    <t>Revenue (USD)</t>
  </si>
  <si>
    <t>O&amp;M + Replacement (USD)</t>
  </si>
  <si>
    <t>CIT (USD)</t>
  </si>
  <si>
    <t>CFADS (USD)</t>
  </si>
  <si>
    <t>Debt Service (USD)</t>
  </si>
  <si>
    <t>DSCR</t>
  </si>
  <si>
    <t>Equity Cash Flow (USD)</t>
  </si>
  <si>
    <t>Cumulative Equity CF (USD)</t>
  </si>
  <si>
    <t>Metric</t>
  </si>
  <si>
    <t>Value</t>
  </si>
  <si>
    <t>System Sizing</t>
  </si>
  <si>
    <t>Annual Energy Balance (Year 1)</t>
  </si>
  <si>
    <t>PV to Load (kWh)</t>
  </si>
  <si>
    <t>PV to Storage (kWh)</t>
  </si>
  <si>
    <t>PV to Grid (kWh)</t>
  </si>
  <si>
    <t>Storage to Load (kWh)</t>
  </si>
  <si>
    <t>Grid to Load (kWh)</t>
  </si>
  <si>
    <t>PV Curtailed (kWh)</t>
  </si>
  <si>
    <t>Grid to Storage (kWh)</t>
  </si>
  <si>
    <t>Year-1 Utility Bill Comparison</t>
  </si>
  <si>
    <t>BAU Utility Bill (USD)</t>
  </si>
  <si>
    <t>Optimized Utility Bill (USD)</t>
  </si>
  <si>
    <t>Utility Bill Savings (USD)</t>
  </si>
  <si>
    <t>BAU Demand Charge (USD)</t>
  </si>
  <si>
    <t>Optimized Demand Charge (USD)</t>
  </si>
  <si>
    <t>Demand Charge Savings (USD)</t>
  </si>
  <si>
    <t>Solar Resource (Year 1)</t>
  </si>
  <si>
    <t>Annual POA Irradiation (kWh/m²)</t>
  </si>
  <si>
    <t>Performance Ratio (Year 1)</t>
  </si>
  <si>
    <t>Hour</t>
  </si>
  <si>
    <t>Load (kW)</t>
  </si>
  <si>
    <t>PV Irradiation (W/m²)</t>
  </si>
  <si>
    <t>PV Generation Total (kW)</t>
  </si>
  <si>
    <t>PV to Load (kW)</t>
  </si>
  <si>
    <t>PV to Storage (kW)</t>
  </si>
  <si>
    <t>PV to Grid (kW)</t>
  </si>
  <si>
    <t>PV Curtailed (kW)</t>
  </si>
  <si>
    <t>Grid to Load (kW)</t>
  </si>
  <si>
    <t>Grid to Storage (kW)</t>
  </si>
  <si>
    <t>Storage to Load (kW)</t>
  </si>
  <si>
    <t>Rank</t>
  </si>
  <si>
    <t>Net Load (kW)</t>
  </si>
  <si>
    <t>ESCO discount-to-EVN tariff (behind-the-meter)  ·  prepared 2026-07-09  ·  OPTMIZWE dispatch + proforma_vietnam financial engine</t>
  </si>
  <si>
    <t>OPTMIZWE run UUID: 3dd5bf1f-fa51-4f1e-aa64-d24ae11a1820</t>
  </si>
  <si>
    <t>Case file terms, OPTMIZWE dispatch results, 8760-h settlement totals, tie-out references</t>
  </si>
  <si>
    <t>Prepared for investment and lending review. Figures are model outputs, not offers; OPTMIZWE sizing is optimizer output and may shift with solver versions.</t>
  </si>
  <si>
    <t>ESCO discount-to-EVN tariff (behind-the-meter)  ·  prepared 2026-07-09  ·  OPTMIZWE dispatch + proforma_vietnam financial model</t>
  </si>
  <si>
    <t>•  PV degradation, O&amp;M escalation and battery replacement (OPTMIZWE schedule) are applied across the analysis period.</t>
  </si>
  <si>
    <t>OPTMIZWE run UUID</t>
  </si>
  <si>
    <t>OPTMIZWE API</t>
  </si>
  <si>
    <t>EVN tariff converted VND→USD before OPTMIZWE; see Model Basis</t>
  </si>
  <si>
    <t>OPTMIZWE PV size_kw × installed_cost_per_kw</t>
  </si>
  <si>
    <t>OPTMIZWE ElectricStorage initial_capital_cost</t>
  </si>
  <si>
    <t>OPTMIZWE Financial.year_one_om_costs_before_tax</t>
  </si>
  <si>
    <t>OPTMIZWE PV.degradation_fraction</t>
  </si>
  <si>
    <t>Tariff currency fed to OPTMIZWE</t>
  </si>
  <si>
    <t>OPTMIZWE ElectricTariff.year_one_bill_before_tax_bau</t>
  </si>
  <si>
    <t>OPTMIZWE ElectricTariff.year_one_bill_before_tax</t>
  </si>
  <si>
    <t>OPTMIZWE year_one_demand_cost_before_tax_bau</t>
  </si>
  <si>
    <t>OPTMIZWE year_one_demand_cost_before_tax</t>
  </si>
  <si>
    <t>OPTMIZWE net grid arbitrage × ESCO share</t>
  </si>
  <si>
    <t>•  OPTMIZWE (NLR optimization engine) selects PV/BESS sizing and hourly dispatch against the EVN time-of-use tariff over an 8760-hour year.</t>
  </si>
  <si>
    <t>•  proforma_vietnam post-processes the OPTMIZWE run: an hourly ND57/2025 DPPA settlement layer (when applicable) and a 25-year developer cash flow with Vietnam tax and debt.</t>
  </si>
  <si>
    <t>•  Year-1 revenue is computed from the 8760-hour OPTMIZWE dispatch × TOU rates; later years scale by EVN escalation and PV degradation factors shown on the Pro Forma (Audit) sheet.</t>
  </si>
  <si>
    <t>•  O&amp;M escalates at its own rate; battery replacement is booked in the configured year at OPTMIZWE replacement unit costs.</t>
  </si>
  <si>
    <t>•  OPTMIZWE sizing is optimizer output and can vary slightly between solver versions; the financial post-processing is deterministic given results.json.</t>
  </si>
  <si>
    <t>•  5) Technical sheets (Technical Results, Dispatch Profile, Load Duration, Settlement) are engine output for record. The Dispatch sheet's PV production factor (kWh/kW, PVWatts-derived) is the hourly solar-resource signal - OPTMIZWE does not persist raw irradiance.</t>
  </si>
  <si>
    <t>Shaded cells are hardcoded engine outputs (OPTMIZWE dispatch / 8760-h settlement / tie-out reference). All other cells derive from the named cells on the Assumptions sheet. Currency: USD at the fixed contract FX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</si>
</sst>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0.000000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color rgb="FF1F3864"/>
      <name val="Calibri"/>
      <family val="2"/>
    </font>
    <font>
      <b/>
      <sz val="13"/>
      <color rgb="FF1F386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2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EDF2F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7" fillId="0" borderId="0" xfId="0" applyFont="1"/>
    <xf numFmtId="0" fontId="10" fillId="0" borderId="0" xfId="0" applyFont="1"/>
    <xf numFmtId="0" fontId="0" fillId="5" borderId="0" xfId="0" applyFill="1"/>
    <xf numFmtId="0" fontId="0" fillId="6" borderId="0" xfId="0" applyFill="1"/>
    <xf numFmtId="0" fontId="3" fillId="3" borderId="0" xfId="0" applyFont="1" applyFill="1"/>
    <xf numFmtId="0" fontId="0" fillId="3" borderId="0" xfId="0" applyFill="1"/>
    <xf numFmtId="3" fontId="4" fillId="0" borderId="0" xfId="0" applyNumberFormat="1" applyFont="1"/>
    <xf numFmtId="0" fontId="0" fillId="4" borderId="0" xfId="0" applyFill="1"/>
    <xf numFmtId="3" fontId="4" fillId="4" borderId="0" xfId="0" applyNumberFormat="1" applyFont="1" applyFill="1"/>
    <xf numFmtId="164" fontId="4" fillId="0" borderId="0" xfId="0" applyNumberFormat="1" applyFont="1"/>
    <xf numFmtId="164" fontId="4" fillId="4" borderId="0" xfId="0" applyNumberFormat="1" applyFont="1" applyFill="1"/>
    <xf numFmtId="0" fontId="4" fillId="0" borderId="0" xfId="0" applyFont="1"/>
    <xf numFmtId="0" fontId="2" fillId="4" borderId="0" xfId="0" applyFont="1" applyFill="1"/>
    <xf numFmtId="2" fontId="4" fillId="0" borderId="0" xfId="0" applyNumberFormat="1" applyFont="1"/>
    <xf numFmtId="2" fontId="4" fillId="4" borderId="0" xfId="0" applyNumberFormat="1" applyFont="1" applyFill="1"/>
    <xf numFmtId="165" fontId="4" fillId="0" borderId="0" xfId="0" applyNumberFormat="1" applyFont="1"/>
    <xf numFmtId="1" fontId="0" fillId="5" borderId="0" xfId="0" applyNumberFormat="1" applyFill="1"/>
    <xf numFmtId="166" fontId="0" fillId="5" borderId="0" xfId="0" applyNumberFormat="1" applyFill="1"/>
    <xf numFmtId="3" fontId="0" fillId="5" borderId="0" xfId="0" applyNumberFormat="1" applyFill="1"/>
    <xf numFmtId="4" fontId="0" fillId="5" borderId="0" xfId="0" applyNumberFormat="1" applyFill="1"/>
    <xf numFmtId="10" fontId="0" fillId="5" borderId="0" xfId="0" applyNumberFormat="1" applyFill="1"/>
    <xf numFmtId="3" fontId="0" fillId="0" borderId="0" xfId="0" applyNumberFormat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1" fontId="7" fillId="0" borderId="0" xfId="0" applyNumberFormat="1" applyFont="1"/>
    <xf numFmtId="166" fontId="0" fillId="0" borderId="0" xfId="0" applyNumberFormat="1"/>
    <xf numFmtId="3" fontId="7" fillId="0" borderId="0" xfId="0" applyNumberFormat="1" applyFont="1"/>
    <xf numFmtId="1" fontId="0" fillId="0" borderId="0" xfId="0" applyNumberFormat="1"/>
    <xf numFmtId="10" fontId="0" fillId="0" borderId="0" xfId="0" applyNumberFormat="1"/>
    <xf numFmtId="2" fontId="0" fillId="0" borderId="0" xfId="0" applyNumberFormat="1"/>
    <xf numFmtId="10" fontId="7" fillId="0" borderId="0" xfId="0" applyNumberFormat="1" applyFont="1"/>
    <xf numFmtId="2" fontId="7" fillId="0" borderId="0" xfId="0" applyNumberFormat="1" applyFont="1"/>
    <xf numFmtId="165" fontId="7" fillId="0" borderId="0" xfId="0" applyNumberFormat="1" applyFont="1"/>
    <xf numFmtId="0" fontId="8" fillId="2" borderId="0" xfId="0" applyFont="1" applyFill="1"/>
    <xf numFmtId="167" fontId="0" fillId="0" borderId="0" xfId="0" applyNumberFormat="1"/>
    <xf numFmtId="0" fontId="7" fillId="6" borderId="0" xfId="0" applyFont="1" applyFill="1"/>
    <xf numFmtId="2" fontId="0" fillId="5" borderId="0" xfId="0" applyNumberFormat="1" applyFill="1"/>
    <xf numFmtId="165" fontId="0" fillId="0" borderId="0" xfId="0" applyNumberFormat="1"/>
    <xf numFmtId="165" fontId="0" fillId="5" borderId="0" xfId="0" applyNumberFormat="1" applyFill="1"/>
    <xf numFmtId="164" fontId="0" fillId="0" borderId="0" xfId="0" applyNumberFormat="1"/>
    <xf numFmtId="0" fontId="9" fillId="2" borderId="0" xfId="0" applyFont="1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2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Cumulative Buyer Savings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'Buyer Analysis'!$F$14</c:f>
              <c:strCache>
                <c:ptCount val="1"/>
                <c:pt idx="0">
                  <c:v>Cumulative Savings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'Buyer Analysis'!$A$15:$A$39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'Buyer Analysis'!$F$15:$F$39</c:f>
              <c:numCache>
                <c:formatCode>#,##0</c:formatCode>
                <c:ptCount val="25"/>
                <c:pt idx="0">
                  <c:v>53825.462926535984</c:v>
                </c:pt>
                <c:pt idx="1">
                  <c:v>109524.0518931578</c:v>
                </c:pt>
                <c:pt idx="2">
                  <c:v>167160.95168326981</c:v>
                </c:pt>
                <c:pt idx="3">
                  <c:v>226803.61551062769</c:v>
                </c:pt>
                <c:pt idx="4">
                  <c:v>288521.84396070981</c:v>
                </c:pt>
                <c:pt idx="5">
                  <c:v>352387.86667924759</c:v>
                </c:pt>
                <c:pt idx="6">
                  <c:v>418476.42690351972</c:v>
                </c:pt>
                <c:pt idx="7">
                  <c:v>486864.86893533048</c:v>
                </c:pt>
                <c:pt idx="8">
                  <c:v>557633.22865805193</c:v>
                </c:pt>
                <c:pt idx="9">
                  <c:v>630864.32720365562</c:v>
                </c:pt>
                <c:pt idx="10">
                  <c:v>706643.86787935905</c:v>
                </c:pt>
                <c:pt idx="11">
                  <c:v>785060.53646731866</c:v>
                </c:pt>
                <c:pt idx="12">
                  <c:v>866206.1050147505</c:v>
                </c:pt>
                <c:pt idx="13">
                  <c:v>950175.53923594835</c:v>
                </c:pt>
                <c:pt idx="14">
                  <c:v>1037067.109651892</c:v>
                </c:pt>
                <c:pt idx="15">
                  <c:v>1126982.5065975131</c:v>
                </c:pt>
                <c:pt idx="16">
                  <c:v>1220026.9592312111</c:v>
                </c:pt>
                <c:pt idx="17">
                  <c:v>1316309.358685907</c:v>
                </c:pt>
                <c:pt idx="18">
                  <c:v>1415942.385505745</c:v>
                </c:pt>
                <c:pt idx="19">
                  <c:v>1519042.641517597</c:v>
                </c:pt>
                <c:pt idx="20">
                  <c:v>1625730.7862916931</c:v>
                </c:pt>
                <c:pt idx="21">
                  <c:v>1736131.6783510791</c:v>
                </c:pt>
                <c:pt idx="22">
                  <c:v>1850374.5212951701</c:v>
                </c:pt>
                <c:pt idx="23">
                  <c:v>1968593.0150083951</c:v>
                </c:pt>
                <c:pt idx="24">
                  <c:v>2090925.512130907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1A-4846-98AB-6598F9CA1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Cumulative Equity Cash Flow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'Developer Returns'!$I$18</c:f>
              <c:strCache>
                <c:ptCount val="1"/>
                <c:pt idx="0">
                  <c:v>Cumulative Equity CF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'Developer Returns'!$A$19:$A$43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'Developer Returns'!$I$19:$I$43</c:f>
              <c:numCache>
                <c:formatCode>#,##0</c:formatCode>
                <c:ptCount val="25"/>
                <c:pt idx="0">
                  <c:v>-1094539.9345951071</c:v>
                </c:pt>
                <c:pt idx="1">
                  <c:v>-1041426.0445080569</c:v>
                </c:pt>
                <c:pt idx="2">
                  <c:v>-972234.45956227323</c:v>
                </c:pt>
                <c:pt idx="3">
                  <c:v>-886399.11386031029</c:v>
                </c:pt>
                <c:pt idx="4">
                  <c:v>-783334.0455480013</c:v>
                </c:pt>
                <c:pt idx="5">
                  <c:v>-662432.69852925849</c:v>
                </c:pt>
                <c:pt idx="6">
                  <c:v>-538399.35797166929</c:v>
                </c:pt>
                <c:pt idx="7">
                  <c:v>-399632.65590343822</c:v>
                </c:pt>
                <c:pt idx="8">
                  <c:v>-260381.1396205707</c:v>
                </c:pt>
                <c:pt idx="9">
                  <c:v>-105601.6104604025</c:v>
                </c:pt>
                <c:pt idx="10">
                  <c:v>-518542.65250960691</c:v>
                </c:pt>
                <c:pt idx="11">
                  <c:v>87009.459191040485</c:v>
                </c:pt>
                <c:pt idx="12">
                  <c:v>713012.11681814573</c:v>
                </c:pt>
                <c:pt idx="13">
                  <c:v>1360184.936412045</c:v>
                </c:pt>
                <c:pt idx="14">
                  <c:v>2029272.814762539</c:v>
                </c:pt>
                <c:pt idx="15">
                  <c:v>2672511.123637897</c:v>
                </c:pt>
                <c:pt idx="16">
                  <c:v>3336624.342128512</c:v>
                </c:pt>
                <c:pt idx="17">
                  <c:v>4022346.8577208198</c:v>
                </c:pt>
                <c:pt idx="18">
                  <c:v>4705470.4078047387</c:v>
                </c:pt>
                <c:pt idx="19">
                  <c:v>5411750.3194828797</c:v>
                </c:pt>
                <c:pt idx="20">
                  <c:v>6115979.0026015136</c:v>
                </c:pt>
                <c:pt idx="21">
                  <c:v>6845021.6895129504</c:v>
                </c:pt>
                <c:pt idx="22">
                  <c:v>7599751.1129177874</c:v>
                </c:pt>
                <c:pt idx="23">
                  <c:v>8381070.652775662</c:v>
                </c:pt>
                <c:pt idx="24">
                  <c:v>9189915.4111146964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F-46FF-983F-FC950E9F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Annual Electricity Production Breakdown (kWh)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'Technical Results'!$A$8:$A$14</c:f>
              <c:strCache>
                <c:ptCount val="7"/>
                <c:pt idx="0">
                  <c:v>PV to Load (kWh)</c:v>
                </c:pt>
                <c:pt idx="1">
                  <c:v>PV to Storage (kWh)</c:v>
                </c:pt>
                <c:pt idx="2">
                  <c:v>PV to Grid (kWh)</c:v>
                </c:pt>
                <c:pt idx="3">
                  <c:v>Storage to Load (kWh)</c:v>
                </c:pt>
                <c:pt idx="4">
                  <c:v>Grid to Load (kWh)</c:v>
                </c:pt>
                <c:pt idx="5">
                  <c:v>PV Curtailed (kWh)</c:v>
                </c:pt>
                <c:pt idx="6">
                  <c:v>Grid to Storage (kWh)</c:v>
                </c:pt>
              </c:strCache>
            </c:strRef>
          </c:cat>
          <c:val>
            <c:numRef>
              <c:f>'Technical Results'!$B$8:$B$14</c:f>
              <c:numCache>
                <c:formatCode>#,##0</c:formatCode>
                <c:ptCount val="7"/>
                <c:pt idx="0">
                  <c:v>3764122.7919999999</c:v>
                </c:pt>
                <c:pt idx="1">
                  <c:v>2100131.2769999998</c:v>
                </c:pt>
                <c:pt idx="2">
                  <c:v>0</c:v>
                </c:pt>
                <c:pt idx="3">
                  <c:v>1889551.0419999999</c:v>
                </c:pt>
                <c:pt idx="4">
                  <c:v>3686417.98</c:v>
                </c:pt>
                <c:pt idx="5">
                  <c:v>1409356.1240000001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6-4250-858A-3EAE7650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Dispatch - Peak-Load Week (hours 505-672)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Load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Profile'!$B$506:$B$673</c:f>
              <c:numCache>
                <c:formatCode>#,##0</c:formatCode>
                <c:ptCount val="168"/>
                <c:pt idx="0">
                  <c:v>2330.4</c:v>
                </c:pt>
                <c:pt idx="1">
                  <c:v>2057.6</c:v>
                </c:pt>
                <c:pt idx="2">
                  <c:v>2428</c:v>
                </c:pt>
                <c:pt idx="3">
                  <c:v>2208.8000000000002</c:v>
                </c:pt>
                <c:pt idx="4">
                  <c:v>2004</c:v>
                </c:pt>
                <c:pt idx="5">
                  <c:v>2379.1999999999998</c:v>
                </c:pt>
                <c:pt idx="6">
                  <c:v>2040.8</c:v>
                </c:pt>
                <c:pt idx="7">
                  <c:v>1723.7860000000001</c:v>
                </c:pt>
                <c:pt idx="8">
                  <c:v>1825.298</c:v>
                </c:pt>
                <c:pt idx="9">
                  <c:v>2095.8049999999998</c:v>
                </c:pt>
                <c:pt idx="10">
                  <c:v>2297.3040000000001</c:v>
                </c:pt>
                <c:pt idx="11">
                  <c:v>2286.4520000000002</c:v>
                </c:pt>
                <c:pt idx="12">
                  <c:v>2261.2979999999998</c:v>
                </c:pt>
                <c:pt idx="13">
                  <c:v>2390.3809999999999</c:v>
                </c:pt>
                <c:pt idx="14">
                  <c:v>2181.431</c:v>
                </c:pt>
                <c:pt idx="15">
                  <c:v>1853.049</c:v>
                </c:pt>
                <c:pt idx="16">
                  <c:v>2387.8440000000001</c:v>
                </c:pt>
                <c:pt idx="17">
                  <c:v>2256.2550000000001</c:v>
                </c:pt>
                <c:pt idx="18">
                  <c:v>2414.4</c:v>
                </c:pt>
                <c:pt idx="19">
                  <c:v>1896.8</c:v>
                </c:pt>
                <c:pt idx="20">
                  <c:v>2389.6</c:v>
                </c:pt>
                <c:pt idx="21">
                  <c:v>2215.1999999999998</c:v>
                </c:pt>
                <c:pt idx="22">
                  <c:v>2295.1999999999998</c:v>
                </c:pt>
                <c:pt idx="23">
                  <c:v>1956</c:v>
                </c:pt>
                <c:pt idx="24">
                  <c:v>1812</c:v>
                </c:pt>
                <c:pt idx="25">
                  <c:v>1850.4</c:v>
                </c:pt>
                <c:pt idx="26">
                  <c:v>1248.8</c:v>
                </c:pt>
                <c:pt idx="27">
                  <c:v>1303.2</c:v>
                </c:pt>
                <c:pt idx="28">
                  <c:v>1569.6</c:v>
                </c:pt>
                <c:pt idx="29">
                  <c:v>1165.5999999999999</c:v>
                </c:pt>
                <c:pt idx="30">
                  <c:v>1127.2</c:v>
                </c:pt>
                <c:pt idx="31">
                  <c:v>845.36900000000003</c:v>
                </c:pt>
                <c:pt idx="32">
                  <c:v>1178.3599999999999</c:v>
                </c:pt>
                <c:pt idx="33">
                  <c:v>1572.1279999999999</c:v>
                </c:pt>
                <c:pt idx="34">
                  <c:v>1408.4369999999999</c:v>
                </c:pt>
                <c:pt idx="35">
                  <c:v>1438.896</c:v>
                </c:pt>
                <c:pt idx="36">
                  <c:v>1516.32</c:v>
                </c:pt>
                <c:pt idx="37">
                  <c:v>1377.5940000000001</c:v>
                </c:pt>
                <c:pt idx="38">
                  <c:v>1550.943</c:v>
                </c:pt>
                <c:pt idx="39">
                  <c:v>1543.5340000000001</c:v>
                </c:pt>
                <c:pt idx="40">
                  <c:v>1201.1400000000001</c:v>
                </c:pt>
                <c:pt idx="41">
                  <c:v>1293.095</c:v>
                </c:pt>
                <c:pt idx="42">
                  <c:v>1413.61</c:v>
                </c:pt>
                <c:pt idx="43">
                  <c:v>1265.5999999999999</c:v>
                </c:pt>
                <c:pt idx="44">
                  <c:v>1180.8</c:v>
                </c:pt>
                <c:pt idx="45">
                  <c:v>1695.2</c:v>
                </c:pt>
                <c:pt idx="46">
                  <c:v>1346.4</c:v>
                </c:pt>
                <c:pt idx="47">
                  <c:v>1211.2</c:v>
                </c:pt>
                <c:pt idx="48">
                  <c:v>1408</c:v>
                </c:pt>
                <c:pt idx="49">
                  <c:v>1139.2</c:v>
                </c:pt>
                <c:pt idx="50">
                  <c:v>1446.4</c:v>
                </c:pt>
                <c:pt idx="51">
                  <c:v>1142.4000000000001</c:v>
                </c:pt>
                <c:pt idx="52">
                  <c:v>880</c:v>
                </c:pt>
                <c:pt idx="53">
                  <c:v>1145.5999999999999</c:v>
                </c:pt>
                <c:pt idx="54">
                  <c:v>943.2</c:v>
                </c:pt>
                <c:pt idx="55">
                  <c:v>1274.4380000000001</c:v>
                </c:pt>
                <c:pt idx="56">
                  <c:v>1429.443</c:v>
                </c:pt>
                <c:pt idx="57">
                  <c:v>1547.5219999999999</c:v>
                </c:pt>
                <c:pt idx="58">
                  <c:v>1405.7249999999999</c:v>
                </c:pt>
                <c:pt idx="59">
                  <c:v>1431.8520000000001</c:v>
                </c:pt>
                <c:pt idx="60">
                  <c:v>1367.56</c:v>
                </c:pt>
                <c:pt idx="61">
                  <c:v>1673.787</c:v>
                </c:pt>
                <c:pt idx="62">
                  <c:v>1642.84</c:v>
                </c:pt>
                <c:pt idx="63">
                  <c:v>1902.4570000000001</c:v>
                </c:pt>
                <c:pt idx="64">
                  <c:v>1899.2670000000001</c:v>
                </c:pt>
                <c:pt idx="65">
                  <c:v>1621.58</c:v>
                </c:pt>
                <c:pt idx="66">
                  <c:v>1806.403</c:v>
                </c:pt>
                <c:pt idx="67">
                  <c:v>1360.8</c:v>
                </c:pt>
                <c:pt idx="68">
                  <c:v>1477.6</c:v>
                </c:pt>
                <c:pt idx="69">
                  <c:v>1830.4</c:v>
                </c:pt>
                <c:pt idx="70">
                  <c:v>1500.8</c:v>
                </c:pt>
                <c:pt idx="71">
                  <c:v>1522.4</c:v>
                </c:pt>
                <c:pt idx="72">
                  <c:v>1083.2</c:v>
                </c:pt>
                <c:pt idx="73">
                  <c:v>1204</c:v>
                </c:pt>
                <c:pt idx="74">
                  <c:v>1488.8</c:v>
                </c:pt>
                <c:pt idx="75">
                  <c:v>1076</c:v>
                </c:pt>
                <c:pt idx="76">
                  <c:v>1073.5999999999999</c:v>
                </c:pt>
                <c:pt idx="77">
                  <c:v>912</c:v>
                </c:pt>
                <c:pt idx="78">
                  <c:v>964.8</c:v>
                </c:pt>
                <c:pt idx="79">
                  <c:v>1236.8920000000001</c:v>
                </c:pt>
                <c:pt idx="80">
                  <c:v>902.10199999999998</c:v>
                </c:pt>
                <c:pt idx="81">
                  <c:v>1643.9770000000001</c:v>
                </c:pt>
                <c:pt idx="82">
                  <c:v>1404.9290000000001</c:v>
                </c:pt>
                <c:pt idx="83">
                  <c:v>1257.9770000000001</c:v>
                </c:pt>
                <c:pt idx="84">
                  <c:v>1143.9860000000001</c:v>
                </c:pt>
                <c:pt idx="85">
                  <c:v>1063.922</c:v>
                </c:pt>
                <c:pt idx="86">
                  <c:v>1565.0319999999999</c:v>
                </c:pt>
                <c:pt idx="87">
                  <c:v>1529.519</c:v>
                </c:pt>
                <c:pt idx="88">
                  <c:v>1548.768</c:v>
                </c:pt>
                <c:pt idx="89">
                  <c:v>954.79399999999998</c:v>
                </c:pt>
                <c:pt idx="90">
                  <c:v>979.93299999999999</c:v>
                </c:pt>
                <c:pt idx="91">
                  <c:v>1248.8</c:v>
                </c:pt>
                <c:pt idx="92">
                  <c:v>1226.4000000000001</c:v>
                </c:pt>
                <c:pt idx="93">
                  <c:v>1332</c:v>
                </c:pt>
                <c:pt idx="94">
                  <c:v>1236.8</c:v>
                </c:pt>
                <c:pt idx="95">
                  <c:v>1285.5999999999999</c:v>
                </c:pt>
                <c:pt idx="96">
                  <c:v>1532.8</c:v>
                </c:pt>
                <c:pt idx="97">
                  <c:v>1344.8</c:v>
                </c:pt>
                <c:pt idx="98">
                  <c:v>1204.8</c:v>
                </c:pt>
                <c:pt idx="99">
                  <c:v>1120.8</c:v>
                </c:pt>
                <c:pt idx="100">
                  <c:v>1085.5999999999999</c:v>
                </c:pt>
                <c:pt idx="101">
                  <c:v>1070.4000000000001</c:v>
                </c:pt>
                <c:pt idx="102">
                  <c:v>1341.6</c:v>
                </c:pt>
                <c:pt idx="103">
                  <c:v>915.255</c:v>
                </c:pt>
                <c:pt idx="104">
                  <c:v>1043.557</c:v>
                </c:pt>
                <c:pt idx="105">
                  <c:v>1135.797</c:v>
                </c:pt>
                <c:pt idx="106">
                  <c:v>1052.3019999999999</c:v>
                </c:pt>
                <c:pt idx="107">
                  <c:v>1010.9109999999999</c:v>
                </c:pt>
                <c:pt idx="108">
                  <c:v>907.91499999999996</c:v>
                </c:pt>
                <c:pt idx="109">
                  <c:v>1041.693</c:v>
                </c:pt>
                <c:pt idx="110">
                  <c:v>1029.9770000000001</c:v>
                </c:pt>
                <c:pt idx="111">
                  <c:v>1033.4860000000001</c:v>
                </c:pt>
                <c:pt idx="112">
                  <c:v>1376.376</c:v>
                </c:pt>
                <c:pt idx="113">
                  <c:v>1168.4459999999999</c:v>
                </c:pt>
                <c:pt idx="114">
                  <c:v>1198.4000000000001</c:v>
                </c:pt>
                <c:pt idx="115">
                  <c:v>1109.5999999999999</c:v>
                </c:pt>
                <c:pt idx="116">
                  <c:v>1098.4000000000001</c:v>
                </c:pt>
                <c:pt idx="117">
                  <c:v>1179.2</c:v>
                </c:pt>
                <c:pt idx="118">
                  <c:v>1169.5999999999999</c:v>
                </c:pt>
                <c:pt idx="119">
                  <c:v>497.6</c:v>
                </c:pt>
                <c:pt idx="120">
                  <c:v>369.6</c:v>
                </c:pt>
                <c:pt idx="121">
                  <c:v>342.4</c:v>
                </c:pt>
                <c:pt idx="122">
                  <c:v>378.4</c:v>
                </c:pt>
                <c:pt idx="123">
                  <c:v>387.2</c:v>
                </c:pt>
                <c:pt idx="124">
                  <c:v>368.8</c:v>
                </c:pt>
                <c:pt idx="125">
                  <c:v>325.60000000000002</c:v>
                </c:pt>
                <c:pt idx="126">
                  <c:v>335.2</c:v>
                </c:pt>
                <c:pt idx="127">
                  <c:v>281.27999999999997</c:v>
                </c:pt>
                <c:pt idx="128">
                  <c:v>812.40200000000004</c:v>
                </c:pt>
                <c:pt idx="129">
                  <c:v>1193.029</c:v>
                </c:pt>
                <c:pt idx="130">
                  <c:v>997.38800000000003</c:v>
                </c:pt>
                <c:pt idx="131">
                  <c:v>1238.6099999999999</c:v>
                </c:pt>
                <c:pt idx="132">
                  <c:v>1158.511</c:v>
                </c:pt>
                <c:pt idx="133">
                  <c:v>1234.8630000000001</c:v>
                </c:pt>
                <c:pt idx="134">
                  <c:v>1047.104</c:v>
                </c:pt>
                <c:pt idx="135">
                  <c:v>1281.6610000000001</c:v>
                </c:pt>
                <c:pt idx="136">
                  <c:v>1055.1690000000001</c:v>
                </c:pt>
                <c:pt idx="137">
                  <c:v>1044.0909999999999</c:v>
                </c:pt>
                <c:pt idx="138">
                  <c:v>1088.3230000000001</c:v>
                </c:pt>
                <c:pt idx="139">
                  <c:v>898.4</c:v>
                </c:pt>
                <c:pt idx="140">
                  <c:v>270.39999999999998</c:v>
                </c:pt>
                <c:pt idx="141">
                  <c:v>91.2</c:v>
                </c:pt>
                <c:pt idx="142">
                  <c:v>94.4</c:v>
                </c:pt>
                <c:pt idx="143">
                  <c:v>91.2</c:v>
                </c:pt>
                <c:pt idx="144">
                  <c:v>96</c:v>
                </c:pt>
                <c:pt idx="145">
                  <c:v>88</c:v>
                </c:pt>
                <c:pt idx="146">
                  <c:v>94.4</c:v>
                </c:pt>
                <c:pt idx="147">
                  <c:v>85.6</c:v>
                </c:pt>
                <c:pt idx="148">
                  <c:v>95.2</c:v>
                </c:pt>
                <c:pt idx="149">
                  <c:v>88</c:v>
                </c:pt>
                <c:pt idx="150">
                  <c:v>93.6</c:v>
                </c:pt>
                <c:pt idx="151">
                  <c:v>77.075999999999993</c:v>
                </c:pt>
                <c:pt idx="152">
                  <c:v>83.396000000000001</c:v>
                </c:pt>
                <c:pt idx="153">
                  <c:v>78.900999999999996</c:v>
                </c:pt>
                <c:pt idx="154">
                  <c:v>86.02</c:v>
                </c:pt>
                <c:pt idx="155">
                  <c:v>80.474999999999994</c:v>
                </c:pt>
                <c:pt idx="156">
                  <c:v>88.61</c:v>
                </c:pt>
                <c:pt idx="157">
                  <c:v>80.760999999999996</c:v>
                </c:pt>
                <c:pt idx="158">
                  <c:v>95.361999999999995</c:v>
                </c:pt>
                <c:pt idx="159">
                  <c:v>84.557000000000002</c:v>
                </c:pt>
                <c:pt idx="160">
                  <c:v>90.093000000000004</c:v>
                </c:pt>
                <c:pt idx="161">
                  <c:v>80.774000000000001</c:v>
                </c:pt>
                <c:pt idx="162">
                  <c:v>96.805000000000007</c:v>
                </c:pt>
                <c:pt idx="163">
                  <c:v>86.4</c:v>
                </c:pt>
                <c:pt idx="164">
                  <c:v>93.6</c:v>
                </c:pt>
                <c:pt idx="165">
                  <c:v>87.2</c:v>
                </c:pt>
                <c:pt idx="166">
                  <c:v>92.8</c:v>
                </c:pt>
                <c:pt idx="167">
                  <c:v>87.2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A2-4307-A9EE-D59332248BC7}"/>
            </c:ext>
          </c:extLst>
        </c:ser>
        <c:ser>
          <c:idx val="1"/>
          <c:order val="1"/>
          <c:tx>
            <c:v>PV Generation Total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Profile'!$D$506:$D$673</c:f>
              <c:numCache>
                <c:formatCode>#,##0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64.825000000000003</c:v>
                </c:pt>
                <c:pt idx="7">
                  <c:v>927.14</c:v>
                </c:pt>
                <c:pt idx="8">
                  <c:v>1908.4590000000001</c:v>
                </c:pt>
                <c:pt idx="9">
                  <c:v>2831.9319999999998</c:v>
                </c:pt>
                <c:pt idx="10">
                  <c:v>3282.4119999999998</c:v>
                </c:pt>
                <c:pt idx="11">
                  <c:v>3492.2089999999998</c:v>
                </c:pt>
                <c:pt idx="12">
                  <c:v>3449.4830000000002</c:v>
                </c:pt>
                <c:pt idx="13">
                  <c:v>2778.0940000000001</c:v>
                </c:pt>
                <c:pt idx="14">
                  <c:v>1955.8910000000001</c:v>
                </c:pt>
                <c:pt idx="15">
                  <c:v>2025.6079999999999</c:v>
                </c:pt>
                <c:pt idx="16">
                  <c:v>906.69399999999996</c:v>
                </c:pt>
                <c:pt idx="17">
                  <c:v>149.30600000000001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44.963000000000001</c:v>
                </c:pt>
                <c:pt idx="31">
                  <c:v>859.95400000000006</c:v>
                </c:pt>
                <c:pt idx="32">
                  <c:v>1689.6120000000001</c:v>
                </c:pt>
                <c:pt idx="33">
                  <c:v>2531.1660000000002</c:v>
                </c:pt>
                <c:pt idx="34">
                  <c:v>3346.1680000000001</c:v>
                </c:pt>
                <c:pt idx="35">
                  <c:v>3591.0659999999998</c:v>
                </c:pt>
                <c:pt idx="36">
                  <c:v>3589.0050000000001</c:v>
                </c:pt>
                <c:pt idx="37">
                  <c:v>2057.3470000000002</c:v>
                </c:pt>
                <c:pt idx="38">
                  <c:v>2365.1590000000001</c:v>
                </c:pt>
                <c:pt idx="39">
                  <c:v>2044.5820000000001</c:v>
                </c:pt>
                <c:pt idx="40">
                  <c:v>1113.8150000000001</c:v>
                </c:pt>
                <c:pt idx="41">
                  <c:v>181.46299999999999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21.236000000000001</c:v>
                </c:pt>
                <c:pt idx="55">
                  <c:v>917.73299999999995</c:v>
                </c:pt>
                <c:pt idx="56">
                  <c:v>2210.2429999999999</c:v>
                </c:pt>
                <c:pt idx="57">
                  <c:v>2971.9960000000001</c:v>
                </c:pt>
                <c:pt idx="58">
                  <c:v>3412.8270000000002</c:v>
                </c:pt>
                <c:pt idx="59">
                  <c:v>3654.77</c:v>
                </c:pt>
                <c:pt idx="60">
                  <c:v>3654.0160000000001</c:v>
                </c:pt>
                <c:pt idx="61">
                  <c:v>3424.1030000000001</c:v>
                </c:pt>
                <c:pt idx="62">
                  <c:v>2967.9050000000002</c:v>
                </c:pt>
                <c:pt idx="63">
                  <c:v>2253.9090000000001</c:v>
                </c:pt>
                <c:pt idx="64">
                  <c:v>1253.0999999999999</c:v>
                </c:pt>
                <c:pt idx="65">
                  <c:v>200.08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50.444000000000003</c:v>
                </c:pt>
                <c:pt idx="79">
                  <c:v>1036.7059999999999</c:v>
                </c:pt>
                <c:pt idx="80">
                  <c:v>2099.2869999999998</c:v>
                </c:pt>
                <c:pt idx="81">
                  <c:v>2832.701</c:v>
                </c:pt>
                <c:pt idx="82">
                  <c:v>3294.6080000000002</c:v>
                </c:pt>
                <c:pt idx="83">
                  <c:v>3538.4789999999998</c:v>
                </c:pt>
                <c:pt idx="84">
                  <c:v>3512.5410000000002</c:v>
                </c:pt>
                <c:pt idx="85">
                  <c:v>3248.462</c:v>
                </c:pt>
                <c:pt idx="86">
                  <c:v>2804.4549999999999</c:v>
                </c:pt>
                <c:pt idx="87">
                  <c:v>2114.2730000000001</c:v>
                </c:pt>
                <c:pt idx="88">
                  <c:v>1055.1990000000001</c:v>
                </c:pt>
                <c:pt idx="89">
                  <c:v>158.05199999999999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33.463999999999999</c:v>
                </c:pt>
                <c:pt idx="103">
                  <c:v>809.80499999999995</c:v>
                </c:pt>
                <c:pt idx="104">
                  <c:v>1129.8399999999999</c:v>
                </c:pt>
                <c:pt idx="105">
                  <c:v>2069.0059999999999</c:v>
                </c:pt>
                <c:pt idx="106">
                  <c:v>2982.694</c:v>
                </c:pt>
                <c:pt idx="107">
                  <c:v>2988.8879999999999</c:v>
                </c:pt>
                <c:pt idx="108">
                  <c:v>3045.7629999999999</c:v>
                </c:pt>
                <c:pt idx="109">
                  <c:v>2631.8820000000001</c:v>
                </c:pt>
                <c:pt idx="110">
                  <c:v>2075.6129999999998</c:v>
                </c:pt>
                <c:pt idx="111">
                  <c:v>1184.9010000000001</c:v>
                </c:pt>
                <c:pt idx="112">
                  <c:v>1057.2139999999999</c:v>
                </c:pt>
                <c:pt idx="113">
                  <c:v>195.488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56.466999999999999</c:v>
                </c:pt>
                <c:pt idx="127">
                  <c:v>1054.011</c:v>
                </c:pt>
                <c:pt idx="128">
                  <c:v>2072.4250000000002</c:v>
                </c:pt>
                <c:pt idx="129">
                  <c:v>2859.114</c:v>
                </c:pt>
                <c:pt idx="130">
                  <c:v>2919.8009999999999</c:v>
                </c:pt>
                <c:pt idx="131">
                  <c:v>3520.3420000000001</c:v>
                </c:pt>
                <c:pt idx="132">
                  <c:v>3486.32</c:v>
                </c:pt>
                <c:pt idx="133">
                  <c:v>3321.6559999999999</c:v>
                </c:pt>
                <c:pt idx="134">
                  <c:v>2066.335</c:v>
                </c:pt>
                <c:pt idx="135">
                  <c:v>1799.2139999999999</c:v>
                </c:pt>
                <c:pt idx="136">
                  <c:v>1080.672</c:v>
                </c:pt>
                <c:pt idx="137">
                  <c:v>175.93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50.051000000000002</c:v>
                </c:pt>
                <c:pt idx="151">
                  <c:v>1021.415</c:v>
                </c:pt>
                <c:pt idx="152">
                  <c:v>1481.664</c:v>
                </c:pt>
                <c:pt idx="153">
                  <c:v>2778.4090000000001</c:v>
                </c:pt>
                <c:pt idx="154">
                  <c:v>3217.99</c:v>
                </c:pt>
                <c:pt idx="155">
                  <c:v>3454.623</c:v>
                </c:pt>
                <c:pt idx="156">
                  <c:v>3460.1190000000001</c:v>
                </c:pt>
                <c:pt idx="157">
                  <c:v>3243.86</c:v>
                </c:pt>
                <c:pt idx="158">
                  <c:v>2837.3090000000002</c:v>
                </c:pt>
                <c:pt idx="159">
                  <c:v>1617.451</c:v>
                </c:pt>
                <c:pt idx="160">
                  <c:v>1201.68</c:v>
                </c:pt>
                <c:pt idx="161">
                  <c:v>203.00899999999999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A2-4307-A9EE-D59332248BC7}"/>
            </c:ext>
          </c:extLst>
        </c:ser>
        <c:ser>
          <c:idx val="2"/>
          <c:order val="2"/>
          <c:tx>
            <c:v>PV to Storage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Profile'!$F$506:$F$673</c:f>
              <c:numCache>
                <c:formatCode>#,##0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-83.161000000000001</c:v>
                </c:pt>
                <c:pt idx="9">
                  <c:v>-736.12699999999995</c:v>
                </c:pt>
                <c:pt idx="10">
                  <c:v>-985.10799999999995</c:v>
                </c:pt>
                <c:pt idx="11">
                  <c:v>-1205.7570000000001</c:v>
                </c:pt>
                <c:pt idx="12">
                  <c:v>-1188.1849999999999</c:v>
                </c:pt>
                <c:pt idx="13">
                  <c:v>-387.71300000000002</c:v>
                </c:pt>
                <c:pt idx="14">
                  <c:v>0</c:v>
                </c:pt>
                <c:pt idx="15">
                  <c:v>-172.559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-14.585000000000001</c:v>
                </c:pt>
                <c:pt idx="32">
                  <c:v>-511.25200000000001</c:v>
                </c:pt>
                <c:pt idx="33">
                  <c:v>-959.03800000000001</c:v>
                </c:pt>
                <c:pt idx="34">
                  <c:v>-1684.559</c:v>
                </c:pt>
                <c:pt idx="35">
                  <c:v>-1684.559</c:v>
                </c:pt>
                <c:pt idx="36">
                  <c:v>-1684.559</c:v>
                </c:pt>
                <c:pt idx="37">
                  <c:v>-679.75300000000004</c:v>
                </c:pt>
                <c:pt idx="38">
                  <c:v>-73.192999999999998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-780.8</c:v>
                </c:pt>
                <c:pt idx="57">
                  <c:v>-1424.4739999999999</c:v>
                </c:pt>
                <c:pt idx="58">
                  <c:v>-1684.559</c:v>
                </c:pt>
                <c:pt idx="59">
                  <c:v>-1684.559</c:v>
                </c:pt>
                <c:pt idx="60">
                  <c:v>-1684.559</c:v>
                </c:pt>
                <c:pt idx="61">
                  <c:v>-32.546999999999997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-1197.1849999999999</c:v>
                </c:pt>
                <c:pt idx="81">
                  <c:v>-1188.7239999999999</c:v>
                </c:pt>
                <c:pt idx="82">
                  <c:v>-1684.559</c:v>
                </c:pt>
                <c:pt idx="83">
                  <c:v>-1684.559</c:v>
                </c:pt>
                <c:pt idx="84">
                  <c:v>-1536.47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-86.283000000000001</c:v>
                </c:pt>
                <c:pt idx="105">
                  <c:v>-933.20899999999995</c:v>
                </c:pt>
                <c:pt idx="106">
                  <c:v>-1684.559</c:v>
                </c:pt>
                <c:pt idx="107">
                  <c:v>-1684.559</c:v>
                </c:pt>
                <c:pt idx="108">
                  <c:v>-1684.559</c:v>
                </c:pt>
                <c:pt idx="109">
                  <c:v>-1218.329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-772.73099999999999</c:v>
                </c:pt>
                <c:pt idx="128">
                  <c:v>-1260.0229999999999</c:v>
                </c:pt>
                <c:pt idx="129">
                  <c:v>-1666.085</c:v>
                </c:pt>
                <c:pt idx="130">
                  <c:v>-1684.559</c:v>
                </c:pt>
                <c:pt idx="131">
                  <c:v>-1684.559</c:v>
                </c:pt>
                <c:pt idx="132">
                  <c:v>-223.54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-944.33900000000006</c:v>
                </c:pt>
                <c:pt idx="152">
                  <c:v>-1398.268</c:v>
                </c:pt>
                <c:pt idx="153">
                  <c:v>-1684.559</c:v>
                </c:pt>
                <c:pt idx="154">
                  <c:v>-416.42399999999998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A2-4307-A9EE-D59332248BC7}"/>
            </c:ext>
          </c:extLst>
        </c:ser>
        <c:ser>
          <c:idx val="3"/>
          <c:order val="3"/>
          <c:tx>
            <c:v>Grid to Load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Profile'!$I$506:$I$673</c:f>
              <c:numCache>
                <c:formatCode>#,##0</c:formatCode>
                <c:ptCount val="168"/>
                <c:pt idx="0">
                  <c:v>2330.4</c:v>
                </c:pt>
                <c:pt idx="1">
                  <c:v>2057.6</c:v>
                </c:pt>
                <c:pt idx="2">
                  <c:v>2428</c:v>
                </c:pt>
                <c:pt idx="3">
                  <c:v>2208.8000000000002</c:v>
                </c:pt>
                <c:pt idx="4">
                  <c:v>2004</c:v>
                </c:pt>
                <c:pt idx="5">
                  <c:v>2379.1999999999998</c:v>
                </c:pt>
                <c:pt idx="6">
                  <c:v>1975.9749999999999</c:v>
                </c:pt>
                <c:pt idx="7">
                  <c:v>258.47000000000003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70.484999999999999</c:v>
                </c:pt>
                <c:pt idx="15">
                  <c:v>0</c:v>
                </c:pt>
                <c:pt idx="16">
                  <c:v>1481.15</c:v>
                </c:pt>
                <c:pt idx="17">
                  <c:v>422.39</c:v>
                </c:pt>
                <c:pt idx="18">
                  <c:v>729.84100000000001</c:v>
                </c:pt>
                <c:pt idx="19">
                  <c:v>212.24100000000001</c:v>
                </c:pt>
                <c:pt idx="20">
                  <c:v>2389.6</c:v>
                </c:pt>
                <c:pt idx="21">
                  <c:v>2215.1999999999998</c:v>
                </c:pt>
                <c:pt idx="22">
                  <c:v>2295.1999999999998</c:v>
                </c:pt>
                <c:pt idx="23">
                  <c:v>1956</c:v>
                </c:pt>
                <c:pt idx="24">
                  <c:v>1812</c:v>
                </c:pt>
                <c:pt idx="25">
                  <c:v>1850.4</c:v>
                </c:pt>
                <c:pt idx="26">
                  <c:v>1248.8</c:v>
                </c:pt>
                <c:pt idx="27">
                  <c:v>1303.2</c:v>
                </c:pt>
                <c:pt idx="28">
                  <c:v>1569.6</c:v>
                </c:pt>
                <c:pt idx="29">
                  <c:v>749.66600000000005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87.325000000000003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1180.8</c:v>
                </c:pt>
                <c:pt idx="45">
                  <c:v>1695.2</c:v>
                </c:pt>
                <c:pt idx="46">
                  <c:v>1346.4</c:v>
                </c:pt>
                <c:pt idx="47">
                  <c:v>1211.2</c:v>
                </c:pt>
                <c:pt idx="48">
                  <c:v>1408</c:v>
                </c:pt>
                <c:pt idx="49">
                  <c:v>1139.2</c:v>
                </c:pt>
                <c:pt idx="50">
                  <c:v>1446.4</c:v>
                </c:pt>
                <c:pt idx="51">
                  <c:v>1142.4000000000001</c:v>
                </c:pt>
                <c:pt idx="52">
                  <c:v>543.26099999999997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646.16700000000003</c:v>
                </c:pt>
                <c:pt idx="65">
                  <c:v>0</c:v>
                </c:pt>
                <c:pt idx="66">
                  <c:v>121.84399999999999</c:v>
                </c:pt>
                <c:pt idx="67">
                  <c:v>0</c:v>
                </c:pt>
                <c:pt idx="68">
                  <c:v>1477.6</c:v>
                </c:pt>
                <c:pt idx="69">
                  <c:v>1830.4</c:v>
                </c:pt>
                <c:pt idx="70">
                  <c:v>1500.8</c:v>
                </c:pt>
                <c:pt idx="71">
                  <c:v>1522.4</c:v>
                </c:pt>
                <c:pt idx="72">
                  <c:v>1083.2</c:v>
                </c:pt>
                <c:pt idx="73">
                  <c:v>1204</c:v>
                </c:pt>
                <c:pt idx="74">
                  <c:v>1488.8</c:v>
                </c:pt>
                <c:pt idx="75">
                  <c:v>1076</c:v>
                </c:pt>
                <c:pt idx="76">
                  <c:v>1015.152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493.56900000000002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1226.4000000000001</c:v>
                </c:pt>
                <c:pt idx="93">
                  <c:v>1332</c:v>
                </c:pt>
                <c:pt idx="94">
                  <c:v>1236.8</c:v>
                </c:pt>
                <c:pt idx="95">
                  <c:v>1285.5999999999999</c:v>
                </c:pt>
                <c:pt idx="96">
                  <c:v>1532.8</c:v>
                </c:pt>
                <c:pt idx="97">
                  <c:v>1344.8</c:v>
                </c:pt>
                <c:pt idx="98">
                  <c:v>1204.8</c:v>
                </c:pt>
                <c:pt idx="99">
                  <c:v>1120.8</c:v>
                </c:pt>
                <c:pt idx="100">
                  <c:v>43.212000000000003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319.16199999999998</c:v>
                </c:pt>
                <c:pt idx="113">
                  <c:v>972.95799999999997</c:v>
                </c:pt>
                <c:pt idx="114">
                  <c:v>674.08399999999995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369.6</c:v>
                </c:pt>
                <c:pt idx="121">
                  <c:v>342.4</c:v>
                </c:pt>
                <c:pt idx="122">
                  <c:v>378.4</c:v>
                </c:pt>
                <c:pt idx="123">
                  <c:v>387.2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1A2-4307-A9EE-D59332248BC7}"/>
            </c:ext>
          </c:extLst>
        </c:ser>
        <c:ser>
          <c:idx val="4"/>
          <c:order val="4"/>
          <c:tx>
            <c:v>Storage to Load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Profile'!$K$506:$K$673</c:f>
              <c:numCache>
                <c:formatCode>#,##0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538.17600000000004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155.05500000000001</c:v>
                </c:pt>
                <c:pt idx="15">
                  <c:v>0</c:v>
                </c:pt>
                <c:pt idx="16">
                  <c:v>0</c:v>
                </c:pt>
                <c:pt idx="17">
                  <c:v>1684.559</c:v>
                </c:pt>
                <c:pt idx="18">
                  <c:v>1684.559</c:v>
                </c:pt>
                <c:pt idx="19">
                  <c:v>1684.559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415.93400000000003</c:v>
                </c:pt>
                <c:pt idx="30">
                  <c:v>1082.2370000000001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1111.6320000000001</c:v>
                </c:pt>
                <c:pt idx="42">
                  <c:v>1413.61</c:v>
                </c:pt>
                <c:pt idx="43">
                  <c:v>1265.5999999999999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336.73899999999998</c:v>
                </c:pt>
                <c:pt idx="53">
                  <c:v>1145.5999999999999</c:v>
                </c:pt>
                <c:pt idx="54">
                  <c:v>921.96400000000006</c:v>
                </c:pt>
                <c:pt idx="55">
                  <c:v>356.70499999999998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1421.5</c:v>
                </c:pt>
                <c:pt idx="66">
                  <c:v>1684.559</c:v>
                </c:pt>
                <c:pt idx="67">
                  <c:v>1360.8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58.448</c:v>
                </c:pt>
                <c:pt idx="77">
                  <c:v>912</c:v>
                </c:pt>
                <c:pt idx="78">
                  <c:v>914.35599999999999</c:v>
                </c:pt>
                <c:pt idx="79">
                  <c:v>200.18600000000001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796.74199999999996</c:v>
                </c:pt>
                <c:pt idx="90">
                  <c:v>979.93299999999999</c:v>
                </c:pt>
                <c:pt idx="91">
                  <c:v>1248.8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1042.3879999999999</c:v>
                </c:pt>
                <c:pt idx="101">
                  <c:v>1070.4000000000001</c:v>
                </c:pt>
                <c:pt idx="102">
                  <c:v>1308.136</c:v>
                </c:pt>
                <c:pt idx="103">
                  <c:v>105.45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524.31600000000003</c:v>
                </c:pt>
                <c:pt idx="115">
                  <c:v>1109.5999999999999</c:v>
                </c:pt>
                <c:pt idx="116">
                  <c:v>1098.4000000000001</c:v>
                </c:pt>
                <c:pt idx="117">
                  <c:v>1179.2</c:v>
                </c:pt>
                <c:pt idx="118">
                  <c:v>1169.5999999999999</c:v>
                </c:pt>
                <c:pt idx="119">
                  <c:v>497.6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368.8</c:v>
                </c:pt>
                <c:pt idx="125">
                  <c:v>325.60000000000002</c:v>
                </c:pt>
                <c:pt idx="126">
                  <c:v>278.733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868.16099999999994</c:v>
                </c:pt>
                <c:pt idx="138">
                  <c:v>1088.3230000000001</c:v>
                </c:pt>
                <c:pt idx="139">
                  <c:v>898.4</c:v>
                </c:pt>
                <c:pt idx="140">
                  <c:v>270.39999999999998</c:v>
                </c:pt>
                <c:pt idx="141">
                  <c:v>91.2</c:v>
                </c:pt>
                <c:pt idx="142">
                  <c:v>94.4</c:v>
                </c:pt>
                <c:pt idx="143">
                  <c:v>91.2</c:v>
                </c:pt>
                <c:pt idx="144">
                  <c:v>96</c:v>
                </c:pt>
                <c:pt idx="145">
                  <c:v>88</c:v>
                </c:pt>
                <c:pt idx="146">
                  <c:v>94.4</c:v>
                </c:pt>
                <c:pt idx="147">
                  <c:v>85.6</c:v>
                </c:pt>
                <c:pt idx="148">
                  <c:v>95.2</c:v>
                </c:pt>
                <c:pt idx="149">
                  <c:v>88</c:v>
                </c:pt>
                <c:pt idx="150">
                  <c:v>43.548999999999999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96.805000000000007</c:v>
                </c:pt>
                <c:pt idx="163">
                  <c:v>86.4</c:v>
                </c:pt>
                <c:pt idx="164">
                  <c:v>93.6</c:v>
                </c:pt>
                <c:pt idx="165">
                  <c:v>87.2</c:v>
                </c:pt>
                <c:pt idx="166">
                  <c:v>92.8</c:v>
                </c:pt>
                <c:pt idx="167">
                  <c:v>87.2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1A2-4307-A9EE-D59332248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Load Duration Curve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'Load Duration'!$B$1</c:f>
              <c:strCache>
                <c:ptCount val="1"/>
                <c:pt idx="0">
                  <c:v>Load (kW)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'Load Duration'!$A$2:$A$8761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cat>
          <c:val>
            <c:numRef>
              <c:f>'Load Duration'!$B$2:$B$8761</c:f>
              <c:numCache>
                <c:formatCode>#,##0</c:formatCode>
                <c:ptCount val="8760"/>
                <c:pt idx="0">
                  <c:v>2428</c:v>
                </c:pt>
                <c:pt idx="1">
                  <c:v>2418.5557699999999</c:v>
                </c:pt>
                <c:pt idx="2">
                  <c:v>2414.4</c:v>
                </c:pt>
                <c:pt idx="3">
                  <c:v>2405.008671</c:v>
                </c:pt>
                <c:pt idx="4">
                  <c:v>2390.3809999999999</c:v>
                </c:pt>
                <c:pt idx="5">
                  <c:v>2389.6</c:v>
                </c:pt>
                <c:pt idx="6">
                  <c:v>2387.8440000000001</c:v>
                </c:pt>
                <c:pt idx="7">
                  <c:v>2381.0830980000001</c:v>
                </c:pt>
                <c:pt idx="8">
                  <c:v>2380.3051359999999</c:v>
                </c:pt>
                <c:pt idx="9">
                  <c:v>2379.1999999999998</c:v>
                </c:pt>
                <c:pt idx="10">
                  <c:v>2378.5559659999999</c:v>
                </c:pt>
                <c:pt idx="11">
                  <c:v>2369.9455889999999</c:v>
                </c:pt>
                <c:pt idx="12">
                  <c:v>2352</c:v>
                </c:pt>
                <c:pt idx="13">
                  <c:v>2342.8513889999999</c:v>
                </c:pt>
                <c:pt idx="14">
                  <c:v>2335.268</c:v>
                </c:pt>
                <c:pt idx="15">
                  <c:v>2330.4</c:v>
                </c:pt>
                <c:pt idx="16">
                  <c:v>2326.1844719999999</c:v>
                </c:pt>
                <c:pt idx="17">
                  <c:v>2321.335407</c:v>
                </c:pt>
                <c:pt idx="18">
                  <c:v>2297.3040000000001</c:v>
                </c:pt>
                <c:pt idx="19">
                  <c:v>2295.1999999999998</c:v>
                </c:pt>
                <c:pt idx="20">
                  <c:v>2288.3681409999999</c:v>
                </c:pt>
                <c:pt idx="21">
                  <c:v>2286.4520000000002</c:v>
                </c:pt>
                <c:pt idx="22">
                  <c:v>2286.2723249999999</c:v>
                </c:pt>
                <c:pt idx="23">
                  <c:v>2279.797</c:v>
                </c:pt>
                <c:pt idx="24">
                  <c:v>2277.558352</c:v>
                </c:pt>
                <c:pt idx="25">
                  <c:v>2270.9292380000002</c:v>
                </c:pt>
                <c:pt idx="26">
                  <c:v>2261.2979999999998</c:v>
                </c:pt>
                <c:pt idx="27">
                  <c:v>2256.2550000000001</c:v>
                </c:pt>
                <c:pt idx="28">
                  <c:v>2252.5021940000001</c:v>
                </c:pt>
                <c:pt idx="29">
                  <c:v>2247.4788100000001</c:v>
                </c:pt>
                <c:pt idx="30">
                  <c:v>2215.1999999999998</c:v>
                </c:pt>
                <c:pt idx="31">
                  <c:v>2208.8000000000002</c:v>
                </c:pt>
                <c:pt idx="32">
                  <c:v>2206.583502</c:v>
                </c:pt>
                <c:pt idx="33">
                  <c:v>2200.208396</c:v>
                </c:pt>
                <c:pt idx="34">
                  <c:v>2188.5529999999999</c:v>
                </c:pt>
                <c:pt idx="35">
                  <c:v>2181.431</c:v>
                </c:pt>
                <c:pt idx="36">
                  <c:v>2180.0401510000002</c:v>
                </c:pt>
                <c:pt idx="37">
                  <c:v>2172.9458540000001</c:v>
                </c:pt>
                <c:pt idx="38">
                  <c:v>2172.8000000000002</c:v>
                </c:pt>
                <c:pt idx="39">
                  <c:v>2168.7449999999999</c:v>
                </c:pt>
                <c:pt idx="40">
                  <c:v>2164.348426</c:v>
                </c:pt>
                <c:pt idx="41">
                  <c:v>2160.3091989999998</c:v>
                </c:pt>
                <c:pt idx="42">
                  <c:v>2156.8119999999999</c:v>
                </c:pt>
                <c:pt idx="43">
                  <c:v>2156.8000000000002</c:v>
                </c:pt>
                <c:pt idx="44">
                  <c:v>2148.422615</c:v>
                </c:pt>
                <c:pt idx="45">
                  <c:v>2148.4106609999999</c:v>
                </c:pt>
                <c:pt idx="46">
                  <c:v>2138.2559999999999</c:v>
                </c:pt>
                <c:pt idx="47">
                  <c:v>2137.6079890000001</c:v>
                </c:pt>
                <c:pt idx="48">
                  <c:v>2133.1909999999998</c:v>
                </c:pt>
                <c:pt idx="49">
                  <c:v>2129.6</c:v>
                </c:pt>
                <c:pt idx="50">
                  <c:v>2121.3164619999998</c:v>
                </c:pt>
                <c:pt idx="51">
                  <c:v>2117.6309999999999</c:v>
                </c:pt>
                <c:pt idx="52">
                  <c:v>2116.2620000000002</c:v>
                </c:pt>
                <c:pt idx="53">
                  <c:v>2112.8000000000002</c:v>
                </c:pt>
                <c:pt idx="54">
                  <c:v>2098.6860000000001</c:v>
                </c:pt>
                <c:pt idx="55">
                  <c:v>2095.8049999999998</c:v>
                </c:pt>
                <c:pt idx="56">
                  <c:v>2091.0050000000001</c:v>
                </c:pt>
                <c:pt idx="57">
                  <c:v>2089.8330000000001</c:v>
                </c:pt>
                <c:pt idx="58">
                  <c:v>2088.377</c:v>
                </c:pt>
                <c:pt idx="59">
                  <c:v>2087.6529150000001</c:v>
                </c:pt>
                <c:pt idx="60">
                  <c:v>2076.6159090000001</c:v>
                </c:pt>
                <c:pt idx="61">
                  <c:v>2075.1999999999998</c:v>
                </c:pt>
                <c:pt idx="62">
                  <c:v>2071.826</c:v>
                </c:pt>
                <c:pt idx="63">
                  <c:v>2071.696919</c:v>
                </c:pt>
                <c:pt idx="64">
                  <c:v>2067.1280620000002</c:v>
                </c:pt>
                <c:pt idx="65">
                  <c:v>2067.1030000000001</c:v>
                </c:pt>
                <c:pt idx="66">
                  <c:v>2057.6</c:v>
                </c:pt>
                <c:pt idx="67">
                  <c:v>2057.6</c:v>
                </c:pt>
                <c:pt idx="68">
                  <c:v>2055.558</c:v>
                </c:pt>
                <c:pt idx="69">
                  <c:v>2055.255936</c:v>
                </c:pt>
                <c:pt idx="70">
                  <c:v>2055.1999999999998</c:v>
                </c:pt>
                <c:pt idx="71">
                  <c:v>2055.08</c:v>
                </c:pt>
                <c:pt idx="72">
                  <c:v>2051.3539999999998</c:v>
                </c:pt>
                <c:pt idx="73">
                  <c:v>2049.5965209999999</c:v>
                </c:pt>
                <c:pt idx="74">
                  <c:v>2047.6769999999999</c:v>
                </c:pt>
                <c:pt idx="75">
                  <c:v>2043.374816</c:v>
                </c:pt>
                <c:pt idx="76">
                  <c:v>2041.8610000000001</c:v>
                </c:pt>
                <c:pt idx="77">
                  <c:v>2040.8</c:v>
                </c:pt>
                <c:pt idx="78">
                  <c:v>2035.7421650000001</c:v>
                </c:pt>
                <c:pt idx="79">
                  <c:v>2033.6279999999999</c:v>
                </c:pt>
                <c:pt idx="80">
                  <c:v>2032.861868</c:v>
                </c:pt>
                <c:pt idx="81">
                  <c:v>2028.8</c:v>
                </c:pt>
                <c:pt idx="82">
                  <c:v>2027.2</c:v>
                </c:pt>
                <c:pt idx="83">
                  <c:v>2026.0989999999999</c:v>
                </c:pt>
                <c:pt idx="84">
                  <c:v>2025.6489999999999</c:v>
                </c:pt>
                <c:pt idx="85">
                  <c:v>2020.908545</c:v>
                </c:pt>
                <c:pt idx="86">
                  <c:v>2019.6369999999999</c:v>
                </c:pt>
                <c:pt idx="87">
                  <c:v>2017.7698009999999</c:v>
                </c:pt>
                <c:pt idx="88">
                  <c:v>2013.4593669999999</c:v>
                </c:pt>
                <c:pt idx="89">
                  <c:v>2012.075</c:v>
                </c:pt>
                <c:pt idx="90">
                  <c:v>2008.0540000000001</c:v>
                </c:pt>
                <c:pt idx="91">
                  <c:v>2004</c:v>
                </c:pt>
                <c:pt idx="92">
                  <c:v>2003.2</c:v>
                </c:pt>
                <c:pt idx="93">
                  <c:v>2003.2</c:v>
                </c:pt>
                <c:pt idx="94">
                  <c:v>2001.8610000000001</c:v>
                </c:pt>
                <c:pt idx="95">
                  <c:v>2000</c:v>
                </c:pt>
                <c:pt idx="96">
                  <c:v>1998.4</c:v>
                </c:pt>
                <c:pt idx="97">
                  <c:v>1998.285001</c:v>
                </c:pt>
                <c:pt idx="98">
                  <c:v>1998.0150000000001</c:v>
                </c:pt>
                <c:pt idx="99">
                  <c:v>1998.009538</c:v>
                </c:pt>
                <c:pt idx="100">
                  <c:v>1996.5229999999999</c:v>
                </c:pt>
                <c:pt idx="101">
                  <c:v>1996.2050099999999</c:v>
                </c:pt>
                <c:pt idx="102">
                  <c:v>1995.8376459999999</c:v>
                </c:pt>
                <c:pt idx="103">
                  <c:v>1992.2205690000001</c:v>
                </c:pt>
                <c:pt idx="104">
                  <c:v>1991.36</c:v>
                </c:pt>
                <c:pt idx="105">
                  <c:v>1988.3330000000001</c:v>
                </c:pt>
                <c:pt idx="106">
                  <c:v>1976.8</c:v>
                </c:pt>
                <c:pt idx="107">
                  <c:v>1975.0040489999999</c:v>
                </c:pt>
                <c:pt idx="108">
                  <c:v>1973.6130000000001</c:v>
                </c:pt>
                <c:pt idx="109">
                  <c:v>1972.895</c:v>
                </c:pt>
                <c:pt idx="110">
                  <c:v>1972.144</c:v>
                </c:pt>
                <c:pt idx="111">
                  <c:v>1969.5630000000001</c:v>
                </c:pt>
                <c:pt idx="112">
                  <c:v>1969.1108099999999</c:v>
                </c:pt>
                <c:pt idx="113">
                  <c:v>1967.7385870000001</c:v>
                </c:pt>
                <c:pt idx="114">
                  <c:v>1965.936207</c:v>
                </c:pt>
                <c:pt idx="115">
                  <c:v>1962.791739</c:v>
                </c:pt>
                <c:pt idx="116">
                  <c:v>1959.9659999999999</c:v>
                </c:pt>
                <c:pt idx="117">
                  <c:v>1956.7919999999999</c:v>
                </c:pt>
                <c:pt idx="118">
                  <c:v>1956</c:v>
                </c:pt>
                <c:pt idx="119">
                  <c:v>1955.9110000000001</c:v>
                </c:pt>
                <c:pt idx="120">
                  <c:v>1954.45</c:v>
                </c:pt>
                <c:pt idx="121">
                  <c:v>1953.3710000000001</c:v>
                </c:pt>
                <c:pt idx="122">
                  <c:v>1953.3420000000001</c:v>
                </c:pt>
                <c:pt idx="123">
                  <c:v>1952.34229</c:v>
                </c:pt>
                <c:pt idx="124">
                  <c:v>1951.2</c:v>
                </c:pt>
                <c:pt idx="125">
                  <c:v>1950.329</c:v>
                </c:pt>
                <c:pt idx="126">
                  <c:v>1950.167277</c:v>
                </c:pt>
                <c:pt idx="127">
                  <c:v>1950.1112860000001</c:v>
                </c:pt>
                <c:pt idx="128">
                  <c:v>1948.3917160000001</c:v>
                </c:pt>
                <c:pt idx="129">
                  <c:v>1948.0070000000001</c:v>
                </c:pt>
                <c:pt idx="130">
                  <c:v>1945.9423979999999</c:v>
                </c:pt>
                <c:pt idx="131">
                  <c:v>1945.0809999999999</c:v>
                </c:pt>
                <c:pt idx="132">
                  <c:v>1943.684</c:v>
                </c:pt>
                <c:pt idx="133">
                  <c:v>1940.8620000000001</c:v>
                </c:pt>
                <c:pt idx="134">
                  <c:v>1940.8</c:v>
                </c:pt>
                <c:pt idx="135">
                  <c:v>1940.7915760000001</c:v>
                </c:pt>
                <c:pt idx="136">
                  <c:v>1940.6679999999999</c:v>
                </c:pt>
                <c:pt idx="137">
                  <c:v>1937.529</c:v>
                </c:pt>
                <c:pt idx="138">
                  <c:v>1936.4576159999999</c:v>
                </c:pt>
                <c:pt idx="139">
                  <c:v>1936.1236220000001</c:v>
                </c:pt>
                <c:pt idx="140">
                  <c:v>1935.979</c:v>
                </c:pt>
                <c:pt idx="141">
                  <c:v>1933.3125990000001</c:v>
                </c:pt>
                <c:pt idx="142">
                  <c:v>1931.97</c:v>
                </c:pt>
                <c:pt idx="143">
                  <c:v>1931.958529</c:v>
                </c:pt>
                <c:pt idx="144">
                  <c:v>1931.914</c:v>
                </c:pt>
                <c:pt idx="145">
                  <c:v>1931.8710000000001</c:v>
                </c:pt>
                <c:pt idx="146">
                  <c:v>1931.01478</c:v>
                </c:pt>
                <c:pt idx="147">
                  <c:v>1925.6</c:v>
                </c:pt>
                <c:pt idx="148">
                  <c:v>1925.1279999999999</c:v>
                </c:pt>
                <c:pt idx="149">
                  <c:v>1924.8389999999999</c:v>
                </c:pt>
                <c:pt idx="150">
                  <c:v>1924</c:v>
                </c:pt>
                <c:pt idx="151">
                  <c:v>1921.03</c:v>
                </c:pt>
                <c:pt idx="152">
                  <c:v>1920</c:v>
                </c:pt>
                <c:pt idx="153">
                  <c:v>1918.1980000000001</c:v>
                </c:pt>
                <c:pt idx="154">
                  <c:v>1917.6397999999999</c:v>
                </c:pt>
                <c:pt idx="155">
                  <c:v>1916.9939999999999</c:v>
                </c:pt>
                <c:pt idx="156">
                  <c:v>1916.271</c:v>
                </c:pt>
                <c:pt idx="157">
                  <c:v>1916.0218150000001</c:v>
                </c:pt>
                <c:pt idx="158">
                  <c:v>1916</c:v>
                </c:pt>
                <c:pt idx="159">
                  <c:v>1916</c:v>
                </c:pt>
                <c:pt idx="160">
                  <c:v>1915.2</c:v>
                </c:pt>
                <c:pt idx="161">
                  <c:v>1914.4</c:v>
                </c:pt>
                <c:pt idx="162">
                  <c:v>1914.011</c:v>
                </c:pt>
                <c:pt idx="163">
                  <c:v>1913.6</c:v>
                </c:pt>
                <c:pt idx="164">
                  <c:v>1909.8720000000001</c:v>
                </c:pt>
                <c:pt idx="165">
                  <c:v>1908.688202</c:v>
                </c:pt>
                <c:pt idx="166">
                  <c:v>1907.596</c:v>
                </c:pt>
                <c:pt idx="167">
                  <c:v>1906.953528</c:v>
                </c:pt>
                <c:pt idx="168">
                  <c:v>1905.10304</c:v>
                </c:pt>
                <c:pt idx="169">
                  <c:v>1904.8710000000001</c:v>
                </c:pt>
                <c:pt idx="170">
                  <c:v>1904.751</c:v>
                </c:pt>
                <c:pt idx="171">
                  <c:v>1903.518</c:v>
                </c:pt>
                <c:pt idx="172">
                  <c:v>1902.4570000000001</c:v>
                </c:pt>
                <c:pt idx="173">
                  <c:v>1902.3620000000001</c:v>
                </c:pt>
                <c:pt idx="174">
                  <c:v>1901.191769</c:v>
                </c:pt>
                <c:pt idx="175">
                  <c:v>1900.9960000000001</c:v>
                </c:pt>
                <c:pt idx="176">
                  <c:v>1900.3830210000001</c:v>
                </c:pt>
                <c:pt idx="177">
                  <c:v>1900.048</c:v>
                </c:pt>
                <c:pt idx="178">
                  <c:v>1899.5274179999999</c:v>
                </c:pt>
                <c:pt idx="179">
                  <c:v>1899.2670000000001</c:v>
                </c:pt>
                <c:pt idx="180">
                  <c:v>1896.8</c:v>
                </c:pt>
                <c:pt idx="181">
                  <c:v>1895.8186270000001</c:v>
                </c:pt>
                <c:pt idx="182">
                  <c:v>1895.0569829999999</c:v>
                </c:pt>
                <c:pt idx="183">
                  <c:v>1894.952223</c:v>
                </c:pt>
                <c:pt idx="184">
                  <c:v>1894.24</c:v>
                </c:pt>
                <c:pt idx="185">
                  <c:v>1892.7380000000001</c:v>
                </c:pt>
                <c:pt idx="186">
                  <c:v>1892.522772</c:v>
                </c:pt>
                <c:pt idx="187">
                  <c:v>1891.8793909999999</c:v>
                </c:pt>
                <c:pt idx="188">
                  <c:v>1889.8820000000001</c:v>
                </c:pt>
                <c:pt idx="189">
                  <c:v>1889.880042</c:v>
                </c:pt>
                <c:pt idx="190">
                  <c:v>1889.8389999999999</c:v>
                </c:pt>
                <c:pt idx="191">
                  <c:v>1889.4219869999999</c:v>
                </c:pt>
                <c:pt idx="192">
                  <c:v>1888</c:v>
                </c:pt>
                <c:pt idx="193">
                  <c:v>1887.87</c:v>
                </c:pt>
                <c:pt idx="194">
                  <c:v>1886.9090000000001</c:v>
                </c:pt>
                <c:pt idx="195">
                  <c:v>1884.8520269999999</c:v>
                </c:pt>
                <c:pt idx="196">
                  <c:v>1884.7238319999999</c:v>
                </c:pt>
                <c:pt idx="197">
                  <c:v>1884.636</c:v>
                </c:pt>
                <c:pt idx="198">
                  <c:v>1882.6579999999999</c:v>
                </c:pt>
                <c:pt idx="199">
                  <c:v>1880.8</c:v>
                </c:pt>
                <c:pt idx="200">
                  <c:v>1880.656217</c:v>
                </c:pt>
                <c:pt idx="201">
                  <c:v>1880.42</c:v>
                </c:pt>
                <c:pt idx="202">
                  <c:v>1880.170003</c:v>
                </c:pt>
                <c:pt idx="203">
                  <c:v>1876.276572</c:v>
                </c:pt>
                <c:pt idx="204">
                  <c:v>1876.222186</c:v>
                </c:pt>
                <c:pt idx="205">
                  <c:v>1876.1804259999999</c:v>
                </c:pt>
                <c:pt idx="206">
                  <c:v>1874.444</c:v>
                </c:pt>
                <c:pt idx="207">
                  <c:v>1873.143</c:v>
                </c:pt>
                <c:pt idx="208">
                  <c:v>1870.71</c:v>
                </c:pt>
                <c:pt idx="209">
                  <c:v>1870.357538</c:v>
                </c:pt>
                <c:pt idx="210">
                  <c:v>1870.1755700000001</c:v>
                </c:pt>
                <c:pt idx="211">
                  <c:v>1870.0809999999999</c:v>
                </c:pt>
                <c:pt idx="212">
                  <c:v>1870.010982</c:v>
                </c:pt>
                <c:pt idx="213">
                  <c:v>1869.6654490000001</c:v>
                </c:pt>
                <c:pt idx="214">
                  <c:v>1869.297</c:v>
                </c:pt>
                <c:pt idx="215">
                  <c:v>1867.076</c:v>
                </c:pt>
                <c:pt idx="216">
                  <c:v>1866.297</c:v>
                </c:pt>
                <c:pt idx="217">
                  <c:v>1865.857006</c:v>
                </c:pt>
                <c:pt idx="218">
                  <c:v>1864.6679999999999</c:v>
                </c:pt>
                <c:pt idx="219">
                  <c:v>1863.8394330000001</c:v>
                </c:pt>
                <c:pt idx="220">
                  <c:v>1863.569</c:v>
                </c:pt>
                <c:pt idx="221">
                  <c:v>1862.9183519999999</c:v>
                </c:pt>
                <c:pt idx="222">
                  <c:v>1862.0259659999999</c:v>
                </c:pt>
                <c:pt idx="223">
                  <c:v>1860.7669430000001</c:v>
                </c:pt>
                <c:pt idx="224">
                  <c:v>1860.7669430000001</c:v>
                </c:pt>
                <c:pt idx="225">
                  <c:v>1859.9900050000001</c:v>
                </c:pt>
                <c:pt idx="226">
                  <c:v>1859.7429999999999</c:v>
                </c:pt>
                <c:pt idx="227">
                  <c:v>1859.6849999999999</c:v>
                </c:pt>
                <c:pt idx="228">
                  <c:v>1859.3420000000001</c:v>
                </c:pt>
                <c:pt idx="229">
                  <c:v>1859.2840000000001</c:v>
                </c:pt>
                <c:pt idx="230">
                  <c:v>1858.4361289999999</c:v>
                </c:pt>
                <c:pt idx="231">
                  <c:v>1857.9949999999999</c:v>
                </c:pt>
                <c:pt idx="232">
                  <c:v>1857.414972</c:v>
                </c:pt>
                <c:pt idx="233">
                  <c:v>1857.1590000000001</c:v>
                </c:pt>
                <c:pt idx="234">
                  <c:v>1857.1189999999999</c:v>
                </c:pt>
                <c:pt idx="235">
                  <c:v>1854.4870000000001</c:v>
                </c:pt>
                <c:pt idx="236">
                  <c:v>1853.049</c:v>
                </c:pt>
                <c:pt idx="237">
                  <c:v>1852.086</c:v>
                </c:pt>
                <c:pt idx="238">
                  <c:v>1851.2629999999999</c:v>
                </c:pt>
                <c:pt idx="239">
                  <c:v>1851.2</c:v>
                </c:pt>
                <c:pt idx="240">
                  <c:v>1851.164</c:v>
                </c:pt>
                <c:pt idx="241">
                  <c:v>1850.4</c:v>
                </c:pt>
                <c:pt idx="242">
                  <c:v>1849.9351799999999</c:v>
                </c:pt>
                <c:pt idx="243">
                  <c:v>1849.8422210000001</c:v>
                </c:pt>
                <c:pt idx="244">
                  <c:v>1849.7349999999999</c:v>
                </c:pt>
                <c:pt idx="245">
                  <c:v>1849.6</c:v>
                </c:pt>
                <c:pt idx="246">
                  <c:v>1849.113384</c:v>
                </c:pt>
                <c:pt idx="247">
                  <c:v>1849.0640000000001</c:v>
                </c:pt>
                <c:pt idx="248">
                  <c:v>1847.2</c:v>
                </c:pt>
                <c:pt idx="249">
                  <c:v>1846.4</c:v>
                </c:pt>
                <c:pt idx="250">
                  <c:v>1845.8411659999999</c:v>
                </c:pt>
                <c:pt idx="251">
                  <c:v>1845.6</c:v>
                </c:pt>
                <c:pt idx="252">
                  <c:v>1845.2747959999999</c:v>
                </c:pt>
                <c:pt idx="253">
                  <c:v>1844.8819120000001</c:v>
                </c:pt>
                <c:pt idx="254">
                  <c:v>1844.4570000000001</c:v>
                </c:pt>
                <c:pt idx="255">
                  <c:v>1843.2470000000001</c:v>
                </c:pt>
                <c:pt idx="256">
                  <c:v>1843.2024699999999</c:v>
                </c:pt>
                <c:pt idx="257">
                  <c:v>1842.5400569999999</c:v>
                </c:pt>
                <c:pt idx="258">
                  <c:v>1842.4</c:v>
                </c:pt>
                <c:pt idx="259">
                  <c:v>1842.2049999999999</c:v>
                </c:pt>
                <c:pt idx="260">
                  <c:v>1841.982929</c:v>
                </c:pt>
                <c:pt idx="261">
                  <c:v>1840</c:v>
                </c:pt>
                <c:pt idx="262">
                  <c:v>1839.549</c:v>
                </c:pt>
                <c:pt idx="263">
                  <c:v>1839.2550000000001</c:v>
                </c:pt>
                <c:pt idx="264">
                  <c:v>1838.59</c:v>
                </c:pt>
                <c:pt idx="265">
                  <c:v>1838.421141</c:v>
                </c:pt>
                <c:pt idx="266">
                  <c:v>1838.145</c:v>
                </c:pt>
                <c:pt idx="267">
                  <c:v>1837.2929999999999</c:v>
                </c:pt>
                <c:pt idx="268">
                  <c:v>1836.8</c:v>
                </c:pt>
                <c:pt idx="269">
                  <c:v>1836.7670000000001</c:v>
                </c:pt>
                <c:pt idx="270">
                  <c:v>1835.7670000000001</c:v>
                </c:pt>
                <c:pt idx="271">
                  <c:v>1835.337</c:v>
                </c:pt>
                <c:pt idx="272">
                  <c:v>1835.2335880000001</c:v>
                </c:pt>
                <c:pt idx="273">
                  <c:v>1835.1310000000001</c:v>
                </c:pt>
                <c:pt idx="274">
                  <c:v>1834.925</c:v>
                </c:pt>
                <c:pt idx="275">
                  <c:v>1832.8</c:v>
                </c:pt>
                <c:pt idx="276">
                  <c:v>1832.5229999999999</c:v>
                </c:pt>
                <c:pt idx="277">
                  <c:v>1832.1434139999999</c:v>
                </c:pt>
                <c:pt idx="278">
                  <c:v>1832.0640000000001</c:v>
                </c:pt>
                <c:pt idx="279">
                  <c:v>1831.6469999999999</c:v>
                </c:pt>
                <c:pt idx="280">
                  <c:v>1831.384</c:v>
                </c:pt>
                <c:pt idx="281">
                  <c:v>1830.4</c:v>
                </c:pt>
                <c:pt idx="282">
                  <c:v>1830.3710000000001</c:v>
                </c:pt>
                <c:pt idx="283">
                  <c:v>1829.5809999999999</c:v>
                </c:pt>
                <c:pt idx="284">
                  <c:v>1829.403</c:v>
                </c:pt>
                <c:pt idx="285">
                  <c:v>1829.242</c:v>
                </c:pt>
                <c:pt idx="286">
                  <c:v>1829.06</c:v>
                </c:pt>
                <c:pt idx="287">
                  <c:v>1828.904</c:v>
                </c:pt>
                <c:pt idx="288">
                  <c:v>1828.8</c:v>
                </c:pt>
                <c:pt idx="289">
                  <c:v>1827.8498070000001</c:v>
                </c:pt>
                <c:pt idx="290">
                  <c:v>1826.72938</c:v>
                </c:pt>
                <c:pt idx="291">
                  <c:v>1825.6709289999999</c:v>
                </c:pt>
                <c:pt idx="292">
                  <c:v>1825.482</c:v>
                </c:pt>
                <c:pt idx="293">
                  <c:v>1825.298</c:v>
                </c:pt>
                <c:pt idx="294">
                  <c:v>1824.8</c:v>
                </c:pt>
                <c:pt idx="295">
                  <c:v>1824.7809999999999</c:v>
                </c:pt>
                <c:pt idx="296">
                  <c:v>1824.597</c:v>
                </c:pt>
                <c:pt idx="297">
                  <c:v>1823.5319999999999</c:v>
                </c:pt>
                <c:pt idx="298">
                  <c:v>1823.2802650000001</c:v>
                </c:pt>
                <c:pt idx="299">
                  <c:v>1823.2049999999999</c:v>
                </c:pt>
                <c:pt idx="300">
                  <c:v>1822.6569999999999</c:v>
                </c:pt>
                <c:pt idx="301">
                  <c:v>1822.4</c:v>
                </c:pt>
                <c:pt idx="302">
                  <c:v>1822.3040000000001</c:v>
                </c:pt>
                <c:pt idx="303">
                  <c:v>1821.1120000000001</c:v>
                </c:pt>
                <c:pt idx="304">
                  <c:v>1820.422</c:v>
                </c:pt>
                <c:pt idx="305">
                  <c:v>1820</c:v>
                </c:pt>
                <c:pt idx="306">
                  <c:v>1819.6715079999999</c:v>
                </c:pt>
                <c:pt idx="307">
                  <c:v>1818.19811</c:v>
                </c:pt>
                <c:pt idx="308">
                  <c:v>1818.035848</c:v>
                </c:pt>
                <c:pt idx="309">
                  <c:v>1817.683121</c:v>
                </c:pt>
                <c:pt idx="310">
                  <c:v>1816.85</c:v>
                </c:pt>
                <c:pt idx="311">
                  <c:v>1814.7529999999999</c:v>
                </c:pt>
                <c:pt idx="312">
                  <c:v>1814.4</c:v>
                </c:pt>
                <c:pt idx="313">
                  <c:v>1812.776179</c:v>
                </c:pt>
                <c:pt idx="314">
                  <c:v>1812.4967449999999</c:v>
                </c:pt>
                <c:pt idx="315">
                  <c:v>1812</c:v>
                </c:pt>
                <c:pt idx="316">
                  <c:v>1811.107</c:v>
                </c:pt>
                <c:pt idx="317">
                  <c:v>1811.0419999999999</c:v>
                </c:pt>
                <c:pt idx="318">
                  <c:v>1808.8</c:v>
                </c:pt>
                <c:pt idx="319">
                  <c:v>1808.0519999999999</c:v>
                </c:pt>
                <c:pt idx="320">
                  <c:v>1807.694127</c:v>
                </c:pt>
                <c:pt idx="321">
                  <c:v>1807.633</c:v>
                </c:pt>
                <c:pt idx="322">
                  <c:v>1806.403</c:v>
                </c:pt>
                <c:pt idx="323">
                  <c:v>1805.6980000000001</c:v>
                </c:pt>
                <c:pt idx="324">
                  <c:v>1805.685911</c:v>
                </c:pt>
                <c:pt idx="325">
                  <c:v>1804.9518350000001</c:v>
                </c:pt>
                <c:pt idx="326">
                  <c:v>1804.4340689999999</c:v>
                </c:pt>
                <c:pt idx="327">
                  <c:v>1803.338</c:v>
                </c:pt>
                <c:pt idx="328">
                  <c:v>1802.673</c:v>
                </c:pt>
                <c:pt idx="329">
                  <c:v>1801.9450449999999</c:v>
                </c:pt>
                <c:pt idx="330">
                  <c:v>1801.825</c:v>
                </c:pt>
                <c:pt idx="331">
                  <c:v>1799.8409999999999</c:v>
                </c:pt>
                <c:pt idx="332">
                  <c:v>1799.8209999999999</c:v>
                </c:pt>
                <c:pt idx="333">
                  <c:v>1799.376606</c:v>
                </c:pt>
                <c:pt idx="334">
                  <c:v>1798.4</c:v>
                </c:pt>
                <c:pt idx="335">
                  <c:v>1798.1579999999999</c:v>
                </c:pt>
                <c:pt idx="336">
                  <c:v>1797.834951</c:v>
                </c:pt>
                <c:pt idx="337">
                  <c:v>1797.6</c:v>
                </c:pt>
                <c:pt idx="338">
                  <c:v>1797.5</c:v>
                </c:pt>
                <c:pt idx="339">
                  <c:v>1797.136</c:v>
                </c:pt>
                <c:pt idx="340">
                  <c:v>1796.8320000000001</c:v>
                </c:pt>
                <c:pt idx="341">
                  <c:v>1796.5450000000001</c:v>
                </c:pt>
                <c:pt idx="342">
                  <c:v>1796.174</c:v>
                </c:pt>
                <c:pt idx="343">
                  <c:v>1796.019</c:v>
                </c:pt>
                <c:pt idx="344">
                  <c:v>1796.0060000000001</c:v>
                </c:pt>
                <c:pt idx="345">
                  <c:v>1795.9293130000001</c:v>
                </c:pt>
                <c:pt idx="346">
                  <c:v>1793.9502600000001</c:v>
                </c:pt>
                <c:pt idx="347">
                  <c:v>1793.298</c:v>
                </c:pt>
                <c:pt idx="348">
                  <c:v>1793.1733220000001</c:v>
                </c:pt>
                <c:pt idx="349">
                  <c:v>1792.2</c:v>
                </c:pt>
                <c:pt idx="350">
                  <c:v>1791.4047350000001</c:v>
                </c:pt>
                <c:pt idx="351">
                  <c:v>1791.1849999999999</c:v>
                </c:pt>
                <c:pt idx="352">
                  <c:v>1790.3689999999999</c:v>
                </c:pt>
                <c:pt idx="353">
                  <c:v>1789.8428349999999</c:v>
                </c:pt>
                <c:pt idx="354">
                  <c:v>1789.556951</c:v>
                </c:pt>
                <c:pt idx="355">
                  <c:v>1789.099252</c:v>
                </c:pt>
                <c:pt idx="356">
                  <c:v>1788.7210930000001</c:v>
                </c:pt>
                <c:pt idx="357">
                  <c:v>1788.5650000000001</c:v>
                </c:pt>
                <c:pt idx="358">
                  <c:v>1788</c:v>
                </c:pt>
                <c:pt idx="359">
                  <c:v>1787.6890000000001</c:v>
                </c:pt>
                <c:pt idx="360">
                  <c:v>1787.2159999999999</c:v>
                </c:pt>
                <c:pt idx="361">
                  <c:v>1786.9578160000001</c:v>
                </c:pt>
                <c:pt idx="362">
                  <c:v>1786.904</c:v>
                </c:pt>
                <c:pt idx="363">
                  <c:v>1786.454</c:v>
                </c:pt>
                <c:pt idx="364">
                  <c:v>1786.4</c:v>
                </c:pt>
                <c:pt idx="365">
                  <c:v>1786.2342920000001</c:v>
                </c:pt>
                <c:pt idx="366">
                  <c:v>1786.232</c:v>
                </c:pt>
                <c:pt idx="367">
                  <c:v>1785.6</c:v>
                </c:pt>
                <c:pt idx="368">
                  <c:v>1785.434</c:v>
                </c:pt>
                <c:pt idx="369">
                  <c:v>1784.8</c:v>
                </c:pt>
                <c:pt idx="370">
                  <c:v>1784.662</c:v>
                </c:pt>
                <c:pt idx="371">
                  <c:v>1783.81</c:v>
                </c:pt>
                <c:pt idx="372">
                  <c:v>1783.6289999999999</c:v>
                </c:pt>
                <c:pt idx="373">
                  <c:v>1783.2</c:v>
                </c:pt>
                <c:pt idx="374">
                  <c:v>1782.499</c:v>
                </c:pt>
                <c:pt idx="375">
                  <c:v>1782.319172</c:v>
                </c:pt>
                <c:pt idx="376">
                  <c:v>1782.2291760000001</c:v>
                </c:pt>
                <c:pt idx="377">
                  <c:v>1780.735398</c:v>
                </c:pt>
                <c:pt idx="378">
                  <c:v>1780.377</c:v>
                </c:pt>
                <c:pt idx="379">
                  <c:v>1780</c:v>
                </c:pt>
                <c:pt idx="380">
                  <c:v>1779.250589</c:v>
                </c:pt>
                <c:pt idx="381">
                  <c:v>1779.2</c:v>
                </c:pt>
                <c:pt idx="382">
                  <c:v>1779.002</c:v>
                </c:pt>
                <c:pt idx="383">
                  <c:v>1778.923133</c:v>
                </c:pt>
                <c:pt idx="384">
                  <c:v>1778.711</c:v>
                </c:pt>
                <c:pt idx="385">
                  <c:v>1778.5901919999999</c:v>
                </c:pt>
                <c:pt idx="386">
                  <c:v>1778.4</c:v>
                </c:pt>
                <c:pt idx="387">
                  <c:v>1777.857636</c:v>
                </c:pt>
                <c:pt idx="388">
                  <c:v>1777.6</c:v>
                </c:pt>
                <c:pt idx="389">
                  <c:v>1776.413</c:v>
                </c:pt>
                <c:pt idx="390">
                  <c:v>1776.080682</c:v>
                </c:pt>
                <c:pt idx="391">
                  <c:v>1775.2</c:v>
                </c:pt>
                <c:pt idx="392">
                  <c:v>1775.2</c:v>
                </c:pt>
                <c:pt idx="393">
                  <c:v>1773.5239999999999</c:v>
                </c:pt>
                <c:pt idx="394">
                  <c:v>1773.4518399999999</c:v>
                </c:pt>
                <c:pt idx="395">
                  <c:v>1773.2550000000001</c:v>
                </c:pt>
                <c:pt idx="396">
                  <c:v>1772.8510000000001</c:v>
                </c:pt>
                <c:pt idx="397">
                  <c:v>1772.479656</c:v>
                </c:pt>
                <c:pt idx="398">
                  <c:v>1772.2557750000001</c:v>
                </c:pt>
                <c:pt idx="399">
                  <c:v>1772.0821880000001</c:v>
                </c:pt>
                <c:pt idx="400">
                  <c:v>1771.9988430000001</c:v>
                </c:pt>
                <c:pt idx="401">
                  <c:v>1771.2</c:v>
                </c:pt>
                <c:pt idx="402">
                  <c:v>1771.2</c:v>
                </c:pt>
                <c:pt idx="403">
                  <c:v>1770.4</c:v>
                </c:pt>
                <c:pt idx="404">
                  <c:v>1769.154</c:v>
                </c:pt>
                <c:pt idx="405">
                  <c:v>1768.6143059999999</c:v>
                </c:pt>
                <c:pt idx="406">
                  <c:v>1766.78</c:v>
                </c:pt>
                <c:pt idx="407">
                  <c:v>1766.4380000000001</c:v>
                </c:pt>
                <c:pt idx="408">
                  <c:v>1766.248</c:v>
                </c:pt>
                <c:pt idx="409">
                  <c:v>1765.9551140000001</c:v>
                </c:pt>
                <c:pt idx="410">
                  <c:v>1765.931</c:v>
                </c:pt>
                <c:pt idx="411">
                  <c:v>1765.6</c:v>
                </c:pt>
                <c:pt idx="412">
                  <c:v>1764.854415</c:v>
                </c:pt>
                <c:pt idx="413">
                  <c:v>1764.8</c:v>
                </c:pt>
                <c:pt idx="414">
                  <c:v>1764.516038</c:v>
                </c:pt>
                <c:pt idx="415">
                  <c:v>1763.69</c:v>
                </c:pt>
                <c:pt idx="416">
                  <c:v>1763.4369999999999</c:v>
                </c:pt>
                <c:pt idx="417">
                  <c:v>1763.2</c:v>
                </c:pt>
                <c:pt idx="418">
                  <c:v>1763.0619999999999</c:v>
                </c:pt>
                <c:pt idx="419">
                  <c:v>1762.864</c:v>
                </c:pt>
                <c:pt idx="420">
                  <c:v>1762.66</c:v>
                </c:pt>
                <c:pt idx="421">
                  <c:v>1762.4</c:v>
                </c:pt>
                <c:pt idx="422">
                  <c:v>1761.6</c:v>
                </c:pt>
                <c:pt idx="423">
                  <c:v>1760.002</c:v>
                </c:pt>
                <c:pt idx="424">
                  <c:v>1760</c:v>
                </c:pt>
                <c:pt idx="425">
                  <c:v>1759.2</c:v>
                </c:pt>
                <c:pt idx="426">
                  <c:v>1759.2</c:v>
                </c:pt>
                <c:pt idx="427">
                  <c:v>1759.08</c:v>
                </c:pt>
                <c:pt idx="428">
                  <c:v>1758.8345959999999</c:v>
                </c:pt>
                <c:pt idx="429">
                  <c:v>1758.4</c:v>
                </c:pt>
                <c:pt idx="430">
                  <c:v>1757.0441390000001</c:v>
                </c:pt>
                <c:pt idx="431">
                  <c:v>1756.931</c:v>
                </c:pt>
                <c:pt idx="432">
                  <c:v>1756</c:v>
                </c:pt>
                <c:pt idx="433">
                  <c:v>1755.972</c:v>
                </c:pt>
                <c:pt idx="434">
                  <c:v>1755.880776</c:v>
                </c:pt>
                <c:pt idx="435">
                  <c:v>1755.85113</c:v>
                </c:pt>
                <c:pt idx="436">
                  <c:v>1755.7039199999999</c:v>
                </c:pt>
                <c:pt idx="437">
                  <c:v>1755.5447650000001</c:v>
                </c:pt>
                <c:pt idx="438">
                  <c:v>1755.523868</c:v>
                </c:pt>
                <c:pt idx="439">
                  <c:v>1754.8451990000001</c:v>
                </c:pt>
                <c:pt idx="440">
                  <c:v>1754.747877</c:v>
                </c:pt>
                <c:pt idx="441">
                  <c:v>1753.494758</c:v>
                </c:pt>
                <c:pt idx="442">
                  <c:v>1753.2821220000001</c:v>
                </c:pt>
                <c:pt idx="443">
                  <c:v>1753.1560930000001</c:v>
                </c:pt>
                <c:pt idx="444">
                  <c:v>1751.451</c:v>
                </c:pt>
                <c:pt idx="445">
                  <c:v>1751.352682</c:v>
                </c:pt>
                <c:pt idx="446">
                  <c:v>1751.2</c:v>
                </c:pt>
                <c:pt idx="447">
                  <c:v>1751.14</c:v>
                </c:pt>
                <c:pt idx="448">
                  <c:v>1751.0239999999999</c:v>
                </c:pt>
                <c:pt idx="449">
                  <c:v>1750.511</c:v>
                </c:pt>
                <c:pt idx="450">
                  <c:v>1750.4</c:v>
                </c:pt>
                <c:pt idx="451">
                  <c:v>1750.3510000000001</c:v>
                </c:pt>
                <c:pt idx="452">
                  <c:v>1749.963</c:v>
                </c:pt>
                <c:pt idx="453">
                  <c:v>1749.9590000000001</c:v>
                </c:pt>
                <c:pt idx="454">
                  <c:v>1749.622333</c:v>
                </c:pt>
                <c:pt idx="455">
                  <c:v>1749.1696589999999</c:v>
                </c:pt>
                <c:pt idx="456">
                  <c:v>1749.141768</c:v>
                </c:pt>
                <c:pt idx="457">
                  <c:v>1748.8</c:v>
                </c:pt>
                <c:pt idx="458">
                  <c:v>1748</c:v>
                </c:pt>
                <c:pt idx="459">
                  <c:v>1748</c:v>
                </c:pt>
                <c:pt idx="460">
                  <c:v>1747.7639999999999</c:v>
                </c:pt>
                <c:pt idx="461">
                  <c:v>1747.615</c:v>
                </c:pt>
                <c:pt idx="462">
                  <c:v>1746.4</c:v>
                </c:pt>
                <c:pt idx="463">
                  <c:v>1746.298</c:v>
                </c:pt>
                <c:pt idx="464">
                  <c:v>1745.780092</c:v>
                </c:pt>
                <c:pt idx="465">
                  <c:v>1745.6</c:v>
                </c:pt>
                <c:pt idx="466">
                  <c:v>1745.2489880000001</c:v>
                </c:pt>
                <c:pt idx="467">
                  <c:v>1744.6383539999999</c:v>
                </c:pt>
                <c:pt idx="468">
                  <c:v>1744.337</c:v>
                </c:pt>
                <c:pt idx="469">
                  <c:v>1744.244668</c:v>
                </c:pt>
                <c:pt idx="470">
                  <c:v>1744</c:v>
                </c:pt>
                <c:pt idx="471">
                  <c:v>1744</c:v>
                </c:pt>
                <c:pt idx="472">
                  <c:v>1743.70201</c:v>
                </c:pt>
                <c:pt idx="473">
                  <c:v>1743.6634650000001</c:v>
                </c:pt>
                <c:pt idx="474">
                  <c:v>1743.6133279999999</c:v>
                </c:pt>
                <c:pt idx="475">
                  <c:v>1743.462</c:v>
                </c:pt>
                <c:pt idx="476">
                  <c:v>1743.337</c:v>
                </c:pt>
                <c:pt idx="477">
                  <c:v>1742.409073</c:v>
                </c:pt>
                <c:pt idx="478">
                  <c:v>1742.4</c:v>
                </c:pt>
                <c:pt idx="479">
                  <c:v>1742.288</c:v>
                </c:pt>
                <c:pt idx="480">
                  <c:v>1741.977668</c:v>
                </c:pt>
                <c:pt idx="481">
                  <c:v>1741.7249999999999</c:v>
                </c:pt>
                <c:pt idx="482">
                  <c:v>1741.645</c:v>
                </c:pt>
                <c:pt idx="483">
                  <c:v>1741.499</c:v>
                </c:pt>
                <c:pt idx="484">
                  <c:v>1740.9656950000001</c:v>
                </c:pt>
                <c:pt idx="485">
                  <c:v>1740.8</c:v>
                </c:pt>
                <c:pt idx="486">
                  <c:v>1740.3989999999999</c:v>
                </c:pt>
                <c:pt idx="487">
                  <c:v>1740.14</c:v>
                </c:pt>
                <c:pt idx="488">
                  <c:v>1739.825</c:v>
                </c:pt>
                <c:pt idx="489">
                  <c:v>1738.9970000000001</c:v>
                </c:pt>
                <c:pt idx="490">
                  <c:v>1738.895</c:v>
                </c:pt>
                <c:pt idx="491">
                  <c:v>1738.664</c:v>
                </c:pt>
                <c:pt idx="492">
                  <c:v>1738.4</c:v>
                </c:pt>
                <c:pt idx="493">
                  <c:v>1738.3935289999999</c:v>
                </c:pt>
                <c:pt idx="494">
                  <c:v>1737.954</c:v>
                </c:pt>
                <c:pt idx="495">
                  <c:v>1737.8885190000001</c:v>
                </c:pt>
                <c:pt idx="496">
                  <c:v>1737.8520000000001</c:v>
                </c:pt>
                <c:pt idx="497">
                  <c:v>1737.845</c:v>
                </c:pt>
                <c:pt idx="498">
                  <c:v>1737.6</c:v>
                </c:pt>
                <c:pt idx="499">
                  <c:v>1737.091134</c:v>
                </c:pt>
                <c:pt idx="500">
                  <c:v>1737.05</c:v>
                </c:pt>
                <c:pt idx="501">
                  <c:v>1737.005547</c:v>
                </c:pt>
                <c:pt idx="502">
                  <c:v>1736.8</c:v>
                </c:pt>
                <c:pt idx="503">
                  <c:v>1736.2528589999999</c:v>
                </c:pt>
                <c:pt idx="504">
                  <c:v>1735.391071</c:v>
                </c:pt>
                <c:pt idx="505">
                  <c:v>1735.1679999999999</c:v>
                </c:pt>
                <c:pt idx="506">
                  <c:v>1735.038</c:v>
                </c:pt>
                <c:pt idx="507">
                  <c:v>1734.3689999999999</c:v>
                </c:pt>
                <c:pt idx="508">
                  <c:v>1734.1260199999999</c:v>
                </c:pt>
                <c:pt idx="509">
                  <c:v>1734.028783</c:v>
                </c:pt>
                <c:pt idx="510">
                  <c:v>1733.951</c:v>
                </c:pt>
                <c:pt idx="511">
                  <c:v>1733.837</c:v>
                </c:pt>
                <c:pt idx="512">
                  <c:v>1733.6179999999999</c:v>
                </c:pt>
                <c:pt idx="513">
                  <c:v>1732.8</c:v>
                </c:pt>
                <c:pt idx="514">
                  <c:v>1731.7952049999999</c:v>
                </c:pt>
                <c:pt idx="515">
                  <c:v>1731.41</c:v>
                </c:pt>
                <c:pt idx="516">
                  <c:v>1730.896</c:v>
                </c:pt>
                <c:pt idx="517">
                  <c:v>1730.86</c:v>
                </c:pt>
                <c:pt idx="518">
                  <c:v>1730.8140000000001</c:v>
                </c:pt>
                <c:pt idx="519">
                  <c:v>1729.6</c:v>
                </c:pt>
                <c:pt idx="520">
                  <c:v>1729.5440000000001</c:v>
                </c:pt>
                <c:pt idx="521">
                  <c:v>1729.4690000000001</c:v>
                </c:pt>
                <c:pt idx="522">
                  <c:v>1728.951</c:v>
                </c:pt>
                <c:pt idx="523">
                  <c:v>1728.8</c:v>
                </c:pt>
                <c:pt idx="524">
                  <c:v>1728.1690000000001</c:v>
                </c:pt>
                <c:pt idx="525">
                  <c:v>1727.807</c:v>
                </c:pt>
                <c:pt idx="526">
                  <c:v>1727.6441769999999</c:v>
                </c:pt>
                <c:pt idx="527">
                  <c:v>1727.174</c:v>
                </c:pt>
                <c:pt idx="528">
                  <c:v>1727.078</c:v>
                </c:pt>
                <c:pt idx="529">
                  <c:v>1726.7439999999999</c:v>
                </c:pt>
                <c:pt idx="530">
                  <c:v>1726.4389000000001</c:v>
                </c:pt>
                <c:pt idx="531">
                  <c:v>1726.4380000000001</c:v>
                </c:pt>
                <c:pt idx="532">
                  <c:v>1726.3779999999999</c:v>
                </c:pt>
                <c:pt idx="533">
                  <c:v>1726.1516369999999</c:v>
                </c:pt>
                <c:pt idx="534">
                  <c:v>1726.047</c:v>
                </c:pt>
                <c:pt idx="535">
                  <c:v>1725.9169999999999</c:v>
                </c:pt>
                <c:pt idx="536">
                  <c:v>1725.6</c:v>
                </c:pt>
                <c:pt idx="537">
                  <c:v>1725.6</c:v>
                </c:pt>
                <c:pt idx="538">
                  <c:v>1725.6</c:v>
                </c:pt>
                <c:pt idx="539">
                  <c:v>1724.675307</c:v>
                </c:pt>
                <c:pt idx="540">
                  <c:v>1724.16</c:v>
                </c:pt>
                <c:pt idx="541">
                  <c:v>1724.0060000000001</c:v>
                </c:pt>
                <c:pt idx="542">
                  <c:v>1724</c:v>
                </c:pt>
                <c:pt idx="543">
                  <c:v>1724</c:v>
                </c:pt>
                <c:pt idx="544">
                  <c:v>1723.98541</c:v>
                </c:pt>
                <c:pt idx="545">
                  <c:v>1723.893</c:v>
                </c:pt>
                <c:pt idx="546">
                  <c:v>1723.7860000000001</c:v>
                </c:pt>
                <c:pt idx="547">
                  <c:v>1723.1675809999999</c:v>
                </c:pt>
                <c:pt idx="548">
                  <c:v>1722.6869999999999</c:v>
                </c:pt>
                <c:pt idx="549">
                  <c:v>1722.5160000000001</c:v>
                </c:pt>
                <c:pt idx="550">
                  <c:v>1722.07546</c:v>
                </c:pt>
                <c:pt idx="551">
                  <c:v>1721.903</c:v>
                </c:pt>
                <c:pt idx="552">
                  <c:v>1721.6</c:v>
                </c:pt>
                <c:pt idx="553">
                  <c:v>1718.887907</c:v>
                </c:pt>
                <c:pt idx="554">
                  <c:v>1718.7380000000001</c:v>
                </c:pt>
                <c:pt idx="555">
                  <c:v>1718.7090000000001</c:v>
                </c:pt>
                <c:pt idx="556">
                  <c:v>1718.665</c:v>
                </c:pt>
                <c:pt idx="557">
                  <c:v>1718.45</c:v>
                </c:pt>
                <c:pt idx="558">
                  <c:v>1718.4</c:v>
                </c:pt>
                <c:pt idx="559">
                  <c:v>1718.4</c:v>
                </c:pt>
                <c:pt idx="560">
                  <c:v>1718.3810000000001</c:v>
                </c:pt>
                <c:pt idx="561">
                  <c:v>1718.3750970000001</c:v>
                </c:pt>
                <c:pt idx="562">
                  <c:v>1718.294337</c:v>
                </c:pt>
                <c:pt idx="563">
                  <c:v>1717.6</c:v>
                </c:pt>
                <c:pt idx="564">
                  <c:v>1717.5709999999999</c:v>
                </c:pt>
                <c:pt idx="565">
                  <c:v>1717.5360000000001</c:v>
                </c:pt>
                <c:pt idx="566">
                  <c:v>1717.4269999999999</c:v>
                </c:pt>
                <c:pt idx="567">
                  <c:v>1717.300107</c:v>
                </c:pt>
                <c:pt idx="568">
                  <c:v>1717.2439999999999</c:v>
                </c:pt>
                <c:pt idx="569">
                  <c:v>1717.0809630000001</c:v>
                </c:pt>
                <c:pt idx="570">
                  <c:v>1716.665</c:v>
                </c:pt>
                <c:pt idx="571">
                  <c:v>1716.587</c:v>
                </c:pt>
                <c:pt idx="572">
                  <c:v>1715.351171</c:v>
                </c:pt>
                <c:pt idx="573">
                  <c:v>1715.2660000000001</c:v>
                </c:pt>
                <c:pt idx="574">
                  <c:v>1715.058</c:v>
                </c:pt>
                <c:pt idx="575">
                  <c:v>1715.0550000000001</c:v>
                </c:pt>
                <c:pt idx="576">
                  <c:v>1715.0240229999999</c:v>
                </c:pt>
                <c:pt idx="577">
                  <c:v>1714.9760000000001</c:v>
                </c:pt>
                <c:pt idx="578">
                  <c:v>1714.76</c:v>
                </c:pt>
                <c:pt idx="579">
                  <c:v>1714.702565</c:v>
                </c:pt>
                <c:pt idx="580">
                  <c:v>1714.171452</c:v>
                </c:pt>
                <c:pt idx="581">
                  <c:v>1714.12</c:v>
                </c:pt>
                <c:pt idx="582">
                  <c:v>1713.845</c:v>
                </c:pt>
                <c:pt idx="583">
                  <c:v>1713.4880000000001</c:v>
                </c:pt>
                <c:pt idx="584">
                  <c:v>1713.281039</c:v>
                </c:pt>
                <c:pt idx="585">
                  <c:v>1712.8476250000001</c:v>
                </c:pt>
                <c:pt idx="586">
                  <c:v>1712.773985</c:v>
                </c:pt>
                <c:pt idx="587">
                  <c:v>1712.2377289999999</c:v>
                </c:pt>
                <c:pt idx="588">
                  <c:v>1711.846</c:v>
                </c:pt>
                <c:pt idx="589">
                  <c:v>1711.4780000000001</c:v>
                </c:pt>
                <c:pt idx="590">
                  <c:v>1711.452</c:v>
                </c:pt>
                <c:pt idx="591">
                  <c:v>1711.2</c:v>
                </c:pt>
                <c:pt idx="592">
                  <c:v>1711.2</c:v>
                </c:pt>
                <c:pt idx="593">
                  <c:v>1710.5644090000001</c:v>
                </c:pt>
                <c:pt idx="594">
                  <c:v>1710.5126849999999</c:v>
                </c:pt>
                <c:pt idx="595">
                  <c:v>1710.0309999999999</c:v>
                </c:pt>
                <c:pt idx="596">
                  <c:v>1709.9649999999999</c:v>
                </c:pt>
                <c:pt idx="597">
                  <c:v>1709.2639979999999</c:v>
                </c:pt>
                <c:pt idx="598">
                  <c:v>1708.913828</c:v>
                </c:pt>
                <c:pt idx="599">
                  <c:v>1708.3705190000001</c:v>
                </c:pt>
                <c:pt idx="600">
                  <c:v>1708.11</c:v>
                </c:pt>
                <c:pt idx="601">
                  <c:v>1708</c:v>
                </c:pt>
                <c:pt idx="602">
                  <c:v>1707.886</c:v>
                </c:pt>
                <c:pt idx="603">
                  <c:v>1707.2</c:v>
                </c:pt>
                <c:pt idx="604">
                  <c:v>1706.8230189999999</c:v>
                </c:pt>
                <c:pt idx="605">
                  <c:v>1706.4</c:v>
                </c:pt>
                <c:pt idx="606">
                  <c:v>1706.4</c:v>
                </c:pt>
                <c:pt idx="607">
                  <c:v>1706.4</c:v>
                </c:pt>
                <c:pt idx="608">
                  <c:v>1705.6</c:v>
                </c:pt>
                <c:pt idx="609">
                  <c:v>1705.4860000000001</c:v>
                </c:pt>
                <c:pt idx="610">
                  <c:v>1704.9690000000001</c:v>
                </c:pt>
                <c:pt idx="611">
                  <c:v>1704.867</c:v>
                </c:pt>
                <c:pt idx="612">
                  <c:v>1704.8</c:v>
                </c:pt>
                <c:pt idx="613">
                  <c:v>1704.543919</c:v>
                </c:pt>
                <c:pt idx="614">
                  <c:v>1704.422</c:v>
                </c:pt>
                <c:pt idx="615">
                  <c:v>1704.336</c:v>
                </c:pt>
                <c:pt idx="616">
                  <c:v>1704</c:v>
                </c:pt>
                <c:pt idx="617">
                  <c:v>1703.789</c:v>
                </c:pt>
                <c:pt idx="618">
                  <c:v>1703.539663</c:v>
                </c:pt>
                <c:pt idx="619">
                  <c:v>1703.1590000000001</c:v>
                </c:pt>
                <c:pt idx="620">
                  <c:v>1702.904</c:v>
                </c:pt>
                <c:pt idx="621">
                  <c:v>1702.8409999999999</c:v>
                </c:pt>
                <c:pt idx="622">
                  <c:v>1702.660151</c:v>
                </c:pt>
                <c:pt idx="623">
                  <c:v>1702.4</c:v>
                </c:pt>
                <c:pt idx="624">
                  <c:v>1702.4</c:v>
                </c:pt>
                <c:pt idx="625">
                  <c:v>1701.819154</c:v>
                </c:pt>
                <c:pt idx="626">
                  <c:v>1701.6</c:v>
                </c:pt>
                <c:pt idx="627">
                  <c:v>1701.586</c:v>
                </c:pt>
                <c:pt idx="628">
                  <c:v>1701.5656260000001</c:v>
                </c:pt>
                <c:pt idx="629">
                  <c:v>1701.356366</c:v>
                </c:pt>
                <c:pt idx="630">
                  <c:v>1701.086174</c:v>
                </c:pt>
                <c:pt idx="631">
                  <c:v>1700.8</c:v>
                </c:pt>
                <c:pt idx="632">
                  <c:v>1700.659408</c:v>
                </c:pt>
                <c:pt idx="633">
                  <c:v>1700.611832</c:v>
                </c:pt>
                <c:pt idx="634">
                  <c:v>1700.5222550000001</c:v>
                </c:pt>
                <c:pt idx="635">
                  <c:v>1700.4939999999999</c:v>
                </c:pt>
                <c:pt idx="636">
                  <c:v>1700.252</c:v>
                </c:pt>
                <c:pt idx="637">
                  <c:v>1700.0260000000001</c:v>
                </c:pt>
                <c:pt idx="638">
                  <c:v>1700</c:v>
                </c:pt>
                <c:pt idx="639">
                  <c:v>1699.7625889999999</c:v>
                </c:pt>
                <c:pt idx="640">
                  <c:v>1699.6759999999999</c:v>
                </c:pt>
                <c:pt idx="641">
                  <c:v>1699.22</c:v>
                </c:pt>
                <c:pt idx="642">
                  <c:v>1698.6326839999999</c:v>
                </c:pt>
                <c:pt idx="643">
                  <c:v>1698.4</c:v>
                </c:pt>
                <c:pt idx="644">
                  <c:v>1698.4</c:v>
                </c:pt>
                <c:pt idx="645">
                  <c:v>1698.3868629999999</c:v>
                </c:pt>
                <c:pt idx="646">
                  <c:v>1698.0360000000001</c:v>
                </c:pt>
                <c:pt idx="647">
                  <c:v>1697.609925</c:v>
                </c:pt>
                <c:pt idx="648">
                  <c:v>1697.557</c:v>
                </c:pt>
                <c:pt idx="649">
                  <c:v>1697.5459920000001</c:v>
                </c:pt>
                <c:pt idx="650">
                  <c:v>1697.236024</c:v>
                </c:pt>
                <c:pt idx="651">
                  <c:v>1696.7750000000001</c:v>
                </c:pt>
                <c:pt idx="652">
                  <c:v>1696.1791940000001</c:v>
                </c:pt>
                <c:pt idx="653">
                  <c:v>1696</c:v>
                </c:pt>
                <c:pt idx="654">
                  <c:v>1696</c:v>
                </c:pt>
                <c:pt idx="655">
                  <c:v>1695.2791110000001</c:v>
                </c:pt>
                <c:pt idx="656">
                  <c:v>1695.2</c:v>
                </c:pt>
                <c:pt idx="657">
                  <c:v>1695.2</c:v>
                </c:pt>
                <c:pt idx="658">
                  <c:v>1694.4469999999999</c:v>
                </c:pt>
                <c:pt idx="659">
                  <c:v>1693.9690000000001</c:v>
                </c:pt>
                <c:pt idx="660">
                  <c:v>1693.9449999999999</c:v>
                </c:pt>
                <c:pt idx="661">
                  <c:v>1693.6</c:v>
                </c:pt>
                <c:pt idx="662">
                  <c:v>1693.5468040000001</c:v>
                </c:pt>
                <c:pt idx="663">
                  <c:v>1693.54</c:v>
                </c:pt>
                <c:pt idx="664">
                  <c:v>1693.1980000000001</c:v>
                </c:pt>
                <c:pt idx="665">
                  <c:v>1692.6489999999999</c:v>
                </c:pt>
                <c:pt idx="666">
                  <c:v>1692.1713580000001</c:v>
                </c:pt>
                <c:pt idx="667">
                  <c:v>1692</c:v>
                </c:pt>
                <c:pt idx="668">
                  <c:v>1691.5158160000001</c:v>
                </c:pt>
                <c:pt idx="669">
                  <c:v>1691.2</c:v>
                </c:pt>
                <c:pt idx="670">
                  <c:v>1691.0640000000001</c:v>
                </c:pt>
                <c:pt idx="671">
                  <c:v>1691.038</c:v>
                </c:pt>
                <c:pt idx="672">
                  <c:v>1690.7539999999999</c:v>
                </c:pt>
                <c:pt idx="673">
                  <c:v>1690.454385</c:v>
                </c:pt>
                <c:pt idx="674">
                  <c:v>1690.4259999999999</c:v>
                </c:pt>
                <c:pt idx="675">
                  <c:v>1690.4</c:v>
                </c:pt>
                <c:pt idx="676">
                  <c:v>1690.3989999999999</c:v>
                </c:pt>
                <c:pt idx="677">
                  <c:v>1689.979</c:v>
                </c:pt>
                <c:pt idx="678">
                  <c:v>1689.670588</c:v>
                </c:pt>
                <c:pt idx="679">
                  <c:v>1689.2071989999999</c:v>
                </c:pt>
                <c:pt idx="680">
                  <c:v>1688.8664570000001</c:v>
                </c:pt>
                <c:pt idx="681">
                  <c:v>1688.8</c:v>
                </c:pt>
                <c:pt idx="682">
                  <c:v>1688.8</c:v>
                </c:pt>
                <c:pt idx="683">
                  <c:v>1688.753935</c:v>
                </c:pt>
                <c:pt idx="684">
                  <c:v>1688.6061540000001</c:v>
                </c:pt>
                <c:pt idx="685">
                  <c:v>1688.5430570000001</c:v>
                </c:pt>
                <c:pt idx="686">
                  <c:v>1688.519</c:v>
                </c:pt>
                <c:pt idx="687">
                  <c:v>1688</c:v>
                </c:pt>
                <c:pt idx="688">
                  <c:v>1687.8041949999999</c:v>
                </c:pt>
                <c:pt idx="689">
                  <c:v>1687.35</c:v>
                </c:pt>
                <c:pt idx="690">
                  <c:v>1687.2</c:v>
                </c:pt>
                <c:pt idx="691">
                  <c:v>1687.1830649999999</c:v>
                </c:pt>
                <c:pt idx="692">
                  <c:v>1686.4</c:v>
                </c:pt>
                <c:pt idx="693">
                  <c:v>1686.4</c:v>
                </c:pt>
                <c:pt idx="694">
                  <c:v>1686.065077</c:v>
                </c:pt>
                <c:pt idx="695">
                  <c:v>1685.6</c:v>
                </c:pt>
                <c:pt idx="696">
                  <c:v>1685.3848620000001</c:v>
                </c:pt>
                <c:pt idx="697">
                  <c:v>1685.3530000000001</c:v>
                </c:pt>
                <c:pt idx="698">
                  <c:v>1685.147837</c:v>
                </c:pt>
                <c:pt idx="699">
                  <c:v>1685.0039999999999</c:v>
                </c:pt>
                <c:pt idx="700">
                  <c:v>1684.8216609999999</c:v>
                </c:pt>
                <c:pt idx="701">
                  <c:v>1684.7449999999999</c:v>
                </c:pt>
                <c:pt idx="702">
                  <c:v>1684.729576</c:v>
                </c:pt>
                <c:pt idx="703">
                  <c:v>1684</c:v>
                </c:pt>
                <c:pt idx="704">
                  <c:v>1684</c:v>
                </c:pt>
                <c:pt idx="705">
                  <c:v>1683.911746</c:v>
                </c:pt>
                <c:pt idx="706">
                  <c:v>1683.2</c:v>
                </c:pt>
                <c:pt idx="707">
                  <c:v>1682.8480999999999</c:v>
                </c:pt>
                <c:pt idx="708">
                  <c:v>1682.404</c:v>
                </c:pt>
                <c:pt idx="709">
                  <c:v>1682.4</c:v>
                </c:pt>
                <c:pt idx="710">
                  <c:v>1682.4</c:v>
                </c:pt>
                <c:pt idx="711">
                  <c:v>1681.481769</c:v>
                </c:pt>
                <c:pt idx="712">
                  <c:v>1681.412</c:v>
                </c:pt>
                <c:pt idx="713">
                  <c:v>1681.075</c:v>
                </c:pt>
                <c:pt idx="714">
                  <c:v>1680.964025</c:v>
                </c:pt>
                <c:pt idx="715">
                  <c:v>1680.912</c:v>
                </c:pt>
                <c:pt idx="716">
                  <c:v>1680.8330000000001</c:v>
                </c:pt>
                <c:pt idx="717">
                  <c:v>1680.8</c:v>
                </c:pt>
                <c:pt idx="718">
                  <c:v>1680.8</c:v>
                </c:pt>
                <c:pt idx="719">
                  <c:v>1680.6372719999999</c:v>
                </c:pt>
                <c:pt idx="720">
                  <c:v>1680.269</c:v>
                </c:pt>
                <c:pt idx="721">
                  <c:v>1679.110056</c:v>
                </c:pt>
                <c:pt idx="722">
                  <c:v>1678.3489999999999</c:v>
                </c:pt>
                <c:pt idx="723">
                  <c:v>1677.954</c:v>
                </c:pt>
                <c:pt idx="724">
                  <c:v>1677.4839999999999</c:v>
                </c:pt>
                <c:pt idx="725">
                  <c:v>1677.384282</c:v>
                </c:pt>
                <c:pt idx="726">
                  <c:v>1677.2910489999999</c:v>
                </c:pt>
                <c:pt idx="727">
                  <c:v>1676.966678</c:v>
                </c:pt>
                <c:pt idx="728">
                  <c:v>1676.943</c:v>
                </c:pt>
                <c:pt idx="729">
                  <c:v>1676.8</c:v>
                </c:pt>
                <c:pt idx="730">
                  <c:v>1676.6694990000001</c:v>
                </c:pt>
                <c:pt idx="731">
                  <c:v>1675.9290000000001</c:v>
                </c:pt>
                <c:pt idx="732">
                  <c:v>1675.8559419999999</c:v>
                </c:pt>
                <c:pt idx="733">
                  <c:v>1675.855656</c:v>
                </c:pt>
                <c:pt idx="734">
                  <c:v>1675.433</c:v>
                </c:pt>
                <c:pt idx="735">
                  <c:v>1675.2</c:v>
                </c:pt>
                <c:pt idx="736">
                  <c:v>1674.8240000000001</c:v>
                </c:pt>
                <c:pt idx="737">
                  <c:v>1674.457167</c:v>
                </c:pt>
                <c:pt idx="738">
                  <c:v>1674.262166</c:v>
                </c:pt>
                <c:pt idx="739">
                  <c:v>1673.787</c:v>
                </c:pt>
                <c:pt idx="740">
                  <c:v>1673.4271670000001</c:v>
                </c:pt>
                <c:pt idx="741">
                  <c:v>1673.221</c:v>
                </c:pt>
                <c:pt idx="742">
                  <c:v>1673.0266300000001</c:v>
                </c:pt>
                <c:pt idx="743">
                  <c:v>1672.8605600000001</c:v>
                </c:pt>
                <c:pt idx="744">
                  <c:v>1672.28</c:v>
                </c:pt>
                <c:pt idx="745">
                  <c:v>1672.0050000000001</c:v>
                </c:pt>
                <c:pt idx="746">
                  <c:v>1671.9639999999999</c:v>
                </c:pt>
                <c:pt idx="747">
                  <c:v>1671.887602</c:v>
                </c:pt>
                <c:pt idx="748">
                  <c:v>1671.8207</c:v>
                </c:pt>
                <c:pt idx="749">
                  <c:v>1671.7729999999999</c:v>
                </c:pt>
                <c:pt idx="750">
                  <c:v>1671.6569999999999</c:v>
                </c:pt>
                <c:pt idx="751">
                  <c:v>1670.9269999999999</c:v>
                </c:pt>
                <c:pt idx="752">
                  <c:v>1668.96</c:v>
                </c:pt>
                <c:pt idx="753">
                  <c:v>1668.84476</c:v>
                </c:pt>
                <c:pt idx="754">
                  <c:v>1668.8</c:v>
                </c:pt>
                <c:pt idx="755">
                  <c:v>1668.5409999999999</c:v>
                </c:pt>
                <c:pt idx="756">
                  <c:v>1668.3729780000001</c:v>
                </c:pt>
                <c:pt idx="757">
                  <c:v>1667.276445</c:v>
                </c:pt>
                <c:pt idx="758">
                  <c:v>1667.2</c:v>
                </c:pt>
                <c:pt idx="759">
                  <c:v>1666.961</c:v>
                </c:pt>
                <c:pt idx="760">
                  <c:v>1666.4</c:v>
                </c:pt>
                <c:pt idx="761">
                  <c:v>1666.176082</c:v>
                </c:pt>
                <c:pt idx="762">
                  <c:v>1665.983892</c:v>
                </c:pt>
                <c:pt idx="763">
                  <c:v>1665.9829999999999</c:v>
                </c:pt>
                <c:pt idx="764">
                  <c:v>1665.6</c:v>
                </c:pt>
                <c:pt idx="765">
                  <c:v>1664.7170000000001</c:v>
                </c:pt>
                <c:pt idx="766">
                  <c:v>1664.7065930000001</c:v>
                </c:pt>
                <c:pt idx="767">
                  <c:v>1664.4690000000001</c:v>
                </c:pt>
                <c:pt idx="768">
                  <c:v>1664.4275689999999</c:v>
                </c:pt>
                <c:pt idx="769">
                  <c:v>1664.173</c:v>
                </c:pt>
                <c:pt idx="770">
                  <c:v>1664.0250000000001</c:v>
                </c:pt>
                <c:pt idx="771">
                  <c:v>1664</c:v>
                </c:pt>
                <c:pt idx="772">
                  <c:v>1663.6489879999999</c:v>
                </c:pt>
                <c:pt idx="773">
                  <c:v>1663.5360000000001</c:v>
                </c:pt>
                <c:pt idx="774">
                  <c:v>1663.509</c:v>
                </c:pt>
                <c:pt idx="775">
                  <c:v>1663.4870000000001</c:v>
                </c:pt>
                <c:pt idx="776">
                  <c:v>1663.2</c:v>
                </c:pt>
                <c:pt idx="777">
                  <c:v>1662.845</c:v>
                </c:pt>
                <c:pt idx="778">
                  <c:v>1662.3230229999999</c:v>
                </c:pt>
                <c:pt idx="779">
                  <c:v>1661.8303390000001</c:v>
                </c:pt>
                <c:pt idx="780">
                  <c:v>1661.6</c:v>
                </c:pt>
                <c:pt idx="781">
                  <c:v>1661.6</c:v>
                </c:pt>
                <c:pt idx="782">
                  <c:v>1661.6</c:v>
                </c:pt>
                <c:pt idx="783">
                  <c:v>1661.105</c:v>
                </c:pt>
                <c:pt idx="784">
                  <c:v>1660.8</c:v>
                </c:pt>
                <c:pt idx="785">
                  <c:v>1660.715066</c:v>
                </c:pt>
                <c:pt idx="786">
                  <c:v>1660.537</c:v>
                </c:pt>
                <c:pt idx="787">
                  <c:v>1660.194679</c:v>
                </c:pt>
                <c:pt idx="788">
                  <c:v>1660.194679</c:v>
                </c:pt>
                <c:pt idx="789">
                  <c:v>1660.194679</c:v>
                </c:pt>
                <c:pt idx="790">
                  <c:v>1660.158756</c:v>
                </c:pt>
                <c:pt idx="791">
                  <c:v>1660</c:v>
                </c:pt>
                <c:pt idx="792">
                  <c:v>1660</c:v>
                </c:pt>
                <c:pt idx="793">
                  <c:v>1659.9290000000001</c:v>
                </c:pt>
                <c:pt idx="794">
                  <c:v>1659.7049999999999</c:v>
                </c:pt>
                <c:pt idx="795">
                  <c:v>1659.288</c:v>
                </c:pt>
                <c:pt idx="796">
                  <c:v>1659.2</c:v>
                </c:pt>
                <c:pt idx="797">
                  <c:v>1659.0840000000001</c:v>
                </c:pt>
                <c:pt idx="798">
                  <c:v>1658.9659999999999</c:v>
                </c:pt>
                <c:pt idx="799">
                  <c:v>1658.8698449999999</c:v>
                </c:pt>
                <c:pt idx="800">
                  <c:v>1658.6130000000001</c:v>
                </c:pt>
                <c:pt idx="801">
                  <c:v>1658.559019</c:v>
                </c:pt>
                <c:pt idx="802">
                  <c:v>1657.3879999999999</c:v>
                </c:pt>
                <c:pt idx="803">
                  <c:v>1657.048</c:v>
                </c:pt>
                <c:pt idx="804">
                  <c:v>1656.9290000000001</c:v>
                </c:pt>
                <c:pt idx="805">
                  <c:v>1656.806</c:v>
                </c:pt>
                <c:pt idx="806">
                  <c:v>1656.8</c:v>
                </c:pt>
                <c:pt idx="807">
                  <c:v>1656.7965959999999</c:v>
                </c:pt>
                <c:pt idx="808">
                  <c:v>1656.662</c:v>
                </c:pt>
                <c:pt idx="809">
                  <c:v>1656.625</c:v>
                </c:pt>
                <c:pt idx="810">
                  <c:v>1656.321488</c:v>
                </c:pt>
                <c:pt idx="811">
                  <c:v>1656</c:v>
                </c:pt>
                <c:pt idx="812">
                  <c:v>1655.249</c:v>
                </c:pt>
                <c:pt idx="813">
                  <c:v>1655.204639</c:v>
                </c:pt>
                <c:pt idx="814">
                  <c:v>1655.173</c:v>
                </c:pt>
                <c:pt idx="815">
                  <c:v>1655.136849</c:v>
                </c:pt>
                <c:pt idx="816">
                  <c:v>1654.0930000000001</c:v>
                </c:pt>
                <c:pt idx="817">
                  <c:v>1653.7527359999999</c:v>
                </c:pt>
                <c:pt idx="818">
                  <c:v>1653.6520399999999</c:v>
                </c:pt>
                <c:pt idx="819">
                  <c:v>1653.6</c:v>
                </c:pt>
                <c:pt idx="820">
                  <c:v>1653.6</c:v>
                </c:pt>
                <c:pt idx="821">
                  <c:v>1653.5430719999999</c:v>
                </c:pt>
                <c:pt idx="822">
                  <c:v>1653.2460000000001</c:v>
                </c:pt>
                <c:pt idx="823">
                  <c:v>1653.202</c:v>
                </c:pt>
                <c:pt idx="824">
                  <c:v>1653.136</c:v>
                </c:pt>
                <c:pt idx="825">
                  <c:v>1652.92</c:v>
                </c:pt>
                <c:pt idx="826">
                  <c:v>1652.83421</c:v>
                </c:pt>
                <c:pt idx="827">
                  <c:v>1652.807</c:v>
                </c:pt>
                <c:pt idx="828">
                  <c:v>1652.723</c:v>
                </c:pt>
                <c:pt idx="829">
                  <c:v>1652.6849999999999</c:v>
                </c:pt>
                <c:pt idx="830">
                  <c:v>1652.6215139999999</c:v>
                </c:pt>
                <c:pt idx="831">
                  <c:v>1652.547511</c:v>
                </c:pt>
                <c:pt idx="832">
                  <c:v>1652.470742</c:v>
                </c:pt>
                <c:pt idx="833">
                  <c:v>1652.413</c:v>
                </c:pt>
                <c:pt idx="834">
                  <c:v>1651.770573</c:v>
                </c:pt>
                <c:pt idx="835">
                  <c:v>1651.22</c:v>
                </c:pt>
                <c:pt idx="836">
                  <c:v>1651.085</c:v>
                </c:pt>
                <c:pt idx="837">
                  <c:v>1651.018885</c:v>
                </c:pt>
                <c:pt idx="838">
                  <c:v>1650.484017</c:v>
                </c:pt>
                <c:pt idx="839">
                  <c:v>1650.4</c:v>
                </c:pt>
                <c:pt idx="840">
                  <c:v>1649.6990000000001</c:v>
                </c:pt>
                <c:pt idx="841">
                  <c:v>1648.6410000000001</c:v>
                </c:pt>
                <c:pt idx="842">
                  <c:v>1648.1569999999999</c:v>
                </c:pt>
                <c:pt idx="843">
                  <c:v>1648.0719999999999</c:v>
                </c:pt>
                <c:pt idx="844">
                  <c:v>1648</c:v>
                </c:pt>
                <c:pt idx="845">
                  <c:v>1647.9272309999999</c:v>
                </c:pt>
                <c:pt idx="846">
                  <c:v>1647.8616019999999</c:v>
                </c:pt>
                <c:pt idx="847">
                  <c:v>1647.588</c:v>
                </c:pt>
                <c:pt idx="848">
                  <c:v>1647.5440000000001</c:v>
                </c:pt>
                <c:pt idx="849">
                  <c:v>1647.2</c:v>
                </c:pt>
                <c:pt idx="850">
                  <c:v>1647.2</c:v>
                </c:pt>
                <c:pt idx="851">
                  <c:v>1647.1089440000001</c:v>
                </c:pt>
                <c:pt idx="852">
                  <c:v>1647.1089440000001</c:v>
                </c:pt>
                <c:pt idx="853">
                  <c:v>1646.336</c:v>
                </c:pt>
                <c:pt idx="854">
                  <c:v>1646.173</c:v>
                </c:pt>
                <c:pt idx="855">
                  <c:v>1645.7650000000001</c:v>
                </c:pt>
                <c:pt idx="856">
                  <c:v>1645.752</c:v>
                </c:pt>
                <c:pt idx="857">
                  <c:v>1645.6</c:v>
                </c:pt>
                <c:pt idx="858">
                  <c:v>1645.0650000000001</c:v>
                </c:pt>
                <c:pt idx="859">
                  <c:v>1644.8230000000001</c:v>
                </c:pt>
                <c:pt idx="860">
                  <c:v>1644.797</c:v>
                </c:pt>
                <c:pt idx="861">
                  <c:v>1644.7619999999999</c:v>
                </c:pt>
                <c:pt idx="862">
                  <c:v>1644.140678</c:v>
                </c:pt>
                <c:pt idx="863">
                  <c:v>1643.9770000000001</c:v>
                </c:pt>
                <c:pt idx="864">
                  <c:v>1643.7</c:v>
                </c:pt>
                <c:pt idx="865">
                  <c:v>1643.4849999999999</c:v>
                </c:pt>
                <c:pt idx="866">
                  <c:v>1643.2242530000001</c:v>
                </c:pt>
                <c:pt idx="867">
                  <c:v>1643.0202509999999</c:v>
                </c:pt>
                <c:pt idx="868">
                  <c:v>1642.84</c:v>
                </c:pt>
                <c:pt idx="869">
                  <c:v>1642.4999069999999</c:v>
                </c:pt>
                <c:pt idx="870">
                  <c:v>1642.4</c:v>
                </c:pt>
                <c:pt idx="871">
                  <c:v>1642.3118059999999</c:v>
                </c:pt>
                <c:pt idx="872">
                  <c:v>1642.014171</c:v>
                </c:pt>
                <c:pt idx="873">
                  <c:v>1641.9880000000001</c:v>
                </c:pt>
                <c:pt idx="874">
                  <c:v>1641.6575419999999</c:v>
                </c:pt>
                <c:pt idx="875">
                  <c:v>1641.6</c:v>
                </c:pt>
                <c:pt idx="876">
                  <c:v>1641.3779999999999</c:v>
                </c:pt>
                <c:pt idx="877">
                  <c:v>1641.1859999999999</c:v>
                </c:pt>
                <c:pt idx="878">
                  <c:v>1640.8</c:v>
                </c:pt>
                <c:pt idx="879">
                  <c:v>1640.667968</c:v>
                </c:pt>
                <c:pt idx="880">
                  <c:v>1640</c:v>
                </c:pt>
                <c:pt idx="881">
                  <c:v>1639.932221</c:v>
                </c:pt>
                <c:pt idx="882">
                  <c:v>1639.3395619999999</c:v>
                </c:pt>
                <c:pt idx="883">
                  <c:v>1638.931102</c:v>
                </c:pt>
                <c:pt idx="884">
                  <c:v>1638.7225550000001</c:v>
                </c:pt>
                <c:pt idx="885">
                  <c:v>1638.604992</c:v>
                </c:pt>
                <c:pt idx="886">
                  <c:v>1638.537</c:v>
                </c:pt>
                <c:pt idx="887">
                  <c:v>1638.403</c:v>
                </c:pt>
                <c:pt idx="888">
                  <c:v>1638.3992069999999</c:v>
                </c:pt>
                <c:pt idx="889">
                  <c:v>1638.085</c:v>
                </c:pt>
                <c:pt idx="890">
                  <c:v>1638.0250000000001</c:v>
                </c:pt>
                <c:pt idx="891">
                  <c:v>1637.975263</c:v>
                </c:pt>
                <c:pt idx="892">
                  <c:v>1637.6</c:v>
                </c:pt>
                <c:pt idx="893">
                  <c:v>1637.5823969999999</c:v>
                </c:pt>
                <c:pt idx="894">
                  <c:v>1637.2954420000001</c:v>
                </c:pt>
                <c:pt idx="895">
                  <c:v>1637.159478</c:v>
                </c:pt>
                <c:pt idx="896">
                  <c:v>1637.0923110000001</c:v>
                </c:pt>
                <c:pt idx="897">
                  <c:v>1636.944</c:v>
                </c:pt>
                <c:pt idx="898">
                  <c:v>1636.768867</c:v>
                </c:pt>
                <c:pt idx="899">
                  <c:v>1636.5740000000001</c:v>
                </c:pt>
                <c:pt idx="900">
                  <c:v>1636.44982</c:v>
                </c:pt>
                <c:pt idx="901">
                  <c:v>1636.443</c:v>
                </c:pt>
                <c:pt idx="902">
                  <c:v>1636.429928</c:v>
                </c:pt>
                <c:pt idx="903">
                  <c:v>1636.178394</c:v>
                </c:pt>
                <c:pt idx="904">
                  <c:v>1636</c:v>
                </c:pt>
                <c:pt idx="905">
                  <c:v>1636</c:v>
                </c:pt>
                <c:pt idx="906">
                  <c:v>1636</c:v>
                </c:pt>
                <c:pt idx="907">
                  <c:v>1635.7964939999999</c:v>
                </c:pt>
                <c:pt idx="908">
                  <c:v>1635.5820000000001</c:v>
                </c:pt>
                <c:pt idx="909">
                  <c:v>1635.4380000000001</c:v>
                </c:pt>
                <c:pt idx="910">
                  <c:v>1635.414</c:v>
                </c:pt>
                <c:pt idx="911">
                  <c:v>1635.2</c:v>
                </c:pt>
                <c:pt idx="912">
                  <c:v>1634.626</c:v>
                </c:pt>
                <c:pt idx="913">
                  <c:v>1634.4</c:v>
                </c:pt>
                <c:pt idx="914">
                  <c:v>1634.4</c:v>
                </c:pt>
                <c:pt idx="915">
                  <c:v>1634.325454</c:v>
                </c:pt>
                <c:pt idx="916">
                  <c:v>1634.306</c:v>
                </c:pt>
                <c:pt idx="917">
                  <c:v>1634.0530000000001</c:v>
                </c:pt>
                <c:pt idx="918">
                  <c:v>1633.953</c:v>
                </c:pt>
                <c:pt idx="919">
                  <c:v>1633.6</c:v>
                </c:pt>
                <c:pt idx="920">
                  <c:v>1633.5440000000001</c:v>
                </c:pt>
                <c:pt idx="921">
                  <c:v>1633.0419999999999</c:v>
                </c:pt>
                <c:pt idx="922">
                  <c:v>1633.019</c:v>
                </c:pt>
                <c:pt idx="923">
                  <c:v>1632.941476</c:v>
                </c:pt>
                <c:pt idx="924">
                  <c:v>1632.8620000000001</c:v>
                </c:pt>
                <c:pt idx="925">
                  <c:v>1632.6969999999999</c:v>
                </c:pt>
                <c:pt idx="926">
                  <c:v>1632.597</c:v>
                </c:pt>
                <c:pt idx="927">
                  <c:v>1632.030078</c:v>
                </c:pt>
                <c:pt idx="928">
                  <c:v>1632</c:v>
                </c:pt>
                <c:pt idx="929">
                  <c:v>1632</c:v>
                </c:pt>
                <c:pt idx="930">
                  <c:v>1631.5530000000001</c:v>
                </c:pt>
                <c:pt idx="931">
                  <c:v>1631.3869999999999</c:v>
                </c:pt>
                <c:pt idx="932">
                  <c:v>1631.193</c:v>
                </c:pt>
                <c:pt idx="933">
                  <c:v>1630.98</c:v>
                </c:pt>
                <c:pt idx="934">
                  <c:v>1630.57798</c:v>
                </c:pt>
                <c:pt idx="935">
                  <c:v>1629.8510000000001</c:v>
                </c:pt>
                <c:pt idx="936">
                  <c:v>1629.663</c:v>
                </c:pt>
                <c:pt idx="937">
                  <c:v>1629.66</c:v>
                </c:pt>
                <c:pt idx="938">
                  <c:v>1629.6</c:v>
                </c:pt>
                <c:pt idx="939">
                  <c:v>1629.559</c:v>
                </c:pt>
                <c:pt idx="940">
                  <c:v>1629.508</c:v>
                </c:pt>
                <c:pt idx="941">
                  <c:v>1629.220051</c:v>
                </c:pt>
                <c:pt idx="942">
                  <c:v>1628.8</c:v>
                </c:pt>
                <c:pt idx="943">
                  <c:v>1628.792056</c:v>
                </c:pt>
                <c:pt idx="944">
                  <c:v>1628.74503</c:v>
                </c:pt>
                <c:pt idx="945">
                  <c:v>1628.67347</c:v>
                </c:pt>
                <c:pt idx="946">
                  <c:v>1628.6013049999999</c:v>
                </c:pt>
                <c:pt idx="947">
                  <c:v>1628.348</c:v>
                </c:pt>
                <c:pt idx="948">
                  <c:v>1628.2677699999999</c:v>
                </c:pt>
                <c:pt idx="949">
                  <c:v>1628</c:v>
                </c:pt>
                <c:pt idx="950">
                  <c:v>1627.857</c:v>
                </c:pt>
                <c:pt idx="951">
                  <c:v>1627.7258099999999</c:v>
                </c:pt>
                <c:pt idx="952">
                  <c:v>1627.696999</c:v>
                </c:pt>
                <c:pt idx="953">
                  <c:v>1627.3789999999999</c:v>
                </c:pt>
                <c:pt idx="954">
                  <c:v>1627.268</c:v>
                </c:pt>
                <c:pt idx="955">
                  <c:v>1627.259</c:v>
                </c:pt>
                <c:pt idx="956">
                  <c:v>1627.1869999999999</c:v>
                </c:pt>
                <c:pt idx="957">
                  <c:v>1626.9090000000001</c:v>
                </c:pt>
                <c:pt idx="958">
                  <c:v>1626.908551</c:v>
                </c:pt>
                <c:pt idx="959">
                  <c:v>1626.6089999999999</c:v>
                </c:pt>
                <c:pt idx="960">
                  <c:v>1626.5602019999999</c:v>
                </c:pt>
                <c:pt idx="961">
                  <c:v>1626.32</c:v>
                </c:pt>
                <c:pt idx="962">
                  <c:v>1625.7919999999999</c:v>
                </c:pt>
                <c:pt idx="963">
                  <c:v>1625.6</c:v>
                </c:pt>
                <c:pt idx="964">
                  <c:v>1625.5989999999999</c:v>
                </c:pt>
                <c:pt idx="965">
                  <c:v>1625.4019760000001</c:v>
                </c:pt>
                <c:pt idx="966">
                  <c:v>1625.3589999999999</c:v>
                </c:pt>
                <c:pt idx="967">
                  <c:v>1625.1210000000001</c:v>
                </c:pt>
                <c:pt idx="968">
                  <c:v>1625.027994</c:v>
                </c:pt>
                <c:pt idx="969">
                  <c:v>1624.992</c:v>
                </c:pt>
                <c:pt idx="970">
                  <c:v>1624.8</c:v>
                </c:pt>
                <c:pt idx="971">
                  <c:v>1624.8</c:v>
                </c:pt>
                <c:pt idx="972">
                  <c:v>1624.376</c:v>
                </c:pt>
                <c:pt idx="973">
                  <c:v>1624.258</c:v>
                </c:pt>
                <c:pt idx="974">
                  <c:v>1624.0727260000001</c:v>
                </c:pt>
                <c:pt idx="975">
                  <c:v>1624</c:v>
                </c:pt>
                <c:pt idx="976">
                  <c:v>1624</c:v>
                </c:pt>
                <c:pt idx="977">
                  <c:v>1624</c:v>
                </c:pt>
                <c:pt idx="978">
                  <c:v>1623.797863</c:v>
                </c:pt>
                <c:pt idx="979">
                  <c:v>1623.5930000000001</c:v>
                </c:pt>
                <c:pt idx="980">
                  <c:v>1623.580342</c:v>
                </c:pt>
                <c:pt idx="981">
                  <c:v>1623.547722</c:v>
                </c:pt>
                <c:pt idx="982">
                  <c:v>1623.4697880000001</c:v>
                </c:pt>
                <c:pt idx="983">
                  <c:v>1623.432</c:v>
                </c:pt>
                <c:pt idx="984">
                  <c:v>1623.3210859999999</c:v>
                </c:pt>
                <c:pt idx="985">
                  <c:v>1623.2449999999999</c:v>
                </c:pt>
                <c:pt idx="986">
                  <c:v>1623.038</c:v>
                </c:pt>
                <c:pt idx="987">
                  <c:v>1622.9691069999999</c:v>
                </c:pt>
                <c:pt idx="988">
                  <c:v>1622.4644310000001</c:v>
                </c:pt>
                <c:pt idx="989">
                  <c:v>1622.4</c:v>
                </c:pt>
                <c:pt idx="990">
                  <c:v>1622.4</c:v>
                </c:pt>
                <c:pt idx="991">
                  <c:v>1622.4</c:v>
                </c:pt>
                <c:pt idx="992">
                  <c:v>1622.298</c:v>
                </c:pt>
                <c:pt idx="993">
                  <c:v>1622.297</c:v>
                </c:pt>
                <c:pt idx="994">
                  <c:v>1621.6659999999999</c:v>
                </c:pt>
                <c:pt idx="995">
                  <c:v>1621.6</c:v>
                </c:pt>
                <c:pt idx="996">
                  <c:v>1621.58</c:v>
                </c:pt>
                <c:pt idx="997">
                  <c:v>1621.22</c:v>
                </c:pt>
                <c:pt idx="998">
                  <c:v>1621.135</c:v>
                </c:pt>
                <c:pt idx="999">
                  <c:v>1620.8810000000001</c:v>
                </c:pt>
                <c:pt idx="1000">
                  <c:v>1620.8484330000001</c:v>
                </c:pt>
                <c:pt idx="1001">
                  <c:v>1620.7670000000001</c:v>
                </c:pt>
                <c:pt idx="1002">
                  <c:v>1620.6759999999999</c:v>
                </c:pt>
                <c:pt idx="1003">
                  <c:v>1620.5807870000001</c:v>
                </c:pt>
                <c:pt idx="1004">
                  <c:v>1620.4415120000001</c:v>
                </c:pt>
                <c:pt idx="1005">
                  <c:v>1620.3869999999999</c:v>
                </c:pt>
                <c:pt idx="1006">
                  <c:v>1620.241</c:v>
                </c:pt>
                <c:pt idx="1007">
                  <c:v>1620.088</c:v>
                </c:pt>
                <c:pt idx="1008">
                  <c:v>1620</c:v>
                </c:pt>
                <c:pt idx="1009">
                  <c:v>1619.4760000000001</c:v>
                </c:pt>
                <c:pt idx="1010">
                  <c:v>1619.2758819999999</c:v>
                </c:pt>
                <c:pt idx="1011">
                  <c:v>1619.2</c:v>
                </c:pt>
                <c:pt idx="1012">
                  <c:v>1618.778</c:v>
                </c:pt>
                <c:pt idx="1013">
                  <c:v>1617.9572519999999</c:v>
                </c:pt>
                <c:pt idx="1014">
                  <c:v>1617.940098</c:v>
                </c:pt>
                <c:pt idx="1015">
                  <c:v>1617.779</c:v>
                </c:pt>
                <c:pt idx="1016">
                  <c:v>1617.6569999999999</c:v>
                </c:pt>
                <c:pt idx="1017">
                  <c:v>1617.6</c:v>
                </c:pt>
                <c:pt idx="1018">
                  <c:v>1617.23</c:v>
                </c:pt>
                <c:pt idx="1019">
                  <c:v>1616.8</c:v>
                </c:pt>
                <c:pt idx="1020">
                  <c:v>1616.6729740000001</c:v>
                </c:pt>
                <c:pt idx="1021">
                  <c:v>1616.357</c:v>
                </c:pt>
                <c:pt idx="1022">
                  <c:v>1616.0409999999999</c:v>
                </c:pt>
                <c:pt idx="1023">
                  <c:v>1616.0318649999999</c:v>
                </c:pt>
                <c:pt idx="1024">
                  <c:v>1616</c:v>
                </c:pt>
                <c:pt idx="1025">
                  <c:v>1615.953</c:v>
                </c:pt>
                <c:pt idx="1026">
                  <c:v>1615.890789</c:v>
                </c:pt>
                <c:pt idx="1027">
                  <c:v>1615.55457</c:v>
                </c:pt>
                <c:pt idx="1028">
                  <c:v>1615.2725150000001</c:v>
                </c:pt>
                <c:pt idx="1029">
                  <c:v>1615.2579929999999</c:v>
                </c:pt>
                <c:pt idx="1030">
                  <c:v>1615.2544780000001</c:v>
                </c:pt>
                <c:pt idx="1031">
                  <c:v>1615.2</c:v>
                </c:pt>
                <c:pt idx="1032">
                  <c:v>1615.0866120000001</c:v>
                </c:pt>
                <c:pt idx="1033">
                  <c:v>1615.0409999999999</c:v>
                </c:pt>
                <c:pt idx="1034">
                  <c:v>1614.836</c:v>
                </c:pt>
                <c:pt idx="1035">
                  <c:v>1614.825</c:v>
                </c:pt>
                <c:pt idx="1036">
                  <c:v>1614.354</c:v>
                </c:pt>
                <c:pt idx="1037">
                  <c:v>1614.2360000000001</c:v>
                </c:pt>
                <c:pt idx="1038">
                  <c:v>1614.058</c:v>
                </c:pt>
                <c:pt idx="1039">
                  <c:v>1613.9670000000001</c:v>
                </c:pt>
                <c:pt idx="1040">
                  <c:v>1613.938723</c:v>
                </c:pt>
                <c:pt idx="1041">
                  <c:v>1613.7006019999999</c:v>
                </c:pt>
                <c:pt idx="1042">
                  <c:v>1613.6</c:v>
                </c:pt>
                <c:pt idx="1043">
                  <c:v>1613.6</c:v>
                </c:pt>
                <c:pt idx="1044">
                  <c:v>1613.5783750000001</c:v>
                </c:pt>
                <c:pt idx="1045">
                  <c:v>1612.9236639999999</c:v>
                </c:pt>
                <c:pt idx="1046">
                  <c:v>1612.7739999999999</c:v>
                </c:pt>
                <c:pt idx="1047">
                  <c:v>1612.223</c:v>
                </c:pt>
                <c:pt idx="1048">
                  <c:v>1612.0777720000001</c:v>
                </c:pt>
                <c:pt idx="1049">
                  <c:v>1612</c:v>
                </c:pt>
                <c:pt idx="1050">
                  <c:v>1612</c:v>
                </c:pt>
                <c:pt idx="1051">
                  <c:v>1611.558</c:v>
                </c:pt>
                <c:pt idx="1052">
                  <c:v>1611.0829719999999</c:v>
                </c:pt>
                <c:pt idx="1053">
                  <c:v>1610.9349999999999</c:v>
                </c:pt>
                <c:pt idx="1054">
                  <c:v>1610.809</c:v>
                </c:pt>
                <c:pt idx="1055">
                  <c:v>1610.3070560000001</c:v>
                </c:pt>
                <c:pt idx="1056">
                  <c:v>1610.2570000000001</c:v>
                </c:pt>
                <c:pt idx="1057">
                  <c:v>1610.069831</c:v>
                </c:pt>
                <c:pt idx="1058">
                  <c:v>1610.0630000000001</c:v>
                </c:pt>
                <c:pt idx="1059">
                  <c:v>1609.89148</c:v>
                </c:pt>
                <c:pt idx="1060">
                  <c:v>1609.75</c:v>
                </c:pt>
                <c:pt idx="1061">
                  <c:v>1609.7142200000001</c:v>
                </c:pt>
                <c:pt idx="1062">
                  <c:v>1609.667402</c:v>
                </c:pt>
                <c:pt idx="1063">
                  <c:v>1609.6</c:v>
                </c:pt>
                <c:pt idx="1064">
                  <c:v>1609.3489999999999</c:v>
                </c:pt>
                <c:pt idx="1065">
                  <c:v>1609.172</c:v>
                </c:pt>
                <c:pt idx="1066">
                  <c:v>1609.0447999999999</c:v>
                </c:pt>
                <c:pt idx="1067">
                  <c:v>1608.9549999999999</c:v>
                </c:pt>
                <c:pt idx="1068">
                  <c:v>1608.8247389999999</c:v>
                </c:pt>
                <c:pt idx="1069">
                  <c:v>1608.7860000000001</c:v>
                </c:pt>
                <c:pt idx="1070">
                  <c:v>1608.759</c:v>
                </c:pt>
                <c:pt idx="1071">
                  <c:v>1608.7589499999999</c:v>
                </c:pt>
                <c:pt idx="1072">
                  <c:v>1608.326</c:v>
                </c:pt>
                <c:pt idx="1073">
                  <c:v>1608.296</c:v>
                </c:pt>
                <c:pt idx="1074">
                  <c:v>1608.087</c:v>
                </c:pt>
                <c:pt idx="1075">
                  <c:v>1607.957081</c:v>
                </c:pt>
                <c:pt idx="1076">
                  <c:v>1607.779773</c:v>
                </c:pt>
                <c:pt idx="1077">
                  <c:v>1607.6891270000001</c:v>
                </c:pt>
                <c:pt idx="1078">
                  <c:v>1607.655</c:v>
                </c:pt>
                <c:pt idx="1079">
                  <c:v>1607.3969999999999</c:v>
                </c:pt>
                <c:pt idx="1080">
                  <c:v>1607.2</c:v>
                </c:pt>
                <c:pt idx="1081">
                  <c:v>1606.8240000000001</c:v>
                </c:pt>
                <c:pt idx="1082">
                  <c:v>1606.752</c:v>
                </c:pt>
                <c:pt idx="1083">
                  <c:v>1606.691</c:v>
                </c:pt>
                <c:pt idx="1084">
                  <c:v>1606.6790000000001</c:v>
                </c:pt>
                <c:pt idx="1085">
                  <c:v>1606.5070000000001</c:v>
                </c:pt>
                <c:pt idx="1086">
                  <c:v>1606.5007680000001</c:v>
                </c:pt>
                <c:pt idx="1087">
                  <c:v>1605.867</c:v>
                </c:pt>
                <c:pt idx="1088">
                  <c:v>1605.7639999999999</c:v>
                </c:pt>
                <c:pt idx="1089">
                  <c:v>1605.5446930000001</c:v>
                </c:pt>
                <c:pt idx="1090">
                  <c:v>1605.5219999999999</c:v>
                </c:pt>
                <c:pt idx="1091">
                  <c:v>1605.2894980000001</c:v>
                </c:pt>
                <c:pt idx="1092">
                  <c:v>1605.270822</c:v>
                </c:pt>
                <c:pt idx="1093">
                  <c:v>1605.1610800000001</c:v>
                </c:pt>
                <c:pt idx="1094">
                  <c:v>1604.8989999999999</c:v>
                </c:pt>
                <c:pt idx="1095">
                  <c:v>1604.627</c:v>
                </c:pt>
                <c:pt idx="1096">
                  <c:v>1604.4169999999999</c:v>
                </c:pt>
                <c:pt idx="1097">
                  <c:v>1604.172</c:v>
                </c:pt>
                <c:pt idx="1098">
                  <c:v>1604.1110000000001</c:v>
                </c:pt>
                <c:pt idx="1099">
                  <c:v>1603.942</c:v>
                </c:pt>
                <c:pt idx="1100">
                  <c:v>1603.7739999999999</c:v>
                </c:pt>
                <c:pt idx="1101">
                  <c:v>1603.619829</c:v>
                </c:pt>
                <c:pt idx="1102">
                  <c:v>1603.4885300000001</c:v>
                </c:pt>
                <c:pt idx="1103">
                  <c:v>1603.4559999999999</c:v>
                </c:pt>
                <c:pt idx="1104">
                  <c:v>1603.433614</c:v>
                </c:pt>
                <c:pt idx="1105">
                  <c:v>1603.201</c:v>
                </c:pt>
                <c:pt idx="1106">
                  <c:v>1603.2</c:v>
                </c:pt>
                <c:pt idx="1107">
                  <c:v>1603.2</c:v>
                </c:pt>
                <c:pt idx="1108">
                  <c:v>1603.039</c:v>
                </c:pt>
                <c:pt idx="1109">
                  <c:v>1602.9960000000001</c:v>
                </c:pt>
                <c:pt idx="1110">
                  <c:v>1602.9465869999999</c:v>
                </c:pt>
                <c:pt idx="1111">
                  <c:v>1602.912779</c:v>
                </c:pt>
                <c:pt idx="1112">
                  <c:v>1602.8810000000001</c:v>
                </c:pt>
                <c:pt idx="1113">
                  <c:v>1602.5830000000001</c:v>
                </c:pt>
                <c:pt idx="1114">
                  <c:v>1602.4359999999999</c:v>
                </c:pt>
                <c:pt idx="1115">
                  <c:v>1602.4</c:v>
                </c:pt>
                <c:pt idx="1116">
                  <c:v>1602.3009999999999</c:v>
                </c:pt>
                <c:pt idx="1117">
                  <c:v>1602.2650000000001</c:v>
                </c:pt>
                <c:pt idx="1118">
                  <c:v>1602.1426750000001</c:v>
                </c:pt>
                <c:pt idx="1119">
                  <c:v>1602.043907</c:v>
                </c:pt>
                <c:pt idx="1120">
                  <c:v>1601.831999</c:v>
                </c:pt>
                <c:pt idx="1121">
                  <c:v>1601.6</c:v>
                </c:pt>
                <c:pt idx="1122">
                  <c:v>1601.6</c:v>
                </c:pt>
                <c:pt idx="1123">
                  <c:v>1601.6</c:v>
                </c:pt>
                <c:pt idx="1124">
                  <c:v>1601.4670000000001</c:v>
                </c:pt>
                <c:pt idx="1125">
                  <c:v>1601.404</c:v>
                </c:pt>
                <c:pt idx="1126">
                  <c:v>1601.327</c:v>
                </c:pt>
                <c:pt idx="1127">
                  <c:v>1601.227099</c:v>
                </c:pt>
                <c:pt idx="1128">
                  <c:v>1601.1341950000001</c:v>
                </c:pt>
                <c:pt idx="1129">
                  <c:v>1601.039</c:v>
                </c:pt>
                <c:pt idx="1130">
                  <c:v>1600.8</c:v>
                </c:pt>
                <c:pt idx="1131">
                  <c:v>1600.5360000000001</c:v>
                </c:pt>
                <c:pt idx="1132">
                  <c:v>1600.335</c:v>
                </c:pt>
                <c:pt idx="1133">
                  <c:v>1600</c:v>
                </c:pt>
                <c:pt idx="1134">
                  <c:v>1600</c:v>
                </c:pt>
                <c:pt idx="1135">
                  <c:v>1599.883</c:v>
                </c:pt>
                <c:pt idx="1136">
                  <c:v>1599.8309999999999</c:v>
                </c:pt>
                <c:pt idx="1137">
                  <c:v>1599.7157139999999</c:v>
                </c:pt>
                <c:pt idx="1138">
                  <c:v>1599.6752670000001</c:v>
                </c:pt>
                <c:pt idx="1139">
                  <c:v>1599.5180350000001</c:v>
                </c:pt>
                <c:pt idx="1140">
                  <c:v>1599.501</c:v>
                </c:pt>
                <c:pt idx="1141">
                  <c:v>1599.2</c:v>
                </c:pt>
                <c:pt idx="1142">
                  <c:v>1599.2</c:v>
                </c:pt>
                <c:pt idx="1143">
                  <c:v>1598.971</c:v>
                </c:pt>
                <c:pt idx="1144">
                  <c:v>1598.4</c:v>
                </c:pt>
                <c:pt idx="1145">
                  <c:v>1598.4</c:v>
                </c:pt>
                <c:pt idx="1146">
                  <c:v>1598.3854570000001</c:v>
                </c:pt>
                <c:pt idx="1147">
                  <c:v>1598.239</c:v>
                </c:pt>
                <c:pt idx="1148">
                  <c:v>1597.991</c:v>
                </c:pt>
                <c:pt idx="1149">
                  <c:v>1597.92</c:v>
                </c:pt>
                <c:pt idx="1150">
                  <c:v>1597.642261</c:v>
                </c:pt>
                <c:pt idx="1151">
                  <c:v>1597.6</c:v>
                </c:pt>
                <c:pt idx="1152">
                  <c:v>1597.596</c:v>
                </c:pt>
                <c:pt idx="1153">
                  <c:v>1597.549454</c:v>
                </c:pt>
                <c:pt idx="1154">
                  <c:v>1597.412</c:v>
                </c:pt>
                <c:pt idx="1155">
                  <c:v>1596.3166100000001</c:v>
                </c:pt>
                <c:pt idx="1156">
                  <c:v>1595.5861179999999</c:v>
                </c:pt>
                <c:pt idx="1157">
                  <c:v>1595.3702310000001</c:v>
                </c:pt>
                <c:pt idx="1158">
                  <c:v>1595.193951</c:v>
                </c:pt>
                <c:pt idx="1159">
                  <c:v>1595.174994</c:v>
                </c:pt>
                <c:pt idx="1160">
                  <c:v>1595.054085</c:v>
                </c:pt>
                <c:pt idx="1161">
                  <c:v>1594.663</c:v>
                </c:pt>
                <c:pt idx="1162">
                  <c:v>1594.6539620000001</c:v>
                </c:pt>
                <c:pt idx="1163">
                  <c:v>1594.4069999999999</c:v>
                </c:pt>
                <c:pt idx="1164">
                  <c:v>1593.999</c:v>
                </c:pt>
                <c:pt idx="1165">
                  <c:v>1593.7705350000001</c:v>
                </c:pt>
                <c:pt idx="1166">
                  <c:v>1593.6599100000001</c:v>
                </c:pt>
                <c:pt idx="1167">
                  <c:v>1593.6320000000001</c:v>
                </c:pt>
                <c:pt idx="1168">
                  <c:v>1593.500209</c:v>
                </c:pt>
                <c:pt idx="1169">
                  <c:v>1593.2819999999999</c:v>
                </c:pt>
                <c:pt idx="1170">
                  <c:v>1593.2360000000001</c:v>
                </c:pt>
                <c:pt idx="1171">
                  <c:v>1593.1659999999999</c:v>
                </c:pt>
                <c:pt idx="1172">
                  <c:v>1593.0840000000001</c:v>
                </c:pt>
                <c:pt idx="1173">
                  <c:v>1593.0229999999999</c:v>
                </c:pt>
                <c:pt idx="1174">
                  <c:v>1592.847</c:v>
                </c:pt>
                <c:pt idx="1175">
                  <c:v>1592.548</c:v>
                </c:pt>
                <c:pt idx="1176">
                  <c:v>1592.4209559999999</c:v>
                </c:pt>
                <c:pt idx="1177">
                  <c:v>1592.395</c:v>
                </c:pt>
                <c:pt idx="1178">
                  <c:v>1592.2819999999999</c:v>
                </c:pt>
                <c:pt idx="1179">
                  <c:v>1592.239</c:v>
                </c:pt>
                <c:pt idx="1180">
                  <c:v>1592.0898950000001</c:v>
                </c:pt>
                <c:pt idx="1181">
                  <c:v>1591.6165759999999</c:v>
                </c:pt>
                <c:pt idx="1182">
                  <c:v>1591.2</c:v>
                </c:pt>
                <c:pt idx="1183">
                  <c:v>1591.079</c:v>
                </c:pt>
                <c:pt idx="1184">
                  <c:v>1590.8467929999999</c:v>
                </c:pt>
                <c:pt idx="1185">
                  <c:v>1590.8052049999999</c:v>
                </c:pt>
                <c:pt idx="1186">
                  <c:v>1590.4</c:v>
                </c:pt>
                <c:pt idx="1187">
                  <c:v>1589.617</c:v>
                </c:pt>
                <c:pt idx="1188">
                  <c:v>1589.6</c:v>
                </c:pt>
                <c:pt idx="1189">
                  <c:v>1589.6</c:v>
                </c:pt>
                <c:pt idx="1190">
                  <c:v>1589.6</c:v>
                </c:pt>
                <c:pt idx="1191">
                  <c:v>1589.6</c:v>
                </c:pt>
                <c:pt idx="1192">
                  <c:v>1589.6</c:v>
                </c:pt>
                <c:pt idx="1193">
                  <c:v>1589.5170000000001</c:v>
                </c:pt>
                <c:pt idx="1194">
                  <c:v>1589.396033</c:v>
                </c:pt>
                <c:pt idx="1195">
                  <c:v>1589.0909999999999</c:v>
                </c:pt>
                <c:pt idx="1196">
                  <c:v>1588.8</c:v>
                </c:pt>
                <c:pt idx="1197">
                  <c:v>1588.7750000000001</c:v>
                </c:pt>
                <c:pt idx="1198">
                  <c:v>1588.6233179999999</c:v>
                </c:pt>
                <c:pt idx="1199">
                  <c:v>1588.328</c:v>
                </c:pt>
                <c:pt idx="1200">
                  <c:v>1588.2694730000001</c:v>
                </c:pt>
                <c:pt idx="1201">
                  <c:v>1588.2052100000001</c:v>
                </c:pt>
                <c:pt idx="1202">
                  <c:v>1588.152</c:v>
                </c:pt>
                <c:pt idx="1203">
                  <c:v>1588.0616419999999</c:v>
                </c:pt>
                <c:pt idx="1204">
                  <c:v>1587.9010000000001</c:v>
                </c:pt>
                <c:pt idx="1205">
                  <c:v>1587.586</c:v>
                </c:pt>
                <c:pt idx="1206">
                  <c:v>1587.433225</c:v>
                </c:pt>
                <c:pt idx="1207">
                  <c:v>1587.2847039999999</c:v>
                </c:pt>
                <c:pt idx="1208">
                  <c:v>1587.2847039999999</c:v>
                </c:pt>
                <c:pt idx="1209">
                  <c:v>1587.2</c:v>
                </c:pt>
                <c:pt idx="1210">
                  <c:v>1587.2</c:v>
                </c:pt>
                <c:pt idx="1211">
                  <c:v>1587.2</c:v>
                </c:pt>
                <c:pt idx="1212">
                  <c:v>1587.193413</c:v>
                </c:pt>
                <c:pt idx="1213">
                  <c:v>1586.689151</c:v>
                </c:pt>
                <c:pt idx="1214">
                  <c:v>1586.4580000000001</c:v>
                </c:pt>
                <c:pt idx="1215">
                  <c:v>1585.9658509999999</c:v>
                </c:pt>
                <c:pt idx="1216">
                  <c:v>1585.9435140000001</c:v>
                </c:pt>
                <c:pt idx="1217">
                  <c:v>1585.7721590000001</c:v>
                </c:pt>
                <c:pt idx="1218">
                  <c:v>1585.6</c:v>
                </c:pt>
                <c:pt idx="1219">
                  <c:v>1585.6</c:v>
                </c:pt>
                <c:pt idx="1220">
                  <c:v>1585.4112909999999</c:v>
                </c:pt>
                <c:pt idx="1221">
                  <c:v>1584.9706859999999</c:v>
                </c:pt>
                <c:pt idx="1222">
                  <c:v>1584.9543289999999</c:v>
                </c:pt>
                <c:pt idx="1223">
                  <c:v>1584.8</c:v>
                </c:pt>
                <c:pt idx="1224">
                  <c:v>1584.519775</c:v>
                </c:pt>
                <c:pt idx="1225">
                  <c:v>1584.4090000000001</c:v>
                </c:pt>
                <c:pt idx="1226">
                  <c:v>1584.3585599999999</c:v>
                </c:pt>
                <c:pt idx="1227">
                  <c:v>1584.287</c:v>
                </c:pt>
                <c:pt idx="1228">
                  <c:v>1584.170153</c:v>
                </c:pt>
                <c:pt idx="1229">
                  <c:v>1584.0139999999999</c:v>
                </c:pt>
                <c:pt idx="1230">
                  <c:v>1583.2</c:v>
                </c:pt>
                <c:pt idx="1231">
                  <c:v>1583.2</c:v>
                </c:pt>
                <c:pt idx="1232">
                  <c:v>1583.009</c:v>
                </c:pt>
                <c:pt idx="1233">
                  <c:v>1582.693</c:v>
                </c:pt>
                <c:pt idx="1234">
                  <c:v>1582.6230740000001</c:v>
                </c:pt>
                <c:pt idx="1235">
                  <c:v>1582.537</c:v>
                </c:pt>
                <c:pt idx="1236">
                  <c:v>1582.4</c:v>
                </c:pt>
                <c:pt idx="1237">
                  <c:v>1582.2750000000001</c:v>
                </c:pt>
                <c:pt idx="1238">
                  <c:v>1582.149856</c:v>
                </c:pt>
                <c:pt idx="1239">
                  <c:v>1581.6</c:v>
                </c:pt>
                <c:pt idx="1240">
                  <c:v>1581.4449999999999</c:v>
                </c:pt>
                <c:pt idx="1241">
                  <c:v>1581.08</c:v>
                </c:pt>
                <c:pt idx="1242">
                  <c:v>1580.9303199999999</c:v>
                </c:pt>
                <c:pt idx="1243">
                  <c:v>1580.825</c:v>
                </c:pt>
                <c:pt idx="1244">
                  <c:v>1580.8</c:v>
                </c:pt>
                <c:pt idx="1245">
                  <c:v>1580.8</c:v>
                </c:pt>
                <c:pt idx="1246">
                  <c:v>1580.7302380000001</c:v>
                </c:pt>
                <c:pt idx="1247">
                  <c:v>1580.6990000000001</c:v>
                </c:pt>
                <c:pt idx="1248">
                  <c:v>1580.662</c:v>
                </c:pt>
                <c:pt idx="1249">
                  <c:v>1580.4767099999999</c:v>
                </c:pt>
                <c:pt idx="1250">
                  <c:v>1580.403</c:v>
                </c:pt>
                <c:pt idx="1251">
                  <c:v>1580.373</c:v>
                </c:pt>
                <c:pt idx="1252">
                  <c:v>1580.0429999999999</c:v>
                </c:pt>
                <c:pt idx="1253">
                  <c:v>1580</c:v>
                </c:pt>
                <c:pt idx="1254">
                  <c:v>1579.999</c:v>
                </c:pt>
                <c:pt idx="1255">
                  <c:v>1579.9010000000001</c:v>
                </c:pt>
                <c:pt idx="1256">
                  <c:v>1579.896974</c:v>
                </c:pt>
                <c:pt idx="1257">
                  <c:v>1579.4376279999999</c:v>
                </c:pt>
                <c:pt idx="1258">
                  <c:v>1579.2</c:v>
                </c:pt>
                <c:pt idx="1259">
                  <c:v>1579.2</c:v>
                </c:pt>
                <c:pt idx="1260">
                  <c:v>1578.924849</c:v>
                </c:pt>
                <c:pt idx="1261">
                  <c:v>1578.7459779999999</c:v>
                </c:pt>
                <c:pt idx="1262">
                  <c:v>1578.4</c:v>
                </c:pt>
                <c:pt idx="1263">
                  <c:v>1578.4</c:v>
                </c:pt>
                <c:pt idx="1264">
                  <c:v>1577.9614449999999</c:v>
                </c:pt>
                <c:pt idx="1265">
                  <c:v>1577.8526360000001</c:v>
                </c:pt>
                <c:pt idx="1266">
                  <c:v>1577.6</c:v>
                </c:pt>
                <c:pt idx="1267">
                  <c:v>1577.6</c:v>
                </c:pt>
                <c:pt idx="1268">
                  <c:v>1577.5496680000001</c:v>
                </c:pt>
                <c:pt idx="1269">
                  <c:v>1576.944</c:v>
                </c:pt>
                <c:pt idx="1270">
                  <c:v>1576.816</c:v>
                </c:pt>
                <c:pt idx="1271">
                  <c:v>1576.8</c:v>
                </c:pt>
                <c:pt idx="1272">
                  <c:v>1576.8</c:v>
                </c:pt>
                <c:pt idx="1273">
                  <c:v>1576.550358</c:v>
                </c:pt>
                <c:pt idx="1274">
                  <c:v>1576.451272</c:v>
                </c:pt>
                <c:pt idx="1275">
                  <c:v>1576</c:v>
                </c:pt>
                <c:pt idx="1276">
                  <c:v>1575.9590000000001</c:v>
                </c:pt>
                <c:pt idx="1277">
                  <c:v>1575.5306</c:v>
                </c:pt>
                <c:pt idx="1278">
                  <c:v>1575.2</c:v>
                </c:pt>
                <c:pt idx="1279">
                  <c:v>1574.858219</c:v>
                </c:pt>
                <c:pt idx="1280">
                  <c:v>1574.853693</c:v>
                </c:pt>
                <c:pt idx="1281">
                  <c:v>1574.6130000000001</c:v>
                </c:pt>
                <c:pt idx="1282">
                  <c:v>1574.4</c:v>
                </c:pt>
                <c:pt idx="1283">
                  <c:v>1574.4</c:v>
                </c:pt>
                <c:pt idx="1284">
                  <c:v>1574.2257979999999</c:v>
                </c:pt>
                <c:pt idx="1285">
                  <c:v>1573.75</c:v>
                </c:pt>
                <c:pt idx="1286">
                  <c:v>1573.299816</c:v>
                </c:pt>
                <c:pt idx="1287">
                  <c:v>1572.9449999999999</c:v>
                </c:pt>
                <c:pt idx="1288">
                  <c:v>1572.7909219999999</c:v>
                </c:pt>
                <c:pt idx="1289">
                  <c:v>1572.7349999999999</c:v>
                </c:pt>
                <c:pt idx="1290">
                  <c:v>1572.2080000000001</c:v>
                </c:pt>
                <c:pt idx="1291">
                  <c:v>1572.1279999999999</c:v>
                </c:pt>
                <c:pt idx="1292">
                  <c:v>1572</c:v>
                </c:pt>
                <c:pt idx="1293">
                  <c:v>1572</c:v>
                </c:pt>
                <c:pt idx="1294">
                  <c:v>1571.8690509999999</c:v>
                </c:pt>
                <c:pt idx="1295">
                  <c:v>1571.8690509999999</c:v>
                </c:pt>
                <c:pt idx="1296">
                  <c:v>1571.8130000000001</c:v>
                </c:pt>
                <c:pt idx="1297">
                  <c:v>1571.3058860000001</c:v>
                </c:pt>
                <c:pt idx="1298">
                  <c:v>1571.2</c:v>
                </c:pt>
                <c:pt idx="1299">
                  <c:v>1571.2</c:v>
                </c:pt>
                <c:pt idx="1300">
                  <c:v>1571.0512209999999</c:v>
                </c:pt>
                <c:pt idx="1301">
                  <c:v>1570.8409999999999</c:v>
                </c:pt>
                <c:pt idx="1302">
                  <c:v>1570.749</c:v>
                </c:pt>
                <c:pt idx="1303">
                  <c:v>1570.4</c:v>
                </c:pt>
                <c:pt idx="1304">
                  <c:v>1570.2739999999999</c:v>
                </c:pt>
                <c:pt idx="1305">
                  <c:v>1570.0419999999999</c:v>
                </c:pt>
                <c:pt idx="1306">
                  <c:v>1569.997243</c:v>
                </c:pt>
                <c:pt idx="1307">
                  <c:v>1569.8620000000001</c:v>
                </c:pt>
                <c:pt idx="1308">
                  <c:v>1569.6980000000001</c:v>
                </c:pt>
                <c:pt idx="1309">
                  <c:v>1569.6</c:v>
                </c:pt>
                <c:pt idx="1310">
                  <c:v>1569.6</c:v>
                </c:pt>
                <c:pt idx="1311">
                  <c:v>1569.6</c:v>
                </c:pt>
                <c:pt idx="1312">
                  <c:v>1569.6</c:v>
                </c:pt>
                <c:pt idx="1313">
                  <c:v>1569.14</c:v>
                </c:pt>
                <c:pt idx="1314">
                  <c:v>1568.9949999999999</c:v>
                </c:pt>
                <c:pt idx="1315">
                  <c:v>1568.8</c:v>
                </c:pt>
                <c:pt idx="1316">
                  <c:v>1568.8</c:v>
                </c:pt>
                <c:pt idx="1317">
                  <c:v>1568.5977310000001</c:v>
                </c:pt>
                <c:pt idx="1318">
                  <c:v>1568.4882030000001</c:v>
                </c:pt>
                <c:pt idx="1319">
                  <c:v>1568.38</c:v>
                </c:pt>
                <c:pt idx="1320">
                  <c:v>1568</c:v>
                </c:pt>
                <c:pt idx="1321">
                  <c:v>1568</c:v>
                </c:pt>
                <c:pt idx="1322">
                  <c:v>1567.9680000000001</c:v>
                </c:pt>
                <c:pt idx="1323">
                  <c:v>1567.5485120000001</c:v>
                </c:pt>
                <c:pt idx="1324">
                  <c:v>1567.2</c:v>
                </c:pt>
                <c:pt idx="1325">
                  <c:v>1567.2</c:v>
                </c:pt>
                <c:pt idx="1326">
                  <c:v>1567.16</c:v>
                </c:pt>
                <c:pt idx="1327">
                  <c:v>1567.117</c:v>
                </c:pt>
                <c:pt idx="1328">
                  <c:v>1567.0843110000001</c:v>
                </c:pt>
                <c:pt idx="1329">
                  <c:v>1567.0843110000001</c:v>
                </c:pt>
                <c:pt idx="1330">
                  <c:v>1566.8579999999999</c:v>
                </c:pt>
                <c:pt idx="1331">
                  <c:v>1566.4</c:v>
                </c:pt>
                <c:pt idx="1332">
                  <c:v>1566.4</c:v>
                </c:pt>
                <c:pt idx="1333">
                  <c:v>1566.318</c:v>
                </c:pt>
                <c:pt idx="1334">
                  <c:v>1566.144241</c:v>
                </c:pt>
                <c:pt idx="1335">
                  <c:v>1566.0840000000001</c:v>
                </c:pt>
                <c:pt idx="1336">
                  <c:v>1566.0128689999999</c:v>
                </c:pt>
                <c:pt idx="1337">
                  <c:v>1565.6</c:v>
                </c:pt>
                <c:pt idx="1338">
                  <c:v>1565.3264119999999</c:v>
                </c:pt>
                <c:pt idx="1339">
                  <c:v>1565.3264119999999</c:v>
                </c:pt>
                <c:pt idx="1340">
                  <c:v>1565.3264119999999</c:v>
                </c:pt>
                <c:pt idx="1341">
                  <c:v>1565.0319999999999</c:v>
                </c:pt>
                <c:pt idx="1342">
                  <c:v>1564.8336690000001</c:v>
                </c:pt>
                <c:pt idx="1343">
                  <c:v>1564.8</c:v>
                </c:pt>
                <c:pt idx="1344">
                  <c:v>1564.0050000000001</c:v>
                </c:pt>
                <c:pt idx="1345">
                  <c:v>1564</c:v>
                </c:pt>
                <c:pt idx="1346">
                  <c:v>1564</c:v>
                </c:pt>
                <c:pt idx="1347">
                  <c:v>1563.9349830000001</c:v>
                </c:pt>
                <c:pt idx="1348">
                  <c:v>1563.6280710000001</c:v>
                </c:pt>
                <c:pt idx="1349">
                  <c:v>1563.6020000000001</c:v>
                </c:pt>
                <c:pt idx="1350">
                  <c:v>1563.494702</c:v>
                </c:pt>
                <c:pt idx="1351">
                  <c:v>1563.3979999999999</c:v>
                </c:pt>
                <c:pt idx="1352">
                  <c:v>1562.955856</c:v>
                </c:pt>
                <c:pt idx="1353">
                  <c:v>1562.8989999999999</c:v>
                </c:pt>
                <c:pt idx="1354">
                  <c:v>1562.6978140000001</c:v>
                </c:pt>
                <c:pt idx="1355">
                  <c:v>1562.4</c:v>
                </c:pt>
                <c:pt idx="1356">
                  <c:v>1562.1610000000001</c:v>
                </c:pt>
                <c:pt idx="1357">
                  <c:v>1561.962346</c:v>
                </c:pt>
                <c:pt idx="1358">
                  <c:v>1561.86905</c:v>
                </c:pt>
                <c:pt idx="1359">
                  <c:v>1561.8230000000001</c:v>
                </c:pt>
                <c:pt idx="1360">
                  <c:v>1561.3106889999999</c:v>
                </c:pt>
                <c:pt idx="1361">
                  <c:v>1561.2840000000001</c:v>
                </c:pt>
                <c:pt idx="1362">
                  <c:v>1561.2180000000001</c:v>
                </c:pt>
                <c:pt idx="1363">
                  <c:v>1560.8</c:v>
                </c:pt>
                <c:pt idx="1364">
                  <c:v>1560.43372</c:v>
                </c:pt>
                <c:pt idx="1365">
                  <c:v>1560.4090000000001</c:v>
                </c:pt>
                <c:pt idx="1366">
                  <c:v>1560.354</c:v>
                </c:pt>
                <c:pt idx="1367">
                  <c:v>1560.347</c:v>
                </c:pt>
                <c:pt idx="1368">
                  <c:v>1559.601602</c:v>
                </c:pt>
                <c:pt idx="1369">
                  <c:v>1559.5596889999999</c:v>
                </c:pt>
                <c:pt idx="1370">
                  <c:v>1559.029</c:v>
                </c:pt>
                <c:pt idx="1371">
                  <c:v>1559.0239999999999</c:v>
                </c:pt>
                <c:pt idx="1372">
                  <c:v>1558.944471</c:v>
                </c:pt>
                <c:pt idx="1373">
                  <c:v>1558.5830000000001</c:v>
                </c:pt>
                <c:pt idx="1374">
                  <c:v>1558.4</c:v>
                </c:pt>
                <c:pt idx="1375">
                  <c:v>1558.3309999999999</c:v>
                </c:pt>
                <c:pt idx="1376">
                  <c:v>1558.0540000000001</c:v>
                </c:pt>
                <c:pt idx="1377">
                  <c:v>1557.9659429999999</c:v>
                </c:pt>
                <c:pt idx="1378">
                  <c:v>1557.9214649999999</c:v>
                </c:pt>
                <c:pt idx="1379">
                  <c:v>1557.654145</c:v>
                </c:pt>
                <c:pt idx="1380">
                  <c:v>1557.6</c:v>
                </c:pt>
                <c:pt idx="1381">
                  <c:v>1557.6</c:v>
                </c:pt>
                <c:pt idx="1382">
                  <c:v>1557.5415680000001</c:v>
                </c:pt>
                <c:pt idx="1383">
                  <c:v>1557.38</c:v>
                </c:pt>
                <c:pt idx="1384">
                  <c:v>1557.232735</c:v>
                </c:pt>
                <c:pt idx="1385">
                  <c:v>1557.127</c:v>
                </c:pt>
                <c:pt idx="1386">
                  <c:v>1556.9169999999999</c:v>
                </c:pt>
                <c:pt idx="1387">
                  <c:v>1556.8</c:v>
                </c:pt>
                <c:pt idx="1388">
                  <c:v>1556.8</c:v>
                </c:pt>
                <c:pt idx="1389">
                  <c:v>1556.6279999999999</c:v>
                </c:pt>
                <c:pt idx="1390">
                  <c:v>1556.4</c:v>
                </c:pt>
                <c:pt idx="1391">
                  <c:v>1556.242139</c:v>
                </c:pt>
                <c:pt idx="1392">
                  <c:v>1556.164</c:v>
                </c:pt>
                <c:pt idx="1393">
                  <c:v>1556.11</c:v>
                </c:pt>
                <c:pt idx="1394">
                  <c:v>1556.084638</c:v>
                </c:pt>
                <c:pt idx="1395">
                  <c:v>1556</c:v>
                </c:pt>
                <c:pt idx="1396">
                  <c:v>1556</c:v>
                </c:pt>
                <c:pt idx="1397">
                  <c:v>1555.5124530000001</c:v>
                </c:pt>
                <c:pt idx="1398">
                  <c:v>1555.4302379999999</c:v>
                </c:pt>
                <c:pt idx="1399">
                  <c:v>1555.2760000000001</c:v>
                </c:pt>
                <c:pt idx="1400">
                  <c:v>1555.2</c:v>
                </c:pt>
                <c:pt idx="1401">
                  <c:v>1555.098</c:v>
                </c:pt>
                <c:pt idx="1402">
                  <c:v>1554.491</c:v>
                </c:pt>
                <c:pt idx="1403">
                  <c:v>1554.4</c:v>
                </c:pt>
                <c:pt idx="1404">
                  <c:v>1554.4</c:v>
                </c:pt>
                <c:pt idx="1405">
                  <c:v>1554.339453</c:v>
                </c:pt>
                <c:pt idx="1406">
                  <c:v>1554.326</c:v>
                </c:pt>
                <c:pt idx="1407">
                  <c:v>1554.2017049999999</c:v>
                </c:pt>
                <c:pt idx="1408">
                  <c:v>1554.1528539999999</c:v>
                </c:pt>
                <c:pt idx="1409">
                  <c:v>1554.145</c:v>
                </c:pt>
                <c:pt idx="1410">
                  <c:v>1554.021958</c:v>
                </c:pt>
                <c:pt idx="1411">
                  <c:v>1553.989</c:v>
                </c:pt>
                <c:pt idx="1412">
                  <c:v>1553.979</c:v>
                </c:pt>
                <c:pt idx="1413">
                  <c:v>1553.876362</c:v>
                </c:pt>
                <c:pt idx="1414">
                  <c:v>1553.6</c:v>
                </c:pt>
                <c:pt idx="1415">
                  <c:v>1553.6</c:v>
                </c:pt>
                <c:pt idx="1416">
                  <c:v>1553.3917469999999</c:v>
                </c:pt>
                <c:pt idx="1417">
                  <c:v>1553.3050000000001</c:v>
                </c:pt>
                <c:pt idx="1418">
                  <c:v>1553.0947430000001</c:v>
                </c:pt>
                <c:pt idx="1419">
                  <c:v>1552.9577569999999</c:v>
                </c:pt>
                <c:pt idx="1420">
                  <c:v>1552.3009999999999</c:v>
                </c:pt>
                <c:pt idx="1421">
                  <c:v>1552.269536</c:v>
                </c:pt>
                <c:pt idx="1422">
                  <c:v>1552.097</c:v>
                </c:pt>
                <c:pt idx="1423">
                  <c:v>1551.856323</c:v>
                </c:pt>
                <c:pt idx="1424">
                  <c:v>1551.5661399999999</c:v>
                </c:pt>
                <c:pt idx="1425">
                  <c:v>1551.5070000000001</c:v>
                </c:pt>
                <c:pt idx="1426">
                  <c:v>1551.423303</c:v>
                </c:pt>
                <c:pt idx="1427">
                  <c:v>1551.362967</c:v>
                </c:pt>
                <c:pt idx="1428">
                  <c:v>1551.2</c:v>
                </c:pt>
                <c:pt idx="1429">
                  <c:v>1551.2</c:v>
                </c:pt>
                <c:pt idx="1430">
                  <c:v>1551.1410000000001</c:v>
                </c:pt>
                <c:pt idx="1431">
                  <c:v>1551.070219</c:v>
                </c:pt>
                <c:pt idx="1432">
                  <c:v>1550.943</c:v>
                </c:pt>
                <c:pt idx="1433">
                  <c:v>1550.847</c:v>
                </c:pt>
                <c:pt idx="1434">
                  <c:v>1550.7729999999999</c:v>
                </c:pt>
                <c:pt idx="1435">
                  <c:v>1550.7355930000001</c:v>
                </c:pt>
                <c:pt idx="1436">
                  <c:v>1550.4159999999999</c:v>
                </c:pt>
                <c:pt idx="1437">
                  <c:v>1550.4</c:v>
                </c:pt>
                <c:pt idx="1438">
                  <c:v>1550.4</c:v>
                </c:pt>
                <c:pt idx="1439">
                  <c:v>1549.6790000000001</c:v>
                </c:pt>
                <c:pt idx="1440">
                  <c:v>1549.6</c:v>
                </c:pt>
                <c:pt idx="1441">
                  <c:v>1548.969814</c:v>
                </c:pt>
                <c:pt idx="1442">
                  <c:v>1548.9033649999999</c:v>
                </c:pt>
                <c:pt idx="1443">
                  <c:v>1548.8</c:v>
                </c:pt>
                <c:pt idx="1444">
                  <c:v>1548.8</c:v>
                </c:pt>
                <c:pt idx="1445">
                  <c:v>1548.768</c:v>
                </c:pt>
                <c:pt idx="1446">
                  <c:v>1548.5915669999999</c:v>
                </c:pt>
                <c:pt idx="1447">
                  <c:v>1548.048354</c:v>
                </c:pt>
                <c:pt idx="1448">
                  <c:v>1548</c:v>
                </c:pt>
                <c:pt idx="1449">
                  <c:v>1547.990462</c:v>
                </c:pt>
                <c:pt idx="1450">
                  <c:v>1547.8869999999999</c:v>
                </c:pt>
                <c:pt idx="1451">
                  <c:v>1547.5340940000001</c:v>
                </c:pt>
                <c:pt idx="1452">
                  <c:v>1547.5219999999999</c:v>
                </c:pt>
                <c:pt idx="1453">
                  <c:v>1547.461</c:v>
                </c:pt>
                <c:pt idx="1454">
                  <c:v>1547.415</c:v>
                </c:pt>
                <c:pt idx="1455">
                  <c:v>1547.10049</c:v>
                </c:pt>
                <c:pt idx="1456">
                  <c:v>1546.8022510000001</c:v>
                </c:pt>
                <c:pt idx="1457">
                  <c:v>1546.639183</c:v>
                </c:pt>
                <c:pt idx="1458">
                  <c:v>1546.546</c:v>
                </c:pt>
                <c:pt idx="1459">
                  <c:v>1546.5163239999999</c:v>
                </c:pt>
                <c:pt idx="1460">
                  <c:v>1546.4283150000001</c:v>
                </c:pt>
                <c:pt idx="1461">
                  <c:v>1546.4</c:v>
                </c:pt>
                <c:pt idx="1462">
                  <c:v>1546.4</c:v>
                </c:pt>
                <c:pt idx="1463">
                  <c:v>1546.4</c:v>
                </c:pt>
                <c:pt idx="1464">
                  <c:v>1546.268</c:v>
                </c:pt>
                <c:pt idx="1465">
                  <c:v>1546.267908</c:v>
                </c:pt>
                <c:pt idx="1466">
                  <c:v>1546.2629910000001</c:v>
                </c:pt>
                <c:pt idx="1467">
                  <c:v>1546.02</c:v>
                </c:pt>
                <c:pt idx="1468">
                  <c:v>1545.6</c:v>
                </c:pt>
                <c:pt idx="1469">
                  <c:v>1545.6</c:v>
                </c:pt>
                <c:pt idx="1470">
                  <c:v>1545.3430000000001</c:v>
                </c:pt>
                <c:pt idx="1471">
                  <c:v>1545.3275329999999</c:v>
                </c:pt>
                <c:pt idx="1472">
                  <c:v>1545.107503</c:v>
                </c:pt>
                <c:pt idx="1473">
                  <c:v>1545.1010000000001</c:v>
                </c:pt>
                <c:pt idx="1474">
                  <c:v>1544.910273</c:v>
                </c:pt>
                <c:pt idx="1475">
                  <c:v>1544.8</c:v>
                </c:pt>
                <c:pt idx="1476">
                  <c:v>1544.8</c:v>
                </c:pt>
                <c:pt idx="1477">
                  <c:v>1544.713</c:v>
                </c:pt>
                <c:pt idx="1478">
                  <c:v>1544.646</c:v>
                </c:pt>
                <c:pt idx="1479">
                  <c:v>1544.6189999999999</c:v>
                </c:pt>
                <c:pt idx="1480">
                  <c:v>1544.5989999999999</c:v>
                </c:pt>
                <c:pt idx="1481">
                  <c:v>1544.327</c:v>
                </c:pt>
                <c:pt idx="1482">
                  <c:v>1544.0628340000001</c:v>
                </c:pt>
                <c:pt idx="1483">
                  <c:v>1544.0628340000001</c:v>
                </c:pt>
                <c:pt idx="1484">
                  <c:v>1544</c:v>
                </c:pt>
                <c:pt idx="1485">
                  <c:v>1543.776165</c:v>
                </c:pt>
                <c:pt idx="1486">
                  <c:v>1543.6955579999999</c:v>
                </c:pt>
                <c:pt idx="1487">
                  <c:v>1543.651875</c:v>
                </c:pt>
                <c:pt idx="1488">
                  <c:v>1543.5340000000001</c:v>
                </c:pt>
                <c:pt idx="1489">
                  <c:v>1543.2</c:v>
                </c:pt>
                <c:pt idx="1490">
                  <c:v>1542.974948</c:v>
                </c:pt>
                <c:pt idx="1491">
                  <c:v>1542.9505859999999</c:v>
                </c:pt>
                <c:pt idx="1492">
                  <c:v>1542.7756079999999</c:v>
                </c:pt>
                <c:pt idx="1493">
                  <c:v>1542.743733</c:v>
                </c:pt>
                <c:pt idx="1494">
                  <c:v>1542.4</c:v>
                </c:pt>
                <c:pt idx="1495">
                  <c:v>1542.4</c:v>
                </c:pt>
                <c:pt idx="1496">
                  <c:v>1542.4</c:v>
                </c:pt>
                <c:pt idx="1497">
                  <c:v>1542.1992049999999</c:v>
                </c:pt>
                <c:pt idx="1498">
                  <c:v>1542.126143</c:v>
                </c:pt>
                <c:pt idx="1499">
                  <c:v>1542.057</c:v>
                </c:pt>
                <c:pt idx="1500">
                  <c:v>1541.713</c:v>
                </c:pt>
                <c:pt idx="1501">
                  <c:v>1541.6</c:v>
                </c:pt>
                <c:pt idx="1502">
                  <c:v>1541.5025800000001</c:v>
                </c:pt>
                <c:pt idx="1503">
                  <c:v>1540.8240000000001</c:v>
                </c:pt>
                <c:pt idx="1504">
                  <c:v>1540.8</c:v>
                </c:pt>
                <c:pt idx="1505">
                  <c:v>1540.8</c:v>
                </c:pt>
                <c:pt idx="1506">
                  <c:v>1540.8</c:v>
                </c:pt>
                <c:pt idx="1507">
                  <c:v>1540.681</c:v>
                </c:pt>
                <c:pt idx="1508">
                  <c:v>1540.5239999999999</c:v>
                </c:pt>
                <c:pt idx="1509">
                  <c:v>1540.0610730000001</c:v>
                </c:pt>
                <c:pt idx="1510">
                  <c:v>1540.0450000000001</c:v>
                </c:pt>
                <c:pt idx="1511">
                  <c:v>1539.8914749999999</c:v>
                </c:pt>
                <c:pt idx="1512">
                  <c:v>1539.86</c:v>
                </c:pt>
                <c:pt idx="1513">
                  <c:v>1539.8240000000001</c:v>
                </c:pt>
                <c:pt idx="1514">
                  <c:v>1539.8109999999999</c:v>
                </c:pt>
                <c:pt idx="1515">
                  <c:v>1539.509</c:v>
                </c:pt>
                <c:pt idx="1516">
                  <c:v>1539.2</c:v>
                </c:pt>
                <c:pt idx="1517">
                  <c:v>1539.2</c:v>
                </c:pt>
                <c:pt idx="1518">
                  <c:v>1539.01</c:v>
                </c:pt>
                <c:pt idx="1519">
                  <c:v>1538.8330000000001</c:v>
                </c:pt>
                <c:pt idx="1520">
                  <c:v>1538.7348079999999</c:v>
                </c:pt>
                <c:pt idx="1521">
                  <c:v>1538.6406219999999</c:v>
                </c:pt>
                <c:pt idx="1522">
                  <c:v>1538.616325</c:v>
                </c:pt>
                <c:pt idx="1523">
                  <c:v>1538.4639999999999</c:v>
                </c:pt>
                <c:pt idx="1524">
                  <c:v>1538.4</c:v>
                </c:pt>
                <c:pt idx="1525">
                  <c:v>1538.3489999999999</c:v>
                </c:pt>
                <c:pt idx="1526">
                  <c:v>1538.1880000000001</c:v>
                </c:pt>
                <c:pt idx="1527">
                  <c:v>1538.105</c:v>
                </c:pt>
                <c:pt idx="1528">
                  <c:v>1537.6079999999999</c:v>
                </c:pt>
                <c:pt idx="1529">
                  <c:v>1537.6</c:v>
                </c:pt>
                <c:pt idx="1530">
                  <c:v>1537.6</c:v>
                </c:pt>
                <c:pt idx="1531">
                  <c:v>1537.5606600000001</c:v>
                </c:pt>
                <c:pt idx="1532">
                  <c:v>1537.530092</c:v>
                </c:pt>
                <c:pt idx="1533">
                  <c:v>1537.528</c:v>
                </c:pt>
                <c:pt idx="1534">
                  <c:v>1537.375166</c:v>
                </c:pt>
                <c:pt idx="1535">
                  <c:v>1537.2629999999999</c:v>
                </c:pt>
                <c:pt idx="1536">
                  <c:v>1537.183</c:v>
                </c:pt>
                <c:pt idx="1537">
                  <c:v>1537.0519879999999</c:v>
                </c:pt>
                <c:pt idx="1538">
                  <c:v>1536.916772</c:v>
                </c:pt>
                <c:pt idx="1539">
                  <c:v>1536.8076610000001</c:v>
                </c:pt>
                <c:pt idx="1540">
                  <c:v>1536.8040000000001</c:v>
                </c:pt>
                <c:pt idx="1541">
                  <c:v>1536.8</c:v>
                </c:pt>
                <c:pt idx="1542">
                  <c:v>1536.621605</c:v>
                </c:pt>
                <c:pt idx="1543">
                  <c:v>1536.546</c:v>
                </c:pt>
                <c:pt idx="1544">
                  <c:v>1536.423</c:v>
                </c:pt>
                <c:pt idx="1545">
                  <c:v>1536.183</c:v>
                </c:pt>
                <c:pt idx="1546">
                  <c:v>1536</c:v>
                </c:pt>
                <c:pt idx="1547">
                  <c:v>1535.971</c:v>
                </c:pt>
                <c:pt idx="1548">
                  <c:v>1535.884536</c:v>
                </c:pt>
                <c:pt idx="1549">
                  <c:v>1535.856</c:v>
                </c:pt>
                <c:pt idx="1550">
                  <c:v>1535.769</c:v>
                </c:pt>
                <c:pt idx="1551">
                  <c:v>1535.5758049999999</c:v>
                </c:pt>
                <c:pt idx="1552">
                  <c:v>1535.5124229999999</c:v>
                </c:pt>
                <c:pt idx="1553">
                  <c:v>1535.2541249999999</c:v>
                </c:pt>
                <c:pt idx="1554">
                  <c:v>1535.2298450000001</c:v>
                </c:pt>
                <c:pt idx="1555">
                  <c:v>1534.806726</c:v>
                </c:pt>
                <c:pt idx="1556">
                  <c:v>1534.4519359999999</c:v>
                </c:pt>
                <c:pt idx="1557">
                  <c:v>1534.4</c:v>
                </c:pt>
                <c:pt idx="1558">
                  <c:v>1534.4</c:v>
                </c:pt>
                <c:pt idx="1559">
                  <c:v>1534.4</c:v>
                </c:pt>
                <c:pt idx="1560">
                  <c:v>1534.356761</c:v>
                </c:pt>
                <c:pt idx="1561">
                  <c:v>1534.3209999999999</c:v>
                </c:pt>
                <c:pt idx="1562">
                  <c:v>1534.229</c:v>
                </c:pt>
                <c:pt idx="1563">
                  <c:v>1534.1990000000001</c:v>
                </c:pt>
                <c:pt idx="1564">
                  <c:v>1534.0546629999999</c:v>
                </c:pt>
                <c:pt idx="1565">
                  <c:v>1533.6</c:v>
                </c:pt>
                <c:pt idx="1566">
                  <c:v>1533.5207479999999</c:v>
                </c:pt>
                <c:pt idx="1567">
                  <c:v>1533.158095</c:v>
                </c:pt>
                <c:pt idx="1568">
                  <c:v>1533.0236890000001</c:v>
                </c:pt>
                <c:pt idx="1569">
                  <c:v>1532.8</c:v>
                </c:pt>
                <c:pt idx="1570">
                  <c:v>1532.8</c:v>
                </c:pt>
                <c:pt idx="1571">
                  <c:v>1532.1980000000001</c:v>
                </c:pt>
                <c:pt idx="1572">
                  <c:v>1532</c:v>
                </c:pt>
                <c:pt idx="1573">
                  <c:v>1532</c:v>
                </c:pt>
                <c:pt idx="1574">
                  <c:v>1532</c:v>
                </c:pt>
                <c:pt idx="1575">
                  <c:v>1532</c:v>
                </c:pt>
                <c:pt idx="1576">
                  <c:v>1531.3526529999999</c:v>
                </c:pt>
                <c:pt idx="1577">
                  <c:v>1531.346</c:v>
                </c:pt>
                <c:pt idx="1578">
                  <c:v>1531.2</c:v>
                </c:pt>
                <c:pt idx="1579">
                  <c:v>1531.2</c:v>
                </c:pt>
                <c:pt idx="1580">
                  <c:v>1531.2</c:v>
                </c:pt>
                <c:pt idx="1581">
                  <c:v>1531.0129999999999</c:v>
                </c:pt>
                <c:pt idx="1582">
                  <c:v>1530.977556</c:v>
                </c:pt>
                <c:pt idx="1583">
                  <c:v>1530.86</c:v>
                </c:pt>
                <c:pt idx="1584">
                  <c:v>1530.7180000000001</c:v>
                </c:pt>
                <c:pt idx="1585">
                  <c:v>1530.0640000000001</c:v>
                </c:pt>
                <c:pt idx="1586">
                  <c:v>1529.9045980000001</c:v>
                </c:pt>
                <c:pt idx="1587">
                  <c:v>1529.712</c:v>
                </c:pt>
                <c:pt idx="1588">
                  <c:v>1529.6</c:v>
                </c:pt>
                <c:pt idx="1589">
                  <c:v>1529.6</c:v>
                </c:pt>
                <c:pt idx="1590">
                  <c:v>1529.6</c:v>
                </c:pt>
                <c:pt idx="1591">
                  <c:v>1529.6</c:v>
                </c:pt>
                <c:pt idx="1592">
                  <c:v>1529.519</c:v>
                </c:pt>
                <c:pt idx="1593">
                  <c:v>1528.819706</c:v>
                </c:pt>
                <c:pt idx="1594">
                  <c:v>1528.819</c:v>
                </c:pt>
                <c:pt idx="1595">
                  <c:v>1528.4749999999999</c:v>
                </c:pt>
                <c:pt idx="1596">
                  <c:v>1528.352928</c:v>
                </c:pt>
                <c:pt idx="1597">
                  <c:v>1528.29</c:v>
                </c:pt>
                <c:pt idx="1598">
                  <c:v>1528.2070000000001</c:v>
                </c:pt>
                <c:pt idx="1599">
                  <c:v>1528.0967499999999</c:v>
                </c:pt>
                <c:pt idx="1600">
                  <c:v>1528.0060000000001</c:v>
                </c:pt>
                <c:pt idx="1601">
                  <c:v>1528</c:v>
                </c:pt>
                <c:pt idx="1602">
                  <c:v>1527.8810000000001</c:v>
                </c:pt>
                <c:pt idx="1603">
                  <c:v>1527.7062370000001</c:v>
                </c:pt>
                <c:pt idx="1604">
                  <c:v>1527.7062370000001</c:v>
                </c:pt>
                <c:pt idx="1605">
                  <c:v>1527.3320000000001</c:v>
                </c:pt>
                <c:pt idx="1606">
                  <c:v>1527.327</c:v>
                </c:pt>
                <c:pt idx="1607">
                  <c:v>1527.2199499999999</c:v>
                </c:pt>
                <c:pt idx="1608">
                  <c:v>1526.8884069999999</c:v>
                </c:pt>
                <c:pt idx="1609">
                  <c:v>1526.8884069999999</c:v>
                </c:pt>
                <c:pt idx="1610">
                  <c:v>1526.8378439999999</c:v>
                </c:pt>
                <c:pt idx="1611">
                  <c:v>1526.73</c:v>
                </c:pt>
                <c:pt idx="1612">
                  <c:v>1526.413</c:v>
                </c:pt>
                <c:pt idx="1613">
                  <c:v>1526.4</c:v>
                </c:pt>
                <c:pt idx="1614">
                  <c:v>1526.4</c:v>
                </c:pt>
                <c:pt idx="1615">
                  <c:v>1526.204013</c:v>
                </c:pt>
                <c:pt idx="1616">
                  <c:v>1526.0409560000001</c:v>
                </c:pt>
                <c:pt idx="1617">
                  <c:v>1525.9327900000001</c:v>
                </c:pt>
                <c:pt idx="1618">
                  <c:v>1525.6</c:v>
                </c:pt>
                <c:pt idx="1619">
                  <c:v>1525.6</c:v>
                </c:pt>
                <c:pt idx="1620">
                  <c:v>1525.559</c:v>
                </c:pt>
                <c:pt idx="1621">
                  <c:v>1525.4623160000001</c:v>
                </c:pt>
                <c:pt idx="1622">
                  <c:v>1525.3618429999999</c:v>
                </c:pt>
                <c:pt idx="1623">
                  <c:v>1525.3581389999999</c:v>
                </c:pt>
                <c:pt idx="1624">
                  <c:v>1525.0440000000001</c:v>
                </c:pt>
                <c:pt idx="1625">
                  <c:v>1524.5</c:v>
                </c:pt>
                <c:pt idx="1626">
                  <c:v>1524</c:v>
                </c:pt>
                <c:pt idx="1627">
                  <c:v>1524</c:v>
                </c:pt>
                <c:pt idx="1628">
                  <c:v>1524</c:v>
                </c:pt>
                <c:pt idx="1629">
                  <c:v>1523.6949999999999</c:v>
                </c:pt>
                <c:pt idx="1630">
                  <c:v>1523.623</c:v>
                </c:pt>
                <c:pt idx="1631">
                  <c:v>1523.6220000000001</c:v>
                </c:pt>
                <c:pt idx="1632">
                  <c:v>1523.569606</c:v>
                </c:pt>
                <c:pt idx="1633">
                  <c:v>1522.9570000000001</c:v>
                </c:pt>
                <c:pt idx="1634">
                  <c:v>1522.874</c:v>
                </c:pt>
                <c:pt idx="1635">
                  <c:v>1522.828</c:v>
                </c:pt>
                <c:pt idx="1636">
                  <c:v>1522.7988350000001</c:v>
                </c:pt>
                <c:pt idx="1637">
                  <c:v>1522.665</c:v>
                </c:pt>
                <c:pt idx="1638">
                  <c:v>1522.4280000000001</c:v>
                </c:pt>
                <c:pt idx="1639">
                  <c:v>1522.4</c:v>
                </c:pt>
                <c:pt idx="1640">
                  <c:v>1522.3453870000001</c:v>
                </c:pt>
                <c:pt idx="1641">
                  <c:v>1522.0624909999999</c:v>
                </c:pt>
                <c:pt idx="1642">
                  <c:v>1521.9830489999999</c:v>
                </c:pt>
                <c:pt idx="1643">
                  <c:v>1521.9814269999999</c:v>
                </c:pt>
                <c:pt idx="1644">
                  <c:v>1521.9814269999999</c:v>
                </c:pt>
                <c:pt idx="1645">
                  <c:v>1521.977241</c:v>
                </c:pt>
                <c:pt idx="1646">
                  <c:v>1521.6</c:v>
                </c:pt>
                <c:pt idx="1647">
                  <c:v>1521.6</c:v>
                </c:pt>
                <c:pt idx="1648">
                  <c:v>1521.6</c:v>
                </c:pt>
                <c:pt idx="1649">
                  <c:v>1521.163597</c:v>
                </c:pt>
                <c:pt idx="1650">
                  <c:v>1520.8</c:v>
                </c:pt>
                <c:pt idx="1651">
                  <c:v>1520.7914539999999</c:v>
                </c:pt>
                <c:pt idx="1652">
                  <c:v>1520.475688</c:v>
                </c:pt>
                <c:pt idx="1653">
                  <c:v>1520.337</c:v>
                </c:pt>
                <c:pt idx="1654">
                  <c:v>1520.1420000000001</c:v>
                </c:pt>
                <c:pt idx="1655">
                  <c:v>1520.027</c:v>
                </c:pt>
                <c:pt idx="1656">
                  <c:v>1519.8932520000001</c:v>
                </c:pt>
                <c:pt idx="1657">
                  <c:v>1519.876</c:v>
                </c:pt>
                <c:pt idx="1658">
                  <c:v>1519.6658500000001</c:v>
                </c:pt>
                <c:pt idx="1659">
                  <c:v>1519.513539</c:v>
                </c:pt>
                <c:pt idx="1660">
                  <c:v>1519.2349999999999</c:v>
                </c:pt>
                <c:pt idx="1661">
                  <c:v>1519.2</c:v>
                </c:pt>
                <c:pt idx="1662">
                  <c:v>1519.172</c:v>
                </c:pt>
                <c:pt idx="1663">
                  <c:v>1519.1010000000001</c:v>
                </c:pt>
                <c:pt idx="1664">
                  <c:v>1518.9141440000001</c:v>
                </c:pt>
                <c:pt idx="1665">
                  <c:v>1518.9094540000001</c:v>
                </c:pt>
                <c:pt idx="1666">
                  <c:v>1518.813909</c:v>
                </c:pt>
                <c:pt idx="1667">
                  <c:v>1518.813909</c:v>
                </c:pt>
                <c:pt idx="1668">
                  <c:v>1518.710108</c:v>
                </c:pt>
                <c:pt idx="1669">
                  <c:v>1518.4</c:v>
                </c:pt>
                <c:pt idx="1670">
                  <c:v>1518.4</c:v>
                </c:pt>
                <c:pt idx="1671">
                  <c:v>1518.4</c:v>
                </c:pt>
                <c:pt idx="1672">
                  <c:v>1517.9190000000001</c:v>
                </c:pt>
                <c:pt idx="1673">
                  <c:v>1517.8448820000001</c:v>
                </c:pt>
                <c:pt idx="1674">
                  <c:v>1517.6</c:v>
                </c:pt>
                <c:pt idx="1675">
                  <c:v>1517.6</c:v>
                </c:pt>
                <c:pt idx="1676">
                  <c:v>1517.6</c:v>
                </c:pt>
                <c:pt idx="1677">
                  <c:v>1517.360267</c:v>
                </c:pt>
                <c:pt idx="1678">
                  <c:v>1517.328</c:v>
                </c:pt>
                <c:pt idx="1679">
                  <c:v>1517.155</c:v>
                </c:pt>
                <c:pt idx="1680">
                  <c:v>1517.038</c:v>
                </c:pt>
                <c:pt idx="1681">
                  <c:v>1516.8</c:v>
                </c:pt>
                <c:pt idx="1682">
                  <c:v>1516.8</c:v>
                </c:pt>
                <c:pt idx="1683">
                  <c:v>1516.4782970000001</c:v>
                </c:pt>
                <c:pt idx="1684">
                  <c:v>1516.32</c:v>
                </c:pt>
                <c:pt idx="1685">
                  <c:v>1516</c:v>
                </c:pt>
                <c:pt idx="1686">
                  <c:v>1515.751</c:v>
                </c:pt>
                <c:pt idx="1687">
                  <c:v>1515.3155589999999</c:v>
                </c:pt>
                <c:pt idx="1688">
                  <c:v>1515.2</c:v>
                </c:pt>
                <c:pt idx="1689">
                  <c:v>1515.2</c:v>
                </c:pt>
                <c:pt idx="1690">
                  <c:v>1515.2</c:v>
                </c:pt>
                <c:pt idx="1691">
                  <c:v>1515.135</c:v>
                </c:pt>
                <c:pt idx="1692">
                  <c:v>1514.83</c:v>
                </c:pt>
                <c:pt idx="1693">
                  <c:v>1514.7519669999999</c:v>
                </c:pt>
                <c:pt idx="1694">
                  <c:v>1514.7370000000001</c:v>
                </c:pt>
                <c:pt idx="1695">
                  <c:v>1514.4</c:v>
                </c:pt>
                <c:pt idx="1696">
                  <c:v>1514.4</c:v>
                </c:pt>
                <c:pt idx="1697">
                  <c:v>1514.373</c:v>
                </c:pt>
                <c:pt idx="1698">
                  <c:v>1514.242</c:v>
                </c:pt>
                <c:pt idx="1699">
                  <c:v>1514.182</c:v>
                </c:pt>
                <c:pt idx="1700">
                  <c:v>1513.803128</c:v>
                </c:pt>
                <c:pt idx="1701">
                  <c:v>1513.6533010000001</c:v>
                </c:pt>
                <c:pt idx="1702">
                  <c:v>1513.4914690000001</c:v>
                </c:pt>
                <c:pt idx="1703">
                  <c:v>1513.475576</c:v>
                </c:pt>
                <c:pt idx="1704">
                  <c:v>1513.3230000000001</c:v>
                </c:pt>
                <c:pt idx="1705">
                  <c:v>1512.8</c:v>
                </c:pt>
                <c:pt idx="1706">
                  <c:v>1512.8</c:v>
                </c:pt>
                <c:pt idx="1707">
                  <c:v>1512.8</c:v>
                </c:pt>
                <c:pt idx="1708">
                  <c:v>1512.8</c:v>
                </c:pt>
                <c:pt idx="1709">
                  <c:v>1512.557</c:v>
                </c:pt>
                <c:pt idx="1710">
                  <c:v>1512.4938560000001</c:v>
                </c:pt>
                <c:pt idx="1711">
                  <c:v>1512.1189999999999</c:v>
                </c:pt>
                <c:pt idx="1712">
                  <c:v>1512.014727</c:v>
                </c:pt>
                <c:pt idx="1713">
                  <c:v>1511.9217000000001</c:v>
                </c:pt>
                <c:pt idx="1714">
                  <c:v>1511.5332309999999</c:v>
                </c:pt>
                <c:pt idx="1715">
                  <c:v>1511.507071</c:v>
                </c:pt>
                <c:pt idx="1716">
                  <c:v>1511.4079999999999</c:v>
                </c:pt>
                <c:pt idx="1717">
                  <c:v>1511.251591</c:v>
                </c:pt>
                <c:pt idx="1718">
                  <c:v>1510.972</c:v>
                </c:pt>
                <c:pt idx="1719">
                  <c:v>1510.8356470000001</c:v>
                </c:pt>
                <c:pt idx="1720">
                  <c:v>1510.7832920000001</c:v>
                </c:pt>
                <c:pt idx="1721">
                  <c:v>1510.4219459999999</c:v>
                </c:pt>
                <c:pt idx="1722">
                  <c:v>1510.4</c:v>
                </c:pt>
                <c:pt idx="1723">
                  <c:v>1510.4</c:v>
                </c:pt>
                <c:pt idx="1724">
                  <c:v>1510.3678239999999</c:v>
                </c:pt>
                <c:pt idx="1725">
                  <c:v>1510.0440000000001</c:v>
                </c:pt>
                <c:pt idx="1726">
                  <c:v>1509.998</c:v>
                </c:pt>
                <c:pt idx="1727">
                  <c:v>1509.9939999999999</c:v>
                </c:pt>
                <c:pt idx="1728">
                  <c:v>1509.8551600000001</c:v>
                </c:pt>
                <c:pt idx="1729">
                  <c:v>1509.6792620000001</c:v>
                </c:pt>
                <c:pt idx="1730">
                  <c:v>1509.6</c:v>
                </c:pt>
                <c:pt idx="1731">
                  <c:v>1509.5908850000001</c:v>
                </c:pt>
                <c:pt idx="1732">
                  <c:v>1509.5908850000001</c:v>
                </c:pt>
                <c:pt idx="1733">
                  <c:v>1509.5258779999999</c:v>
                </c:pt>
                <c:pt idx="1734">
                  <c:v>1509.4159999999999</c:v>
                </c:pt>
                <c:pt idx="1735">
                  <c:v>1509.3432359999999</c:v>
                </c:pt>
                <c:pt idx="1736">
                  <c:v>1509.3119999999999</c:v>
                </c:pt>
                <c:pt idx="1737">
                  <c:v>1509.175</c:v>
                </c:pt>
                <c:pt idx="1738">
                  <c:v>1509.1443340000001</c:v>
                </c:pt>
                <c:pt idx="1739">
                  <c:v>1508.8</c:v>
                </c:pt>
                <c:pt idx="1740">
                  <c:v>1508.6610000000001</c:v>
                </c:pt>
                <c:pt idx="1741">
                  <c:v>1508.577</c:v>
                </c:pt>
                <c:pt idx="1742">
                  <c:v>1508.509415</c:v>
                </c:pt>
                <c:pt idx="1743">
                  <c:v>1508.3330000000001</c:v>
                </c:pt>
                <c:pt idx="1744">
                  <c:v>1508</c:v>
                </c:pt>
                <c:pt idx="1745">
                  <c:v>1508</c:v>
                </c:pt>
                <c:pt idx="1746">
                  <c:v>1508</c:v>
                </c:pt>
                <c:pt idx="1747">
                  <c:v>1508</c:v>
                </c:pt>
                <c:pt idx="1748">
                  <c:v>1507.7629669999999</c:v>
                </c:pt>
                <c:pt idx="1749">
                  <c:v>1507.2</c:v>
                </c:pt>
                <c:pt idx="1750">
                  <c:v>1507.155</c:v>
                </c:pt>
                <c:pt idx="1751">
                  <c:v>1507.1489999999999</c:v>
                </c:pt>
                <c:pt idx="1752">
                  <c:v>1506.9949999999999</c:v>
                </c:pt>
                <c:pt idx="1753">
                  <c:v>1506.9156379999999</c:v>
                </c:pt>
                <c:pt idx="1754">
                  <c:v>1506.8789999999999</c:v>
                </c:pt>
                <c:pt idx="1755">
                  <c:v>1506.781283</c:v>
                </c:pt>
                <c:pt idx="1756">
                  <c:v>1506.4</c:v>
                </c:pt>
                <c:pt idx="1757">
                  <c:v>1506.384</c:v>
                </c:pt>
                <c:pt idx="1758">
                  <c:v>1506.1590000000001</c:v>
                </c:pt>
                <c:pt idx="1759">
                  <c:v>1505.9818660000001</c:v>
                </c:pt>
                <c:pt idx="1760">
                  <c:v>1505.706195</c:v>
                </c:pt>
                <c:pt idx="1761">
                  <c:v>1505.6</c:v>
                </c:pt>
                <c:pt idx="1762">
                  <c:v>1505.134</c:v>
                </c:pt>
                <c:pt idx="1763">
                  <c:v>1505.096</c:v>
                </c:pt>
                <c:pt idx="1764">
                  <c:v>1504.309</c:v>
                </c:pt>
                <c:pt idx="1765">
                  <c:v>1504</c:v>
                </c:pt>
                <c:pt idx="1766">
                  <c:v>1504</c:v>
                </c:pt>
                <c:pt idx="1767">
                  <c:v>1504</c:v>
                </c:pt>
                <c:pt idx="1768">
                  <c:v>1504</c:v>
                </c:pt>
                <c:pt idx="1769">
                  <c:v>1503.829</c:v>
                </c:pt>
                <c:pt idx="1770">
                  <c:v>1503.6577139999999</c:v>
                </c:pt>
                <c:pt idx="1771">
                  <c:v>1503.5419999999999</c:v>
                </c:pt>
                <c:pt idx="1772">
                  <c:v>1503.5029999999999</c:v>
                </c:pt>
                <c:pt idx="1773">
                  <c:v>1503.3030000000001</c:v>
                </c:pt>
                <c:pt idx="1774">
                  <c:v>1503.2</c:v>
                </c:pt>
                <c:pt idx="1775">
                  <c:v>1503.2</c:v>
                </c:pt>
                <c:pt idx="1776">
                  <c:v>1503.1713400000001</c:v>
                </c:pt>
                <c:pt idx="1777">
                  <c:v>1503.1713400000001</c:v>
                </c:pt>
                <c:pt idx="1778">
                  <c:v>1503.1210000000001</c:v>
                </c:pt>
                <c:pt idx="1779">
                  <c:v>1502.9147459999999</c:v>
                </c:pt>
                <c:pt idx="1780">
                  <c:v>1502.4</c:v>
                </c:pt>
                <c:pt idx="1781">
                  <c:v>1502.098</c:v>
                </c:pt>
                <c:pt idx="1782">
                  <c:v>1502.0360000000001</c:v>
                </c:pt>
                <c:pt idx="1783">
                  <c:v>1502.0319999999999</c:v>
                </c:pt>
                <c:pt idx="1784">
                  <c:v>1501.880367</c:v>
                </c:pt>
                <c:pt idx="1785">
                  <c:v>1501.821504</c:v>
                </c:pt>
                <c:pt idx="1786">
                  <c:v>1501.8019999999999</c:v>
                </c:pt>
                <c:pt idx="1787">
                  <c:v>1501.38</c:v>
                </c:pt>
                <c:pt idx="1788">
                  <c:v>1501.283488</c:v>
                </c:pt>
                <c:pt idx="1789">
                  <c:v>1500.8</c:v>
                </c:pt>
                <c:pt idx="1790">
                  <c:v>1500.8</c:v>
                </c:pt>
                <c:pt idx="1791">
                  <c:v>1500.540532</c:v>
                </c:pt>
                <c:pt idx="1792">
                  <c:v>1500.2676269999999</c:v>
                </c:pt>
                <c:pt idx="1793">
                  <c:v>1500.0918449999999</c:v>
                </c:pt>
                <c:pt idx="1794">
                  <c:v>1500.0640000000001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1499.82</c:v>
                </c:pt>
                <c:pt idx="1799">
                  <c:v>1499.779</c:v>
                </c:pt>
                <c:pt idx="1800">
                  <c:v>1499.7329999999999</c:v>
                </c:pt>
                <c:pt idx="1801">
                  <c:v>1499.6905979999999</c:v>
                </c:pt>
                <c:pt idx="1802">
                  <c:v>1499.2</c:v>
                </c:pt>
                <c:pt idx="1803">
                  <c:v>1499.0821900000001</c:v>
                </c:pt>
                <c:pt idx="1804">
                  <c:v>1498.8989999999999</c:v>
                </c:pt>
                <c:pt idx="1805">
                  <c:v>1498.8230000000001</c:v>
                </c:pt>
                <c:pt idx="1806">
                  <c:v>1498.713751</c:v>
                </c:pt>
                <c:pt idx="1807">
                  <c:v>1498.4</c:v>
                </c:pt>
                <c:pt idx="1808">
                  <c:v>1498.264361</c:v>
                </c:pt>
                <c:pt idx="1809">
                  <c:v>1498.248</c:v>
                </c:pt>
                <c:pt idx="1810">
                  <c:v>1497.729</c:v>
                </c:pt>
                <c:pt idx="1811">
                  <c:v>1497.6559999999999</c:v>
                </c:pt>
                <c:pt idx="1812">
                  <c:v>1497.6</c:v>
                </c:pt>
                <c:pt idx="1813">
                  <c:v>1497.6</c:v>
                </c:pt>
                <c:pt idx="1814">
                  <c:v>1497.6</c:v>
                </c:pt>
                <c:pt idx="1815">
                  <c:v>1497.5930000000001</c:v>
                </c:pt>
                <c:pt idx="1816">
                  <c:v>1497.352979</c:v>
                </c:pt>
                <c:pt idx="1817">
                  <c:v>1497.2629999999999</c:v>
                </c:pt>
                <c:pt idx="1818">
                  <c:v>1497.0150619999999</c:v>
                </c:pt>
                <c:pt idx="1819">
                  <c:v>1496.8</c:v>
                </c:pt>
                <c:pt idx="1820">
                  <c:v>1496.6679999999999</c:v>
                </c:pt>
                <c:pt idx="1821">
                  <c:v>1496.6287010000001</c:v>
                </c:pt>
                <c:pt idx="1822">
                  <c:v>1496.27</c:v>
                </c:pt>
                <c:pt idx="1823">
                  <c:v>1496.2673669999999</c:v>
                </c:pt>
                <c:pt idx="1824">
                  <c:v>1496</c:v>
                </c:pt>
                <c:pt idx="1825">
                  <c:v>1495.960417</c:v>
                </c:pt>
                <c:pt idx="1826">
                  <c:v>1495.2</c:v>
                </c:pt>
                <c:pt idx="1827">
                  <c:v>1495.0219999999999</c:v>
                </c:pt>
                <c:pt idx="1828">
                  <c:v>1494.9690000000001</c:v>
                </c:pt>
                <c:pt idx="1829">
                  <c:v>1494.962315</c:v>
                </c:pt>
                <c:pt idx="1830">
                  <c:v>1494.82906</c:v>
                </c:pt>
                <c:pt idx="1831">
                  <c:v>1494.7819999999999</c:v>
                </c:pt>
                <c:pt idx="1832">
                  <c:v>1494.729</c:v>
                </c:pt>
                <c:pt idx="1833">
                  <c:v>1494.49</c:v>
                </c:pt>
                <c:pt idx="1834">
                  <c:v>1494.4</c:v>
                </c:pt>
                <c:pt idx="1835">
                  <c:v>1494.4</c:v>
                </c:pt>
                <c:pt idx="1836">
                  <c:v>1494.4</c:v>
                </c:pt>
                <c:pt idx="1837">
                  <c:v>1494.4</c:v>
                </c:pt>
                <c:pt idx="1838">
                  <c:v>1494.4</c:v>
                </c:pt>
                <c:pt idx="1839">
                  <c:v>1494.3067169999999</c:v>
                </c:pt>
                <c:pt idx="1840">
                  <c:v>1494.1654269999999</c:v>
                </c:pt>
                <c:pt idx="1841">
                  <c:v>1494.1654269999999</c:v>
                </c:pt>
                <c:pt idx="1842">
                  <c:v>1494.002592</c:v>
                </c:pt>
                <c:pt idx="1843">
                  <c:v>1494.002</c:v>
                </c:pt>
                <c:pt idx="1844">
                  <c:v>1493.8664799999999</c:v>
                </c:pt>
                <c:pt idx="1845">
                  <c:v>1493.8309999999999</c:v>
                </c:pt>
                <c:pt idx="1846">
                  <c:v>1493.7656260000001</c:v>
                </c:pt>
                <c:pt idx="1847">
                  <c:v>1493.6</c:v>
                </c:pt>
                <c:pt idx="1848">
                  <c:v>1493.6</c:v>
                </c:pt>
                <c:pt idx="1849">
                  <c:v>1493.4010000000001</c:v>
                </c:pt>
                <c:pt idx="1850">
                  <c:v>1493.357381</c:v>
                </c:pt>
                <c:pt idx="1851">
                  <c:v>1493.258605</c:v>
                </c:pt>
                <c:pt idx="1852">
                  <c:v>1493.2052590000001</c:v>
                </c:pt>
                <c:pt idx="1853">
                  <c:v>1493.1959999999999</c:v>
                </c:pt>
                <c:pt idx="1854">
                  <c:v>1493.145505</c:v>
                </c:pt>
                <c:pt idx="1855">
                  <c:v>1493.09</c:v>
                </c:pt>
                <c:pt idx="1856">
                  <c:v>1493.0687089999999</c:v>
                </c:pt>
                <c:pt idx="1857">
                  <c:v>1493.0530000000001</c:v>
                </c:pt>
                <c:pt idx="1858">
                  <c:v>1493.0139999999999</c:v>
                </c:pt>
                <c:pt idx="1859">
                  <c:v>1492.8</c:v>
                </c:pt>
                <c:pt idx="1860">
                  <c:v>1492.56</c:v>
                </c:pt>
                <c:pt idx="1861">
                  <c:v>1492.5395510000001</c:v>
                </c:pt>
                <c:pt idx="1862">
                  <c:v>1492.3969999999999</c:v>
                </c:pt>
                <c:pt idx="1863">
                  <c:v>1492.2515679999999</c:v>
                </c:pt>
                <c:pt idx="1864">
                  <c:v>1492.2049999999999</c:v>
                </c:pt>
                <c:pt idx="1865">
                  <c:v>1492.134</c:v>
                </c:pt>
                <c:pt idx="1866">
                  <c:v>1492</c:v>
                </c:pt>
                <c:pt idx="1867">
                  <c:v>1492</c:v>
                </c:pt>
                <c:pt idx="1868">
                  <c:v>1491.9849999999999</c:v>
                </c:pt>
                <c:pt idx="1869">
                  <c:v>1491.9659999999999</c:v>
                </c:pt>
                <c:pt idx="1870">
                  <c:v>1491.899032</c:v>
                </c:pt>
                <c:pt idx="1871">
                  <c:v>1491.774762</c:v>
                </c:pt>
                <c:pt idx="1872">
                  <c:v>1491.7217209999999</c:v>
                </c:pt>
                <c:pt idx="1873">
                  <c:v>1491.7217209999999</c:v>
                </c:pt>
                <c:pt idx="1874">
                  <c:v>1491.721307</c:v>
                </c:pt>
                <c:pt idx="1875">
                  <c:v>1491.710609</c:v>
                </c:pt>
                <c:pt idx="1876">
                  <c:v>1491.693143</c:v>
                </c:pt>
                <c:pt idx="1877">
                  <c:v>1491.5814580000001</c:v>
                </c:pt>
                <c:pt idx="1878">
                  <c:v>1491.336319</c:v>
                </c:pt>
                <c:pt idx="1879">
                  <c:v>1491.287</c:v>
                </c:pt>
                <c:pt idx="1880">
                  <c:v>1491.2</c:v>
                </c:pt>
                <c:pt idx="1881">
                  <c:v>1490.991808</c:v>
                </c:pt>
                <c:pt idx="1882">
                  <c:v>1490.9597329999999</c:v>
                </c:pt>
                <c:pt idx="1883">
                  <c:v>1490.549681</c:v>
                </c:pt>
                <c:pt idx="1884">
                  <c:v>1490.471532</c:v>
                </c:pt>
                <c:pt idx="1885">
                  <c:v>1490.4359999999999</c:v>
                </c:pt>
                <c:pt idx="1886">
                  <c:v>1490.4</c:v>
                </c:pt>
                <c:pt idx="1887">
                  <c:v>1490.4</c:v>
                </c:pt>
                <c:pt idx="1888">
                  <c:v>1490.238004</c:v>
                </c:pt>
                <c:pt idx="1889">
                  <c:v>1490.1674310000001</c:v>
                </c:pt>
                <c:pt idx="1890">
                  <c:v>1490.1331929999999</c:v>
                </c:pt>
                <c:pt idx="1891">
                  <c:v>1489.7844869999999</c:v>
                </c:pt>
                <c:pt idx="1892">
                  <c:v>1489.6</c:v>
                </c:pt>
                <c:pt idx="1893">
                  <c:v>1489.50892</c:v>
                </c:pt>
                <c:pt idx="1894">
                  <c:v>1489.3904930000001</c:v>
                </c:pt>
                <c:pt idx="1895">
                  <c:v>1489.3620000000001</c:v>
                </c:pt>
                <c:pt idx="1896">
                  <c:v>1489.14249</c:v>
                </c:pt>
                <c:pt idx="1897">
                  <c:v>1489.1289999999999</c:v>
                </c:pt>
                <c:pt idx="1898">
                  <c:v>1488.8</c:v>
                </c:pt>
                <c:pt idx="1899">
                  <c:v>1488.8</c:v>
                </c:pt>
                <c:pt idx="1900">
                  <c:v>1488.8</c:v>
                </c:pt>
                <c:pt idx="1901">
                  <c:v>1488.8</c:v>
                </c:pt>
                <c:pt idx="1902">
                  <c:v>1488.8</c:v>
                </c:pt>
                <c:pt idx="1903">
                  <c:v>1488.8</c:v>
                </c:pt>
                <c:pt idx="1904">
                  <c:v>1488.6510000000001</c:v>
                </c:pt>
                <c:pt idx="1905">
                  <c:v>1488.6135549999999</c:v>
                </c:pt>
                <c:pt idx="1906">
                  <c:v>1488.587209</c:v>
                </c:pt>
                <c:pt idx="1907">
                  <c:v>1488.4238170000001</c:v>
                </c:pt>
                <c:pt idx="1908">
                  <c:v>1488.288</c:v>
                </c:pt>
                <c:pt idx="1909">
                  <c:v>1488.271</c:v>
                </c:pt>
                <c:pt idx="1910">
                  <c:v>1488.1212250000001</c:v>
                </c:pt>
                <c:pt idx="1911">
                  <c:v>1488</c:v>
                </c:pt>
                <c:pt idx="1912">
                  <c:v>1488</c:v>
                </c:pt>
                <c:pt idx="1913">
                  <c:v>1488</c:v>
                </c:pt>
                <c:pt idx="1914">
                  <c:v>1487.954592</c:v>
                </c:pt>
                <c:pt idx="1915">
                  <c:v>1487.923</c:v>
                </c:pt>
                <c:pt idx="1916">
                  <c:v>1487.855</c:v>
                </c:pt>
                <c:pt idx="1917">
                  <c:v>1487.836616</c:v>
                </c:pt>
                <c:pt idx="1918">
                  <c:v>1487.7950000000001</c:v>
                </c:pt>
                <c:pt idx="1919">
                  <c:v>1487.592095</c:v>
                </c:pt>
                <c:pt idx="1920">
                  <c:v>1487.3860259999999</c:v>
                </c:pt>
                <c:pt idx="1921">
                  <c:v>1487.2729999999999</c:v>
                </c:pt>
                <c:pt idx="1922">
                  <c:v>1486.7247809999999</c:v>
                </c:pt>
                <c:pt idx="1923">
                  <c:v>1486.4829999999999</c:v>
                </c:pt>
                <c:pt idx="1924">
                  <c:v>1486.4190000000001</c:v>
                </c:pt>
                <c:pt idx="1925">
                  <c:v>1486.351766</c:v>
                </c:pt>
                <c:pt idx="1926">
                  <c:v>1486.3309999999999</c:v>
                </c:pt>
                <c:pt idx="1927">
                  <c:v>1485.876</c:v>
                </c:pt>
                <c:pt idx="1928">
                  <c:v>1485.7950000000001</c:v>
                </c:pt>
                <c:pt idx="1929">
                  <c:v>1485.6</c:v>
                </c:pt>
                <c:pt idx="1930">
                  <c:v>1485.5058019999999</c:v>
                </c:pt>
                <c:pt idx="1931">
                  <c:v>1485.5058019999999</c:v>
                </c:pt>
                <c:pt idx="1932">
                  <c:v>1485.364</c:v>
                </c:pt>
                <c:pt idx="1933">
                  <c:v>1485.3420000000001</c:v>
                </c:pt>
                <c:pt idx="1934">
                  <c:v>1484.4960000000001</c:v>
                </c:pt>
                <c:pt idx="1935">
                  <c:v>1484.237081</c:v>
                </c:pt>
                <c:pt idx="1936">
                  <c:v>1484.1529579999999</c:v>
                </c:pt>
                <c:pt idx="1937">
                  <c:v>1484</c:v>
                </c:pt>
                <c:pt idx="1938">
                  <c:v>1484</c:v>
                </c:pt>
                <c:pt idx="1939">
                  <c:v>1483.6559999999999</c:v>
                </c:pt>
                <c:pt idx="1940">
                  <c:v>1483.5890300000001</c:v>
                </c:pt>
                <c:pt idx="1941">
                  <c:v>1483.2</c:v>
                </c:pt>
                <c:pt idx="1942">
                  <c:v>1483.2</c:v>
                </c:pt>
                <c:pt idx="1943">
                  <c:v>1483.0089909999999</c:v>
                </c:pt>
                <c:pt idx="1944">
                  <c:v>1483.0089909999999</c:v>
                </c:pt>
                <c:pt idx="1945">
                  <c:v>1482.886</c:v>
                </c:pt>
                <c:pt idx="1946">
                  <c:v>1482.4</c:v>
                </c:pt>
                <c:pt idx="1947">
                  <c:v>1482.2121030000001</c:v>
                </c:pt>
                <c:pt idx="1948">
                  <c:v>1482.1510000000001</c:v>
                </c:pt>
                <c:pt idx="1949">
                  <c:v>1482.091109</c:v>
                </c:pt>
                <c:pt idx="1950">
                  <c:v>1481.7139999999999</c:v>
                </c:pt>
                <c:pt idx="1951">
                  <c:v>1481.4690000000001</c:v>
                </c:pt>
                <c:pt idx="1952">
                  <c:v>1481.3710000000001</c:v>
                </c:pt>
                <c:pt idx="1953">
                  <c:v>1480.9778080000001</c:v>
                </c:pt>
                <c:pt idx="1954">
                  <c:v>1480.833339</c:v>
                </c:pt>
                <c:pt idx="1955">
                  <c:v>1480.8</c:v>
                </c:pt>
                <c:pt idx="1956">
                  <c:v>1480.8</c:v>
                </c:pt>
                <c:pt idx="1957">
                  <c:v>1480.787</c:v>
                </c:pt>
                <c:pt idx="1958">
                  <c:v>1480.7750000000001</c:v>
                </c:pt>
                <c:pt idx="1959">
                  <c:v>1480.701108</c:v>
                </c:pt>
                <c:pt idx="1960">
                  <c:v>1480.6329029999999</c:v>
                </c:pt>
                <c:pt idx="1961">
                  <c:v>1480.4755379999999</c:v>
                </c:pt>
                <c:pt idx="1962">
                  <c:v>1480.067235</c:v>
                </c:pt>
                <c:pt idx="1963">
                  <c:v>1479.701102</c:v>
                </c:pt>
                <c:pt idx="1964">
                  <c:v>1479.656448</c:v>
                </c:pt>
                <c:pt idx="1965">
                  <c:v>1479.4542730000001</c:v>
                </c:pt>
                <c:pt idx="1966">
                  <c:v>1479.4059999999999</c:v>
                </c:pt>
                <c:pt idx="1967">
                  <c:v>1479.27324</c:v>
                </c:pt>
                <c:pt idx="1968">
                  <c:v>1479.2</c:v>
                </c:pt>
                <c:pt idx="1969">
                  <c:v>1479.2</c:v>
                </c:pt>
                <c:pt idx="1970">
                  <c:v>1479.0540000000001</c:v>
                </c:pt>
                <c:pt idx="1971">
                  <c:v>1478.5540000000001</c:v>
                </c:pt>
                <c:pt idx="1972">
                  <c:v>1478.4</c:v>
                </c:pt>
                <c:pt idx="1973">
                  <c:v>1478.3889999999999</c:v>
                </c:pt>
                <c:pt idx="1974">
                  <c:v>1478.227662</c:v>
                </c:pt>
                <c:pt idx="1975">
                  <c:v>1478.1010000000001</c:v>
                </c:pt>
                <c:pt idx="1976">
                  <c:v>1477.914</c:v>
                </c:pt>
                <c:pt idx="1977">
                  <c:v>1477.846</c:v>
                </c:pt>
                <c:pt idx="1978">
                  <c:v>1477.6</c:v>
                </c:pt>
                <c:pt idx="1979">
                  <c:v>1477.6</c:v>
                </c:pt>
                <c:pt idx="1980">
                  <c:v>1477.577</c:v>
                </c:pt>
                <c:pt idx="1981">
                  <c:v>1476.959482</c:v>
                </c:pt>
                <c:pt idx="1982">
                  <c:v>1476.8720000000001</c:v>
                </c:pt>
                <c:pt idx="1983">
                  <c:v>1476.864</c:v>
                </c:pt>
                <c:pt idx="1984">
                  <c:v>1476.806</c:v>
                </c:pt>
                <c:pt idx="1985">
                  <c:v>1476.6338860000001</c:v>
                </c:pt>
                <c:pt idx="1986">
                  <c:v>1476.616</c:v>
                </c:pt>
                <c:pt idx="1987">
                  <c:v>1476.182953</c:v>
                </c:pt>
                <c:pt idx="1988">
                  <c:v>1476</c:v>
                </c:pt>
                <c:pt idx="1989">
                  <c:v>1476</c:v>
                </c:pt>
                <c:pt idx="1990">
                  <c:v>1475.7070000000001</c:v>
                </c:pt>
                <c:pt idx="1991">
                  <c:v>1475.608888</c:v>
                </c:pt>
                <c:pt idx="1992">
                  <c:v>1475.405606</c:v>
                </c:pt>
                <c:pt idx="1993">
                  <c:v>1475.2</c:v>
                </c:pt>
                <c:pt idx="1994">
                  <c:v>1475.2</c:v>
                </c:pt>
                <c:pt idx="1995">
                  <c:v>1475.2</c:v>
                </c:pt>
                <c:pt idx="1996">
                  <c:v>1475.0420810000001</c:v>
                </c:pt>
                <c:pt idx="1997">
                  <c:v>1475.040109</c:v>
                </c:pt>
                <c:pt idx="1998">
                  <c:v>1474.9059999999999</c:v>
                </c:pt>
                <c:pt idx="1999">
                  <c:v>1474.877</c:v>
                </c:pt>
                <c:pt idx="2000">
                  <c:v>1474.5840000000001</c:v>
                </c:pt>
                <c:pt idx="2001">
                  <c:v>1474.4</c:v>
                </c:pt>
                <c:pt idx="2002">
                  <c:v>1474.1469999999999</c:v>
                </c:pt>
                <c:pt idx="2003">
                  <c:v>1473.941077</c:v>
                </c:pt>
                <c:pt idx="2004">
                  <c:v>1473.8869999999999</c:v>
                </c:pt>
                <c:pt idx="2005">
                  <c:v>1473.834069</c:v>
                </c:pt>
                <c:pt idx="2006">
                  <c:v>1473.5875699999999</c:v>
                </c:pt>
                <c:pt idx="2007">
                  <c:v>1473.30593</c:v>
                </c:pt>
                <c:pt idx="2008">
                  <c:v>1473.0830000000001</c:v>
                </c:pt>
                <c:pt idx="2009">
                  <c:v>1472.911634</c:v>
                </c:pt>
                <c:pt idx="2010">
                  <c:v>1472.893</c:v>
                </c:pt>
                <c:pt idx="2011">
                  <c:v>1472.8</c:v>
                </c:pt>
                <c:pt idx="2012">
                  <c:v>1472.8</c:v>
                </c:pt>
                <c:pt idx="2013">
                  <c:v>1472.6790000000001</c:v>
                </c:pt>
                <c:pt idx="2014">
                  <c:v>1472.454</c:v>
                </c:pt>
                <c:pt idx="2015">
                  <c:v>1472.4090000000001</c:v>
                </c:pt>
                <c:pt idx="2016">
                  <c:v>1472</c:v>
                </c:pt>
                <c:pt idx="2017">
                  <c:v>1472</c:v>
                </c:pt>
                <c:pt idx="2018">
                  <c:v>1472</c:v>
                </c:pt>
                <c:pt idx="2019">
                  <c:v>1472</c:v>
                </c:pt>
                <c:pt idx="2020">
                  <c:v>1471.9557950000001</c:v>
                </c:pt>
                <c:pt idx="2021">
                  <c:v>1471.92</c:v>
                </c:pt>
                <c:pt idx="2022">
                  <c:v>1471.905248</c:v>
                </c:pt>
                <c:pt idx="2023">
                  <c:v>1471.852556</c:v>
                </c:pt>
                <c:pt idx="2024">
                  <c:v>1471.8474040000001</c:v>
                </c:pt>
                <c:pt idx="2025">
                  <c:v>1471.8330000000001</c:v>
                </c:pt>
                <c:pt idx="2026">
                  <c:v>1471.768</c:v>
                </c:pt>
                <c:pt idx="2027">
                  <c:v>1471.2</c:v>
                </c:pt>
                <c:pt idx="2028">
                  <c:v>1471.2</c:v>
                </c:pt>
                <c:pt idx="2029">
                  <c:v>1471.040013</c:v>
                </c:pt>
                <c:pt idx="2030">
                  <c:v>1470.6379999999999</c:v>
                </c:pt>
                <c:pt idx="2031">
                  <c:v>1470.4</c:v>
                </c:pt>
                <c:pt idx="2032">
                  <c:v>1470.4</c:v>
                </c:pt>
                <c:pt idx="2033">
                  <c:v>1470.4</c:v>
                </c:pt>
                <c:pt idx="2034">
                  <c:v>1470.4</c:v>
                </c:pt>
                <c:pt idx="2035">
                  <c:v>1470.4</c:v>
                </c:pt>
                <c:pt idx="2036">
                  <c:v>1470.3044930000001</c:v>
                </c:pt>
                <c:pt idx="2037">
                  <c:v>1470.1489999999999</c:v>
                </c:pt>
                <c:pt idx="2038">
                  <c:v>1470.106</c:v>
                </c:pt>
                <c:pt idx="2039">
                  <c:v>1469.7753520000001</c:v>
                </c:pt>
                <c:pt idx="2040">
                  <c:v>1469.7753520000001</c:v>
                </c:pt>
                <c:pt idx="2041">
                  <c:v>1469.6</c:v>
                </c:pt>
                <c:pt idx="2042">
                  <c:v>1469.6</c:v>
                </c:pt>
                <c:pt idx="2043">
                  <c:v>1469.461892</c:v>
                </c:pt>
                <c:pt idx="2044">
                  <c:v>1469.461892</c:v>
                </c:pt>
                <c:pt idx="2045">
                  <c:v>1469.4209490000001</c:v>
                </c:pt>
                <c:pt idx="2046">
                  <c:v>1469.3409999999999</c:v>
                </c:pt>
                <c:pt idx="2047">
                  <c:v>1469.1901</c:v>
                </c:pt>
                <c:pt idx="2048">
                  <c:v>1468.833453</c:v>
                </c:pt>
                <c:pt idx="2049">
                  <c:v>1468.8</c:v>
                </c:pt>
                <c:pt idx="2050">
                  <c:v>1468.701</c:v>
                </c:pt>
                <c:pt idx="2051">
                  <c:v>1468.2570000000001</c:v>
                </c:pt>
                <c:pt idx="2052">
                  <c:v>1468.1539990000001</c:v>
                </c:pt>
                <c:pt idx="2053">
                  <c:v>1468.1130000000001</c:v>
                </c:pt>
                <c:pt idx="2054">
                  <c:v>1468.004655</c:v>
                </c:pt>
                <c:pt idx="2055">
                  <c:v>1468</c:v>
                </c:pt>
                <c:pt idx="2056">
                  <c:v>1467.423573</c:v>
                </c:pt>
                <c:pt idx="2057">
                  <c:v>1467.39</c:v>
                </c:pt>
                <c:pt idx="2058">
                  <c:v>1467.239</c:v>
                </c:pt>
                <c:pt idx="2059">
                  <c:v>1467.2</c:v>
                </c:pt>
                <c:pt idx="2060">
                  <c:v>1467.0712269999999</c:v>
                </c:pt>
                <c:pt idx="2061">
                  <c:v>1466.806</c:v>
                </c:pt>
                <c:pt idx="2062">
                  <c:v>1466.4</c:v>
                </c:pt>
                <c:pt idx="2063">
                  <c:v>1466.4</c:v>
                </c:pt>
                <c:pt idx="2064">
                  <c:v>1466.4</c:v>
                </c:pt>
                <c:pt idx="2065">
                  <c:v>1466.4</c:v>
                </c:pt>
                <c:pt idx="2066">
                  <c:v>1466.368995</c:v>
                </c:pt>
                <c:pt idx="2067">
                  <c:v>1466.2743390000001</c:v>
                </c:pt>
                <c:pt idx="2068">
                  <c:v>1466.1103559999999</c:v>
                </c:pt>
                <c:pt idx="2069">
                  <c:v>1466.082347</c:v>
                </c:pt>
                <c:pt idx="2070">
                  <c:v>1465.9979040000001</c:v>
                </c:pt>
                <c:pt idx="2071">
                  <c:v>1465.8320000000001</c:v>
                </c:pt>
                <c:pt idx="2072">
                  <c:v>1465.729</c:v>
                </c:pt>
                <c:pt idx="2073">
                  <c:v>1465.6695990000001</c:v>
                </c:pt>
                <c:pt idx="2074">
                  <c:v>1465.6</c:v>
                </c:pt>
                <c:pt idx="2075">
                  <c:v>1465.6</c:v>
                </c:pt>
                <c:pt idx="2076">
                  <c:v>1465.4774500000001</c:v>
                </c:pt>
                <c:pt idx="2077">
                  <c:v>1465.4480000000001</c:v>
                </c:pt>
                <c:pt idx="2078">
                  <c:v>1464.8</c:v>
                </c:pt>
                <c:pt idx="2079">
                  <c:v>1464.7333349999999</c:v>
                </c:pt>
                <c:pt idx="2080">
                  <c:v>1464.6869999999999</c:v>
                </c:pt>
                <c:pt idx="2081">
                  <c:v>1464.5284710000001</c:v>
                </c:pt>
                <c:pt idx="2082">
                  <c:v>1464.5284710000001</c:v>
                </c:pt>
                <c:pt idx="2083">
                  <c:v>1464.0060000000001</c:v>
                </c:pt>
                <c:pt idx="2084">
                  <c:v>1464</c:v>
                </c:pt>
                <c:pt idx="2085">
                  <c:v>1464</c:v>
                </c:pt>
                <c:pt idx="2086">
                  <c:v>1463.944084</c:v>
                </c:pt>
                <c:pt idx="2087">
                  <c:v>1463.8836739999999</c:v>
                </c:pt>
                <c:pt idx="2088">
                  <c:v>1463.7515330000001</c:v>
                </c:pt>
                <c:pt idx="2089">
                  <c:v>1463.7020030000001</c:v>
                </c:pt>
                <c:pt idx="2090">
                  <c:v>1463.6590000000001</c:v>
                </c:pt>
                <c:pt idx="2091">
                  <c:v>1463.2</c:v>
                </c:pt>
                <c:pt idx="2092">
                  <c:v>1463.2</c:v>
                </c:pt>
                <c:pt idx="2093">
                  <c:v>1463.2</c:v>
                </c:pt>
                <c:pt idx="2094">
                  <c:v>1463.1949999999999</c:v>
                </c:pt>
                <c:pt idx="2095">
                  <c:v>1462.838045</c:v>
                </c:pt>
                <c:pt idx="2096">
                  <c:v>1462.819</c:v>
                </c:pt>
                <c:pt idx="2097">
                  <c:v>1462.402458</c:v>
                </c:pt>
                <c:pt idx="2098">
                  <c:v>1462.4</c:v>
                </c:pt>
                <c:pt idx="2099">
                  <c:v>1462.36</c:v>
                </c:pt>
                <c:pt idx="2100">
                  <c:v>1462.0709999999999</c:v>
                </c:pt>
                <c:pt idx="2101">
                  <c:v>1461.828</c:v>
                </c:pt>
                <c:pt idx="2102">
                  <c:v>1461.6</c:v>
                </c:pt>
                <c:pt idx="2103">
                  <c:v>1461.6</c:v>
                </c:pt>
                <c:pt idx="2104">
                  <c:v>1461.4938830000001</c:v>
                </c:pt>
                <c:pt idx="2105">
                  <c:v>1461.478253</c:v>
                </c:pt>
                <c:pt idx="2106">
                  <c:v>1461.4620150000001</c:v>
                </c:pt>
                <c:pt idx="2107">
                  <c:v>1461.298</c:v>
                </c:pt>
                <c:pt idx="2108">
                  <c:v>1461.2439999999999</c:v>
                </c:pt>
                <c:pt idx="2109">
                  <c:v>1461.008</c:v>
                </c:pt>
                <c:pt idx="2110">
                  <c:v>1460.9438720000001</c:v>
                </c:pt>
                <c:pt idx="2111">
                  <c:v>1460.8</c:v>
                </c:pt>
                <c:pt idx="2112">
                  <c:v>1460.8</c:v>
                </c:pt>
                <c:pt idx="2113">
                  <c:v>1460.6961209999999</c:v>
                </c:pt>
                <c:pt idx="2114">
                  <c:v>1460.6437800000001</c:v>
                </c:pt>
                <c:pt idx="2115">
                  <c:v>1460.39</c:v>
                </c:pt>
                <c:pt idx="2116">
                  <c:v>1460.105777</c:v>
                </c:pt>
                <c:pt idx="2117">
                  <c:v>1460</c:v>
                </c:pt>
                <c:pt idx="2118">
                  <c:v>1460</c:v>
                </c:pt>
                <c:pt idx="2119">
                  <c:v>1459.9883609999999</c:v>
                </c:pt>
                <c:pt idx="2120">
                  <c:v>1459.826356</c:v>
                </c:pt>
                <c:pt idx="2121">
                  <c:v>1459.662</c:v>
                </c:pt>
                <c:pt idx="2122">
                  <c:v>1459.4150930000001</c:v>
                </c:pt>
                <c:pt idx="2123">
                  <c:v>1459.2</c:v>
                </c:pt>
                <c:pt idx="2124">
                  <c:v>1459.2</c:v>
                </c:pt>
                <c:pt idx="2125">
                  <c:v>1459.2</c:v>
                </c:pt>
                <c:pt idx="2126">
                  <c:v>1459.2</c:v>
                </c:pt>
                <c:pt idx="2127">
                  <c:v>1459.2</c:v>
                </c:pt>
                <c:pt idx="2128">
                  <c:v>1459.2</c:v>
                </c:pt>
                <c:pt idx="2129">
                  <c:v>1459.2</c:v>
                </c:pt>
                <c:pt idx="2130">
                  <c:v>1459.102345</c:v>
                </c:pt>
                <c:pt idx="2131">
                  <c:v>1458.87</c:v>
                </c:pt>
                <c:pt idx="2132">
                  <c:v>1458.8230000000001</c:v>
                </c:pt>
                <c:pt idx="2133">
                  <c:v>1458.605</c:v>
                </c:pt>
                <c:pt idx="2134">
                  <c:v>1458.4860000000001</c:v>
                </c:pt>
                <c:pt idx="2135">
                  <c:v>1458.461</c:v>
                </c:pt>
                <c:pt idx="2136">
                  <c:v>1458.4472900000001</c:v>
                </c:pt>
                <c:pt idx="2137">
                  <c:v>1458.4</c:v>
                </c:pt>
                <c:pt idx="2138">
                  <c:v>1458.4</c:v>
                </c:pt>
                <c:pt idx="2139">
                  <c:v>1458.305456</c:v>
                </c:pt>
                <c:pt idx="2140">
                  <c:v>1458.2360000000001</c:v>
                </c:pt>
                <c:pt idx="2141">
                  <c:v>1458.1119799999999</c:v>
                </c:pt>
                <c:pt idx="2142">
                  <c:v>1457.6</c:v>
                </c:pt>
                <c:pt idx="2143">
                  <c:v>1457.6</c:v>
                </c:pt>
                <c:pt idx="2144">
                  <c:v>1457.6</c:v>
                </c:pt>
                <c:pt idx="2145">
                  <c:v>1457.5360270000001</c:v>
                </c:pt>
                <c:pt idx="2146">
                  <c:v>1457.5078080000001</c:v>
                </c:pt>
                <c:pt idx="2147">
                  <c:v>1457.42</c:v>
                </c:pt>
                <c:pt idx="2148">
                  <c:v>1457.3050000000001</c:v>
                </c:pt>
                <c:pt idx="2149">
                  <c:v>1457.0651330000001</c:v>
                </c:pt>
                <c:pt idx="2150">
                  <c:v>1456.8</c:v>
                </c:pt>
                <c:pt idx="2151">
                  <c:v>1456.702</c:v>
                </c:pt>
                <c:pt idx="2152">
                  <c:v>1456.6769999999999</c:v>
                </c:pt>
                <c:pt idx="2153">
                  <c:v>1456.6718350000001</c:v>
                </c:pt>
                <c:pt idx="2154">
                  <c:v>1456.6469999999999</c:v>
                </c:pt>
                <c:pt idx="2155">
                  <c:v>1456.5940000000001</c:v>
                </c:pt>
                <c:pt idx="2156">
                  <c:v>1456.5444600000001</c:v>
                </c:pt>
                <c:pt idx="2157">
                  <c:v>1456.3979999999999</c:v>
                </c:pt>
                <c:pt idx="2158">
                  <c:v>1456.248</c:v>
                </c:pt>
                <c:pt idx="2159">
                  <c:v>1456.141905</c:v>
                </c:pt>
                <c:pt idx="2160">
                  <c:v>1456.088</c:v>
                </c:pt>
                <c:pt idx="2161">
                  <c:v>1456</c:v>
                </c:pt>
                <c:pt idx="2162">
                  <c:v>1455.9616739999999</c:v>
                </c:pt>
                <c:pt idx="2163">
                  <c:v>1455.6780000000001</c:v>
                </c:pt>
                <c:pt idx="2164">
                  <c:v>1455.5940929999999</c:v>
                </c:pt>
                <c:pt idx="2165">
                  <c:v>1455.5150000000001</c:v>
                </c:pt>
                <c:pt idx="2166">
                  <c:v>1455.5</c:v>
                </c:pt>
                <c:pt idx="2167">
                  <c:v>1455.4829999999999</c:v>
                </c:pt>
                <c:pt idx="2168">
                  <c:v>1455.3230000000001</c:v>
                </c:pt>
                <c:pt idx="2169">
                  <c:v>1454.847</c:v>
                </c:pt>
                <c:pt idx="2170">
                  <c:v>1454.836</c:v>
                </c:pt>
                <c:pt idx="2171">
                  <c:v>1454.3119999999999</c:v>
                </c:pt>
                <c:pt idx="2172">
                  <c:v>1454.100989</c:v>
                </c:pt>
                <c:pt idx="2173">
                  <c:v>1453.973</c:v>
                </c:pt>
                <c:pt idx="2174">
                  <c:v>1453.8589999999999</c:v>
                </c:pt>
                <c:pt idx="2175">
                  <c:v>1453.6320000000001</c:v>
                </c:pt>
                <c:pt idx="2176">
                  <c:v>1453.6</c:v>
                </c:pt>
                <c:pt idx="2177">
                  <c:v>1453.6</c:v>
                </c:pt>
                <c:pt idx="2178">
                  <c:v>1453.6</c:v>
                </c:pt>
                <c:pt idx="2179">
                  <c:v>1453.283717</c:v>
                </c:pt>
                <c:pt idx="2180">
                  <c:v>1453.1366149999999</c:v>
                </c:pt>
                <c:pt idx="2181">
                  <c:v>1453.0225310000001</c:v>
                </c:pt>
                <c:pt idx="2182">
                  <c:v>1452.7272390000001</c:v>
                </c:pt>
                <c:pt idx="2183">
                  <c:v>1452.682</c:v>
                </c:pt>
                <c:pt idx="2184">
                  <c:v>1452.636</c:v>
                </c:pt>
                <c:pt idx="2185">
                  <c:v>1452.1690000000001</c:v>
                </c:pt>
                <c:pt idx="2186">
                  <c:v>1451.9164929999999</c:v>
                </c:pt>
                <c:pt idx="2187">
                  <c:v>1451.9164929999999</c:v>
                </c:pt>
                <c:pt idx="2188">
                  <c:v>1451.8731190000001</c:v>
                </c:pt>
                <c:pt idx="2189">
                  <c:v>1451.78</c:v>
                </c:pt>
                <c:pt idx="2190">
                  <c:v>1451.75</c:v>
                </c:pt>
                <c:pt idx="2191">
                  <c:v>1451.2</c:v>
                </c:pt>
                <c:pt idx="2192">
                  <c:v>1450.922</c:v>
                </c:pt>
                <c:pt idx="2193">
                  <c:v>1450.7679250000001</c:v>
                </c:pt>
                <c:pt idx="2194">
                  <c:v>1450.7650000000001</c:v>
                </c:pt>
                <c:pt idx="2195">
                  <c:v>1450.7619999999999</c:v>
                </c:pt>
                <c:pt idx="2196">
                  <c:v>1450.739</c:v>
                </c:pt>
                <c:pt idx="2197">
                  <c:v>1450.668445</c:v>
                </c:pt>
                <c:pt idx="2198">
                  <c:v>1450.445453</c:v>
                </c:pt>
                <c:pt idx="2199">
                  <c:v>1450.012352</c:v>
                </c:pt>
                <c:pt idx="2200">
                  <c:v>1449.6</c:v>
                </c:pt>
                <c:pt idx="2201">
                  <c:v>1449.6</c:v>
                </c:pt>
                <c:pt idx="2202">
                  <c:v>1449.6</c:v>
                </c:pt>
                <c:pt idx="2203">
                  <c:v>1449.5830000000001</c:v>
                </c:pt>
                <c:pt idx="2204">
                  <c:v>1449.3752629999999</c:v>
                </c:pt>
                <c:pt idx="2205">
                  <c:v>1449.0809999999999</c:v>
                </c:pt>
                <c:pt idx="2206">
                  <c:v>1448.923661</c:v>
                </c:pt>
                <c:pt idx="2207">
                  <c:v>1448.8</c:v>
                </c:pt>
                <c:pt idx="2208">
                  <c:v>1448.8</c:v>
                </c:pt>
                <c:pt idx="2209">
                  <c:v>1448.694</c:v>
                </c:pt>
                <c:pt idx="2210">
                  <c:v>1448.549</c:v>
                </c:pt>
                <c:pt idx="2211">
                  <c:v>1448.412</c:v>
                </c:pt>
                <c:pt idx="2212">
                  <c:v>1448.203902</c:v>
                </c:pt>
                <c:pt idx="2213">
                  <c:v>1448.1990000000001</c:v>
                </c:pt>
                <c:pt idx="2214">
                  <c:v>1448.14</c:v>
                </c:pt>
                <c:pt idx="2215">
                  <c:v>1447.945909</c:v>
                </c:pt>
                <c:pt idx="2216">
                  <c:v>1447.7080000000001</c:v>
                </c:pt>
                <c:pt idx="2217">
                  <c:v>1447.5589070000001</c:v>
                </c:pt>
                <c:pt idx="2218">
                  <c:v>1447.547</c:v>
                </c:pt>
                <c:pt idx="2219">
                  <c:v>1447.357</c:v>
                </c:pt>
                <c:pt idx="2220">
                  <c:v>1447.2</c:v>
                </c:pt>
                <c:pt idx="2221">
                  <c:v>1447.2</c:v>
                </c:pt>
                <c:pt idx="2222">
                  <c:v>1447.2</c:v>
                </c:pt>
                <c:pt idx="2223">
                  <c:v>1446.5650000000001</c:v>
                </c:pt>
                <c:pt idx="2224">
                  <c:v>1446.5204759999999</c:v>
                </c:pt>
                <c:pt idx="2225">
                  <c:v>1446.4</c:v>
                </c:pt>
                <c:pt idx="2226">
                  <c:v>1446.4</c:v>
                </c:pt>
                <c:pt idx="2227">
                  <c:v>1446.4</c:v>
                </c:pt>
                <c:pt idx="2228">
                  <c:v>1446.4</c:v>
                </c:pt>
                <c:pt idx="2229">
                  <c:v>1446.20147</c:v>
                </c:pt>
                <c:pt idx="2230">
                  <c:v>1446.0809999999999</c:v>
                </c:pt>
                <c:pt idx="2231">
                  <c:v>1445.9232469999999</c:v>
                </c:pt>
                <c:pt idx="2232">
                  <c:v>1445.8819550000001</c:v>
                </c:pt>
                <c:pt idx="2233">
                  <c:v>1445.7529999999999</c:v>
                </c:pt>
                <c:pt idx="2234">
                  <c:v>1445.6</c:v>
                </c:pt>
                <c:pt idx="2235">
                  <c:v>1445.4880479999999</c:v>
                </c:pt>
                <c:pt idx="2236">
                  <c:v>1445.4280000000001</c:v>
                </c:pt>
                <c:pt idx="2237">
                  <c:v>1445.3682040000001</c:v>
                </c:pt>
                <c:pt idx="2238">
                  <c:v>1445.2968129999999</c:v>
                </c:pt>
                <c:pt idx="2239">
                  <c:v>1445.1054180000001</c:v>
                </c:pt>
                <c:pt idx="2240">
                  <c:v>1444.8</c:v>
                </c:pt>
                <c:pt idx="2241">
                  <c:v>1444.8</c:v>
                </c:pt>
                <c:pt idx="2242">
                  <c:v>1444.561293</c:v>
                </c:pt>
                <c:pt idx="2243">
                  <c:v>1444</c:v>
                </c:pt>
                <c:pt idx="2244">
                  <c:v>1444</c:v>
                </c:pt>
                <c:pt idx="2245">
                  <c:v>1444</c:v>
                </c:pt>
                <c:pt idx="2246">
                  <c:v>1444</c:v>
                </c:pt>
                <c:pt idx="2247">
                  <c:v>1444</c:v>
                </c:pt>
                <c:pt idx="2248">
                  <c:v>1444</c:v>
                </c:pt>
                <c:pt idx="2249">
                  <c:v>1444</c:v>
                </c:pt>
                <c:pt idx="2250">
                  <c:v>1443.709928</c:v>
                </c:pt>
                <c:pt idx="2251">
                  <c:v>1443.6317469999999</c:v>
                </c:pt>
                <c:pt idx="2252">
                  <c:v>1443.606</c:v>
                </c:pt>
                <c:pt idx="2253">
                  <c:v>1443.6020000000001</c:v>
                </c:pt>
                <c:pt idx="2254">
                  <c:v>1443.5695920000001</c:v>
                </c:pt>
                <c:pt idx="2255">
                  <c:v>1443.53368</c:v>
                </c:pt>
                <c:pt idx="2256">
                  <c:v>1443.4841289999999</c:v>
                </c:pt>
                <c:pt idx="2257">
                  <c:v>1443.3311349999999</c:v>
                </c:pt>
                <c:pt idx="2258">
                  <c:v>1443.0902530000001</c:v>
                </c:pt>
                <c:pt idx="2259">
                  <c:v>1443.0720879999999</c:v>
                </c:pt>
                <c:pt idx="2260">
                  <c:v>1443.042246</c:v>
                </c:pt>
                <c:pt idx="2261">
                  <c:v>1442.884</c:v>
                </c:pt>
                <c:pt idx="2262">
                  <c:v>1442.523639</c:v>
                </c:pt>
                <c:pt idx="2263">
                  <c:v>1442.4</c:v>
                </c:pt>
                <c:pt idx="2264">
                  <c:v>1441.9685850000001</c:v>
                </c:pt>
                <c:pt idx="2265">
                  <c:v>1441.807</c:v>
                </c:pt>
                <c:pt idx="2266">
                  <c:v>1441.6</c:v>
                </c:pt>
                <c:pt idx="2267">
                  <c:v>1441.570804</c:v>
                </c:pt>
                <c:pt idx="2268">
                  <c:v>1441.52639</c:v>
                </c:pt>
                <c:pt idx="2269">
                  <c:v>1441.2677510000001</c:v>
                </c:pt>
                <c:pt idx="2270">
                  <c:v>1441.018313</c:v>
                </c:pt>
                <c:pt idx="2271">
                  <c:v>1440.8</c:v>
                </c:pt>
                <c:pt idx="2272">
                  <c:v>1440.8</c:v>
                </c:pt>
                <c:pt idx="2273">
                  <c:v>1440.8</c:v>
                </c:pt>
                <c:pt idx="2274">
                  <c:v>1440.773915</c:v>
                </c:pt>
                <c:pt idx="2275">
                  <c:v>1440.7666280000001</c:v>
                </c:pt>
                <c:pt idx="2276">
                  <c:v>1440.758</c:v>
                </c:pt>
                <c:pt idx="2277">
                  <c:v>1440.6010000000001</c:v>
                </c:pt>
                <c:pt idx="2278">
                  <c:v>1440.0619999999999</c:v>
                </c:pt>
                <c:pt idx="2279">
                  <c:v>1440</c:v>
                </c:pt>
                <c:pt idx="2280">
                  <c:v>1440</c:v>
                </c:pt>
                <c:pt idx="2281">
                  <c:v>1439.8743730000001</c:v>
                </c:pt>
                <c:pt idx="2282">
                  <c:v>1439.865</c:v>
                </c:pt>
                <c:pt idx="2283">
                  <c:v>1439.8056959999999</c:v>
                </c:pt>
                <c:pt idx="2284">
                  <c:v>1439.5050000000001</c:v>
                </c:pt>
                <c:pt idx="2285">
                  <c:v>1439.2</c:v>
                </c:pt>
                <c:pt idx="2286">
                  <c:v>1439.1789180000001</c:v>
                </c:pt>
                <c:pt idx="2287">
                  <c:v>1439.0239999999999</c:v>
                </c:pt>
                <c:pt idx="2288">
                  <c:v>1438.896</c:v>
                </c:pt>
                <c:pt idx="2289">
                  <c:v>1438.562778</c:v>
                </c:pt>
                <c:pt idx="2290">
                  <c:v>1438.383251</c:v>
                </c:pt>
                <c:pt idx="2291">
                  <c:v>1438.0640000000001</c:v>
                </c:pt>
                <c:pt idx="2292">
                  <c:v>1438.0530000000001</c:v>
                </c:pt>
                <c:pt idx="2293">
                  <c:v>1438.0039999999999</c:v>
                </c:pt>
                <c:pt idx="2294">
                  <c:v>1437.990783</c:v>
                </c:pt>
                <c:pt idx="2295">
                  <c:v>1437.913</c:v>
                </c:pt>
                <c:pt idx="2296">
                  <c:v>1437.6</c:v>
                </c:pt>
                <c:pt idx="2297">
                  <c:v>1437.172</c:v>
                </c:pt>
                <c:pt idx="2298">
                  <c:v>1436.8197789999999</c:v>
                </c:pt>
                <c:pt idx="2299">
                  <c:v>1436.8</c:v>
                </c:pt>
                <c:pt idx="2300">
                  <c:v>1436.8</c:v>
                </c:pt>
                <c:pt idx="2301">
                  <c:v>1436.8</c:v>
                </c:pt>
                <c:pt idx="2302">
                  <c:v>1436.7718850000001</c:v>
                </c:pt>
                <c:pt idx="2303">
                  <c:v>1436.7587579999999</c:v>
                </c:pt>
                <c:pt idx="2304">
                  <c:v>1436.5586960000001</c:v>
                </c:pt>
                <c:pt idx="2305">
                  <c:v>1436.5586960000001</c:v>
                </c:pt>
                <c:pt idx="2306">
                  <c:v>1436.28</c:v>
                </c:pt>
                <c:pt idx="2307">
                  <c:v>1436.12</c:v>
                </c:pt>
                <c:pt idx="2308">
                  <c:v>1436.0909999999999</c:v>
                </c:pt>
                <c:pt idx="2309">
                  <c:v>1436</c:v>
                </c:pt>
                <c:pt idx="2310">
                  <c:v>1436</c:v>
                </c:pt>
                <c:pt idx="2311">
                  <c:v>1436</c:v>
                </c:pt>
                <c:pt idx="2312">
                  <c:v>1436</c:v>
                </c:pt>
                <c:pt idx="2313">
                  <c:v>1435.9960000000001</c:v>
                </c:pt>
                <c:pt idx="2314">
                  <c:v>1435.98</c:v>
                </c:pt>
                <c:pt idx="2315">
                  <c:v>1435.7909999999999</c:v>
                </c:pt>
                <c:pt idx="2316">
                  <c:v>1435.7710750000001</c:v>
                </c:pt>
                <c:pt idx="2317">
                  <c:v>1435.6380140000001</c:v>
                </c:pt>
                <c:pt idx="2318">
                  <c:v>1435.444522</c:v>
                </c:pt>
                <c:pt idx="2319">
                  <c:v>1435.047</c:v>
                </c:pt>
                <c:pt idx="2320">
                  <c:v>1435.0329999999999</c:v>
                </c:pt>
                <c:pt idx="2321">
                  <c:v>1434.997472</c:v>
                </c:pt>
                <c:pt idx="2322">
                  <c:v>1434.587</c:v>
                </c:pt>
                <c:pt idx="2323">
                  <c:v>1434.4</c:v>
                </c:pt>
                <c:pt idx="2324">
                  <c:v>1434.4</c:v>
                </c:pt>
                <c:pt idx="2325">
                  <c:v>1434.3988099999999</c:v>
                </c:pt>
                <c:pt idx="2326">
                  <c:v>1434.311085</c:v>
                </c:pt>
                <c:pt idx="2327">
                  <c:v>1434.297806</c:v>
                </c:pt>
                <c:pt idx="2328">
                  <c:v>1434.290037</c:v>
                </c:pt>
                <c:pt idx="2329">
                  <c:v>1434.1469999999999</c:v>
                </c:pt>
                <c:pt idx="2330">
                  <c:v>1434.1010000000001</c:v>
                </c:pt>
                <c:pt idx="2331">
                  <c:v>1434.037</c:v>
                </c:pt>
                <c:pt idx="2332">
                  <c:v>1433.920572</c:v>
                </c:pt>
                <c:pt idx="2333">
                  <c:v>1433.6019209999999</c:v>
                </c:pt>
                <c:pt idx="2334">
                  <c:v>1433.6</c:v>
                </c:pt>
                <c:pt idx="2335">
                  <c:v>1433.6</c:v>
                </c:pt>
                <c:pt idx="2336">
                  <c:v>1433.6</c:v>
                </c:pt>
                <c:pt idx="2337">
                  <c:v>1433.6</c:v>
                </c:pt>
                <c:pt idx="2338">
                  <c:v>1433.6</c:v>
                </c:pt>
                <c:pt idx="2339">
                  <c:v>1433.371275</c:v>
                </c:pt>
                <c:pt idx="2340">
                  <c:v>1433.37</c:v>
                </c:pt>
                <c:pt idx="2341">
                  <c:v>1433.2991039999999</c:v>
                </c:pt>
                <c:pt idx="2342">
                  <c:v>1432.8</c:v>
                </c:pt>
                <c:pt idx="2343">
                  <c:v>1432.8</c:v>
                </c:pt>
                <c:pt idx="2344">
                  <c:v>1432.8</c:v>
                </c:pt>
                <c:pt idx="2345">
                  <c:v>1432.8</c:v>
                </c:pt>
                <c:pt idx="2346">
                  <c:v>1432.020139</c:v>
                </c:pt>
                <c:pt idx="2347">
                  <c:v>1432.008145</c:v>
                </c:pt>
                <c:pt idx="2348">
                  <c:v>1432</c:v>
                </c:pt>
                <c:pt idx="2349">
                  <c:v>1431.8520000000001</c:v>
                </c:pt>
                <c:pt idx="2350">
                  <c:v>1431.8140000000001</c:v>
                </c:pt>
                <c:pt idx="2351">
                  <c:v>1431.431</c:v>
                </c:pt>
                <c:pt idx="2352">
                  <c:v>1431.3985889999999</c:v>
                </c:pt>
                <c:pt idx="2353">
                  <c:v>1431.2112569999999</c:v>
                </c:pt>
                <c:pt idx="2354">
                  <c:v>1431.202309</c:v>
                </c:pt>
                <c:pt idx="2355">
                  <c:v>1431.202309</c:v>
                </c:pt>
                <c:pt idx="2356">
                  <c:v>1431.2</c:v>
                </c:pt>
                <c:pt idx="2357">
                  <c:v>1431.2</c:v>
                </c:pt>
                <c:pt idx="2358">
                  <c:v>1431.18</c:v>
                </c:pt>
                <c:pt idx="2359">
                  <c:v>1431.1559999999999</c:v>
                </c:pt>
                <c:pt idx="2360">
                  <c:v>1430.954</c:v>
                </c:pt>
                <c:pt idx="2361">
                  <c:v>1430.4449999999999</c:v>
                </c:pt>
                <c:pt idx="2362">
                  <c:v>1430.414368</c:v>
                </c:pt>
                <c:pt idx="2363">
                  <c:v>1430.406369</c:v>
                </c:pt>
                <c:pt idx="2364">
                  <c:v>1430.4</c:v>
                </c:pt>
                <c:pt idx="2365">
                  <c:v>1430.4</c:v>
                </c:pt>
                <c:pt idx="2366">
                  <c:v>1430.203</c:v>
                </c:pt>
                <c:pt idx="2367">
                  <c:v>1430.007165</c:v>
                </c:pt>
                <c:pt idx="2368">
                  <c:v>1429.627</c:v>
                </c:pt>
                <c:pt idx="2369">
                  <c:v>1429.6</c:v>
                </c:pt>
                <c:pt idx="2370">
                  <c:v>1429.6</c:v>
                </c:pt>
                <c:pt idx="2371">
                  <c:v>1429.6</c:v>
                </c:pt>
                <c:pt idx="2372">
                  <c:v>1429.566253</c:v>
                </c:pt>
                <c:pt idx="2373">
                  <c:v>1429.4650750000001</c:v>
                </c:pt>
                <c:pt idx="2374">
                  <c:v>1429.4511299999999</c:v>
                </c:pt>
                <c:pt idx="2375">
                  <c:v>1429.443</c:v>
                </c:pt>
                <c:pt idx="2376">
                  <c:v>1429.3409409999999</c:v>
                </c:pt>
                <c:pt idx="2377">
                  <c:v>1429.183</c:v>
                </c:pt>
                <c:pt idx="2378">
                  <c:v>1429.0673059999999</c:v>
                </c:pt>
                <c:pt idx="2379">
                  <c:v>1428.8</c:v>
                </c:pt>
                <c:pt idx="2380">
                  <c:v>1428.7283050000001</c:v>
                </c:pt>
                <c:pt idx="2381">
                  <c:v>1428.522755</c:v>
                </c:pt>
                <c:pt idx="2382">
                  <c:v>1428.379852</c:v>
                </c:pt>
                <c:pt idx="2383">
                  <c:v>1428.023704</c:v>
                </c:pt>
                <c:pt idx="2384">
                  <c:v>1428.0123759999999</c:v>
                </c:pt>
                <c:pt idx="2385">
                  <c:v>1428</c:v>
                </c:pt>
                <c:pt idx="2386">
                  <c:v>1428</c:v>
                </c:pt>
                <c:pt idx="2387">
                  <c:v>1428</c:v>
                </c:pt>
                <c:pt idx="2388">
                  <c:v>1428</c:v>
                </c:pt>
                <c:pt idx="2389">
                  <c:v>1428</c:v>
                </c:pt>
                <c:pt idx="2390">
                  <c:v>1427.9309900000001</c:v>
                </c:pt>
                <c:pt idx="2391">
                  <c:v>1427.8979999999999</c:v>
                </c:pt>
                <c:pt idx="2392">
                  <c:v>1427.726852</c:v>
                </c:pt>
                <c:pt idx="2393">
                  <c:v>1427.338006</c:v>
                </c:pt>
                <c:pt idx="2394">
                  <c:v>1427.2354379999999</c:v>
                </c:pt>
                <c:pt idx="2395">
                  <c:v>1427.2</c:v>
                </c:pt>
                <c:pt idx="2396">
                  <c:v>1427.2</c:v>
                </c:pt>
                <c:pt idx="2397">
                  <c:v>1427.1131600000001</c:v>
                </c:pt>
                <c:pt idx="2398">
                  <c:v>1426.6510000000001</c:v>
                </c:pt>
                <c:pt idx="2399">
                  <c:v>1426.3623540000001</c:v>
                </c:pt>
                <c:pt idx="2400">
                  <c:v>1426.3230000000001</c:v>
                </c:pt>
                <c:pt idx="2401">
                  <c:v>1426.2953299999999</c:v>
                </c:pt>
                <c:pt idx="2402">
                  <c:v>1426.2825029999999</c:v>
                </c:pt>
                <c:pt idx="2403">
                  <c:v>1426.244651</c:v>
                </c:pt>
                <c:pt idx="2404">
                  <c:v>1425.846</c:v>
                </c:pt>
                <c:pt idx="2405">
                  <c:v>1425.732</c:v>
                </c:pt>
                <c:pt idx="2406">
                  <c:v>1425.6</c:v>
                </c:pt>
                <c:pt idx="2407">
                  <c:v>1425.6</c:v>
                </c:pt>
                <c:pt idx="2408">
                  <c:v>1425.4775</c:v>
                </c:pt>
                <c:pt idx="2409">
                  <c:v>1425.4722959999999</c:v>
                </c:pt>
                <c:pt idx="2410">
                  <c:v>1425.3879959999999</c:v>
                </c:pt>
                <c:pt idx="2411">
                  <c:v>1425.0429999999999</c:v>
                </c:pt>
                <c:pt idx="2412">
                  <c:v>1424.9425000000001</c:v>
                </c:pt>
                <c:pt idx="2413">
                  <c:v>1424.8809759999999</c:v>
                </c:pt>
                <c:pt idx="2414">
                  <c:v>1424.8</c:v>
                </c:pt>
                <c:pt idx="2415">
                  <c:v>1424.8</c:v>
                </c:pt>
                <c:pt idx="2416">
                  <c:v>1424.8</c:v>
                </c:pt>
                <c:pt idx="2417">
                  <c:v>1424.639917</c:v>
                </c:pt>
                <c:pt idx="2418">
                  <c:v>1424.521982</c:v>
                </c:pt>
                <c:pt idx="2419">
                  <c:v>1424.127686</c:v>
                </c:pt>
                <c:pt idx="2420">
                  <c:v>1424.117</c:v>
                </c:pt>
                <c:pt idx="2421">
                  <c:v>1424</c:v>
                </c:pt>
                <c:pt idx="2422">
                  <c:v>1424</c:v>
                </c:pt>
                <c:pt idx="2423">
                  <c:v>1423.9667320000001</c:v>
                </c:pt>
                <c:pt idx="2424">
                  <c:v>1423.882873</c:v>
                </c:pt>
                <c:pt idx="2425">
                  <c:v>1423.84184</c:v>
                </c:pt>
                <c:pt idx="2426">
                  <c:v>1423.677252</c:v>
                </c:pt>
                <c:pt idx="2427">
                  <c:v>1423.45</c:v>
                </c:pt>
                <c:pt idx="2428">
                  <c:v>1423.39</c:v>
                </c:pt>
                <c:pt idx="2429">
                  <c:v>1423.350747</c:v>
                </c:pt>
                <c:pt idx="2430">
                  <c:v>1423.2</c:v>
                </c:pt>
                <c:pt idx="2431">
                  <c:v>1423.2</c:v>
                </c:pt>
                <c:pt idx="2432">
                  <c:v>1423.2</c:v>
                </c:pt>
                <c:pt idx="2433">
                  <c:v>1423.2</c:v>
                </c:pt>
                <c:pt idx="2434">
                  <c:v>1422.7356560000001</c:v>
                </c:pt>
                <c:pt idx="2435">
                  <c:v>1422.6933630000001</c:v>
                </c:pt>
                <c:pt idx="2436">
                  <c:v>1422.5930000000001</c:v>
                </c:pt>
                <c:pt idx="2437">
                  <c:v>1422.4939999999999</c:v>
                </c:pt>
                <c:pt idx="2438">
                  <c:v>1422.415</c:v>
                </c:pt>
                <c:pt idx="2439">
                  <c:v>1422.4</c:v>
                </c:pt>
                <c:pt idx="2440">
                  <c:v>1422.4</c:v>
                </c:pt>
                <c:pt idx="2441">
                  <c:v>1422.4</c:v>
                </c:pt>
                <c:pt idx="2442">
                  <c:v>1421.989</c:v>
                </c:pt>
                <c:pt idx="2443">
                  <c:v>1421.894405</c:v>
                </c:pt>
                <c:pt idx="2444">
                  <c:v>1421.7170000000001</c:v>
                </c:pt>
                <c:pt idx="2445">
                  <c:v>1421.665</c:v>
                </c:pt>
                <c:pt idx="2446">
                  <c:v>1421.648598</c:v>
                </c:pt>
                <c:pt idx="2447">
                  <c:v>1421.6</c:v>
                </c:pt>
                <c:pt idx="2448">
                  <c:v>1421.6</c:v>
                </c:pt>
                <c:pt idx="2449">
                  <c:v>1421.6</c:v>
                </c:pt>
                <c:pt idx="2450">
                  <c:v>1421.2449999999999</c:v>
                </c:pt>
                <c:pt idx="2451">
                  <c:v>1421.1869999999999</c:v>
                </c:pt>
                <c:pt idx="2452">
                  <c:v>1421.0246520000001</c:v>
                </c:pt>
                <c:pt idx="2453">
                  <c:v>1421.019933</c:v>
                </c:pt>
                <c:pt idx="2454">
                  <c:v>1421.019933</c:v>
                </c:pt>
                <c:pt idx="2455">
                  <c:v>1420.8680240000001</c:v>
                </c:pt>
                <c:pt idx="2456">
                  <c:v>1420.8</c:v>
                </c:pt>
                <c:pt idx="2457">
                  <c:v>1420.6499160000001</c:v>
                </c:pt>
                <c:pt idx="2458">
                  <c:v>1420.356</c:v>
                </c:pt>
                <c:pt idx="2459">
                  <c:v>1420.2429950000001</c:v>
                </c:pt>
                <c:pt idx="2460">
                  <c:v>1420.209145</c:v>
                </c:pt>
                <c:pt idx="2461">
                  <c:v>1420.104333</c:v>
                </c:pt>
                <c:pt idx="2462">
                  <c:v>1420.0830000000001</c:v>
                </c:pt>
                <c:pt idx="2463">
                  <c:v>1420</c:v>
                </c:pt>
                <c:pt idx="2464">
                  <c:v>1420</c:v>
                </c:pt>
                <c:pt idx="2465">
                  <c:v>1419.829</c:v>
                </c:pt>
                <c:pt idx="2466">
                  <c:v>1419.6089999999999</c:v>
                </c:pt>
                <c:pt idx="2467">
                  <c:v>1419.53</c:v>
                </c:pt>
                <c:pt idx="2468">
                  <c:v>1419.466056</c:v>
                </c:pt>
                <c:pt idx="2469">
                  <c:v>1419.2</c:v>
                </c:pt>
                <c:pt idx="2470">
                  <c:v>1419.0239999999999</c:v>
                </c:pt>
                <c:pt idx="2471">
                  <c:v>1419.01</c:v>
                </c:pt>
                <c:pt idx="2472">
                  <c:v>1418.787</c:v>
                </c:pt>
                <c:pt idx="2473">
                  <c:v>1418.689118</c:v>
                </c:pt>
                <c:pt idx="2474">
                  <c:v>1418.6527100000001</c:v>
                </c:pt>
                <c:pt idx="2475">
                  <c:v>1418.5775900000001</c:v>
                </c:pt>
                <c:pt idx="2476">
                  <c:v>1418.4349999999999</c:v>
                </c:pt>
                <c:pt idx="2477">
                  <c:v>1418.4</c:v>
                </c:pt>
                <c:pt idx="2478">
                  <c:v>1418.082572</c:v>
                </c:pt>
                <c:pt idx="2479">
                  <c:v>1418.082572</c:v>
                </c:pt>
                <c:pt idx="2480">
                  <c:v>1417.913184</c:v>
                </c:pt>
                <c:pt idx="2481">
                  <c:v>1417.6641569999999</c:v>
                </c:pt>
                <c:pt idx="2482">
                  <c:v>1417.5619999999999</c:v>
                </c:pt>
                <c:pt idx="2483">
                  <c:v>1417.3470520000001</c:v>
                </c:pt>
                <c:pt idx="2484">
                  <c:v>1417.335</c:v>
                </c:pt>
                <c:pt idx="2485">
                  <c:v>1417.299201</c:v>
                </c:pt>
                <c:pt idx="2486">
                  <c:v>1417.283375</c:v>
                </c:pt>
                <c:pt idx="2487">
                  <c:v>1417.1352420000001</c:v>
                </c:pt>
                <c:pt idx="2488">
                  <c:v>1417.1352420000001</c:v>
                </c:pt>
                <c:pt idx="2489">
                  <c:v>1416.8</c:v>
                </c:pt>
                <c:pt idx="2490">
                  <c:v>1416.8</c:v>
                </c:pt>
                <c:pt idx="2491">
                  <c:v>1416.8</c:v>
                </c:pt>
                <c:pt idx="2492">
                  <c:v>1416.8</c:v>
                </c:pt>
                <c:pt idx="2493">
                  <c:v>1416.4813710000001</c:v>
                </c:pt>
                <c:pt idx="2494">
                  <c:v>1416.417545</c:v>
                </c:pt>
                <c:pt idx="2495">
                  <c:v>1416.2639999999999</c:v>
                </c:pt>
                <c:pt idx="2496">
                  <c:v>1416.2149999999999</c:v>
                </c:pt>
                <c:pt idx="2497">
                  <c:v>1416.2125100000001</c:v>
                </c:pt>
                <c:pt idx="2498">
                  <c:v>1416.186925</c:v>
                </c:pt>
                <c:pt idx="2499">
                  <c:v>1416</c:v>
                </c:pt>
                <c:pt idx="2500">
                  <c:v>1416</c:v>
                </c:pt>
                <c:pt idx="2501">
                  <c:v>1416</c:v>
                </c:pt>
                <c:pt idx="2502">
                  <c:v>1415.9020069999999</c:v>
                </c:pt>
                <c:pt idx="2503">
                  <c:v>1415.7909999999999</c:v>
                </c:pt>
                <c:pt idx="2504">
                  <c:v>1415.658987</c:v>
                </c:pt>
                <c:pt idx="2505">
                  <c:v>1415.654</c:v>
                </c:pt>
                <c:pt idx="2506">
                  <c:v>1415.472</c:v>
                </c:pt>
                <c:pt idx="2507">
                  <c:v>1415.406555</c:v>
                </c:pt>
                <c:pt idx="2508">
                  <c:v>1415.346632</c:v>
                </c:pt>
                <c:pt idx="2509">
                  <c:v>1415.2</c:v>
                </c:pt>
                <c:pt idx="2510">
                  <c:v>1415.2</c:v>
                </c:pt>
                <c:pt idx="2511">
                  <c:v>1414.845712</c:v>
                </c:pt>
                <c:pt idx="2512">
                  <c:v>1414.804427</c:v>
                </c:pt>
                <c:pt idx="2513">
                  <c:v>1414.803073</c:v>
                </c:pt>
                <c:pt idx="2514">
                  <c:v>1414.7092520000001</c:v>
                </c:pt>
                <c:pt idx="2515">
                  <c:v>1414.404972</c:v>
                </c:pt>
                <c:pt idx="2516">
                  <c:v>1414.4</c:v>
                </c:pt>
                <c:pt idx="2517">
                  <c:v>1414.4</c:v>
                </c:pt>
                <c:pt idx="2518">
                  <c:v>1414.4</c:v>
                </c:pt>
                <c:pt idx="2519">
                  <c:v>1414.248683</c:v>
                </c:pt>
                <c:pt idx="2520">
                  <c:v>1414.2466509999999</c:v>
                </c:pt>
                <c:pt idx="2521">
                  <c:v>1413.981</c:v>
                </c:pt>
                <c:pt idx="2522">
                  <c:v>1413.61</c:v>
                </c:pt>
                <c:pt idx="2523">
                  <c:v>1413.6</c:v>
                </c:pt>
                <c:pt idx="2524">
                  <c:v>1413.2100519999999</c:v>
                </c:pt>
                <c:pt idx="2525">
                  <c:v>1413.067</c:v>
                </c:pt>
                <c:pt idx="2526">
                  <c:v>1412.9376099999999</c:v>
                </c:pt>
                <c:pt idx="2527">
                  <c:v>1412.8970440000001</c:v>
                </c:pt>
                <c:pt idx="2528">
                  <c:v>1412.8828269999999</c:v>
                </c:pt>
                <c:pt idx="2529">
                  <c:v>1412.8</c:v>
                </c:pt>
                <c:pt idx="2530">
                  <c:v>1412.8</c:v>
                </c:pt>
                <c:pt idx="2531">
                  <c:v>1412.702</c:v>
                </c:pt>
                <c:pt idx="2532">
                  <c:v>1412</c:v>
                </c:pt>
                <c:pt idx="2533">
                  <c:v>1412</c:v>
                </c:pt>
                <c:pt idx="2534">
                  <c:v>1411.9169999999999</c:v>
                </c:pt>
                <c:pt idx="2535">
                  <c:v>1411.614</c:v>
                </c:pt>
                <c:pt idx="2536">
                  <c:v>1411.6110000000001</c:v>
                </c:pt>
                <c:pt idx="2537">
                  <c:v>1411.574392</c:v>
                </c:pt>
                <c:pt idx="2538">
                  <c:v>1411.574392</c:v>
                </c:pt>
                <c:pt idx="2539">
                  <c:v>1411.574392</c:v>
                </c:pt>
                <c:pt idx="2540">
                  <c:v>1411.289051</c:v>
                </c:pt>
                <c:pt idx="2541">
                  <c:v>1411.2</c:v>
                </c:pt>
                <c:pt idx="2542">
                  <c:v>1411.2</c:v>
                </c:pt>
                <c:pt idx="2543">
                  <c:v>1411.1990000000001</c:v>
                </c:pt>
                <c:pt idx="2544">
                  <c:v>1411.078583</c:v>
                </c:pt>
                <c:pt idx="2545">
                  <c:v>1411.0387129999999</c:v>
                </c:pt>
                <c:pt idx="2546">
                  <c:v>1410.943</c:v>
                </c:pt>
                <c:pt idx="2547">
                  <c:v>1410.7273720000001</c:v>
                </c:pt>
                <c:pt idx="2548">
                  <c:v>1410.682</c:v>
                </c:pt>
                <c:pt idx="2549">
                  <c:v>1410.4880000000001</c:v>
                </c:pt>
                <c:pt idx="2550">
                  <c:v>1410.4</c:v>
                </c:pt>
                <c:pt idx="2551">
                  <c:v>1410.376536</c:v>
                </c:pt>
                <c:pt idx="2552">
                  <c:v>1410.31</c:v>
                </c:pt>
                <c:pt idx="2553">
                  <c:v>1410.0989999999999</c:v>
                </c:pt>
                <c:pt idx="2554">
                  <c:v>1409.846</c:v>
                </c:pt>
                <c:pt idx="2555">
                  <c:v>1409.7760000000001</c:v>
                </c:pt>
                <c:pt idx="2556">
                  <c:v>1409.71</c:v>
                </c:pt>
                <c:pt idx="2557">
                  <c:v>1409.6952739999999</c:v>
                </c:pt>
                <c:pt idx="2558">
                  <c:v>1409.6020000000001</c:v>
                </c:pt>
                <c:pt idx="2559">
                  <c:v>1409.6</c:v>
                </c:pt>
                <c:pt idx="2560">
                  <c:v>1409.5840000000001</c:v>
                </c:pt>
                <c:pt idx="2561">
                  <c:v>1409.437811</c:v>
                </c:pt>
                <c:pt idx="2562">
                  <c:v>1409.1959999999999</c:v>
                </c:pt>
                <c:pt idx="2563">
                  <c:v>1409.1220000000001</c:v>
                </c:pt>
                <c:pt idx="2564">
                  <c:v>1408.9951679999999</c:v>
                </c:pt>
                <c:pt idx="2565">
                  <c:v>1408.8983860000001</c:v>
                </c:pt>
                <c:pt idx="2566">
                  <c:v>1408.8030000000001</c:v>
                </c:pt>
                <c:pt idx="2567">
                  <c:v>1408.8</c:v>
                </c:pt>
                <c:pt idx="2568">
                  <c:v>1408.8</c:v>
                </c:pt>
                <c:pt idx="2569">
                  <c:v>1408.8</c:v>
                </c:pt>
                <c:pt idx="2570">
                  <c:v>1408.691</c:v>
                </c:pt>
                <c:pt idx="2571">
                  <c:v>1408.520812</c:v>
                </c:pt>
                <c:pt idx="2572">
                  <c:v>1408.4829999999999</c:v>
                </c:pt>
                <c:pt idx="2573">
                  <c:v>1408.4369999999999</c:v>
                </c:pt>
                <c:pt idx="2574">
                  <c:v>1408.4359999999999</c:v>
                </c:pt>
                <c:pt idx="2575">
                  <c:v>1408.1389999999999</c:v>
                </c:pt>
                <c:pt idx="2576">
                  <c:v>1408.114546</c:v>
                </c:pt>
                <c:pt idx="2577">
                  <c:v>1408.111459</c:v>
                </c:pt>
                <c:pt idx="2578">
                  <c:v>1408.0029999999999</c:v>
                </c:pt>
                <c:pt idx="2579">
                  <c:v>1408</c:v>
                </c:pt>
                <c:pt idx="2580">
                  <c:v>1408</c:v>
                </c:pt>
                <c:pt idx="2581">
                  <c:v>1408</c:v>
                </c:pt>
                <c:pt idx="2582">
                  <c:v>1408</c:v>
                </c:pt>
                <c:pt idx="2583">
                  <c:v>1408</c:v>
                </c:pt>
                <c:pt idx="2584">
                  <c:v>1408</c:v>
                </c:pt>
                <c:pt idx="2585">
                  <c:v>1408</c:v>
                </c:pt>
                <c:pt idx="2586">
                  <c:v>1407.8130000000001</c:v>
                </c:pt>
                <c:pt idx="2587">
                  <c:v>1407.7380000000001</c:v>
                </c:pt>
                <c:pt idx="2588">
                  <c:v>1407.71</c:v>
                </c:pt>
                <c:pt idx="2589">
                  <c:v>1407.4852430000001</c:v>
                </c:pt>
                <c:pt idx="2590">
                  <c:v>1407.307945</c:v>
                </c:pt>
                <c:pt idx="2591">
                  <c:v>1407.2</c:v>
                </c:pt>
                <c:pt idx="2592">
                  <c:v>1407.2</c:v>
                </c:pt>
                <c:pt idx="2593">
                  <c:v>1407.2</c:v>
                </c:pt>
                <c:pt idx="2594">
                  <c:v>1407.035046</c:v>
                </c:pt>
                <c:pt idx="2595">
                  <c:v>1407.0070000000001</c:v>
                </c:pt>
                <c:pt idx="2596">
                  <c:v>1406.8436879999999</c:v>
                </c:pt>
                <c:pt idx="2597">
                  <c:v>1406.6674129999999</c:v>
                </c:pt>
                <c:pt idx="2598">
                  <c:v>1406.4549999999999</c:v>
                </c:pt>
                <c:pt idx="2599">
                  <c:v>1405.7249999999999</c:v>
                </c:pt>
                <c:pt idx="2600">
                  <c:v>1405.7108330000001</c:v>
                </c:pt>
                <c:pt idx="2601">
                  <c:v>1405.7098370000001</c:v>
                </c:pt>
                <c:pt idx="2602">
                  <c:v>1405.657393</c:v>
                </c:pt>
                <c:pt idx="2603">
                  <c:v>1405.6336429999999</c:v>
                </c:pt>
                <c:pt idx="2604">
                  <c:v>1405.6</c:v>
                </c:pt>
                <c:pt idx="2605">
                  <c:v>1405.4949999999999</c:v>
                </c:pt>
                <c:pt idx="2606">
                  <c:v>1405.356</c:v>
                </c:pt>
                <c:pt idx="2607">
                  <c:v>1404.9290000000001</c:v>
                </c:pt>
                <c:pt idx="2608">
                  <c:v>1404.9020029999999</c:v>
                </c:pt>
                <c:pt idx="2609">
                  <c:v>1404.843212</c:v>
                </c:pt>
                <c:pt idx="2610">
                  <c:v>1404.829</c:v>
                </c:pt>
                <c:pt idx="2611">
                  <c:v>1404.8</c:v>
                </c:pt>
                <c:pt idx="2612">
                  <c:v>1404.8</c:v>
                </c:pt>
                <c:pt idx="2613">
                  <c:v>1404.7042309999999</c:v>
                </c:pt>
                <c:pt idx="2614">
                  <c:v>1404.394427</c:v>
                </c:pt>
                <c:pt idx="2615">
                  <c:v>1404.3389999999999</c:v>
                </c:pt>
                <c:pt idx="2616">
                  <c:v>1404.316</c:v>
                </c:pt>
                <c:pt idx="2617">
                  <c:v>1404.2923719999999</c:v>
                </c:pt>
                <c:pt idx="2618">
                  <c:v>1404.229053</c:v>
                </c:pt>
                <c:pt idx="2619">
                  <c:v>1403.7529999999999</c:v>
                </c:pt>
                <c:pt idx="2620">
                  <c:v>1403.5350000000001</c:v>
                </c:pt>
                <c:pt idx="2621">
                  <c:v>1403.2</c:v>
                </c:pt>
                <c:pt idx="2622">
                  <c:v>1403.2</c:v>
                </c:pt>
                <c:pt idx="2623">
                  <c:v>1403.1969999999999</c:v>
                </c:pt>
                <c:pt idx="2624">
                  <c:v>1403.150355</c:v>
                </c:pt>
                <c:pt idx="2625">
                  <c:v>1403.0409999999999</c:v>
                </c:pt>
                <c:pt idx="2626">
                  <c:v>1402.9585810000001</c:v>
                </c:pt>
                <c:pt idx="2627">
                  <c:v>1402.9447769999999</c:v>
                </c:pt>
                <c:pt idx="2628">
                  <c:v>1402.913</c:v>
                </c:pt>
                <c:pt idx="2629">
                  <c:v>1402.6590000000001</c:v>
                </c:pt>
                <c:pt idx="2630">
                  <c:v>1402.5232800000001</c:v>
                </c:pt>
                <c:pt idx="2631">
                  <c:v>1402.5232800000001</c:v>
                </c:pt>
                <c:pt idx="2632">
                  <c:v>1402.4</c:v>
                </c:pt>
                <c:pt idx="2633">
                  <c:v>1402.4</c:v>
                </c:pt>
                <c:pt idx="2634">
                  <c:v>1402.373417</c:v>
                </c:pt>
                <c:pt idx="2635">
                  <c:v>1402.2623000000001</c:v>
                </c:pt>
                <c:pt idx="2636">
                  <c:v>1401.9868899999999</c:v>
                </c:pt>
                <c:pt idx="2637">
                  <c:v>1401.9449999999999</c:v>
                </c:pt>
                <c:pt idx="2638">
                  <c:v>1401.7604329999999</c:v>
                </c:pt>
                <c:pt idx="2639">
                  <c:v>1401.736944</c:v>
                </c:pt>
                <c:pt idx="2640">
                  <c:v>1401.6759999999999</c:v>
                </c:pt>
                <c:pt idx="2641">
                  <c:v>1401.6253119999999</c:v>
                </c:pt>
                <c:pt idx="2642">
                  <c:v>1401.3989999999999</c:v>
                </c:pt>
                <c:pt idx="2643">
                  <c:v>1401.019</c:v>
                </c:pt>
                <c:pt idx="2644">
                  <c:v>1400.9860000000001</c:v>
                </c:pt>
                <c:pt idx="2645">
                  <c:v>1400.8</c:v>
                </c:pt>
                <c:pt idx="2646">
                  <c:v>1400.8</c:v>
                </c:pt>
                <c:pt idx="2647">
                  <c:v>1400.7069610000001</c:v>
                </c:pt>
                <c:pt idx="2648">
                  <c:v>1400.25713</c:v>
                </c:pt>
                <c:pt idx="2649">
                  <c:v>1400.201</c:v>
                </c:pt>
                <c:pt idx="2650">
                  <c:v>1400.192</c:v>
                </c:pt>
                <c:pt idx="2651">
                  <c:v>1400.1247739999999</c:v>
                </c:pt>
                <c:pt idx="2652">
                  <c:v>1400.042602</c:v>
                </c:pt>
                <c:pt idx="2653">
                  <c:v>1400</c:v>
                </c:pt>
                <c:pt idx="2654">
                  <c:v>1400</c:v>
                </c:pt>
                <c:pt idx="2655">
                  <c:v>1400</c:v>
                </c:pt>
                <c:pt idx="2656">
                  <c:v>1399.92</c:v>
                </c:pt>
                <c:pt idx="2657">
                  <c:v>1399.808</c:v>
                </c:pt>
                <c:pt idx="2658">
                  <c:v>1399.720315</c:v>
                </c:pt>
                <c:pt idx="2659">
                  <c:v>1399.4642260000001</c:v>
                </c:pt>
                <c:pt idx="2660">
                  <c:v>1399.335728</c:v>
                </c:pt>
                <c:pt idx="2661">
                  <c:v>1399.3069439999999</c:v>
                </c:pt>
                <c:pt idx="2662">
                  <c:v>1398.5489379999999</c:v>
                </c:pt>
                <c:pt idx="2663">
                  <c:v>1398.488726</c:v>
                </c:pt>
                <c:pt idx="2664">
                  <c:v>1398.4</c:v>
                </c:pt>
                <c:pt idx="2665">
                  <c:v>1398.4</c:v>
                </c:pt>
                <c:pt idx="2666">
                  <c:v>1398.4</c:v>
                </c:pt>
                <c:pt idx="2667">
                  <c:v>1398.4</c:v>
                </c:pt>
                <c:pt idx="2668">
                  <c:v>1398.0079949999999</c:v>
                </c:pt>
                <c:pt idx="2669">
                  <c:v>1397.6</c:v>
                </c:pt>
                <c:pt idx="2670">
                  <c:v>1397.6</c:v>
                </c:pt>
                <c:pt idx="2671">
                  <c:v>1397.6</c:v>
                </c:pt>
                <c:pt idx="2672">
                  <c:v>1397.57989</c:v>
                </c:pt>
                <c:pt idx="2673">
                  <c:v>1397.4560670000001</c:v>
                </c:pt>
                <c:pt idx="2674">
                  <c:v>1397.3689999999999</c:v>
                </c:pt>
                <c:pt idx="2675">
                  <c:v>1396.8</c:v>
                </c:pt>
                <c:pt idx="2676">
                  <c:v>1396.8</c:v>
                </c:pt>
                <c:pt idx="2677">
                  <c:v>1396.8</c:v>
                </c:pt>
                <c:pt idx="2678">
                  <c:v>1396.8</c:v>
                </c:pt>
                <c:pt idx="2679">
                  <c:v>1396.75</c:v>
                </c:pt>
                <c:pt idx="2680">
                  <c:v>1396.243416</c:v>
                </c:pt>
                <c:pt idx="2681">
                  <c:v>1396.16</c:v>
                </c:pt>
                <c:pt idx="2682">
                  <c:v>1396</c:v>
                </c:pt>
                <c:pt idx="2683">
                  <c:v>1396</c:v>
                </c:pt>
                <c:pt idx="2684">
                  <c:v>1396</c:v>
                </c:pt>
                <c:pt idx="2685">
                  <c:v>1395.96</c:v>
                </c:pt>
                <c:pt idx="2686">
                  <c:v>1395.6179999999999</c:v>
                </c:pt>
                <c:pt idx="2687">
                  <c:v>1395.5694350000001</c:v>
                </c:pt>
                <c:pt idx="2688">
                  <c:v>1395.4794999999999</c:v>
                </c:pt>
                <c:pt idx="2689">
                  <c:v>1395.380973</c:v>
                </c:pt>
                <c:pt idx="2690">
                  <c:v>1395.2814519999999</c:v>
                </c:pt>
                <c:pt idx="2691">
                  <c:v>1395.2</c:v>
                </c:pt>
                <c:pt idx="2692">
                  <c:v>1395.2</c:v>
                </c:pt>
                <c:pt idx="2693">
                  <c:v>1395.2</c:v>
                </c:pt>
                <c:pt idx="2694">
                  <c:v>1395.182</c:v>
                </c:pt>
                <c:pt idx="2695">
                  <c:v>1395.164</c:v>
                </c:pt>
                <c:pt idx="2696">
                  <c:v>1395.1079999999999</c:v>
                </c:pt>
                <c:pt idx="2697">
                  <c:v>1394.875963</c:v>
                </c:pt>
                <c:pt idx="2698">
                  <c:v>1394.6040350000001</c:v>
                </c:pt>
                <c:pt idx="2699">
                  <c:v>1394.545932</c:v>
                </c:pt>
                <c:pt idx="2700">
                  <c:v>1394.545932</c:v>
                </c:pt>
                <c:pt idx="2701">
                  <c:v>1394.490806</c:v>
                </c:pt>
                <c:pt idx="2702">
                  <c:v>1394.4</c:v>
                </c:pt>
                <c:pt idx="2703">
                  <c:v>1394.4</c:v>
                </c:pt>
                <c:pt idx="2704">
                  <c:v>1394.4</c:v>
                </c:pt>
                <c:pt idx="2705">
                  <c:v>1394.4</c:v>
                </c:pt>
                <c:pt idx="2706">
                  <c:v>1394.368273</c:v>
                </c:pt>
                <c:pt idx="2707">
                  <c:v>1394.363145</c:v>
                </c:pt>
                <c:pt idx="2708">
                  <c:v>1394.271</c:v>
                </c:pt>
                <c:pt idx="2709">
                  <c:v>1394.176545</c:v>
                </c:pt>
                <c:pt idx="2710">
                  <c:v>1394.1579999999999</c:v>
                </c:pt>
                <c:pt idx="2711">
                  <c:v>1394.069</c:v>
                </c:pt>
                <c:pt idx="2712">
                  <c:v>1393.933</c:v>
                </c:pt>
                <c:pt idx="2713">
                  <c:v>1393.7850000000001</c:v>
                </c:pt>
                <c:pt idx="2714">
                  <c:v>1393.7339999999999</c:v>
                </c:pt>
                <c:pt idx="2715">
                  <c:v>1393.713</c:v>
                </c:pt>
                <c:pt idx="2716">
                  <c:v>1393.6</c:v>
                </c:pt>
                <c:pt idx="2717">
                  <c:v>1393.0748920000001</c:v>
                </c:pt>
                <c:pt idx="2718">
                  <c:v>1393.0748920000001</c:v>
                </c:pt>
                <c:pt idx="2719">
                  <c:v>1393.0650000000001</c:v>
                </c:pt>
                <c:pt idx="2720">
                  <c:v>1392.8</c:v>
                </c:pt>
                <c:pt idx="2721">
                  <c:v>1392.8</c:v>
                </c:pt>
                <c:pt idx="2722">
                  <c:v>1392.7643049999999</c:v>
                </c:pt>
                <c:pt idx="2723">
                  <c:v>1392.7643049999999</c:v>
                </c:pt>
                <c:pt idx="2724">
                  <c:v>1392.6590000000001</c:v>
                </c:pt>
                <c:pt idx="2725">
                  <c:v>1392.6389999999999</c:v>
                </c:pt>
                <c:pt idx="2726">
                  <c:v>1392.377</c:v>
                </c:pt>
                <c:pt idx="2727">
                  <c:v>1392.1637330000001</c:v>
                </c:pt>
                <c:pt idx="2728">
                  <c:v>1392.1637330000001</c:v>
                </c:pt>
                <c:pt idx="2729">
                  <c:v>1392.0498500000001</c:v>
                </c:pt>
                <c:pt idx="2730">
                  <c:v>1392</c:v>
                </c:pt>
                <c:pt idx="2731">
                  <c:v>1392</c:v>
                </c:pt>
                <c:pt idx="2732">
                  <c:v>1392</c:v>
                </c:pt>
                <c:pt idx="2733">
                  <c:v>1392</c:v>
                </c:pt>
                <c:pt idx="2734">
                  <c:v>1392</c:v>
                </c:pt>
                <c:pt idx="2735">
                  <c:v>1391.946475</c:v>
                </c:pt>
                <c:pt idx="2736">
                  <c:v>1391.946475</c:v>
                </c:pt>
                <c:pt idx="2737">
                  <c:v>1391.920599</c:v>
                </c:pt>
                <c:pt idx="2738">
                  <c:v>1391.7280699999999</c:v>
                </c:pt>
                <c:pt idx="2739">
                  <c:v>1391.6790000000001</c:v>
                </c:pt>
                <c:pt idx="2740">
                  <c:v>1391.4962820000001</c:v>
                </c:pt>
                <c:pt idx="2741">
                  <c:v>1391.366845</c:v>
                </c:pt>
                <c:pt idx="2742">
                  <c:v>1391.366845</c:v>
                </c:pt>
                <c:pt idx="2743">
                  <c:v>1391.3491779999999</c:v>
                </c:pt>
                <c:pt idx="2744">
                  <c:v>1391.3030000000001</c:v>
                </c:pt>
                <c:pt idx="2745">
                  <c:v>1391.249</c:v>
                </c:pt>
                <c:pt idx="2746">
                  <c:v>1390.4</c:v>
                </c:pt>
                <c:pt idx="2747">
                  <c:v>1390.166747</c:v>
                </c:pt>
                <c:pt idx="2748">
                  <c:v>1389.681427</c:v>
                </c:pt>
                <c:pt idx="2749">
                  <c:v>1389.6</c:v>
                </c:pt>
                <c:pt idx="2750">
                  <c:v>1389.6</c:v>
                </c:pt>
                <c:pt idx="2751">
                  <c:v>1389.518</c:v>
                </c:pt>
                <c:pt idx="2752">
                  <c:v>1389.470495</c:v>
                </c:pt>
                <c:pt idx="2753">
                  <c:v>1388.914</c:v>
                </c:pt>
                <c:pt idx="2754">
                  <c:v>1388.8340000000001</c:v>
                </c:pt>
                <c:pt idx="2755">
                  <c:v>1388.8</c:v>
                </c:pt>
                <c:pt idx="2756">
                  <c:v>1388.8</c:v>
                </c:pt>
                <c:pt idx="2757">
                  <c:v>1388.6751549999999</c:v>
                </c:pt>
                <c:pt idx="2758">
                  <c:v>1388.6464679999999</c:v>
                </c:pt>
                <c:pt idx="2759">
                  <c:v>1388.3885290000001</c:v>
                </c:pt>
                <c:pt idx="2760">
                  <c:v>1388.338823</c:v>
                </c:pt>
                <c:pt idx="2761">
                  <c:v>1388</c:v>
                </c:pt>
                <c:pt idx="2762">
                  <c:v>1388</c:v>
                </c:pt>
                <c:pt idx="2763">
                  <c:v>1388</c:v>
                </c:pt>
                <c:pt idx="2764">
                  <c:v>1387.757083</c:v>
                </c:pt>
                <c:pt idx="2765">
                  <c:v>1387.754048</c:v>
                </c:pt>
                <c:pt idx="2766">
                  <c:v>1387.7239999999999</c:v>
                </c:pt>
                <c:pt idx="2767">
                  <c:v>1387.644</c:v>
                </c:pt>
                <c:pt idx="2768">
                  <c:v>1387.3226689999999</c:v>
                </c:pt>
                <c:pt idx="2769">
                  <c:v>1387.202039</c:v>
                </c:pt>
                <c:pt idx="2770">
                  <c:v>1387.2</c:v>
                </c:pt>
                <c:pt idx="2771">
                  <c:v>1386.8346529999999</c:v>
                </c:pt>
                <c:pt idx="2772">
                  <c:v>1386.8346529999999</c:v>
                </c:pt>
                <c:pt idx="2773">
                  <c:v>1386.8346529999999</c:v>
                </c:pt>
                <c:pt idx="2774">
                  <c:v>1386.66</c:v>
                </c:pt>
                <c:pt idx="2775">
                  <c:v>1386.5855160000001</c:v>
                </c:pt>
                <c:pt idx="2776">
                  <c:v>1386.4</c:v>
                </c:pt>
                <c:pt idx="2777">
                  <c:v>1386.4</c:v>
                </c:pt>
                <c:pt idx="2778">
                  <c:v>1386.4</c:v>
                </c:pt>
                <c:pt idx="2779">
                  <c:v>1386.4</c:v>
                </c:pt>
                <c:pt idx="2780">
                  <c:v>1386.265764</c:v>
                </c:pt>
                <c:pt idx="2781">
                  <c:v>1386.135258</c:v>
                </c:pt>
                <c:pt idx="2782">
                  <c:v>1386.057</c:v>
                </c:pt>
                <c:pt idx="2783">
                  <c:v>1385.6</c:v>
                </c:pt>
                <c:pt idx="2784">
                  <c:v>1385.6</c:v>
                </c:pt>
                <c:pt idx="2785">
                  <c:v>1385.46</c:v>
                </c:pt>
                <c:pt idx="2786">
                  <c:v>1385.337</c:v>
                </c:pt>
                <c:pt idx="2787">
                  <c:v>1384.917064</c:v>
                </c:pt>
                <c:pt idx="2788">
                  <c:v>1384.8</c:v>
                </c:pt>
                <c:pt idx="2789">
                  <c:v>1384.8</c:v>
                </c:pt>
                <c:pt idx="2790">
                  <c:v>1384.8</c:v>
                </c:pt>
                <c:pt idx="2791">
                  <c:v>1384.7729999999999</c:v>
                </c:pt>
                <c:pt idx="2792">
                  <c:v>1384.7711569999999</c:v>
                </c:pt>
                <c:pt idx="2793">
                  <c:v>1384.7625969999999</c:v>
                </c:pt>
                <c:pt idx="2794">
                  <c:v>1384.49</c:v>
                </c:pt>
                <c:pt idx="2795">
                  <c:v>1384.2118479999999</c:v>
                </c:pt>
                <c:pt idx="2796">
                  <c:v>1384.1314110000001</c:v>
                </c:pt>
                <c:pt idx="2797">
                  <c:v>1384.068</c:v>
                </c:pt>
                <c:pt idx="2798">
                  <c:v>1384.059528</c:v>
                </c:pt>
                <c:pt idx="2799">
                  <c:v>1384</c:v>
                </c:pt>
                <c:pt idx="2800">
                  <c:v>1384</c:v>
                </c:pt>
                <c:pt idx="2801">
                  <c:v>1384</c:v>
                </c:pt>
                <c:pt idx="2802">
                  <c:v>1383.5978580000001</c:v>
                </c:pt>
                <c:pt idx="2803">
                  <c:v>1383.5719999999999</c:v>
                </c:pt>
                <c:pt idx="2804">
                  <c:v>1383.4398639999999</c:v>
                </c:pt>
                <c:pt idx="2805">
                  <c:v>1383.414</c:v>
                </c:pt>
                <c:pt idx="2806">
                  <c:v>1383.4079999999999</c:v>
                </c:pt>
                <c:pt idx="2807">
                  <c:v>1383.3979629999999</c:v>
                </c:pt>
                <c:pt idx="2808">
                  <c:v>1383.0329999999999</c:v>
                </c:pt>
                <c:pt idx="2809">
                  <c:v>1382.8219999999999</c:v>
                </c:pt>
                <c:pt idx="2810">
                  <c:v>1382.7776120000001</c:v>
                </c:pt>
                <c:pt idx="2811">
                  <c:v>1382.4059999999999</c:v>
                </c:pt>
                <c:pt idx="2812">
                  <c:v>1382.4</c:v>
                </c:pt>
                <c:pt idx="2813">
                  <c:v>1382.4</c:v>
                </c:pt>
                <c:pt idx="2814">
                  <c:v>1382.2639999999999</c:v>
                </c:pt>
                <c:pt idx="2815">
                  <c:v>1382.1730239999999</c:v>
                </c:pt>
                <c:pt idx="2816">
                  <c:v>1382.135</c:v>
                </c:pt>
                <c:pt idx="2817">
                  <c:v>1381.943</c:v>
                </c:pt>
                <c:pt idx="2818">
                  <c:v>1381.8305700000001</c:v>
                </c:pt>
                <c:pt idx="2819">
                  <c:v>1381.741</c:v>
                </c:pt>
                <c:pt idx="2820">
                  <c:v>1381.6</c:v>
                </c:pt>
                <c:pt idx="2821">
                  <c:v>1381.6</c:v>
                </c:pt>
                <c:pt idx="2822">
                  <c:v>1381.4480000000001</c:v>
                </c:pt>
                <c:pt idx="2823">
                  <c:v>1380.9639999999999</c:v>
                </c:pt>
                <c:pt idx="2824">
                  <c:v>1380.9349999999999</c:v>
                </c:pt>
                <c:pt idx="2825">
                  <c:v>1380.8</c:v>
                </c:pt>
                <c:pt idx="2826">
                  <c:v>1380.8</c:v>
                </c:pt>
                <c:pt idx="2827">
                  <c:v>1380.8</c:v>
                </c:pt>
                <c:pt idx="2828">
                  <c:v>1380.768</c:v>
                </c:pt>
                <c:pt idx="2829">
                  <c:v>1380.682274</c:v>
                </c:pt>
                <c:pt idx="2830">
                  <c:v>1380.4794199999999</c:v>
                </c:pt>
                <c:pt idx="2831">
                  <c:v>1380.393</c:v>
                </c:pt>
                <c:pt idx="2832">
                  <c:v>1380.3150000000001</c:v>
                </c:pt>
                <c:pt idx="2833">
                  <c:v>1380.2760000000001</c:v>
                </c:pt>
                <c:pt idx="2834">
                  <c:v>1380.2104099999999</c:v>
                </c:pt>
                <c:pt idx="2835">
                  <c:v>1380</c:v>
                </c:pt>
                <c:pt idx="2836">
                  <c:v>1380</c:v>
                </c:pt>
                <c:pt idx="2837">
                  <c:v>1379.9864439999999</c:v>
                </c:pt>
                <c:pt idx="2838">
                  <c:v>1379.8209999999999</c:v>
                </c:pt>
                <c:pt idx="2839">
                  <c:v>1379.816</c:v>
                </c:pt>
                <c:pt idx="2840">
                  <c:v>1379.6333320000001</c:v>
                </c:pt>
                <c:pt idx="2841">
                  <c:v>1379.5889999999999</c:v>
                </c:pt>
                <c:pt idx="2842">
                  <c:v>1379.4135220000001</c:v>
                </c:pt>
                <c:pt idx="2843">
                  <c:v>1379.2</c:v>
                </c:pt>
                <c:pt idx="2844">
                  <c:v>1379.158854</c:v>
                </c:pt>
                <c:pt idx="2845">
                  <c:v>1379.1000120000001</c:v>
                </c:pt>
                <c:pt idx="2846">
                  <c:v>1379.0652709999999</c:v>
                </c:pt>
                <c:pt idx="2847">
                  <c:v>1378.9960000000001</c:v>
                </c:pt>
                <c:pt idx="2848">
                  <c:v>1378.71</c:v>
                </c:pt>
                <c:pt idx="2849">
                  <c:v>1378.6088199999999</c:v>
                </c:pt>
                <c:pt idx="2850">
                  <c:v>1378.5809999999999</c:v>
                </c:pt>
                <c:pt idx="2851">
                  <c:v>1378.4</c:v>
                </c:pt>
                <c:pt idx="2852">
                  <c:v>1378.4</c:v>
                </c:pt>
                <c:pt idx="2853">
                  <c:v>1378.1087930000001</c:v>
                </c:pt>
                <c:pt idx="2854">
                  <c:v>1378.026936</c:v>
                </c:pt>
                <c:pt idx="2855">
                  <c:v>1377.8610000000001</c:v>
                </c:pt>
                <c:pt idx="2856">
                  <c:v>1377.713</c:v>
                </c:pt>
                <c:pt idx="2857">
                  <c:v>1377.653395</c:v>
                </c:pt>
                <c:pt idx="2858">
                  <c:v>1377.628972</c:v>
                </c:pt>
                <c:pt idx="2859">
                  <c:v>1377.6</c:v>
                </c:pt>
                <c:pt idx="2860">
                  <c:v>1377.6</c:v>
                </c:pt>
                <c:pt idx="2861">
                  <c:v>1377.5940000000001</c:v>
                </c:pt>
                <c:pt idx="2862">
                  <c:v>1377.545386</c:v>
                </c:pt>
                <c:pt idx="2863">
                  <c:v>1377.423</c:v>
                </c:pt>
                <c:pt idx="2864">
                  <c:v>1377.225537</c:v>
                </c:pt>
                <c:pt idx="2865">
                  <c:v>1376.8</c:v>
                </c:pt>
                <c:pt idx="2866">
                  <c:v>1376.8</c:v>
                </c:pt>
                <c:pt idx="2867">
                  <c:v>1376.8</c:v>
                </c:pt>
                <c:pt idx="2868">
                  <c:v>1376.8</c:v>
                </c:pt>
                <c:pt idx="2869">
                  <c:v>1376.6975520000001</c:v>
                </c:pt>
                <c:pt idx="2870">
                  <c:v>1376.5419999999999</c:v>
                </c:pt>
                <c:pt idx="2871">
                  <c:v>1376.5319999999999</c:v>
                </c:pt>
                <c:pt idx="2872">
                  <c:v>1376.376</c:v>
                </c:pt>
                <c:pt idx="2873">
                  <c:v>1376.3664200000001</c:v>
                </c:pt>
                <c:pt idx="2874">
                  <c:v>1376.1579320000001</c:v>
                </c:pt>
                <c:pt idx="2875">
                  <c:v>1376</c:v>
                </c:pt>
                <c:pt idx="2876">
                  <c:v>1376</c:v>
                </c:pt>
                <c:pt idx="2877">
                  <c:v>1376</c:v>
                </c:pt>
                <c:pt idx="2878">
                  <c:v>1375.817</c:v>
                </c:pt>
                <c:pt idx="2879">
                  <c:v>1375.5898769999999</c:v>
                </c:pt>
                <c:pt idx="2880">
                  <c:v>1375.5229999999999</c:v>
                </c:pt>
                <c:pt idx="2881">
                  <c:v>1375.396849</c:v>
                </c:pt>
                <c:pt idx="2882">
                  <c:v>1375.3150000000001</c:v>
                </c:pt>
                <c:pt idx="2883">
                  <c:v>1375.2</c:v>
                </c:pt>
                <c:pt idx="2884">
                  <c:v>1375.2</c:v>
                </c:pt>
                <c:pt idx="2885">
                  <c:v>1375.182</c:v>
                </c:pt>
                <c:pt idx="2886">
                  <c:v>1375.0119999999999</c:v>
                </c:pt>
                <c:pt idx="2887">
                  <c:v>1374.7380000000001</c:v>
                </c:pt>
                <c:pt idx="2888">
                  <c:v>1374.694</c:v>
                </c:pt>
                <c:pt idx="2889">
                  <c:v>1374.539</c:v>
                </c:pt>
                <c:pt idx="2890">
                  <c:v>1374.5232390000001</c:v>
                </c:pt>
                <c:pt idx="2891">
                  <c:v>1374.39</c:v>
                </c:pt>
                <c:pt idx="2892">
                  <c:v>1374.2538549999999</c:v>
                </c:pt>
                <c:pt idx="2893">
                  <c:v>1373.6</c:v>
                </c:pt>
                <c:pt idx="2894">
                  <c:v>1373.6</c:v>
                </c:pt>
                <c:pt idx="2895">
                  <c:v>1373.5440000000001</c:v>
                </c:pt>
                <c:pt idx="2896">
                  <c:v>1373.2187120000001</c:v>
                </c:pt>
                <c:pt idx="2897">
                  <c:v>1373.136387</c:v>
                </c:pt>
                <c:pt idx="2898">
                  <c:v>1372.9369999999999</c:v>
                </c:pt>
                <c:pt idx="2899">
                  <c:v>1372.877</c:v>
                </c:pt>
                <c:pt idx="2900">
                  <c:v>1372.8720000000001</c:v>
                </c:pt>
                <c:pt idx="2901">
                  <c:v>1372.8</c:v>
                </c:pt>
                <c:pt idx="2902">
                  <c:v>1372.8</c:v>
                </c:pt>
                <c:pt idx="2903">
                  <c:v>1372.623</c:v>
                </c:pt>
                <c:pt idx="2904">
                  <c:v>1372.388921</c:v>
                </c:pt>
                <c:pt idx="2905">
                  <c:v>1372.388921</c:v>
                </c:pt>
                <c:pt idx="2906">
                  <c:v>1372.354088</c:v>
                </c:pt>
                <c:pt idx="2907">
                  <c:v>1372.328</c:v>
                </c:pt>
                <c:pt idx="2908">
                  <c:v>1372.235551</c:v>
                </c:pt>
                <c:pt idx="2909">
                  <c:v>1372</c:v>
                </c:pt>
                <c:pt idx="2910">
                  <c:v>1371.9494729999999</c:v>
                </c:pt>
                <c:pt idx="2911">
                  <c:v>1371.9280000000001</c:v>
                </c:pt>
                <c:pt idx="2912">
                  <c:v>1371.7819999999999</c:v>
                </c:pt>
                <c:pt idx="2913">
                  <c:v>1371.7787900000001</c:v>
                </c:pt>
                <c:pt idx="2914">
                  <c:v>1371.7310210000001</c:v>
                </c:pt>
                <c:pt idx="2915">
                  <c:v>1371.4446399999999</c:v>
                </c:pt>
                <c:pt idx="2916">
                  <c:v>1371.414</c:v>
                </c:pt>
                <c:pt idx="2917">
                  <c:v>1371.2114200000001</c:v>
                </c:pt>
                <c:pt idx="2918">
                  <c:v>1371.2</c:v>
                </c:pt>
                <c:pt idx="2919">
                  <c:v>1371.1369999999999</c:v>
                </c:pt>
                <c:pt idx="2920">
                  <c:v>1371.022289</c:v>
                </c:pt>
                <c:pt idx="2921">
                  <c:v>1370.9210169999999</c:v>
                </c:pt>
                <c:pt idx="2922">
                  <c:v>1370.3068699999999</c:v>
                </c:pt>
                <c:pt idx="2923">
                  <c:v>1370.1089999999999</c:v>
                </c:pt>
                <c:pt idx="2924">
                  <c:v>1369.8508629999999</c:v>
                </c:pt>
                <c:pt idx="2925">
                  <c:v>1369.7570000000001</c:v>
                </c:pt>
                <c:pt idx="2926">
                  <c:v>1369.6</c:v>
                </c:pt>
                <c:pt idx="2927">
                  <c:v>1369.6</c:v>
                </c:pt>
                <c:pt idx="2928">
                  <c:v>1369.6</c:v>
                </c:pt>
                <c:pt idx="2929">
                  <c:v>1369.5382520000001</c:v>
                </c:pt>
                <c:pt idx="2930">
                  <c:v>1368.8</c:v>
                </c:pt>
                <c:pt idx="2931">
                  <c:v>1368.8</c:v>
                </c:pt>
                <c:pt idx="2932">
                  <c:v>1368.8</c:v>
                </c:pt>
                <c:pt idx="2933">
                  <c:v>1368.8</c:v>
                </c:pt>
                <c:pt idx="2934">
                  <c:v>1368.665741</c:v>
                </c:pt>
                <c:pt idx="2935">
                  <c:v>1368.572721</c:v>
                </c:pt>
                <c:pt idx="2936">
                  <c:v>1368.5008539999999</c:v>
                </c:pt>
                <c:pt idx="2937">
                  <c:v>1368.4960000000001</c:v>
                </c:pt>
                <c:pt idx="2938">
                  <c:v>1368.331999</c:v>
                </c:pt>
                <c:pt idx="2939">
                  <c:v>1368.257087</c:v>
                </c:pt>
                <c:pt idx="2940">
                  <c:v>1368.2013039999999</c:v>
                </c:pt>
                <c:pt idx="2941">
                  <c:v>1368.0219999999999</c:v>
                </c:pt>
                <c:pt idx="2942">
                  <c:v>1368</c:v>
                </c:pt>
                <c:pt idx="2943">
                  <c:v>1368</c:v>
                </c:pt>
                <c:pt idx="2944">
                  <c:v>1367.834805</c:v>
                </c:pt>
                <c:pt idx="2945">
                  <c:v>1367.5966659999999</c:v>
                </c:pt>
                <c:pt idx="2946">
                  <c:v>1367.56</c:v>
                </c:pt>
                <c:pt idx="2947">
                  <c:v>1367.4141119999999</c:v>
                </c:pt>
                <c:pt idx="2948">
                  <c:v>1367.411578</c:v>
                </c:pt>
                <c:pt idx="2949">
                  <c:v>1367.3119999999999</c:v>
                </c:pt>
                <c:pt idx="2950">
                  <c:v>1367.211</c:v>
                </c:pt>
                <c:pt idx="2951">
                  <c:v>1367.2</c:v>
                </c:pt>
                <c:pt idx="2952">
                  <c:v>1367.2</c:v>
                </c:pt>
                <c:pt idx="2953">
                  <c:v>1367.1659999999999</c:v>
                </c:pt>
                <c:pt idx="2954">
                  <c:v>1367.1295580000001</c:v>
                </c:pt>
                <c:pt idx="2955">
                  <c:v>1366.848</c:v>
                </c:pt>
                <c:pt idx="2956">
                  <c:v>1366.6633099999999</c:v>
                </c:pt>
                <c:pt idx="2957">
                  <c:v>1366.655</c:v>
                </c:pt>
                <c:pt idx="2958">
                  <c:v>1366.63426</c:v>
                </c:pt>
                <c:pt idx="2959">
                  <c:v>1366.63426</c:v>
                </c:pt>
                <c:pt idx="2960">
                  <c:v>1366.4</c:v>
                </c:pt>
                <c:pt idx="2961">
                  <c:v>1366.4</c:v>
                </c:pt>
                <c:pt idx="2962">
                  <c:v>1366.4</c:v>
                </c:pt>
                <c:pt idx="2963">
                  <c:v>1366.0648470000001</c:v>
                </c:pt>
                <c:pt idx="2964">
                  <c:v>1366.0550000000001</c:v>
                </c:pt>
                <c:pt idx="2965">
                  <c:v>1365.6</c:v>
                </c:pt>
                <c:pt idx="2966">
                  <c:v>1365.6</c:v>
                </c:pt>
                <c:pt idx="2967">
                  <c:v>1365.6</c:v>
                </c:pt>
                <c:pt idx="2968">
                  <c:v>1365.5683939999999</c:v>
                </c:pt>
                <c:pt idx="2969">
                  <c:v>1365.482082</c:v>
                </c:pt>
                <c:pt idx="2970">
                  <c:v>1365.2484179999999</c:v>
                </c:pt>
                <c:pt idx="2971">
                  <c:v>1365.124</c:v>
                </c:pt>
                <c:pt idx="2972">
                  <c:v>1365.056</c:v>
                </c:pt>
                <c:pt idx="2973">
                  <c:v>1365.0331369999999</c:v>
                </c:pt>
                <c:pt idx="2974">
                  <c:v>1364.9580880000001</c:v>
                </c:pt>
                <c:pt idx="2975">
                  <c:v>1364.8</c:v>
                </c:pt>
                <c:pt idx="2976">
                  <c:v>1364.8</c:v>
                </c:pt>
                <c:pt idx="2977">
                  <c:v>1364.8</c:v>
                </c:pt>
                <c:pt idx="2978">
                  <c:v>1364.7796659999999</c:v>
                </c:pt>
                <c:pt idx="2979">
                  <c:v>1364.704199</c:v>
                </c:pt>
                <c:pt idx="2980">
                  <c:v>1364.272645</c:v>
                </c:pt>
                <c:pt idx="2981">
                  <c:v>1364.1007139999999</c:v>
                </c:pt>
                <c:pt idx="2982">
                  <c:v>1364</c:v>
                </c:pt>
                <c:pt idx="2983">
                  <c:v>1364</c:v>
                </c:pt>
                <c:pt idx="2984">
                  <c:v>1363.9690000000001</c:v>
                </c:pt>
                <c:pt idx="2985">
                  <c:v>1363.817</c:v>
                </c:pt>
                <c:pt idx="2986">
                  <c:v>1363.693</c:v>
                </c:pt>
                <c:pt idx="2987">
                  <c:v>1363.654092</c:v>
                </c:pt>
                <c:pt idx="2988">
                  <c:v>1363.4757569999999</c:v>
                </c:pt>
                <c:pt idx="2989">
                  <c:v>1363.3224279999999</c:v>
                </c:pt>
                <c:pt idx="2990">
                  <c:v>1363.3224279999999</c:v>
                </c:pt>
                <c:pt idx="2991">
                  <c:v>1363.2866280000001</c:v>
                </c:pt>
                <c:pt idx="2992">
                  <c:v>1363.2</c:v>
                </c:pt>
                <c:pt idx="2993">
                  <c:v>1362.6896409999999</c:v>
                </c:pt>
                <c:pt idx="2994">
                  <c:v>1362.6788690000001</c:v>
                </c:pt>
                <c:pt idx="2995">
                  <c:v>1362.5045990000001</c:v>
                </c:pt>
                <c:pt idx="2996">
                  <c:v>1362.4</c:v>
                </c:pt>
                <c:pt idx="2997">
                  <c:v>1362.4</c:v>
                </c:pt>
                <c:pt idx="2998">
                  <c:v>1362.4</c:v>
                </c:pt>
                <c:pt idx="2999">
                  <c:v>1362.4</c:v>
                </c:pt>
                <c:pt idx="3000">
                  <c:v>1362.4</c:v>
                </c:pt>
                <c:pt idx="3001">
                  <c:v>1362.3779999999999</c:v>
                </c:pt>
                <c:pt idx="3002">
                  <c:v>1362.2819999999999</c:v>
                </c:pt>
                <c:pt idx="3003">
                  <c:v>1362.240581</c:v>
                </c:pt>
                <c:pt idx="3004">
                  <c:v>1361.8610000000001</c:v>
                </c:pt>
                <c:pt idx="3005">
                  <c:v>1361.769</c:v>
                </c:pt>
                <c:pt idx="3006">
                  <c:v>1361.6</c:v>
                </c:pt>
                <c:pt idx="3007">
                  <c:v>1361.6</c:v>
                </c:pt>
                <c:pt idx="3008">
                  <c:v>1361.6</c:v>
                </c:pt>
                <c:pt idx="3009">
                  <c:v>1361.6</c:v>
                </c:pt>
                <c:pt idx="3010">
                  <c:v>1361.53135</c:v>
                </c:pt>
                <c:pt idx="3011">
                  <c:v>1361.5307479999999</c:v>
                </c:pt>
                <c:pt idx="3012">
                  <c:v>1361.4359999999999</c:v>
                </c:pt>
                <c:pt idx="3013">
                  <c:v>1361.4245470000001</c:v>
                </c:pt>
                <c:pt idx="3014">
                  <c:v>1361.3379789999999</c:v>
                </c:pt>
                <c:pt idx="3015">
                  <c:v>1361.3379789999999</c:v>
                </c:pt>
                <c:pt idx="3016">
                  <c:v>1361.037</c:v>
                </c:pt>
                <c:pt idx="3017">
                  <c:v>1361.0319999999999</c:v>
                </c:pt>
                <c:pt idx="3018">
                  <c:v>1361.000487</c:v>
                </c:pt>
                <c:pt idx="3019">
                  <c:v>1360.9590000000001</c:v>
                </c:pt>
                <c:pt idx="3020">
                  <c:v>1360.953</c:v>
                </c:pt>
                <c:pt idx="3021">
                  <c:v>1360.9390000000001</c:v>
                </c:pt>
                <c:pt idx="3022">
                  <c:v>1360.868939</c:v>
                </c:pt>
                <c:pt idx="3023">
                  <c:v>1360.865</c:v>
                </c:pt>
                <c:pt idx="3024">
                  <c:v>1360.8</c:v>
                </c:pt>
                <c:pt idx="3025">
                  <c:v>1360.8</c:v>
                </c:pt>
                <c:pt idx="3026">
                  <c:v>1360.8</c:v>
                </c:pt>
                <c:pt idx="3027">
                  <c:v>1360.7414349999999</c:v>
                </c:pt>
                <c:pt idx="3028">
                  <c:v>1360.73</c:v>
                </c:pt>
                <c:pt idx="3029">
                  <c:v>1360.647295</c:v>
                </c:pt>
                <c:pt idx="3030">
                  <c:v>1360.5050000000001</c:v>
                </c:pt>
                <c:pt idx="3031">
                  <c:v>1360.451</c:v>
                </c:pt>
                <c:pt idx="3032">
                  <c:v>1359.1780000000001</c:v>
                </c:pt>
                <c:pt idx="3033">
                  <c:v>1359.0239999999999</c:v>
                </c:pt>
                <c:pt idx="3034">
                  <c:v>1358.4</c:v>
                </c:pt>
                <c:pt idx="3035">
                  <c:v>1358.4</c:v>
                </c:pt>
                <c:pt idx="3036">
                  <c:v>1358.4</c:v>
                </c:pt>
                <c:pt idx="3037">
                  <c:v>1358.4</c:v>
                </c:pt>
                <c:pt idx="3038">
                  <c:v>1358.2840000000001</c:v>
                </c:pt>
                <c:pt idx="3039">
                  <c:v>1358.0879399999999</c:v>
                </c:pt>
                <c:pt idx="3040">
                  <c:v>1358.0709999999999</c:v>
                </c:pt>
                <c:pt idx="3041">
                  <c:v>1357.8440000000001</c:v>
                </c:pt>
                <c:pt idx="3042">
                  <c:v>1357.8284410000001</c:v>
                </c:pt>
                <c:pt idx="3043">
                  <c:v>1357.739</c:v>
                </c:pt>
                <c:pt idx="3044">
                  <c:v>1357.6</c:v>
                </c:pt>
                <c:pt idx="3045">
                  <c:v>1357.6</c:v>
                </c:pt>
                <c:pt idx="3046">
                  <c:v>1357.1938749999999</c:v>
                </c:pt>
                <c:pt idx="3047">
                  <c:v>1357.100651</c:v>
                </c:pt>
                <c:pt idx="3048">
                  <c:v>1357.086661</c:v>
                </c:pt>
                <c:pt idx="3049">
                  <c:v>1357.077</c:v>
                </c:pt>
                <c:pt idx="3050">
                  <c:v>1356.9590000000001</c:v>
                </c:pt>
                <c:pt idx="3051">
                  <c:v>1356.8</c:v>
                </c:pt>
                <c:pt idx="3052">
                  <c:v>1356.8</c:v>
                </c:pt>
                <c:pt idx="3053">
                  <c:v>1356.8</c:v>
                </c:pt>
                <c:pt idx="3054">
                  <c:v>1356.489</c:v>
                </c:pt>
                <c:pt idx="3055">
                  <c:v>1356.354</c:v>
                </c:pt>
                <c:pt idx="3056">
                  <c:v>1356.3037629999999</c:v>
                </c:pt>
                <c:pt idx="3057">
                  <c:v>1356.1404010000001</c:v>
                </c:pt>
                <c:pt idx="3058">
                  <c:v>1356.113818</c:v>
                </c:pt>
                <c:pt idx="3059">
                  <c:v>1356</c:v>
                </c:pt>
                <c:pt idx="3060">
                  <c:v>1356</c:v>
                </c:pt>
                <c:pt idx="3061">
                  <c:v>1356</c:v>
                </c:pt>
                <c:pt idx="3062">
                  <c:v>1356</c:v>
                </c:pt>
                <c:pt idx="3063">
                  <c:v>1355.757126</c:v>
                </c:pt>
                <c:pt idx="3064">
                  <c:v>1355.7429529999999</c:v>
                </c:pt>
                <c:pt idx="3065">
                  <c:v>1355.7182789999999</c:v>
                </c:pt>
                <c:pt idx="3066">
                  <c:v>1355.6592800000001</c:v>
                </c:pt>
                <c:pt idx="3067">
                  <c:v>1355.634</c:v>
                </c:pt>
                <c:pt idx="3068">
                  <c:v>1355.5716219999999</c:v>
                </c:pt>
                <c:pt idx="3069">
                  <c:v>1355.506875</c:v>
                </c:pt>
                <c:pt idx="3070">
                  <c:v>1355.506875</c:v>
                </c:pt>
                <c:pt idx="3071">
                  <c:v>1355.422</c:v>
                </c:pt>
                <c:pt idx="3072">
                  <c:v>1355.330764</c:v>
                </c:pt>
                <c:pt idx="3073">
                  <c:v>1355.19</c:v>
                </c:pt>
                <c:pt idx="3074">
                  <c:v>1355.1441299999999</c:v>
                </c:pt>
                <c:pt idx="3075">
                  <c:v>1355.1218229999999</c:v>
                </c:pt>
                <c:pt idx="3076">
                  <c:v>1354.9829999999999</c:v>
                </c:pt>
                <c:pt idx="3077">
                  <c:v>1354.9801869999999</c:v>
                </c:pt>
                <c:pt idx="3078">
                  <c:v>1354.962706</c:v>
                </c:pt>
                <c:pt idx="3079">
                  <c:v>1354.9452249999999</c:v>
                </c:pt>
                <c:pt idx="3080">
                  <c:v>1354.5340000000001</c:v>
                </c:pt>
                <c:pt idx="3081">
                  <c:v>1354.4</c:v>
                </c:pt>
                <c:pt idx="3082">
                  <c:v>1354.3040000000001</c:v>
                </c:pt>
                <c:pt idx="3083">
                  <c:v>1354.15</c:v>
                </c:pt>
                <c:pt idx="3084">
                  <c:v>1354.0340000000001</c:v>
                </c:pt>
                <c:pt idx="3085">
                  <c:v>1353.885</c:v>
                </c:pt>
                <c:pt idx="3086">
                  <c:v>1353.6510000000001</c:v>
                </c:pt>
                <c:pt idx="3087">
                  <c:v>1353.643</c:v>
                </c:pt>
                <c:pt idx="3088">
                  <c:v>1353.6179999999999</c:v>
                </c:pt>
                <c:pt idx="3089">
                  <c:v>1353.6059780000001</c:v>
                </c:pt>
                <c:pt idx="3090">
                  <c:v>1353.6</c:v>
                </c:pt>
                <c:pt idx="3091">
                  <c:v>1353.50847</c:v>
                </c:pt>
                <c:pt idx="3092">
                  <c:v>1353.4263109999999</c:v>
                </c:pt>
                <c:pt idx="3093">
                  <c:v>1353.203272</c:v>
                </c:pt>
                <c:pt idx="3094">
                  <c:v>1353.1162099999999</c:v>
                </c:pt>
                <c:pt idx="3095">
                  <c:v>1353.11</c:v>
                </c:pt>
                <c:pt idx="3096">
                  <c:v>1353.09</c:v>
                </c:pt>
                <c:pt idx="3097">
                  <c:v>1352.8</c:v>
                </c:pt>
                <c:pt idx="3098">
                  <c:v>1352.8</c:v>
                </c:pt>
                <c:pt idx="3099">
                  <c:v>1352.7826460000001</c:v>
                </c:pt>
                <c:pt idx="3100">
                  <c:v>1352.754504</c:v>
                </c:pt>
                <c:pt idx="3101">
                  <c:v>1352.649373</c:v>
                </c:pt>
                <c:pt idx="3102">
                  <c:v>1352.587</c:v>
                </c:pt>
                <c:pt idx="3103">
                  <c:v>1352.562373</c:v>
                </c:pt>
                <c:pt idx="3104">
                  <c:v>1352.422</c:v>
                </c:pt>
                <c:pt idx="3105">
                  <c:v>1352.375</c:v>
                </c:pt>
                <c:pt idx="3106">
                  <c:v>1352.3590879999999</c:v>
                </c:pt>
                <c:pt idx="3107">
                  <c:v>1352.3193220000001</c:v>
                </c:pt>
                <c:pt idx="3108">
                  <c:v>1352.3193220000001</c:v>
                </c:pt>
                <c:pt idx="3109">
                  <c:v>1352.296</c:v>
                </c:pt>
                <c:pt idx="3110">
                  <c:v>1352.2385670000001</c:v>
                </c:pt>
                <c:pt idx="3111">
                  <c:v>1352</c:v>
                </c:pt>
                <c:pt idx="3112">
                  <c:v>1352</c:v>
                </c:pt>
                <c:pt idx="3113">
                  <c:v>1351.8857720000001</c:v>
                </c:pt>
                <c:pt idx="3114">
                  <c:v>1351.872435</c:v>
                </c:pt>
                <c:pt idx="3115">
                  <c:v>1351.624</c:v>
                </c:pt>
                <c:pt idx="3116">
                  <c:v>1351.5909999999999</c:v>
                </c:pt>
                <c:pt idx="3117">
                  <c:v>1351.522434</c:v>
                </c:pt>
                <c:pt idx="3118">
                  <c:v>1351.25</c:v>
                </c:pt>
                <c:pt idx="3119">
                  <c:v>1351.2</c:v>
                </c:pt>
                <c:pt idx="3120">
                  <c:v>1351.2</c:v>
                </c:pt>
                <c:pt idx="3121">
                  <c:v>1351.143084</c:v>
                </c:pt>
                <c:pt idx="3122">
                  <c:v>1351.0549799999999</c:v>
                </c:pt>
                <c:pt idx="3123">
                  <c:v>1350.9121270000001</c:v>
                </c:pt>
                <c:pt idx="3124">
                  <c:v>1350.4</c:v>
                </c:pt>
                <c:pt idx="3125">
                  <c:v>1350.4</c:v>
                </c:pt>
                <c:pt idx="3126">
                  <c:v>1350.4</c:v>
                </c:pt>
                <c:pt idx="3127">
                  <c:v>1350.4</c:v>
                </c:pt>
                <c:pt idx="3128">
                  <c:v>1350.2470000000001</c:v>
                </c:pt>
                <c:pt idx="3129">
                  <c:v>1350.2371499999999</c:v>
                </c:pt>
                <c:pt idx="3130">
                  <c:v>1350.183</c:v>
                </c:pt>
                <c:pt idx="3131">
                  <c:v>1349.9434209999999</c:v>
                </c:pt>
                <c:pt idx="3132">
                  <c:v>1349.767296</c:v>
                </c:pt>
                <c:pt idx="3133">
                  <c:v>1349.679212</c:v>
                </c:pt>
                <c:pt idx="3134">
                  <c:v>1349.6310000000001</c:v>
                </c:pt>
                <c:pt idx="3135">
                  <c:v>1349.6</c:v>
                </c:pt>
                <c:pt idx="3136">
                  <c:v>1349.2180000000001</c:v>
                </c:pt>
                <c:pt idx="3137">
                  <c:v>1349.1317690000001</c:v>
                </c:pt>
                <c:pt idx="3138">
                  <c:v>1349.1183779999999</c:v>
                </c:pt>
                <c:pt idx="3139">
                  <c:v>1349.036143</c:v>
                </c:pt>
                <c:pt idx="3140">
                  <c:v>1349.0060000000001</c:v>
                </c:pt>
                <c:pt idx="3141">
                  <c:v>1348.9436920000001</c:v>
                </c:pt>
                <c:pt idx="3142">
                  <c:v>1348.873</c:v>
                </c:pt>
                <c:pt idx="3143">
                  <c:v>1348.8</c:v>
                </c:pt>
                <c:pt idx="3144">
                  <c:v>1348.8</c:v>
                </c:pt>
                <c:pt idx="3145">
                  <c:v>1348.8</c:v>
                </c:pt>
                <c:pt idx="3146">
                  <c:v>1348.6579999999999</c:v>
                </c:pt>
                <c:pt idx="3147">
                  <c:v>1348.0640000000001</c:v>
                </c:pt>
                <c:pt idx="3148">
                  <c:v>1348</c:v>
                </c:pt>
                <c:pt idx="3149">
                  <c:v>1347.9110000000001</c:v>
                </c:pt>
                <c:pt idx="3150">
                  <c:v>1347.8520000000001</c:v>
                </c:pt>
                <c:pt idx="3151">
                  <c:v>1347.8467869999999</c:v>
                </c:pt>
                <c:pt idx="3152">
                  <c:v>1347.7836609999999</c:v>
                </c:pt>
                <c:pt idx="3153">
                  <c:v>1347.642006</c:v>
                </c:pt>
                <c:pt idx="3154">
                  <c:v>1347.5912539999999</c:v>
                </c:pt>
                <c:pt idx="3155">
                  <c:v>1347.5260000000001</c:v>
                </c:pt>
                <c:pt idx="3156">
                  <c:v>1347.201</c:v>
                </c:pt>
                <c:pt idx="3157">
                  <c:v>1347.2</c:v>
                </c:pt>
                <c:pt idx="3158">
                  <c:v>1347.2</c:v>
                </c:pt>
                <c:pt idx="3159">
                  <c:v>1347.2</c:v>
                </c:pt>
                <c:pt idx="3160">
                  <c:v>1347.2</c:v>
                </c:pt>
                <c:pt idx="3161">
                  <c:v>1347.2</c:v>
                </c:pt>
                <c:pt idx="3162">
                  <c:v>1347.2</c:v>
                </c:pt>
                <c:pt idx="3163">
                  <c:v>1347.1614629999999</c:v>
                </c:pt>
                <c:pt idx="3164">
                  <c:v>1347.139244</c:v>
                </c:pt>
                <c:pt idx="3165">
                  <c:v>1347.083394</c:v>
                </c:pt>
                <c:pt idx="3166">
                  <c:v>1346.870758</c:v>
                </c:pt>
                <c:pt idx="3167">
                  <c:v>1346.761</c:v>
                </c:pt>
                <c:pt idx="3168">
                  <c:v>1346.5519999999999</c:v>
                </c:pt>
                <c:pt idx="3169">
                  <c:v>1346.433867</c:v>
                </c:pt>
                <c:pt idx="3170">
                  <c:v>1346.4</c:v>
                </c:pt>
                <c:pt idx="3171">
                  <c:v>1346.4</c:v>
                </c:pt>
                <c:pt idx="3172">
                  <c:v>1346.221</c:v>
                </c:pt>
                <c:pt idx="3173">
                  <c:v>1345.6</c:v>
                </c:pt>
                <c:pt idx="3174">
                  <c:v>1345.6</c:v>
                </c:pt>
                <c:pt idx="3175">
                  <c:v>1345.6</c:v>
                </c:pt>
                <c:pt idx="3176">
                  <c:v>1345.6</c:v>
                </c:pt>
                <c:pt idx="3177">
                  <c:v>1345.6</c:v>
                </c:pt>
                <c:pt idx="3178">
                  <c:v>1345.6</c:v>
                </c:pt>
                <c:pt idx="3179">
                  <c:v>1345.557</c:v>
                </c:pt>
                <c:pt idx="3180">
                  <c:v>1345.4860000000001</c:v>
                </c:pt>
                <c:pt idx="3181">
                  <c:v>1345.155</c:v>
                </c:pt>
                <c:pt idx="3182">
                  <c:v>1345.1535280000001</c:v>
                </c:pt>
                <c:pt idx="3183">
                  <c:v>1345.147328</c:v>
                </c:pt>
                <c:pt idx="3184">
                  <c:v>1345.147328</c:v>
                </c:pt>
                <c:pt idx="3185">
                  <c:v>1345.146</c:v>
                </c:pt>
                <c:pt idx="3186">
                  <c:v>1344.8</c:v>
                </c:pt>
                <c:pt idx="3187">
                  <c:v>1344.8</c:v>
                </c:pt>
                <c:pt idx="3188">
                  <c:v>1344.8</c:v>
                </c:pt>
                <c:pt idx="3189">
                  <c:v>1344.8</c:v>
                </c:pt>
                <c:pt idx="3190">
                  <c:v>1344.8</c:v>
                </c:pt>
                <c:pt idx="3191">
                  <c:v>1344.761565</c:v>
                </c:pt>
                <c:pt idx="3192">
                  <c:v>1344.335</c:v>
                </c:pt>
                <c:pt idx="3193">
                  <c:v>1344</c:v>
                </c:pt>
                <c:pt idx="3194">
                  <c:v>1344</c:v>
                </c:pt>
                <c:pt idx="3195">
                  <c:v>1343.9870000000001</c:v>
                </c:pt>
                <c:pt idx="3196">
                  <c:v>1343.380197</c:v>
                </c:pt>
                <c:pt idx="3197">
                  <c:v>1343.34</c:v>
                </c:pt>
                <c:pt idx="3198">
                  <c:v>1343.2</c:v>
                </c:pt>
                <c:pt idx="3199">
                  <c:v>1343.0630000000001</c:v>
                </c:pt>
                <c:pt idx="3200">
                  <c:v>1343.0150000000001</c:v>
                </c:pt>
                <c:pt idx="3201">
                  <c:v>1342.5491770000001</c:v>
                </c:pt>
                <c:pt idx="3202">
                  <c:v>1342.539</c:v>
                </c:pt>
                <c:pt idx="3203">
                  <c:v>1342.5199030000001</c:v>
                </c:pt>
                <c:pt idx="3204">
                  <c:v>1342.417097</c:v>
                </c:pt>
                <c:pt idx="3205">
                  <c:v>1342.0132550000001</c:v>
                </c:pt>
                <c:pt idx="3206">
                  <c:v>1341.959775</c:v>
                </c:pt>
                <c:pt idx="3207">
                  <c:v>1341.959775</c:v>
                </c:pt>
                <c:pt idx="3208">
                  <c:v>1341.8720000000001</c:v>
                </c:pt>
                <c:pt idx="3209">
                  <c:v>1341.6669999999999</c:v>
                </c:pt>
                <c:pt idx="3210">
                  <c:v>1341.6</c:v>
                </c:pt>
                <c:pt idx="3211">
                  <c:v>1341.6</c:v>
                </c:pt>
                <c:pt idx="3212">
                  <c:v>1341.6</c:v>
                </c:pt>
                <c:pt idx="3213">
                  <c:v>1341.6</c:v>
                </c:pt>
                <c:pt idx="3214">
                  <c:v>1341.6</c:v>
                </c:pt>
                <c:pt idx="3215">
                  <c:v>1341.317</c:v>
                </c:pt>
                <c:pt idx="3216">
                  <c:v>1341.162887</c:v>
                </c:pt>
                <c:pt idx="3217">
                  <c:v>1341.162887</c:v>
                </c:pt>
                <c:pt idx="3218">
                  <c:v>1341.153</c:v>
                </c:pt>
                <c:pt idx="3219">
                  <c:v>1340.9079999999999</c:v>
                </c:pt>
                <c:pt idx="3220">
                  <c:v>1340.724766</c:v>
                </c:pt>
                <c:pt idx="3221">
                  <c:v>1340.3659990000001</c:v>
                </c:pt>
                <c:pt idx="3222">
                  <c:v>1340.3659990000001</c:v>
                </c:pt>
                <c:pt idx="3223">
                  <c:v>1340.192</c:v>
                </c:pt>
                <c:pt idx="3224">
                  <c:v>1340.07</c:v>
                </c:pt>
                <c:pt idx="3225">
                  <c:v>1340</c:v>
                </c:pt>
                <c:pt idx="3226">
                  <c:v>1340</c:v>
                </c:pt>
                <c:pt idx="3227">
                  <c:v>1340</c:v>
                </c:pt>
                <c:pt idx="3228">
                  <c:v>1339.5730000000001</c:v>
                </c:pt>
                <c:pt idx="3229">
                  <c:v>1339.5691099999999</c:v>
                </c:pt>
                <c:pt idx="3230">
                  <c:v>1339.5691099999999</c:v>
                </c:pt>
                <c:pt idx="3231">
                  <c:v>1339.569</c:v>
                </c:pt>
                <c:pt idx="3232">
                  <c:v>1339.3869999999999</c:v>
                </c:pt>
                <c:pt idx="3233">
                  <c:v>1339.3240000000001</c:v>
                </c:pt>
                <c:pt idx="3234">
                  <c:v>1339.2412629999999</c:v>
                </c:pt>
                <c:pt idx="3235">
                  <c:v>1339.2360940000001</c:v>
                </c:pt>
                <c:pt idx="3236">
                  <c:v>1339.1925349999999</c:v>
                </c:pt>
                <c:pt idx="3237">
                  <c:v>1339.1880000000001</c:v>
                </c:pt>
                <c:pt idx="3238">
                  <c:v>1339.0123329999999</c:v>
                </c:pt>
                <c:pt idx="3239">
                  <c:v>1338.9079999999999</c:v>
                </c:pt>
                <c:pt idx="3240">
                  <c:v>1338.874423</c:v>
                </c:pt>
                <c:pt idx="3241">
                  <c:v>1338.7850000000001</c:v>
                </c:pt>
                <c:pt idx="3242">
                  <c:v>1338.6644859999999</c:v>
                </c:pt>
                <c:pt idx="3243">
                  <c:v>1338.6464120000001</c:v>
                </c:pt>
                <c:pt idx="3244">
                  <c:v>1338.6320000000001</c:v>
                </c:pt>
                <c:pt idx="3245">
                  <c:v>1338.4</c:v>
                </c:pt>
                <c:pt idx="3246">
                  <c:v>1338.4</c:v>
                </c:pt>
                <c:pt idx="3247">
                  <c:v>1338.2339999999999</c:v>
                </c:pt>
                <c:pt idx="3248">
                  <c:v>1338.153</c:v>
                </c:pt>
                <c:pt idx="3249">
                  <c:v>1338.141024</c:v>
                </c:pt>
                <c:pt idx="3250">
                  <c:v>1338.0139999999999</c:v>
                </c:pt>
                <c:pt idx="3251">
                  <c:v>1337.9229310000001</c:v>
                </c:pt>
                <c:pt idx="3252">
                  <c:v>1337.8875479999999</c:v>
                </c:pt>
                <c:pt idx="3253">
                  <c:v>1337.607</c:v>
                </c:pt>
                <c:pt idx="3254">
                  <c:v>1337.6</c:v>
                </c:pt>
                <c:pt idx="3255">
                  <c:v>1337.6</c:v>
                </c:pt>
                <c:pt idx="3256">
                  <c:v>1337.6</c:v>
                </c:pt>
                <c:pt idx="3257">
                  <c:v>1337.421</c:v>
                </c:pt>
                <c:pt idx="3258">
                  <c:v>1337.3169049999999</c:v>
                </c:pt>
                <c:pt idx="3259">
                  <c:v>1337.162</c:v>
                </c:pt>
                <c:pt idx="3260">
                  <c:v>1337.0619999999999</c:v>
                </c:pt>
                <c:pt idx="3261">
                  <c:v>1336.8</c:v>
                </c:pt>
                <c:pt idx="3262">
                  <c:v>1336.8</c:v>
                </c:pt>
                <c:pt idx="3263">
                  <c:v>1336.782788</c:v>
                </c:pt>
                <c:pt idx="3264">
                  <c:v>1336.752</c:v>
                </c:pt>
                <c:pt idx="3265">
                  <c:v>1336.473358</c:v>
                </c:pt>
                <c:pt idx="3266">
                  <c:v>1336.469272</c:v>
                </c:pt>
                <c:pt idx="3267">
                  <c:v>1336.4482969999999</c:v>
                </c:pt>
                <c:pt idx="3268">
                  <c:v>1336.381558</c:v>
                </c:pt>
                <c:pt idx="3269">
                  <c:v>1336</c:v>
                </c:pt>
                <c:pt idx="3270">
                  <c:v>1335.9659999999999</c:v>
                </c:pt>
                <c:pt idx="3271">
                  <c:v>1335.8779999999999</c:v>
                </c:pt>
                <c:pt idx="3272">
                  <c:v>1335.808</c:v>
                </c:pt>
                <c:pt idx="3273">
                  <c:v>1335.797</c:v>
                </c:pt>
                <c:pt idx="3274">
                  <c:v>1335.6922489999999</c:v>
                </c:pt>
                <c:pt idx="3275">
                  <c:v>1335.4839999999999</c:v>
                </c:pt>
                <c:pt idx="3276">
                  <c:v>1335.2</c:v>
                </c:pt>
                <c:pt idx="3277">
                  <c:v>1335.2</c:v>
                </c:pt>
                <c:pt idx="3278">
                  <c:v>1335.1559999999999</c:v>
                </c:pt>
                <c:pt idx="3279">
                  <c:v>1335.0919899999999</c:v>
                </c:pt>
                <c:pt idx="3280">
                  <c:v>1335.0919899999999</c:v>
                </c:pt>
                <c:pt idx="3281">
                  <c:v>1334.698382</c:v>
                </c:pt>
                <c:pt idx="3282">
                  <c:v>1334.591042</c:v>
                </c:pt>
                <c:pt idx="3283">
                  <c:v>1334.4</c:v>
                </c:pt>
                <c:pt idx="3284">
                  <c:v>1334.4</c:v>
                </c:pt>
                <c:pt idx="3285">
                  <c:v>1334.239</c:v>
                </c:pt>
                <c:pt idx="3286">
                  <c:v>1334.1679999999999</c:v>
                </c:pt>
                <c:pt idx="3287">
                  <c:v>1333.7106220000001</c:v>
                </c:pt>
                <c:pt idx="3288">
                  <c:v>1333.6</c:v>
                </c:pt>
                <c:pt idx="3289">
                  <c:v>1333.6</c:v>
                </c:pt>
                <c:pt idx="3290">
                  <c:v>1333.6</c:v>
                </c:pt>
                <c:pt idx="3291">
                  <c:v>1333.1940050000001</c:v>
                </c:pt>
                <c:pt idx="3292">
                  <c:v>1333.0199379999999</c:v>
                </c:pt>
                <c:pt idx="3293">
                  <c:v>1332.9479650000001</c:v>
                </c:pt>
                <c:pt idx="3294">
                  <c:v>1332.8</c:v>
                </c:pt>
                <c:pt idx="3295">
                  <c:v>1332.8</c:v>
                </c:pt>
                <c:pt idx="3296">
                  <c:v>1332.8</c:v>
                </c:pt>
                <c:pt idx="3297">
                  <c:v>1332.8</c:v>
                </c:pt>
                <c:pt idx="3298">
                  <c:v>1332.7466219999999</c:v>
                </c:pt>
                <c:pt idx="3299">
                  <c:v>1332.4069999999999</c:v>
                </c:pt>
                <c:pt idx="3300">
                  <c:v>1332.3971160000001</c:v>
                </c:pt>
                <c:pt idx="3301">
                  <c:v>1332.1890000000001</c:v>
                </c:pt>
                <c:pt idx="3302">
                  <c:v>1332.16</c:v>
                </c:pt>
                <c:pt idx="3303">
                  <c:v>1332.026732</c:v>
                </c:pt>
                <c:pt idx="3304">
                  <c:v>1332</c:v>
                </c:pt>
                <c:pt idx="3305">
                  <c:v>1331.8492670000001</c:v>
                </c:pt>
                <c:pt idx="3306">
                  <c:v>1331.638571</c:v>
                </c:pt>
                <c:pt idx="3307">
                  <c:v>1331.5524150000001</c:v>
                </c:pt>
                <c:pt idx="3308">
                  <c:v>1331.4270630000001</c:v>
                </c:pt>
                <c:pt idx="3309">
                  <c:v>1331.419928</c:v>
                </c:pt>
                <c:pt idx="3310">
                  <c:v>1331.2729999999999</c:v>
                </c:pt>
                <c:pt idx="3311">
                  <c:v>1331.2</c:v>
                </c:pt>
                <c:pt idx="3312">
                  <c:v>1331.2</c:v>
                </c:pt>
                <c:pt idx="3313">
                  <c:v>1331.1489999999999</c:v>
                </c:pt>
                <c:pt idx="3314">
                  <c:v>1330.681814</c:v>
                </c:pt>
                <c:pt idx="3315">
                  <c:v>1330.5556919999999</c:v>
                </c:pt>
                <c:pt idx="3316">
                  <c:v>1330.2779230000001</c:v>
                </c:pt>
                <c:pt idx="3317">
                  <c:v>1330.27064</c:v>
                </c:pt>
                <c:pt idx="3318">
                  <c:v>1330.2572029999999</c:v>
                </c:pt>
                <c:pt idx="3319">
                  <c:v>1329.971873</c:v>
                </c:pt>
                <c:pt idx="3320">
                  <c:v>1329.820172</c:v>
                </c:pt>
                <c:pt idx="3321">
                  <c:v>1329.820172</c:v>
                </c:pt>
                <c:pt idx="3322">
                  <c:v>1329.6</c:v>
                </c:pt>
                <c:pt idx="3323">
                  <c:v>1329.6</c:v>
                </c:pt>
                <c:pt idx="3324">
                  <c:v>1329.4033449999999</c:v>
                </c:pt>
                <c:pt idx="3325">
                  <c:v>1329.287415</c:v>
                </c:pt>
                <c:pt idx="3326">
                  <c:v>1329.22532</c:v>
                </c:pt>
                <c:pt idx="3327">
                  <c:v>1329.084652</c:v>
                </c:pt>
                <c:pt idx="3328">
                  <c:v>1329.045991</c:v>
                </c:pt>
                <c:pt idx="3329">
                  <c:v>1328.98</c:v>
                </c:pt>
                <c:pt idx="3330">
                  <c:v>1328.8758350000001</c:v>
                </c:pt>
                <c:pt idx="3331">
                  <c:v>1328.8</c:v>
                </c:pt>
                <c:pt idx="3332">
                  <c:v>1328.8</c:v>
                </c:pt>
                <c:pt idx="3333">
                  <c:v>1328.616</c:v>
                </c:pt>
                <c:pt idx="3334">
                  <c:v>1328.5642889999999</c:v>
                </c:pt>
                <c:pt idx="3335">
                  <c:v>1328.412675</c:v>
                </c:pt>
                <c:pt idx="3336">
                  <c:v>1328.3489999999999</c:v>
                </c:pt>
                <c:pt idx="3337">
                  <c:v>1328.345</c:v>
                </c:pt>
                <c:pt idx="3338">
                  <c:v>1328.155743</c:v>
                </c:pt>
                <c:pt idx="3339">
                  <c:v>1327.845</c:v>
                </c:pt>
                <c:pt idx="3340">
                  <c:v>1327.7543310000001</c:v>
                </c:pt>
                <c:pt idx="3341">
                  <c:v>1327.615</c:v>
                </c:pt>
                <c:pt idx="3342">
                  <c:v>1327.6136120000001</c:v>
                </c:pt>
                <c:pt idx="3343">
                  <c:v>1327.605</c:v>
                </c:pt>
                <c:pt idx="3344">
                  <c:v>1327.2</c:v>
                </c:pt>
                <c:pt idx="3345">
                  <c:v>1327.1579999999999</c:v>
                </c:pt>
                <c:pt idx="3346">
                  <c:v>1327.134448</c:v>
                </c:pt>
                <c:pt idx="3347">
                  <c:v>1327.1211880000001</c:v>
                </c:pt>
                <c:pt idx="3348">
                  <c:v>1326.8188990000001</c:v>
                </c:pt>
                <c:pt idx="3349">
                  <c:v>1326.7750000000001</c:v>
                </c:pt>
                <c:pt idx="3350">
                  <c:v>1326.4</c:v>
                </c:pt>
                <c:pt idx="3351">
                  <c:v>1326.4</c:v>
                </c:pt>
                <c:pt idx="3352">
                  <c:v>1326.022011</c:v>
                </c:pt>
                <c:pt idx="3353">
                  <c:v>1325.8320000000001</c:v>
                </c:pt>
                <c:pt idx="3354">
                  <c:v>1325.723</c:v>
                </c:pt>
                <c:pt idx="3355">
                  <c:v>1325.7022529999999</c:v>
                </c:pt>
                <c:pt idx="3356">
                  <c:v>1325.6</c:v>
                </c:pt>
                <c:pt idx="3357">
                  <c:v>1325.6</c:v>
                </c:pt>
                <c:pt idx="3358">
                  <c:v>1325.6</c:v>
                </c:pt>
                <c:pt idx="3359">
                  <c:v>1325.456537</c:v>
                </c:pt>
                <c:pt idx="3360">
                  <c:v>1324.9259999999999</c:v>
                </c:pt>
                <c:pt idx="3361">
                  <c:v>1324.8</c:v>
                </c:pt>
                <c:pt idx="3362">
                  <c:v>1324.8</c:v>
                </c:pt>
                <c:pt idx="3363">
                  <c:v>1324.8</c:v>
                </c:pt>
                <c:pt idx="3364">
                  <c:v>1324.6715320000001</c:v>
                </c:pt>
                <c:pt idx="3365">
                  <c:v>1324.0665939999999</c:v>
                </c:pt>
                <c:pt idx="3366">
                  <c:v>1324</c:v>
                </c:pt>
                <c:pt idx="3367">
                  <c:v>1324</c:v>
                </c:pt>
                <c:pt idx="3368">
                  <c:v>1324</c:v>
                </c:pt>
                <c:pt idx="3369">
                  <c:v>1324</c:v>
                </c:pt>
                <c:pt idx="3370">
                  <c:v>1324</c:v>
                </c:pt>
                <c:pt idx="3371">
                  <c:v>1324</c:v>
                </c:pt>
                <c:pt idx="3372">
                  <c:v>1323.90266</c:v>
                </c:pt>
                <c:pt idx="3373">
                  <c:v>1323.5150000000001</c:v>
                </c:pt>
                <c:pt idx="3374">
                  <c:v>1323.308</c:v>
                </c:pt>
                <c:pt idx="3375">
                  <c:v>1323.29</c:v>
                </c:pt>
                <c:pt idx="3376">
                  <c:v>1323.125722</c:v>
                </c:pt>
                <c:pt idx="3377">
                  <c:v>1322.5029999999999</c:v>
                </c:pt>
                <c:pt idx="3378">
                  <c:v>1322.4</c:v>
                </c:pt>
                <c:pt idx="3379">
                  <c:v>1322.0172239999999</c:v>
                </c:pt>
                <c:pt idx="3380">
                  <c:v>1321.9690000000001</c:v>
                </c:pt>
                <c:pt idx="3381">
                  <c:v>1321.613104</c:v>
                </c:pt>
                <c:pt idx="3382">
                  <c:v>1321.6110000000001</c:v>
                </c:pt>
                <c:pt idx="3383">
                  <c:v>1321.6</c:v>
                </c:pt>
                <c:pt idx="3384">
                  <c:v>1321.6</c:v>
                </c:pt>
                <c:pt idx="3385">
                  <c:v>1321.6</c:v>
                </c:pt>
                <c:pt idx="3386">
                  <c:v>1321.6</c:v>
                </c:pt>
                <c:pt idx="3387">
                  <c:v>1321.3359479999999</c:v>
                </c:pt>
                <c:pt idx="3388">
                  <c:v>1320.9939320000001</c:v>
                </c:pt>
                <c:pt idx="3389">
                  <c:v>1320.8</c:v>
                </c:pt>
                <c:pt idx="3390">
                  <c:v>1320.8</c:v>
                </c:pt>
                <c:pt idx="3391">
                  <c:v>1320.8</c:v>
                </c:pt>
                <c:pt idx="3392">
                  <c:v>1320.7952740000001</c:v>
                </c:pt>
                <c:pt idx="3393">
                  <c:v>1320.769</c:v>
                </c:pt>
                <c:pt idx="3394">
                  <c:v>1320.721</c:v>
                </c:pt>
                <c:pt idx="3395">
                  <c:v>1320.587628</c:v>
                </c:pt>
                <c:pt idx="3396">
                  <c:v>1320.566315</c:v>
                </c:pt>
                <c:pt idx="3397">
                  <c:v>1320.2584119999999</c:v>
                </c:pt>
                <c:pt idx="3398">
                  <c:v>1320</c:v>
                </c:pt>
                <c:pt idx="3399">
                  <c:v>1319.2</c:v>
                </c:pt>
                <c:pt idx="3400">
                  <c:v>1319.2</c:v>
                </c:pt>
                <c:pt idx="3401">
                  <c:v>1319.1596139999999</c:v>
                </c:pt>
                <c:pt idx="3402">
                  <c:v>1319.1279999999999</c:v>
                </c:pt>
                <c:pt idx="3403">
                  <c:v>1318.850017</c:v>
                </c:pt>
                <c:pt idx="3404">
                  <c:v>1318.787372</c:v>
                </c:pt>
                <c:pt idx="3405">
                  <c:v>1318.43</c:v>
                </c:pt>
                <c:pt idx="3406">
                  <c:v>1318.4</c:v>
                </c:pt>
                <c:pt idx="3407">
                  <c:v>1318.4</c:v>
                </c:pt>
                <c:pt idx="3408">
                  <c:v>1318.4</c:v>
                </c:pt>
                <c:pt idx="3409">
                  <c:v>1318.0518509999999</c:v>
                </c:pt>
                <c:pt idx="3410">
                  <c:v>1317.8869999999999</c:v>
                </c:pt>
                <c:pt idx="3411">
                  <c:v>1317.824893</c:v>
                </c:pt>
                <c:pt idx="3412">
                  <c:v>1317.824893</c:v>
                </c:pt>
                <c:pt idx="3413">
                  <c:v>1317.7149999999999</c:v>
                </c:pt>
                <c:pt idx="3414">
                  <c:v>1317.6871550000001</c:v>
                </c:pt>
                <c:pt idx="3415">
                  <c:v>1317.5709999999999</c:v>
                </c:pt>
                <c:pt idx="3416">
                  <c:v>1317.5070000000001</c:v>
                </c:pt>
                <c:pt idx="3417">
                  <c:v>1317.2719999999999</c:v>
                </c:pt>
                <c:pt idx="3418">
                  <c:v>1317.2460000000001</c:v>
                </c:pt>
                <c:pt idx="3419">
                  <c:v>1317.153</c:v>
                </c:pt>
                <c:pt idx="3420">
                  <c:v>1316.9102170000001</c:v>
                </c:pt>
                <c:pt idx="3421">
                  <c:v>1316.835</c:v>
                </c:pt>
                <c:pt idx="3422">
                  <c:v>1316.8</c:v>
                </c:pt>
                <c:pt idx="3423">
                  <c:v>1316.5329999999999</c:v>
                </c:pt>
                <c:pt idx="3424">
                  <c:v>1316</c:v>
                </c:pt>
                <c:pt idx="3425">
                  <c:v>1315.888295</c:v>
                </c:pt>
                <c:pt idx="3426">
                  <c:v>1315.888295</c:v>
                </c:pt>
                <c:pt idx="3427">
                  <c:v>1315.8452910000001</c:v>
                </c:pt>
                <c:pt idx="3428">
                  <c:v>1315.804838</c:v>
                </c:pt>
                <c:pt idx="3429">
                  <c:v>1315.4864769999999</c:v>
                </c:pt>
                <c:pt idx="3430">
                  <c:v>1315.4264929999999</c:v>
                </c:pt>
                <c:pt idx="3431">
                  <c:v>1315.27</c:v>
                </c:pt>
                <c:pt idx="3432">
                  <c:v>1315.2639999999999</c:v>
                </c:pt>
                <c:pt idx="3433">
                  <c:v>1315.2</c:v>
                </c:pt>
                <c:pt idx="3434">
                  <c:v>1315.1215790000001</c:v>
                </c:pt>
                <c:pt idx="3435">
                  <c:v>1315.1097709999999</c:v>
                </c:pt>
                <c:pt idx="3436">
                  <c:v>1315.070465</c:v>
                </c:pt>
                <c:pt idx="3437">
                  <c:v>1314.6379999999999</c:v>
                </c:pt>
                <c:pt idx="3438">
                  <c:v>1314.6289320000001</c:v>
                </c:pt>
                <c:pt idx="3439">
                  <c:v>1314.6220000000001</c:v>
                </c:pt>
                <c:pt idx="3440">
                  <c:v>1314.5968829999999</c:v>
                </c:pt>
                <c:pt idx="3441">
                  <c:v>1314.4</c:v>
                </c:pt>
                <c:pt idx="3442">
                  <c:v>1314.399075</c:v>
                </c:pt>
                <c:pt idx="3443">
                  <c:v>1314.374251</c:v>
                </c:pt>
                <c:pt idx="3444">
                  <c:v>1314.2329999999999</c:v>
                </c:pt>
                <c:pt idx="3445">
                  <c:v>1314.143</c:v>
                </c:pt>
                <c:pt idx="3446">
                  <c:v>1314.0021750000001</c:v>
                </c:pt>
                <c:pt idx="3447">
                  <c:v>1313.9908620000001</c:v>
                </c:pt>
                <c:pt idx="3448">
                  <c:v>1313.7270000000001</c:v>
                </c:pt>
                <c:pt idx="3449">
                  <c:v>1313.638731</c:v>
                </c:pt>
                <c:pt idx="3450">
                  <c:v>1313.6</c:v>
                </c:pt>
                <c:pt idx="3451">
                  <c:v>1313.6</c:v>
                </c:pt>
                <c:pt idx="3452">
                  <c:v>1313.6</c:v>
                </c:pt>
                <c:pt idx="3453">
                  <c:v>1313.6</c:v>
                </c:pt>
                <c:pt idx="3454">
                  <c:v>1313.4059999999999</c:v>
                </c:pt>
                <c:pt idx="3455">
                  <c:v>1313.3620000000001</c:v>
                </c:pt>
                <c:pt idx="3456">
                  <c:v>1313.2717990000001</c:v>
                </c:pt>
                <c:pt idx="3457">
                  <c:v>1313.251</c:v>
                </c:pt>
                <c:pt idx="3458">
                  <c:v>1313.0255259999999</c:v>
                </c:pt>
                <c:pt idx="3459">
                  <c:v>1312.8</c:v>
                </c:pt>
                <c:pt idx="3460">
                  <c:v>1312.8</c:v>
                </c:pt>
                <c:pt idx="3461">
                  <c:v>1312.8</c:v>
                </c:pt>
                <c:pt idx="3462">
                  <c:v>1312.8</c:v>
                </c:pt>
                <c:pt idx="3463">
                  <c:v>1312.5903719999999</c:v>
                </c:pt>
                <c:pt idx="3464">
                  <c:v>1312.509</c:v>
                </c:pt>
                <c:pt idx="3465">
                  <c:v>1312.4559999999999</c:v>
                </c:pt>
                <c:pt idx="3466">
                  <c:v>1312.2971460000001</c:v>
                </c:pt>
                <c:pt idx="3467">
                  <c:v>1312.2485879999999</c:v>
                </c:pt>
                <c:pt idx="3468">
                  <c:v>1312.2485879999999</c:v>
                </c:pt>
                <c:pt idx="3469">
                  <c:v>1312</c:v>
                </c:pt>
                <c:pt idx="3470">
                  <c:v>1311.4949999999999</c:v>
                </c:pt>
                <c:pt idx="3471">
                  <c:v>1311.4301</c:v>
                </c:pt>
                <c:pt idx="3472">
                  <c:v>1311.2</c:v>
                </c:pt>
                <c:pt idx="3473">
                  <c:v>1311.2</c:v>
                </c:pt>
                <c:pt idx="3474">
                  <c:v>1310.4000000000001</c:v>
                </c:pt>
                <c:pt idx="3475">
                  <c:v>1310.4000000000001</c:v>
                </c:pt>
                <c:pt idx="3476">
                  <c:v>1310.4000000000001</c:v>
                </c:pt>
                <c:pt idx="3477">
                  <c:v>1310.4000000000001</c:v>
                </c:pt>
                <c:pt idx="3478">
                  <c:v>1310.1634859999999</c:v>
                </c:pt>
                <c:pt idx="3479">
                  <c:v>1310.147997</c:v>
                </c:pt>
                <c:pt idx="3480">
                  <c:v>1310.0329999999999</c:v>
                </c:pt>
                <c:pt idx="3481">
                  <c:v>1309.9177729999999</c:v>
                </c:pt>
                <c:pt idx="3482">
                  <c:v>1309.9177729999999</c:v>
                </c:pt>
                <c:pt idx="3483">
                  <c:v>1309.843177</c:v>
                </c:pt>
                <c:pt idx="3484">
                  <c:v>1309.7798660000001</c:v>
                </c:pt>
                <c:pt idx="3485">
                  <c:v>1309.4417510000001</c:v>
                </c:pt>
                <c:pt idx="3486">
                  <c:v>1309.3900000000001</c:v>
                </c:pt>
                <c:pt idx="3487">
                  <c:v>1309.3610000000001</c:v>
                </c:pt>
                <c:pt idx="3488">
                  <c:v>1309.2256110000001</c:v>
                </c:pt>
                <c:pt idx="3489">
                  <c:v>1308.9971009999999</c:v>
                </c:pt>
                <c:pt idx="3490">
                  <c:v>1308.846002</c:v>
                </c:pt>
                <c:pt idx="3491">
                  <c:v>1308.643</c:v>
                </c:pt>
                <c:pt idx="3492">
                  <c:v>1308.586</c:v>
                </c:pt>
                <c:pt idx="3493">
                  <c:v>1308.4900909999999</c:v>
                </c:pt>
                <c:pt idx="3494">
                  <c:v>1308.3119999999999</c:v>
                </c:pt>
                <c:pt idx="3495">
                  <c:v>1308.2249999999999</c:v>
                </c:pt>
                <c:pt idx="3496">
                  <c:v>1308</c:v>
                </c:pt>
                <c:pt idx="3497">
                  <c:v>1307.932016</c:v>
                </c:pt>
                <c:pt idx="3498">
                  <c:v>1307.693581</c:v>
                </c:pt>
                <c:pt idx="3499">
                  <c:v>1307.693</c:v>
                </c:pt>
                <c:pt idx="3500">
                  <c:v>1307.4760000000001</c:v>
                </c:pt>
                <c:pt idx="3501">
                  <c:v>1307.376698</c:v>
                </c:pt>
                <c:pt idx="3502">
                  <c:v>1307.276423</c:v>
                </c:pt>
                <c:pt idx="3503">
                  <c:v>1307.2</c:v>
                </c:pt>
                <c:pt idx="3504">
                  <c:v>1306.7682600000001</c:v>
                </c:pt>
                <c:pt idx="3505">
                  <c:v>1306.725533</c:v>
                </c:pt>
                <c:pt idx="3506">
                  <c:v>1306.374</c:v>
                </c:pt>
                <c:pt idx="3507">
                  <c:v>1306.283531</c:v>
                </c:pt>
                <c:pt idx="3508">
                  <c:v>1306.162</c:v>
                </c:pt>
                <c:pt idx="3509">
                  <c:v>1306.0832660000001</c:v>
                </c:pt>
                <c:pt idx="3510">
                  <c:v>1306.039</c:v>
                </c:pt>
                <c:pt idx="3511">
                  <c:v>1306.0330819999999</c:v>
                </c:pt>
                <c:pt idx="3512">
                  <c:v>1306.0330819999999</c:v>
                </c:pt>
                <c:pt idx="3513">
                  <c:v>1305.5999999999999</c:v>
                </c:pt>
                <c:pt idx="3514">
                  <c:v>1305.5999999999999</c:v>
                </c:pt>
                <c:pt idx="3515">
                  <c:v>1305.5999999999999</c:v>
                </c:pt>
                <c:pt idx="3516">
                  <c:v>1305.5999999999999</c:v>
                </c:pt>
                <c:pt idx="3517">
                  <c:v>1305.5480110000001</c:v>
                </c:pt>
                <c:pt idx="3518">
                  <c:v>1305.53</c:v>
                </c:pt>
                <c:pt idx="3519">
                  <c:v>1305.4949999999999</c:v>
                </c:pt>
                <c:pt idx="3520">
                  <c:v>1305.4770000000001</c:v>
                </c:pt>
                <c:pt idx="3521">
                  <c:v>1305.3589999999999</c:v>
                </c:pt>
                <c:pt idx="3522">
                  <c:v>1305.329</c:v>
                </c:pt>
                <c:pt idx="3523">
                  <c:v>1305.302917</c:v>
                </c:pt>
                <c:pt idx="3524">
                  <c:v>1304.8</c:v>
                </c:pt>
                <c:pt idx="3525">
                  <c:v>1304.8</c:v>
                </c:pt>
                <c:pt idx="3526">
                  <c:v>1304.8</c:v>
                </c:pt>
                <c:pt idx="3527">
                  <c:v>1304.6690000000001</c:v>
                </c:pt>
                <c:pt idx="3528">
                  <c:v>1304.5050530000001</c:v>
                </c:pt>
                <c:pt idx="3529">
                  <c:v>1304.438676</c:v>
                </c:pt>
                <c:pt idx="3530">
                  <c:v>1304</c:v>
                </c:pt>
                <c:pt idx="3531">
                  <c:v>1304</c:v>
                </c:pt>
                <c:pt idx="3532">
                  <c:v>1304</c:v>
                </c:pt>
                <c:pt idx="3533">
                  <c:v>1304</c:v>
                </c:pt>
                <c:pt idx="3534">
                  <c:v>1304</c:v>
                </c:pt>
                <c:pt idx="3535">
                  <c:v>1303.8879999999999</c:v>
                </c:pt>
                <c:pt idx="3536">
                  <c:v>1303.8019999999999</c:v>
                </c:pt>
                <c:pt idx="3537">
                  <c:v>1303.577</c:v>
                </c:pt>
                <c:pt idx="3538">
                  <c:v>1303.2</c:v>
                </c:pt>
                <c:pt idx="3539">
                  <c:v>1303.2</c:v>
                </c:pt>
                <c:pt idx="3540">
                  <c:v>1303.011</c:v>
                </c:pt>
                <c:pt idx="3541">
                  <c:v>1302.9100000000001</c:v>
                </c:pt>
                <c:pt idx="3542">
                  <c:v>1302.8130000000001</c:v>
                </c:pt>
                <c:pt idx="3543">
                  <c:v>1302.803017</c:v>
                </c:pt>
                <c:pt idx="3544">
                  <c:v>1302.6298469999999</c:v>
                </c:pt>
                <c:pt idx="3545">
                  <c:v>1302.6059310000001</c:v>
                </c:pt>
                <c:pt idx="3546">
                  <c:v>1302.5098399999999</c:v>
                </c:pt>
                <c:pt idx="3547">
                  <c:v>1302.4000000000001</c:v>
                </c:pt>
                <c:pt idx="3548">
                  <c:v>1302.39029</c:v>
                </c:pt>
                <c:pt idx="3549">
                  <c:v>1302.1020000000001</c:v>
                </c:pt>
                <c:pt idx="3550">
                  <c:v>1302.068082</c:v>
                </c:pt>
                <c:pt idx="3551">
                  <c:v>1301.939163</c:v>
                </c:pt>
                <c:pt idx="3552">
                  <c:v>1301.865</c:v>
                </c:pt>
                <c:pt idx="3553">
                  <c:v>1301.678257</c:v>
                </c:pt>
                <c:pt idx="3554">
                  <c:v>1301.6089999999999</c:v>
                </c:pt>
                <c:pt idx="3555">
                  <c:v>1301.431</c:v>
                </c:pt>
                <c:pt idx="3556">
                  <c:v>1301.2096280000001</c:v>
                </c:pt>
                <c:pt idx="3557">
                  <c:v>1301.174</c:v>
                </c:pt>
                <c:pt idx="3558">
                  <c:v>1301.0989999999999</c:v>
                </c:pt>
                <c:pt idx="3559">
                  <c:v>1300.99</c:v>
                </c:pt>
                <c:pt idx="3560">
                  <c:v>1300.8</c:v>
                </c:pt>
                <c:pt idx="3561">
                  <c:v>1300.4518599999999</c:v>
                </c:pt>
                <c:pt idx="3562">
                  <c:v>1300.328</c:v>
                </c:pt>
                <c:pt idx="3563">
                  <c:v>1300.3109320000001</c:v>
                </c:pt>
                <c:pt idx="3564">
                  <c:v>1300.307</c:v>
                </c:pt>
                <c:pt idx="3565">
                  <c:v>1300.2516410000001</c:v>
                </c:pt>
                <c:pt idx="3566">
                  <c:v>1300</c:v>
                </c:pt>
                <c:pt idx="3567">
                  <c:v>1300</c:v>
                </c:pt>
                <c:pt idx="3568">
                  <c:v>1300</c:v>
                </c:pt>
                <c:pt idx="3569">
                  <c:v>1300</c:v>
                </c:pt>
                <c:pt idx="3570">
                  <c:v>1300</c:v>
                </c:pt>
                <c:pt idx="3571">
                  <c:v>1300</c:v>
                </c:pt>
                <c:pt idx="3572">
                  <c:v>1299.867111</c:v>
                </c:pt>
                <c:pt idx="3573">
                  <c:v>1299.5316969999999</c:v>
                </c:pt>
                <c:pt idx="3574">
                  <c:v>1299.5316969999999</c:v>
                </c:pt>
                <c:pt idx="3575">
                  <c:v>1299.464788</c:v>
                </c:pt>
                <c:pt idx="3576">
                  <c:v>1299.258</c:v>
                </c:pt>
                <c:pt idx="3577">
                  <c:v>1299.2</c:v>
                </c:pt>
                <c:pt idx="3578">
                  <c:v>1299.2</c:v>
                </c:pt>
                <c:pt idx="3579">
                  <c:v>1299.1880000000001</c:v>
                </c:pt>
                <c:pt idx="3580">
                  <c:v>1299.0474369999999</c:v>
                </c:pt>
                <c:pt idx="3581">
                  <c:v>1299.0406379999999</c:v>
                </c:pt>
                <c:pt idx="3582">
                  <c:v>1298.927811</c:v>
                </c:pt>
                <c:pt idx="3583">
                  <c:v>1298.730581</c:v>
                </c:pt>
                <c:pt idx="3584">
                  <c:v>1298.485743</c:v>
                </c:pt>
                <c:pt idx="3585">
                  <c:v>1298.4069999999999</c:v>
                </c:pt>
                <c:pt idx="3586">
                  <c:v>1298.4000000000001</c:v>
                </c:pt>
                <c:pt idx="3587">
                  <c:v>1298.3816240000001</c:v>
                </c:pt>
                <c:pt idx="3588">
                  <c:v>1298.1928109999999</c:v>
                </c:pt>
                <c:pt idx="3589">
                  <c:v>1298.1880000000001</c:v>
                </c:pt>
                <c:pt idx="3590">
                  <c:v>1298.1309229999999</c:v>
                </c:pt>
                <c:pt idx="3591">
                  <c:v>1297.8800000000001</c:v>
                </c:pt>
                <c:pt idx="3592">
                  <c:v>1297.795059</c:v>
                </c:pt>
                <c:pt idx="3593">
                  <c:v>1297.3389999999999</c:v>
                </c:pt>
                <c:pt idx="3594">
                  <c:v>1296.9810419999999</c:v>
                </c:pt>
                <c:pt idx="3595">
                  <c:v>1296.8026789999999</c:v>
                </c:pt>
                <c:pt idx="3596">
                  <c:v>1296.801115</c:v>
                </c:pt>
                <c:pt idx="3597">
                  <c:v>1296.8</c:v>
                </c:pt>
                <c:pt idx="3598">
                  <c:v>1296.709824</c:v>
                </c:pt>
                <c:pt idx="3599">
                  <c:v>1296.6670919999999</c:v>
                </c:pt>
                <c:pt idx="3600">
                  <c:v>1296.420877</c:v>
                </c:pt>
                <c:pt idx="3601">
                  <c:v>1296.331938</c:v>
                </c:pt>
                <c:pt idx="3602">
                  <c:v>1296.223753</c:v>
                </c:pt>
                <c:pt idx="3603">
                  <c:v>1296.14077</c:v>
                </c:pt>
                <c:pt idx="3604">
                  <c:v>1296.087385</c:v>
                </c:pt>
                <c:pt idx="3605">
                  <c:v>1295.9328860000001</c:v>
                </c:pt>
                <c:pt idx="3606">
                  <c:v>1295.929519</c:v>
                </c:pt>
                <c:pt idx="3607">
                  <c:v>1295.903599</c:v>
                </c:pt>
                <c:pt idx="3608">
                  <c:v>1295.7809999999999</c:v>
                </c:pt>
                <c:pt idx="3609">
                  <c:v>1295.740258</c:v>
                </c:pt>
                <c:pt idx="3610">
                  <c:v>1295.2534900000001</c:v>
                </c:pt>
                <c:pt idx="3611">
                  <c:v>1295.2</c:v>
                </c:pt>
                <c:pt idx="3612">
                  <c:v>1295.2</c:v>
                </c:pt>
                <c:pt idx="3613">
                  <c:v>1295.150517</c:v>
                </c:pt>
                <c:pt idx="3614">
                  <c:v>1295.145</c:v>
                </c:pt>
                <c:pt idx="3615">
                  <c:v>1294.5152109999999</c:v>
                </c:pt>
                <c:pt idx="3616">
                  <c:v>1294.4000000000001</c:v>
                </c:pt>
                <c:pt idx="3617">
                  <c:v>1294.4000000000001</c:v>
                </c:pt>
                <c:pt idx="3618">
                  <c:v>1294.4000000000001</c:v>
                </c:pt>
                <c:pt idx="3619">
                  <c:v>1294.4000000000001</c:v>
                </c:pt>
                <c:pt idx="3620">
                  <c:v>1294.379009</c:v>
                </c:pt>
                <c:pt idx="3621">
                  <c:v>1294.3432829999999</c:v>
                </c:pt>
                <c:pt idx="3622">
                  <c:v>1294.28</c:v>
                </c:pt>
                <c:pt idx="3623">
                  <c:v>1294.146481</c:v>
                </c:pt>
                <c:pt idx="3624">
                  <c:v>1293.998</c:v>
                </c:pt>
                <c:pt idx="3625">
                  <c:v>1293.5999999999999</c:v>
                </c:pt>
                <c:pt idx="3626">
                  <c:v>1293.5219999999999</c:v>
                </c:pt>
                <c:pt idx="3627">
                  <c:v>1293.3495929999999</c:v>
                </c:pt>
                <c:pt idx="3628">
                  <c:v>1293.3040000000001</c:v>
                </c:pt>
                <c:pt idx="3629">
                  <c:v>1293.095</c:v>
                </c:pt>
                <c:pt idx="3630">
                  <c:v>1293.071645</c:v>
                </c:pt>
                <c:pt idx="3631">
                  <c:v>1292.960272</c:v>
                </c:pt>
                <c:pt idx="3632">
                  <c:v>1292.903</c:v>
                </c:pt>
                <c:pt idx="3633">
                  <c:v>1292.8316159999999</c:v>
                </c:pt>
                <c:pt idx="3634">
                  <c:v>1292.8</c:v>
                </c:pt>
                <c:pt idx="3635">
                  <c:v>1292.8</c:v>
                </c:pt>
                <c:pt idx="3636">
                  <c:v>1292.8</c:v>
                </c:pt>
                <c:pt idx="3637">
                  <c:v>1292.068</c:v>
                </c:pt>
                <c:pt idx="3638">
                  <c:v>1292</c:v>
                </c:pt>
                <c:pt idx="3639">
                  <c:v>1292</c:v>
                </c:pt>
                <c:pt idx="3640">
                  <c:v>1292</c:v>
                </c:pt>
                <c:pt idx="3641">
                  <c:v>1292</c:v>
                </c:pt>
                <c:pt idx="3642">
                  <c:v>1292</c:v>
                </c:pt>
                <c:pt idx="3643">
                  <c:v>1291.599794</c:v>
                </c:pt>
                <c:pt idx="3644">
                  <c:v>1291.2</c:v>
                </c:pt>
                <c:pt idx="3645">
                  <c:v>1291.128142</c:v>
                </c:pt>
                <c:pt idx="3646">
                  <c:v>1290.535568</c:v>
                </c:pt>
                <c:pt idx="3647">
                  <c:v>1290.494318</c:v>
                </c:pt>
                <c:pt idx="3648">
                  <c:v>1290.4000000000001</c:v>
                </c:pt>
                <c:pt idx="3649">
                  <c:v>1290.4000000000001</c:v>
                </c:pt>
                <c:pt idx="3650">
                  <c:v>1290.4000000000001</c:v>
                </c:pt>
                <c:pt idx="3651">
                  <c:v>1290.4000000000001</c:v>
                </c:pt>
                <c:pt idx="3652">
                  <c:v>1290.4000000000001</c:v>
                </c:pt>
                <c:pt idx="3653">
                  <c:v>1290.1975359999999</c:v>
                </c:pt>
                <c:pt idx="3654">
                  <c:v>1290.1975359999999</c:v>
                </c:pt>
                <c:pt idx="3655">
                  <c:v>1290.0993329999999</c:v>
                </c:pt>
                <c:pt idx="3656">
                  <c:v>1289.566849</c:v>
                </c:pt>
                <c:pt idx="3657">
                  <c:v>1289.5060000000001</c:v>
                </c:pt>
                <c:pt idx="3658">
                  <c:v>1289.433542</c:v>
                </c:pt>
                <c:pt idx="3659">
                  <c:v>1289.366571</c:v>
                </c:pt>
                <c:pt idx="3660">
                  <c:v>1289.3434789999999</c:v>
                </c:pt>
                <c:pt idx="3661">
                  <c:v>1289.3337670000001</c:v>
                </c:pt>
                <c:pt idx="3662">
                  <c:v>1289.21784</c:v>
                </c:pt>
                <c:pt idx="3663">
                  <c:v>1288.8</c:v>
                </c:pt>
                <c:pt idx="3664">
                  <c:v>1288.8</c:v>
                </c:pt>
                <c:pt idx="3665">
                  <c:v>1288.700926</c:v>
                </c:pt>
                <c:pt idx="3666">
                  <c:v>1288.4639999999999</c:v>
                </c:pt>
                <c:pt idx="3667">
                  <c:v>1288.241174</c:v>
                </c:pt>
                <c:pt idx="3668">
                  <c:v>1288.1410000000001</c:v>
                </c:pt>
                <c:pt idx="3669">
                  <c:v>1288.125485</c:v>
                </c:pt>
                <c:pt idx="3670">
                  <c:v>1288.096</c:v>
                </c:pt>
                <c:pt idx="3671">
                  <c:v>1288.0652279999999</c:v>
                </c:pt>
                <c:pt idx="3672">
                  <c:v>1288</c:v>
                </c:pt>
                <c:pt idx="3673">
                  <c:v>1288</c:v>
                </c:pt>
                <c:pt idx="3674">
                  <c:v>1288</c:v>
                </c:pt>
                <c:pt idx="3675">
                  <c:v>1288</c:v>
                </c:pt>
                <c:pt idx="3676">
                  <c:v>1287.992</c:v>
                </c:pt>
                <c:pt idx="3677">
                  <c:v>1287.915</c:v>
                </c:pt>
                <c:pt idx="3678">
                  <c:v>1287.7713759999999</c:v>
                </c:pt>
                <c:pt idx="3679">
                  <c:v>1287.5099130000001</c:v>
                </c:pt>
                <c:pt idx="3680">
                  <c:v>1287.4348010000001</c:v>
                </c:pt>
                <c:pt idx="3681">
                  <c:v>1287.3140000000001</c:v>
                </c:pt>
                <c:pt idx="3682">
                  <c:v>1287.2</c:v>
                </c:pt>
                <c:pt idx="3683">
                  <c:v>1287.2</c:v>
                </c:pt>
                <c:pt idx="3684">
                  <c:v>1287.2</c:v>
                </c:pt>
                <c:pt idx="3685">
                  <c:v>1287.2</c:v>
                </c:pt>
                <c:pt idx="3686">
                  <c:v>1287.2</c:v>
                </c:pt>
                <c:pt idx="3687">
                  <c:v>1286.744117</c:v>
                </c:pt>
                <c:pt idx="3688">
                  <c:v>1286.664</c:v>
                </c:pt>
                <c:pt idx="3689">
                  <c:v>1286.6096279999999</c:v>
                </c:pt>
                <c:pt idx="3690">
                  <c:v>1286.45</c:v>
                </c:pt>
                <c:pt idx="3691">
                  <c:v>1286.4464190000001</c:v>
                </c:pt>
                <c:pt idx="3692">
                  <c:v>1286.4290000000001</c:v>
                </c:pt>
                <c:pt idx="3693">
                  <c:v>1286.4000000000001</c:v>
                </c:pt>
                <c:pt idx="3694">
                  <c:v>1286.4000000000001</c:v>
                </c:pt>
                <c:pt idx="3695">
                  <c:v>1286.4000000000001</c:v>
                </c:pt>
                <c:pt idx="3696">
                  <c:v>1286.2470000000001</c:v>
                </c:pt>
                <c:pt idx="3697">
                  <c:v>1285.8326890000001</c:v>
                </c:pt>
                <c:pt idx="3698">
                  <c:v>1285.8326890000001</c:v>
                </c:pt>
                <c:pt idx="3699">
                  <c:v>1285.688971</c:v>
                </c:pt>
                <c:pt idx="3700">
                  <c:v>1285.5999999999999</c:v>
                </c:pt>
                <c:pt idx="3701">
                  <c:v>1285.5999999999999</c:v>
                </c:pt>
                <c:pt idx="3702">
                  <c:v>1285.5999999999999</c:v>
                </c:pt>
                <c:pt idx="3703">
                  <c:v>1285.579</c:v>
                </c:pt>
                <c:pt idx="3704">
                  <c:v>1285.3627489999999</c:v>
                </c:pt>
                <c:pt idx="3705">
                  <c:v>1285.355</c:v>
                </c:pt>
                <c:pt idx="3706">
                  <c:v>1285.1606380000001</c:v>
                </c:pt>
                <c:pt idx="3707">
                  <c:v>1284.546879</c:v>
                </c:pt>
                <c:pt idx="3708">
                  <c:v>1284.495077</c:v>
                </c:pt>
                <c:pt idx="3709">
                  <c:v>1284.490188</c:v>
                </c:pt>
                <c:pt idx="3710">
                  <c:v>1284.095</c:v>
                </c:pt>
                <c:pt idx="3711">
                  <c:v>1284.044406</c:v>
                </c:pt>
                <c:pt idx="3712">
                  <c:v>1284</c:v>
                </c:pt>
                <c:pt idx="3713">
                  <c:v>1284</c:v>
                </c:pt>
                <c:pt idx="3714">
                  <c:v>1284</c:v>
                </c:pt>
                <c:pt idx="3715">
                  <c:v>1283.8</c:v>
                </c:pt>
                <c:pt idx="3716">
                  <c:v>1283.7869350000001</c:v>
                </c:pt>
                <c:pt idx="3717">
                  <c:v>1283.7710930000001</c:v>
                </c:pt>
                <c:pt idx="3718">
                  <c:v>1283.758</c:v>
                </c:pt>
                <c:pt idx="3719">
                  <c:v>1283.5619999999999</c:v>
                </c:pt>
                <c:pt idx="3720">
                  <c:v>1283.482411</c:v>
                </c:pt>
                <c:pt idx="3721">
                  <c:v>1283.48</c:v>
                </c:pt>
                <c:pt idx="3722">
                  <c:v>1283.2</c:v>
                </c:pt>
                <c:pt idx="3723">
                  <c:v>1283.2</c:v>
                </c:pt>
                <c:pt idx="3724">
                  <c:v>1283.0139999999999</c:v>
                </c:pt>
                <c:pt idx="3725">
                  <c:v>1282.8389999999999</c:v>
                </c:pt>
                <c:pt idx="3726">
                  <c:v>1282.7529999999999</c:v>
                </c:pt>
                <c:pt idx="3727">
                  <c:v>1282.7349999999999</c:v>
                </c:pt>
                <c:pt idx="3728">
                  <c:v>1282.724937</c:v>
                </c:pt>
                <c:pt idx="3729">
                  <c:v>1282.4000000000001</c:v>
                </c:pt>
                <c:pt idx="3730">
                  <c:v>1282.3572690000001</c:v>
                </c:pt>
                <c:pt idx="3731">
                  <c:v>1282.193158</c:v>
                </c:pt>
                <c:pt idx="3732">
                  <c:v>1282.0170000000001</c:v>
                </c:pt>
                <c:pt idx="3733">
                  <c:v>1282.0113710000001</c:v>
                </c:pt>
                <c:pt idx="3734">
                  <c:v>1281.6610000000001</c:v>
                </c:pt>
                <c:pt idx="3735">
                  <c:v>1281.64687</c:v>
                </c:pt>
                <c:pt idx="3736">
                  <c:v>1281.5999999999999</c:v>
                </c:pt>
                <c:pt idx="3737">
                  <c:v>1281.582011</c:v>
                </c:pt>
                <c:pt idx="3738">
                  <c:v>1281.2940000000001</c:v>
                </c:pt>
                <c:pt idx="3739">
                  <c:v>1281.2460000000001</c:v>
                </c:pt>
                <c:pt idx="3740">
                  <c:v>1281.0530000000001</c:v>
                </c:pt>
                <c:pt idx="3741">
                  <c:v>1280.998</c:v>
                </c:pt>
                <c:pt idx="3742">
                  <c:v>1280.894</c:v>
                </c:pt>
                <c:pt idx="3743">
                  <c:v>1280.8</c:v>
                </c:pt>
                <c:pt idx="3744">
                  <c:v>1280.8</c:v>
                </c:pt>
                <c:pt idx="3745">
                  <c:v>1280.8</c:v>
                </c:pt>
                <c:pt idx="3746">
                  <c:v>1280.7829999999999</c:v>
                </c:pt>
                <c:pt idx="3747">
                  <c:v>1280.5993820000001</c:v>
                </c:pt>
                <c:pt idx="3748">
                  <c:v>1280.4232569999999</c:v>
                </c:pt>
                <c:pt idx="3749">
                  <c:v>1280.1089999999999</c:v>
                </c:pt>
                <c:pt idx="3750">
                  <c:v>1280.0930000000001</c:v>
                </c:pt>
                <c:pt idx="3751">
                  <c:v>1280</c:v>
                </c:pt>
                <c:pt idx="3752">
                  <c:v>1280</c:v>
                </c:pt>
                <c:pt idx="3753">
                  <c:v>1280</c:v>
                </c:pt>
                <c:pt idx="3754">
                  <c:v>1279.819</c:v>
                </c:pt>
                <c:pt idx="3755">
                  <c:v>1279.804811</c:v>
                </c:pt>
                <c:pt idx="3756">
                  <c:v>1279.2450160000001</c:v>
                </c:pt>
                <c:pt idx="3757">
                  <c:v>1279.100236</c:v>
                </c:pt>
                <c:pt idx="3758">
                  <c:v>1278.874237</c:v>
                </c:pt>
                <c:pt idx="3759">
                  <c:v>1278.5809429999999</c:v>
                </c:pt>
                <c:pt idx="3760">
                  <c:v>1278.412</c:v>
                </c:pt>
                <c:pt idx="3761">
                  <c:v>1278.26812</c:v>
                </c:pt>
                <c:pt idx="3762">
                  <c:v>1278.239</c:v>
                </c:pt>
                <c:pt idx="3763">
                  <c:v>1278.2370000000001</c:v>
                </c:pt>
                <c:pt idx="3764">
                  <c:v>1278.067</c:v>
                </c:pt>
                <c:pt idx="3765">
                  <c:v>1278.0219999999999</c:v>
                </c:pt>
                <c:pt idx="3766">
                  <c:v>1278.001</c:v>
                </c:pt>
                <c:pt idx="3767">
                  <c:v>1277.5999999999999</c:v>
                </c:pt>
                <c:pt idx="3768">
                  <c:v>1277.5999999999999</c:v>
                </c:pt>
                <c:pt idx="3769">
                  <c:v>1277.5982509999999</c:v>
                </c:pt>
                <c:pt idx="3770">
                  <c:v>1277.595</c:v>
                </c:pt>
                <c:pt idx="3771">
                  <c:v>1277.5</c:v>
                </c:pt>
                <c:pt idx="3772">
                  <c:v>1277.059</c:v>
                </c:pt>
                <c:pt idx="3773">
                  <c:v>1276.967543</c:v>
                </c:pt>
                <c:pt idx="3774">
                  <c:v>1276.8627309999999</c:v>
                </c:pt>
                <c:pt idx="3775">
                  <c:v>1276.8</c:v>
                </c:pt>
                <c:pt idx="3776">
                  <c:v>1276.6757030000001</c:v>
                </c:pt>
                <c:pt idx="3777">
                  <c:v>1276.4970000000001</c:v>
                </c:pt>
                <c:pt idx="3778">
                  <c:v>1276.2190000000001</c:v>
                </c:pt>
                <c:pt idx="3779">
                  <c:v>1276.127211</c:v>
                </c:pt>
                <c:pt idx="3780">
                  <c:v>1276</c:v>
                </c:pt>
                <c:pt idx="3781">
                  <c:v>1276</c:v>
                </c:pt>
                <c:pt idx="3782">
                  <c:v>1276</c:v>
                </c:pt>
                <c:pt idx="3783">
                  <c:v>1275.9642679999999</c:v>
                </c:pt>
                <c:pt idx="3784">
                  <c:v>1275.894</c:v>
                </c:pt>
                <c:pt idx="3785">
                  <c:v>1275.732493</c:v>
                </c:pt>
                <c:pt idx="3786">
                  <c:v>1275.693174</c:v>
                </c:pt>
                <c:pt idx="3787">
                  <c:v>1275.614</c:v>
                </c:pt>
                <c:pt idx="3788">
                  <c:v>1275.5440860000001</c:v>
                </c:pt>
                <c:pt idx="3789">
                  <c:v>1275.391691</c:v>
                </c:pt>
                <c:pt idx="3790">
                  <c:v>1275.2</c:v>
                </c:pt>
                <c:pt idx="3791">
                  <c:v>1275.021164</c:v>
                </c:pt>
                <c:pt idx="3792">
                  <c:v>1274.955555</c:v>
                </c:pt>
                <c:pt idx="3793">
                  <c:v>1274.8271010000001</c:v>
                </c:pt>
                <c:pt idx="3794">
                  <c:v>1274.6729439999999</c:v>
                </c:pt>
                <c:pt idx="3795">
                  <c:v>1274.6561710000001</c:v>
                </c:pt>
                <c:pt idx="3796">
                  <c:v>1274.4380000000001</c:v>
                </c:pt>
                <c:pt idx="3797">
                  <c:v>1274.4000000000001</c:v>
                </c:pt>
                <c:pt idx="3798">
                  <c:v>1274.4000000000001</c:v>
                </c:pt>
                <c:pt idx="3799">
                  <c:v>1274.4000000000001</c:v>
                </c:pt>
                <c:pt idx="3800">
                  <c:v>1274.4000000000001</c:v>
                </c:pt>
                <c:pt idx="3801">
                  <c:v>1274.4000000000001</c:v>
                </c:pt>
                <c:pt idx="3802">
                  <c:v>1274.4000000000001</c:v>
                </c:pt>
                <c:pt idx="3803">
                  <c:v>1274.3118059999999</c:v>
                </c:pt>
                <c:pt idx="3804">
                  <c:v>1274.3118059999999</c:v>
                </c:pt>
                <c:pt idx="3805">
                  <c:v>1274.1199999999999</c:v>
                </c:pt>
                <c:pt idx="3806">
                  <c:v>1274.0129999999999</c:v>
                </c:pt>
                <c:pt idx="3807">
                  <c:v>1273.6790000000001</c:v>
                </c:pt>
                <c:pt idx="3808">
                  <c:v>1273.643</c:v>
                </c:pt>
                <c:pt idx="3809">
                  <c:v>1273.36114</c:v>
                </c:pt>
                <c:pt idx="3810">
                  <c:v>1273.342259</c:v>
                </c:pt>
                <c:pt idx="3811">
                  <c:v>1273.22</c:v>
                </c:pt>
                <c:pt idx="3812">
                  <c:v>1272.8</c:v>
                </c:pt>
                <c:pt idx="3813">
                  <c:v>1272.8</c:v>
                </c:pt>
                <c:pt idx="3814">
                  <c:v>1272.8</c:v>
                </c:pt>
                <c:pt idx="3815">
                  <c:v>1272.8</c:v>
                </c:pt>
                <c:pt idx="3816">
                  <c:v>1272.5121300000001</c:v>
                </c:pt>
                <c:pt idx="3817">
                  <c:v>1272.449611</c:v>
                </c:pt>
                <c:pt idx="3818">
                  <c:v>1272</c:v>
                </c:pt>
                <c:pt idx="3819">
                  <c:v>1272</c:v>
                </c:pt>
                <c:pt idx="3820">
                  <c:v>1271.9290000000001</c:v>
                </c:pt>
                <c:pt idx="3821">
                  <c:v>1271.7254809999999</c:v>
                </c:pt>
                <c:pt idx="3822">
                  <c:v>1271.683</c:v>
                </c:pt>
                <c:pt idx="3823">
                  <c:v>1271.2</c:v>
                </c:pt>
                <c:pt idx="3824">
                  <c:v>1271.2</c:v>
                </c:pt>
                <c:pt idx="3825">
                  <c:v>1270.931135</c:v>
                </c:pt>
                <c:pt idx="3826">
                  <c:v>1270.907651</c:v>
                </c:pt>
                <c:pt idx="3827">
                  <c:v>1270.866</c:v>
                </c:pt>
                <c:pt idx="3828">
                  <c:v>1270.858387</c:v>
                </c:pt>
                <c:pt idx="3829">
                  <c:v>1270.7349300000001</c:v>
                </c:pt>
                <c:pt idx="3830">
                  <c:v>1270.68</c:v>
                </c:pt>
                <c:pt idx="3831">
                  <c:v>1270.558405</c:v>
                </c:pt>
                <c:pt idx="3832">
                  <c:v>1270.539</c:v>
                </c:pt>
                <c:pt idx="3833">
                  <c:v>1270.4000000000001</c:v>
                </c:pt>
                <c:pt idx="3834">
                  <c:v>1270.4000000000001</c:v>
                </c:pt>
                <c:pt idx="3835">
                  <c:v>1270.4000000000001</c:v>
                </c:pt>
                <c:pt idx="3836">
                  <c:v>1270.4000000000001</c:v>
                </c:pt>
                <c:pt idx="3837">
                  <c:v>1270.3320000000001</c:v>
                </c:pt>
                <c:pt idx="3838">
                  <c:v>1270.2939260000001</c:v>
                </c:pt>
                <c:pt idx="3839">
                  <c:v>1270.2430509999999</c:v>
                </c:pt>
                <c:pt idx="3840">
                  <c:v>1270.1677030000001</c:v>
                </c:pt>
                <c:pt idx="3841">
                  <c:v>1270.075</c:v>
                </c:pt>
                <c:pt idx="3842">
                  <c:v>1269.6824979999999</c:v>
                </c:pt>
                <c:pt idx="3843">
                  <c:v>1269.4807989999999</c:v>
                </c:pt>
                <c:pt idx="3844">
                  <c:v>1269.47811</c:v>
                </c:pt>
                <c:pt idx="3845">
                  <c:v>1269.4429459999999</c:v>
                </c:pt>
                <c:pt idx="3846">
                  <c:v>1269.133335</c:v>
                </c:pt>
                <c:pt idx="3847">
                  <c:v>1268.8</c:v>
                </c:pt>
                <c:pt idx="3848">
                  <c:v>1268.8</c:v>
                </c:pt>
                <c:pt idx="3849">
                  <c:v>1268.8</c:v>
                </c:pt>
                <c:pt idx="3850">
                  <c:v>1268.8</c:v>
                </c:pt>
                <c:pt idx="3851">
                  <c:v>1268.772011</c:v>
                </c:pt>
                <c:pt idx="3852">
                  <c:v>1268.6028409999999</c:v>
                </c:pt>
                <c:pt idx="3853">
                  <c:v>1268.3941380000001</c:v>
                </c:pt>
                <c:pt idx="3854">
                  <c:v>1268.221</c:v>
                </c:pt>
                <c:pt idx="3855">
                  <c:v>1268.1569999999999</c:v>
                </c:pt>
                <c:pt idx="3856">
                  <c:v>1268.07</c:v>
                </c:pt>
                <c:pt idx="3857">
                  <c:v>1268</c:v>
                </c:pt>
                <c:pt idx="3858">
                  <c:v>1268</c:v>
                </c:pt>
                <c:pt idx="3859">
                  <c:v>1268</c:v>
                </c:pt>
                <c:pt idx="3860">
                  <c:v>1267.963111</c:v>
                </c:pt>
                <c:pt idx="3861">
                  <c:v>1267.963111</c:v>
                </c:pt>
                <c:pt idx="3862">
                  <c:v>1267.883</c:v>
                </c:pt>
                <c:pt idx="3863">
                  <c:v>1267.674</c:v>
                </c:pt>
                <c:pt idx="3864">
                  <c:v>1267.6510000000001</c:v>
                </c:pt>
                <c:pt idx="3865">
                  <c:v>1267.6268500000001</c:v>
                </c:pt>
                <c:pt idx="3866">
                  <c:v>1267.43</c:v>
                </c:pt>
                <c:pt idx="3867">
                  <c:v>1267.398138</c:v>
                </c:pt>
                <c:pt idx="3868">
                  <c:v>1267.2</c:v>
                </c:pt>
                <c:pt idx="3869">
                  <c:v>1267.2</c:v>
                </c:pt>
                <c:pt idx="3870">
                  <c:v>1267.0965630000001</c:v>
                </c:pt>
                <c:pt idx="3871">
                  <c:v>1267.0522820000001</c:v>
                </c:pt>
                <c:pt idx="3872">
                  <c:v>1267.0522820000001</c:v>
                </c:pt>
                <c:pt idx="3873">
                  <c:v>1266.818501</c:v>
                </c:pt>
                <c:pt idx="3874">
                  <c:v>1266.559</c:v>
                </c:pt>
                <c:pt idx="3875">
                  <c:v>1266.4649999999999</c:v>
                </c:pt>
                <c:pt idx="3876">
                  <c:v>1266.4218539999999</c:v>
                </c:pt>
                <c:pt idx="3877">
                  <c:v>1266.4092350000001</c:v>
                </c:pt>
                <c:pt idx="3878">
                  <c:v>1266.4092350000001</c:v>
                </c:pt>
                <c:pt idx="3879">
                  <c:v>1266.4000000000001</c:v>
                </c:pt>
                <c:pt idx="3880">
                  <c:v>1266.4000000000001</c:v>
                </c:pt>
                <c:pt idx="3881">
                  <c:v>1266.4000000000001</c:v>
                </c:pt>
                <c:pt idx="3882">
                  <c:v>1266.4000000000001</c:v>
                </c:pt>
                <c:pt idx="3883">
                  <c:v>1266.3004639999999</c:v>
                </c:pt>
                <c:pt idx="3884">
                  <c:v>1265.998429</c:v>
                </c:pt>
                <c:pt idx="3885">
                  <c:v>1265.7870129999999</c:v>
                </c:pt>
                <c:pt idx="3886">
                  <c:v>1265.5999999999999</c:v>
                </c:pt>
                <c:pt idx="3887">
                  <c:v>1265.5999999999999</c:v>
                </c:pt>
                <c:pt idx="3888">
                  <c:v>1265.596965</c:v>
                </c:pt>
                <c:pt idx="3889">
                  <c:v>1265.5835320000001</c:v>
                </c:pt>
                <c:pt idx="3890">
                  <c:v>1265.5719999999999</c:v>
                </c:pt>
                <c:pt idx="3891">
                  <c:v>1265.533214</c:v>
                </c:pt>
                <c:pt idx="3892">
                  <c:v>1265.4585050000001</c:v>
                </c:pt>
                <c:pt idx="3893">
                  <c:v>1265.2016860000001</c:v>
                </c:pt>
                <c:pt idx="3894">
                  <c:v>1265.094411</c:v>
                </c:pt>
                <c:pt idx="3895">
                  <c:v>1264.8</c:v>
                </c:pt>
                <c:pt idx="3896">
                  <c:v>1264.8</c:v>
                </c:pt>
                <c:pt idx="3897">
                  <c:v>1264.8</c:v>
                </c:pt>
                <c:pt idx="3898">
                  <c:v>1264.732</c:v>
                </c:pt>
                <c:pt idx="3899">
                  <c:v>1264.5446730000001</c:v>
                </c:pt>
                <c:pt idx="3900">
                  <c:v>1264.538</c:v>
                </c:pt>
                <c:pt idx="3901">
                  <c:v>1264.464622</c:v>
                </c:pt>
                <c:pt idx="3902">
                  <c:v>1264</c:v>
                </c:pt>
                <c:pt idx="3903">
                  <c:v>1263.9142919999999</c:v>
                </c:pt>
                <c:pt idx="3904">
                  <c:v>1263.8647289999999</c:v>
                </c:pt>
                <c:pt idx="3905">
                  <c:v>1263.8647289999999</c:v>
                </c:pt>
                <c:pt idx="3906">
                  <c:v>1263.8647289999999</c:v>
                </c:pt>
                <c:pt idx="3907">
                  <c:v>1263.657144</c:v>
                </c:pt>
                <c:pt idx="3908">
                  <c:v>1263.4749999999999</c:v>
                </c:pt>
                <c:pt idx="3909">
                  <c:v>1263.2608640000001</c:v>
                </c:pt>
                <c:pt idx="3910">
                  <c:v>1263.2570000000001</c:v>
                </c:pt>
                <c:pt idx="3911">
                  <c:v>1263.2</c:v>
                </c:pt>
                <c:pt idx="3912">
                  <c:v>1262.5245440000001</c:v>
                </c:pt>
                <c:pt idx="3913">
                  <c:v>1262.5245440000001</c:v>
                </c:pt>
                <c:pt idx="3914">
                  <c:v>1262.4000000000001</c:v>
                </c:pt>
                <c:pt idx="3915">
                  <c:v>1262.4000000000001</c:v>
                </c:pt>
                <c:pt idx="3916">
                  <c:v>1262.4000000000001</c:v>
                </c:pt>
                <c:pt idx="3917">
                  <c:v>1262.2861359999999</c:v>
                </c:pt>
                <c:pt idx="3918">
                  <c:v>1262.1949999999999</c:v>
                </c:pt>
                <c:pt idx="3919">
                  <c:v>1262.152331</c:v>
                </c:pt>
                <c:pt idx="3920">
                  <c:v>1262.0250000000001</c:v>
                </c:pt>
                <c:pt idx="3921">
                  <c:v>1261.718374</c:v>
                </c:pt>
                <c:pt idx="3922">
                  <c:v>1261.7049999999999</c:v>
                </c:pt>
                <c:pt idx="3923">
                  <c:v>1261.5999999999999</c:v>
                </c:pt>
                <c:pt idx="3924">
                  <c:v>1261.3219999999999</c:v>
                </c:pt>
                <c:pt idx="3925">
                  <c:v>1261.1110000000001</c:v>
                </c:pt>
                <c:pt idx="3926">
                  <c:v>1260.977466</c:v>
                </c:pt>
                <c:pt idx="3927">
                  <c:v>1260.8348370000001</c:v>
                </c:pt>
                <c:pt idx="3928">
                  <c:v>1260.6771759999999</c:v>
                </c:pt>
                <c:pt idx="3929">
                  <c:v>1260.412</c:v>
                </c:pt>
                <c:pt idx="3930">
                  <c:v>1260.275862</c:v>
                </c:pt>
                <c:pt idx="3931">
                  <c:v>1260</c:v>
                </c:pt>
                <c:pt idx="3932">
                  <c:v>1260</c:v>
                </c:pt>
                <c:pt idx="3933">
                  <c:v>1260</c:v>
                </c:pt>
                <c:pt idx="3934">
                  <c:v>1259.807444</c:v>
                </c:pt>
                <c:pt idx="3935">
                  <c:v>1259.6990000000001</c:v>
                </c:pt>
                <c:pt idx="3936">
                  <c:v>1259.210251</c:v>
                </c:pt>
                <c:pt idx="3937">
                  <c:v>1259.2</c:v>
                </c:pt>
                <c:pt idx="3938">
                  <c:v>1259.116761</c:v>
                </c:pt>
                <c:pt idx="3939">
                  <c:v>1258.8900000000001</c:v>
                </c:pt>
                <c:pt idx="3940">
                  <c:v>1258.6479999999999</c:v>
                </c:pt>
                <c:pt idx="3941">
                  <c:v>1258.4260770000001</c:v>
                </c:pt>
                <c:pt idx="3942">
                  <c:v>1258.4260770000001</c:v>
                </c:pt>
                <c:pt idx="3943">
                  <c:v>1258.4000000000001</c:v>
                </c:pt>
                <c:pt idx="3944">
                  <c:v>1258.4000000000001</c:v>
                </c:pt>
                <c:pt idx="3945">
                  <c:v>1258.144</c:v>
                </c:pt>
                <c:pt idx="3946">
                  <c:v>1257.9770000000001</c:v>
                </c:pt>
                <c:pt idx="3947">
                  <c:v>1257.822373</c:v>
                </c:pt>
                <c:pt idx="3948">
                  <c:v>1257.6959999999999</c:v>
                </c:pt>
                <c:pt idx="3949">
                  <c:v>1257.5999999999999</c:v>
                </c:pt>
                <c:pt idx="3950">
                  <c:v>1257.5999999999999</c:v>
                </c:pt>
                <c:pt idx="3951">
                  <c:v>1257.5245</c:v>
                </c:pt>
                <c:pt idx="3952">
                  <c:v>1257.4896229999999</c:v>
                </c:pt>
                <c:pt idx="3953">
                  <c:v>1257.452</c:v>
                </c:pt>
                <c:pt idx="3954">
                  <c:v>1257.3449639999999</c:v>
                </c:pt>
                <c:pt idx="3955">
                  <c:v>1257.085977</c:v>
                </c:pt>
                <c:pt idx="3956">
                  <c:v>1257.085977</c:v>
                </c:pt>
                <c:pt idx="3957">
                  <c:v>1257.0036909999999</c:v>
                </c:pt>
                <c:pt idx="3958">
                  <c:v>1256.8</c:v>
                </c:pt>
                <c:pt idx="3959">
                  <c:v>1256.8</c:v>
                </c:pt>
                <c:pt idx="3960">
                  <c:v>1256.6030000000001</c:v>
                </c:pt>
                <c:pt idx="3961">
                  <c:v>1256.2681709999999</c:v>
                </c:pt>
                <c:pt idx="3962">
                  <c:v>1256.2681709999999</c:v>
                </c:pt>
                <c:pt idx="3963">
                  <c:v>1256.2681709999999</c:v>
                </c:pt>
                <c:pt idx="3964">
                  <c:v>1256.233287</c:v>
                </c:pt>
                <c:pt idx="3965">
                  <c:v>1256.021571</c:v>
                </c:pt>
                <c:pt idx="3966">
                  <c:v>1256</c:v>
                </c:pt>
                <c:pt idx="3967">
                  <c:v>1256</c:v>
                </c:pt>
                <c:pt idx="3968">
                  <c:v>1255.7829999999999</c:v>
                </c:pt>
                <c:pt idx="3969">
                  <c:v>1255.664</c:v>
                </c:pt>
                <c:pt idx="3970">
                  <c:v>1255.532651</c:v>
                </c:pt>
                <c:pt idx="3971">
                  <c:v>1255.509356</c:v>
                </c:pt>
                <c:pt idx="3972">
                  <c:v>1255.3688830000001</c:v>
                </c:pt>
                <c:pt idx="3973">
                  <c:v>1255.2650000000001</c:v>
                </c:pt>
                <c:pt idx="3974">
                  <c:v>1255.2</c:v>
                </c:pt>
                <c:pt idx="3975">
                  <c:v>1255.1510000000001</c:v>
                </c:pt>
                <c:pt idx="3976">
                  <c:v>1255.098958</c:v>
                </c:pt>
                <c:pt idx="3977">
                  <c:v>1254.9929999999999</c:v>
                </c:pt>
                <c:pt idx="3978">
                  <c:v>1254.972657</c:v>
                </c:pt>
                <c:pt idx="3979">
                  <c:v>1254.972657</c:v>
                </c:pt>
                <c:pt idx="3980">
                  <c:v>1254.5550000000001</c:v>
                </c:pt>
                <c:pt idx="3981">
                  <c:v>1254.4000000000001</c:v>
                </c:pt>
                <c:pt idx="3982">
                  <c:v>1254.4000000000001</c:v>
                </c:pt>
                <c:pt idx="3983">
                  <c:v>1254.4000000000001</c:v>
                </c:pt>
                <c:pt idx="3984">
                  <c:v>1254.2909999999999</c:v>
                </c:pt>
                <c:pt idx="3985">
                  <c:v>1254.203</c:v>
                </c:pt>
                <c:pt idx="3986">
                  <c:v>1253.8933609999999</c:v>
                </c:pt>
                <c:pt idx="3987">
                  <c:v>1253.3754510000001</c:v>
                </c:pt>
                <c:pt idx="3988">
                  <c:v>1253.1579999999999</c:v>
                </c:pt>
                <c:pt idx="3989">
                  <c:v>1253.0838269999999</c:v>
                </c:pt>
                <c:pt idx="3990">
                  <c:v>1252.915393</c:v>
                </c:pt>
                <c:pt idx="3991">
                  <c:v>1252.900605</c:v>
                </c:pt>
                <c:pt idx="3992">
                  <c:v>1252.8</c:v>
                </c:pt>
                <c:pt idx="3993">
                  <c:v>1252.8</c:v>
                </c:pt>
                <c:pt idx="3994">
                  <c:v>1252.8</c:v>
                </c:pt>
                <c:pt idx="3995">
                  <c:v>1252.8</c:v>
                </c:pt>
                <c:pt idx="3996">
                  <c:v>1252.590571</c:v>
                </c:pt>
                <c:pt idx="3997">
                  <c:v>1252.525046</c:v>
                </c:pt>
                <c:pt idx="3998">
                  <c:v>1252.246817</c:v>
                </c:pt>
                <c:pt idx="3999">
                  <c:v>1251.7639999999999</c:v>
                </c:pt>
                <c:pt idx="4000">
                  <c:v>1251.6489999999999</c:v>
                </c:pt>
                <c:pt idx="4001">
                  <c:v>1251.5192380000001</c:v>
                </c:pt>
                <c:pt idx="4002">
                  <c:v>1251.5192380000001</c:v>
                </c:pt>
                <c:pt idx="4003">
                  <c:v>1251.5192380000001</c:v>
                </c:pt>
                <c:pt idx="4004">
                  <c:v>1251.3610000000001</c:v>
                </c:pt>
                <c:pt idx="4005">
                  <c:v>1251.306</c:v>
                </c:pt>
                <c:pt idx="4006">
                  <c:v>1251.2</c:v>
                </c:pt>
                <c:pt idx="4007">
                  <c:v>1251.1195310000001</c:v>
                </c:pt>
                <c:pt idx="4008">
                  <c:v>1251.114517</c:v>
                </c:pt>
                <c:pt idx="4009">
                  <c:v>1251.0074070000001</c:v>
                </c:pt>
                <c:pt idx="4010">
                  <c:v>1250.9173000000001</c:v>
                </c:pt>
                <c:pt idx="4011">
                  <c:v>1250.787922</c:v>
                </c:pt>
                <c:pt idx="4012">
                  <c:v>1250.4935720000001</c:v>
                </c:pt>
                <c:pt idx="4013">
                  <c:v>1250.461904</c:v>
                </c:pt>
                <c:pt idx="4014">
                  <c:v>1250.4000000000001</c:v>
                </c:pt>
                <c:pt idx="4015">
                  <c:v>1250.4000000000001</c:v>
                </c:pt>
                <c:pt idx="4016">
                  <c:v>1250.4000000000001</c:v>
                </c:pt>
                <c:pt idx="4017">
                  <c:v>1250.382376</c:v>
                </c:pt>
                <c:pt idx="4018">
                  <c:v>1250.2042469999999</c:v>
                </c:pt>
                <c:pt idx="4019">
                  <c:v>1250.1114339999999</c:v>
                </c:pt>
                <c:pt idx="4020">
                  <c:v>1249.9333810000001</c:v>
                </c:pt>
                <c:pt idx="4021">
                  <c:v>1249.8857700000001</c:v>
                </c:pt>
                <c:pt idx="4022">
                  <c:v>1249.5999999999999</c:v>
                </c:pt>
                <c:pt idx="4023">
                  <c:v>1249.324507</c:v>
                </c:pt>
                <c:pt idx="4024">
                  <c:v>1249.2235000000001</c:v>
                </c:pt>
                <c:pt idx="4025">
                  <c:v>1249.168005</c:v>
                </c:pt>
                <c:pt idx="4026">
                  <c:v>1248.912971</c:v>
                </c:pt>
                <c:pt idx="4027">
                  <c:v>1248.912971</c:v>
                </c:pt>
                <c:pt idx="4028">
                  <c:v>1248.8063199999999</c:v>
                </c:pt>
                <c:pt idx="4029">
                  <c:v>1248.8</c:v>
                </c:pt>
                <c:pt idx="4030">
                  <c:v>1248.8</c:v>
                </c:pt>
                <c:pt idx="4031">
                  <c:v>1248.8</c:v>
                </c:pt>
                <c:pt idx="4032">
                  <c:v>1248.8</c:v>
                </c:pt>
                <c:pt idx="4033">
                  <c:v>1248.8</c:v>
                </c:pt>
                <c:pt idx="4034">
                  <c:v>1248.8</c:v>
                </c:pt>
                <c:pt idx="4035">
                  <c:v>1248.4169999999999</c:v>
                </c:pt>
                <c:pt idx="4036">
                  <c:v>1248.305247</c:v>
                </c:pt>
                <c:pt idx="4037">
                  <c:v>1248.0084139999999</c:v>
                </c:pt>
                <c:pt idx="4038">
                  <c:v>1248</c:v>
                </c:pt>
                <c:pt idx="4039">
                  <c:v>1248</c:v>
                </c:pt>
                <c:pt idx="4040">
                  <c:v>1247.998</c:v>
                </c:pt>
                <c:pt idx="4041">
                  <c:v>1247.462</c:v>
                </c:pt>
                <c:pt idx="4042">
                  <c:v>1247.32</c:v>
                </c:pt>
                <c:pt idx="4043">
                  <c:v>1247.2</c:v>
                </c:pt>
                <c:pt idx="4044">
                  <c:v>1247.1905839999999</c:v>
                </c:pt>
                <c:pt idx="4045">
                  <c:v>1247.0340000000001</c:v>
                </c:pt>
                <c:pt idx="4046">
                  <c:v>1247.031878</c:v>
                </c:pt>
                <c:pt idx="4047">
                  <c:v>1246.98578</c:v>
                </c:pt>
                <c:pt idx="4048">
                  <c:v>1246.7915459999999</c:v>
                </c:pt>
                <c:pt idx="4049">
                  <c:v>1246.7064109999999</c:v>
                </c:pt>
                <c:pt idx="4050">
                  <c:v>1246.7064109999999</c:v>
                </c:pt>
                <c:pt idx="4051">
                  <c:v>1246.68445</c:v>
                </c:pt>
                <c:pt idx="4052">
                  <c:v>1246.6489999999999</c:v>
                </c:pt>
                <c:pt idx="4053">
                  <c:v>1246.4000000000001</c:v>
                </c:pt>
                <c:pt idx="4054">
                  <c:v>1246.4000000000001</c:v>
                </c:pt>
                <c:pt idx="4055">
                  <c:v>1246.4000000000001</c:v>
                </c:pt>
                <c:pt idx="4056">
                  <c:v>1246.3869999999999</c:v>
                </c:pt>
                <c:pt idx="4057">
                  <c:v>1246.372754</c:v>
                </c:pt>
                <c:pt idx="4058">
                  <c:v>1246.3699099999999</c:v>
                </c:pt>
                <c:pt idx="4059">
                  <c:v>1245.954</c:v>
                </c:pt>
                <c:pt idx="4060">
                  <c:v>1245.7360000000001</c:v>
                </c:pt>
                <c:pt idx="4061">
                  <c:v>1245.5999999999999</c:v>
                </c:pt>
                <c:pt idx="4062">
                  <c:v>1245.5999999999999</c:v>
                </c:pt>
                <c:pt idx="4063">
                  <c:v>1245.005521</c:v>
                </c:pt>
                <c:pt idx="4064">
                  <c:v>1244.8</c:v>
                </c:pt>
                <c:pt idx="4065">
                  <c:v>1244.8</c:v>
                </c:pt>
                <c:pt idx="4066">
                  <c:v>1244.8</c:v>
                </c:pt>
                <c:pt idx="4067">
                  <c:v>1244.499851</c:v>
                </c:pt>
                <c:pt idx="4068">
                  <c:v>1244.499</c:v>
                </c:pt>
                <c:pt idx="4069">
                  <c:v>1244.374</c:v>
                </c:pt>
                <c:pt idx="4070">
                  <c:v>1244.1869999999999</c:v>
                </c:pt>
                <c:pt idx="4071">
                  <c:v>1244</c:v>
                </c:pt>
                <c:pt idx="4072">
                  <c:v>1243.9425229999999</c:v>
                </c:pt>
                <c:pt idx="4073">
                  <c:v>1243.9425229999999</c:v>
                </c:pt>
                <c:pt idx="4074">
                  <c:v>1243.9425229999999</c:v>
                </c:pt>
                <c:pt idx="4075">
                  <c:v>1243.885454</c:v>
                </c:pt>
                <c:pt idx="4076">
                  <c:v>1243.5471520000001</c:v>
                </c:pt>
                <c:pt idx="4077">
                  <c:v>1243.412</c:v>
                </c:pt>
                <c:pt idx="4078">
                  <c:v>1243.3735859999999</c:v>
                </c:pt>
                <c:pt idx="4079">
                  <c:v>1243.2</c:v>
                </c:pt>
                <c:pt idx="4080">
                  <c:v>1243.2</c:v>
                </c:pt>
                <c:pt idx="4081">
                  <c:v>1243.0288109999999</c:v>
                </c:pt>
                <c:pt idx="4082">
                  <c:v>1242.7375</c:v>
                </c:pt>
                <c:pt idx="4083">
                  <c:v>1242.4000000000001</c:v>
                </c:pt>
                <c:pt idx="4084">
                  <c:v>1242.3883960000001</c:v>
                </c:pt>
                <c:pt idx="4085">
                  <c:v>1242.348747</c:v>
                </c:pt>
                <c:pt idx="4086">
                  <c:v>1241.914</c:v>
                </c:pt>
                <c:pt idx="4087">
                  <c:v>1241.663</c:v>
                </c:pt>
                <c:pt idx="4088">
                  <c:v>1241.662</c:v>
                </c:pt>
                <c:pt idx="4089">
                  <c:v>1241.5999999999999</c:v>
                </c:pt>
                <c:pt idx="4090">
                  <c:v>1241.5595760000001</c:v>
                </c:pt>
                <c:pt idx="4091">
                  <c:v>1241.5500790000001</c:v>
                </c:pt>
                <c:pt idx="4092">
                  <c:v>1241.5077739999999</c:v>
                </c:pt>
                <c:pt idx="4093">
                  <c:v>1241.290964</c:v>
                </c:pt>
                <c:pt idx="4094">
                  <c:v>1241.1869999999999</c:v>
                </c:pt>
                <c:pt idx="4095">
                  <c:v>1241.1579999999999</c:v>
                </c:pt>
                <c:pt idx="4096">
                  <c:v>1240.9648540000001</c:v>
                </c:pt>
                <c:pt idx="4097">
                  <c:v>1240.8</c:v>
                </c:pt>
                <c:pt idx="4098">
                  <c:v>1240.7702750000001</c:v>
                </c:pt>
                <c:pt idx="4099">
                  <c:v>1240.7702750000001</c:v>
                </c:pt>
                <c:pt idx="4100">
                  <c:v>1240.4710399999999</c:v>
                </c:pt>
                <c:pt idx="4101">
                  <c:v>1240.2049999999999</c:v>
                </c:pt>
                <c:pt idx="4102">
                  <c:v>1240.0867310000001</c:v>
                </c:pt>
                <c:pt idx="4103">
                  <c:v>1240.0192380000001</c:v>
                </c:pt>
                <c:pt idx="4104">
                  <c:v>1240</c:v>
                </c:pt>
                <c:pt idx="4105">
                  <c:v>1240</c:v>
                </c:pt>
                <c:pt idx="4106">
                  <c:v>1240</c:v>
                </c:pt>
                <c:pt idx="4107">
                  <c:v>1239.8900000000001</c:v>
                </c:pt>
                <c:pt idx="4108">
                  <c:v>1239.856176</c:v>
                </c:pt>
                <c:pt idx="4109">
                  <c:v>1239.836249</c:v>
                </c:pt>
                <c:pt idx="4110">
                  <c:v>1239.7670000000001</c:v>
                </c:pt>
                <c:pt idx="4111">
                  <c:v>1239.533739</c:v>
                </c:pt>
                <c:pt idx="4112">
                  <c:v>1239.472</c:v>
                </c:pt>
                <c:pt idx="4113">
                  <c:v>1239.3474659999999</c:v>
                </c:pt>
                <c:pt idx="4114">
                  <c:v>1239.2693839999999</c:v>
                </c:pt>
                <c:pt idx="4115">
                  <c:v>1239.2</c:v>
                </c:pt>
                <c:pt idx="4116">
                  <c:v>1239.2</c:v>
                </c:pt>
                <c:pt idx="4117">
                  <c:v>1239.2</c:v>
                </c:pt>
                <c:pt idx="4118">
                  <c:v>1239.2</c:v>
                </c:pt>
                <c:pt idx="4119">
                  <c:v>1239.039</c:v>
                </c:pt>
                <c:pt idx="4120">
                  <c:v>1239.012285</c:v>
                </c:pt>
                <c:pt idx="4121">
                  <c:v>1238.9154149999999</c:v>
                </c:pt>
                <c:pt idx="4122">
                  <c:v>1238.8415259999999</c:v>
                </c:pt>
                <c:pt idx="4123">
                  <c:v>1238.8119999999999</c:v>
                </c:pt>
                <c:pt idx="4124">
                  <c:v>1238.61661</c:v>
                </c:pt>
                <c:pt idx="4125">
                  <c:v>1238.615691</c:v>
                </c:pt>
                <c:pt idx="4126">
                  <c:v>1238.6099999999999</c:v>
                </c:pt>
                <c:pt idx="4127">
                  <c:v>1238.557691</c:v>
                </c:pt>
                <c:pt idx="4128">
                  <c:v>1238.4394600000001</c:v>
                </c:pt>
                <c:pt idx="4129">
                  <c:v>1238.4000000000001</c:v>
                </c:pt>
                <c:pt idx="4130">
                  <c:v>1238.4000000000001</c:v>
                </c:pt>
                <c:pt idx="4131">
                  <c:v>1238.1944550000001</c:v>
                </c:pt>
                <c:pt idx="4132">
                  <c:v>1238.191</c:v>
                </c:pt>
                <c:pt idx="4133">
                  <c:v>1238.0999999999999</c:v>
                </c:pt>
                <c:pt idx="4134">
                  <c:v>1238.0554239999999</c:v>
                </c:pt>
                <c:pt idx="4135">
                  <c:v>1237.715598</c:v>
                </c:pt>
                <c:pt idx="4136">
                  <c:v>1237.705559</c:v>
                </c:pt>
                <c:pt idx="4137">
                  <c:v>1237.705559</c:v>
                </c:pt>
                <c:pt idx="4138">
                  <c:v>1237.705559</c:v>
                </c:pt>
                <c:pt idx="4139">
                  <c:v>1237.6625220000001</c:v>
                </c:pt>
                <c:pt idx="4140">
                  <c:v>1237.567417</c:v>
                </c:pt>
                <c:pt idx="4141">
                  <c:v>1237.5319999999999</c:v>
                </c:pt>
                <c:pt idx="4142">
                  <c:v>1237.1446510000001</c:v>
                </c:pt>
                <c:pt idx="4143">
                  <c:v>1237.1446510000001</c:v>
                </c:pt>
                <c:pt idx="4144">
                  <c:v>1237.014876</c:v>
                </c:pt>
                <c:pt idx="4145">
                  <c:v>1237.014876</c:v>
                </c:pt>
                <c:pt idx="4146">
                  <c:v>1236.8920000000001</c:v>
                </c:pt>
                <c:pt idx="4147">
                  <c:v>1236.833284</c:v>
                </c:pt>
                <c:pt idx="4148">
                  <c:v>1236.827</c:v>
                </c:pt>
                <c:pt idx="4149">
                  <c:v>1236.8</c:v>
                </c:pt>
                <c:pt idx="4150">
                  <c:v>1236.8</c:v>
                </c:pt>
                <c:pt idx="4151">
                  <c:v>1236.8</c:v>
                </c:pt>
                <c:pt idx="4152">
                  <c:v>1236.5587949999999</c:v>
                </c:pt>
                <c:pt idx="4153">
                  <c:v>1236.4091309999999</c:v>
                </c:pt>
                <c:pt idx="4154">
                  <c:v>1236.324192</c:v>
                </c:pt>
                <c:pt idx="4155">
                  <c:v>1236.1086459999999</c:v>
                </c:pt>
                <c:pt idx="4156">
                  <c:v>1236.1086459999999</c:v>
                </c:pt>
                <c:pt idx="4157">
                  <c:v>1235.9791580000001</c:v>
                </c:pt>
                <c:pt idx="4158">
                  <c:v>1235.7380000000001</c:v>
                </c:pt>
                <c:pt idx="4159">
                  <c:v>1235.6616590000001</c:v>
                </c:pt>
                <c:pt idx="4160">
                  <c:v>1235.3119999999999</c:v>
                </c:pt>
                <c:pt idx="4161">
                  <c:v>1235.2</c:v>
                </c:pt>
                <c:pt idx="4162">
                  <c:v>1234.8630000000001</c:v>
                </c:pt>
                <c:pt idx="4163">
                  <c:v>1234.4000000000001</c:v>
                </c:pt>
                <c:pt idx="4164">
                  <c:v>1234.4000000000001</c:v>
                </c:pt>
                <c:pt idx="4165">
                  <c:v>1234.242</c:v>
                </c:pt>
                <c:pt idx="4166">
                  <c:v>1234.1608000000001</c:v>
                </c:pt>
                <c:pt idx="4167">
                  <c:v>1234.0497600000001</c:v>
                </c:pt>
                <c:pt idx="4168">
                  <c:v>1234.0460129999999</c:v>
                </c:pt>
                <c:pt idx="4169">
                  <c:v>1233.7921590000001</c:v>
                </c:pt>
                <c:pt idx="4170">
                  <c:v>1233.7778310000001</c:v>
                </c:pt>
                <c:pt idx="4171">
                  <c:v>1233.7117920000001</c:v>
                </c:pt>
                <c:pt idx="4172">
                  <c:v>1233.607</c:v>
                </c:pt>
                <c:pt idx="4173">
                  <c:v>1233.5999999999999</c:v>
                </c:pt>
                <c:pt idx="4174">
                  <c:v>1233.5999999999999</c:v>
                </c:pt>
                <c:pt idx="4175">
                  <c:v>1233.4670510000001</c:v>
                </c:pt>
                <c:pt idx="4176">
                  <c:v>1233.4670510000001</c:v>
                </c:pt>
                <c:pt idx="4177">
                  <c:v>1233.4290000000001</c:v>
                </c:pt>
                <c:pt idx="4178">
                  <c:v>1233.287476</c:v>
                </c:pt>
                <c:pt idx="4179">
                  <c:v>1233.287476</c:v>
                </c:pt>
                <c:pt idx="4180">
                  <c:v>1233.056079</c:v>
                </c:pt>
                <c:pt idx="4181">
                  <c:v>1232.870772</c:v>
                </c:pt>
                <c:pt idx="4182">
                  <c:v>1232.8</c:v>
                </c:pt>
                <c:pt idx="4183">
                  <c:v>1232.8</c:v>
                </c:pt>
                <c:pt idx="4184">
                  <c:v>1232.8</c:v>
                </c:pt>
                <c:pt idx="4185">
                  <c:v>1232.7183520000001</c:v>
                </c:pt>
                <c:pt idx="4186">
                  <c:v>1232.4093310000001</c:v>
                </c:pt>
                <c:pt idx="4187">
                  <c:v>1232.2239549999999</c:v>
                </c:pt>
                <c:pt idx="4188">
                  <c:v>1232.1800880000001</c:v>
                </c:pt>
                <c:pt idx="4189">
                  <c:v>1232.152</c:v>
                </c:pt>
                <c:pt idx="4190">
                  <c:v>1232.0808420000001</c:v>
                </c:pt>
                <c:pt idx="4191">
                  <c:v>1232</c:v>
                </c:pt>
                <c:pt idx="4192">
                  <c:v>1232</c:v>
                </c:pt>
                <c:pt idx="4193">
                  <c:v>1231.998</c:v>
                </c:pt>
                <c:pt idx="4194">
                  <c:v>1231.9892</c:v>
                </c:pt>
                <c:pt idx="4195">
                  <c:v>1231.626</c:v>
                </c:pt>
                <c:pt idx="4196">
                  <c:v>1231.447017</c:v>
                </c:pt>
                <c:pt idx="4197">
                  <c:v>1231.431</c:v>
                </c:pt>
                <c:pt idx="4198">
                  <c:v>1231.249458</c:v>
                </c:pt>
                <c:pt idx="4199">
                  <c:v>1231.0896</c:v>
                </c:pt>
                <c:pt idx="4200">
                  <c:v>1231.0111059999999</c:v>
                </c:pt>
                <c:pt idx="4201">
                  <c:v>1230.79872</c:v>
                </c:pt>
                <c:pt idx="4202">
                  <c:v>1230.79872</c:v>
                </c:pt>
                <c:pt idx="4203">
                  <c:v>1230.748114</c:v>
                </c:pt>
                <c:pt idx="4204">
                  <c:v>1230.670079</c:v>
                </c:pt>
                <c:pt idx="4205">
                  <c:v>1230.58</c:v>
                </c:pt>
                <c:pt idx="4206">
                  <c:v>1230.4931999999999</c:v>
                </c:pt>
                <c:pt idx="4207">
                  <c:v>1230.4000000000001</c:v>
                </c:pt>
                <c:pt idx="4208">
                  <c:v>1230.4000000000001</c:v>
                </c:pt>
                <c:pt idx="4209">
                  <c:v>1230.1080360000001</c:v>
                </c:pt>
                <c:pt idx="4210">
                  <c:v>1230.1080360000001</c:v>
                </c:pt>
                <c:pt idx="4211">
                  <c:v>1230.0597339999999</c:v>
                </c:pt>
                <c:pt idx="4212">
                  <c:v>1229.933</c:v>
                </c:pt>
                <c:pt idx="4213">
                  <c:v>1229.5999999999999</c:v>
                </c:pt>
                <c:pt idx="4214">
                  <c:v>1229.5985350000001</c:v>
                </c:pt>
                <c:pt idx="4215">
                  <c:v>1229.417353</c:v>
                </c:pt>
                <c:pt idx="4216">
                  <c:v>1229.373</c:v>
                </c:pt>
                <c:pt idx="4217">
                  <c:v>1229.2948140000001</c:v>
                </c:pt>
                <c:pt idx="4218">
                  <c:v>1229.1162019999999</c:v>
                </c:pt>
                <c:pt idx="4219">
                  <c:v>1228.9280000000001</c:v>
                </c:pt>
                <c:pt idx="4220">
                  <c:v>1228.8030000000001</c:v>
                </c:pt>
                <c:pt idx="4221">
                  <c:v>1228.8</c:v>
                </c:pt>
                <c:pt idx="4222">
                  <c:v>1228.631312</c:v>
                </c:pt>
                <c:pt idx="4223">
                  <c:v>1228.380496</c:v>
                </c:pt>
                <c:pt idx="4224">
                  <c:v>1228.380496</c:v>
                </c:pt>
                <c:pt idx="4225">
                  <c:v>1228.318411</c:v>
                </c:pt>
                <c:pt idx="4226">
                  <c:v>1228.287151</c:v>
                </c:pt>
                <c:pt idx="4227">
                  <c:v>1228.1418860000001</c:v>
                </c:pt>
                <c:pt idx="4228">
                  <c:v>1228.0848169999999</c:v>
                </c:pt>
                <c:pt idx="4229">
                  <c:v>1228.0709999999999</c:v>
                </c:pt>
                <c:pt idx="4230">
                  <c:v>1228.048935</c:v>
                </c:pt>
                <c:pt idx="4231">
                  <c:v>1228</c:v>
                </c:pt>
                <c:pt idx="4232">
                  <c:v>1228</c:v>
                </c:pt>
                <c:pt idx="4233">
                  <c:v>1227.8969999999999</c:v>
                </c:pt>
                <c:pt idx="4234">
                  <c:v>1227.421</c:v>
                </c:pt>
                <c:pt idx="4235">
                  <c:v>1227.3469640000001</c:v>
                </c:pt>
                <c:pt idx="4236">
                  <c:v>1227.3453010000001</c:v>
                </c:pt>
                <c:pt idx="4237">
                  <c:v>1227.2909999999999</c:v>
                </c:pt>
                <c:pt idx="4238">
                  <c:v>1227.2</c:v>
                </c:pt>
                <c:pt idx="4239">
                  <c:v>1226.9960000000001</c:v>
                </c:pt>
                <c:pt idx="4240">
                  <c:v>1226.9570000000001</c:v>
                </c:pt>
                <c:pt idx="4241">
                  <c:v>1226.9441830000001</c:v>
                </c:pt>
                <c:pt idx="4242">
                  <c:v>1226.8473710000001</c:v>
                </c:pt>
                <c:pt idx="4243">
                  <c:v>1226.7781</c:v>
                </c:pt>
                <c:pt idx="4244">
                  <c:v>1226.4000000000001</c:v>
                </c:pt>
                <c:pt idx="4245">
                  <c:v>1226.4000000000001</c:v>
                </c:pt>
                <c:pt idx="4246">
                  <c:v>1226.4000000000001</c:v>
                </c:pt>
                <c:pt idx="4247">
                  <c:v>1226.4000000000001</c:v>
                </c:pt>
                <c:pt idx="4248">
                  <c:v>1226.4000000000001</c:v>
                </c:pt>
                <c:pt idx="4249">
                  <c:v>1226.4000000000001</c:v>
                </c:pt>
                <c:pt idx="4250">
                  <c:v>1226.0084489999999</c:v>
                </c:pt>
                <c:pt idx="4251">
                  <c:v>1225.8162990000001</c:v>
                </c:pt>
                <c:pt idx="4252">
                  <c:v>1225.7739999999999</c:v>
                </c:pt>
                <c:pt idx="4253">
                  <c:v>1225.6263610000001</c:v>
                </c:pt>
                <c:pt idx="4254">
                  <c:v>1225.5999999999999</c:v>
                </c:pt>
                <c:pt idx="4255">
                  <c:v>1225.5999999999999</c:v>
                </c:pt>
                <c:pt idx="4256">
                  <c:v>1225.5999999999999</c:v>
                </c:pt>
                <c:pt idx="4257">
                  <c:v>1225.5999999999999</c:v>
                </c:pt>
                <c:pt idx="4258">
                  <c:v>1225.4110000000001</c:v>
                </c:pt>
                <c:pt idx="4259">
                  <c:v>1225.3763309999999</c:v>
                </c:pt>
                <c:pt idx="4260">
                  <c:v>1225.2732490000001</c:v>
                </c:pt>
                <c:pt idx="4261">
                  <c:v>1225.231511</c:v>
                </c:pt>
                <c:pt idx="4262">
                  <c:v>1224.9459999999999</c:v>
                </c:pt>
                <c:pt idx="4263">
                  <c:v>1224.916684</c:v>
                </c:pt>
                <c:pt idx="4264">
                  <c:v>1224.8009999999999</c:v>
                </c:pt>
                <c:pt idx="4265">
                  <c:v>1224.8</c:v>
                </c:pt>
                <c:pt idx="4266">
                  <c:v>1224.5440000000001</c:v>
                </c:pt>
                <c:pt idx="4267">
                  <c:v>1224.4359999999999</c:v>
                </c:pt>
                <c:pt idx="4268">
                  <c:v>1224.2460000000001</c:v>
                </c:pt>
                <c:pt idx="4269">
                  <c:v>1223.972407</c:v>
                </c:pt>
                <c:pt idx="4270">
                  <c:v>1223.3853120000001</c:v>
                </c:pt>
                <c:pt idx="4271">
                  <c:v>1223.2</c:v>
                </c:pt>
                <c:pt idx="4272">
                  <c:v>1223.2</c:v>
                </c:pt>
                <c:pt idx="4273">
                  <c:v>1223.2</c:v>
                </c:pt>
                <c:pt idx="4274">
                  <c:v>1222.75</c:v>
                </c:pt>
                <c:pt idx="4275">
                  <c:v>1222.738439</c:v>
                </c:pt>
                <c:pt idx="4276">
                  <c:v>1222.683</c:v>
                </c:pt>
                <c:pt idx="4277">
                  <c:v>1222.599633</c:v>
                </c:pt>
                <c:pt idx="4278">
                  <c:v>1222.5105129999999</c:v>
                </c:pt>
                <c:pt idx="4279">
                  <c:v>1222.4000000000001</c:v>
                </c:pt>
                <c:pt idx="4280">
                  <c:v>1222.4000000000001</c:v>
                </c:pt>
                <c:pt idx="4281">
                  <c:v>1222.4000000000001</c:v>
                </c:pt>
                <c:pt idx="4282">
                  <c:v>1222.4000000000001</c:v>
                </c:pt>
                <c:pt idx="4283">
                  <c:v>1222.4000000000001</c:v>
                </c:pt>
                <c:pt idx="4284">
                  <c:v>1222.3979999999999</c:v>
                </c:pt>
                <c:pt idx="4285">
                  <c:v>1222.2850000000001</c:v>
                </c:pt>
                <c:pt idx="4286">
                  <c:v>1222.1237590000001</c:v>
                </c:pt>
                <c:pt idx="4287">
                  <c:v>1221.9349999999999</c:v>
                </c:pt>
                <c:pt idx="4288">
                  <c:v>1221.837857</c:v>
                </c:pt>
                <c:pt idx="4289">
                  <c:v>1221.698731</c:v>
                </c:pt>
                <c:pt idx="4290">
                  <c:v>1221.629653</c:v>
                </c:pt>
                <c:pt idx="4291">
                  <c:v>1221.5999999999999</c:v>
                </c:pt>
                <c:pt idx="4292">
                  <c:v>1221.3716939999999</c:v>
                </c:pt>
                <c:pt idx="4293">
                  <c:v>1221.129146</c:v>
                </c:pt>
                <c:pt idx="4294">
                  <c:v>1220.8327650000001</c:v>
                </c:pt>
                <c:pt idx="4295">
                  <c:v>1220.8</c:v>
                </c:pt>
                <c:pt idx="4296">
                  <c:v>1220.8</c:v>
                </c:pt>
                <c:pt idx="4297">
                  <c:v>1220.569882</c:v>
                </c:pt>
                <c:pt idx="4298">
                  <c:v>1220.1199999999999</c:v>
                </c:pt>
                <c:pt idx="4299">
                  <c:v>1220.0358759999999</c:v>
                </c:pt>
                <c:pt idx="4300">
                  <c:v>1220</c:v>
                </c:pt>
                <c:pt idx="4301">
                  <c:v>1220</c:v>
                </c:pt>
                <c:pt idx="4302">
                  <c:v>1220</c:v>
                </c:pt>
                <c:pt idx="4303">
                  <c:v>1220</c:v>
                </c:pt>
                <c:pt idx="4304">
                  <c:v>1219.8369459999999</c:v>
                </c:pt>
                <c:pt idx="4305">
                  <c:v>1219.569</c:v>
                </c:pt>
                <c:pt idx="4306">
                  <c:v>1219.223</c:v>
                </c:pt>
                <c:pt idx="4307">
                  <c:v>1219.2</c:v>
                </c:pt>
                <c:pt idx="4308">
                  <c:v>1219.2</c:v>
                </c:pt>
                <c:pt idx="4309">
                  <c:v>1219.057094</c:v>
                </c:pt>
                <c:pt idx="4310">
                  <c:v>1218.7566509999999</c:v>
                </c:pt>
                <c:pt idx="4311">
                  <c:v>1218.646</c:v>
                </c:pt>
                <c:pt idx="4312">
                  <c:v>1218.566538</c:v>
                </c:pt>
                <c:pt idx="4313">
                  <c:v>1218.473</c:v>
                </c:pt>
                <c:pt idx="4314">
                  <c:v>1218.4000000000001</c:v>
                </c:pt>
                <c:pt idx="4315">
                  <c:v>1218.2390680000001</c:v>
                </c:pt>
                <c:pt idx="4316">
                  <c:v>1218.1369749999999</c:v>
                </c:pt>
                <c:pt idx="4317">
                  <c:v>1218.021131</c:v>
                </c:pt>
                <c:pt idx="4318">
                  <c:v>1217.8030000000001</c:v>
                </c:pt>
                <c:pt idx="4319">
                  <c:v>1217.705772</c:v>
                </c:pt>
                <c:pt idx="4320">
                  <c:v>1217.5999999999999</c:v>
                </c:pt>
                <c:pt idx="4321">
                  <c:v>1217.5999999999999</c:v>
                </c:pt>
                <c:pt idx="4322">
                  <c:v>1217.5999999999999</c:v>
                </c:pt>
                <c:pt idx="4323">
                  <c:v>1217.5980239999999</c:v>
                </c:pt>
                <c:pt idx="4324">
                  <c:v>1217.422</c:v>
                </c:pt>
                <c:pt idx="4325">
                  <c:v>1217.4079999999999</c:v>
                </c:pt>
                <c:pt idx="4326">
                  <c:v>1217.285611</c:v>
                </c:pt>
                <c:pt idx="4327">
                  <c:v>1217.285611</c:v>
                </c:pt>
                <c:pt idx="4328">
                  <c:v>1217.1597999999999</c:v>
                </c:pt>
                <c:pt idx="4329">
                  <c:v>1217.1189999999999</c:v>
                </c:pt>
                <c:pt idx="4330">
                  <c:v>1216.9308779999999</c:v>
                </c:pt>
                <c:pt idx="4331">
                  <c:v>1216.8483229999999</c:v>
                </c:pt>
                <c:pt idx="4332">
                  <c:v>1216.839702</c:v>
                </c:pt>
                <c:pt idx="4333">
                  <c:v>1216.8</c:v>
                </c:pt>
                <c:pt idx="4334">
                  <c:v>1216.685191</c:v>
                </c:pt>
                <c:pt idx="4335">
                  <c:v>1216.588</c:v>
                </c:pt>
                <c:pt idx="4336">
                  <c:v>1216.4359999999999</c:v>
                </c:pt>
                <c:pt idx="4337">
                  <c:v>1216.2943580000001</c:v>
                </c:pt>
                <c:pt idx="4338">
                  <c:v>1216.2943580000001</c:v>
                </c:pt>
                <c:pt idx="4339">
                  <c:v>1216</c:v>
                </c:pt>
                <c:pt idx="4340">
                  <c:v>1216</c:v>
                </c:pt>
                <c:pt idx="4341">
                  <c:v>1216</c:v>
                </c:pt>
                <c:pt idx="4342">
                  <c:v>1216</c:v>
                </c:pt>
                <c:pt idx="4343">
                  <c:v>1215.909269</c:v>
                </c:pt>
                <c:pt idx="4344">
                  <c:v>1215.6980000000001</c:v>
                </c:pt>
                <c:pt idx="4345">
                  <c:v>1215.644</c:v>
                </c:pt>
                <c:pt idx="4346">
                  <c:v>1215.603674</c:v>
                </c:pt>
                <c:pt idx="4347">
                  <c:v>1215.603674</c:v>
                </c:pt>
                <c:pt idx="4348">
                  <c:v>1215.461</c:v>
                </c:pt>
                <c:pt idx="4349">
                  <c:v>1215.295218</c:v>
                </c:pt>
                <c:pt idx="4350">
                  <c:v>1215.2</c:v>
                </c:pt>
                <c:pt idx="4351">
                  <c:v>1215.1489999999999</c:v>
                </c:pt>
                <c:pt idx="4352">
                  <c:v>1215.1313150000001</c:v>
                </c:pt>
                <c:pt idx="4353">
                  <c:v>1215.089164</c:v>
                </c:pt>
                <c:pt idx="4354">
                  <c:v>1215.0790509999999</c:v>
                </c:pt>
                <c:pt idx="4355">
                  <c:v>1214.924</c:v>
                </c:pt>
                <c:pt idx="4356">
                  <c:v>1214.8869999999999</c:v>
                </c:pt>
                <c:pt idx="4357">
                  <c:v>1214.49</c:v>
                </c:pt>
                <c:pt idx="4358">
                  <c:v>1214.4000000000001</c:v>
                </c:pt>
                <c:pt idx="4359">
                  <c:v>1214.4000000000001</c:v>
                </c:pt>
                <c:pt idx="4360">
                  <c:v>1214.4000000000001</c:v>
                </c:pt>
                <c:pt idx="4361">
                  <c:v>1214.3543770000001</c:v>
                </c:pt>
                <c:pt idx="4362">
                  <c:v>1214.343531</c:v>
                </c:pt>
                <c:pt idx="4363">
                  <c:v>1214.229</c:v>
                </c:pt>
                <c:pt idx="4364">
                  <c:v>1214.1890000000001</c:v>
                </c:pt>
                <c:pt idx="4365">
                  <c:v>1214.1310000000001</c:v>
                </c:pt>
                <c:pt idx="4366">
                  <c:v>1213.9294420000001</c:v>
                </c:pt>
                <c:pt idx="4367">
                  <c:v>1213.9100000000001</c:v>
                </c:pt>
                <c:pt idx="4368">
                  <c:v>1213.663</c:v>
                </c:pt>
                <c:pt idx="4369">
                  <c:v>1213.608011</c:v>
                </c:pt>
                <c:pt idx="4370">
                  <c:v>1213.5999999999999</c:v>
                </c:pt>
                <c:pt idx="4371">
                  <c:v>1213.5999999999999</c:v>
                </c:pt>
                <c:pt idx="4372">
                  <c:v>1212.9849999999999</c:v>
                </c:pt>
                <c:pt idx="4373">
                  <c:v>1212.9090000000001</c:v>
                </c:pt>
                <c:pt idx="4374">
                  <c:v>1212.8409389999999</c:v>
                </c:pt>
                <c:pt idx="4375">
                  <c:v>1212.806294</c:v>
                </c:pt>
                <c:pt idx="4376">
                  <c:v>1212.806</c:v>
                </c:pt>
                <c:pt idx="4377">
                  <c:v>1212.8</c:v>
                </c:pt>
                <c:pt idx="4378">
                  <c:v>1212.8</c:v>
                </c:pt>
                <c:pt idx="4379">
                  <c:v>1212.52</c:v>
                </c:pt>
                <c:pt idx="4380">
                  <c:v>1212.443</c:v>
                </c:pt>
                <c:pt idx="4381">
                  <c:v>1212.066994</c:v>
                </c:pt>
                <c:pt idx="4382">
                  <c:v>1212</c:v>
                </c:pt>
                <c:pt idx="4383">
                  <c:v>1212</c:v>
                </c:pt>
                <c:pt idx="4384">
                  <c:v>1212</c:v>
                </c:pt>
                <c:pt idx="4385">
                  <c:v>1212</c:v>
                </c:pt>
                <c:pt idx="4386">
                  <c:v>1211.748795</c:v>
                </c:pt>
                <c:pt idx="4387">
                  <c:v>1211.742</c:v>
                </c:pt>
                <c:pt idx="4388">
                  <c:v>1211.6653180000001</c:v>
                </c:pt>
                <c:pt idx="4389">
                  <c:v>1211.4595710000001</c:v>
                </c:pt>
                <c:pt idx="4390">
                  <c:v>1211.3920000000001</c:v>
                </c:pt>
                <c:pt idx="4391">
                  <c:v>1211.363165</c:v>
                </c:pt>
                <c:pt idx="4392">
                  <c:v>1211.2</c:v>
                </c:pt>
                <c:pt idx="4393">
                  <c:v>1211.2</c:v>
                </c:pt>
                <c:pt idx="4394">
                  <c:v>1211.2</c:v>
                </c:pt>
                <c:pt idx="4395">
                  <c:v>1211.2</c:v>
                </c:pt>
                <c:pt idx="4396">
                  <c:v>1211.0640000000001</c:v>
                </c:pt>
                <c:pt idx="4397">
                  <c:v>1210.9692809999999</c:v>
                </c:pt>
                <c:pt idx="4398">
                  <c:v>1210.7688869999999</c:v>
                </c:pt>
                <c:pt idx="4399">
                  <c:v>1210.665931</c:v>
                </c:pt>
                <c:pt idx="4400">
                  <c:v>1210.4000000000001</c:v>
                </c:pt>
                <c:pt idx="4401">
                  <c:v>1210.4000000000001</c:v>
                </c:pt>
                <c:pt idx="4402">
                  <c:v>1209.8620000000001</c:v>
                </c:pt>
                <c:pt idx="4403">
                  <c:v>1209.6927479999999</c:v>
                </c:pt>
                <c:pt idx="4404">
                  <c:v>1209.6763289999999</c:v>
                </c:pt>
                <c:pt idx="4405">
                  <c:v>1209.5999999999999</c:v>
                </c:pt>
                <c:pt idx="4406">
                  <c:v>1209.5908549999999</c:v>
                </c:pt>
                <c:pt idx="4407">
                  <c:v>1209.1948910000001</c:v>
                </c:pt>
                <c:pt idx="4408">
                  <c:v>1209.1400000000001</c:v>
                </c:pt>
                <c:pt idx="4409">
                  <c:v>1209.0329999999999</c:v>
                </c:pt>
                <c:pt idx="4410">
                  <c:v>1208.9970000000001</c:v>
                </c:pt>
                <c:pt idx="4411">
                  <c:v>1208.9158090000001</c:v>
                </c:pt>
                <c:pt idx="4412">
                  <c:v>1208.8</c:v>
                </c:pt>
                <c:pt idx="4413">
                  <c:v>1208.752579</c:v>
                </c:pt>
                <c:pt idx="4414">
                  <c:v>1208.6634770000001</c:v>
                </c:pt>
                <c:pt idx="4415">
                  <c:v>1208.6277669999999</c:v>
                </c:pt>
                <c:pt idx="4416">
                  <c:v>1208.3058309999999</c:v>
                </c:pt>
                <c:pt idx="4417">
                  <c:v>1208.082553</c:v>
                </c:pt>
                <c:pt idx="4418">
                  <c:v>1208</c:v>
                </c:pt>
                <c:pt idx="4419">
                  <c:v>1207.723851</c:v>
                </c:pt>
                <c:pt idx="4420">
                  <c:v>1207.43894</c:v>
                </c:pt>
                <c:pt idx="4421">
                  <c:v>1207.315468</c:v>
                </c:pt>
                <c:pt idx="4422">
                  <c:v>1207.2</c:v>
                </c:pt>
                <c:pt idx="4423">
                  <c:v>1207.2</c:v>
                </c:pt>
                <c:pt idx="4424">
                  <c:v>1207.2</c:v>
                </c:pt>
                <c:pt idx="4425">
                  <c:v>1207.2</c:v>
                </c:pt>
                <c:pt idx="4426">
                  <c:v>1207.1420000000001</c:v>
                </c:pt>
                <c:pt idx="4427">
                  <c:v>1207.0350000000001</c:v>
                </c:pt>
                <c:pt idx="4428">
                  <c:v>1206.988331</c:v>
                </c:pt>
                <c:pt idx="4429">
                  <c:v>1206.845</c:v>
                </c:pt>
                <c:pt idx="4430">
                  <c:v>1206.68003</c:v>
                </c:pt>
                <c:pt idx="4431">
                  <c:v>1206.672057</c:v>
                </c:pt>
                <c:pt idx="4432">
                  <c:v>1206.6247840000001</c:v>
                </c:pt>
                <c:pt idx="4433">
                  <c:v>1206.4887759999999</c:v>
                </c:pt>
                <c:pt idx="4434">
                  <c:v>1206.4887759999999</c:v>
                </c:pt>
                <c:pt idx="4435">
                  <c:v>1206.4000000000001</c:v>
                </c:pt>
                <c:pt idx="4436">
                  <c:v>1206.4000000000001</c:v>
                </c:pt>
                <c:pt idx="4437">
                  <c:v>1206.4000000000001</c:v>
                </c:pt>
                <c:pt idx="4438">
                  <c:v>1206.2529999999999</c:v>
                </c:pt>
                <c:pt idx="4439">
                  <c:v>1206.2528110000001</c:v>
                </c:pt>
                <c:pt idx="4440">
                  <c:v>1206.2139999999999</c:v>
                </c:pt>
                <c:pt idx="4441">
                  <c:v>1205.890932</c:v>
                </c:pt>
                <c:pt idx="4442">
                  <c:v>1205.6918880000001</c:v>
                </c:pt>
                <c:pt idx="4443">
                  <c:v>1205.5409999999999</c:v>
                </c:pt>
                <c:pt idx="4444">
                  <c:v>1205.406962</c:v>
                </c:pt>
                <c:pt idx="4445">
                  <c:v>1205.3969999999999</c:v>
                </c:pt>
                <c:pt idx="4446">
                  <c:v>1204.9136140000001</c:v>
                </c:pt>
                <c:pt idx="4447">
                  <c:v>1204.8</c:v>
                </c:pt>
                <c:pt idx="4448">
                  <c:v>1204.8</c:v>
                </c:pt>
                <c:pt idx="4449">
                  <c:v>1204.8</c:v>
                </c:pt>
                <c:pt idx="4450">
                  <c:v>1204.7817709999999</c:v>
                </c:pt>
                <c:pt idx="4451">
                  <c:v>1204.6634300000001</c:v>
                </c:pt>
                <c:pt idx="4452">
                  <c:v>1204.4443510000001</c:v>
                </c:pt>
                <c:pt idx="4453">
                  <c:v>1204</c:v>
                </c:pt>
                <c:pt idx="4454">
                  <c:v>1204</c:v>
                </c:pt>
                <c:pt idx="4455">
                  <c:v>1204</c:v>
                </c:pt>
                <c:pt idx="4456">
                  <c:v>1204</c:v>
                </c:pt>
                <c:pt idx="4457">
                  <c:v>1203.9159999999999</c:v>
                </c:pt>
                <c:pt idx="4458">
                  <c:v>1203.862048</c:v>
                </c:pt>
                <c:pt idx="4459">
                  <c:v>1203.8265140000001</c:v>
                </c:pt>
                <c:pt idx="4460">
                  <c:v>1203.653116</c:v>
                </c:pt>
                <c:pt idx="4461">
                  <c:v>1203.4772419999999</c:v>
                </c:pt>
                <c:pt idx="4462">
                  <c:v>1203.4772419999999</c:v>
                </c:pt>
                <c:pt idx="4463">
                  <c:v>1203.2</c:v>
                </c:pt>
                <c:pt idx="4464">
                  <c:v>1203.2</c:v>
                </c:pt>
                <c:pt idx="4465">
                  <c:v>1203.1990000000001</c:v>
                </c:pt>
                <c:pt idx="4466">
                  <c:v>1203.113979</c:v>
                </c:pt>
                <c:pt idx="4467">
                  <c:v>1203.0899999999999</c:v>
                </c:pt>
                <c:pt idx="4468">
                  <c:v>1203.0277699999999</c:v>
                </c:pt>
                <c:pt idx="4469">
                  <c:v>1202.7820750000001</c:v>
                </c:pt>
                <c:pt idx="4470">
                  <c:v>1202.5043350000001</c:v>
                </c:pt>
                <c:pt idx="4471">
                  <c:v>1202.4000000000001</c:v>
                </c:pt>
                <c:pt idx="4472">
                  <c:v>1202.4000000000001</c:v>
                </c:pt>
                <c:pt idx="4473">
                  <c:v>1202.3589469999999</c:v>
                </c:pt>
                <c:pt idx="4474">
                  <c:v>1202.3440000000001</c:v>
                </c:pt>
                <c:pt idx="4475">
                  <c:v>1201.789996</c:v>
                </c:pt>
                <c:pt idx="4476">
                  <c:v>1201.789996</c:v>
                </c:pt>
                <c:pt idx="4477">
                  <c:v>1201.671</c:v>
                </c:pt>
                <c:pt idx="4478">
                  <c:v>1201.5999999999999</c:v>
                </c:pt>
                <c:pt idx="4479">
                  <c:v>1201.5999999999999</c:v>
                </c:pt>
                <c:pt idx="4480">
                  <c:v>1201.421756</c:v>
                </c:pt>
                <c:pt idx="4481">
                  <c:v>1201.146428</c:v>
                </c:pt>
                <c:pt idx="4482">
                  <c:v>1201.1400000000001</c:v>
                </c:pt>
                <c:pt idx="4483">
                  <c:v>1201.115</c:v>
                </c:pt>
                <c:pt idx="4484">
                  <c:v>1201.095</c:v>
                </c:pt>
                <c:pt idx="4485">
                  <c:v>1200.8853529999999</c:v>
                </c:pt>
                <c:pt idx="4486">
                  <c:v>1200.8</c:v>
                </c:pt>
                <c:pt idx="4487">
                  <c:v>1200.8</c:v>
                </c:pt>
                <c:pt idx="4488">
                  <c:v>1200.8</c:v>
                </c:pt>
                <c:pt idx="4489">
                  <c:v>1200.8</c:v>
                </c:pt>
                <c:pt idx="4490">
                  <c:v>1200.7722670000001</c:v>
                </c:pt>
                <c:pt idx="4491">
                  <c:v>1200.7083479999999</c:v>
                </c:pt>
                <c:pt idx="4492">
                  <c:v>1200.5920000000001</c:v>
                </c:pt>
                <c:pt idx="4493">
                  <c:v>1200.5889999999999</c:v>
                </c:pt>
                <c:pt idx="4494">
                  <c:v>1200.408629</c:v>
                </c:pt>
                <c:pt idx="4495">
                  <c:v>1200.3686499999999</c:v>
                </c:pt>
                <c:pt idx="4496">
                  <c:v>1200.255564</c:v>
                </c:pt>
                <c:pt idx="4497">
                  <c:v>1200.1949999999999</c:v>
                </c:pt>
                <c:pt idx="4498">
                  <c:v>1200.115</c:v>
                </c:pt>
                <c:pt idx="4499">
                  <c:v>1200.1136710000001</c:v>
                </c:pt>
                <c:pt idx="4500">
                  <c:v>1200</c:v>
                </c:pt>
                <c:pt idx="4501">
                  <c:v>1199.6331299999999</c:v>
                </c:pt>
                <c:pt idx="4502">
                  <c:v>1199.592551</c:v>
                </c:pt>
                <c:pt idx="4503">
                  <c:v>1199.3167820000001</c:v>
                </c:pt>
                <c:pt idx="4504">
                  <c:v>1199.3167820000001</c:v>
                </c:pt>
                <c:pt idx="4505">
                  <c:v>1199.2249999999999</c:v>
                </c:pt>
                <c:pt idx="4506">
                  <c:v>1199.2</c:v>
                </c:pt>
                <c:pt idx="4507">
                  <c:v>1199.2</c:v>
                </c:pt>
                <c:pt idx="4508">
                  <c:v>1199.2</c:v>
                </c:pt>
                <c:pt idx="4509">
                  <c:v>1199.056615</c:v>
                </c:pt>
                <c:pt idx="4510">
                  <c:v>1198.9713340000001</c:v>
                </c:pt>
                <c:pt idx="4511">
                  <c:v>1198.89761</c:v>
                </c:pt>
                <c:pt idx="4512">
                  <c:v>1198.815613</c:v>
                </c:pt>
                <c:pt idx="4513">
                  <c:v>1198.4000000000001</c:v>
                </c:pt>
                <c:pt idx="4514">
                  <c:v>1198.4000000000001</c:v>
                </c:pt>
                <c:pt idx="4515">
                  <c:v>1198.3800000000001</c:v>
                </c:pt>
                <c:pt idx="4516">
                  <c:v>1198.336577</c:v>
                </c:pt>
                <c:pt idx="4517">
                  <c:v>1198.16209</c:v>
                </c:pt>
                <c:pt idx="4518">
                  <c:v>1198.1207899999999</c:v>
                </c:pt>
                <c:pt idx="4519">
                  <c:v>1198.058</c:v>
                </c:pt>
                <c:pt idx="4520">
                  <c:v>1198.038675</c:v>
                </c:pt>
                <c:pt idx="4521">
                  <c:v>1198.038675</c:v>
                </c:pt>
                <c:pt idx="4522">
                  <c:v>1197.79</c:v>
                </c:pt>
                <c:pt idx="4523">
                  <c:v>1197.3029610000001</c:v>
                </c:pt>
                <c:pt idx="4524">
                  <c:v>1197.261737</c:v>
                </c:pt>
                <c:pt idx="4525">
                  <c:v>1196.9072000000001</c:v>
                </c:pt>
                <c:pt idx="4526">
                  <c:v>1196.8</c:v>
                </c:pt>
                <c:pt idx="4527">
                  <c:v>1196.8</c:v>
                </c:pt>
                <c:pt idx="4528">
                  <c:v>1196.4828560000001</c:v>
                </c:pt>
                <c:pt idx="4529">
                  <c:v>1196.467907</c:v>
                </c:pt>
                <c:pt idx="4530">
                  <c:v>1196.422</c:v>
                </c:pt>
                <c:pt idx="4531">
                  <c:v>1196.191</c:v>
                </c:pt>
                <c:pt idx="4532">
                  <c:v>1196.1436550000001</c:v>
                </c:pt>
                <c:pt idx="4533">
                  <c:v>1196.1292289999999</c:v>
                </c:pt>
                <c:pt idx="4534">
                  <c:v>1196</c:v>
                </c:pt>
                <c:pt idx="4535">
                  <c:v>1196</c:v>
                </c:pt>
                <c:pt idx="4536">
                  <c:v>1196</c:v>
                </c:pt>
                <c:pt idx="4537">
                  <c:v>1195.9680000000001</c:v>
                </c:pt>
                <c:pt idx="4538">
                  <c:v>1195.667301</c:v>
                </c:pt>
                <c:pt idx="4539">
                  <c:v>1195.5738409999999</c:v>
                </c:pt>
                <c:pt idx="4540">
                  <c:v>1195.5738409999999</c:v>
                </c:pt>
                <c:pt idx="4541">
                  <c:v>1195.4363000000001</c:v>
                </c:pt>
                <c:pt idx="4542">
                  <c:v>1195.22001</c:v>
                </c:pt>
                <c:pt idx="4543">
                  <c:v>1195.2</c:v>
                </c:pt>
                <c:pt idx="4544">
                  <c:v>1195.2</c:v>
                </c:pt>
                <c:pt idx="4545">
                  <c:v>1195.2</c:v>
                </c:pt>
                <c:pt idx="4546">
                  <c:v>1194.7439999999999</c:v>
                </c:pt>
                <c:pt idx="4547">
                  <c:v>1194.513641</c:v>
                </c:pt>
                <c:pt idx="4548">
                  <c:v>1194.461</c:v>
                </c:pt>
                <c:pt idx="4549">
                  <c:v>1194.4000000000001</c:v>
                </c:pt>
                <c:pt idx="4550">
                  <c:v>1194.4000000000001</c:v>
                </c:pt>
                <c:pt idx="4551">
                  <c:v>1194.4000000000001</c:v>
                </c:pt>
                <c:pt idx="4552">
                  <c:v>1193.866125</c:v>
                </c:pt>
                <c:pt idx="4553">
                  <c:v>1193.7385650000001</c:v>
                </c:pt>
                <c:pt idx="4554">
                  <c:v>1193.7080000000001</c:v>
                </c:pt>
                <c:pt idx="4555">
                  <c:v>1193.5999999999999</c:v>
                </c:pt>
                <c:pt idx="4556">
                  <c:v>1193.5999999999999</c:v>
                </c:pt>
                <c:pt idx="4557">
                  <c:v>1193.2138110000001</c:v>
                </c:pt>
                <c:pt idx="4558">
                  <c:v>1193.172</c:v>
                </c:pt>
                <c:pt idx="4559">
                  <c:v>1193.029</c:v>
                </c:pt>
                <c:pt idx="4560">
                  <c:v>1192.8111060000001</c:v>
                </c:pt>
                <c:pt idx="4561">
                  <c:v>1192.7734869999999</c:v>
                </c:pt>
                <c:pt idx="4562">
                  <c:v>1192.6798759999999</c:v>
                </c:pt>
                <c:pt idx="4563">
                  <c:v>1192.4164270000001</c:v>
                </c:pt>
                <c:pt idx="4564">
                  <c:v>1192.4069999999999</c:v>
                </c:pt>
                <c:pt idx="4565">
                  <c:v>1192.2620119999999</c:v>
                </c:pt>
                <c:pt idx="4566">
                  <c:v>1192</c:v>
                </c:pt>
                <c:pt idx="4567">
                  <c:v>1192</c:v>
                </c:pt>
                <c:pt idx="4568">
                  <c:v>1192</c:v>
                </c:pt>
                <c:pt idx="4569">
                  <c:v>1192</c:v>
                </c:pt>
                <c:pt idx="4570">
                  <c:v>1191.895</c:v>
                </c:pt>
                <c:pt idx="4571">
                  <c:v>1191.823169</c:v>
                </c:pt>
                <c:pt idx="4572">
                  <c:v>1191.5871749999999</c:v>
                </c:pt>
                <c:pt idx="4573">
                  <c:v>1191.5781509999999</c:v>
                </c:pt>
                <c:pt idx="4574">
                  <c:v>1191.2751969999999</c:v>
                </c:pt>
                <c:pt idx="4575">
                  <c:v>1191.2</c:v>
                </c:pt>
                <c:pt idx="4576">
                  <c:v>1191.2</c:v>
                </c:pt>
                <c:pt idx="4577">
                  <c:v>1191.1579999999999</c:v>
                </c:pt>
                <c:pt idx="4578">
                  <c:v>1191.0820000000001</c:v>
                </c:pt>
                <c:pt idx="4579">
                  <c:v>1190.5629289999999</c:v>
                </c:pt>
                <c:pt idx="4580">
                  <c:v>1190.56</c:v>
                </c:pt>
                <c:pt idx="4581">
                  <c:v>1190.482</c:v>
                </c:pt>
                <c:pt idx="4582">
                  <c:v>1190.4000000000001</c:v>
                </c:pt>
                <c:pt idx="4583">
                  <c:v>1190.4000000000001</c:v>
                </c:pt>
                <c:pt idx="4584">
                  <c:v>1190.0713699999999</c:v>
                </c:pt>
                <c:pt idx="4585">
                  <c:v>1189.8148859999999</c:v>
                </c:pt>
                <c:pt idx="4586">
                  <c:v>1189.754124</c:v>
                </c:pt>
                <c:pt idx="4587">
                  <c:v>1189.6099999999999</c:v>
                </c:pt>
                <c:pt idx="4588">
                  <c:v>1189.5999999999999</c:v>
                </c:pt>
                <c:pt idx="4589">
                  <c:v>1189.5999999999999</c:v>
                </c:pt>
                <c:pt idx="4590">
                  <c:v>1189.5999999999999</c:v>
                </c:pt>
                <c:pt idx="4591">
                  <c:v>1189.5999999999999</c:v>
                </c:pt>
                <c:pt idx="4592">
                  <c:v>1189.5999999999999</c:v>
                </c:pt>
                <c:pt idx="4593">
                  <c:v>1189.3358499999999</c:v>
                </c:pt>
                <c:pt idx="4594">
                  <c:v>1189.1388480000001</c:v>
                </c:pt>
                <c:pt idx="4595">
                  <c:v>1188.8</c:v>
                </c:pt>
                <c:pt idx="4596">
                  <c:v>1188.8</c:v>
                </c:pt>
                <c:pt idx="4597">
                  <c:v>1188.6670019999999</c:v>
                </c:pt>
                <c:pt idx="4598">
                  <c:v>1188.5309</c:v>
                </c:pt>
                <c:pt idx="4599">
                  <c:v>1188.3884559999999</c:v>
                </c:pt>
                <c:pt idx="4600">
                  <c:v>1188.2180000000001</c:v>
                </c:pt>
                <c:pt idx="4601">
                  <c:v>1188</c:v>
                </c:pt>
                <c:pt idx="4602">
                  <c:v>1187.9384789999999</c:v>
                </c:pt>
                <c:pt idx="4603">
                  <c:v>1187.86481</c:v>
                </c:pt>
                <c:pt idx="4604">
                  <c:v>1187.86481</c:v>
                </c:pt>
                <c:pt idx="4605">
                  <c:v>1187.4639999999999</c:v>
                </c:pt>
                <c:pt idx="4606">
                  <c:v>1187.2856340000001</c:v>
                </c:pt>
                <c:pt idx="4607">
                  <c:v>1187.2</c:v>
                </c:pt>
                <c:pt idx="4608">
                  <c:v>1187.1292900000001</c:v>
                </c:pt>
                <c:pt idx="4609">
                  <c:v>1187.0498560000001</c:v>
                </c:pt>
                <c:pt idx="4610">
                  <c:v>1186.9604790000001</c:v>
                </c:pt>
                <c:pt idx="4611">
                  <c:v>1186.7149569999999</c:v>
                </c:pt>
                <c:pt idx="4612">
                  <c:v>1186.586317</c:v>
                </c:pt>
                <c:pt idx="4613">
                  <c:v>1186.4000000000001</c:v>
                </c:pt>
                <c:pt idx="4614">
                  <c:v>1186.3937699999999</c:v>
                </c:pt>
                <c:pt idx="4615">
                  <c:v>1186.1300000000001</c:v>
                </c:pt>
                <c:pt idx="4616">
                  <c:v>1186.075</c:v>
                </c:pt>
                <c:pt idx="4617">
                  <c:v>1185.904266</c:v>
                </c:pt>
                <c:pt idx="4618">
                  <c:v>1185.808</c:v>
                </c:pt>
                <c:pt idx="4619">
                  <c:v>1185.7689</c:v>
                </c:pt>
                <c:pt idx="4620">
                  <c:v>1185.424</c:v>
                </c:pt>
                <c:pt idx="4621">
                  <c:v>1185.2800609999999</c:v>
                </c:pt>
                <c:pt idx="4622">
                  <c:v>1185.275744</c:v>
                </c:pt>
                <c:pt idx="4623">
                  <c:v>1185.213583</c:v>
                </c:pt>
                <c:pt idx="4624">
                  <c:v>1185.1469999999999</c:v>
                </c:pt>
                <c:pt idx="4625">
                  <c:v>1185.0607689999999</c:v>
                </c:pt>
                <c:pt idx="4626">
                  <c:v>1184.972794</c:v>
                </c:pt>
                <c:pt idx="4627">
                  <c:v>1184.972794</c:v>
                </c:pt>
                <c:pt idx="4628">
                  <c:v>1184.972794</c:v>
                </c:pt>
                <c:pt idx="4629">
                  <c:v>1184.8307259999999</c:v>
                </c:pt>
                <c:pt idx="4630">
                  <c:v>1184.8307259999999</c:v>
                </c:pt>
                <c:pt idx="4631">
                  <c:v>1184.8307259999999</c:v>
                </c:pt>
                <c:pt idx="4632">
                  <c:v>1184.8</c:v>
                </c:pt>
                <c:pt idx="4633">
                  <c:v>1184.8</c:v>
                </c:pt>
                <c:pt idx="4634">
                  <c:v>1184.4607370000001</c:v>
                </c:pt>
                <c:pt idx="4635">
                  <c:v>1184.217682</c:v>
                </c:pt>
                <c:pt idx="4636">
                  <c:v>1184.1872100000001</c:v>
                </c:pt>
                <c:pt idx="4637">
                  <c:v>1184.1872100000001</c:v>
                </c:pt>
                <c:pt idx="4638">
                  <c:v>1184</c:v>
                </c:pt>
                <c:pt idx="4639">
                  <c:v>1184</c:v>
                </c:pt>
                <c:pt idx="4640">
                  <c:v>1183.914</c:v>
                </c:pt>
                <c:pt idx="4641">
                  <c:v>1183.5940000000001</c:v>
                </c:pt>
                <c:pt idx="4642">
                  <c:v>1183.4516900000001</c:v>
                </c:pt>
                <c:pt idx="4643">
                  <c:v>1183.22</c:v>
                </c:pt>
                <c:pt idx="4644">
                  <c:v>1183.2</c:v>
                </c:pt>
                <c:pt idx="4645">
                  <c:v>1183.2</c:v>
                </c:pt>
                <c:pt idx="4646">
                  <c:v>1183.2</c:v>
                </c:pt>
                <c:pt idx="4647">
                  <c:v>1182.9588920000001</c:v>
                </c:pt>
                <c:pt idx="4648">
                  <c:v>1182.912</c:v>
                </c:pt>
                <c:pt idx="4649">
                  <c:v>1182.818</c:v>
                </c:pt>
                <c:pt idx="4650">
                  <c:v>1182.742833</c:v>
                </c:pt>
                <c:pt idx="4651">
                  <c:v>1182.6569999999999</c:v>
                </c:pt>
                <c:pt idx="4652">
                  <c:v>1182.509</c:v>
                </c:pt>
                <c:pt idx="4653">
                  <c:v>1182.4000000000001</c:v>
                </c:pt>
                <c:pt idx="4654">
                  <c:v>1182.4000000000001</c:v>
                </c:pt>
                <c:pt idx="4655">
                  <c:v>1182.4000000000001</c:v>
                </c:pt>
                <c:pt idx="4656">
                  <c:v>1182.4000000000001</c:v>
                </c:pt>
                <c:pt idx="4657">
                  <c:v>1182.365</c:v>
                </c:pt>
                <c:pt idx="4658">
                  <c:v>1182.3610000000001</c:v>
                </c:pt>
                <c:pt idx="4659">
                  <c:v>1181.98065</c:v>
                </c:pt>
                <c:pt idx="4660">
                  <c:v>1181.98065</c:v>
                </c:pt>
                <c:pt idx="4661">
                  <c:v>1181.7601629999999</c:v>
                </c:pt>
                <c:pt idx="4662">
                  <c:v>1181.6469999999999</c:v>
                </c:pt>
                <c:pt idx="4663">
                  <c:v>1181.5999999999999</c:v>
                </c:pt>
                <c:pt idx="4664">
                  <c:v>1181.242</c:v>
                </c:pt>
                <c:pt idx="4665">
                  <c:v>1181.19</c:v>
                </c:pt>
                <c:pt idx="4666">
                  <c:v>1181.115</c:v>
                </c:pt>
                <c:pt idx="4667">
                  <c:v>1181.088473</c:v>
                </c:pt>
                <c:pt idx="4668">
                  <c:v>1180.9460349999999</c:v>
                </c:pt>
                <c:pt idx="4669">
                  <c:v>1180.8</c:v>
                </c:pt>
                <c:pt idx="4670">
                  <c:v>1180.8</c:v>
                </c:pt>
                <c:pt idx="4671">
                  <c:v>1180.8</c:v>
                </c:pt>
                <c:pt idx="4672">
                  <c:v>1180.8</c:v>
                </c:pt>
                <c:pt idx="4673">
                  <c:v>1180.5096100000001</c:v>
                </c:pt>
                <c:pt idx="4674">
                  <c:v>1180.5096100000001</c:v>
                </c:pt>
                <c:pt idx="4675">
                  <c:v>1180.3882920000001</c:v>
                </c:pt>
                <c:pt idx="4676">
                  <c:v>1180.2871150000001</c:v>
                </c:pt>
                <c:pt idx="4677">
                  <c:v>1180</c:v>
                </c:pt>
                <c:pt idx="4678">
                  <c:v>1179.908267</c:v>
                </c:pt>
                <c:pt idx="4679">
                  <c:v>1179.7740899999999</c:v>
                </c:pt>
                <c:pt idx="4680">
                  <c:v>1179.7249999999999</c:v>
                </c:pt>
                <c:pt idx="4681">
                  <c:v>1179.392159</c:v>
                </c:pt>
                <c:pt idx="4682">
                  <c:v>1179.363118</c:v>
                </c:pt>
                <c:pt idx="4683">
                  <c:v>1179.346569</c:v>
                </c:pt>
                <c:pt idx="4684">
                  <c:v>1179.2550000000001</c:v>
                </c:pt>
                <c:pt idx="4685">
                  <c:v>1179.2</c:v>
                </c:pt>
                <c:pt idx="4686">
                  <c:v>1179.2</c:v>
                </c:pt>
                <c:pt idx="4687">
                  <c:v>1179.2</c:v>
                </c:pt>
                <c:pt idx="4688">
                  <c:v>1179.0385699999999</c:v>
                </c:pt>
                <c:pt idx="4689">
                  <c:v>1178.997427</c:v>
                </c:pt>
                <c:pt idx="4690">
                  <c:v>1178.58647</c:v>
                </c:pt>
                <c:pt idx="4691">
                  <c:v>1178.5</c:v>
                </c:pt>
                <c:pt idx="4692">
                  <c:v>1178.4928729999999</c:v>
                </c:pt>
                <c:pt idx="4693">
                  <c:v>1178.4000000000001</c:v>
                </c:pt>
                <c:pt idx="4694">
                  <c:v>1178.4000000000001</c:v>
                </c:pt>
                <c:pt idx="4695">
                  <c:v>1178.3599999999999</c:v>
                </c:pt>
                <c:pt idx="4696">
                  <c:v>1178.306744</c:v>
                </c:pt>
                <c:pt idx="4697">
                  <c:v>1178.106</c:v>
                </c:pt>
                <c:pt idx="4698">
                  <c:v>1178.021714</c:v>
                </c:pt>
                <c:pt idx="4699">
                  <c:v>1177.8008</c:v>
                </c:pt>
                <c:pt idx="4700">
                  <c:v>1177.8001380000001</c:v>
                </c:pt>
                <c:pt idx="4701">
                  <c:v>1177.6160600000001</c:v>
                </c:pt>
                <c:pt idx="4702">
                  <c:v>1177.56753</c:v>
                </c:pt>
                <c:pt idx="4703">
                  <c:v>1177.5540000000001</c:v>
                </c:pt>
                <c:pt idx="4704">
                  <c:v>1177.4915739999999</c:v>
                </c:pt>
                <c:pt idx="4705">
                  <c:v>1177.061344</c:v>
                </c:pt>
                <c:pt idx="4706">
                  <c:v>1176.8399999999999</c:v>
                </c:pt>
                <c:pt idx="4707">
                  <c:v>1176.8320100000001</c:v>
                </c:pt>
                <c:pt idx="4708">
                  <c:v>1176.8107809999999</c:v>
                </c:pt>
                <c:pt idx="4709">
                  <c:v>1176.8</c:v>
                </c:pt>
                <c:pt idx="4710">
                  <c:v>1176.8</c:v>
                </c:pt>
                <c:pt idx="4711">
                  <c:v>1176.8</c:v>
                </c:pt>
                <c:pt idx="4712">
                  <c:v>1176.8</c:v>
                </c:pt>
                <c:pt idx="4713">
                  <c:v>1176.7038700000001</c:v>
                </c:pt>
                <c:pt idx="4714">
                  <c:v>1176.207024</c:v>
                </c:pt>
                <c:pt idx="4715">
                  <c:v>1176.039383</c:v>
                </c:pt>
                <c:pt idx="4716">
                  <c:v>1176</c:v>
                </c:pt>
                <c:pt idx="4717">
                  <c:v>1175.7929999999999</c:v>
                </c:pt>
                <c:pt idx="4718">
                  <c:v>1175.5440080000001</c:v>
                </c:pt>
                <c:pt idx="4719">
                  <c:v>1175.3720029999999</c:v>
                </c:pt>
                <c:pt idx="4720">
                  <c:v>1175.229</c:v>
                </c:pt>
                <c:pt idx="4721">
                  <c:v>1175.2</c:v>
                </c:pt>
                <c:pt idx="4722">
                  <c:v>1175.2</c:v>
                </c:pt>
                <c:pt idx="4723">
                  <c:v>1175.0536219999999</c:v>
                </c:pt>
                <c:pt idx="4724">
                  <c:v>1175.0134370000001</c:v>
                </c:pt>
                <c:pt idx="4725">
                  <c:v>1174.97333</c:v>
                </c:pt>
                <c:pt idx="4726">
                  <c:v>1174.7928890000001</c:v>
                </c:pt>
                <c:pt idx="4727">
                  <c:v>1174.6208529999999</c:v>
                </c:pt>
                <c:pt idx="4728">
                  <c:v>1174.613247</c:v>
                </c:pt>
                <c:pt idx="4729">
                  <c:v>1174.613247</c:v>
                </c:pt>
                <c:pt idx="4730">
                  <c:v>1174.5986339999999</c:v>
                </c:pt>
                <c:pt idx="4731">
                  <c:v>1174.144912</c:v>
                </c:pt>
                <c:pt idx="4732">
                  <c:v>1173.953591</c:v>
                </c:pt>
                <c:pt idx="4733">
                  <c:v>1173.817</c:v>
                </c:pt>
                <c:pt idx="4734">
                  <c:v>1173.8163589999999</c:v>
                </c:pt>
                <c:pt idx="4735">
                  <c:v>1173.776515</c:v>
                </c:pt>
                <c:pt idx="4736">
                  <c:v>1173.5999999999999</c:v>
                </c:pt>
                <c:pt idx="4737">
                  <c:v>1173.3200059999999</c:v>
                </c:pt>
                <c:pt idx="4738">
                  <c:v>1173.1220000000001</c:v>
                </c:pt>
                <c:pt idx="4739">
                  <c:v>1172.8320000000001</c:v>
                </c:pt>
                <c:pt idx="4740">
                  <c:v>1172.8</c:v>
                </c:pt>
                <c:pt idx="4741">
                  <c:v>1172.8</c:v>
                </c:pt>
                <c:pt idx="4742">
                  <c:v>1172.399715</c:v>
                </c:pt>
                <c:pt idx="4743">
                  <c:v>1172.2624269999999</c:v>
                </c:pt>
                <c:pt idx="4744">
                  <c:v>1172.039</c:v>
                </c:pt>
                <c:pt idx="4745">
                  <c:v>1172</c:v>
                </c:pt>
                <c:pt idx="4746">
                  <c:v>1172</c:v>
                </c:pt>
                <c:pt idx="4747">
                  <c:v>1171.973</c:v>
                </c:pt>
                <c:pt idx="4748">
                  <c:v>1171.9502339999999</c:v>
                </c:pt>
                <c:pt idx="4749">
                  <c:v>1171.847</c:v>
                </c:pt>
                <c:pt idx="4750">
                  <c:v>1171.691595</c:v>
                </c:pt>
                <c:pt idx="4751">
                  <c:v>1171.3489999999999</c:v>
                </c:pt>
                <c:pt idx="4752">
                  <c:v>1171.326</c:v>
                </c:pt>
                <c:pt idx="4753">
                  <c:v>1171.2</c:v>
                </c:pt>
                <c:pt idx="4754">
                  <c:v>1171.0899999999999</c:v>
                </c:pt>
                <c:pt idx="4755">
                  <c:v>1171.0840000000001</c:v>
                </c:pt>
                <c:pt idx="4756">
                  <c:v>1170.7092210000001</c:v>
                </c:pt>
                <c:pt idx="4757">
                  <c:v>1170.6288059999999</c:v>
                </c:pt>
                <c:pt idx="4758">
                  <c:v>1170.5984779999999</c:v>
                </c:pt>
                <c:pt idx="4759">
                  <c:v>1170.4000000000001</c:v>
                </c:pt>
                <c:pt idx="4760">
                  <c:v>1170.314574</c:v>
                </c:pt>
                <c:pt idx="4761">
                  <c:v>1170.2123300000001</c:v>
                </c:pt>
                <c:pt idx="4762">
                  <c:v>1170.2102010000001</c:v>
                </c:pt>
                <c:pt idx="4763">
                  <c:v>1169.848</c:v>
                </c:pt>
                <c:pt idx="4764">
                  <c:v>1169.5999999999999</c:v>
                </c:pt>
                <c:pt idx="4765">
                  <c:v>1169.5999999999999</c:v>
                </c:pt>
                <c:pt idx="4766">
                  <c:v>1169.5999999999999</c:v>
                </c:pt>
                <c:pt idx="4767">
                  <c:v>1169.5999999999999</c:v>
                </c:pt>
                <c:pt idx="4768">
                  <c:v>1169.1853599999999</c:v>
                </c:pt>
                <c:pt idx="4769">
                  <c:v>1169.049</c:v>
                </c:pt>
                <c:pt idx="4770">
                  <c:v>1168.8</c:v>
                </c:pt>
                <c:pt idx="4771">
                  <c:v>1168.8</c:v>
                </c:pt>
                <c:pt idx="4772">
                  <c:v>1168.8</c:v>
                </c:pt>
                <c:pt idx="4773">
                  <c:v>1168.674293</c:v>
                </c:pt>
                <c:pt idx="4774">
                  <c:v>1168.515024</c:v>
                </c:pt>
                <c:pt idx="4775">
                  <c:v>1168.4459999999999</c:v>
                </c:pt>
                <c:pt idx="4776">
                  <c:v>1168.196858</c:v>
                </c:pt>
                <c:pt idx="4777">
                  <c:v>1168.124</c:v>
                </c:pt>
                <c:pt idx="4778">
                  <c:v>1168.0450000000001</c:v>
                </c:pt>
                <c:pt idx="4779">
                  <c:v>1168</c:v>
                </c:pt>
                <c:pt idx="4780">
                  <c:v>1168</c:v>
                </c:pt>
                <c:pt idx="4781">
                  <c:v>1168</c:v>
                </c:pt>
                <c:pt idx="4782">
                  <c:v>1167.9464849999999</c:v>
                </c:pt>
                <c:pt idx="4783">
                  <c:v>1167.854</c:v>
                </c:pt>
                <c:pt idx="4784">
                  <c:v>1167.7750000000001</c:v>
                </c:pt>
                <c:pt idx="4785">
                  <c:v>1167.746588</c:v>
                </c:pt>
                <c:pt idx="4786">
                  <c:v>1167.432</c:v>
                </c:pt>
                <c:pt idx="4787">
                  <c:v>1167.329</c:v>
                </c:pt>
                <c:pt idx="4788">
                  <c:v>1167.2</c:v>
                </c:pt>
                <c:pt idx="4789">
                  <c:v>1167.2</c:v>
                </c:pt>
                <c:pt idx="4790">
                  <c:v>1167.2</c:v>
                </c:pt>
                <c:pt idx="4791">
                  <c:v>1167.2</c:v>
                </c:pt>
                <c:pt idx="4792">
                  <c:v>1166.93118</c:v>
                </c:pt>
                <c:pt idx="4793">
                  <c:v>1166.9010000000001</c:v>
                </c:pt>
                <c:pt idx="4794">
                  <c:v>1166.4259999999999</c:v>
                </c:pt>
                <c:pt idx="4795">
                  <c:v>1166.42</c:v>
                </c:pt>
                <c:pt idx="4796">
                  <c:v>1166.4000000000001</c:v>
                </c:pt>
                <c:pt idx="4797">
                  <c:v>1166.299</c:v>
                </c:pt>
                <c:pt idx="4798">
                  <c:v>1166.2254250000001</c:v>
                </c:pt>
                <c:pt idx="4799">
                  <c:v>1166.1959999999999</c:v>
                </c:pt>
                <c:pt idx="4800">
                  <c:v>1165.9822059999999</c:v>
                </c:pt>
                <c:pt idx="4801">
                  <c:v>1165.874433</c:v>
                </c:pt>
                <c:pt idx="4802">
                  <c:v>1165.874433</c:v>
                </c:pt>
                <c:pt idx="4803">
                  <c:v>1165.5999999999999</c:v>
                </c:pt>
                <c:pt idx="4804">
                  <c:v>1165.5999999999999</c:v>
                </c:pt>
                <c:pt idx="4805">
                  <c:v>1165.5999999999999</c:v>
                </c:pt>
                <c:pt idx="4806">
                  <c:v>1165.5999999999999</c:v>
                </c:pt>
                <c:pt idx="4807">
                  <c:v>1165.4075949999999</c:v>
                </c:pt>
                <c:pt idx="4808">
                  <c:v>1165.374</c:v>
                </c:pt>
                <c:pt idx="4809">
                  <c:v>1165.297624</c:v>
                </c:pt>
                <c:pt idx="4810">
                  <c:v>1165.210513</c:v>
                </c:pt>
                <c:pt idx="4811">
                  <c:v>1165.183749</c:v>
                </c:pt>
                <c:pt idx="4812">
                  <c:v>1165.1310000000001</c:v>
                </c:pt>
                <c:pt idx="4813">
                  <c:v>1165.06369</c:v>
                </c:pt>
                <c:pt idx="4814">
                  <c:v>1165.0505889999999</c:v>
                </c:pt>
                <c:pt idx="4815">
                  <c:v>1164.8</c:v>
                </c:pt>
                <c:pt idx="4816">
                  <c:v>1164.8</c:v>
                </c:pt>
                <c:pt idx="4817">
                  <c:v>1164.6709169999999</c:v>
                </c:pt>
                <c:pt idx="4818">
                  <c:v>1164.55609</c:v>
                </c:pt>
                <c:pt idx="4819">
                  <c:v>1164.4743550000001</c:v>
                </c:pt>
                <c:pt idx="4820">
                  <c:v>1164.4580000000001</c:v>
                </c:pt>
                <c:pt idx="4821">
                  <c:v>1164.387931</c:v>
                </c:pt>
                <c:pt idx="4822">
                  <c:v>1164.32817</c:v>
                </c:pt>
                <c:pt idx="4823">
                  <c:v>1164.32817</c:v>
                </c:pt>
                <c:pt idx="4824">
                  <c:v>1164.32817</c:v>
                </c:pt>
                <c:pt idx="4825">
                  <c:v>1163.901077</c:v>
                </c:pt>
                <c:pt idx="4826">
                  <c:v>1163.6389999999999</c:v>
                </c:pt>
                <c:pt idx="4827">
                  <c:v>1163.5669069999999</c:v>
                </c:pt>
                <c:pt idx="4828">
                  <c:v>1163.2</c:v>
                </c:pt>
                <c:pt idx="4829">
                  <c:v>1163.2</c:v>
                </c:pt>
                <c:pt idx="4830">
                  <c:v>1163.1116979999999</c:v>
                </c:pt>
                <c:pt idx="4831">
                  <c:v>1162.8571300000001</c:v>
                </c:pt>
                <c:pt idx="4832">
                  <c:v>1162.8571300000001</c:v>
                </c:pt>
                <c:pt idx="4833">
                  <c:v>1162.794611</c:v>
                </c:pt>
                <c:pt idx="4834">
                  <c:v>1162.7326849999999</c:v>
                </c:pt>
                <c:pt idx="4835">
                  <c:v>1162.659924</c:v>
                </c:pt>
                <c:pt idx="4836">
                  <c:v>1162.556</c:v>
                </c:pt>
                <c:pt idx="4837">
                  <c:v>1162.552244</c:v>
                </c:pt>
                <c:pt idx="4838">
                  <c:v>1162.4000000000001</c:v>
                </c:pt>
                <c:pt idx="4839">
                  <c:v>1162.4000000000001</c:v>
                </c:pt>
                <c:pt idx="4840">
                  <c:v>1162.384</c:v>
                </c:pt>
                <c:pt idx="4841">
                  <c:v>1162.3773000000001</c:v>
                </c:pt>
                <c:pt idx="4842">
                  <c:v>1162.2995189999999</c:v>
                </c:pt>
                <c:pt idx="4843">
                  <c:v>1162.2995189999999</c:v>
                </c:pt>
                <c:pt idx="4844">
                  <c:v>1162.25</c:v>
                </c:pt>
                <c:pt idx="4845">
                  <c:v>1162.174</c:v>
                </c:pt>
                <c:pt idx="4846">
                  <c:v>1162.1216099999999</c:v>
                </c:pt>
                <c:pt idx="4847">
                  <c:v>1162.0940000000001</c:v>
                </c:pt>
                <c:pt idx="4848">
                  <c:v>1161.9639999999999</c:v>
                </c:pt>
                <c:pt idx="4849">
                  <c:v>1161.7339999999999</c:v>
                </c:pt>
                <c:pt idx="4850">
                  <c:v>1161.5999999999999</c:v>
                </c:pt>
                <c:pt idx="4851">
                  <c:v>1161.3383670000001</c:v>
                </c:pt>
                <c:pt idx="4852">
                  <c:v>1161.248</c:v>
                </c:pt>
                <c:pt idx="4853">
                  <c:v>1161.104</c:v>
                </c:pt>
                <c:pt idx="4854">
                  <c:v>1161.0930000000001</c:v>
                </c:pt>
                <c:pt idx="4855">
                  <c:v>1161.0830000000001</c:v>
                </c:pt>
                <c:pt idx="4856">
                  <c:v>1161.066147</c:v>
                </c:pt>
                <c:pt idx="4857">
                  <c:v>1161.038</c:v>
                </c:pt>
                <c:pt idx="4858">
                  <c:v>1160.8</c:v>
                </c:pt>
                <c:pt idx="4859">
                  <c:v>1160.598972</c:v>
                </c:pt>
                <c:pt idx="4860">
                  <c:v>1160.505727</c:v>
                </c:pt>
                <c:pt idx="4861">
                  <c:v>1160.348962</c:v>
                </c:pt>
                <c:pt idx="4862">
                  <c:v>1160.2692589999999</c:v>
                </c:pt>
                <c:pt idx="4863">
                  <c:v>1159.9559999999999</c:v>
                </c:pt>
                <c:pt idx="4864">
                  <c:v>1159.838</c:v>
                </c:pt>
                <c:pt idx="4865">
                  <c:v>1159.81</c:v>
                </c:pt>
                <c:pt idx="4866">
                  <c:v>1159.539998</c:v>
                </c:pt>
                <c:pt idx="4867">
                  <c:v>1159.2</c:v>
                </c:pt>
                <c:pt idx="4868">
                  <c:v>1159.2</c:v>
                </c:pt>
                <c:pt idx="4869">
                  <c:v>1158.633</c:v>
                </c:pt>
                <c:pt idx="4870">
                  <c:v>1158.511</c:v>
                </c:pt>
                <c:pt idx="4871">
                  <c:v>1158.4440099999999</c:v>
                </c:pt>
                <c:pt idx="4872">
                  <c:v>1158.4000000000001</c:v>
                </c:pt>
                <c:pt idx="4873">
                  <c:v>1158.4000000000001</c:v>
                </c:pt>
                <c:pt idx="4874">
                  <c:v>1158.3900000000001</c:v>
                </c:pt>
                <c:pt idx="4875">
                  <c:v>1158.27691</c:v>
                </c:pt>
                <c:pt idx="4876">
                  <c:v>1158.27691</c:v>
                </c:pt>
                <c:pt idx="4877">
                  <c:v>1157.63789</c:v>
                </c:pt>
                <c:pt idx="4878">
                  <c:v>1157.5999999999999</c:v>
                </c:pt>
                <c:pt idx="4879">
                  <c:v>1157.229296</c:v>
                </c:pt>
                <c:pt idx="4880">
                  <c:v>1157.200981</c:v>
                </c:pt>
                <c:pt idx="4881">
                  <c:v>1157.0817059999999</c:v>
                </c:pt>
                <c:pt idx="4882">
                  <c:v>1156.9559770000001</c:v>
                </c:pt>
                <c:pt idx="4883">
                  <c:v>1156.895542</c:v>
                </c:pt>
                <c:pt idx="4884">
                  <c:v>1156.895542</c:v>
                </c:pt>
                <c:pt idx="4885">
                  <c:v>1156.838</c:v>
                </c:pt>
                <c:pt idx="4886">
                  <c:v>1156.8</c:v>
                </c:pt>
                <c:pt idx="4887">
                  <c:v>1156.5170000000001</c:v>
                </c:pt>
                <c:pt idx="4888">
                  <c:v>1156.3257120000001</c:v>
                </c:pt>
                <c:pt idx="4889">
                  <c:v>1156</c:v>
                </c:pt>
                <c:pt idx="4890">
                  <c:v>1156</c:v>
                </c:pt>
                <c:pt idx="4891">
                  <c:v>1155.7249999999999</c:v>
                </c:pt>
                <c:pt idx="4892">
                  <c:v>1155.714473</c:v>
                </c:pt>
                <c:pt idx="4893">
                  <c:v>1155.5019299999999</c:v>
                </c:pt>
                <c:pt idx="4894">
                  <c:v>1155.338</c:v>
                </c:pt>
                <c:pt idx="4895">
                  <c:v>1155.298669</c:v>
                </c:pt>
                <c:pt idx="4896">
                  <c:v>1155.2</c:v>
                </c:pt>
                <c:pt idx="4897">
                  <c:v>1155.2</c:v>
                </c:pt>
                <c:pt idx="4898">
                  <c:v>1154.806</c:v>
                </c:pt>
                <c:pt idx="4899">
                  <c:v>1154.7758060000001</c:v>
                </c:pt>
                <c:pt idx="4900">
                  <c:v>1154.6910419999999</c:v>
                </c:pt>
                <c:pt idx="4901">
                  <c:v>1154.132807</c:v>
                </c:pt>
                <c:pt idx="4902">
                  <c:v>1154.132807</c:v>
                </c:pt>
                <c:pt idx="4903">
                  <c:v>1154.0047219999999</c:v>
                </c:pt>
                <c:pt idx="4904">
                  <c:v>1153.9649139999999</c:v>
                </c:pt>
                <c:pt idx="4905">
                  <c:v>1153.5999999999999</c:v>
                </c:pt>
                <c:pt idx="4906">
                  <c:v>1153.519</c:v>
                </c:pt>
                <c:pt idx="4907">
                  <c:v>1153.4100000000001</c:v>
                </c:pt>
                <c:pt idx="4908">
                  <c:v>1153.367</c:v>
                </c:pt>
                <c:pt idx="4909">
                  <c:v>1153.1951550000001</c:v>
                </c:pt>
                <c:pt idx="4910">
                  <c:v>1152.9762599999999</c:v>
                </c:pt>
                <c:pt idx="4911">
                  <c:v>1152.8</c:v>
                </c:pt>
                <c:pt idx="4912">
                  <c:v>1152.8</c:v>
                </c:pt>
                <c:pt idx="4913">
                  <c:v>1152.8</c:v>
                </c:pt>
                <c:pt idx="4914">
                  <c:v>1152.652</c:v>
                </c:pt>
                <c:pt idx="4915">
                  <c:v>1152</c:v>
                </c:pt>
                <c:pt idx="4916">
                  <c:v>1152</c:v>
                </c:pt>
                <c:pt idx="4917">
                  <c:v>1151.9371060000001</c:v>
                </c:pt>
                <c:pt idx="4918">
                  <c:v>1151.8243299999999</c:v>
                </c:pt>
                <c:pt idx="4919">
                  <c:v>1151.8243299999999</c:v>
                </c:pt>
                <c:pt idx="4920">
                  <c:v>1151.4369999999999</c:v>
                </c:pt>
                <c:pt idx="4921">
                  <c:v>1151.05</c:v>
                </c:pt>
                <c:pt idx="4922">
                  <c:v>1150.9359999999999</c:v>
                </c:pt>
                <c:pt idx="4923">
                  <c:v>1150.871832</c:v>
                </c:pt>
                <c:pt idx="4924">
                  <c:v>1150.645446</c:v>
                </c:pt>
                <c:pt idx="4925">
                  <c:v>1150.501313</c:v>
                </c:pt>
                <c:pt idx="4926">
                  <c:v>1150.450746</c:v>
                </c:pt>
                <c:pt idx="4927">
                  <c:v>1150.4000000000001</c:v>
                </c:pt>
                <c:pt idx="4928">
                  <c:v>1150.4000000000001</c:v>
                </c:pt>
                <c:pt idx="4929">
                  <c:v>1150.4000000000001</c:v>
                </c:pt>
                <c:pt idx="4930">
                  <c:v>1150.340089</c:v>
                </c:pt>
                <c:pt idx="4931">
                  <c:v>1150.151877</c:v>
                </c:pt>
                <c:pt idx="4932">
                  <c:v>1149.784987</c:v>
                </c:pt>
                <c:pt idx="4933">
                  <c:v>1149.6177700000001</c:v>
                </c:pt>
                <c:pt idx="4934">
                  <c:v>1149.5999999999999</c:v>
                </c:pt>
                <c:pt idx="4935">
                  <c:v>1149.5999999999999</c:v>
                </c:pt>
                <c:pt idx="4936">
                  <c:v>1149.5999999999999</c:v>
                </c:pt>
                <c:pt idx="4937">
                  <c:v>1149.2539879999999</c:v>
                </c:pt>
                <c:pt idx="4938">
                  <c:v>1149.1010000000001</c:v>
                </c:pt>
                <c:pt idx="4939">
                  <c:v>1148.4204890000001</c:v>
                </c:pt>
                <c:pt idx="4940">
                  <c:v>1148.1467299999999</c:v>
                </c:pt>
                <c:pt idx="4941">
                  <c:v>1148.1467299999999</c:v>
                </c:pt>
                <c:pt idx="4942">
                  <c:v>1148.1467299999999</c:v>
                </c:pt>
                <c:pt idx="4943">
                  <c:v>1148</c:v>
                </c:pt>
                <c:pt idx="4944">
                  <c:v>1148</c:v>
                </c:pt>
                <c:pt idx="4945">
                  <c:v>1148</c:v>
                </c:pt>
                <c:pt idx="4946">
                  <c:v>1147.9166520000001</c:v>
                </c:pt>
                <c:pt idx="4947">
                  <c:v>1147.798695</c:v>
                </c:pt>
                <c:pt idx="4948">
                  <c:v>1147.683</c:v>
                </c:pt>
                <c:pt idx="4949">
                  <c:v>1147.537693</c:v>
                </c:pt>
                <c:pt idx="4950">
                  <c:v>1147.5340000000001</c:v>
                </c:pt>
                <c:pt idx="4951">
                  <c:v>1147.5190480000001</c:v>
                </c:pt>
                <c:pt idx="4952">
                  <c:v>1147.41121</c:v>
                </c:pt>
                <c:pt idx="4953">
                  <c:v>1147.409371</c:v>
                </c:pt>
                <c:pt idx="4954">
                  <c:v>1147.3800000000001</c:v>
                </c:pt>
                <c:pt idx="4955">
                  <c:v>1147.3689999999999</c:v>
                </c:pt>
                <c:pt idx="4956">
                  <c:v>1147.2</c:v>
                </c:pt>
                <c:pt idx="4957">
                  <c:v>1147.2</c:v>
                </c:pt>
                <c:pt idx="4958">
                  <c:v>1147.2</c:v>
                </c:pt>
                <c:pt idx="4959">
                  <c:v>1147.17</c:v>
                </c:pt>
                <c:pt idx="4960">
                  <c:v>1147.06711</c:v>
                </c:pt>
                <c:pt idx="4961">
                  <c:v>1147.0150000000001</c:v>
                </c:pt>
                <c:pt idx="4962">
                  <c:v>1146.6969999999999</c:v>
                </c:pt>
                <c:pt idx="4963">
                  <c:v>1146.6690000000001</c:v>
                </c:pt>
                <c:pt idx="4964">
                  <c:v>1146.5831949999999</c:v>
                </c:pt>
                <c:pt idx="4965">
                  <c:v>1146.42</c:v>
                </c:pt>
                <c:pt idx="4966">
                  <c:v>1146.4000000000001</c:v>
                </c:pt>
                <c:pt idx="4967">
                  <c:v>1146.4000000000001</c:v>
                </c:pt>
                <c:pt idx="4968">
                  <c:v>1146.1780000000001</c:v>
                </c:pt>
                <c:pt idx="4969">
                  <c:v>1146.1469999999999</c:v>
                </c:pt>
                <c:pt idx="4970">
                  <c:v>1145.928218</c:v>
                </c:pt>
                <c:pt idx="4971">
                  <c:v>1145.8445999999999</c:v>
                </c:pt>
                <c:pt idx="4972">
                  <c:v>1145.7167440000001</c:v>
                </c:pt>
                <c:pt idx="4973">
                  <c:v>1145.5999999999999</c:v>
                </c:pt>
                <c:pt idx="4974">
                  <c:v>1145.5999999999999</c:v>
                </c:pt>
                <c:pt idx="4975">
                  <c:v>1145.5999999999999</c:v>
                </c:pt>
                <c:pt idx="4976">
                  <c:v>1145.5301179999999</c:v>
                </c:pt>
                <c:pt idx="4977">
                  <c:v>1145.153916</c:v>
                </c:pt>
                <c:pt idx="4978">
                  <c:v>1144.8</c:v>
                </c:pt>
                <c:pt idx="4979">
                  <c:v>1144.8</c:v>
                </c:pt>
                <c:pt idx="4980">
                  <c:v>1144.8</c:v>
                </c:pt>
                <c:pt idx="4981">
                  <c:v>1144.4632320000001</c:v>
                </c:pt>
                <c:pt idx="4982">
                  <c:v>1144.3566530000001</c:v>
                </c:pt>
                <c:pt idx="4983">
                  <c:v>1144.192391</c:v>
                </c:pt>
                <c:pt idx="4984">
                  <c:v>1144.1679999999999</c:v>
                </c:pt>
                <c:pt idx="4985">
                  <c:v>1144</c:v>
                </c:pt>
                <c:pt idx="4986">
                  <c:v>1143.9860000000001</c:v>
                </c:pt>
                <c:pt idx="4987">
                  <c:v>1143.326188</c:v>
                </c:pt>
                <c:pt idx="4988">
                  <c:v>1143.278</c:v>
                </c:pt>
                <c:pt idx="4989">
                  <c:v>1143.21884</c:v>
                </c:pt>
                <c:pt idx="4990">
                  <c:v>1143.1930030000001</c:v>
                </c:pt>
                <c:pt idx="4991">
                  <c:v>1143.1279999999999</c:v>
                </c:pt>
                <c:pt idx="4992">
                  <c:v>1142.5534379999999</c:v>
                </c:pt>
                <c:pt idx="4993">
                  <c:v>1142.4000000000001</c:v>
                </c:pt>
                <c:pt idx="4994">
                  <c:v>1142.4000000000001</c:v>
                </c:pt>
                <c:pt idx="4995">
                  <c:v>1142.4000000000001</c:v>
                </c:pt>
                <c:pt idx="4996">
                  <c:v>1142.4000000000001</c:v>
                </c:pt>
                <c:pt idx="4997">
                  <c:v>1142.288</c:v>
                </c:pt>
                <c:pt idx="4998">
                  <c:v>1142.2329999999999</c:v>
                </c:pt>
                <c:pt idx="4999">
                  <c:v>1141.815742</c:v>
                </c:pt>
                <c:pt idx="5000">
                  <c:v>1141.7004959999999</c:v>
                </c:pt>
                <c:pt idx="5001">
                  <c:v>1141.5999999999999</c:v>
                </c:pt>
                <c:pt idx="5002">
                  <c:v>1141.587</c:v>
                </c:pt>
                <c:pt idx="5003">
                  <c:v>1141.328391</c:v>
                </c:pt>
                <c:pt idx="5004">
                  <c:v>1141.3221880000001</c:v>
                </c:pt>
                <c:pt idx="5005">
                  <c:v>1141.1439419999999</c:v>
                </c:pt>
                <c:pt idx="5006">
                  <c:v>1141.0098129999999</c:v>
                </c:pt>
                <c:pt idx="5007">
                  <c:v>1141.0098129999999</c:v>
                </c:pt>
                <c:pt idx="5008">
                  <c:v>1140.835</c:v>
                </c:pt>
                <c:pt idx="5009">
                  <c:v>1140.8</c:v>
                </c:pt>
                <c:pt idx="5010">
                  <c:v>1140.5830000000001</c:v>
                </c:pt>
                <c:pt idx="5011">
                  <c:v>1140.384</c:v>
                </c:pt>
                <c:pt idx="5012">
                  <c:v>1140.367688</c:v>
                </c:pt>
                <c:pt idx="5013">
                  <c:v>1140.2509239999999</c:v>
                </c:pt>
                <c:pt idx="5014">
                  <c:v>1140.05601</c:v>
                </c:pt>
                <c:pt idx="5015">
                  <c:v>1140</c:v>
                </c:pt>
                <c:pt idx="5016">
                  <c:v>1140</c:v>
                </c:pt>
                <c:pt idx="5017">
                  <c:v>1140</c:v>
                </c:pt>
                <c:pt idx="5018">
                  <c:v>1139.749</c:v>
                </c:pt>
                <c:pt idx="5019">
                  <c:v>1139.53622</c:v>
                </c:pt>
                <c:pt idx="5020">
                  <c:v>1139.46</c:v>
                </c:pt>
                <c:pt idx="5021">
                  <c:v>1139.3330000000001</c:v>
                </c:pt>
                <c:pt idx="5022">
                  <c:v>1139.3204900000001</c:v>
                </c:pt>
                <c:pt idx="5023">
                  <c:v>1139.2</c:v>
                </c:pt>
                <c:pt idx="5024">
                  <c:v>1139.2</c:v>
                </c:pt>
                <c:pt idx="5025">
                  <c:v>1138.5849700000001</c:v>
                </c:pt>
                <c:pt idx="5026">
                  <c:v>1138.419208</c:v>
                </c:pt>
                <c:pt idx="5027">
                  <c:v>1138.4000000000001</c:v>
                </c:pt>
                <c:pt idx="5028">
                  <c:v>1138.4000000000001</c:v>
                </c:pt>
                <c:pt idx="5029">
                  <c:v>1138.269</c:v>
                </c:pt>
                <c:pt idx="5030">
                  <c:v>1138.247077</c:v>
                </c:pt>
                <c:pt idx="5031">
                  <c:v>1138.22</c:v>
                </c:pt>
                <c:pt idx="5032">
                  <c:v>1137.9563889999999</c:v>
                </c:pt>
                <c:pt idx="5033">
                  <c:v>1137.5999999999999</c:v>
                </c:pt>
                <c:pt idx="5034">
                  <c:v>1137.5999999999999</c:v>
                </c:pt>
                <c:pt idx="5035">
                  <c:v>1137.531356</c:v>
                </c:pt>
                <c:pt idx="5036">
                  <c:v>1137.376</c:v>
                </c:pt>
                <c:pt idx="5037">
                  <c:v>1137.1704729999999</c:v>
                </c:pt>
                <c:pt idx="5038">
                  <c:v>1137.11393</c:v>
                </c:pt>
                <c:pt idx="5039">
                  <c:v>1137.0519999999999</c:v>
                </c:pt>
                <c:pt idx="5040">
                  <c:v>1136.8</c:v>
                </c:pt>
                <c:pt idx="5041">
                  <c:v>1136.6099999999999</c:v>
                </c:pt>
                <c:pt idx="5042">
                  <c:v>1136.3974760000001</c:v>
                </c:pt>
                <c:pt idx="5043">
                  <c:v>1136.175025</c:v>
                </c:pt>
                <c:pt idx="5044">
                  <c:v>1136.1375270000001</c:v>
                </c:pt>
                <c:pt idx="5045">
                  <c:v>1135.965719</c:v>
                </c:pt>
                <c:pt idx="5046">
                  <c:v>1135.9000000000001</c:v>
                </c:pt>
                <c:pt idx="5047">
                  <c:v>1135.797</c:v>
                </c:pt>
                <c:pt idx="5048">
                  <c:v>1135.565724</c:v>
                </c:pt>
                <c:pt idx="5049">
                  <c:v>1135.24</c:v>
                </c:pt>
                <c:pt idx="5050">
                  <c:v>1135.2049999999999</c:v>
                </c:pt>
                <c:pt idx="5051">
                  <c:v>1135.2</c:v>
                </c:pt>
                <c:pt idx="5052">
                  <c:v>1135.0278249999999</c:v>
                </c:pt>
                <c:pt idx="5053">
                  <c:v>1134.768836</c:v>
                </c:pt>
                <c:pt idx="5054">
                  <c:v>1134.4000000000001</c:v>
                </c:pt>
                <c:pt idx="5055">
                  <c:v>1134.4000000000001</c:v>
                </c:pt>
                <c:pt idx="5056">
                  <c:v>1134.3734469999999</c:v>
                </c:pt>
                <c:pt idx="5057">
                  <c:v>1134.3300589999999</c:v>
                </c:pt>
                <c:pt idx="5058">
                  <c:v>1134.3297439999999</c:v>
                </c:pt>
                <c:pt idx="5059">
                  <c:v>1134.203</c:v>
                </c:pt>
                <c:pt idx="5060">
                  <c:v>1134.1782860000001</c:v>
                </c:pt>
                <c:pt idx="5061">
                  <c:v>1133.5999999999999</c:v>
                </c:pt>
                <c:pt idx="5062">
                  <c:v>1133.5528059999999</c:v>
                </c:pt>
                <c:pt idx="5063">
                  <c:v>1133.43633</c:v>
                </c:pt>
                <c:pt idx="5064">
                  <c:v>1133.41229</c:v>
                </c:pt>
                <c:pt idx="5065">
                  <c:v>1133.191</c:v>
                </c:pt>
                <c:pt idx="5066">
                  <c:v>1133.17506</c:v>
                </c:pt>
                <c:pt idx="5067">
                  <c:v>1132.840559</c:v>
                </c:pt>
                <c:pt idx="5068">
                  <c:v>1132.8</c:v>
                </c:pt>
                <c:pt idx="5069">
                  <c:v>1132.70081</c:v>
                </c:pt>
                <c:pt idx="5070">
                  <c:v>1132.6777790000001</c:v>
                </c:pt>
                <c:pt idx="5071">
                  <c:v>1132.4639999999999</c:v>
                </c:pt>
                <c:pt idx="5072">
                  <c:v>1132.1776709999999</c:v>
                </c:pt>
                <c:pt idx="5073">
                  <c:v>1132.0129999999999</c:v>
                </c:pt>
                <c:pt idx="5074">
                  <c:v>1132</c:v>
                </c:pt>
                <c:pt idx="5075">
                  <c:v>1132</c:v>
                </c:pt>
                <c:pt idx="5076">
                  <c:v>1131.4816719999999</c:v>
                </c:pt>
                <c:pt idx="5077">
                  <c:v>1131.45</c:v>
                </c:pt>
                <c:pt idx="5078">
                  <c:v>1131.395262</c:v>
                </c:pt>
                <c:pt idx="5079">
                  <c:v>1131.3790730000001</c:v>
                </c:pt>
                <c:pt idx="5080">
                  <c:v>1131.340238</c:v>
                </c:pt>
                <c:pt idx="5081">
                  <c:v>1131.2</c:v>
                </c:pt>
                <c:pt idx="5082">
                  <c:v>1131.2</c:v>
                </c:pt>
                <c:pt idx="5083">
                  <c:v>1131.2</c:v>
                </c:pt>
                <c:pt idx="5084">
                  <c:v>1131.2</c:v>
                </c:pt>
                <c:pt idx="5085">
                  <c:v>1131.076</c:v>
                </c:pt>
                <c:pt idx="5086">
                  <c:v>1131.027</c:v>
                </c:pt>
                <c:pt idx="5087">
                  <c:v>1130.671</c:v>
                </c:pt>
                <c:pt idx="5088">
                  <c:v>1130.6559999999999</c:v>
                </c:pt>
                <c:pt idx="5089">
                  <c:v>1130.468249</c:v>
                </c:pt>
                <c:pt idx="5090">
                  <c:v>1130.4000000000001</c:v>
                </c:pt>
                <c:pt idx="5091">
                  <c:v>1130.3420000000001</c:v>
                </c:pt>
                <c:pt idx="5092">
                  <c:v>1130.2855460000001</c:v>
                </c:pt>
                <c:pt idx="5093">
                  <c:v>1129.8233230000001</c:v>
                </c:pt>
                <c:pt idx="5094">
                  <c:v>1129.5999999999999</c:v>
                </c:pt>
                <c:pt idx="5095">
                  <c:v>1129.088487</c:v>
                </c:pt>
                <c:pt idx="5096">
                  <c:v>1128.928512</c:v>
                </c:pt>
                <c:pt idx="5097">
                  <c:v>1128.8</c:v>
                </c:pt>
                <c:pt idx="5098">
                  <c:v>1128.8</c:v>
                </c:pt>
                <c:pt idx="5099">
                  <c:v>1128.8</c:v>
                </c:pt>
                <c:pt idx="5100">
                  <c:v>1128.8</c:v>
                </c:pt>
                <c:pt idx="5101">
                  <c:v>1128.7455010000001</c:v>
                </c:pt>
                <c:pt idx="5102">
                  <c:v>1128.6052500000001</c:v>
                </c:pt>
                <c:pt idx="5103">
                  <c:v>1128.5775020000001</c:v>
                </c:pt>
                <c:pt idx="5104">
                  <c:v>1128</c:v>
                </c:pt>
                <c:pt idx="5105">
                  <c:v>1128</c:v>
                </c:pt>
                <c:pt idx="5106">
                  <c:v>1128</c:v>
                </c:pt>
                <c:pt idx="5107">
                  <c:v>1127.7874200000001</c:v>
                </c:pt>
                <c:pt idx="5108">
                  <c:v>1127.5968419999999</c:v>
                </c:pt>
                <c:pt idx="5109">
                  <c:v>1127.5521699999999</c:v>
                </c:pt>
                <c:pt idx="5110">
                  <c:v>1127.5521699999999</c:v>
                </c:pt>
                <c:pt idx="5111">
                  <c:v>1127.549</c:v>
                </c:pt>
                <c:pt idx="5112">
                  <c:v>1127.4929999999999</c:v>
                </c:pt>
                <c:pt idx="5113">
                  <c:v>1127.2</c:v>
                </c:pt>
                <c:pt idx="5114">
                  <c:v>1127.2</c:v>
                </c:pt>
                <c:pt idx="5115">
                  <c:v>1127.2</c:v>
                </c:pt>
                <c:pt idx="5116">
                  <c:v>1127.2</c:v>
                </c:pt>
                <c:pt idx="5117">
                  <c:v>1127.2</c:v>
                </c:pt>
                <c:pt idx="5118">
                  <c:v>1127.0150000000001</c:v>
                </c:pt>
                <c:pt idx="5119">
                  <c:v>1126.9880659999999</c:v>
                </c:pt>
                <c:pt idx="5120">
                  <c:v>1126.976625</c:v>
                </c:pt>
                <c:pt idx="5121">
                  <c:v>1126.9695899999999</c:v>
                </c:pt>
                <c:pt idx="5122">
                  <c:v>1126.7999540000001</c:v>
                </c:pt>
                <c:pt idx="5123">
                  <c:v>1126.676436</c:v>
                </c:pt>
                <c:pt idx="5124">
                  <c:v>1126.505451</c:v>
                </c:pt>
                <c:pt idx="5125">
                  <c:v>1126.505451</c:v>
                </c:pt>
                <c:pt idx="5126">
                  <c:v>1126.43</c:v>
                </c:pt>
                <c:pt idx="5127">
                  <c:v>1126.4000000000001</c:v>
                </c:pt>
                <c:pt idx="5128">
                  <c:v>1126.4000000000001</c:v>
                </c:pt>
                <c:pt idx="5129">
                  <c:v>1126.2660000000001</c:v>
                </c:pt>
                <c:pt idx="5130">
                  <c:v>1125.992</c:v>
                </c:pt>
                <c:pt idx="5131">
                  <c:v>1125.8147670000001</c:v>
                </c:pt>
                <c:pt idx="5132">
                  <c:v>1125.5999999999999</c:v>
                </c:pt>
                <c:pt idx="5133">
                  <c:v>1125.5</c:v>
                </c:pt>
                <c:pt idx="5134">
                  <c:v>1125.4880000000001</c:v>
                </c:pt>
                <c:pt idx="5135">
                  <c:v>1125.3410859999999</c:v>
                </c:pt>
                <c:pt idx="5136">
                  <c:v>1125.2370000000001</c:v>
                </c:pt>
                <c:pt idx="5137">
                  <c:v>1125.232769</c:v>
                </c:pt>
                <c:pt idx="5138">
                  <c:v>1124.8</c:v>
                </c:pt>
                <c:pt idx="5139">
                  <c:v>1124.6369999999999</c:v>
                </c:pt>
                <c:pt idx="5140">
                  <c:v>1124.229548</c:v>
                </c:pt>
                <c:pt idx="5141">
                  <c:v>1124.176119</c:v>
                </c:pt>
                <c:pt idx="5142">
                  <c:v>1124</c:v>
                </c:pt>
                <c:pt idx="5143">
                  <c:v>1123.8745699999999</c:v>
                </c:pt>
                <c:pt idx="5144">
                  <c:v>1123.8745699999999</c:v>
                </c:pt>
                <c:pt idx="5145">
                  <c:v>1123.8745699999999</c:v>
                </c:pt>
                <c:pt idx="5146">
                  <c:v>1123.825</c:v>
                </c:pt>
                <c:pt idx="5147">
                  <c:v>1123.750485</c:v>
                </c:pt>
                <c:pt idx="5148">
                  <c:v>1123.4907459999999</c:v>
                </c:pt>
                <c:pt idx="5149">
                  <c:v>1123.163155</c:v>
                </c:pt>
                <c:pt idx="5150">
                  <c:v>1122.815513</c:v>
                </c:pt>
                <c:pt idx="5151">
                  <c:v>1122.777</c:v>
                </c:pt>
                <c:pt idx="5152">
                  <c:v>1122.7750000000001</c:v>
                </c:pt>
                <c:pt idx="5153">
                  <c:v>1122.711</c:v>
                </c:pt>
                <c:pt idx="5154">
                  <c:v>1122.675671</c:v>
                </c:pt>
                <c:pt idx="5155">
                  <c:v>1122.644528</c:v>
                </c:pt>
                <c:pt idx="5156">
                  <c:v>1122.631232</c:v>
                </c:pt>
                <c:pt idx="5157">
                  <c:v>1122.521</c:v>
                </c:pt>
                <c:pt idx="5158">
                  <c:v>1122.40353</c:v>
                </c:pt>
                <c:pt idx="5159">
                  <c:v>1122.4000000000001</c:v>
                </c:pt>
                <c:pt idx="5160">
                  <c:v>1122.4000000000001</c:v>
                </c:pt>
                <c:pt idx="5161">
                  <c:v>1122.4000000000001</c:v>
                </c:pt>
                <c:pt idx="5162">
                  <c:v>1122.361347</c:v>
                </c:pt>
                <c:pt idx="5163">
                  <c:v>1121.898733</c:v>
                </c:pt>
                <c:pt idx="5164">
                  <c:v>1121.6603030000001</c:v>
                </c:pt>
                <c:pt idx="5165">
                  <c:v>1121.5999999999999</c:v>
                </c:pt>
                <c:pt idx="5166">
                  <c:v>1121.5999999999999</c:v>
                </c:pt>
                <c:pt idx="5167">
                  <c:v>1121.5999999999999</c:v>
                </c:pt>
                <c:pt idx="5168">
                  <c:v>1121.5999999999999</c:v>
                </c:pt>
                <c:pt idx="5169">
                  <c:v>1121.5999999999999</c:v>
                </c:pt>
                <c:pt idx="5170">
                  <c:v>1121.586</c:v>
                </c:pt>
                <c:pt idx="5171">
                  <c:v>1121.516091</c:v>
                </c:pt>
                <c:pt idx="5172">
                  <c:v>1121.2717479999999</c:v>
                </c:pt>
                <c:pt idx="5173">
                  <c:v>1121.1221250000001</c:v>
                </c:pt>
                <c:pt idx="5174">
                  <c:v>1120.8</c:v>
                </c:pt>
                <c:pt idx="5175">
                  <c:v>1120.19697</c:v>
                </c:pt>
                <c:pt idx="5176">
                  <c:v>1120.1603339999999</c:v>
                </c:pt>
                <c:pt idx="5177">
                  <c:v>1120.1185740000001</c:v>
                </c:pt>
                <c:pt idx="5178">
                  <c:v>1120</c:v>
                </c:pt>
                <c:pt idx="5179">
                  <c:v>1120</c:v>
                </c:pt>
                <c:pt idx="5180">
                  <c:v>1120</c:v>
                </c:pt>
                <c:pt idx="5181">
                  <c:v>1119.8599999999999</c:v>
                </c:pt>
                <c:pt idx="5182">
                  <c:v>1119.46145</c:v>
                </c:pt>
                <c:pt idx="5183">
                  <c:v>1119.46145</c:v>
                </c:pt>
                <c:pt idx="5184">
                  <c:v>1119.4079999999999</c:v>
                </c:pt>
                <c:pt idx="5185">
                  <c:v>1119.2977969999999</c:v>
                </c:pt>
                <c:pt idx="5186">
                  <c:v>1119.2</c:v>
                </c:pt>
                <c:pt idx="5187">
                  <c:v>1119.0192179999999</c:v>
                </c:pt>
                <c:pt idx="5188">
                  <c:v>1118.791291</c:v>
                </c:pt>
                <c:pt idx="5189">
                  <c:v>1118.789246</c:v>
                </c:pt>
                <c:pt idx="5190">
                  <c:v>1118.7188530000001</c:v>
                </c:pt>
                <c:pt idx="5191">
                  <c:v>1118.58</c:v>
                </c:pt>
                <c:pt idx="5192">
                  <c:v>1118.4000000000001</c:v>
                </c:pt>
                <c:pt idx="5193">
                  <c:v>1118.4000000000001</c:v>
                </c:pt>
                <c:pt idx="5194">
                  <c:v>1118.4000000000001</c:v>
                </c:pt>
                <c:pt idx="5195">
                  <c:v>1118.4000000000001</c:v>
                </c:pt>
                <c:pt idx="5196">
                  <c:v>1118.1697590000001</c:v>
                </c:pt>
                <c:pt idx="5197">
                  <c:v>1118.034183</c:v>
                </c:pt>
                <c:pt idx="5198">
                  <c:v>1117.5999999999999</c:v>
                </c:pt>
                <c:pt idx="5199">
                  <c:v>1117.52656</c:v>
                </c:pt>
                <c:pt idx="5200">
                  <c:v>1117.404</c:v>
                </c:pt>
                <c:pt idx="5201">
                  <c:v>1117.2372949999999</c:v>
                </c:pt>
                <c:pt idx="5202">
                  <c:v>1117.2372949999999</c:v>
                </c:pt>
                <c:pt idx="5203">
                  <c:v>1117.1320000000001</c:v>
                </c:pt>
                <c:pt idx="5204">
                  <c:v>1117.0450000000001</c:v>
                </c:pt>
                <c:pt idx="5205">
                  <c:v>1117.001135</c:v>
                </c:pt>
                <c:pt idx="5206">
                  <c:v>1116.8</c:v>
                </c:pt>
                <c:pt idx="5207">
                  <c:v>1116.4601660000001</c:v>
                </c:pt>
                <c:pt idx="5208">
                  <c:v>1116.444</c:v>
                </c:pt>
                <c:pt idx="5209">
                  <c:v>1116.4404070000001</c:v>
                </c:pt>
                <c:pt idx="5210">
                  <c:v>1115.643519</c:v>
                </c:pt>
                <c:pt idx="5211">
                  <c:v>1115.5132160000001</c:v>
                </c:pt>
                <c:pt idx="5212">
                  <c:v>1115.5060000000001</c:v>
                </c:pt>
                <c:pt idx="5213">
                  <c:v>1115.454508</c:v>
                </c:pt>
                <c:pt idx="5214">
                  <c:v>1115.2</c:v>
                </c:pt>
                <c:pt idx="5215">
                  <c:v>1115.2</c:v>
                </c:pt>
                <c:pt idx="5216">
                  <c:v>1115.1485439999999</c:v>
                </c:pt>
                <c:pt idx="5217">
                  <c:v>1114.9780000000001</c:v>
                </c:pt>
                <c:pt idx="5218">
                  <c:v>1114.9062899999999</c:v>
                </c:pt>
                <c:pt idx="5219">
                  <c:v>1114.771</c:v>
                </c:pt>
                <c:pt idx="5220">
                  <c:v>1114.7660000000001</c:v>
                </c:pt>
                <c:pt idx="5221">
                  <c:v>1114.3041619999999</c:v>
                </c:pt>
                <c:pt idx="5222">
                  <c:v>1114.129351</c:v>
                </c:pt>
                <c:pt idx="5223">
                  <c:v>1114.0820000000001</c:v>
                </c:pt>
                <c:pt idx="5224">
                  <c:v>1114.07314</c:v>
                </c:pt>
                <c:pt idx="5225">
                  <c:v>1114.07314</c:v>
                </c:pt>
                <c:pt idx="5226">
                  <c:v>1114.0497419999999</c:v>
                </c:pt>
                <c:pt idx="5227">
                  <c:v>1114.0497419999999</c:v>
                </c:pt>
                <c:pt idx="5228">
                  <c:v>1113.8843119999999</c:v>
                </c:pt>
                <c:pt idx="5229">
                  <c:v>1113.713</c:v>
                </c:pt>
                <c:pt idx="5230">
                  <c:v>1113.6210000000001</c:v>
                </c:pt>
                <c:pt idx="5231">
                  <c:v>1113.5999999999999</c:v>
                </c:pt>
                <c:pt idx="5232">
                  <c:v>1113.5772899999999</c:v>
                </c:pt>
                <c:pt idx="5233">
                  <c:v>1113.5542</c:v>
                </c:pt>
                <c:pt idx="5234">
                  <c:v>1113.3524130000001</c:v>
                </c:pt>
                <c:pt idx="5235">
                  <c:v>1113.2528540000001</c:v>
                </c:pt>
                <c:pt idx="5236">
                  <c:v>1113.066482</c:v>
                </c:pt>
                <c:pt idx="5237">
                  <c:v>1113.0576160000001</c:v>
                </c:pt>
                <c:pt idx="5238">
                  <c:v>1112.8</c:v>
                </c:pt>
                <c:pt idx="5239">
                  <c:v>1112.6917719999999</c:v>
                </c:pt>
                <c:pt idx="5240">
                  <c:v>1112.5754750000001</c:v>
                </c:pt>
                <c:pt idx="5241">
                  <c:v>1112.401685</c:v>
                </c:pt>
                <c:pt idx="5242">
                  <c:v>1112.083971</c:v>
                </c:pt>
                <c:pt idx="5243">
                  <c:v>1112.0010890000001</c:v>
                </c:pt>
                <c:pt idx="5244">
                  <c:v>1112</c:v>
                </c:pt>
                <c:pt idx="5245">
                  <c:v>1111.595</c:v>
                </c:pt>
                <c:pt idx="5246">
                  <c:v>1111.3104049999999</c:v>
                </c:pt>
                <c:pt idx="5247">
                  <c:v>1111.2</c:v>
                </c:pt>
                <c:pt idx="5248">
                  <c:v>1111.2</c:v>
                </c:pt>
                <c:pt idx="5249">
                  <c:v>1111.2</c:v>
                </c:pt>
                <c:pt idx="5250">
                  <c:v>1111.0215989999999</c:v>
                </c:pt>
                <c:pt idx="5251">
                  <c:v>1110.796</c:v>
                </c:pt>
                <c:pt idx="5252">
                  <c:v>1110.7080000000001</c:v>
                </c:pt>
                <c:pt idx="5253">
                  <c:v>1110.619721</c:v>
                </c:pt>
                <c:pt idx="5254">
                  <c:v>1110.619721</c:v>
                </c:pt>
                <c:pt idx="5255">
                  <c:v>1110.192</c:v>
                </c:pt>
                <c:pt idx="5256">
                  <c:v>1109.9109060000001</c:v>
                </c:pt>
                <c:pt idx="5257">
                  <c:v>1109.89969</c:v>
                </c:pt>
                <c:pt idx="5258">
                  <c:v>1109.7951619999999</c:v>
                </c:pt>
                <c:pt idx="5259">
                  <c:v>1109.747989</c:v>
                </c:pt>
                <c:pt idx="5260">
                  <c:v>1109.5999999999999</c:v>
                </c:pt>
                <c:pt idx="5261">
                  <c:v>1109.5999999999999</c:v>
                </c:pt>
                <c:pt idx="5262">
                  <c:v>1109.5999999999999</c:v>
                </c:pt>
                <c:pt idx="5263">
                  <c:v>1109.4280000000001</c:v>
                </c:pt>
                <c:pt idx="5264">
                  <c:v>1109.3055360000001</c:v>
                </c:pt>
                <c:pt idx="5265">
                  <c:v>1109.16417</c:v>
                </c:pt>
                <c:pt idx="5266">
                  <c:v>1108.8</c:v>
                </c:pt>
                <c:pt idx="5267">
                  <c:v>1108.431</c:v>
                </c:pt>
                <c:pt idx="5268">
                  <c:v>1108</c:v>
                </c:pt>
                <c:pt idx="5269">
                  <c:v>1108</c:v>
                </c:pt>
                <c:pt idx="5270">
                  <c:v>1107.674636</c:v>
                </c:pt>
                <c:pt idx="5271">
                  <c:v>1107.5098379999999</c:v>
                </c:pt>
                <c:pt idx="5272">
                  <c:v>1107.3416729999999</c:v>
                </c:pt>
                <c:pt idx="5273">
                  <c:v>1107.2</c:v>
                </c:pt>
                <c:pt idx="5274">
                  <c:v>1106.893143</c:v>
                </c:pt>
                <c:pt idx="5275">
                  <c:v>1106.8777480000001</c:v>
                </c:pt>
                <c:pt idx="5276">
                  <c:v>1106.751</c:v>
                </c:pt>
                <c:pt idx="5277">
                  <c:v>1106.567</c:v>
                </c:pt>
                <c:pt idx="5278">
                  <c:v>1106.5238429999999</c:v>
                </c:pt>
                <c:pt idx="5279">
                  <c:v>1106.5238429999999</c:v>
                </c:pt>
                <c:pt idx="5280">
                  <c:v>1106.4549999999999</c:v>
                </c:pt>
                <c:pt idx="5281">
                  <c:v>1106.4000000000001</c:v>
                </c:pt>
                <c:pt idx="5282">
                  <c:v>1106.2270000000001</c:v>
                </c:pt>
                <c:pt idx="5283">
                  <c:v>1105.904</c:v>
                </c:pt>
                <c:pt idx="5284">
                  <c:v>1105.7849329999999</c:v>
                </c:pt>
                <c:pt idx="5285">
                  <c:v>1105.5999999999999</c:v>
                </c:pt>
                <c:pt idx="5286">
                  <c:v>1105.5809999999999</c:v>
                </c:pt>
                <c:pt idx="5287">
                  <c:v>1105.2839719999999</c:v>
                </c:pt>
                <c:pt idx="5288">
                  <c:v>1105.2839719999999</c:v>
                </c:pt>
                <c:pt idx="5289">
                  <c:v>1105.2750000000001</c:v>
                </c:pt>
                <c:pt idx="5290">
                  <c:v>1105.188355</c:v>
                </c:pt>
                <c:pt idx="5291">
                  <c:v>1105.1745410000001</c:v>
                </c:pt>
                <c:pt idx="5292">
                  <c:v>1105.094249</c:v>
                </c:pt>
                <c:pt idx="5293">
                  <c:v>1104.9379819999999</c:v>
                </c:pt>
                <c:pt idx="5294">
                  <c:v>1104.8060929999999</c:v>
                </c:pt>
                <c:pt idx="5295">
                  <c:v>1104.482</c:v>
                </c:pt>
                <c:pt idx="5296">
                  <c:v>1104.273891</c:v>
                </c:pt>
                <c:pt idx="5297">
                  <c:v>1104.242</c:v>
                </c:pt>
                <c:pt idx="5298">
                  <c:v>1104.0630000000001</c:v>
                </c:pt>
                <c:pt idx="5299">
                  <c:v>1104.0155299999999</c:v>
                </c:pt>
                <c:pt idx="5300">
                  <c:v>1104</c:v>
                </c:pt>
                <c:pt idx="5301">
                  <c:v>1104</c:v>
                </c:pt>
                <c:pt idx="5302">
                  <c:v>1103.652237</c:v>
                </c:pt>
                <c:pt idx="5303">
                  <c:v>1103.5738819999999</c:v>
                </c:pt>
                <c:pt idx="5304">
                  <c:v>1103.4190000000001</c:v>
                </c:pt>
                <c:pt idx="5305">
                  <c:v>1103.3684029999999</c:v>
                </c:pt>
                <c:pt idx="5306">
                  <c:v>1103.2</c:v>
                </c:pt>
                <c:pt idx="5307">
                  <c:v>1103.2</c:v>
                </c:pt>
                <c:pt idx="5308">
                  <c:v>1102.819</c:v>
                </c:pt>
                <c:pt idx="5309">
                  <c:v>1102.5551230000001</c:v>
                </c:pt>
                <c:pt idx="5310">
                  <c:v>1102.54449</c:v>
                </c:pt>
                <c:pt idx="5311">
                  <c:v>1102.475279</c:v>
                </c:pt>
                <c:pt idx="5312">
                  <c:v>1102.4000000000001</c:v>
                </c:pt>
                <c:pt idx="5313">
                  <c:v>1102.4000000000001</c:v>
                </c:pt>
                <c:pt idx="5314">
                  <c:v>1102.325</c:v>
                </c:pt>
                <c:pt idx="5315">
                  <c:v>1102.069917</c:v>
                </c:pt>
                <c:pt idx="5316">
                  <c:v>1101.888792</c:v>
                </c:pt>
                <c:pt idx="5317">
                  <c:v>1101.8299050000001</c:v>
                </c:pt>
                <c:pt idx="5318">
                  <c:v>1101.732</c:v>
                </c:pt>
                <c:pt idx="5319">
                  <c:v>1101.6408300000001</c:v>
                </c:pt>
                <c:pt idx="5320">
                  <c:v>1101.5999999999999</c:v>
                </c:pt>
                <c:pt idx="5321">
                  <c:v>1101.5999999999999</c:v>
                </c:pt>
                <c:pt idx="5322">
                  <c:v>1101.494535</c:v>
                </c:pt>
                <c:pt idx="5323">
                  <c:v>1100.807</c:v>
                </c:pt>
                <c:pt idx="5324">
                  <c:v>1100.8</c:v>
                </c:pt>
                <c:pt idx="5325">
                  <c:v>1100.3879999999999</c:v>
                </c:pt>
                <c:pt idx="5326">
                  <c:v>1100.259462</c:v>
                </c:pt>
                <c:pt idx="5327">
                  <c:v>1100.259462</c:v>
                </c:pt>
                <c:pt idx="5328">
                  <c:v>1100.2270000000001</c:v>
                </c:pt>
                <c:pt idx="5329">
                  <c:v>1100.114</c:v>
                </c:pt>
                <c:pt idx="5330">
                  <c:v>1100.0177229999999</c:v>
                </c:pt>
                <c:pt idx="5331">
                  <c:v>1100</c:v>
                </c:pt>
                <c:pt idx="5332">
                  <c:v>1099.925344</c:v>
                </c:pt>
                <c:pt idx="5333">
                  <c:v>1099.60241</c:v>
                </c:pt>
                <c:pt idx="5334">
                  <c:v>1099.1769999999999</c:v>
                </c:pt>
                <c:pt idx="5335">
                  <c:v>1098.9970000000001</c:v>
                </c:pt>
                <c:pt idx="5336">
                  <c:v>1098.908866</c:v>
                </c:pt>
                <c:pt idx="5337">
                  <c:v>1098.8780939999999</c:v>
                </c:pt>
                <c:pt idx="5338">
                  <c:v>1098.86689</c:v>
                </c:pt>
                <c:pt idx="5339">
                  <c:v>1098.4580000000001</c:v>
                </c:pt>
                <c:pt idx="5340">
                  <c:v>1098.4000000000001</c:v>
                </c:pt>
                <c:pt idx="5341">
                  <c:v>1098.2270000000001</c:v>
                </c:pt>
                <c:pt idx="5342">
                  <c:v>1098.1261119999999</c:v>
                </c:pt>
                <c:pt idx="5343">
                  <c:v>1098.0768370000001</c:v>
                </c:pt>
                <c:pt idx="5344">
                  <c:v>1098.0622699999999</c:v>
                </c:pt>
                <c:pt idx="5345">
                  <c:v>1097.92</c:v>
                </c:pt>
                <c:pt idx="5346">
                  <c:v>1097.3958500000001</c:v>
                </c:pt>
                <c:pt idx="5347">
                  <c:v>1097.2</c:v>
                </c:pt>
                <c:pt idx="5348">
                  <c:v>1096.806043</c:v>
                </c:pt>
                <c:pt idx="5349">
                  <c:v>1096.7098840000001</c:v>
                </c:pt>
                <c:pt idx="5350">
                  <c:v>1096.259773</c:v>
                </c:pt>
                <c:pt idx="5351">
                  <c:v>1095.8282730000001</c:v>
                </c:pt>
                <c:pt idx="5352">
                  <c:v>1095.8219999999999</c:v>
                </c:pt>
                <c:pt idx="5353">
                  <c:v>1095.2</c:v>
                </c:pt>
                <c:pt idx="5354">
                  <c:v>1095.18929</c:v>
                </c:pt>
                <c:pt idx="5355">
                  <c:v>1095.1569999999999</c:v>
                </c:pt>
                <c:pt idx="5356">
                  <c:v>1094.920881</c:v>
                </c:pt>
                <c:pt idx="5357">
                  <c:v>1094.600874</c:v>
                </c:pt>
                <c:pt idx="5358">
                  <c:v>1094.52916</c:v>
                </c:pt>
                <c:pt idx="5359">
                  <c:v>1094.4000000000001</c:v>
                </c:pt>
                <c:pt idx="5360">
                  <c:v>1094.3979999999999</c:v>
                </c:pt>
                <c:pt idx="5361">
                  <c:v>1094.2418789999999</c:v>
                </c:pt>
                <c:pt idx="5362">
                  <c:v>1094.152</c:v>
                </c:pt>
                <c:pt idx="5363">
                  <c:v>1094.127536</c:v>
                </c:pt>
                <c:pt idx="5364">
                  <c:v>1093.9000000000001</c:v>
                </c:pt>
                <c:pt idx="5365">
                  <c:v>1093.7182499999999</c:v>
                </c:pt>
                <c:pt idx="5366">
                  <c:v>1093.5999999999999</c:v>
                </c:pt>
                <c:pt idx="5367">
                  <c:v>1093.352623</c:v>
                </c:pt>
                <c:pt idx="5368">
                  <c:v>1093.259</c:v>
                </c:pt>
                <c:pt idx="5369">
                  <c:v>1093.0432490000001</c:v>
                </c:pt>
                <c:pt idx="5370">
                  <c:v>1093.028</c:v>
                </c:pt>
                <c:pt idx="5371">
                  <c:v>1092.9827299999999</c:v>
                </c:pt>
                <c:pt idx="5372">
                  <c:v>1092.8</c:v>
                </c:pt>
                <c:pt idx="5373">
                  <c:v>1092.8</c:v>
                </c:pt>
                <c:pt idx="5374">
                  <c:v>1092.7</c:v>
                </c:pt>
                <c:pt idx="5375">
                  <c:v>1092.620735</c:v>
                </c:pt>
                <c:pt idx="5376">
                  <c:v>1092.491</c:v>
                </c:pt>
                <c:pt idx="5377">
                  <c:v>1092.2167810000001</c:v>
                </c:pt>
                <c:pt idx="5378">
                  <c:v>1092</c:v>
                </c:pt>
                <c:pt idx="5379">
                  <c:v>1092</c:v>
                </c:pt>
                <c:pt idx="5380">
                  <c:v>1091.6099999999999</c:v>
                </c:pt>
                <c:pt idx="5381">
                  <c:v>1091.598144</c:v>
                </c:pt>
                <c:pt idx="5382">
                  <c:v>1091.508</c:v>
                </c:pt>
                <c:pt idx="5383">
                  <c:v>1091.2760000000001</c:v>
                </c:pt>
                <c:pt idx="5384">
                  <c:v>1091.2</c:v>
                </c:pt>
                <c:pt idx="5385">
                  <c:v>1090.8971509999999</c:v>
                </c:pt>
                <c:pt idx="5386">
                  <c:v>1090.7761700000001</c:v>
                </c:pt>
                <c:pt idx="5387">
                  <c:v>1090.5898870000001</c:v>
                </c:pt>
                <c:pt idx="5388">
                  <c:v>1090.4290000000001</c:v>
                </c:pt>
                <c:pt idx="5389">
                  <c:v>1090.4000000000001</c:v>
                </c:pt>
                <c:pt idx="5390">
                  <c:v>1089.9860000000001</c:v>
                </c:pt>
                <c:pt idx="5391">
                  <c:v>1089.836024</c:v>
                </c:pt>
                <c:pt idx="5392">
                  <c:v>1089.7222159999999</c:v>
                </c:pt>
                <c:pt idx="5393">
                  <c:v>1089.5999999999999</c:v>
                </c:pt>
                <c:pt idx="5394">
                  <c:v>1089.5999999999999</c:v>
                </c:pt>
                <c:pt idx="5395">
                  <c:v>1089.279</c:v>
                </c:pt>
                <c:pt idx="5396">
                  <c:v>1089.2673299999999</c:v>
                </c:pt>
                <c:pt idx="5397">
                  <c:v>1088.8</c:v>
                </c:pt>
                <c:pt idx="5398">
                  <c:v>1088.8</c:v>
                </c:pt>
                <c:pt idx="5399">
                  <c:v>1088.8</c:v>
                </c:pt>
                <c:pt idx="5400">
                  <c:v>1088.8</c:v>
                </c:pt>
                <c:pt idx="5401">
                  <c:v>1088.8</c:v>
                </c:pt>
                <c:pt idx="5402">
                  <c:v>1088.675</c:v>
                </c:pt>
                <c:pt idx="5403">
                  <c:v>1088.5696089999999</c:v>
                </c:pt>
                <c:pt idx="5404">
                  <c:v>1088.3230000000001</c:v>
                </c:pt>
                <c:pt idx="5405">
                  <c:v>1088.1963330000001</c:v>
                </c:pt>
                <c:pt idx="5406">
                  <c:v>1088</c:v>
                </c:pt>
                <c:pt idx="5407">
                  <c:v>1088</c:v>
                </c:pt>
                <c:pt idx="5408">
                  <c:v>1087.883</c:v>
                </c:pt>
                <c:pt idx="5409">
                  <c:v>1087.8340889999999</c:v>
                </c:pt>
                <c:pt idx="5410">
                  <c:v>1087.8340889999999</c:v>
                </c:pt>
                <c:pt idx="5411">
                  <c:v>1087.8271520000001</c:v>
                </c:pt>
                <c:pt idx="5412">
                  <c:v>1087.4828789999999</c:v>
                </c:pt>
                <c:pt idx="5413">
                  <c:v>1087.3440000000001</c:v>
                </c:pt>
                <c:pt idx="5414">
                  <c:v>1087.2</c:v>
                </c:pt>
                <c:pt idx="5415">
                  <c:v>1087.115</c:v>
                </c:pt>
                <c:pt idx="5416">
                  <c:v>1087.06639</c:v>
                </c:pt>
                <c:pt idx="5417">
                  <c:v>1086.6310000000001</c:v>
                </c:pt>
                <c:pt idx="5418">
                  <c:v>1086.6179999999999</c:v>
                </c:pt>
                <c:pt idx="5419">
                  <c:v>1086.4000000000001</c:v>
                </c:pt>
                <c:pt idx="5420">
                  <c:v>1086.4000000000001</c:v>
                </c:pt>
                <c:pt idx="5421">
                  <c:v>1086.354</c:v>
                </c:pt>
                <c:pt idx="5422">
                  <c:v>1086.2247649999999</c:v>
                </c:pt>
                <c:pt idx="5423">
                  <c:v>1085.986095</c:v>
                </c:pt>
                <c:pt idx="5424">
                  <c:v>1085.7551000000001</c:v>
                </c:pt>
                <c:pt idx="5425">
                  <c:v>1085.7551000000001</c:v>
                </c:pt>
                <c:pt idx="5426">
                  <c:v>1085.6379999999999</c:v>
                </c:pt>
                <c:pt idx="5427">
                  <c:v>1085.5999999999999</c:v>
                </c:pt>
                <c:pt idx="5428">
                  <c:v>1085.5999999999999</c:v>
                </c:pt>
                <c:pt idx="5429">
                  <c:v>1084.8920089999999</c:v>
                </c:pt>
                <c:pt idx="5430">
                  <c:v>1084.8</c:v>
                </c:pt>
                <c:pt idx="5431">
                  <c:v>1084.8</c:v>
                </c:pt>
                <c:pt idx="5432">
                  <c:v>1084.373732</c:v>
                </c:pt>
                <c:pt idx="5433">
                  <c:v>1084.089733</c:v>
                </c:pt>
                <c:pt idx="5434">
                  <c:v>1083.9780000000001</c:v>
                </c:pt>
                <c:pt idx="5435">
                  <c:v>1083.8130000000001</c:v>
                </c:pt>
                <c:pt idx="5436">
                  <c:v>1083.651445</c:v>
                </c:pt>
                <c:pt idx="5437">
                  <c:v>1083.640744</c:v>
                </c:pt>
                <c:pt idx="5438">
                  <c:v>1083.2</c:v>
                </c:pt>
                <c:pt idx="5439">
                  <c:v>1083.2</c:v>
                </c:pt>
                <c:pt idx="5440">
                  <c:v>1083.1261850000001</c:v>
                </c:pt>
                <c:pt idx="5441">
                  <c:v>1082.992364</c:v>
                </c:pt>
                <c:pt idx="5442">
                  <c:v>1082.942</c:v>
                </c:pt>
                <c:pt idx="5443">
                  <c:v>1082.8362239999999</c:v>
                </c:pt>
                <c:pt idx="5444">
                  <c:v>1082.752</c:v>
                </c:pt>
                <c:pt idx="5445">
                  <c:v>1082.4000000000001</c:v>
                </c:pt>
                <c:pt idx="5446">
                  <c:v>1082.4000000000001</c:v>
                </c:pt>
                <c:pt idx="5447">
                  <c:v>1082.229</c:v>
                </c:pt>
                <c:pt idx="5448">
                  <c:v>1082.174213</c:v>
                </c:pt>
                <c:pt idx="5449">
                  <c:v>1081.973</c:v>
                </c:pt>
                <c:pt idx="5450">
                  <c:v>1081.9499290000001</c:v>
                </c:pt>
                <c:pt idx="5451">
                  <c:v>1081.610997</c:v>
                </c:pt>
                <c:pt idx="5452">
                  <c:v>1081.511</c:v>
                </c:pt>
                <c:pt idx="5453">
                  <c:v>1081.3773249999999</c:v>
                </c:pt>
                <c:pt idx="5454">
                  <c:v>1081.2760000000001</c:v>
                </c:pt>
                <c:pt idx="5455">
                  <c:v>1081.252</c:v>
                </c:pt>
                <c:pt idx="5456">
                  <c:v>1081.2144089999999</c:v>
                </c:pt>
                <c:pt idx="5457">
                  <c:v>1081.171116</c:v>
                </c:pt>
                <c:pt idx="5458">
                  <c:v>1081.05</c:v>
                </c:pt>
                <c:pt idx="5459">
                  <c:v>1080.9570000000001</c:v>
                </c:pt>
                <c:pt idx="5460">
                  <c:v>1080.8</c:v>
                </c:pt>
                <c:pt idx="5461">
                  <c:v>1080.8</c:v>
                </c:pt>
                <c:pt idx="5462">
                  <c:v>1080.5804370000001</c:v>
                </c:pt>
                <c:pt idx="5463">
                  <c:v>1080.559</c:v>
                </c:pt>
                <c:pt idx="5464">
                  <c:v>1080.396</c:v>
                </c:pt>
                <c:pt idx="5465">
                  <c:v>1080.0540000000001</c:v>
                </c:pt>
                <c:pt idx="5466">
                  <c:v>1080</c:v>
                </c:pt>
                <c:pt idx="5467">
                  <c:v>1079.761634</c:v>
                </c:pt>
                <c:pt idx="5468">
                  <c:v>1079.5909999999999</c:v>
                </c:pt>
                <c:pt idx="5469">
                  <c:v>1079.207359</c:v>
                </c:pt>
                <c:pt idx="5470">
                  <c:v>1079.2</c:v>
                </c:pt>
                <c:pt idx="5471">
                  <c:v>1078.98666</c:v>
                </c:pt>
                <c:pt idx="5472">
                  <c:v>1078.8482610000001</c:v>
                </c:pt>
                <c:pt idx="5473">
                  <c:v>1078.4000000000001</c:v>
                </c:pt>
                <c:pt idx="5474">
                  <c:v>1078.2723289999999</c:v>
                </c:pt>
                <c:pt idx="5475">
                  <c:v>1078.188191</c:v>
                </c:pt>
                <c:pt idx="5476">
                  <c:v>1078.088</c:v>
                </c:pt>
                <c:pt idx="5477">
                  <c:v>1078.0450000000001</c:v>
                </c:pt>
                <c:pt idx="5478">
                  <c:v>1077.8997959999999</c:v>
                </c:pt>
                <c:pt idx="5479">
                  <c:v>1077.866</c:v>
                </c:pt>
                <c:pt idx="5480">
                  <c:v>1077.826912</c:v>
                </c:pt>
                <c:pt idx="5481">
                  <c:v>1077.5999999999999</c:v>
                </c:pt>
                <c:pt idx="5482">
                  <c:v>1077.5999999999999</c:v>
                </c:pt>
                <c:pt idx="5483">
                  <c:v>1077.572666</c:v>
                </c:pt>
                <c:pt idx="5484">
                  <c:v>1077.5368089999999</c:v>
                </c:pt>
                <c:pt idx="5485">
                  <c:v>1077.466893</c:v>
                </c:pt>
                <c:pt idx="5486">
                  <c:v>1077.4462149999999</c:v>
                </c:pt>
                <c:pt idx="5487">
                  <c:v>1077.3961409999999</c:v>
                </c:pt>
                <c:pt idx="5488">
                  <c:v>1077.2909999999999</c:v>
                </c:pt>
                <c:pt idx="5489">
                  <c:v>1076.9382800000001</c:v>
                </c:pt>
                <c:pt idx="5490">
                  <c:v>1076.917134</c:v>
                </c:pt>
                <c:pt idx="5491">
                  <c:v>1076.8</c:v>
                </c:pt>
                <c:pt idx="5492">
                  <c:v>1076.8</c:v>
                </c:pt>
                <c:pt idx="5493">
                  <c:v>1076.722</c:v>
                </c:pt>
                <c:pt idx="5494">
                  <c:v>1076.3005009999999</c:v>
                </c:pt>
                <c:pt idx="5495">
                  <c:v>1076.085525</c:v>
                </c:pt>
                <c:pt idx="5496">
                  <c:v>1076.085525</c:v>
                </c:pt>
                <c:pt idx="5497">
                  <c:v>1076.085525</c:v>
                </c:pt>
                <c:pt idx="5498">
                  <c:v>1076.059381</c:v>
                </c:pt>
                <c:pt idx="5499">
                  <c:v>1076</c:v>
                </c:pt>
                <c:pt idx="5500">
                  <c:v>1076</c:v>
                </c:pt>
                <c:pt idx="5501">
                  <c:v>1076</c:v>
                </c:pt>
                <c:pt idx="5502">
                  <c:v>1075.852897</c:v>
                </c:pt>
                <c:pt idx="5503">
                  <c:v>1075.512258</c:v>
                </c:pt>
                <c:pt idx="5504">
                  <c:v>1075.3302490000001</c:v>
                </c:pt>
                <c:pt idx="5505">
                  <c:v>1075.3302490000001</c:v>
                </c:pt>
                <c:pt idx="5506">
                  <c:v>1075.2</c:v>
                </c:pt>
                <c:pt idx="5507">
                  <c:v>1075.2</c:v>
                </c:pt>
                <c:pt idx="5508">
                  <c:v>1074.5947289999999</c:v>
                </c:pt>
                <c:pt idx="5509">
                  <c:v>1074.5947289999999</c:v>
                </c:pt>
                <c:pt idx="5510">
                  <c:v>1074.4000000000001</c:v>
                </c:pt>
                <c:pt idx="5511">
                  <c:v>1074.33</c:v>
                </c:pt>
                <c:pt idx="5512">
                  <c:v>1074.023803</c:v>
                </c:pt>
                <c:pt idx="5513">
                  <c:v>1073.973215</c:v>
                </c:pt>
                <c:pt idx="5514">
                  <c:v>1073.6523440000001</c:v>
                </c:pt>
                <c:pt idx="5515">
                  <c:v>1073.5999999999999</c:v>
                </c:pt>
                <c:pt idx="5516">
                  <c:v>1073.5999999999999</c:v>
                </c:pt>
                <c:pt idx="5517">
                  <c:v>1073.5999999999999</c:v>
                </c:pt>
                <c:pt idx="5518">
                  <c:v>1073.5999999999999</c:v>
                </c:pt>
                <c:pt idx="5519">
                  <c:v>1073.537</c:v>
                </c:pt>
                <c:pt idx="5520">
                  <c:v>1073.4084419999999</c:v>
                </c:pt>
                <c:pt idx="5521">
                  <c:v>1073.3227899999999</c:v>
                </c:pt>
                <c:pt idx="5522">
                  <c:v>1072.8487889999999</c:v>
                </c:pt>
                <c:pt idx="5523">
                  <c:v>1072.8</c:v>
                </c:pt>
                <c:pt idx="5524">
                  <c:v>1072.8</c:v>
                </c:pt>
                <c:pt idx="5525">
                  <c:v>1072.8</c:v>
                </c:pt>
                <c:pt idx="5526">
                  <c:v>1072.533858</c:v>
                </c:pt>
                <c:pt idx="5527">
                  <c:v>1072.2006120000001</c:v>
                </c:pt>
                <c:pt idx="5528">
                  <c:v>1072.1220000000001</c:v>
                </c:pt>
                <c:pt idx="5529">
                  <c:v>1072</c:v>
                </c:pt>
                <c:pt idx="5530">
                  <c:v>1072</c:v>
                </c:pt>
                <c:pt idx="5531">
                  <c:v>1071.814666</c:v>
                </c:pt>
                <c:pt idx="5532">
                  <c:v>1071.6526490000001</c:v>
                </c:pt>
                <c:pt idx="5533">
                  <c:v>1071.6104379999999</c:v>
                </c:pt>
                <c:pt idx="5534">
                  <c:v>1071.4580000000001</c:v>
                </c:pt>
                <c:pt idx="5535">
                  <c:v>1071.4448649999999</c:v>
                </c:pt>
                <c:pt idx="5536">
                  <c:v>1071.4390000000001</c:v>
                </c:pt>
                <c:pt idx="5537">
                  <c:v>1071.3571569999999</c:v>
                </c:pt>
                <c:pt idx="5538">
                  <c:v>1071.2819999999999</c:v>
                </c:pt>
                <c:pt idx="5539">
                  <c:v>1071.250738</c:v>
                </c:pt>
                <c:pt idx="5540">
                  <c:v>1071.2</c:v>
                </c:pt>
                <c:pt idx="5541">
                  <c:v>1071.05</c:v>
                </c:pt>
                <c:pt idx="5542">
                  <c:v>1070.4841240000001</c:v>
                </c:pt>
                <c:pt idx="5543">
                  <c:v>1070.465085</c:v>
                </c:pt>
                <c:pt idx="5544">
                  <c:v>1070.4000000000001</c:v>
                </c:pt>
                <c:pt idx="5545">
                  <c:v>1070.4000000000001</c:v>
                </c:pt>
                <c:pt idx="5546">
                  <c:v>1070.4000000000001</c:v>
                </c:pt>
                <c:pt idx="5547">
                  <c:v>1070.1511620000001</c:v>
                </c:pt>
                <c:pt idx="5548">
                  <c:v>1069.5999999999999</c:v>
                </c:pt>
                <c:pt idx="5549">
                  <c:v>1069.446089</c:v>
                </c:pt>
                <c:pt idx="5550">
                  <c:v>1069.4240010000001</c:v>
                </c:pt>
                <c:pt idx="5551">
                  <c:v>1069.4240010000001</c:v>
                </c:pt>
                <c:pt idx="5552">
                  <c:v>1069.3667640000001</c:v>
                </c:pt>
                <c:pt idx="5553">
                  <c:v>1068.8</c:v>
                </c:pt>
                <c:pt idx="5554">
                  <c:v>1068.7105690000001</c:v>
                </c:pt>
                <c:pt idx="5555">
                  <c:v>1068.5027849999999</c:v>
                </c:pt>
                <c:pt idx="5556">
                  <c:v>1068.085838</c:v>
                </c:pt>
                <c:pt idx="5557">
                  <c:v>1067.9508960000001</c:v>
                </c:pt>
                <c:pt idx="5558">
                  <c:v>1067.8206290000001</c:v>
                </c:pt>
                <c:pt idx="5559">
                  <c:v>1067.651421</c:v>
                </c:pt>
                <c:pt idx="5560">
                  <c:v>1067.4639999999999</c:v>
                </c:pt>
                <c:pt idx="5561">
                  <c:v>1067.3150330000001</c:v>
                </c:pt>
                <c:pt idx="5562">
                  <c:v>1067.268008</c:v>
                </c:pt>
                <c:pt idx="5563">
                  <c:v>1067.2395289999999</c:v>
                </c:pt>
                <c:pt idx="5564">
                  <c:v>1067.2</c:v>
                </c:pt>
                <c:pt idx="5565">
                  <c:v>1066.826</c:v>
                </c:pt>
                <c:pt idx="5566">
                  <c:v>1066.4501780000001</c:v>
                </c:pt>
                <c:pt idx="5567">
                  <c:v>1066.4000000000001</c:v>
                </c:pt>
                <c:pt idx="5568">
                  <c:v>1066.2364480000001</c:v>
                </c:pt>
                <c:pt idx="5569">
                  <c:v>1066.076</c:v>
                </c:pt>
                <c:pt idx="5570">
                  <c:v>1065.5999999999999</c:v>
                </c:pt>
                <c:pt idx="5571">
                  <c:v>1065.588857</c:v>
                </c:pt>
                <c:pt idx="5572">
                  <c:v>1065.211</c:v>
                </c:pt>
                <c:pt idx="5573">
                  <c:v>1064.8</c:v>
                </c:pt>
                <c:pt idx="5574">
                  <c:v>1064.8</c:v>
                </c:pt>
                <c:pt idx="5575">
                  <c:v>1064.3389999999999</c:v>
                </c:pt>
                <c:pt idx="5576">
                  <c:v>1064.2324390000001</c:v>
                </c:pt>
                <c:pt idx="5577">
                  <c:v>1064</c:v>
                </c:pt>
                <c:pt idx="5578">
                  <c:v>1064</c:v>
                </c:pt>
                <c:pt idx="5579">
                  <c:v>1063.922</c:v>
                </c:pt>
                <c:pt idx="5580">
                  <c:v>1062.67635</c:v>
                </c:pt>
                <c:pt idx="5581">
                  <c:v>1062.573574</c:v>
                </c:pt>
                <c:pt idx="5582">
                  <c:v>1062.1659999999999</c:v>
                </c:pt>
                <c:pt idx="5583">
                  <c:v>1061.5999999999999</c:v>
                </c:pt>
                <c:pt idx="5584">
                  <c:v>1061.5811630000001</c:v>
                </c:pt>
                <c:pt idx="5585">
                  <c:v>1061.5640000000001</c:v>
                </c:pt>
                <c:pt idx="5586">
                  <c:v>1061.5189820000001</c:v>
                </c:pt>
                <c:pt idx="5587">
                  <c:v>1061.386</c:v>
                </c:pt>
                <c:pt idx="5588">
                  <c:v>1061.0940000000001</c:v>
                </c:pt>
                <c:pt idx="5589">
                  <c:v>1060.89048</c:v>
                </c:pt>
                <c:pt idx="5590">
                  <c:v>1060.777</c:v>
                </c:pt>
                <c:pt idx="5591">
                  <c:v>1060.1997960000001</c:v>
                </c:pt>
                <c:pt idx="5592">
                  <c:v>1060.14186</c:v>
                </c:pt>
                <c:pt idx="5593">
                  <c:v>1059.884329</c:v>
                </c:pt>
                <c:pt idx="5594">
                  <c:v>1059.7836460000001</c:v>
                </c:pt>
                <c:pt idx="5595">
                  <c:v>1059.587677</c:v>
                </c:pt>
                <c:pt idx="5596">
                  <c:v>1059.332987</c:v>
                </c:pt>
                <c:pt idx="5597">
                  <c:v>1058.818428</c:v>
                </c:pt>
                <c:pt idx="5598">
                  <c:v>1058.51</c:v>
                </c:pt>
                <c:pt idx="5599">
                  <c:v>1058.1277439999999</c:v>
                </c:pt>
                <c:pt idx="5600">
                  <c:v>1057.9645700000001</c:v>
                </c:pt>
                <c:pt idx="5601">
                  <c:v>1057.6777689999999</c:v>
                </c:pt>
                <c:pt idx="5602">
                  <c:v>1057.5999999999999</c:v>
                </c:pt>
                <c:pt idx="5603">
                  <c:v>1057.5999999999999</c:v>
                </c:pt>
                <c:pt idx="5604">
                  <c:v>1057.5999999999999</c:v>
                </c:pt>
                <c:pt idx="5605">
                  <c:v>1057.4128639999999</c:v>
                </c:pt>
                <c:pt idx="5606">
                  <c:v>1057.1559999999999</c:v>
                </c:pt>
                <c:pt idx="5607">
                  <c:v>1056.483469</c:v>
                </c:pt>
                <c:pt idx="5608">
                  <c:v>1056</c:v>
                </c:pt>
                <c:pt idx="5609">
                  <c:v>1056</c:v>
                </c:pt>
                <c:pt idx="5610">
                  <c:v>1056</c:v>
                </c:pt>
                <c:pt idx="5611">
                  <c:v>1056</c:v>
                </c:pt>
                <c:pt idx="5612">
                  <c:v>1055.858988</c:v>
                </c:pt>
                <c:pt idx="5613">
                  <c:v>1055.4559999999999</c:v>
                </c:pt>
                <c:pt idx="5614">
                  <c:v>1055.365008</c:v>
                </c:pt>
                <c:pt idx="5615">
                  <c:v>1055.2</c:v>
                </c:pt>
                <c:pt idx="5616">
                  <c:v>1055.1690000000001</c:v>
                </c:pt>
                <c:pt idx="5617">
                  <c:v>1055.0989999999999</c:v>
                </c:pt>
                <c:pt idx="5618">
                  <c:v>1055.08205</c:v>
                </c:pt>
                <c:pt idx="5619">
                  <c:v>1054.9635479999999</c:v>
                </c:pt>
                <c:pt idx="5620">
                  <c:v>1054.7356890000001</c:v>
                </c:pt>
                <c:pt idx="5621">
                  <c:v>1054.7356890000001</c:v>
                </c:pt>
                <c:pt idx="5622">
                  <c:v>1054.7081069999999</c:v>
                </c:pt>
                <c:pt idx="5623">
                  <c:v>1054.4000000000001</c:v>
                </c:pt>
                <c:pt idx="5624">
                  <c:v>1054.4000000000001</c:v>
                </c:pt>
                <c:pt idx="5625">
                  <c:v>1054.4000000000001</c:v>
                </c:pt>
                <c:pt idx="5626">
                  <c:v>1054.247488</c:v>
                </c:pt>
                <c:pt idx="5627">
                  <c:v>1054.0185570000001</c:v>
                </c:pt>
                <c:pt idx="5628">
                  <c:v>1053.7960619999999</c:v>
                </c:pt>
                <c:pt idx="5629">
                  <c:v>1053.7190000000001</c:v>
                </c:pt>
                <c:pt idx="5630">
                  <c:v>1053.5999999999999</c:v>
                </c:pt>
                <c:pt idx="5631">
                  <c:v>1053.2670000000001</c:v>
                </c:pt>
                <c:pt idx="5632">
                  <c:v>1053.1679999999999</c:v>
                </c:pt>
                <c:pt idx="5633">
                  <c:v>1052.3019999999999</c:v>
                </c:pt>
                <c:pt idx="5634">
                  <c:v>1052</c:v>
                </c:pt>
                <c:pt idx="5635">
                  <c:v>1051.89246</c:v>
                </c:pt>
                <c:pt idx="5636">
                  <c:v>1051.396166</c:v>
                </c:pt>
                <c:pt idx="5637">
                  <c:v>1051.2209049999999</c:v>
                </c:pt>
                <c:pt idx="5638">
                  <c:v>1051.2</c:v>
                </c:pt>
                <c:pt idx="5639">
                  <c:v>1051.2</c:v>
                </c:pt>
                <c:pt idx="5640">
                  <c:v>1051.2</c:v>
                </c:pt>
                <c:pt idx="5641">
                  <c:v>1051.1298019999999</c:v>
                </c:pt>
                <c:pt idx="5642">
                  <c:v>1051.064693</c:v>
                </c:pt>
                <c:pt idx="5643">
                  <c:v>1051.055141</c:v>
                </c:pt>
                <c:pt idx="5644">
                  <c:v>1050.9114099999999</c:v>
                </c:pt>
                <c:pt idx="5645">
                  <c:v>1050.829</c:v>
                </c:pt>
                <c:pt idx="5646">
                  <c:v>1050.4000000000001</c:v>
                </c:pt>
                <c:pt idx="5647">
                  <c:v>1050.34719</c:v>
                </c:pt>
                <c:pt idx="5648">
                  <c:v>1050.3225689999999</c:v>
                </c:pt>
                <c:pt idx="5649">
                  <c:v>1050.3225689999999</c:v>
                </c:pt>
                <c:pt idx="5650">
                  <c:v>1050.3225689999999</c:v>
                </c:pt>
                <c:pt idx="5651">
                  <c:v>1050.1130000000001</c:v>
                </c:pt>
                <c:pt idx="5652">
                  <c:v>1049.8395370000001</c:v>
                </c:pt>
                <c:pt idx="5653">
                  <c:v>1049.6669999999999</c:v>
                </c:pt>
                <c:pt idx="5654">
                  <c:v>1049.5999999999999</c:v>
                </c:pt>
                <c:pt idx="5655">
                  <c:v>1049.5750969999999</c:v>
                </c:pt>
                <c:pt idx="5656">
                  <c:v>1049.4094299999999</c:v>
                </c:pt>
                <c:pt idx="5657">
                  <c:v>1049.27575</c:v>
                </c:pt>
                <c:pt idx="5658">
                  <c:v>1049.251129</c:v>
                </c:pt>
                <c:pt idx="5659">
                  <c:v>1049.104822</c:v>
                </c:pt>
                <c:pt idx="5660">
                  <c:v>1048.535871</c:v>
                </c:pt>
                <c:pt idx="5661">
                  <c:v>1048.208844</c:v>
                </c:pt>
                <c:pt idx="5662">
                  <c:v>1048.1160090000001</c:v>
                </c:pt>
                <c:pt idx="5663">
                  <c:v>1048</c:v>
                </c:pt>
                <c:pt idx="5664">
                  <c:v>1048</c:v>
                </c:pt>
                <c:pt idx="5665">
                  <c:v>1047.8218770000001</c:v>
                </c:pt>
                <c:pt idx="5666">
                  <c:v>1047.7674850000001</c:v>
                </c:pt>
                <c:pt idx="5667">
                  <c:v>1047.7674850000001</c:v>
                </c:pt>
                <c:pt idx="5668">
                  <c:v>1047.2</c:v>
                </c:pt>
                <c:pt idx="5669">
                  <c:v>1047.146</c:v>
                </c:pt>
                <c:pt idx="5670">
                  <c:v>1047.104</c:v>
                </c:pt>
                <c:pt idx="5671">
                  <c:v>1046.5357300000001</c:v>
                </c:pt>
                <c:pt idx="5672">
                  <c:v>1046.5245279999999</c:v>
                </c:pt>
                <c:pt idx="5673">
                  <c:v>1046.4000000000001</c:v>
                </c:pt>
                <c:pt idx="5674">
                  <c:v>1046.4000000000001</c:v>
                </c:pt>
                <c:pt idx="5675">
                  <c:v>1046.314243</c:v>
                </c:pt>
                <c:pt idx="5676">
                  <c:v>1046.0530000000001</c:v>
                </c:pt>
                <c:pt idx="5677">
                  <c:v>1045.758791</c:v>
                </c:pt>
                <c:pt idx="5678">
                  <c:v>1045.7035040000001</c:v>
                </c:pt>
                <c:pt idx="5679">
                  <c:v>1045.5999999999999</c:v>
                </c:pt>
                <c:pt idx="5680">
                  <c:v>1045.5999999999999</c:v>
                </c:pt>
                <c:pt idx="5681">
                  <c:v>1045.173929</c:v>
                </c:pt>
                <c:pt idx="5682">
                  <c:v>1044.999243</c:v>
                </c:pt>
                <c:pt idx="5683">
                  <c:v>1044.8140000000001</c:v>
                </c:pt>
                <c:pt idx="5684">
                  <c:v>1044.8</c:v>
                </c:pt>
                <c:pt idx="5685">
                  <c:v>1044.8</c:v>
                </c:pt>
                <c:pt idx="5686">
                  <c:v>1044.6679999999999</c:v>
                </c:pt>
                <c:pt idx="5687">
                  <c:v>1044.0909999999999</c:v>
                </c:pt>
                <c:pt idx="5688">
                  <c:v>1044.046</c:v>
                </c:pt>
                <c:pt idx="5689">
                  <c:v>1044</c:v>
                </c:pt>
                <c:pt idx="5690">
                  <c:v>1044</c:v>
                </c:pt>
                <c:pt idx="5691">
                  <c:v>1044</c:v>
                </c:pt>
                <c:pt idx="5692">
                  <c:v>1043.7396650000001</c:v>
                </c:pt>
                <c:pt idx="5693">
                  <c:v>1043.557</c:v>
                </c:pt>
                <c:pt idx="5694">
                  <c:v>1043.2</c:v>
                </c:pt>
                <c:pt idx="5695">
                  <c:v>1043.0310629999999</c:v>
                </c:pt>
                <c:pt idx="5696">
                  <c:v>1042.967369</c:v>
                </c:pt>
                <c:pt idx="5697">
                  <c:v>1042.9326980000001</c:v>
                </c:pt>
                <c:pt idx="5698">
                  <c:v>1042.6510390000001</c:v>
                </c:pt>
                <c:pt idx="5699">
                  <c:v>1042.4939999999999</c:v>
                </c:pt>
                <c:pt idx="5700">
                  <c:v>1042.231849</c:v>
                </c:pt>
                <c:pt idx="5701">
                  <c:v>1041.9355230000001</c:v>
                </c:pt>
                <c:pt idx="5702">
                  <c:v>1041.8741010000001</c:v>
                </c:pt>
                <c:pt idx="5703">
                  <c:v>1041.855814</c:v>
                </c:pt>
                <c:pt idx="5704">
                  <c:v>1041.693</c:v>
                </c:pt>
                <c:pt idx="5705">
                  <c:v>1041.5999999999999</c:v>
                </c:pt>
                <c:pt idx="5706">
                  <c:v>1041.4963290000001</c:v>
                </c:pt>
                <c:pt idx="5707">
                  <c:v>1041.0640000000001</c:v>
                </c:pt>
                <c:pt idx="5708">
                  <c:v>1040.9469999999999</c:v>
                </c:pt>
                <c:pt idx="5709">
                  <c:v>1040.8</c:v>
                </c:pt>
                <c:pt idx="5710">
                  <c:v>1040.749971</c:v>
                </c:pt>
                <c:pt idx="5711">
                  <c:v>1040.5707870000001</c:v>
                </c:pt>
                <c:pt idx="5712">
                  <c:v>1040.39986</c:v>
                </c:pt>
                <c:pt idx="5713">
                  <c:v>1040.3240000000001</c:v>
                </c:pt>
                <c:pt idx="5714">
                  <c:v>1040.1699619999999</c:v>
                </c:pt>
                <c:pt idx="5715">
                  <c:v>1040.1699619999999</c:v>
                </c:pt>
                <c:pt idx="5716">
                  <c:v>1040.029783</c:v>
                </c:pt>
                <c:pt idx="5717">
                  <c:v>1040.0252889999999</c:v>
                </c:pt>
                <c:pt idx="5718">
                  <c:v>1040.0252889999999</c:v>
                </c:pt>
                <c:pt idx="5719">
                  <c:v>1040.0252889999999</c:v>
                </c:pt>
                <c:pt idx="5720">
                  <c:v>1040</c:v>
                </c:pt>
                <c:pt idx="5721">
                  <c:v>1040</c:v>
                </c:pt>
                <c:pt idx="5722">
                  <c:v>1039.866233</c:v>
                </c:pt>
                <c:pt idx="5723">
                  <c:v>1039.674</c:v>
                </c:pt>
                <c:pt idx="5724">
                  <c:v>1039.5432860000001</c:v>
                </c:pt>
                <c:pt idx="5725">
                  <c:v>1039.4978599999999</c:v>
                </c:pt>
                <c:pt idx="5726">
                  <c:v>1039.479278</c:v>
                </c:pt>
                <c:pt idx="5727">
                  <c:v>1039.2</c:v>
                </c:pt>
                <c:pt idx="5728">
                  <c:v>1038.7663480000001</c:v>
                </c:pt>
                <c:pt idx="5729">
                  <c:v>1038.6439620000001</c:v>
                </c:pt>
                <c:pt idx="5730">
                  <c:v>1038.438995</c:v>
                </c:pt>
                <c:pt idx="5731">
                  <c:v>1038.0979110000001</c:v>
                </c:pt>
                <c:pt idx="5732">
                  <c:v>1038.0979110000001</c:v>
                </c:pt>
                <c:pt idx="5733">
                  <c:v>1038.0609999999999</c:v>
                </c:pt>
                <c:pt idx="5734">
                  <c:v>1037.8187290000001</c:v>
                </c:pt>
                <c:pt idx="5735">
                  <c:v>1037.81</c:v>
                </c:pt>
                <c:pt idx="5736">
                  <c:v>1037.64111</c:v>
                </c:pt>
                <c:pt idx="5737">
                  <c:v>1037.5999999999999</c:v>
                </c:pt>
                <c:pt idx="5738">
                  <c:v>1037.468525</c:v>
                </c:pt>
                <c:pt idx="5739">
                  <c:v>1037.008302</c:v>
                </c:pt>
                <c:pt idx="5740">
                  <c:v>1036.9884999999999</c:v>
                </c:pt>
                <c:pt idx="5741">
                  <c:v>1036.9712320000001</c:v>
                </c:pt>
                <c:pt idx="5742">
                  <c:v>1036.8</c:v>
                </c:pt>
                <c:pt idx="5743">
                  <c:v>1036.8</c:v>
                </c:pt>
                <c:pt idx="5744">
                  <c:v>1036.716543</c:v>
                </c:pt>
                <c:pt idx="5745">
                  <c:v>1036.4355330000001</c:v>
                </c:pt>
                <c:pt idx="5746">
                  <c:v>1036.3476889999999</c:v>
                </c:pt>
                <c:pt idx="5747">
                  <c:v>1036.347</c:v>
                </c:pt>
                <c:pt idx="5748">
                  <c:v>1035.629964</c:v>
                </c:pt>
                <c:pt idx="5749">
                  <c:v>1035.612169</c:v>
                </c:pt>
                <c:pt idx="5750">
                  <c:v>1035.488969</c:v>
                </c:pt>
                <c:pt idx="5751">
                  <c:v>1035.3351749999999</c:v>
                </c:pt>
                <c:pt idx="5752">
                  <c:v>1035.2370539999999</c:v>
                </c:pt>
                <c:pt idx="5753">
                  <c:v>1035.1959999999999</c:v>
                </c:pt>
                <c:pt idx="5754">
                  <c:v>1034.934</c:v>
                </c:pt>
                <c:pt idx="5755">
                  <c:v>1034.876649</c:v>
                </c:pt>
                <c:pt idx="5756">
                  <c:v>1034.4000000000001</c:v>
                </c:pt>
                <c:pt idx="5757">
                  <c:v>1034.163</c:v>
                </c:pt>
                <c:pt idx="5758">
                  <c:v>1034.1411290000001</c:v>
                </c:pt>
                <c:pt idx="5759">
                  <c:v>1034.117845</c:v>
                </c:pt>
                <c:pt idx="5760">
                  <c:v>1034.0283340000001</c:v>
                </c:pt>
                <c:pt idx="5761">
                  <c:v>1033.825</c:v>
                </c:pt>
                <c:pt idx="5762">
                  <c:v>1033.7539999999999</c:v>
                </c:pt>
                <c:pt idx="5763">
                  <c:v>1033.5640310000001</c:v>
                </c:pt>
                <c:pt idx="5764">
                  <c:v>1033.4860000000001</c:v>
                </c:pt>
                <c:pt idx="5765">
                  <c:v>1033.40065</c:v>
                </c:pt>
                <c:pt idx="5766">
                  <c:v>1033.327781</c:v>
                </c:pt>
                <c:pt idx="5767">
                  <c:v>1032.9191519999999</c:v>
                </c:pt>
                <c:pt idx="5768">
                  <c:v>1032.8</c:v>
                </c:pt>
                <c:pt idx="5769">
                  <c:v>1032.8</c:v>
                </c:pt>
                <c:pt idx="5770">
                  <c:v>1032.7373399999999</c:v>
                </c:pt>
                <c:pt idx="5771">
                  <c:v>1032.572439</c:v>
                </c:pt>
                <c:pt idx="5772">
                  <c:v>1032.5448120000001</c:v>
                </c:pt>
                <c:pt idx="5773">
                  <c:v>1032</c:v>
                </c:pt>
                <c:pt idx="5774">
                  <c:v>1031.934569</c:v>
                </c:pt>
                <c:pt idx="5775">
                  <c:v>1031.8817550000001</c:v>
                </c:pt>
                <c:pt idx="5776">
                  <c:v>1031.53</c:v>
                </c:pt>
                <c:pt idx="5777">
                  <c:v>1031.203</c:v>
                </c:pt>
                <c:pt idx="5778">
                  <c:v>1031.2</c:v>
                </c:pt>
                <c:pt idx="5779">
                  <c:v>1031.1990490000001</c:v>
                </c:pt>
                <c:pt idx="5780">
                  <c:v>1031.1910720000001</c:v>
                </c:pt>
                <c:pt idx="5781">
                  <c:v>1031.1910720000001</c:v>
                </c:pt>
                <c:pt idx="5782">
                  <c:v>1030.8817340000001</c:v>
                </c:pt>
                <c:pt idx="5783">
                  <c:v>1030.5003879999999</c:v>
                </c:pt>
                <c:pt idx="5784">
                  <c:v>1030.4000000000001</c:v>
                </c:pt>
                <c:pt idx="5785">
                  <c:v>1030.0940000000001</c:v>
                </c:pt>
                <c:pt idx="5786">
                  <c:v>1029.9770000000001</c:v>
                </c:pt>
                <c:pt idx="5787">
                  <c:v>1029.9639999999999</c:v>
                </c:pt>
                <c:pt idx="5788">
                  <c:v>1029.5999999999999</c:v>
                </c:pt>
                <c:pt idx="5789">
                  <c:v>1029.4660329999999</c:v>
                </c:pt>
                <c:pt idx="5790">
                  <c:v>1029.1190200000001</c:v>
                </c:pt>
                <c:pt idx="5791">
                  <c:v>1029.1190200000001</c:v>
                </c:pt>
                <c:pt idx="5792">
                  <c:v>1028.874</c:v>
                </c:pt>
                <c:pt idx="5793">
                  <c:v>1028.830003</c:v>
                </c:pt>
                <c:pt idx="5794">
                  <c:v>1028.8</c:v>
                </c:pt>
                <c:pt idx="5795">
                  <c:v>1028.635</c:v>
                </c:pt>
                <c:pt idx="5796">
                  <c:v>1028.4224610000001</c:v>
                </c:pt>
                <c:pt idx="5797">
                  <c:v>1028.256969</c:v>
                </c:pt>
                <c:pt idx="5798">
                  <c:v>1028</c:v>
                </c:pt>
                <c:pt idx="5799">
                  <c:v>1028</c:v>
                </c:pt>
                <c:pt idx="5800">
                  <c:v>1027.985813</c:v>
                </c:pt>
                <c:pt idx="5801">
                  <c:v>1027.737652</c:v>
                </c:pt>
                <c:pt idx="5802">
                  <c:v>1027.48</c:v>
                </c:pt>
                <c:pt idx="5803">
                  <c:v>1027.1289999999999</c:v>
                </c:pt>
                <c:pt idx="5804">
                  <c:v>1027.0911699999999</c:v>
                </c:pt>
                <c:pt idx="5805">
                  <c:v>1026.6220000000001</c:v>
                </c:pt>
                <c:pt idx="5806">
                  <c:v>1026.462</c:v>
                </c:pt>
                <c:pt idx="5807">
                  <c:v>1026.4000000000001</c:v>
                </c:pt>
                <c:pt idx="5808">
                  <c:v>1026.4000000000001</c:v>
                </c:pt>
                <c:pt idx="5809">
                  <c:v>1026.3765129999999</c:v>
                </c:pt>
                <c:pt idx="5810">
                  <c:v>1025.9706819999999</c:v>
                </c:pt>
                <c:pt idx="5811">
                  <c:v>1025.314889</c:v>
                </c:pt>
                <c:pt idx="5812">
                  <c:v>1025.232</c:v>
                </c:pt>
                <c:pt idx="5813">
                  <c:v>1025.0300810000001</c:v>
                </c:pt>
                <c:pt idx="5814">
                  <c:v>1024.9954029999999</c:v>
                </c:pt>
                <c:pt idx="5815">
                  <c:v>1024.991</c:v>
                </c:pt>
                <c:pt idx="5816">
                  <c:v>1024.287</c:v>
                </c:pt>
                <c:pt idx="5817">
                  <c:v>1024.004522</c:v>
                </c:pt>
                <c:pt idx="5818">
                  <c:v>1024</c:v>
                </c:pt>
                <c:pt idx="5819">
                  <c:v>1023.343154</c:v>
                </c:pt>
                <c:pt idx="5820">
                  <c:v>1023.227584</c:v>
                </c:pt>
                <c:pt idx="5821">
                  <c:v>1023.202449</c:v>
                </c:pt>
                <c:pt idx="5822">
                  <c:v>1022.902865</c:v>
                </c:pt>
                <c:pt idx="5823">
                  <c:v>1022.571</c:v>
                </c:pt>
                <c:pt idx="5824">
                  <c:v>1022.55</c:v>
                </c:pt>
                <c:pt idx="5825">
                  <c:v>1022.4</c:v>
                </c:pt>
                <c:pt idx="5826">
                  <c:v>1022.287364</c:v>
                </c:pt>
                <c:pt idx="5827">
                  <c:v>1022.212181</c:v>
                </c:pt>
                <c:pt idx="5828">
                  <c:v>1021.637289</c:v>
                </c:pt>
                <c:pt idx="5829">
                  <c:v>1021.6</c:v>
                </c:pt>
                <c:pt idx="5830">
                  <c:v>1021.521497</c:v>
                </c:pt>
                <c:pt idx="5831">
                  <c:v>1021.184944</c:v>
                </c:pt>
                <c:pt idx="5832">
                  <c:v>1021.024</c:v>
                </c:pt>
                <c:pt idx="5833">
                  <c:v>1020.8967699999999</c:v>
                </c:pt>
                <c:pt idx="5834">
                  <c:v>1020.8967699999999</c:v>
                </c:pt>
                <c:pt idx="5835">
                  <c:v>1020.830813</c:v>
                </c:pt>
                <c:pt idx="5836">
                  <c:v>1020.830813</c:v>
                </c:pt>
                <c:pt idx="5837">
                  <c:v>1020.8</c:v>
                </c:pt>
                <c:pt idx="5838">
                  <c:v>1020.536465</c:v>
                </c:pt>
                <c:pt idx="5839">
                  <c:v>1020.516</c:v>
                </c:pt>
                <c:pt idx="5840">
                  <c:v>1020</c:v>
                </c:pt>
                <c:pt idx="5841">
                  <c:v>1020</c:v>
                </c:pt>
                <c:pt idx="5842">
                  <c:v>1019.833874</c:v>
                </c:pt>
                <c:pt idx="5843">
                  <c:v>1019.831048</c:v>
                </c:pt>
                <c:pt idx="5844">
                  <c:v>1019.449445</c:v>
                </c:pt>
                <c:pt idx="5845">
                  <c:v>1019.430729</c:v>
                </c:pt>
                <c:pt idx="5846">
                  <c:v>1019.2</c:v>
                </c:pt>
                <c:pt idx="5847">
                  <c:v>1019.2</c:v>
                </c:pt>
                <c:pt idx="5848">
                  <c:v>1019.092</c:v>
                </c:pt>
                <c:pt idx="5849">
                  <c:v>1018.695209</c:v>
                </c:pt>
                <c:pt idx="5850">
                  <c:v>1018.4</c:v>
                </c:pt>
                <c:pt idx="5851">
                  <c:v>1018.275</c:v>
                </c:pt>
                <c:pt idx="5852">
                  <c:v>1018.198214</c:v>
                </c:pt>
                <c:pt idx="5853">
                  <c:v>1018.068077</c:v>
                </c:pt>
                <c:pt idx="5854">
                  <c:v>1017.97</c:v>
                </c:pt>
                <c:pt idx="5855">
                  <c:v>1017.7890169999999</c:v>
                </c:pt>
                <c:pt idx="5856">
                  <c:v>1017.622</c:v>
                </c:pt>
                <c:pt idx="5857">
                  <c:v>1017.274736</c:v>
                </c:pt>
                <c:pt idx="5858">
                  <c:v>1017.123567</c:v>
                </c:pt>
                <c:pt idx="5859">
                  <c:v>1017.049</c:v>
                </c:pt>
                <c:pt idx="5860">
                  <c:v>1016.8</c:v>
                </c:pt>
                <c:pt idx="5861">
                  <c:v>1016.189844</c:v>
                </c:pt>
                <c:pt idx="5862">
                  <c:v>1016.173</c:v>
                </c:pt>
                <c:pt idx="5863">
                  <c:v>1016</c:v>
                </c:pt>
                <c:pt idx="5864">
                  <c:v>1016</c:v>
                </c:pt>
                <c:pt idx="5865">
                  <c:v>1016</c:v>
                </c:pt>
                <c:pt idx="5866">
                  <c:v>1016</c:v>
                </c:pt>
                <c:pt idx="5867">
                  <c:v>1015.996026</c:v>
                </c:pt>
                <c:pt idx="5868">
                  <c:v>1015.996026</c:v>
                </c:pt>
                <c:pt idx="5869">
                  <c:v>1015.736</c:v>
                </c:pt>
                <c:pt idx="5870">
                  <c:v>1015.72</c:v>
                </c:pt>
                <c:pt idx="5871">
                  <c:v>1015.4607600000001</c:v>
                </c:pt>
                <c:pt idx="5872">
                  <c:v>1015.075531</c:v>
                </c:pt>
                <c:pt idx="5873">
                  <c:v>1015.017609</c:v>
                </c:pt>
                <c:pt idx="5874">
                  <c:v>1014.4</c:v>
                </c:pt>
                <c:pt idx="5875">
                  <c:v>1014.4</c:v>
                </c:pt>
                <c:pt idx="5876">
                  <c:v>1014.359</c:v>
                </c:pt>
                <c:pt idx="5877">
                  <c:v>1014.010386</c:v>
                </c:pt>
                <c:pt idx="5878">
                  <c:v>1013.904326</c:v>
                </c:pt>
                <c:pt idx="5879">
                  <c:v>1013.23329</c:v>
                </c:pt>
                <c:pt idx="5880">
                  <c:v>1012.93241</c:v>
                </c:pt>
                <c:pt idx="5881">
                  <c:v>1012.811049</c:v>
                </c:pt>
                <c:pt idx="5882">
                  <c:v>1012.542606</c:v>
                </c:pt>
                <c:pt idx="5883">
                  <c:v>1012.197</c:v>
                </c:pt>
                <c:pt idx="5884">
                  <c:v>1012</c:v>
                </c:pt>
                <c:pt idx="5885">
                  <c:v>1011.616</c:v>
                </c:pt>
                <c:pt idx="5886">
                  <c:v>1011.485</c:v>
                </c:pt>
                <c:pt idx="5887">
                  <c:v>1010.939336</c:v>
                </c:pt>
                <c:pt idx="5888">
                  <c:v>1010.9109999999999</c:v>
                </c:pt>
                <c:pt idx="5889">
                  <c:v>1010.871</c:v>
                </c:pt>
                <c:pt idx="5890">
                  <c:v>1010.583343</c:v>
                </c:pt>
                <c:pt idx="5891">
                  <c:v>1010.470554</c:v>
                </c:pt>
                <c:pt idx="5892">
                  <c:v>1010.4</c:v>
                </c:pt>
                <c:pt idx="5893">
                  <c:v>1009.939</c:v>
                </c:pt>
                <c:pt idx="5894">
                  <c:v>1009.849194</c:v>
                </c:pt>
                <c:pt idx="5895">
                  <c:v>1009.709913</c:v>
                </c:pt>
                <c:pt idx="5896">
                  <c:v>1009.6</c:v>
                </c:pt>
                <c:pt idx="5897">
                  <c:v>1009.089187</c:v>
                </c:pt>
                <c:pt idx="5898">
                  <c:v>1008.8</c:v>
                </c:pt>
                <c:pt idx="5899">
                  <c:v>1008.77</c:v>
                </c:pt>
                <c:pt idx="5900">
                  <c:v>1008.407</c:v>
                </c:pt>
                <c:pt idx="5901">
                  <c:v>1008.398503</c:v>
                </c:pt>
                <c:pt idx="5902">
                  <c:v>1008.398503</c:v>
                </c:pt>
                <c:pt idx="5903">
                  <c:v>1008.272453</c:v>
                </c:pt>
                <c:pt idx="5904">
                  <c:v>1008</c:v>
                </c:pt>
                <c:pt idx="5905">
                  <c:v>1007.9081169999999</c:v>
                </c:pt>
                <c:pt idx="5906">
                  <c:v>1007.2</c:v>
                </c:pt>
                <c:pt idx="5907">
                  <c:v>1007.057</c:v>
                </c:pt>
                <c:pt idx="5908">
                  <c:v>1007.0171350000001</c:v>
                </c:pt>
                <c:pt idx="5909">
                  <c:v>1006.978844</c:v>
                </c:pt>
                <c:pt idx="5910">
                  <c:v>1006.926889</c:v>
                </c:pt>
                <c:pt idx="5911">
                  <c:v>1006.925</c:v>
                </c:pt>
                <c:pt idx="5912">
                  <c:v>1006.4</c:v>
                </c:pt>
                <c:pt idx="5913">
                  <c:v>1006.4</c:v>
                </c:pt>
                <c:pt idx="5914">
                  <c:v>1005.635767</c:v>
                </c:pt>
                <c:pt idx="5915">
                  <c:v>1005.3405</c:v>
                </c:pt>
                <c:pt idx="5916">
                  <c:v>1005.2559</c:v>
                </c:pt>
                <c:pt idx="5917">
                  <c:v>1004.720329</c:v>
                </c:pt>
                <c:pt idx="5918">
                  <c:v>1004.436234</c:v>
                </c:pt>
                <c:pt idx="5919">
                  <c:v>1004.3509</c:v>
                </c:pt>
                <c:pt idx="5920">
                  <c:v>1004.254399</c:v>
                </c:pt>
                <c:pt idx="5921">
                  <c:v>1004</c:v>
                </c:pt>
                <c:pt idx="5922">
                  <c:v>1003.984809</c:v>
                </c:pt>
                <c:pt idx="5923">
                  <c:v>1003.563715</c:v>
                </c:pt>
                <c:pt idx="5924">
                  <c:v>1003.549902</c:v>
                </c:pt>
                <c:pt idx="5925">
                  <c:v>1003.532464</c:v>
                </c:pt>
                <c:pt idx="5926">
                  <c:v>1003.501</c:v>
                </c:pt>
                <c:pt idx="5927">
                  <c:v>1003.211</c:v>
                </c:pt>
                <c:pt idx="5928">
                  <c:v>1003.197</c:v>
                </c:pt>
                <c:pt idx="5929">
                  <c:v>1003.1398349999999</c:v>
                </c:pt>
                <c:pt idx="5930">
                  <c:v>1002.649</c:v>
                </c:pt>
                <c:pt idx="5931">
                  <c:v>1002.540431</c:v>
                </c:pt>
                <c:pt idx="5932">
                  <c:v>1002.444807</c:v>
                </c:pt>
                <c:pt idx="5933">
                  <c:v>1002.387826</c:v>
                </c:pt>
                <c:pt idx="5934">
                  <c:v>1002.061</c:v>
                </c:pt>
                <c:pt idx="5935">
                  <c:v>1001.778249</c:v>
                </c:pt>
                <c:pt idx="5936">
                  <c:v>1001.473315</c:v>
                </c:pt>
                <c:pt idx="5937">
                  <c:v>1001.042729</c:v>
                </c:pt>
                <c:pt idx="5938">
                  <c:v>1001.042729</c:v>
                </c:pt>
                <c:pt idx="5939">
                  <c:v>1001.042729</c:v>
                </c:pt>
                <c:pt idx="5940">
                  <c:v>1000.8</c:v>
                </c:pt>
                <c:pt idx="5941">
                  <c:v>1000.696377</c:v>
                </c:pt>
                <c:pt idx="5942">
                  <c:v>1000.3072089999999</c:v>
                </c:pt>
                <c:pt idx="5943">
                  <c:v>1000.1102959999999</c:v>
                </c:pt>
                <c:pt idx="5944">
                  <c:v>1000</c:v>
                </c:pt>
                <c:pt idx="5945">
                  <c:v>999.96600000000001</c:v>
                </c:pt>
                <c:pt idx="5946">
                  <c:v>999.303</c:v>
                </c:pt>
                <c:pt idx="5947">
                  <c:v>999.2</c:v>
                </c:pt>
                <c:pt idx="5948">
                  <c:v>999.18799999999999</c:v>
                </c:pt>
                <c:pt idx="5949">
                  <c:v>999.03659789999995</c:v>
                </c:pt>
                <c:pt idx="5950">
                  <c:v>998.79387629999997</c:v>
                </c:pt>
                <c:pt idx="5951">
                  <c:v>998.76173549999999</c:v>
                </c:pt>
                <c:pt idx="5952">
                  <c:v>998.728928</c:v>
                </c:pt>
                <c:pt idx="5953">
                  <c:v>998.4</c:v>
                </c:pt>
                <c:pt idx="5954">
                  <c:v>998.23599999999999</c:v>
                </c:pt>
                <c:pt idx="5955">
                  <c:v>998.13558590000002</c:v>
                </c:pt>
                <c:pt idx="5956">
                  <c:v>997.74</c:v>
                </c:pt>
                <c:pt idx="5957">
                  <c:v>997.6</c:v>
                </c:pt>
                <c:pt idx="5958">
                  <c:v>997.55799999999999</c:v>
                </c:pt>
                <c:pt idx="5959">
                  <c:v>997.38800000000003</c:v>
                </c:pt>
                <c:pt idx="5960">
                  <c:v>997.38699999999994</c:v>
                </c:pt>
                <c:pt idx="5961">
                  <c:v>996.94899999999996</c:v>
                </c:pt>
                <c:pt idx="5962">
                  <c:v>996.84799999999996</c:v>
                </c:pt>
                <c:pt idx="5963">
                  <c:v>996.81168609999997</c:v>
                </c:pt>
                <c:pt idx="5964">
                  <c:v>996.8</c:v>
                </c:pt>
                <c:pt idx="5965">
                  <c:v>996.61199999999997</c:v>
                </c:pt>
                <c:pt idx="5966">
                  <c:v>996</c:v>
                </c:pt>
                <c:pt idx="5967">
                  <c:v>995.27550840000004</c:v>
                </c:pt>
                <c:pt idx="5968">
                  <c:v>995.2</c:v>
                </c:pt>
                <c:pt idx="5969">
                  <c:v>995.2</c:v>
                </c:pt>
                <c:pt idx="5970">
                  <c:v>994.822</c:v>
                </c:pt>
                <c:pt idx="5971">
                  <c:v>994.41674350000005</c:v>
                </c:pt>
                <c:pt idx="5972">
                  <c:v>994.4</c:v>
                </c:pt>
                <c:pt idx="5973">
                  <c:v>994.13400000000001</c:v>
                </c:pt>
                <c:pt idx="5974">
                  <c:v>994.10309749999999</c:v>
                </c:pt>
                <c:pt idx="5975">
                  <c:v>993.96600000000001</c:v>
                </c:pt>
                <c:pt idx="5976">
                  <c:v>993.91737869999997</c:v>
                </c:pt>
                <c:pt idx="5977">
                  <c:v>993.83187450000003</c:v>
                </c:pt>
                <c:pt idx="5978">
                  <c:v>993.68752870000003</c:v>
                </c:pt>
                <c:pt idx="5979">
                  <c:v>993.6</c:v>
                </c:pt>
                <c:pt idx="5980">
                  <c:v>993.50844429999995</c:v>
                </c:pt>
                <c:pt idx="5981">
                  <c:v>993.20345669999995</c:v>
                </c:pt>
                <c:pt idx="5982">
                  <c:v>992.8</c:v>
                </c:pt>
                <c:pt idx="5983">
                  <c:v>992.73546269999997</c:v>
                </c:pt>
                <c:pt idx="5984">
                  <c:v>992.21648870000001</c:v>
                </c:pt>
                <c:pt idx="5985">
                  <c:v>992.14700000000005</c:v>
                </c:pt>
                <c:pt idx="5986">
                  <c:v>992</c:v>
                </c:pt>
                <c:pt idx="5987">
                  <c:v>991.37311880000004</c:v>
                </c:pt>
                <c:pt idx="5988">
                  <c:v>991.2</c:v>
                </c:pt>
                <c:pt idx="5989">
                  <c:v>991.14</c:v>
                </c:pt>
                <c:pt idx="5990">
                  <c:v>991.13140499999997</c:v>
                </c:pt>
                <c:pt idx="5991">
                  <c:v>991.07799999999997</c:v>
                </c:pt>
                <c:pt idx="5992">
                  <c:v>991.06799999999998</c:v>
                </c:pt>
                <c:pt idx="5993">
                  <c:v>990.46135400000003</c:v>
                </c:pt>
                <c:pt idx="5994">
                  <c:v>990.00645359999999</c:v>
                </c:pt>
                <c:pt idx="5995">
                  <c:v>989.60199999999998</c:v>
                </c:pt>
                <c:pt idx="5996">
                  <c:v>989.56100000000004</c:v>
                </c:pt>
                <c:pt idx="5997">
                  <c:v>989.27440860000002</c:v>
                </c:pt>
                <c:pt idx="5998">
                  <c:v>989.27440860000002</c:v>
                </c:pt>
                <c:pt idx="5999">
                  <c:v>988.92090770000004</c:v>
                </c:pt>
                <c:pt idx="6000">
                  <c:v>988.8</c:v>
                </c:pt>
                <c:pt idx="6001">
                  <c:v>988.8</c:v>
                </c:pt>
                <c:pt idx="6002">
                  <c:v>988.53888859999995</c:v>
                </c:pt>
                <c:pt idx="6003">
                  <c:v>988.44899999999996</c:v>
                </c:pt>
                <c:pt idx="6004">
                  <c:v>988.36866940000004</c:v>
                </c:pt>
                <c:pt idx="6005">
                  <c:v>988.36866940000004</c:v>
                </c:pt>
                <c:pt idx="6006">
                  <c:v>987.83299999999997</c:v>
                </c:pt>
                <c:pt idx="6007">
                  <c:v>987.82302909999999</c:v>
                </c:pt>
                <c:pt idx="6008">
                  <c:v>987.59400000000005</c:v>
                </c:pt>
                <c:pt idx="6009">
                  <c:v>986.92514000000006</c:v>
                </c:pt>
                <c:pt idx="6010">
                  <c:v>986.71148970000002</c:v>
                </c:pt>
                <c:pt idx="6011">
                  <c:v>985.6059338</c:v>
                </c:pt>
                <c:pt idx="6012">
                  <c:v>985.6</c:v>
                </c:pt>
                <c:pt idx="6013">
                  <c:v>985.6</c:v>
                </c:pt>
                <c:pt idx="6014">
                  <c:v>985.11779530000001</c:v>
                </c:pt>
                <c:pt idx="6015">
                  <c:v>984.96100000000001</c:v>
                </c:pt>
                <c:pt idx="6016">
                  <c:v>984.86128859999997</c:v>
                </c:pt>
                <c:pt idx="6017">
                  <c:v>984.8</c:v>
                </c:pt>
                <c:pt idx="6018">
                  <c:v>983.64870819999999</c:v>
                </c:pt>
                <c:pt idx="6019">
                  <c:v>983.2</c:v>
                </c:pt>
                <c:pt idx="6020">
                  <c:v>983.03152909999994</c:v>
                </c:pt>
                <c:pt idx="6021">
                  <c:v>982.8431981</c:v>
                </c:pt>
                <c:pt idx="6022">
                  <c:v>982.8431981</c:v>
                </c:pt>
                <c:pt idx="6023">
                  <c:v>982.40200000000004</c:v>
                </c:pt>
                <c:pt idx="6024">
                  <c:v>982.4</c:v>
                </c:pt>
                <c:pt idx="6025">
                  <c:v>981.6</c:v>
                </c:pt>
                <c:pt idx="6026">
                  <c:v>981.39586929999996</c:v>
                </c:pt>
                <c:pt idx="6027">
                  <c:v>981.30399999999997</c:v>
                </c:pt>
                <c:pt idx="6028">
                  <c:v>980.99400000000003</c:v>
                </c:pt>
                <c:pt idx="6029">
                  <c:v>980.8</c:v>
                </c:pt>
                <c:pt idx="6030">
                  <c:v>980.44816860000003</c:v>
                </c:pt>
                <c:pt idx="6031">
                  <c:v>980.197</c:v>
                </c:pt>
                <c:pt idx="6032">
                  <c:v>979.93299999999999</c:v>
                </c:pt>
                <c:pt idx="6033">
                  <c:v>979.2</c:v>
                </c:pt>
                <c:pt idx="6034">
                  <c:v>979.15200000000004</c:v>
                </c:pt>
                <c:pt idx="6035">
                  <c:v>979.12</c:v>
                </c:pt>
                <c:pt idx="6036">
                  <c:v>979.053</c:v>
                </c:pt>
                <c:pt idx="6037">
                  <c:v>978.94237969999995</c:v>
                </c:pt>
                <c:pt idx="6038">
                  <c:v>978.51599999999996</c:v>
                </c:pt>
                <c:pt idx="6039">
                  <c:v>978.4</c:v>
                </c:pt>
                <c:pt idx="6040">
                  <c:v>978.4</c:v>
                </c:pt>
                <c:pt idx="6041">
                  <c:v>978.16516969999998</c:v>
                </c:pt>
                <c:pt idx="6042">
                  <c:v>977.32895050000002</c:v>
                </c:pt>
                <c:pt idx="6043">
                  <c:v>977.25</c:v>
                </c:pt>
                <c:pt idx="6044">
                  <c:v>976.90700000000004</c:v>
                </c:pt>
                <c:pt idx="6045">
                  <c:v>976.82799999999997</c:v>
                </c:pt>
                <c:pt idx="6046">
                  <c:v>976.8</c:v>
                </c:pt>
                <c:pt idx="6047">
                  <c:v>976.8</c:v>
                </c:pt>
                <c:pt idx="6048">
                  <c:v>976.55542890000004</c:v>
                </c:pt>
                <c:pt idx="6049">
                  <c:v>976.12133930000005</c:v>
                </c:pt>
                <c:pt idx="6050">
                  <c:v>976.03504850000002</c:v>
                </c:pt>
                <c:pt idx="6051">
                  <c:v>976.00195010000004</c:v>
                </c:pt>
                <c:pt idx="6052">
                  <c:v>975.9363591</c:v>
                </c:pt>
                <c:pt idx="6053">
                  <c:v>975.83829690000005</c:v>
                </c:pt>
                <c:pt idx="6054">
                  <c:v>975.56983209999999</c:v>
                </c:pt>
                <c:pt idx="6055">
                  <c:v>975.27838229999998</c:v>
                </c:pt>
                <c:pt idx="6056">
                  <c:v>975.26800000000003</c:v>
                </c:pt>
                <c:pt idx="6057">
                  <c:v>974.57280179999998</c:v>
                </c:pt>
                <c:pt idx="6058">
                  <c:v>974.55499129999998</c:v>
                </c:pt>
                <c:pt idx="6059">
                  <c:v>974.01900000000001</c:v>
                </c:pt>
                <c:pt idx="6060">
                  <c:v>973.86430740000003</c:v>
                </c:pt>
                <c:pt idx="6061">
                  <c:v>973.86430740000003</c:v>
                </c:pt>
                <c:pt idx="6062">
                  <c:v>973.6</c:v>
                </c:pt>
                <c:pt idx="6063">
                  <c:v>973.17362349999996</c:v>
                </c:pt>
                <c:pt idx="6064">
                  <c:v>973.17362349999996</c:v>
                </c:pt>
                <c:pt idx="6065">
                  <c:v>973.17362349999996</c:v>
                </c:pt>
                <c:pt idx="6066">
                  <c:v>972.84100000000001</c:v>
                </c:pt>
                <c:pt idx="6067">
                  <c:v>972.73699999999997</c:v>
                </c:pt>
                <c:pt idx="6068">
                  <c:v>972.38300000000004</c:v>
                </c:pt>
                <c:pt idx="6069">
                  <c:v>972.35744850000003</c:v>
                </c:pt>
                <c:pt idx="6070">
                  <c:v>972.16499999999996</c:v>
                </c:pt>
                <c:pt idx="6071">
                  <c:v>972</c:v>
                </c:pt>
                <c:pt idx="6072">
                  <c:v>971.53599999999994</c:v>
                </c:pt>
                <c:pt idx="6073">
                  <c:v>971.20100000000002</c:v>
                </c:pt>
                <c:pt idx="6074">
                  <c:v>971.2</c:v>
                </c:pt>
                <c:pt idx="6075">
                  <c:v>971.13970619999998</c:v>
                </c:pt>
                <c:pt idx="6076">
                  <c:v>970.88699999999994</c:v>
                </c:pt>
                <c:pt idx="6077">
                  <c:v>970.88640850000002</c:v>
                </c:pt>
                <c:pt idx="6078">
                  <c:v>970.74099999999999</c:v>
                </c:pt>
                <c:pt idx="6079">
                  <c:v>970.4</c:v>
                </c:pt>
                <c:pt idx="6080">
                  <c:v>970.38413390000005</c:v>
                </c:pt>
                <c:pt idx="6081">
                  <c:v>970.15088849999995</c:v>
                </c:pt>
                <c:pt idx="6082">
                  <c:v>969.77348429999995</c:v>
                </c:pt>
                <c:pt idx="6083">
                  <c:v>969.50599999999997</c:v>
                </c:pt>
                <c:pt idx="6084">
                  <c:v>969.13398600000005</c:v>
                </c:pt>
                <c:pt idx="6085">
                  <c:v>969.02952000000005</c:v>
                </c:pt>
                <c:pt idx="6086">
                  <c:v>968.97787579999999</c:v>
                </c:pt>
                <c:pt idx="6087">
                  <c:v>968.80112229999997</c:v>
                </c:pt>
                <c:pt idx="6088">
                  <c:v>968.8</c:v>
                </c:pt>
                <c:pt idx="6089">
                  <c:v>968.37368819999995</c:v>
                </c:pt>
                <c:pt idx="6090">
                  <c:v>968.33883609999998</c:v>
                </c:pt>
                <c:pt idx="6091">
                  <c:v>968</c:v>
                </c:pt>
                <c:pt idx="6092">
                  <c:v>967.69299999999998</c:v>
                </c:pt>
                <c:pt idx="6093">
                  <c:v>967.49276120000002</c:v>
                </c:pt>
                <c:pt idx="6094">
                  <c:v>967.42330430000004</c:v>
                </c:pt>
                <c:pt idx="6095">
                  <c:v>967.20880839999995</c:v>
                </c:pt>
                <c:pt idx="6096">
                  <c:v>967.2</c:v>
                </c:pt>
                <c:pt idx="6097">
                  <c:v>967.2</c:v>
                </c:pt>
                <c:pt idx="6098">
                  <c:v>966.95746829999996</c:v>
                </c:pt>
                <c:pt idx="6099">
                  <c:v>966.95746829999996</c:v>
                </c:pt>
                <c:pt idx="6100">
                  <c:v>966.93</c:v>
                </c:pt>
                <c:pt idx="6101">
                  <c:v>966.51109699999995</c:v>
                </c:pt>
                <c:pt idx="6102">
                  <c:v>966.26678440000001</c:v>
                </c:pt>
                <c:pt idx="6103">
                  <c:v>966.19200000000001</c:v>
                </c:pt>
                <c:pt idx="6104">
                  <c:v>966.14399370000001</c:v>
                </c:pt>
                <c:pt idx="6105">
                  <c:v>965.83900000000006</c:v>
                </c:pt>
                <c:pt idx="6106">
                  <c:v>965.47390059999998</c:v>
                </c:pt>
                <c:pt idx="6107">
                  <c:v>965.10699999999997</c:v>
                </c:pt>
                <c:pt idx="6108">
                  <c:v>964.8</c:v>
                </c:pt>
                <c:pt idx="6109">
                  <c:v>964.8</c:v>
                </c:pt>
                <c:pt idx="6110">
                  <c:v>964.40625460000001</c:v>
                </c:pt>
                <c:pt idx="6111">
                  <c:v>964.19473270000003</c:v>
                </c:pt>
                <c:pt idx="6112">
                  <c:v>964</c:v>
                </c:pt>
                <c:pt idx="6113">
                  <c:v>963.40361170000006</c:v>
                </c:pt>
                <c:pt idx="6114">
                  <c:v>963.2</c:v>
                </c:pt>
                <c:pt idx="6115">
                  <c:v>963.2</c:v>
                </c:pt>
                <c:pt idx="6116">
                  <c:v>962.79568840000002</c:v>
                </c:pt>
                <c:pt idx="6117">
                  <c:v>962.50792309999997</c:v>
                </c:pt>
                <c:pt idx="6118">
                  <c:v>962.44298560000004</c:v>
                </c:pt>
                <c:pt idx="6119">
                  <c:v>962.43378789999997</c:v>
                </c:pt>
                <c:pt idx="6120">
                  <c:v>962.06016839999995</c:v>
                </c:pt>
                <c:pt idx="6121">
                  <c:v>961.6</c:v>
                </c:pt>
                <c:pt idx="6122">
                  <c:v>961.6</c:v>
                </c:pt>
                <c:pt idx="6123">
                  <c:v>961.5295562</c:v>
                </c:pt>
                <c:pt idx="6124">
                  <c:v>961.45012750000001</c:v>
                </c:pt>
                <c:pt idx="6125">
                  <c:v>961.3246484</c:v>
                </c:pt>
                <c:pt idx="6126">
                  <c:v>961.04720239999995</c:v>
                </c:pt>
                <c:pt idx="6127">
                  <c:v>961.00099999999998</c:v>
                </c:pt>
                <c:pt idx="6128">
                  <c:v>960.8</c:v>
                </c:pt>
                <c:pt idx="6129">
                  <c:v>960.75199999999995</c:v>
                </c:pt>
                <c:pt idx="6130">
                  <c:v>960.74131309999996</c:v>
                </c:pt>
                <c:pt idx="6131">
                  <c:v>960.25031409999997</c:v>
                </c:pt>
                <c:pt idx="6132">
                  <c:v>960</c:v>
                </c:pt>
                <c:pt idx="6133">
                  <c:v>960</c:v>
                </c:pt>
                <c:pt idx="6134">
                  <c:v>959.85360839999998</c:v>
                </c:pt>
                <c:pt idx="6135">
                  <c:v>959.43700000000001</c:v>
                </c:pt>
                <c:pt idx="6136">
                  <c:v>958.726</c:v>
                </c:pt>
                <c:pt idx="6137">
                  <c:v>958.60900000000004</c:v>
                </c:pt>
                <c:pt idx="6138">
                  <c:v>958.18200000000002</c:v>
                </c:pt>
                <c:pt idx="6139">
                  <c:v>957.67399999999998</c:v>
                </c:pt>
                <c:pt idx="6140">
                  <c:v>957.64704840000002</c:v>
                </c:pt>
                <c:pt idx="6141">
                  <c:v>957.6</c:v>
                </c:pt>
                <c:pt idx="6142">
                  <c:v>957.6</c:v>
                </c:pt>
                <c:pt idx="6143">
                  <c:v>957.50099999999998</c:v>
                </c:pt>
                <c:pt idx="6144">
                  <c:v>956.91152829999999</c:v>
                </c:pt>
                <c:pt idx="6145">
                  <c:v>956.86097259999997</c:v>
                </c:pt>
                <c:pt idx="6146">
                  <c:v>956.47389390000001</c:v>
                </c:pt>
                <c:pt idx="6147">
                  <c:v>956.17600830000003</c:v>
                </c:pt>
                <c:pt idx="6148">
                  <c:v>956.17600830000003</c:v>
                </c:pt>
                <c:pt idx="6149">
                  <c:v>955.90652580000005</c:v>
                </c:pt>
                <c:pt idx="6150">
                  <c:v>955.56299999999999</c:v>
                </c:pt>
                <c:pt idx="6151">
                  <c:v>955.44048829999997</c:v>
                </c:pt>
                <c:pt idx="6152">
                  <c:v>955.3600222</c:v>
                </c:pt>
                <c:pt idx="6153">
                  <c:v>955.21584189999999</c:v>
                </c:pt>
                <c:pt idx="6154">
                  <c:v>954.79399999999998</c:v>
                </c:pt>
                <c:pt idx="6155">
                  <c:v>954.52515800000003</c:v>
                </c:pt>
                <c:pt idx="6156">
                  <c:v>954.50875429999996</c:v>
                </c:pt>
                <c:pt idx="6157">
                  <c:v>954.40748289999999</c:v>
                </c:pt>
                <c:pt idx="6158">
                  <c:v>954.4</c:v>
                </c:pt>
                <c:pt idx="6159">
                  <c:v>953.99300000000005</c:v>
                </c:pt>
                <c:pt idx="6160">
                  <c:v>953.6</c:v>
                </c:pt>
                <c:pt idx="6161">
                  <c:v>953.6</c:v>
                </c:pt>
                <c:pt idx="6162">
                  <c:v>953.40155219999997</c:v>
                </c:pt>
                <c:pt idx="6163">
                  <c:v>952.8174401</c:v>
                </c:pt>
                <c:pt idx="6164">
                  <c:v>952.8</c:v>
                </c:pt>
                <c:pt idx="6165">
                  <c:v>952.12416810000002</c:v>
                </c:pt>
                <c:pt idx="6166">
                  <c:v>951.69767079999997</c:v>
                </c:pt>
                <c:pt idx="6167">
                  <c:v>951.40800000000002</c:v>
                </c:pt>
                <c:pt idx="6168">
                  <c:v>951.2</c:v>
                </c:pt>
                <c:pt idx="6169">
                  <c:v>951.08012289999999</c:v>
                </c:pt>
                <c:pt idx="6170">
                  <c:v>951.02736830000003</c:v>
                </c:pt>
                <c:pt idx="6171">
                  <c:v>950.49871329999996</c:v>
                </c:pt>
                <c:pt idx="6172">
                  <c:v>950.4</c:v>
                </c:pt>
                <c:pt idx="6173">
                  <c:v>950.4</c:v>
                </c:pt>
                <c:pt idx="6174">
                  <c:v>950.4</c:v>
                </c:pt>
                <c:pt idx="6175">
                  <c:v>949.84100000000001</c:v>
                </c:pt>
                <c:pt idx="6176">
                  <c:v>949.78879310000002</c:v>
                </c:pt>
                <c:pt idx="6177">
                  <c:v>949.69037070000002</c:v>
                </c:pt>
                <c:pt idx="6178">
                  <c:v>949.6</c:v>
                </c:pt>
                <c:pt idx="6179">
                  <c:v>949.6</c:v>
                </c:pt>
                <c:pt idx="6180">
                  <c:v>949.6</c:v>
                </c:pt>
                <c:pt idx="6181">
                  <c:v>949.6</c:v>
                </c:pt>
                <c:pt idx="6182">
                  <c:v>949.59250940000004</c:v>
                </c:pt>
                <c:pt idx="6183">
                  <c:v>949.20799999999997</c:v>
                </c:pt>
                <c:pt idx="6184">
                  <c:v>948.64151890000005</c:v>
                </c:pt>
                <c:pt idx="6185">
                  <c:v>948.63099999999997</c:v>
                </c:pt>
                <c:pt idx="6186">
                  <c:v>948.35907740000005</c:v>
                </c:pt>
                <c:pt idx="6187">
                  <c:v>947.27297699999997</c:v>
                </c:pt>
                <c:pt idx="6188">
                  <c:v>946.94890989999999</c:v>
                </c:pt>
                <c:pt idx="6189">
                  <c:v>946.4</c:v>
                </c:pt>
                <c:pt idx="6190">
                  <c:v>946.14638860000002</c:v>
                </c:pt>
                <c:pt idx="6191">
                  <c:v>945.94676389999995</c:v>
                </c:pt>
                <c:pt idx="6192">
                  <c:v>945.9063261</c:v>
                </c:pt>
                <c:pt idx="6193">
                  <c:v>945.9063261</c:v>
                </c:pt>
                <c:pt idx="6194">
                  <c:v>945.87872830000003</c:v>
                </c:pt>
                <c:pt idx="6195">
                  <c:v>945.25494419999995</c:v>
                </c:pt>
                <c:pt idx="6196">
                  <c:v>945.1432082</c:v>
                </c:pt>
                <c:pt idx="6197">
                  <c:v>944.8</c:v>
                </c:pt>
                <c:pt idx="6198">
                  <c:v>944.39700000000005</c:v>
                </c:pt>
                <c:pt idx="6199">
                  <c:v>944.34241080000004</c:v>
                </c:pt>
                <c:pt idx="6200">
                  <c:v>944.16489939999997</c:v>
                </c:pt>
                <c:pt idx="6201">
                  <c:v>943.97988980000002</c:v>
                </c:pt>
                <c:pt idx="6202">
                  <c:v>943.52926560000003</c:v>
                </c:pt>
                <c:pt idx="6203">
                  <c:v>943.47421550000001</c:v>
                </c:pt>
                <c:pt idx="6204">
                  <c:v>943.2</c:v>
                </c:pt>
                <c:pt idx="6205">
                  <c:v>943.2</c:v>
                </c:pt>
                <c:pt idx="6206">
                  <c:v>943.2</c:v>
                </c:pt>
                <c:pt idx="6207">
                  <c:v>942.42601339999999</c:v>
                </c:pt>
                <c:pt idx="6208">
                  <c:v>942.4</c:v>
                </c:pt>
                <c:pt idx="6209">
                  <c:v>942.4</c:v>
                </c:pt>
                <c:pt idx="6210">
                  <c:v>942.4</c:v>
                </c:pt>
                <c:pt idx="6211">
                  <c:v>942.4</c:v>
                </c:pt>
                <c:pt idx="6212">
                  <c:v>942.16559170000005</c:v>
                </c:pt>
                <c:pt idx="6213">
                  <c:v>941.40216380000004</c:v>
                </c:pt>
                <c:pt idx="6214">
                  <c:v>940.8</c:v>
                </c:pt>
                <c:pt idx="6215">
                  <c:v>939.53122020000001</c:v>
                </c:pt>
                <c:pt idx="6216">
                  <c:v>939.33011209999995</c:v>
                </c:pt>
                <c:pt idx="6217">
                  <c:v>939.3182607</c:v>
                </c:pt>
                <c:pt idx="6218">
                  <c:v>939.25904820000005</c:v>
                </c:pt>
                <c:pt idx="6219">
                  <c:v>938.72947380000005</c:v>
                </c:pt>
                <c:pt idx="6220">
                  <c:v>938.57100000000003</c:v>
                </c:pt>
                <c:pt idx="6221">
                  <c:v>937.78800820000004</c:v>
                </c:pt>
                <c:pt idx="6222">
                  <c:v>937.6</c:v>
                </c:pt>
                <c:pt idx="6223">
                  <c:v>936.98744620000002</c:v>
                </c:pt>
                <c:pt idx="6224">
                  <c:v>936.95319300000006</c:v>
                </c:pt>
                <c:pt idx="6225">
                  <c:v>936.67200000000003</c:v>
                </c:pt>
                <c:pt idx="6226">
                  <c:v>936.447</c:v>
                </c:pt>
                <c:pt idx="6227">
                  <c:v>936.00937720000002</c:v>
                </c:pt>
                <c:pt idx="6228">
                  <c:v>936</c:v>
                </c:pt>
                <c:pt idx="6229">
                  <c:v>935.94200000000001</c:v>
                </c:pt>
                <c:pt idx="6230">
                  <c:v>935.43356979999999</c:v>
                </c:pt>
                <c:pt idx="6231">
                  <c:v>935.07485880000002</c:v>
                </c:pt>
                <c:pt idx="6232">
                  <c:v>934.4</c:v>
                </c:pt>
                <c:pt idx="6233">
                  <c:v>934.38900000000001</c:v>
                </c:pt>
                <c:pt idx="6234">
                  <c:v>934.34769100000005</c:v>
                </c:pt>
                <c:pt idx="6235">
                  <c:v>934.12667220000003</c:v>
                </c:pt>
                <c:pt idx="6236">
                  <c:v>934.11040809999997</c:v>
                </c:pt>
                <c:pt idx="6237">
                  <c:v>933.86768649999999</c:v>
                </c:pt>
                <c:pt idx="6238">
                  <c:v>933.85297609999998</c:v>
                </c:pt>
                <c:pt idx="6239">
                  <c:v>933.72780220000004</c:v>
                </c:pt>
                <c:pt idx="6240">
                  <c:v>933.69899999999996</c:v>
                </c:pt>
                <c:pt idx="6241">
                  <c:v>933.6</c:v>
                </c:pt>
                <c:pt idx="6242">
                  <c:v>933.17</c:v>
                </c:pt>
                <c:pt idx="6243">
                  <c:v>933.11395689999995</c:v>
                </c:pt>
                <c:pt idx="6244">
                  <c:v>933.10275530000001</c:v>
                </c:pt>
                <c:pt idx="6245">
                  <c:v>932.61599999999999</c:v>
                </c:pt>
                <c:pt idx="6246">
                  <c:v>932.42327299999999</c:v>
                </c:pt>
                <c:pt idx="6247">
                  <c:v>932.41499999999996</c:v>
                </c:pt>
                <c:pt idx="6248">
                  <c:v>932</c:v>
                </c:pt>
                <c:pt idx="6249">
                  <c:v>932</c:v>
                </c:pt>
                <c:pt idx="6250">
                  <c:v>931.04190519999997</c:v>
                </c:pt>
                <c:pt idx="6251">
                  <c:v>930.98500000000001</c:v>
                </c:pt>
                <c:pt idx="6252">
                  <c:v>930.64</c:v>
                </c:pt>
                <c:pt idx="6253">
                  <c:v>930.61392990000002</c:v>
                </c:pt>
                <c:pt idx="6254">
                  <c:v>930.07975850000003</c:v>
                </c:pt>
                <c:pt idx="6255">
                  <c:v>930.06686930000001</c:v>
                </c:pt>
                <c:pt idx="6256">
                  <c:v>929.66053739999995</c:v>
                </c:pt>
                <c:pt idx="6257">
                  <c:v>929.54023410000002</c:v>
                </c:pt>
                <c:pt idx="6258">
                  <c:v>928.89</c:v>
                </c:pt>
                <c:pt idx="6259">
                  <c:v>928.53792469999996</c:v>
                </c:pt>
                <c:pt idx="6260">
                  <c:v>928.27916960000005</c:v>
                </c:pt>
                <c:pt idx="6261">
                  <c:v>927.58848569999998</c:v>
                </c:pt>
                <c:pt idx="6262">
                  <c:v>927.2</c:v>
                </c:pt>
                <c:pt idx="6263">
                  <c:v>927.2</c:v>
                </c:pt>
                <c:pt idx="6264">
                  <c:v>926.89780180000002</c:v>
                </c:pt>
                <c:pt idx="6265">
                  <c:v>926.88724979999995</c:v>
                </c:pt>
                <c:pt idx="6266">
                  <c:v>926.84341040000004</c:v>
                </c:pt>
                <c:pt idx="6267">
                  <c:v>926.60126660000003</c:v>
                </c:pt>
                <c:pt idx="6268">
                  <c:v>925.51643390000004</c:v>
                </c:pt>
                <c:pt idx="6269">
                  <c:v>925.28416809999999</c:v>
                </c:pt>
                <c:pt idx="6270">
                  <c:v>924.96560680000005</c:v>
                </c:pt>
                <c:pt idx="6271">
                  <c:v>924.64700000000005</c:v>
                </c:pt>
                <c:pt idx="6272">
                  <c:v>924</c:v>
                </c:pt>
                <c:pt idx="6273">
                  <c:v>923.2</c:v>
                </c:pt>
                <c:pt idx="6274">
                  <c:v>923.2</c:v>
                </c:pt>
                <c:pt idx="6275">
                  <c:v>923.00255890000005</c:v>
                </c:pt>
                <c:pt idx="6276">
                  <c:v>923.00255890000005</c:v>
                </c:pt>
                <c:pt idx="6277">
                  <c:v>922.41499999999996</c:v>
                </c:pt>
                <c:pt idx="6278">
                  <c:v>921.625</c:v>
                </c:pt>
                <c:pt idx="6279">
                  <c:v>921.6</c:v>
                </c:pt>
                <c:pt idx="6280">
                  <c:v>921.6</c:v>
                </c:pt>
                <c:pt idx="6281">
                  <c:v>920.54200000000003</c:v>
                </c:pt>
                <c:pt idx="6282">
                  <c:v>920.17</c:v>
                </c:pt>
                <c:pt idx="6283">
                  <c:v>920.13552800000002</c:v>
                </c:pt>
                <c:pt idx="6284">
                  <c:v>920</c:v>
                </c:pt>
                <c:pt idx="6285">
                  <c:v>919.99096269999995</c:v>
                </c:pt>
                <c:pt idx="6286">
                  <c:v>919.3002788</c:v>
                </c:pt>
                <c:pt idx="6287">
                  <c:v>918.66600000000005</c:v>
                </c:pt>
                <c:pt idx="6288">
                  <c:v>918.66448800000001</c:v>
                </c:pt>
                <c:pt idx="6289">
                  <c:v>918.60959490000005</c:v>
                </c:pt>
                <c:pt idx="6290">
                  <c:v>918.41099999999994</c:v>
                </c:pt>
                <c:pt idx="6291">
                  <c:v>918.4</c:v>
                </c:pt>
                <c:pt idx="6292">
                  <c:v>918.03</c:v>
                </c:pt>
                <c:pt idx="6293">
                  <c:v>917.90099999999995</c:v>
                </c:pt>
                <c:pt idx="6294">
                  <c:v>916.99761579999995</c:v>
                </c:pt>
                <c:pt idx="6295">
                  <c:v>916.01011530000005</c:v>
                </c:pt>
                <c:pt idx="6296">
                  <c:v>916</c:v>
                </c:pt>
                <c:pt idx="6297">
                  <c:v>915.60299999999995</c:v>
                </c:pt>
                <c:pt idx="6298">
                  <c:v>915.47699999999998</c:v>
                </c:pt>
                <c:pt idx="6299">
                  <c:v>915.255</c:v>
                </c:pt>
                <c:pt idx="6300">
                  <c:v>915.2</c:v>
                </c:pt>
                <c:pt idx="6301">
                  <c:v>914.83864240000003</c:v>
                </c:pt>
                <c:pt idx="6302">
                  <c:v>914.33381829999996</c:v>
                </c:pt>
                <c:pt idx="6303">
                  <c:v>914.25136799999996</c:v>
                </c:pt>
                <c:pt idx="6304">
                  <c:v>914.0068076</c:v>
                </c:pt>
                <c:pt idx="6305">
                  <c:v>913.51584800000001</c:v>
                </c:pt>
                <c:pt idx="6306">
                  <c:v>912.04480799999999</c:v>
                </c:pt>
                <c:pt idx="6307">
                  <c:v>912</c:v>
                </c:pt>
                <c:pt idx="6308">
                  <c:v>911.70275579999998</c:v>
                </c:pt>
                <c:pt idx="6309">
                  <c:v>911.70275579999998</c:v>
                </c:pt>
                <c:pt idx="6310">
                  <c:v>911.69491830000004</c:v>
                </c:pt>
                <c:pt idx="6311">
                  <c:v>911.51455669999996</c:v>
                </c:pt>
                <c:pt idx="6312">
                  <c:v>911.18792710000002</c:v>
                </c:pt>
                <c:pt idx="6313">
                  <c:v>910.899</c:v>
                </c:pt>
                <c:pt idx="6314">
                  <c:v>910.32138799999996</c:v>
                </c:pt>
                <c:pt idx="6315">
                  <c:v>909.10272789999999</c:v>
                </c:pt>
                <c:pt idx="6316">
                  <c:v>908.45257939999999</c:v>
                </c:pt>
                <c:pt idx="6317">
                  <c:v>908.04879549999998</c:v>
                </c:pt>
                <c:pt idx="6318">
                  <c:v>907.91499999999996</c:v>
                </c:pt>
                <c:pt idx="6319">
                  <c:v>907.55865240000003</c:v>
                </c:pt>
                <c:pt idx="6320">
                  <c:v>906.4</c:v>
                </c:pt>
                <c:pt idx="6321">
                  <c:v>906.4</c:v>
                </c:pt>
                <c:pt idx="6322">
                  <c:v>906.23512940000001</c:v>
                </c:pt>
                <c:pt idx="6323">
                  <c:v>906.16064789999996</c:v>
                </c:pt>
                <c:pt idx="6324">
                  <c:v>906.16064789999996</c:v>
                </c:pt>
                <c:pt idx="6325">
                  <c:v>906.12076160000004</c:v>
                </c:pt>
                <c:pt idx="6326">
                  <c:v>905.87699999999995</c:v>
                </c:pt>
                <c:pt idx="6327">
                  <c:v>905.6</c:v>
                </c:pt>
                <c:pt idx="6328">
                  <c:v>905.57315129999995</c:v>
                </c:pt>
                <c:pt idx="6329">
                  <c:v>905.47699999999998</c:v>
                </c:pt>
                <c:pt idx="6330">
                  <c:v>905.42512790000001</c:v>
                </c:pt>
                <c:pt idx="6331">
                  <c:v>905.25900000000001</c:v>
                </c:pt>
                <c:pt idx="6332">
                  <c:v>905.101</c:v>
                </c:pt>
                <c:pt idx="6333">
                  <c:v>904.8</c:v>
                </c:pt>
                <c:pt idx="6334">
                  <c:v>904.38346879999995</c:v>
                </c:pt>
                <c:pt idx="6335">
                  <c:v>904.05700000000002</c:v>
                </c:pt>
                <c:pt idx="6336">
                  <c:v>904</c:v>
                </c:pt>
                <c:pt idx="6337">
                  <c:v>904</c:v>
                </c:pt>
                <c:pt idx="6338">
                  <c:v>903.90830000000005</c:v>
                </c:pt>
                <c:pt idx="6339">
                  <c:v>903.81218579999995</c:v>
                </c:pt>
                <c:pt idx="6340">
                  <c:v>903.73500000000001</c:v>
                </c:pt>
                <c:pt idx="6341">
                  <c:v>903.2</c:v>
                </c:pt>
                <c:pt idx="6342">
                  <c:v>902.48304789999997</c:v>
                </c:pt>
                <c:pt idx="6343">
                  <c:v>902.10199999999998</c:v>
                </c:pt>
                <c:pt idx="6344">
                  <c:v>901.6</c:v>
                </c:pt>
                <c:pt idx="6345">
                  <c:v>900.70399999999995</c:v>
                </c:pt>
                <c:pt idx="6346">
                  <c:v>900.697</c:v>
                </c:pt>
                <c:pt idx="6347">
                  <c:v>900.20293590000006</c:v>
                </c:pt>
                <c:pt idx="6348">
                  <c:v>900.07899999999995</c:v>
                </c:pt>
                <c:pt idx="6349">
                  <c:v>899.68680889999996</c:v>
                </c:pt>
                <c:pt idx="6350">
                  <c:v>899.54096779999998</c:v>
                </c:pt>
                <c:pt idx="6351">
                  <c:v>899.2</c:v>
                </c:pt>
                <c:pt idx="6352">
                  <c:v>898.8076873</c:v>
                </c:pt>
                <c:pt idx="6353">
                  <c:v>898.59307980000006</c:v>
                </c:pt>
                <c:pt idx="6354">
                  <c:v>898.57399999999996</c:v>
                </c:pt>
                <c:pt idx="6355">
                  <c:v>898.4</c:v>
                </c:pt>
                <c:pt idx="6356">
                  <c:v>898.15499999999997</c:v>
                </c:pt>
                <c:pt idx="6357">
                  <c:v>898.06992779999996</c:v>
                </c:pt>
                <c:pt idx="6358">
                  <c:v>897.95</c:v>
                </c:pt>
                <c:pt idx="6359">
                  <c:v>897.6</c:v>
                </c:pt>
                <c:pt idx="6360">
                  <c:v>896.5866608</c:v>
                </c:pt>
                <c:pt idx="6361">
                  <c:v>896</c:v>
                </c:pt>
                <c:pt idx="6362">
                  <c:v>895.82429019999995</c:v>
                </c:pt>
                <c:pt idx="6363">
                  <c:v>895.12634209999999</c:v>
                </c:pt>
                <c:pt idx="6364">
                  <c:v>895.12634209999999</c:v>
                </c:pt>
                <c:pt idx="6365">
                  <c:v>895.03278439999997</c:v>
                </c:pt>
                <c:pt idx="6366">
                  <c:v>894.90547949999996</c:v>
                </c:pt>
                <c:pt idx="6367">
                  <c:v>894.81299999999999</c:v>
                </c:pt>
                <c:pt idx="6368">
                  <c:v>894.4</c:v>
                </c:pt>
                <c:pt idx="6369">
                  <c:v>893.74152089999995</c:v>
                </c:pt>
                <c:pt idx="6370">
                  <c:v>892.92128779999996</c:v>
                </c:pt>
                <c:pt idx="6371">
                  <c:v>892.8</c:v>
                </c:pt>
                <c:pt idx="6372">
                  <c:v>892.8</c:v>
                </c:pt>
                <c:pt idx="6373">
                  <c:v>891.92503169999998</c:v>
                </c:pt>
                <c:pt idx="6374">
                  <c:v>891.67292259999999</c:v>
                </c:pt>
                <c:pt idx="6375">
                  <c:v>891.67292259999999</c:v>
                </c:pt>
                <c:pt idx="6376">
                  <c:v>891.524</c:v>
                </c:pt>
                <c:pt idx="6377">
                  <c:v>891.26700000000005</c:v>
                </c:pt>
                <c:pt idx="6378">
                  <c:v>890.71472779999999</c:v>
                </c:pt>
                <c:pt idx="6379">
                  <c:v>890.4</c:v>
                </c:pt>
                <c:pt idx="6380">
                  <c:v>890.4</c:v>
                </c:pt>
                <c:pt idx="6381">
                  <c:v>889.70078190000004</c:v>
                </c:pt>
                <c:pt idx="6382">
                  <c:v>889.36800000000005</c:v>
                </c:pt>
                <c:pt idx="6383">
                  <c:v>889.26980000000003</c:v>
                </c:pt>
                <c:pt idx="6384">
                  <c:v>889.24368779999998</c:v>
                </c:pt>
                <c:pt idx="6385">
                  <c:v>889.005</c:v>
                </c:pt>
                <c:pt idx="6386">
                  <c:v>888.91018689999999</c:v>
                </c:pt>
                <c:pt idx="6387">
                  <c:v>888.25199999999995</c:v>
                </c:pt>
                <c:pt idx="6388">
                  <c:v>888.08199999999999</c:v>
                </c:pt>
                <c:pt idx="6389">
                  <c:v>888.07704950000004</c:v>
                </c:pt>
                <c:pt idx="6390">
                  <c:v>888.05622519999997</c:v>
                </c:pt>
                <c:pt idx="6391">
                  <c:v>888</c:v>
                </c:pt>
                <c:pt idx="6392">
                  <c:v>887.26400000000001</c:v>
                </c:pt>
                <c:pt idx="6393">
                  <c:v>887.07987460000004</c:v>
                </c:pt>
                <c:pt idx="6394">
                  <c:v>886.36599999999999</c:v>
                </c:pt>
                <c:pt idx="6395">
                  <c:v>886.20097929999997</c:v>
                </c:pt>
                <c:pt idx="6396">
                  <c:v>886.19299999999998</c:v>
                </c:pt>
                <c:pt idx="6397">
                  <c:v>885.90861140000004</c:v>
                </c:pt>
                <c:pt idx="6398">
                  <c:v>885.46851230000004</c:v>
                </c:pt>
                <c:pt idx="6399">
                  <c:v>884.928</c:v>
                </c:pt>
                <c:pt idx="6400">
                  <c:v>883.31539650000002</c:v>
                </c:pt>
                <c:pt idx="6401">
                  <c:v>883.2</c:v>
                </c:pt>
                <c:pt idx="6402">
                  <c:v>882.85247890000005</c:v>
                </c:pt>
                <c:pt idx="6403">
                  <c:v>882.84166549999998</c:v>
                </c:pt>
                <c:pt idx="6404">
                  <c:v>882.82353499999999</c:v>
                </c:pt>
                <c:pt idx="6405">
                  <c:v>882.69403179999995</c:v>
                </c:pt>
                <c:pt idx="6406">
                  <c:v>882.65099999999995</c:v>
                </c:pt>
                <c:pt idx="6407">
                  <c:v>882.62400769999999</c:v>
                </c:pt>
                <c:pt idx="6408">
                  <c:v>882.57899999999995</c:v>
                </c:pt>
                <c:pt idx="6409">
                  <c:v>882.10638549999999</c:v>
                </c:pt>
                <c:pt idx="6410">
                  <c:v>881.61199999999997</c:v>
                </c:pt>
                <c:pt idx="6411">
                  <c:v>881.45269210000004</c:v>
                </c:pt>
                <c:pt idx="6412">
                  <c:v>881.34512229999996</c:v>
                </c:pt>
                <c:pt idx="6413">
                  <c:v>880.93799999999999</c:v>
                </c:pt>
                <c:pt idx="6414">
                  <c:v>880.8</c:v>
                </c:pt>
                <c:pt idx="6415">
                  <c:v>880.62198009999997</c:v>
                </c:pt>
                <c:pt idx="6416">
                  <c:v>880</c:v>
                </c:pt>
                <c:pt idx="6417">
                  <c:v>879.93129620000002</c:v>
                </c:pt>
                <c:pt idx="6418">
                  <c:v>879.73041330000001</c:v>
                </c:pt>
                <c:pt idx="6419">
                  <c:v>879.24061219999999</c:v>
                </c:pt>
                <c:pt idx="6420">
                  <c:v>879.00940560000004</c:v>
                </c:pt>
                <c:pt idx="6421">
                  <c:v>878.54462990000002</c:v>
                </c:pt>
                <c:pt idx="6422">
                  <c:v>878.4</c:v>
                </c:pt>
                <c:pt idx="6423">
                  <c:v>877.88109540000005</c:v>
                </c:pt>
                <c:pt idx="6424">
                  <c:v>877.6</c:v>
                </c:pt>
                <c:pt idx="6425">
                  <c:v>877.3750632</c:v>
                </c:pt>
                <c:pt idx="6426">
                  <c:v>876.80499999999995</c:v>
                </c:pt>
                <c:pt idx="6427">
                  <c:v>876.8</c:v>
                </c:pt>
                <c:pt idx="6428">
                  <c:v>876.8</c:v>
                </c:pt>
                <c:pt idx="6429">
                  <c:v>876.8</c:v>
                </c:pt>
                <c:pt idx="6430">
                  <c:v>876.5770503</c:v>
                </c:pt>
                <c:pt idx="6431">
                  <c:v>876.38300000000004</c:v>
                </c:pt>
                <c:pt idx="6432">
                  <c:v>876.00432760000001</c:v>
                </c:pt>
                <c:pt idx="6433">
                  <c:v>875.78719269999999</c:v>
                </c:pt>
                <c:pt idx="6434">
                  <c:v>875.2</c:v>
                </c:pt>
                <c:pt idx="6435">
                  <c:v>874.72452280000005</c:v>
                </c:pt>
                <c:pt idx="6436">
                  <c:v>874.26015359999997</c:v>
                </c:pt>
                <c:pt idx="6437">
                  <c:v>874.20500000000004</c:v>
                </c:pt>
                <c:pt idx="6438">
                  <c:v>873.06224759999998</c:v>
                </c:pt>
                <c:pt idx="6439">
                  <c:v>873.01300000000003</c:v>
                </c:pt>
                <c:pt idx="6440">
                  <c:v>872.97411939999995</c:v>
                </c:pt>
                <c:pt idx="6441">
                  <c:v>872.06454940000003</c:v>
                </c:pt>
                <c:pt idx="6442">
                  <c:v>871.99599999999998</c:v>
                </c:pt>
                <c:pt idx="6443">
                  <c:v>871.64308930000004</c:v>
                </c:pt>
                <c:pt idx="6444">
                  <c:v>871.2</c:v>
                </c:pt>
                <c:pt idx="6445">
                  <c:v>870.54700000000003</c:v>
                </c:pt>
                <c:pt idx="6446">
                  <c:v>870.30399999999997</c:v>
                </c:pt>
                <c:pt idx="6447">
                  <c:v>870.26819999999998</c:v>
                </c:pt>
                <c:pt idx="6448">
                  <c:v>870.26172150000002</c:v>
                </c:pt>
                <c:pt idx="6449">
                  <c:v>869.63300000000004</c:v>
                </c:pt>
                <c:pt idx="6450">
                  <c:v>869.48699999999997</c:v>
                </c:pt>
                <c:pt idx="6451">
                  <c:v>866.89200000000005</c:v>
                </c:pt>
                <c:pt idx="6452">
                  <c:v>866.16399999999999</c:v>
                </c:pt>
                <c:pt idx="6453">
                  <c:v>866.12711490000004</c:v>
                </c:pt>
                <c:pt idx="6454">
                  <c:v>864.86099999999999</c:v>
                </c:pt>
                <c:pt idx="6455">
                  <c:v>864.8</c:v>
                </c:pt>
                <c:pt idx="6456">
                  <c:v>864.1732442</c:v>
                </c:pt>
                <c:pt idx="6457">
                  <c:v>863.60500000000002</c:v>
                </c:pt>
                <c:pt idx="6458">
                  <c:v>863.52003669999999</c:v>
                </c:pt>
                <c:pt idx="6459">
                  <c:v>863.2</c:v>
                </c:pt>
                <c:pt idx="6460">
                  <c:v>862.41340000000002</c:v>
                </c:pt>
                <c:pt idx="6461">
                  <c:v>861.97351460000004</c:v>
                </c:pt>
                <c:pt idx="6462">
                  <c:v>861.226</c:v>
                </c:pt>
                <c:pt idx="6463">
                  <c:v>860.96937930000001</c:v>
                </c:pt>
                <c:pt idx="6464">
                  <c:v>860.8</c:v>
                </c:pt>
                <c:pt idx="6465">
                  <c:v>860.8</c:v>
                </c:pt>
                <c:pt idx="6466">
                  <c:v>860.71299999999997</c:v>
                </c:pt>
                <c:pt idx="6467">
                  <c:v>860.59214680000002</c:v>
                </c:pt>
                <c:pt idx="6468">
                  <c:v>860.55100000000004</c:v>
                </c:pt>
                <c:pt idx="6469">
                  <c:v>859.62400000000002</c:v>
                </c:pt>
                <c:pt idx="6470">
                  <c:v>859.41793819999998</c:v>
                </c:pt>
                <c:pt idx="6471">
                  <c:v>858.74199999999996</c:v>
                </c:pt>
                <c:pt idx="6472">
                  <c:v>858.44286810000006</c:v>
                </c:pt>
                <c:pt idx="6473">
                  <c:v>858.4</c:v>
                </c:pt>
                <c:pt idx="6474">
                  <c:v>858.26646779999999</c:v>
                </c:pt>
                <c:pt idx="6475">
                  <c:v>858.24699999999996</c:v>
                </c:pt>
                <c:pt idx="6476">
                  <c:v>857.2623585</c:v>
                </c:pt>
                <c:pt idx="6477">
                  <c:v>857.08572590000006</c:v>
                </c:pt>
                <c:pt idx="6478">
                  <c:v>856.95100000000002</c:v>
                </c:pt>
                <c:pt idx="6479">
                  <c:v>856.55499999999995</c:v>
                </c:pt>
                <c:pt idx="6480">
                  <c:v>856.28030709999996</c:v>
                </c:pt>
                <c:pt idx="6481">
                  <c:v>856</c:v>
                </c:pt>
                <c:pt idx="6482">
                  <c:v>855.75735940000004</c:v>
                </c:pt>
                <c:pt idx="6483">
                  <c:v>855.542959</c:v>
                </c:pt>
                <c:pt idx="6484">
                  <c:v>855.45006609999996</c:v>
                </c:pt>
                <c:pt idx="6485">
                  <c:v>855.40893719999997</c:v>
                </c:pt>
                <c:pt idx="6486">
                  <c:v>855.2</c:v>
                </c:pt>
                <c:pt idx="6487">
                  <c:v>855.17100000000005</c:v>
                </c:pt>
                <c:pt idx="6488">
                  <c:v>854.4</c:v>
                </c:pt>
                <c:pt idx="6489">
                  <c:v>853.6</c:v>
                </c:pt>
                <c:pt idx="6490">
                  <c:v>853.22324460000004</c:v>
                </c:pt>
                <c:pt idx="6491">
                  <c:v>852.8</c:v>
                </c:pt>
                <c:pt idx="6492">
                  <c:v>852.64410169999996</c:v>
                </c:pt>
                <c:pt idx="6493">
                  <c:v>851.93646439999998</c:v>
                </c:pt>
                <c:pt idx="6494">
                  <c:v>851.52910210000005</c:v>
                </c:pt>
                <c:pt idx="6495">
                  <c:v>851.21500000000003</c:v>
                </c:pt>
                <c:pt idx="6496">
                  <c:v>851.2</c:v>
                </c:pt>
                <c:pt idx="6497">
                  <c:v>850.4</c:v>
                </c:pt>
                <c:pt idx="6498">
                  <c:v>850.34100000000001</c:v>
                </c:pt>
                <c:pt idx="6499">
                  <c:v>849.97036990000004</c:v>
                </c:pt>
                <c:pt idx="6500">
                  <c:v>848.85052040000005</c:v>
                </c:pt>
                <c:pt idx="6501">
                  <c:v>848.79008739999995</c:v>
                </c:pt>
                <c:pt idx="6502">
                  <c:v>848.48419999999999</c:v>
                </c:pt>
                <c:pt idx="6503">
                  <c:v>848.16156320000005</c:v>
                </c:pt>
                <c:pt idx="6504">
                  <c:v>848.15983649999998</c:v>
                </c:pt>
                <c:pt idx="6505">
                  <c:v>848</c:v>
                </c:pt>
                <c:pt idx="6506">
                  <c:v>847.2717672</c:v>
                </c:pt>
                <c:pt idx="6507">
                  <c:v>846.34632220000003</c:v>
                </c:pt>
                <c:pt idx="6508">
                  <c:v>846.00430540000002</c:v>
                </c:pt>
                <c:pt idx="6509">
                  <c:v>845.6</c:v>
                </c:pt>
                <c:pt idx="6510">
                  <c:v>845.36900000000003</c:v>
                </c:pt>
                <c:pt idx="6511">
                  <c:v>845.33299999999997</c:v>
                </c:pt>
                <c:pt idx="6512">
                  <c:v>845.27018769999995</c:v>
                </c:pt>
                <c:pt idx="6513">
                  <c:v>844.80656610000005</c:v>
                </c:pt>
                <c:pt idx="6514">
                  <c:v>844.70641699999999</c:v>
                </c:pt>
                <c:pt idx="6515">
                  <c:v>843.91818679999994</c:v>
                </c:pt>
                <c:pt idx="6516">
                  <c:v>843.71355879999999</c:v>
                </c:pt>
                <c:pt idx="6517">
                  <c:v>843.2</c:v>
                </c:pt>
                <c:pt idx="6518">
                  <c:v>842.75300000000004</c:v>
                </c:pt>
                <c:pt idx="6519">
                  <c:v>842.17040729999997</c:v>
                </c:pt>
                <c:pt idx="6520">
                  <c:v>842.08075499999995</c:v>
                </c:pt>
                <c:pt idx="6521">
                  <c:v>840.56231349999996</c:v>
                </c:pt>
                <c:pt idx="6522">
                  <c:v>840</c:v>
                </c:pt>
                <c:pt idx="6523">
                  <c:v>840</c:v>
                </c:pt>
                <c:pt idx="6524">
                  <c:v>839.55499999999995</c:v>
                </c:pt>
                <c:pt idx="6525">
                  <c:v>839.44</c:v>
                </c:pt>
                <c:pt idx="6526">
                  <c:v>838.4</c:v>
                </c:pt>
                <c:pt idx="6527">
                  <c:v>838.4</c:v>
                </c:pt>
                <c:pt idx="6528">
                  <c:v>837.48054790000003</c:v>
                </c:pt>
                <c:pt idx="6529">
                  <c:v>837.02773860000002</c:v>
                </c:pt>
                <c:pt idx="6530">
                  <c:v>836.8</c:v>
                </c:pt>
                <c:pt idx="6531">
                  <c:v>836.63997859999995</c:v>
                </c:pt>
                <c:pt idx="6532">
                  <c:v>836</c:v>
                </c:pt>
                <c:pt idx="6533">
                  <c:v>835.98548259999995</c:v>
                </c:pt>
                <c:pt idx="6534">
                  <c:v>835.72752620000006</c:v>
                </c:pt>
                <c:pt idx="6535">
                  <c:v>835.51900000000001</c:v>
                </c:pt>
                <c:pt idx="6536">
                  <c:v>833.86181629999999</c:v>
                </c:pt>
                <c:pt idx="6537">
                  <c:v>833.36300000000006</c:v>
                </c:pt>
                <c:pt idx="6538">
                  <c:v>832.26906870000005</c:v>
                </c:pt>
                <c:pt idx="6539">
                  <c:v>831.2</c:v>
                </c:pt>
                <c:pt idx="6540">
                  <c:v>831.19001309999999</c:v>
                </c:pt>
                <c:pt idx="6541">
                  <c:v>831.13760730000001</c:v>
                </c:pt>
                <c:pt idx="6542">
                  <c:v>830.09733949999998</c:v>
                </c:pt>
                <c:pt idx="6543">
                  <c:v>829.98599999999999</c:v>
                </c:pt>
                <c:pt idx="6544">
                  <c:v>829.6</c:v>
                </c:pt>
                <c:pt idx="6545">
                  <c:v>829.11300000000006</c:v>
                </c:pt>
                <c:pt idx="6546">
                  <c:v>828.8</c:v>
                </c:pt>
                <c:pt idx="6547">
                  <c:v>828.8</c:v>
                </c:pt>
                <c:pt idx="6548">
                  <c:v>828.8</c:v>
                </c:pt>
                <c:pt idx="6549">
                  <c:v>828.45861279999997</c:v>
                </c:pt>
                <c:pt idx="6550">
                  <c:v>828.43</c:v>
                </c:pt>
                <c:pt idx="6551">
                  <c:v>828.21610080000005</c:v>
                </c:pt>
                <c:pt idx="6552">
                  <c:v>827.53263979999997</c:v>
                </c:pt>
                <c:pt idx="6553">
                  <c:v>827.2</c:v>
                </c:pt>
                <c:pt idx="6554">
                  <c:v>826.74863540000001</c:v>
                </c:pt>
                <c:pt idx="6555">
                  <c:v>826.66316329999995</c:v>
                </c:pt>
                <c:pt idx="6556">
                  <c:v>826.58429999999998</c:v>
                </c:pt>
                <c:pt idx="6557">
                  <c:v>826.4</c:v>
                </c:pt>
                <c:pt idx="6558">
                  <c:v>825.91499999999996</c:v>
                </c:pt>
                <c:pt idx="6559">
                  <c:v>825.6</c:v>
                </c:pt>
                <c:pt idx="6560">
                  <c:v>824.19399999999996</c:v>
                </c:pt>
                <c:pt idx="6561">
                  <c:v>823.78240719999997</c:v>
                </c:pt>
                <c:pt idx="6562">
                  <c:v>823.55470030000004</c:v>
                </c:pt>
                <c:pt idx="6563">
                  <c:v>823.29521590000002</c:v>
                </c:pt>
                <c:pt idx="6564">
                  <c:v>823.29521590000002</c:v>
                </c:pt>
                <c:pt idx="6565">
                  <c:v>822.69107940000004</c:v>
                </c:pt>
                <c:pt idx="6566">
                  <c:v>822.30700000000002</c:v>
                </c:pt>
                <c:pt idx="6567">
                  <c:v>822.23299999999995</c:v>
                </c:pt>
                <c:pt idx="6568">
                  <c:v>821.22316409999996</c:v>
                </c:pt>
                <c:pt idx="6569">
                  <c:v>820.8</c:v>
                </c:pt>
                <c:pt idx="6570">
                  <c:v>820.68600000000004</c:v>
                </c:pt>
                <c:pt idx="6571">
                  <c:v>820.53248020000001</c:v>
                </c:pt>
                <c:pt idx="6572">
                  <c:v>820.51032859999998</c:v>
                </c:pt>
                <c:pt idx="6573">
                  <c:v>820</c:v>
                </c:pt>
                <c:pt idx="6574">
                  <c:v>819.43088690000002</c:v>
                </c:pt>
                <c:pt idx="6575">
                  <c:v>819.34559999999999</c:v>
                </c:pt>
                <c:pt idx="6576">
                  <c:v>818.6337671</c:v>
                </c:pt>
                <c:pt idx="6577">
                  <c:v>818.4</c:v>
                </c:pt>
                <c:pt idx="6578">
                  <c:v>817.35599999999999</c:v>
                </c:pt>
                <c:pt idx="6579">
                  <c:v>817.35120410000002</c:v>
                </c:pt>
                <c:pt idx="6580">
                  <c:v>816.42720710000003</c:v>
                </c:pt>
                <c:pt idx="6581">
                  <c:v>816</c:v>
                </c:pt>
                <c:pt idx="6582">
                  <c:v>815.69769289999999</c:v>
                </c:pt>
                <c:pt idx="6583">
                  <c:v>815.37640139999996</c:v>
                </c:pt>
                <c:pt idx="6584">
                  <c:v>815.37640139999996</c:v>
                </c:pt>
                <c:pt idx="6585">
                  <c:v>814.76585130000001</c:v>
                </c:pt>
                <c:pt idx="6586">
                  <c:v>813.62564120000002</c:v>
                </c:pt>
                <c:pt idx="6587">
                  <c:v>813.62564120000002</c:v>
                </c:pt>
                <c:pt idx="6588">
                  <c:v>813.60140000000001</c:v>
                </c:pt>
                <c:pt idx="6589">
                  <c:v>813.6</c:v>
                </c:pt>
                <c:pt idx="6590">
                  <c:v>812.64400000000001</c:v>
                </c:pt>
                <c:pt idx="6591">
                  <c:v>812.40200000000004</c:v>
                </c:pt>
                <c:pt idx="6592">
                  <c:v>812.06299999999999</c:v>
                </c:pt>
                <c:pt idx="6593">
                  <c:v>812</c:v>
                </c:pt>
                <c:pt idx="6594">
                  <c:v>811.98099999999999</c:v>
                </c:pt>
                <c:pt idx="6595">
                  <c:v>811.50933650000002</c:v>
                </c:pt>
                <c:pt idx="6596">
                  <c:v>810.39700000000005</c:v>
                </c:pt>
                <c:pt idx="6597">
                  <c:v>809.48153769999999</c:v>
                </c:pt>
                <c:pt idx="6598">
                  <c:v>809.24198730000001</c:v>
                </c:pt>
                <c:pt idx="6599">
                  <c:v>808.8</c:v>
                </c:pt>
                <c:pt idx="6600">
                  <c:v>807.60096699999997</c:v>
                </c:pt>
                <c:pt idx="6601">
                  <c:v>806.86544700000002</c:v>
                </c:pt>
                <c:pt idx="6602">
                  <c:v>806.51199999999994</c:v>
                </c:pt>
                <c:pt idx="6603">
                  <c:v>806.12992699999995</c:v>
                </c:pt>
                <c:pt idx="6604">
                  <c:v>806.02700000000004</c:v>
                </c:pt>
                <c:pt idx="6605">
                  <c:v>805.6</c:v>
                </c:pt>
                <c:pt idx="6606">
                  <c:v>804.96100000000001</c:v>
                </c:pt>
                <c:pt idx="6607">
                  <c:v>804.64675039999997</c:v>
                </c:pt>
                <c:pt idx="6608">
                  <c:v>803.82</c:v>
                </c:pt>
                <c:pt idx="6609">
                  <c:v>803.01300000000003</c:v>
                </c:pt>
                <c:pt idx="6610">
                  <c:v>802.62199999999996</c:v>
                </c:pt>
                <c:pt idx="6611">
                  <c:v>802.29112320000002</c:v>
                </c:pt>
                <c:pt idx="6612">
                  <c:v>802.24199999999996</c:v>
                </c:pt>
                <c:pt idx="6613">
                  <c:v>802.23694190000003</c:v>
                </c:pt>
                <c:pt idx="6614">
                  <c:v>801.82993060000001</c:v>
                </c:pt>
                <c:pt idx="6615">
                  <c:v>800.50264700000002</c:v>
                </c:pt>
                <c:pt idx="6616">
                  <c:v>799.5405872</c:v>
                </c:pt>
                <c:pt idx="6617">
                  <c:v>799.2</c:v>
                </c:pt>
                <c:pt idx="6618">
                  <c:v>799.11199999999997</c:v>
                </c:pt>
                <c:pt idx="6619">
                  <c:v>799.08699999999999</c:v>
                </c:pt>
                <c:pt idx="6620">
                  <c:v>798.53026409999995</c:v>
                </c:pt>
                <c:pt idx="6621">
                  <c:v>798.4</c:v>
                </c:pt>
                <c:pt idx="6622">
                  <c:v>797.73991130000002</c:v>
                </c:pt>
                <c:pt idx="6623">
                  <c:v>797.6</c:v>
                </c:pt>
                <c:pt idx="6624">
                  <c:v>797.6</c:v>
                </c:pt>
                <c:pt idx="6625">
                  <c:v>797.58699999999999</c:v>
                </c:pt>
                <c:pt idx="6626">
                  <c:v>796.56631389999995</c:v>
                </c:pt>
                <c:pt idx="6627">
                  <c:v>795.29445109999995</c:v>
                </c:pt>
                <c:pt idx="6628">
                  <c:v>793.13477639999996</c:v>
                </c:pt>
                <c:pt idx="6629">
                  <c:v>792</c:v>
                </c:pt>
                <c:pt idx="6630">
                  <c:v>791.33953910000002</c:v>
                </c:pt>
                <c:pt idx="6631">
                  <c:v>791.28369999999995</c:v>
                </c:pt>
                <c:pt idx="6632">
                  <c:v>790.38153769999997</c:v>
                </c:pt>
                <c:pt idx="6633">
                  <c:v>789.21296689999997</c:v>
                </c:pt>
                <c:pt idx="6634">
                  <c:v>788.80101909999996</c:v>
                </c:pt>
                <c:pt idx="6635">
                  <c:v>787.88075630000003</c:v>
                </c:pt>
                <c:pt idx="6636">
                  <c:v>785.53536689999999</c:v>
                </c:pt>
                <c:pt idx="6637">
                  <c:v>785.14634179999996</c:v>
                </c:pt>
                <c:pt idx="6638">
                  <c:v>784.8</c:v>
                </c:pt>
                <c:pt idx="6639">
                  <c:v>784.8</c:v>
                </c:pt>
                <c:pt idx="6640">
                  <c:v>784.74699999999996</c:v>
                </c:pt>
                <c:pt idx="6641">
                  <c:v>784.70982509999999</c:v>
                </c:pt>
                <c:pt idx="6642">
                  <c:v>782.7914389</c:v>
                </c:pt>
                <c:pt idx="6643">
                  <c:v>782.60707779999996</c:v>
                </c:pt>
                <c:pt idx="6644">
                  <c:v>782.59328679999999</c:v>
                </c:pt>
                <c:pt idx="6645">
                  <c:v>782.54486540000005</c:v>
                </c:pt>
                <c:pt idx="6646">
                  <c:v>781.83</c:v>
                </c:pt>
                <c:pt idx="6647">
                  <c:v>781.80352219999997</c:v>
                </c:pt>
                <c:pt idx="6648">
                  <c:v>780.47281369999996</c:v>
                </c:pt>
                <c:pt idx="6649">
                  <c:v>780.33399999999995</c:v>
                </c:pt>
                <c:pt idx="6650">
                  <c:v>780</c:v>
                </c:pt>
                <c:pt idx="6651">
                  <c:v>779.65120679999995</c:v>
                </c:pt>
                <c:pt idx="6652">
                  <c:v>779.2</c:v>
                </c:pt>
                <c:pt idx="6653">
                  <c:v>779.2</c:v>
                </c:pt>
                <c:pt idx="6654">
                  <c:v>778.4</c:v>
                </c:pt>
                <c:pt idx="6655">
                  <c:v>777.62115249999999</c:v>
                </c:pt>
                <c:pt idx="6656">
                  <c:v>777.27200000000005</c:v>
                </c:pt>
                <c:pt idx="6657">
                  <c:v>776.4016957</c:v>
                </c:pt>
                <c:pt idx="6658">
                  <c:v>776.12056670000004</c:v>
                </c:pt>
                <c:pt idx="6659">
                  <c:v>774.94734249999999</c:v>
                </c:pt>
                <c:pt idx="6660">
                  <c:v>774.4</c:v>
                </c:pt>
                <c:pt idx="6661">
                  <c:v>773.49022130000003</c:v>
                </c:pt>
                <c:pt idx="6662">
                  <c:v>772.29600670000002</c:v>
                </c:pt>
                <c:pt idx="6663">
                  <c:v>771.60400000000004</c:v>
                </c:pt>
                <c:pt idx="6664">
                  <c:v>771.21358729999997</c:v>
                </c:pt>
                <c:pt idx="6665">
                  <c:v>770.83699999999999</c:v>
                </c:pt>
                <c:pt idx="6666">
                  <c:v>770.80323899999996</c:v>
                </c:pt>
                <c:pt idx="6667">
                  <c:v>770.80323899999996</c:v>
                </c:pt>
                <c:pt idx="6668">
                  <c:v>769.6</c:v>
                </c:pt>
                <c:pt idx="6669">
                  <c:v>768.029</c:v>
                </c:pt>
                <c:pt idx="6670">
                  <c:v>768</c:v>
                </c:pt>
                <c:pt idx="6671">
                  <c:v>767.60199999999998</c:v>
                </c:pt>
                <c:pt idx="6672">
                  <c:v>764</c:v>
                </c:pt>
                <c:pt idx="6673">
                  <c:v>762.51503209999998</c:v>
                </c:pt>
                <c:pt idx="6674">
                  <c:v>761.97888880000005</c:v>
                </c:pt>
                <c:pt idx="6675">
                  <c:v>761.65854860000002</c:v>
                </c:pt>
                <c:pt idx="6676">
                  <c:v>760</c:v>
                </c:pt>
                <c:pt idx="6677">
                  <c:v>759.79216659999997</c:v>
                </c:pt>
                <c:pt idx="6678">
                  <c:v>759.47500000000002</c:v>
                </c:pt>
                <c:pt idx="6679">
                  <c:v>759.2</c:v>
                </c:pt>
                <c:pt idx="6680">
                  <c:v>758.12830910000002</c:v>
                </c:pt>
                <c:pt idx="6681">
                  <c:v>758.12830910000002</c:v>
                </c:pt>
                <c:pt idx="6682">
                  <c:v>756.98956090000001</c:v>
                </c:pt>
                <c:pt idx="6683">
                  <c:v>756.98956090000001</c:v>
                </c:pt>
                <c:pt idx="6684">
                  <c:v>756.62699999999995</c:v>
                </c:pt>
                <c:pt idx="6685">
                  <c:v>756.27099999999996</c:v>
                </c:pt>
                <c:pt idx="6686">
                  <c:v>755.2</c:v>
                </c:pt>
                <c:pt idx="6687">
                  <c:v>754.85698950000005</c:v>
                </c:pt>
                <c:pt idx="6688">
                  <c:v>754.4</c:v>
                </c:pt>
                <c:pt idx="6689">
                  <c:v>753.77300000000002</c:v>
                </c:pt>
                <c:pt idx="6690">
                  <c:v>752.97900000000004</c:v>
                </c:pt>
                <c:pt idx="6691">
                  <c:v>752.8</c:v>
                </c:pt>
                <c:pt idx="6692">
                  <c:v>752.1547736</c:v>
                </c:pt>
                <c:pt idx="6693">
                  <c:v>750.23040649999996</c:v>
                </c:pt>
                <c:pt idx="6694">
                  <c:v>750.08199999999999</c:v>
                </c:pt>
                <c:pt idx="6695">
                  <c:v>747.14490009999997</c:v>
                </c:pt>
                <c:pt idx="6696">
                  <c:v>746.53533789999994</c:v>
                </c:pt>
                <c:pt idx="6697">
                  <c:v>745.0430308</c:v>
                </c:pt>
                <c:pt idx="6698">
                  <c:v>743.17588279999995</c:v>
                </c:pt>
                <c:pt idx="6699">
                  <c:v>741.77171120000003</c:v>
                </c:pt>
                <c:pt idx="6700">
                  <c:v>741.6</c:v>
                </c:pt>
                <c:pt idx="6701">
                  <c:v>741.6</c:v>
                </c:pt>
                <c:pt idx="6702">
                  <c:v>740.53499999999997</c:v>
                </c:pt>
                <c:pt idx="6703">
                  <c:v>740.23699999999997</c:v>
                </c:pt>
                <c:pt idx="6704">
                  <c:v>739.31822160000002</c:v>
                </c:pt>
                <c:pt idx="6705">
                  <c:v>739.03177930000004</c:v>
                </c:pt>
                <c:pt idx="6706">
                  <c:v>738.4</c:v>
                </c:pt>
                <c:pt idx="6707">
                  <c:v>738.09127190000004</c:v>
                </c:pt>
                <c:pt idx="6708">
                  <c:v>736.95972759999995</c:v>
                </c:pt>
                <c:pt idx="6709">
                  <c:v>734.68059419999997</c:v>
                </c:pt>
                <c:pt idx="6710">
                  <c:v>734.4697688</c:v>
                </c:pt>
                <c:pt idx="6711">
                  <c:v>734.4</c:v>
                </c:pt>
                <c:pt idx="6712">
                  <c:v>733.59341229999995</c:v>
                </c:pt>
                <c:pt idx="6713">
                  <c:v>730.05288859999996</c:v>
                </c:pt>
                <c:pt idx="6714">
                  <c:v>729.6</c:v>
                </c:pt>
                <c:pt idx="6715">
                  <c:v>729.50426289999996</c:v>
                </c:pt>
                <c:pt idx="6716">
                  <c:v>728.8</c:v>
                </c:pt>
                <c:pt idx="6717">
                  <c:v>728.45918080000001</c:v>
                </c:pt>
                <c:pt idx="6718">
                  <c:v>727.59491720000005</c:v>
                </c:pt>
                <c:pt idx="6719">
                  <c:v>727.2</c:v>
                </c:pt>
                <c:pt idx="6720">
                  <c:v>726.71400000000006</c:v>
                </c:pt>
                <c:pt idx="6721">
                  <c:v>725.6</c:v>
                </c:pt>
                <c:pt idx="6722">
                  <c:v>724.5972835</c:v>
                </c:pt>
                <c:pt idx="6723">
                  <c:v>723.72900000000004</c:v>
                </c:pt>
                <c:pt idx="6724">
                  <c:v>723.2</c:v>
                </c:pt>
                <c:pt idx="6725">
                  <c:v>721.6</c:v>
                </c:pt>
                <c:pt idx="6726">
                  <c:v>720.8</c:v>
                </c:pt>
                <c:pt idx="6727">
                  <c:v>720.5878725</c:v>
                </c:pt>
                <c:pt idx="6728">
                  <c:v>720.37599999999998</c:v>
                </c:pt>
                <c:pt idx="6729">
                  <c:v>717.6</c:v>
                </c:pt>
                <c:pt idx="6730">
                  <c:v>716.923</c:v>
                </c:pt>
                <c:pt idx="6731">
                  <c:v>716.41898460000004</c:v>
                </c:pt>
                <c:pt idx="6732">
                  <c:v>716.39648629999999</c:v>
                </c:pt>
                <c:pt idx="6733">
                  <c:v>716.23921040000005</c:v>
                </c:pt>
                <c:pt idx="6734">
                  <c:v>715.84699999999998</c:v>
                </c:pt>
                <c:pt idx="6735">
                  <c:v>715.81875660000003</c:v>
                </c:pt>
                <c:pt idx="6736">
                  <c:v>715.66096619999996</c:v>
                </c:pt>
                <c:pt idx="6737">
                  <c:v>715.54852649999998</c:v>
                </c:pt>
                <c:pt idx="6738">
                  <c:v>714.16715869999996</c:v>
                </c:pt>
                <c:pt idx="6739">
                  <c:v>714.13</c:v>
                </c:pt>
                <c:pt idx="6740">
                  <c:v>713.6</c:v>
                </c:pt>
                <c:pt idx="6741">
                  <c:v>713.05774770000005</c:v>
                </c:pt>
                <c:pt idx="6742">
                  <c:v>712.78579090000005</c:v>
                </c:pt>
                <c:pt idx="6743">
                  <c:v>711.98336619999998</c:v>
                </c:pt>
                <c:pt idx="6744">
                  <c:v>709.94276330000002</c:v>
                </c:pt>
                <c:pt idx="6745">
                  <c:v>709.60699999999997</c:v>
                </c:pt>
                <c:pt idx="6746">
                  <c:v>708.8</c:v>
                </c:pt>
                <c:pt idx="6747">
                  <c:v>708.54326500000002</c:v>
                </c:pt>
                <c:pt idx="6748">
                  <c:v>707.95100360000004</c:v>
                </c:pt>
                <c:pt idx="6749">
                  <c:v>706.4</c:v>
                </c:pt>
                <c:pt idx="6750">
                  <c:v>706.09920620000003</c:v>
                </c:pt>
                <c:pt idx="6751">
                  <c:v>705.6</c:v>
                </c:pt>
                <c:pt idx="6752">
                  <c:v>704.9693661</c:v>
                </c:pt>
                <c:pt idx="6753">
                  <c:v>704.9693661</c:v>
                </c:pt>
                <c:pt idx="6754">
                  <c:v>704.87800000000004</c:v>
                </c:pt>
                <c:pt idx="6755">
                  <c:v>704</c:v>
                </c:pt>
                <c:pt idx="6756">
                  <c:v>700.8</c:v>
                </c:pt>
                <c:pt idx="6757">
                  <c:v>700.37699999999995</c:v>
                </c:pt>
                <c:pt idx="6758">
                  <c:v>699.2</c:v>
                </c:pt>
                <c:pt idx="6759">
                  <c:v>697.6</c:v>
                </c:pt>
                <c:pt idx="6760">
                  <c:v>697.26</c:v>
                </c:pt>
                <c:pt idx="6761">
                  <c:v>692.70191780000005</c:v>
                </c:pt>
                <c:pt idx="6762">
                  <c:v>691.88408790000005</c:v>
                </c:pt>
                <c:pt idx="6763">
                  <c:v>691.327</c:v>
                </c:pt>
                <c:pt idx="6764">
                  <c:v>690.74699999999996</c:v>
                </c:pt>
                <c:pt idx="6765">
                  <c:v>689.91724680000004</c:v>
                </c:pt>
                <c:pt idx="6766">
                  <c:v>689.6</c:v>
                </c:pt>
                <c:pt idx="6767">
                  <c:v>689.6</c:v>
                </c:pt>
                <c:pt idx="6768">
                  <c:v>688.60063060000004</c:v>
                </c:pt>
                <c:pt idx="6769">
                  <c:v>686.52730210000004</c:v>
                </c:pt>
                <c:pt idx="6770">
                  <c:v>686.4</c:v>
                </c:pt>
                <c:pt idx="6771">
                  <c:v>686.4</c:v>
                </c:pt>
                <c:pt idx="6772">
                  <c:v>683.53</c:v>
                </c:pt>
                <c:pt idx="6773">
                  <c:v>682.64874380000003</c:v>
                </c:pt>
                <c:pt idx="6774">
                  <c:v>680.1870404</c:v>
                </c:pt>
                <c:pt idx="6775">
                  <c:v>680.17200000000003</c:v>
                </c:pt>
                <c:pt idx="6776">
                  <c:v>679.43899999999996</c:v>
                </c:pt>
                <c:pt idx="6777">
                  <c:v>679.25099999999998</c:v>
                </c:pt>
                <c:pt idx="6778">
                  <c:v>678.56299999999999</c:v>
                </c:pt>
                <c:pt idx="6779">
                  <c:v>677.6</c:v>
                </c:pt>
                <c:pt idx="6780">
                  <c:v>676.8</c:v>
                </c:pt>
                <c:pt idx="6781">
                  <c:v>675.20736590000001</c:v>
                </c:pt>
                <c:pt idx="6782">
                  <c:v>674.84971350000001</c:v>
                </c:pt>
                <c:pt idx="6783">
                  <c:v>674.25599999999997</c:v>
                </c:pt>
                <c:pt idx="6784">
                  <c:v>673.70516880000002</c:v>
                </c:pt>
                <c:pt idx="6785">
                  <c:v>672.96768250000002</c:v>
                </c:pt>
                <c:pt idx="6786">
                  <c:v>672.00775469999996</c:v>
                </c:pt>
                <c:pt idx="6787">
                  <c:v>671.56</c:v>
                </c:pt>
                <c:pt idx="6788">
                  <c:v>671.43834059999995</c:v>
                </c:pt>
                <c:pt idx="6789">
                  <c:v>671.39792720000003</c:v>
                </c:pt>
                <c:pt idx="6790">
                  <c:v>668.8</c:v>
                </c:pt>
                <c:pt idx="6791">
                  <c:v>668.58768580000003</c:v>
                </c:pt>
                <c:pt idx="6792">
                  <c:v>667.76599999999996</c:v>
                </c:pt>
                <c:pt idx="6793">
                  <c:v>666.61295919999998</c:v>
                </c:pt>
                <c:pt idx="6794">
                  <c:v>664.43791750000003</c:v>
                </c:pt>
                <c:pt idx="6795">
                  <c:v>663.43904580000003</c:v>
                </c:pt>
                <c:pt idx="6796">
                  <c:v>662.31370019999997</c:v>
                </c:pt>
                <c:pt idx="6797">
                  <c:v>662.12599999999998</c:v>
                </c:pt>
                <c:pt idx="6798">
                  <c:v>660.13699999999994</c:v>
                </c:pt>
                <c:pt idx="6799">
                  <c:v>658.29600000000005</c:v>
                </c:pt>
                <c:pt idx="6800">
                  <c:v>657.35699999999997</c:v>
                </c:pt>
                <c:pt idx="6801">
                  <c:v>657.2479697</c:v>
                </c:pt>
                <c:pt idx="6802">
                  <c:v>656.8</c:v>
                </c:pt>
                <c:pt idx="6803">
                  <c:v>652.00560719999999</c:v>
                </c:pt>
                <c:pt idx="6804">
                  <c:v>650.26900000000001</c:v>
                </c:pt>
                <c:pt idx="6805">
                  <c:v>649.46416569999997</c:v>
                </c:pt>
                <c:pt idx="6806">
                  <c:v>646.74800000000005</c:v>
                </c:pt>
                <c:pt idx="6807">
                  <c:v>644.23233419999997</c:v>
                </c:pt>
                <c:pt idx="6808">
                  <c:v>642.91899999999998</c:v>
                </c:pt>
                <c:pt idx="6809">
                  <c:v>641.06084959999998</c:v>
                </c:pt>
                <c:pt idx="6810">
                  <c:v>639.76378890000001</c:v>
                </c:pt>
                <c:pt idx="6811">
                  <c:v>639.34450779999997</c:v>
                </c:pt>
                <c:pt idx="6812">
                  <c:v>638.4</c:v>
                </c:pt>
                <c:pt idx="6813">
                  <c:v>637.62699999999995</c:v>
                </c:pt>
                <c:pt idx="6814">
                  <c:v>636.197</c:v>
                </c:pt>
                <c:pt idx="6815">
                  <c:v>635.20000000000005</c:v>
                </c:pt>
                <c:pt idx="6816">
                  <c:v>632.529</c:v>
                </c:pt>
                <c:pt idx="6817">
                  <c:v>631.52351739999995</c:v>
                </c:pt>
                <c:pt idx="6818">
                  <c:v>627.10900000000004</c:v>
                </c:pt>
                <c:pt idx="6819">
                  <c:v>626.4</c:v>
                </c:pt>
                <c:pt idx="6820">
                  <c:v>625.81600000000003</c:v>
                </c:pt>
                <c:pt idx="6821">
                  <c:v>624.67622210000002</c:v>
                </c:pt>
                <c:pt idx="6822">
                  <c:v>624.50337479999996</c:v>
                </c:pt>
                <c:pt idx="6823">
                  <c:v>622.72199999999998</c:v>
                </c:pt>
                <c:pt idx="6824">
                  <c:v>622.30619920000004</c:v>
                </c:pt>
                <c:pt idx="6825">
                  <c:v>621.66899999999998</c:v>
                </c:pt>
                <c:pt idx="6826">
                  <c:v>619.02499999999998</c:v>
                </c:pt>
                <c:pt idx="6827">
                  <c:v>618.95897239999999</c:v>
                </c:pt>
                <c:pt idx="6828">
                  <c:v>618.40599999999995</c:v>
                </c:pt>
                <c:pt idx="6829">
                  <c:v>617.57899999999995</c:v>
                </c:pt>
                <c:pt idx="6830">
                  <c:v>615.89599999999996</c:v>
                </c:pt>
                <c:pt idx="6831">
                  <c:v>615.82590800000003</c:v>
                </c:pt>
                <c:pt idx="6832">
                  <c:v>615.27700000000004</c:v>
                </c:pt>
                <c:pt idx="6833">
                  <c:v>612.69899999999996</c:v>
                </c:pt>
                <c:pt idx="6834">
                  <c:v>609.28326890000005</c:v>
                </c:pt>
                <c:pt idx="6835">
                  <c:v>609.18320500000004</c:v>
                </c:pt>
                <c:pt idx="6836">
                  <c:v>607.80183720000002</c:v>
                </c:pt>
                <c:pt idx="6837">
                  <c:v>606.67700000000002</c:v>
                </c:pt>
                <c:pt idx="6838">
                  <c:v>606.4</c:v>
                </c:pt>
                <c:pt idx="6839">
                  <c:v>606.01194929999997</c:v>
                </c:pt>
                <c:pt idx="6840">
                  <c:v>603.31600000000003</c:v>
                </c:pt>
                <c:pt idx="6841">
                  <c:v>602.4</c:v>
                </c:pt>
                <c:pt idx="6842">
                  <c:v>602.27636600000005</c:v>
                </c:pt>
                <c:pt idx="6843">
                  <c:v>601.17899999999997</c:v>
                </c:pt>
                <c:pt idx="6844">
                  <c:v>596.79999999999995</c:v>
                </c:pt>
                <c:pt idx="6845">
                  <c:v>596.20100000000002</c:v>
                </c:pt>
                <c:pt idx="6846">
                  <c:v>596</c:v>
                </c:pt>
                <c:pt idx="6847">
                  <c:v>594.4</c:v>
                </c:pt>
                <c:pt idx="6848">
                  <c:v>594.4</c:v>
                </c:pt>
                <c:pt idx="6849">
                  <c:v>593.74450090000005</c:v>
                </c:pt>
                <c:pt idx="6850">
                  <c:v>593.572</c:v>
                </c:pt>
                <c:pt idx="6851">
                  <c:v>593.52099999999996</c:v>
                </c:pt>
                <c:pt idx="6852">
                  <c:v>592.79999999999995</c:v>
                </c:pt>
                <c:pt idx="6853">
                  <c:v>592.38599999999997</c:v>
                </c:pt>
                <c:pt idx="6854">
                  <c:v>592.27099999999996</c:v>
                </c:pt>
                <c:pt idx="6855">
                  <c:v>592.19299999999998</c:v>
                </c:pt>
                <c:pt idx="6856">
                  <c:v>587.22981709999999</c:v>
                </c:pt>
                <c:pt idx="6857">
                  <c:v>586.4</c:v>
                </c:pt>
                <c:pt idx="6858">
                  <c:v>585.84067909999999</c:v>
                </c:pt>
                <c:pt idx="6859">
                  <c:v>584.91952690000005</c:v>
                </c:pt>
                <c:pt idx="6860">
                  <c:v>583.85898210000005</c:v>
                </c:pt>
                <c:pt idx="6861">
                  <c:v>583.14499999999998</c:v>
                </c:pt>
                <c:pt idx="6862">
                  <c:v>580.79999999999995</c:v>
                </c:pt>
                <c:pt idx="6863">
                  <c:v>576.79999999999995</c:v>
                </c:pt>
                <c:pt idx="6864">
                  <c:v>574.55641200000002</c:v>
                </c:pt>
                <c:pt idx="6865">
                  <c:v>571.13</c:v>
                </c:pt>
                <c:pt idx="6866">
                  <c:v>567.80213760000004</c:v>
                </c:pt>
                <c:pt idx="6867">
                  <c:v>565.02499999999998</c:v>
                </c:pt>
                <c:pt idx="6868">
                  <c:v>563.48479499999996</c:v>
                </c:pt>
                <c:pt idx="6869">
                  <c:v>561.58100000000002</c:v>
                </c:pt>
                <c:pt idx="6870">
                  <c:v>559.19799999999998</c:v>
                </c:pt>
                <c:pt idx="6871">
                  <c:v>558.47299999999996</c:v>
                </c:pt>
                <c:pt idx="6872">
                  <c:v>557.66491299999996</c:v>
                </c:pt>
                <c:pt idx="6873">
                  <c:v>556.71111889999997</c:v>
                </c:pt>
                <c:pt idx="6874">
                  <c:v>552.93399999999997</c:v>
                </c:pt>
                <c:pt idx="6875">
                  <c:v>551.20000000000005</c:v>
                </c:pt>
                <c:pt idx="6876">
                  <c:v>551.16575690000002</c:v>
                </c:pt>
                <c:pt idx="6877">
                  <c:v>550.78324399999997</c:v>
                </c:pt>
                <c:pt idx="6878">
                  <c:v>546.31036730000005</c:v>
                </c:pt>
                <c:pt idx="6879">
                  <c:v>545.50699999999995</c:v>
                </c:pt>
                <c:pt idx="6880">
                  <c:v>544.57399999999996</c:v>
                </c:pt>
                <c:pt idx="6881">
                  <c:v>537.63007909999999</c:v>
                </c:pt>
                <c:pt idx="6882">
                  <c:v>536.72096639999995</c:v>
                </c:pt>
                <c:pt idx="6883">
                  <c:v>534.4</c:v>
                </c:pt>
                <c:pt idx="6884">
                  <c:v>533.64300000000003</c:v>
                </c:pt>
                <c:pt idx="6885">
                  <c:v>532.41399999999999</c:v>
                </c:pt>
                <c:pt idx="6886">
                  <c:v>531.20240200000001</c:v>
                </c:pt>
                <c:pt idx="6887">
                  <c:v>526.4</c:v>
                </c:pt>
                <c:pt idx="6888">
                  <c:v>524.35245369999996</c:v>
                </c:pt>
                <c:pt idx="6889">
                  <c:v>520.87581420000004</c:v>
                </c:pt>
                <c:pt idx="6890">
                  <c:v>520.63199999999995</c:v>
                </c:pt>
                <c:pt idx="6891">
                  <c:v>516.86849119999999</c:v>
                </c:pt>
                <c:pt idx="6892">
                  <c:v>512.77934170000003</c:v>
                </c:pt>
                <c:pt idx="6893">
                  <c:v>511.43934539999998</c:v>
                </c:pt>
                <c:pt idx="6894">
                  <c:v>511.27271789999998</c:v>
                </c:pt>
                <c:pt idx="6895">
                  <c:v>506.27130299999999</c:v>
                </c:pt>
                <c:pt idx="6896">
                  <c:v>505.6</c:v>
                </c:pt>
                <c:pt idx="6897">
                  <c:v>505.6</c:v>
                </c:pt>
                <c:pt idx="6898">
                  <c:v>505.286</c:v>
                </c:pt>
                <c:pt idx="6899">
                  <c:v>504</c:v>
                </c:pt>
                <c:pt idx="6900">
                  <c:v>504</c:v>
                </c:pt>
                <c:pt idx="6901">
                  <c:v>503.24799999999999</c:v>
                </c:pt>
                <c:pt idx="6902">
                  <c:v>503.2</c:v>
                </c:pt>
                <c:pt idx="6903">
                  <c:v>502.0395833</c:v>
                </c:pt>
                <c:pt idx="6904">
                  <c:v>502.0395833</c:v>
                </c:pt>
                <c:pt idx="6905">
                  <c:v>501.6</c:v>
                </c:pt>
                <c:pt idx="6906">
                  <c:v>500.197</c:v>
                </c:pt>
                <c:pt idx="6907">
                  <c:v>498.73500000000001</c:v>
                </c:pt>
                <c:pt idx="6908">
                  <c:v>498.4</c:v>
                </c:pt>
                <c:pt idx="6909">
                  <c:v>498.4</c:v>
                </c:pt>
                <c:pt idx="6910">
                  <c:v>498.4</c:v>
                </c:pt>
                <c:pt idx="6911">
                  <c:v>497.6</c:v>
                </c:pt>
                <c:pt idx="6912">
                  <c:v>496.79506270000002</c:v>
                </c:pt>
                <c:pt idx="6913">
                  <c:v>496.46136569999999</c:v>
                </c:pt>
                <c:pt idx="6914">
                  <c:v>496.46136569999999</c:v>
                </c:pt>
                <c:pt idx="6915">
                  <c:v>496.46136569999999</c:v>
                </c:pt>
                <c:pt idx="6916">
                  <c:v>495.66447749999998</c:v>
                </c:pt>
                <c:pt idx="6917">
                  <c:v>495.60491400000001</c:v>
                </c:pt>
                <c:pt idx="6918">
                  <c:v>490.41</c:v>
                </c:pt>
                <c:pt idx="6919">
                  <c:v>489.88799999999998</c:v>
                </c:pt>
                <c:pt idx="6920">
                  <c:v>487.2</c:v>
                </c:pt>
                <c:pt idx="6921">
                  <c:v>485.77768409999999</c:v>
                </c:pt>
                <c:pt idx="6922">
                  <c:v>485.6</c:v>
                </c:pt>
                <c:pt idx="6923">
                  <c:v>485.30493059999998</c:v>
                </c:pt>
                <c:pt idx="6924">
                  <c:v>484.8</c:v>
                </c:pt>
                <c:pt idx="6925">
                  <c:v>483.71115409999999</c:v>
                </c:pt>
                <c:pt idx="6926">
                  <c:v>482.5196358</c:v>
                </c:pt>
                <c:pt idx="6927">
                  <c:v>481.14699999999999</c:v>
                </c:pt>
                <c:pt idx="6928">
                  <c:v>480.8</c:v>
                </c:pt>
                <c:pt idx="6929">
                  <c:v>479.27547499999997</c:v>
                </c:pt>
                <c:pt idx="6930">
                  <c:v>478.92982469999998</c:v>
                </c:pt>
                <c:pt idx="6931">
                  <c:v>478.66906499999999</c:v>
                </c:pt>
                <c:pt idx="6932">
                  <c:v>477.6</c:v>
                </c:pt>
                <c:pt idx="6933">
                  <c:v>475.74227180000003</c:v>
                </c:pt>
                <c:pt idx="6934">
                  <c:v>472</c:v>
                </c:pt>
                <c:pt idx="6935">
                  <c:v>472</c:v>
                </c:pt>
                <c:pt idx="6936">
                  <c:v>470.57523020000002</c:v>
                </c:pt>
                <c:pt idx="6937">
                  <c:v>470.16405420000001</c:v>
                </c:pt>
                <c:pt idx="6938">
                  <c:v>469.18798620000001</c:v>
                </c:pt>
                <c:pt idx="6939">
                  <c:v>467.2</c:v>
                </c:pt>
                <c:pt idx="6940">
                  <c:v>465.38272490000003</c:v>
                </c:pt>
                <c:pt idx="6941">
                  <c:v>460.31599999999997</c:v>
                </c:pt>
                <c:pt idx="6942">
                  <c:v>458.959</c:v>
                </c:pt>
                <c:pt idx="6943">
                  <c:v>457.786</c:v>
                </c:pt>
                <c:pt idx="6944">
                  <c:v>455.68700000000001</c:v>
                </c:pt>
                <c:pt idx="6945">
                  <c:v>453.9145072</c:v>
                </c:pt>
                <c:pt idx="6946">
                  <c:v>452.84161130000001</c:v>
                </c:pt>
                <c:pt idx="6947">
                  <c:v>451.69799999999998</c:v>
                </c:pt>
                <c:pt idx="6948">
                  <c:v>451.24799999999999</c:v>
                </c:pt>
                <c:pt idx="6949">
                  <c:v>450.4</c:v>
                </c:pt>
                <c:pt idx="6950">
                  <c:v>448.64807209999998</c:v>
                </c:pt>
                <c:pt idx="6951">
                  <c:v>445.51499999999999</c:v>
                </c:pt>
                <c:pt idx="6952">
                  <c:v>442.96899999999999</c:v>
                </c:pt>
                <c:pt idx="6953">
                  <c:v>442.79048189999997</c:v>
                </c:pt>
                <c:pt idx="6954">
                  <c:v>440.81031130000002</c:v>
                </c:pt>
                <c:pt idx="6955">
                  <c:v>437.88400000000001</c:v>
                </c:pt>
                <c:pt idx="6956">
                  <c:v>436.24113510000001</c:v>
                </c:pt>
                <c:pt idx="6957">
                  <c:v>433.4498423</c:v>
                </c:pt>
                <c:pt idx="6958">
                  <c:v>433.137</c:v>
                </c:pt>
                <c:pt idx="6959">
                  <c:v>432.66199999999998</c:v>
                </c:pt>
                <c:pt idx="6960">
                  <c:v>431.2</c:v>
                </c:pt>
                <c:pt idx="6961">
                  <c:v>426.08937329999998</c:v>
                </c:pt>
                <c:pt idx="6962">
                  <c:v>424</c:v>
                </c:pt>
                <c:pt idx="6963">
                  <c:v>423.39786789999999</c:v>
                </c:pt>
                <c:pt idx="6964">
                  <c:v>423.12299999999999</c:v>
                </c:pt>
                <c:pt idx="6965">
                  <c:v>422.94719659999998</c:v>
                </c:pt>
                <c:pt idx="6966">
                  <c:v>421.6</c:v>
                </c:pt>
                <c:pt idx="6967">
                  <c:v>419.9600959</c:v>
                </c:pt>
                <c:pt idx="6968">
                  <c:v>416.8</c:v>
                </c:pt>
                <c:pt idx="6969">
                  <c:v>415.99</c:v>
                </c:pt>
                <c:pt idx="6970">
                  <c:v>414.37191719999998</c:v>
                </c:pt>
                <c:pt idx="6971">
                  <c:v>413.60899999999998</c:v>
                </c:pt>
                <c:pt idx="6972">
                  <c:v>413.15699999999998</c:v>
                </c:pt>
                <c:pt idx="6973">
                  <c:v>412.00017860000003</c:v>
                </c:pt>
                <c:pt idx="6974">
                  <c:v>410.82900000000001</c:v>
                </c:pt>
                <c:pt idx="6975">
                  <c:v>410.4</c:v>
                </c:pt>
                <c:pt idx="6976">
                  <c:v>408.80366070000002</c:v>
                </c:pt>
                <c:pt idx="6977">
                  <c:v>408.03</c:v>
                </c:pt>
                <c:pt idx="6978">
                  <c:v>407.54599999999999</c:v>
                </c:pt>
                <c:pt idx="6979">
                  <c:v>406.46145589999998</c:v>
                </c:pt>
                <c:pt idx="6980">
                  <c:v>406.44287930000002</c:v>
                </c:pt>
                <c:pt idx="6981">
                  <c:v>403.19013630000001</c:v>
                </c:pt>
                <c:pt idx="6982">
                  <c:v>402.4</c:v>
                </c:pt>
                <c:pt idx="6983">
                  <c:v>400.8347784</c:v>
                </c:pt>
                <c:pt idx="6984">
                  <c:v>399.10098690000001</c:v>
                </c:pt>
                <c:pt idx="6985">
                  <c:v>397.78944630000001</c:v>
                </c:pt>
                <c:pt idx="6986">
                  <c:v>397.6</c:v>
                </c:pt>
                <c:pt idx="6987">
                  <c:v>396.46</c:v>
                </c:pt>
                <c:pt idx="6988">
                  <c:v>395.23177820000001</c:v>
                </c:pt>
                <c:pt idx="6989">
                  <c:v>394.4</c:v>
                </c:pt>
                <c:pt idx="6990">
                  <c:v>393.16699999999997</c:v>
                </c:pt>
                <c:pt idx="6991">
                  <c:v>392.55834770000001</c:v>
                </c:pt>
                <c:pt idx="6992">
                  <c:v>390.92268799999999</c:v>
                </c:pt>
                <c:pt idx="6993">
                  <c:v>390.4</c:v>
                </c:pt>
                <c:pt idx="6994">
                  <c:v>390.1048581</c:v>
                </c:pt>
                <c:pt idx="6995">
                  <c:v>389.91199999999998</c:v>
                </c:pt>
                <c:pt idx="6996">
                  <c:v>389.32799999999997</c:v>
                </c:pt>
                <c:pt idx="6997">
                  <c:v>388.46919830000002</c:v>
                </c:pt>
                <c:pt idx="6998">
                  <c:v>387.2</c:v>
                </c:pt>
                <c:pt idx="6999">
                  <c:v>386.83353849999997</c:v>
                </c:pt>
                <c:pt idx="7000">
                  <c:v>385.6939021</c:v>
                </c:pt>
                <c:pt idx="7001">
                  <c:v>385.52199999999999</c:v>
                </c:pt>
                <c:pt idx="7002">
                  <c:v>384.02242910000001</c:v>
                </c:pt>
                <c:pt idx="7003">
                  <c:v>384</c:v>
                </c:pt>
                <c:pt idx="7004">
                  <c:v>382.4</c:v>
                </c:pt>
                <c:pt idx="7005">
                  <c:v>382.4</c:v>
                </c:pt>
                <c:pt idx="7006">
                  <c:v>381.83306720000002</c:v>
                </c:pt>
                <c:pt idx="7007">
                  <c:v>381.6</c:v>
                </c:pt>
                <c:pt idx="7008">
                  <c:v>380.8</c:v>
                </c:pt>
                <c:pt idx="7009">
                  <c:v>380</c:v>
                </c:pt>
                <c:pt idx="7010">
                  <c:v>378.67189999999999</c:v>
                </c:pt>
                <c:pt idx="7011">
                  <c:v>378.4</c:v>
                </c:pt>
                <c:pt idx="7012">
                  <c:v>378.4</c:v>
                </c:pt>
                <c:pt idx="7013">
                  <c:v>378.0492893</c:v>
                </c:pt>
                <c:pt idx="7014">
                  <c:v>376.92813159999997</c:v>
                </c:pt>
                <c:pt idx="7015">
                  <c:v>375.58800000000002</c:v>
                </c:pt>
                <c:pt idx="7016">
                  <c:v>375.38391999999999</c:v>
                </c:pt>
                <c:pt idx="7017">
                  <c:v>375.33699999999999</c:v>
                </c:pt>
                <c:pt idx="7018">
                  <c:v>371.37645049999998</c:v>
                </c:pt>
                <c:pt idx="7019">
                  <c:v>369.65911080000001</c:v>
                </c:pt>
                <c:pt idx="7020">
                  <c:v>369.6</c:v>
                </c:pt>
                <c:pt idx="7021">
                  <c:v>368.8</c:v>
                </c:pt>
                <c:pt idx="7022">
                  <c:v>368.1623611</c:v>
                </c:pt>
                <c:pt idx="7023">
                  <c:v>367.36547289999999</c:v>
                </c:pt>
                <c:pt idx="7024">
                  <c:v>367.2</c:v>
                </c:pt>
                <c:pt idx="7025">
                  <c:v>365.56996129999999</c:v>
                </c:pt>
                <c:pt idx="7026">
                  <c:v>364.7608219</c:v>
                </c:pt>
                <c:pt idx="7027">
                  <c:v>364.69299999999998</c:v>
                </c:pt>
                <c:pt idx="7028">
                  <c:v>364.51705750000002</c:v>
                </c:pt>
                <c:pt idx="7029">
                  <c:v>364.50532720000001</c:v>
                </c:pt>
                <c:pt idx="7030">
                  <c:v>362.29864179999998</c:v>
                </c:pt>
                <c:pt idx="7031">
                  <c:v>361.6</c:v>
                </c:pt>
                <c:pt idx="7032">
                  <c:v>357.94816630000003</c:v>
                </c:pt>
                <c:pt idx="7033">
                  <c:v>357.6</c:v>
                </c:pt>
                <c:pt idx="7034">
                  <c:v>355.54700000000003</c:v>
                </c:pt>
                <c:pt idx="7035">
                  <c:v>354.69122299999998</c:v>
                </c:pt>
                <c:pt idx="7036">
                  <c:v>354.4</c:v>
                </c:pt>
                <c:pt idx="7037">
                  <c:v>354.4</c:v>
                </c:pt>
                <c:pt idx="7038">
                  <c:v>353.74700000000001</c:v>
                </c:pt>
                <c:pt idx="7039">
                  <c:v>352</c:v>
                </c:pt>
                <c:pt idx="7040">
                  <c:v>348.83</c:v>
                </c:pt>
                <c:pt idx="7041">
                  <c:v>345.786</c:v>
                </c:pt>
                <c:pt idx="7042">
                  <c:v>345.29754930000001</c:v>
                </c:pt>
                <c:pt idx="7043">
                  <c:v>344.91668970000001</c:v>
                </c:pt>
                <c:pt idx="7044">
                  <c:v>344.1836141</c:v>
                </c:pt>
                <c:pt idx="7045">
                  <c:v>343.65800000000002</c:v>
                </c:pt>
                <c:pt idx="7046">
                  <c:v>342.4</c:v>
                </c:pt>
                <c:pt idx="7047">
                  <c:v>341.85279960000003</c:v>
                </c:pt>
                <c:pt idx="7048">
                  <c:v>341.45600000000002</c:v>
                </c:pt>
                <c:pt idx="7049">
                  <c:v>341.06816140000001</c:v>
                </c:pt>
                <c:pt idx="7050">
                  <c:v>339.25799999999998</c:v>
                </c:pt>
                <c:pt idx="7051">
                  <c:v>338.77418210000002</c:v>
                </c:pt>
                <c:pt idx="7052">
                  <c:v>337.39699999999999</c:v>
                </c:pt>
                <c:pt idx="7053">
                  <c:v>335.666</c:v>
                </c:pt>
                <c:pt idx="7054">
                  <c:v>335.2</c:v>
                </c:pt>
                <c:pt idx="7055">
                  <c:v>334.36035470000002</c:v>
                </c:pt>
                <c:pt idx="7056">
                  <c:v>333.8961673</c:v>
                </c:pt>
                <c:pt idx="7057">
                  <c:v>333.85300000000001</c:v>
                </c:pt>
                <c:pt idx="7058">
                  <c:v>333.75127670000001</c:v>
                </c:pt>
                <c:pt idx="7059">
                  <c:v>332.22399999999999</c:v>
                </c:pt>
                <c:pt idx="7060">
                  <c:v>332.03893579999999</c:v>
                </c:pt>
                <c:pt idx="7061">
                  <c:v>331.61275439999997</c:v>
                </c:pt>
                <c:pt idx="7062">
                  <c:v>331.2</c:v>
                </c:pt>
                <c:pt idx="7063">
                  <c:v>330.44799999999998</c:v>
                </c:pt>
                <c:pt idx="7064">
                  <c:v>329.91172619999998</c:v>
                </c:pt>
                <c:pt idx="7065">
                  <c:v>329.48899999999998</c:v>
                </c:pt>
                <c:pt idx="7066">
                  <c:v>329.02</c:v>
                </c:pt>
                <c:pt idx="7067">
                  <c:v>328.2073815</c:v>
                </c:pt>
                <c:pt idx="7068">
                  <c:v>325.60000000000002</c:v>
                </c:pt>
                <c:pt idx="7069">
                  <c:v>324.8</c:v>
                </c:pt>
                <c:pt idx="7070">
                  <c:v>324.56</c:v>
                </c:pt>
                <c:pt idx="7071">
                  <c:v>324.33350860000002</c:v>
                </c:pt>
                <c:pt idx="7072">
                  <c:v>324.22892810000002</c:v>
                </c:pt>
                <c:pt idx="7073">
                  <c:v>323.04280699999998</c:v>
                </c:pt>
                <c:pt idx="7074">
                  <c:v>322.85899999999998</c:v>
                </c:pt>
                <c:pt idx="7075">
                  <c:v>322.6468878</c:v>
                </c:pt>
                <c:pt idx="7076">
                  <c:v>320.01799999999997</c:v>
                </c:pt>
                <c:pt idx="7077">
                  <c:v>318.77322099999998</c:v>
                </c:pt>
                <c:pt idx="7078">
                  <c:v>318.39999999999998</c:v>
                </c:pt>
                <c:pt idx="7079">
                  <c:v>318.39999999999998</c:v>
                </c:pt>
                <c:pt idx="7080">
                  <c:v>317.15899999999999</c:v>
                </c:pt>
                <c:pt idx="7081">
                  <c:v>316</c:v>
                </c:pt>
                <c:pt idx="7082">
                  <c:v>315.60700000000003</c:v>
                </c:pt>
                <c:pt idx="7083">
                  <c:v>315.351</c:v>
                </c:pt>
                <c:pt idx="7084">
                  <c:v>315.11399999999998</c:v>
                </c:pt>
                <c:pt idx="7085">
                  <c:v>314.69200000000001</c:v>
                </c:pt>
                <c:pt idx="7086">
                  <c:v>313.79199999999997</c:v>
                </c:pt>
                <c:pt idx="7087">
                  <c:v>313.22199999999998</c:v>
                </c:pt>
                <c:pt idx="7088">
                  <c:v>311.517</c:v>
                </c:pt>
                <c:pt idx="7089">
                  <c:v>311.49200000000002</c:v>
                </c:pt>
                <c:pt idx="7090">
                  <c:v>309.60000000000002</c:v>
                </c:pt>
                <c:pt idx="7091">
                  <c:v>309.22139600000003</c:v>
                </c:pt>
                <c:pt idx="7092">
                  <c:v>308.8</c:v>
                </c:pt>
                <c:pt idx="7093">
                  <c:v>308.01617060000001</c:v>
                </c:pt>
                <c:pt idx="7094">
                  <c:v>307.59885580000002</c:v>
                </c:pt>
                <c:pt idx="7095">
                  <c:v>307.34800000000001</c:v>
                </c:pt>
                <c:pt idx="7096">
                  <c:v>307.065</c:v>
                </c:pt>
                <c:pt idx="7097">
                  <c:v>306.26911589999997</c:v>
                </c:pt>
                <c:pt idx="7098">
                  <c:v>306.26029039999997</c:v>
                </c:pt>
                <c:pt idx="7099">
                  <c:v>305.86837930000002</c:v>
                </c:pt>
                <c:pt idx="7100">
                  <c:v>305.60000000000002</c:v>
                </c:pt>
                <c:pt idx="7101">
                  <c:v>305.60000000000002</c:v>
                </c:pt>
                <c:pt idx="7102">
                  <c:v>304.53899999999999</c:v>
                </c:pt>
                <c:pt idx="7103">
                  <c:v>304.41130290000001</c:v>
                </c:pt>
                <c:pt idx="7104">
                  <c:v>304.1926636</c:v>
                </c:pt>
                <c:pt idx="7105">
                  <c:v>303.9311447</c:v>
                </c:pt>
                <c:pt idx="7106">
                  <c:v>303.41488959999998</c:v>
                </c:pt>
                <c:pt idx="7107">
                  <c:v>303.41488959999998</c:v>
                </c:pt>
                <c:pt idx="7108">
                  <c:v>303.35442990000001</c:v>
                </c:pt>
                <c:pt idx="7109">
                  <c:v>302.70337760000001</c:v>
                </c:pt>
                <c:pt idx="7110">
                  <c:v>302.53681410000002</c:v>
                </c:pt>
                <c:pt idx="7111">
                  <c:v>302.39999999999998</c:v>
                </c:pt>
                <c:pt idx="7112">
                  <c:v>302.11200000000002</c:v>
                </c:pt>
                <c:pt idx="7113">
                  <c:v>301.35700000000003</c:v>
                </c:pt>
                <c:pt idx="7114">
                  <c:v>301.22375</c:v>
                </c:pt>
                <c:pt idx="7115">
                  <c:v>300.67507599999999</c:v>
                </c:pt>
                <c:pt idx="7116">
                  <c:v>299.71600000000001</c:v>
                </c:pt>
                <c:pt idx="7117">
                  <c:v>299.59199999999998</c:v>
                </c:pt>
                <c:pt idx="7118">
                  <c:v>299.2</c:v>
                </c:pt>
                <c:pt idx="7119">
                  <c:v>298.51799999999997</c:v>
                </c:pt>
                <c:pt idx="7120">
                  <c:v>298.50791029999999</c:v>
                </c:pt>
                <c:pt idx="7121">
                  <c:v>298.39999999999998</c:v>
                </c:pt>
                <c:pt idx="7122">
                  <c:v>298.36799999999999</c:v>
                </c:pt>
                <c:pt idx="7123">
                  <c:v>298.2131531</c:v>
                </c:pt>
                <c:pt idx="7124">
                  <c:v>297.30500000000001</c:v>
                </c:pt>
                <c:pt idx="7125">
                  <c:v>296.8</c:v>
                </c:pt>
                <c:pt idx="7126">
                  <c:v>296.8</c:v>
                </c:pt>
                <c:pt idx="7127">
                  <c:v>296.8</c:v>
                </c:pt>
                <c:pt idx="7128">
                  <c:v>296.79038509999998</c:v>
                </c:pt>
                <c:pt idx="7129">
                  <c:v>296.10399999999998</c:v>
                </c:pt>
                <c:pt idx="7130">
                  <c:v>296</c:v>
                </c:pt>
                <c:pt idx="7131">
                  <c:v>296</c:v>
                </c:pt>
                <c:pt idx="7132">
                  <c:v>295.64553239999998</c:v>
                </c:pt>
                <c:pt idx="7133">
                  <c:v>295.44002590000002</c:v>
                </c:pt>
                <c:pt idx="7134">
                  <c:v>294.90600000000001</c:v>
                </c:pt>
                <c:pt idx="7135">
                  <c:v>293.60093089999998</c:v>
                </c:pt>
                <c:pt idx="7136">
                  <c:v>293.60000000000002</c:v>
                </c:pt>
                <c:pt idx="7137">
                  <c:v>293.45800000000003</c:v>
                </c:pt>
                <c:pt idx="7138">
                  <c:v>292.8</c:v>
                </c:pt>
                <c:pt idx="7139">
                  <c:v>292.7309644</c:v>
                </c:pt>
                <c:pt idx="7140">
                  <c:v>292.66969920000003</c:v>
                </c:pt>
                <c:pt idx="7141">
                  <c:v>292</c:v>
                </c:pt>
                <c:pt idx="7142">
                  <c:v>292</c:v>
                </c:pt>
                <c:pt idx="7143">
                  <c:v>291.2</c:v>
                </c:pt>
                <c:pt idx="7144">
                  <c:v>291.2</c:v>
                </c:pt>
                <c:pt idx="7145">
                  <c:v>291.07600480000002</c:v>
                </c:pt>
                <c:pt idx="7146">
                  <c:v>290.15300000000002</c:v>
                </c:pt>
                <c:pt idx="7147">
                  <c:v>289.91253990000001</c:v>
                </c:pt>
                <c:pt idx="7148">
                  <c:v>289.79794149999998</c:v>
                </c:pt>
                <c:pt idx="7149">
                  <c:v>288.99900000000002</c:v>
                </c:pt>
                <c:pt idx="7150">
                  <c:v>288.8</c:v>
                </c:pt>
                <c:pt idx="7151">
                  <c:v>288.15199999999999</c:v>
                </c:pt>
                <c:pt idx="7152">
                  <c:v>287.755</c:v>
                </c:pt>
                <c:pt idx="7153">
                  <c:v>287.65019619999998</c:v>
                </c:pt>
                <c:pt idx="7154">
                  <c:v>287.46712689999998</c:v>
                </c:pt>
                <c:pt idx="7155">
                  <c:v>287.43449349999997</c:v>
                </c:pt>
                <c:pt idx="7156">
                  <c:v>287.2</c:v>
                </c:pt>
                <c:pt idx="7157">
                  <c:v>287.2</c:v>
                </c:pt>
                <c:pt idx="7158">
                  <c:v>287.07299999999998</c:v>
                </c:pt>
                <c:pt idx="7159">
                  <c:v>286.40466400000003</c:v>
                </c:pt>
                <c:pt idx="7160">
                  <c:v>286.34899999999999</c:v>
                </c:pt>
                <c:pt idx="7161">
                  <c:v>285.60000000000002</c:v>
                </c:pt>
                <c:pt idx="7162">
                  <c:v>285.13631240000001</c:v>
                </c:pt>
                <c:pt idx="7163">
                  <c:v>285.12200000000001</c:v>
                </c:pt>
                <c:pt idx="7164">
                  <c:v>284.8</c:v>
                </c:pt>
                <c:pt idx="7165">
                  <c:v>284.35937419999999</c:v>
                </c:pt>
                <c:pt idx="7166">
                  <c:v>284.24299999999999</c:v>
                </c:pt>
                <c:pt idx="7167">
                  <c:v>284.01295649999997</c:v>
                </c:pt>
                <c:pt idx="7168">
                  <c:v>283.69220899999999</c:v>
                </c:pt>
                <c:pt idx="7169">
                  <c:v>283.58243599999997</c:v>
                </c:pt>
                <c:pt idx="7170">
                  <c:v>283.37900000000002</c:v>
                </c:pt>
                <c:pt idx="7171">
                  <c:v>282.80549780000001</c:v>
                </c:pt>
                <c:pt idx="7172">
                  <c:v>282.40892880000001</c:v>
                </c:pt>
                <c:pt idx="7173">
                  <c:v>282.39999999999998</c:v>
                </c:pt>
                <c:pt idx="7174">
                  <c:v>282.15131239999999</c:v>
                </c:pt>
                <c:pt idx="7175">
                  <c:v>281.96899999999999</c:v>
                </c:pt>
                <c:pt idx="7176">
                  <c:v>281.78868</c:v>
                </c:pt>
                <c:pt idx="7177">
                  <c:v>281.69099999999997</c:v>
                </c:pt>
                <c:pt idx="7178">
                  <c:v>281.37900000000002</c:v>
                </c:pt>
                <c:pt idx="7179">
                  <c:v>281.27999999999997</c:v>
                </c:pt>
                <c:pt idx="7180">
                  <c:v>281.16800000000001</c:v>
                </c:pt>
                <c:pt idx="7181">
                  <c:v>280.8</c:v>
                </c:pt>
                <c:pt idx="7182">
                  <c:v>280.47468329999998</c:v>
                </c:pt>
                <c:pt idx="7183">
                  <c:v>280.40422330000001</c:v>
                </c:pt>
                <c:pt idx="7184">
                  <c:v>280.18590080000001</c:v>
                </c:pt>
                <c:pt idx="7185">
                  <c:v>279.8453634</c:v>
                </c:pt>
                <c:pt idx="7186">
                  <c:v>279.70776790000002</c:v>
                </c:pt>
                <c:pt idx="7187">
                  <c:v>279.45980780000002</c:v>
                </c:pt>
                <c:pt idx="7188">
                  <c:v>279.2</c:v>
                </c:pt>
                <c:pt idx="7189">
                  <c:v>279.2</c:v>
                </c:pt>
                <c:pt idx="7190">
                  <c:v>278.9208069</c:v>
                </c:pt>
                <c:pt idx="7191">
                  <c:v>278.11399139999997</c:v>
                </c:pt>
                <c:pt idx="7192">
                  <c:v>276.42399999999998</c:v>
                </c:pt>
                <c:pt idx="7193">
                  <c:v>276.33</c:v>
                </c:pt>
                <c:pt idx="7194">
                  <c:v>276.25200000000001</c:v>
                </c:pt>
                <c:pt idx="7195">
                  <c:v>276.04904920000001</c:v>
                </c:pt>
                <c:pt idx="7196">
                  <c:v>276</c:v>
                </c:pt>
                <c:pt idx="7197">
                  <c:v>275.20995599999998</c:v>
                </c:pt>
                <c:pt idx="7198">
                  <c:v>275.2</c:v>
                </c:pt>
                <c:pt idx="7199">
                  <c:v>274.89219459999998</c:v>
                </c:pt>
                <c:pt idx="7200">
                  <c:v>274.39999999999998</c:v>
                </c:pt>
                <c:pt idx="7201">
                  <c:v>274.291</c:v>
                </c:pt>
                <c:pt idx="7202">
                  <c:v>273.57061640000001</c:v>
                </c:pt>
                <c:pt idx="7203">
                  <c:v>273.49400000000003</c:v>
                </c:pt>
                <c:pt idx="7204">
                  <c:v>273.04886570000002</c:v>
                </c:pt>
                <c:pt idx="7205">
                  <c:v>272.738</c:v>
                </c:pt>
                <c:pt idx="7206">
                  <c:v>272</c:v>
                </c:pt>
                <c:pt idx="7207">
                  <c:v>272</c:v>
                </c:pt>
                <c:pt idx="7208">
                  <c:v>271.40600000000001</c:v>
                </c:pt>
                <c:pt idx="7209">
                  <c:v>270.39999999999998</c:v>
                </c:pt>
                <c:pt idx="7210">
                  <c:v>270.33060360000002</c:v>
                </c:pt>
                <c:pt idx="7211">
                  <c:v>269.80528759999999</c:v>
                </c:pt>
                <c:pt idx="7212">
                  <c:v>269.60000000000002</c:v>
                </c:pt>
                <c:pt idx="7213">
                  <c:v>269.3482209</c:v>
                </c:pt>
                <c:pt idx="7214">
                  <c:v>269.15899999999999</c:v>
                </c:pt>
                <c:pt idx="7215">
                  <c:v>269.00400000000002</c:v>
                </c:pt>
                <c:pt idx="7216">
                  <c:v>268.45544960000001</c:v>
                </c:pt>
                <c:pt idx="7217">
                  <c:v>268.36415940000001</c:v>
                </c:pt>
                <c:pt idx="7218">
                  <c:v>268</c:v>
                </c:pt>
                <c:pt idx="7219">
                  <c:v>268</c:v>
                </c:pt>
                <c:pt idx="7220">
                  <c:v>267.98399999999998</c:v>
                </c:pt>
                <c:pt idx="7221">
                  <c:v>267.28199999999998</c:v>
                </c:pt>
                <c:pt idx="7222">
                  <c:v>267.096</c:v>
                </c:pt>
                <c:pt idx="7223">
                  <c:v>266.39999999999998</c:v>
                </c:pt>
                <c:pt idx="7224">
                  <c:v>265.60991360000003</c:v>
                </c:pt>
                <c:pt idx="7225">
                  <c:v>264.8</c:v>
                </c:pt>
                <c:pt idx="7226">
                  <c:v>264.43700000000001</c:v>
                </c:pt>
                <c:pt idx="7227">
                  <c:v>264</c:v>
                </c:pt>
                <c:pt idx="7228">
                  <c:v>263.90600000000001</c:v>
                </c:pt>
                <c:pt idx="7229">
                  <c:v>262.52339499999999</c:v>
                </c:pt>
                <c:pt idx="7230">
                  <c:v>261.82816700000001</c:v>
                </c:pt>
                <c:pt idx="7231">
                  <c:v>261.60000000000002</c:v>
                </c:pt>
                <c:pt idx="7232">
                  <c:v>261.39987980000001</c:v>
                </c:pt>
                <c:pt idx="7233">
                  <c:v>261.249348</c:v>
                </c:pt>
                <c:pt idx="7234">
                  <c:v>260.8</c:v>
                </c:pt>
                <c:pt idx="7235">
                  <c:v>260.58245040000003</c:v>
                </c:pt>
                <c:pt idx="7236">
                  <c:v>260.27429059999997</c:v>
                </c:pt>
                <c:pt idx="7237">
                  <c:v>259.57698859999999</c:v>
                </c:pt>
                <c:pt idx="7238">
                  <c:v>259.2</c:v>
                </c:pt>
                <c:pt idx="7239">
                  <c:v>258.88499999999999</c:v>
                </c:pt>
                <c:pt idx="7240">
                  <c:v>258.72041419999999</c:v>
                </c:pt>
                <c:pt idx="7241">
                  <c:v>258.15100000000001</c:v>
                </c:pt>
                <c:pt idx="7242">
                  <c:v>257.37599999999998</c:v>
                </c:pt>
                <c:pt idx="7243">
                  <c:v>257.18700000000001</c:v>
                </c:pt>
                <c:pt idx="7244">
                  <c:v>256.8</c:v>
                </c:pt>
                <c:pt idx="7245">
                  <c:v>256.16500000000002</c:v>
                </c:pt>
                <c:pt idx="7246">
                  <c:v>256.12900000000002</c:v>
                </c:pt>
                <c:pt idx="7247">
                  <c:v>255.55304520000001</c:v>
                </c:pt>
                <c:pt idx="7248">
                  <c:v>255.34200000000001</c:v>
                </c:pt>
                <c:pt idx="7249">
                  <c:v>255.2</c:v>
                </c:pt>
                <c:pt idx="7250">
                  <c:v>254.785</c:v>
                </c:pt>
                <c:pt idx="7251">
                  <c:v>254.4</c:v>
                </c:pt>
                <c:pt idx="7252">
                  <c:v>251.84800000000001</c:v>
                </c:pt>
                <c:pt idx="7253">
                  <c:v>251.672</c:v>
                </c:pt>
                <c:pt idx="7254">
                  <c:v>251.6319455</c:v>
                </c:pt>
                <c:pt idx="7255">
                  <c:v>251.40894180000001</c:v>
                </c:pt>
                <c:pt idx="7256">
                  <c:v>250.68299999999999</c:v>
                </c:pt>
                <c:pt idx="7257">
                  <c:v>249.95655160000001</c:v>
                </c:pt>
                <c:pt idx="7258">
                  <c:v>248.78046140000001</c:v>
                </c:pt>
                <c:pt idx="7259">
                  <c:v>248.715</c:v>
                </c:pt>
                <c:pt idx="7260">
                  <c:v>247.84327970000001</c:v>
                </c:pt>
                <c:pt idx="7261">
                  <c:v>247.44024300000001</c:v>
                </c:pt>
                <c:pt idx="7262">
                  <c:v>246.5741544</c:v>
                </c:pt>
                <c:pt idx="7263">
                  <c:v>246.4</c:v>
                </c:pt>
                <c:pt idx="7264">
                  <c:v>246.14599999999999</c:v>
                </c:pt>
                <c:pt idx="7265">
                  <c:v>245.6</c:v>
                </c:pt>
                <c:pt idx="7266">
                  <c:v>244.58790870000001</c:v>
                </c:pt>
                <c:pt idx="7267">
                  <c:v>244.4169823</c:v>
                </c:pt>
                <c:pt idx="7268">
                  <c:v>243.99199999999999</c:v>
                </c:pt>
                <c:pt idx="7269">
                  <c:v>243.81141880000001</c:v>
                </c:pt>
                <c:pt idx="7270">
                  <c:v>243.71330760000001</c:v>
                </c:pt>
                <c:pt idx="7271">
                  <c:v>243.4564925</c:v>
                </c:pt>
                <c:pt idx="7272">
                  <c:v>243.2</c:v>
                </c:pt>
                <c:pt idx="7273">
                  <c:v>243.2</c:v>
                </c:pt>
                <c:pt idx="7274">
                  <c:v>242.4</c:v>
                </c:pt>
                <c:pt idx="7275">
                  <c:v>241.54522460000001</c:v>
                </c:pt>
                <c:pt idx="7276">
                  <c:v>241.0486832</c:v>
                </c:pt>
                <c:pt idx="7277">
                  <c:v>240.54400000000001</c:v>
                </c:pt>
                <c:pt idx="7278">
                  <c:v>239.2969597</c:v>
                </c:pt>
                <c:pt idx="7279">
                  <c:v>239.2</c:v>
                </c:pt>
                <c:pt idx="7280">
                  <c:v>238.4</c:v>
                </c:pt>
                <c:pt idx="7281">
                  <c:v>237.6</c:v>
                </c:pt>
                <c:pt idx="7282">
                  <c:v>237.6</c:v>
                </c:pt>
                <c:pt idx="7283">
                  <c:v>237.6</c:v>
                </c:pt>
                <c:pt idx="7284">
                  <c:v>237.59526360000001</c:v>
                </c:pt>
                <c:pt idx="7285">
                  <c:v>236.4577299</c:v>
                </c:pt>
                <c:pt idx="7286">
                  <c:v>236.2454984</c:v>
                </c:pt>
                <c:pt idx="7287">
                  <c:v>236.18920700000001</c:v>
                </c:pt>
                <c:pt idx="7288">
                  <c:v>236.18920700000001</c:v>
                </c:pt>
                <c:pt idx="7289">
                  <c:v>236.03200000000001</c:v>
                </c:pt>
                <c:pt idx="7290">
                  <c:v>236</c:v>
                </c:pt>
                <c:pt idx="7291">
                  <c:v>235.767</c:v>
                </c:pt>
                <c:pt idx="7292">
                  <c:v>235.761</c:v>
                </c:pt>
                <c:pt idx="7293">
                  <c:v>235.5350086</c:v>
                </c:pt>
                <c:pt idx="7294">
                  <c:v>235.41226879999999</c:v>
                </c:pt>
                <c:pt idx="7295">
                  <c:v>235.20699999999999</c:v>
                </c:pt>
                <c:pt idx="7296">
                  <c:v>235.05453360000001</c:v>
                </c:pt>
                <c:pt idx="7297">
                  <c:v>234.947</c:v>
                </c:pt>
                <c:pt idx="7298">
                  <c:v>234.832528</c:v>
                </c:pt>
                <c:pt idx="7299">
                  <c:v>234.832528</c:v>
                </c:pt>
                <c:pt idx="7300">
                  <c:v>234.81299999999999</c:v>
                </c:pt>
                <c:pt idx="7301">
                  <c:v>234.45500000000001</c:v>
                </c:pt>
                <c:pt idx="7302">
                  <c:v>234.4</c:v>
                </c:pt>
                <c:pt idx="7303">
                  <c:v>234.4</c:v>
                </c:pt>
                <c:pt idx="7304">
                  <c:v>234.31969520000001</c:v>
                </c:pt>
                <c:pt idx="7305">
                  <c:v>233.76</c:v>
                </c:pt>
                <c:pt idx="7306">
                  <c:v>233.48825070000001</c:v>
                </c:pt>
                <c:pt idx="7307">
                  <c:v>233.43799999999999</c:v>
                </c:pt>
                <c:pt idx="7308">
                  <c:v>233.03399999999999</c:v>
                </c:pt>
                <c:pt idx="7309">
                  <c:v>232.26368909999999</c:v>
                </c:pt>
                <c:pt idx="7310">
                  <c:v>231.2</c:v>
                </c:pt>
                <c:pt idx="7311">
                  <c:v>231.095</c:v>
                </c:pt>
                <c:pt idx="7312">
                  <c:v>230.75063969999999</c:v>
                </c:pt>
                <c:pt idx="7313">
                  <c:v>230.75063969999999</c:v>
                </c:pt>
                <c:pt idx="7314">
                  <c:v>230.684</c:v>
                </c:pt>
                <c:pt idx="7315">
                  <c:v>230.65899999999999</c:v>
                </c:pt>
                <c:pt idx="7316">
                  <c:v>230.4</c:v>
                </c:pt>
                <c:pt idx="7317">
                  <c:v>230.4</c:v>
                </c:pt>
                <c:pt idx="7318">
                  <c:v>229.93</c:v>
                </c:pt>
                <c:pt idx="7319">
                  <c:v>229.19676340000001</c:v>
                </c:pt>
                <c:pt idx="7320">
                  <c:v>228.8</c:v>
                </c:pt>
                <c:pt idx="7321">
                  <c:v>228.61637289999999</c:v>
                </c:pt>
                <c:pt idx="7322">
                  <c:v>228.42662340000001</c:v>
                </c:pt>
                <c:pt idx="7323">
                  <c:v>228.21100000000001</c:v>
                </c:pt>
                <c:pt idx="7324">
                  <c:v>227.92568900000001</c:v>
                </c:pt>
                <c:pt idx="7325">
                  <c:v>227.84453360000001</c:v>
                </c:pt>
                <c:pt idx="7326">
                  <c:v>227.81200000000001</c:v>
                </c:pt>
                <c:pt idx="7327">
                  <c:v>227.642887</c:v>
                </c:pt>
                <c:pt idx="7328">
                  <c:v>227.2</c:v>
                </c:pt>
                <c:pt idx="7329">
                  <c:v>227.02133649999999</c:v>
                </c:pt>
                <c:pt idx="7330">
                  <c:v>226.70861880000001</c:v>
                </c:pt>
                <c:pt idx="7331">
                  <c:v>226.4</c:v>
                </c:pt>
                <c:pt idx="7332">
                  <c:v>226.31626510000001</c:v>
                </c:pt>
                <c:pt idx="7333">
                  <c:v>226.119742</c:v>
                </c:pt>
                <c:pt idx="7334">
                  <c:v>225.95699999999999</c:v>
                </c:pt>
                <c:pt idx="7335">
                  <c:v>225.678</c:v>
                </c:pt>
                <c:pt idx="7336">
                  <c:v>225.6</c:v>
                </c:pt>
                <c:pt idx="7337">
                  <c:v>225.14447989999999</c:v>
                </c:pt>
                <c:pt idx="7338">
                  <c:v>224.739</c:v>
                </c:pt>
                <c:pt idx="7339">
                  <c:v>224.53513430000001</c:v>
                </c:pt>
                <c:pt idx="7340">
                  <c:v>224.458</c:v>
                </c:pt>
                <c:pt idx="7341">
                  <c:v>224.03400920000001</c:v>
                </c:pt>
                <c:pt idx="7342">
                  <c:v>224.0097298</c:v>
                </c:pt>
                <c:pt idx="7343">
                  <c:v>224</c:v>
                </c:pt>
                <c:pt idx="7344">
                  <c:v>223.78158550000001</c:v>
                </c:pt>
                <c:pt idx="7345">
                  <c:v>223.75819609999999</c:v>
                </c:pt>
                <c:pt idx="7346">
                  <c:v>223.50962870000001</c:v>
                </c:pt>
                <c:pt idx="7347">
                  <c:v>223.2</c:v>
                </c:pt>
                <c:pt idx="7348">
                  <c:v>223.2</c:v>
                </c:pt>
                <c:pt idx="7349">
                  <c:v>222.3318155</c:v>
                </c:pt>
                <c:pt idx="7350">
                  <c:v>222.20431970000001</c:v>
                </c:pt>
                <c:pt idx="7351">
                  <c:v>221.63229899999999</c:v>
                </c:pt>
                <c:pt idx="7352">
                  <c:v>221.6</c:v>
                </c:pt>
                <c:pt idx="7353">
                  <c:v>221.19</c:v>
                </c:pt>
                <c:pt idx="7354">
                  <c:v>220.4507624</c:v>
                </c:pt>
                <c:pt idx="7355">
                  <c:v>220.23599999999999</c:v>
                </c:pt>
                <c:pt idx="7356">
                  <c:v>220</c:v>
                </c:pt>
                <c:pt idx="7357">
                  <c:v>219.87350520000001</c:v>
                </c:pt>
                <c:pt idx="7358">
                  <c:v>219.6374821</c:v>
                </c:pt>
                <c:pt idx="7359">
                  <c:v>218.57400000000001</c:v>
                </c:pt>
                <c:pt idx="7360">
                  <c:v>218.4</c:v>
                </c:pt>
                <c:pt idx="7361">
                  <c:v>217.41399999999999</c:v>
                </c:pt>
                <c:pt idx="7362">
                  <c:v>216.66300000000001</c:v>
                </c:pt>
                <c:pt idx="7363">
                  <c:v>216.30500000000001</c:v>
                </c:pt>
                <c:pt idx="7364">
                  <c:v>216.0102737</c:v>
                </c:pt>
                <c:pt idx="7365">
                  <c:v>215.28800000000001</c:v>
                </c:pt>
                <c:pt idx="7366">
                  <c:v>215.21187610000001</c:v>
                </c:pt>
                <c:pt idx="7367">
                  <c:v>213.6579997</c:v>
                </c:pt>
                <c:pt idx="7368">
                  <c:v>212.0399591</c:v>
                </c:pt>
                <c:pt idx="7369">
                  <c:v>211.97300000000001</c:v>
                </c:pt>
                <c:pt idx="7370">
                  <c:v>211.25200000000001</c:v>
                </c:pt>
                <c:pt idx="7371">
                  <c:v>211.14654709999999</c:v>
                </c:pt>
                <c:pt idx="7372">
                  <c:v>210.89400000000001</c:v>
                </c:pt>
                <c:pt idx="7373">
                  <c:v>210.65168449999999</c:v>
                </c:pt>
                <c:pt idx="7374">
                  <c:v>210.4</c:v>
                </c:pt>
                <c:pt idx="7375">
                  <c:v>210.34399999999999</c:v>
                </c:pt>
                <c:pt idx="7376">
                  <c:v>210.06951649999999</c:v>
                </c:pt>
                <c:pt idx="7377">
                  <c:v>209.928</c:v>
                </c:pt>
                <c:pt idx="7378">
                  <c:v>209.701807</c:v>
                </c:pt>
                <c:pt idx="7379">
                  <c:v>209.6</c:v>
                </c:pt>
                <c:pt idx="7380">
                  <c:v>209.471</c:v>
                </c:pt>
                <c:pt idx="7381">
                  <c:v>209.15897240000001</c:v>
                </c:pt>
                <c:pt idx="7382">
                  <c:v>207.88399999999999</c:v>
                </c:pt>
                <c:pt idx="7383">
                  <c:v>207.74486759999999</c:v>
                </c:pt>
                <c:pt idx="7384">
                  <c:v>207.67483680000001</c:v>
                </c:pt>
                <c:pt idx="7385">
                  <c:v>207.23093840000001</c:v>
                </c:pt>
                <c:pt idx="7386">
                  <c:v>207.2</c:v>
                </c:pt>
                <c:pt idx="7387">
                  <c:v>207.0753904</c:v>
                </c:pt>
                <c:pt idx="7388">
                  <c:v>206.51448790000001</c:v>
                </c:pt>
                <c:pt idx="7389">
                  <c:v>206.4</c:v>
                </c:pt>
                <c:pt idx="7390">
                  <c:v>206.36668700000001</c:v>
                </c:pt>
                <c:pt idx="7391">
                  <c:v>205.8623963</c:v>
                </c:pt>
                <c:pt idx="7392">
                  <c:v>205.30600000000001</c:v>
                </c:pt>
                <c:pt idx="7393">
                  <c:v>205.16218069999999</c:v>
                </c:pt>
                <c:pt idx="7394">
                  <c:v>205.13312010000001</c:v>
                </c:pt>
                <c:pt idx="7395">
                  <c:v>205.13</c:v>
                </c:pt>
                <c:pt idx="7396">
                  <c:v>204.82599999999999</c:v>
                </c:pt>
                <c:pt idx="7397">
                  <c:v>204.69300000000001</c:v>
                </c:pt>
                <c:pt idx="7398">
                  <c:v>204.59899999999999</c:v>
                </c:pt>
                <c:pt idx="7399">
                  <c:v>204</c:v>
                </c:pt>
                <c:pt idx="7400">
                  <c:v>204</c:v>
                </c:pt>
                <c:pt idx="7401">
                  <c:v>203.7793796</c:v>
                </c:pt>
                <c:pt idx="7402">
                  <c:v>203.767</c:v>
                </c:pt>
                <c:pt idx="7403">
                  <c:v>203.55780340000001</c:v>
                </c:pt>
                <c:pt idx="7404">
                  <c:v>203.54541040000001</c:v>
                </c:pt>
                <c:pt idx="7405">
                  <c:v>203.20649800000001</c:v>
                </c:pt>
                <c:pt idx="7406">
                  <c:v>203.2</c:v>
                </c:pt>
                <c:pt idx="7407">
                  <c:v>203.03</c:v>
                </c:pt>
                <c:pt idx="7408">
                  <c:v>202.72694999999999</c:v>
                </c:pt>
                <c:pt idx="7409">
                  <c:v>202.71299999999999</c:v>
                </c:pt>
                <c:pt idx="7410">
                  <c:v>202.417869</c:v>
                </c:pt>
                <c:pt idx="7411">
                  <c:v>201.44990340000001</c:v>
                </c:pt>
                <c:pt idx="7412">
                  <c:v>200.95693739999999</c:v>
                </c:pt>
                <c:pt idx="7413">
                  <c:v>200.8</c:v>
                </c:pt>
                <c:pt idx="7414">
                  <c:v>200</c:v>
                </c:pt>
                <c:pt idx="7415">
                  <c:v>199.819355</c:v>
                </c:pt>
                <c:pt idx="7416">
                  <c:v>199.55049339999999</c:v>
                </c:pt>
                <c:pt idx="7417">
                  <c:v>199.38758770000001</c:v>
                </c:pt>
                <c:pt idx="7418">
                  <c:v>199.2</c:v>
                </c:pt>
                <c:pt idx="7419">
                  <c:v>199.2</c:v>
                </c:pt>
                <c:pt idx="7420">
                  <c:v>199.03526059999999</c:v>
                </c:pt>
                <c:pt idx="7421">
                  <c:v>198.92142480000001</c:v>
                </c:pt>
                <c:pt idx="7422">
                  <c:v>198.79225880000001</c:v>
                </c:pt>
                <c:pt idx="7423">
                  <c:v>198.150982</c:v>
                </c:pt>
                <c:pt idx="7424">
                  <c:v>198.11923609999999</c:v>
                </c:pt>
                <c:pt idx="7425">
                  <c:v>197.93578890000001</c:v>
                </c:pt>
                <c:pt idx="7426">
                  <c:v>197.6</c:v>
                </c:pt>
                <c:pt idx="7427">
                  <c:v>197.34229790000001</c:v>
                </c:pt>
                <c:pt idx="7428">
                  <c:v>197.09700380000001</c:v>
                </c:pt>
                <c:pt idx="7429">
                  <c:v>197.08199999999999</c:v>
                </c:pt>
                <c:pt idx="7430">
                  <c:v>197.05799999999999</c:v>
                </c:pt>
                <c:pt idx="7431">
                  <c:v>196.40600000000001</c:v>
                </c:pt>
                <c:pt idx="7432">
                  <c:v>195.71691580000001</c:v>
                </c:pt>
                <c:pt idx="7433">
                  <c:v>195.46299999999999</c:v>
                </c:pt>
                <c:pt idx="7434">
                  <c:v>195.2</c:v>
                </c:pt>
                <c:pt idx="7435">
                  <c:v>195.0114834</c:v>
                </c:pt>
                <c:pt idx="7436">
                  <c:v>194.84020319999999</c:v>
                </c:pt>
                <c:pt idx="7437">
                  <c:v>194.696</c:v>
                </c:pt>
                <c:pt idx="7438">
                  <c:v>194.577</c:v>
                </c:pt>
                <c:pt idx="7439">
                  <c:v>193.99100000000001</c:v>
                </c:pt>
                <c:pt idx="7440">
                  <c:v>193.83099999999999</c:v>
                </c:pt>
                <c:pt idx="7441">
                  <c:v>193.6</c:v>
                </c:pt>
                <c:pt idx="7442">
                  <c:v>193.39149370000001</c:v>
                </c:pt>
                <c:pt idx="7443">
                  <c:v>193.0078049</c:v>
                </c:pt>
                <c:pt idx="7444">
                  <c:v>192.8</c:v>
                </c:pt>
                <c:pt idx="7445">
                  <c:v>192.7008098</c:v>
                </c:pt>
                <c:pt idx="7446">
                  <c:v>192.29599999999999</c:v>
                </c:pt>
                <c:pt idx="7447">
                  <c:v>192</c:v>
                </c:pt>
                <c:pt idx="7448">
                  <c:v>191.45</c:v>
                </c:pt>
                <c:pt idx="7449">
                  <c:v>191.37219450000001</c:v>
                </c:pt>
                <c:pt idx="7450">
                  <c:v>191.2</c:v>
                </c:pt>
                <c:pt idx="7451">
                  <c:v>189.76416169999999</c:v>
                </c:pt>
                <c:pt idx="7452">
                  <c:v>189.55252300000001</c:v>
                </c:pt>
                <c:pt idx="7453">
                  <c:v>188.5567063</c:v>
                </c:pt>
                <c:pt idx="7454">
                  <c:v>187.2</c:v>
                </c:pt>
                <c:pt idx="7455">
                  <c:v>186.91399999999999</c:v>
                </c:pt>
                <c:pt idx="7456">
                  <c:v>186.6657836</c:v>
                </c:pt>
                <c:pt idx="7457">
                  <c:v>186.46516339999999</c:v>
                </c:pt>
                <c:pt idx="7458">
                  <c:v>186.38900000000001</c:v>
                </c:pt>
                <c:pt idx="7459">
                  <c:v>186.08287970000001</c:v>
                </c:pt>
                <c:pt idx="7460">
                  <c:v>185.86799999999999</c:v>
                </c:pt>
                <c:pt idx="7461">
                  <c:v>185.68822520000001</c:v>
                </c:pt>
                <c:pt idx="7462">
                  <c:v>185.42</c:v>
                </c:pt>
                <c:pt idx="7463">
                  <c:v>185.39692489999999</c:v>
                </c:pt>
                <c:pt idx="7464">
                  <c:v>185.2026903</c:v>
                </c:pt>
                <c:pt idx="7465">
                  <c:v>184.12200000000001</c:v>
                </c:pt>
                <c:pt idx="7466">
                  <c:v>183.58199999999999</c:v>
                </c:pt>
                <c:pt idx="7467">
                  <c:v>183.44</c:v>
                </c:pt>
                <c:pt idx="7468">
                  <c:v>183.14448160000001</c:v>
                </c:pt>
                <c:pt idx="7469">
                  <c:v>183.06299999999999</c:v>
                </c:pt>
                <c:pt idx="7470">
                  <c:v>182.86791819999999</c:v>
                </c:pt>
                <c:pt idx="7471">
                  <c:v>182.07636460000001</c:v>
                </c:pt>
                <c:pt idx="7472">
                  <c:v>182.02600000000001</c:v>
                </c:pt>
                <c:pt idx="7473">
                  <c:v>182.01</c:v>
                </c:pt>
                <c:pt idx="7474">
                  <c:v>181.75860410000001</c:v>
                </c:pt>
                <c:pt idx="7475">
                  <c:v>181.67344159999999</c:v>
                </c:pt>
                <c:pt idx="7476">
                  <c:v>181.64986730000001</c:v>
                </c:pt>
                <c:pt idx="7477">
                  <c:v>181.636</c:v>
                </c:pt>
                <c:pt idx="7478">
                  <c:v>181.6015194</c:v>
                </c:pt>
                <c:pt idx="7479">
                  <c:v>181.35499999999999</c:v>
                </c:pt>
                <c:pt idx="7480">
                  <c:v>181.3020329</c:v>
                </c:pt>
                <c:pt idx="7481">
                  <c:v>181.16499999999999</c:v>
                </c:pt>
                <c:pt idx="7482">
                  <c:v>181.0159132</c:v>
                </c:pt>
                <c:pt idx="7483">
                  <c:v>180.5099323</c:v>
                </c:pt>
                <c:pt idx="7484">
                  <c:v>180</c:v>
                </c:pt>
                <c:pt idx="7485">
                  <c:v>180</c:v>
                </c:pt>
                <c:pt idx="7486">
                  <c:v>178.8940954</c:v>
                </c:pt>
                <c:pt idx="7487">
                  <c:v>178.8871316</c:v>
                </c:pt>
                <c:pt idx="7488">
                  <c:v>178.70400000000001</c:v>
                </c:pt>
                <c:pt idx="7489">
                  <c:v>177.79599999999999</c:v>
                </c:pt>
                <c:pt idx="7490">
                  <c:v>176.7969439</c:v>
                </c:pt>
                <c:pt idx="7491">
                  <c:v>176.3999293</c:v>
                </c:pt>
                <c:pt idx="7492">
                  <c:v>175.92323429999999</c:v>
                </c:pt>
                <c:pt idx="7493">
                  <c:v>174.4073357</c:v>
                </c:pt>
                <c:pt idx="7494">
                  <c:v>173.99</c:v>
                </c:pt>
                <c:pt idx="7495">
                  <c:v>173.6</c:v>
                </c:pt>
                <c:pt idx="7496">
                  <c:v>173.54</c:v>
                </c:pt>
                <c:pt idx="7497">
                  <c:v>172.67097649999999</c:v>
                </c:pt>
                <c:pt idx="7498">
                  <c:v>171.98029260000001</c:v>
                </c:pt>
                <c:pt idx="7499">
                  <c:v>171.8487331</c:v>
                </c:pt>
                <c:pt idx="7500">
                  <c:v>171.2</c:v>
                </c:pt>
                <c:pt idx="7501">
                  <c:v>170.769015</c:v>
                </c:pt>
                <c:pt idx="7502">
                  <c:v>170.64400000000001</c:v>
                </c:pt>
                <c:pt idx="7503">
                  <c:v>170.60499999999999</c:v>
                </c:pt>
                <c:pt idx="7504">
                  <c:v>169.6</c:v>
                </c:pt>
                <c:pt idx="7505">
                  <c:v>169.28176830000001</c:v>
                </c:pt>
                <c:pt idx="7506">
                  <c:v>168.65473750000001</c:v>
                </c:pt>
                <c:pt idx="7507">
                  <c:v>168.4729576</c:v>
                </c:pt>
                <c:pt idx="7508">
                  <c:v>168.345</c:v>
                </c:pt>
                <c:pt idx="7509">
                  <c:v>168.30812370000001</c:v>
                </c:pt>
                <c:pt idx="7510">
                  <c:v>168</c:v>
                </c:pt>
                <c:pt idx="7511">
                  <c:v>167.48307700000001</c:v>
                </c:pt>
                <c:pt idx="7512">
                  <c:v>167.04599999999999</c:v>
                </c:pt>
                <c:pt idx="7513">
                  <c:v>164.8</c:v>
                </c:pt>
                <c:pt idx="7514">
                  <c:v>164.7108944</c:v>
                </c:pt>
                <c:pt idx="7515">
                  <c:v>163.4920726</c:v>
                </c:pt>
                <c:pt idx="7516">
                  <c:v>163.19999999999999</c:v>
                </c:pt>
                <c:pt idx="7517">
                  <c:v>163.15701799999999</c:v>
                </c:pt>
                <c:pt idx="7518">
                  <c:v>162.56519840000001</c:v>
                </c:pt>
                <c:pt idx="7519">
                  <c:v>160.80000000000001</c:v>
                </c:pt>
                <c:pt idx="7520">
                  <c:v>160.732</c:v>
                </c:pt>
                <c:pt idx="7521">
                  <c:v>160.3938205</c:v>
                </c:pt>
                <c:pt idx="7522">
                  <c:v>160.06399999999999</c:v>
                </c:pt>
                <c:pt idx="7523">
                  <c:v>159.96640740000001</c:v>
                </c:pt>
                <c:pt idx="7524">
                  <c:v>159.60784140000001</c:v>
                </c:pt>
                <c:pt idx="7525">
                  <c:v>159.50800000000001</c:v>
                </c:pt>
                <c:pt idx="7526">
                  <c:v>158.4</c:v>
                </c:pt>
                <c:pt idx="7527">
                  <c:v>158.37200000000001</c:v>
                </c:pt>
                <c:pt idx="7528">
                  <c:v>157.40128139999999</c:v>
                </c:pt>
                <c:pt idx="7529">
                  <c:v>156.96</c:v>
                </c:pt>
                <c:pt idx="7530">
                  <c:v>156.89699999999999</c:v>
                </c:pt>
                <c:pt idx="7531">
                  <c:v>156.16457439999999</c:v>
                </c:pt>
                <c:pt idx="7532">
                  <c:v>155.6841426</c:v>
                </c:pt>
                <c:pt idx="7533">
                  <c:v>155.4038788</c:v>
                </c:pt>
                <c:pt idx="7534">
                  <c:v>155.4038788</c:v>
                </c:pt>
                <c:pt idx="7535">
                  <c:v>154.28497089999999</c:v>
                </c:pt>
                <c:pt idx="7536">
                  <c:v>153.6</c:v>
                </c:pt>
                <c:pt idx="7537">
                  <c:v>152.6908852</c:v>
                </c:pt>
                <c:pt idx="7538">
                  <c:v>152.29</c:v>
                </c:pt>
                <c:pt idx="7539">
                  <c:v>152.1163597</c:v>
                </c:pt>
                <c:pt idx="7540">
                  <c:v>151.28200000000001</c:v>
                </c:pt>
                <c:pt idx="7541">
                  <c:v>151.21100000000001</c:v>
                </c:pt>
                <c:pt idx="7542">
                  <c:v>150.53079199999999</c:v>
                </c:pt>
                <c:pt idx="7543">
                  <c:v>150.4</c:v>
                </c:pt>
                <c:pt idx="7544">
                  <c:v>149.6</c:v>
                </c:pt>
                <c:pt idx="7545">
                  <c:v>149.36199999999999</c:v>
                </c:pt>
                <c:pt idx="7546">
                  <c:v>148.80000000000001</c:v>
                </c:pt>
                <c:pt idx="7547">
                  <c:v>148.80000000000001</c:v>
                </c:pt>
                <c:pt idx="7548">
                  <c:v>148</c:v>
                </c:pt>
                <c:pt idx="7549">
                  <c:v>147.32633060000001</c:v>
                </c:pt>
                <c:pt idx="7550">
                  <c:v>147.249</c:v>
                </c:pt>
                <c:pt idx="7551">
                  <c:v>147.16284289999999</c:v>
                </c:pt>
                <c:pt idx="7552">
                  <c:v>145.63296130000001</c:v>
                </c:pt>
                <c:pt idx="7553">
                  <c:v>145.60721810000001</c:v>
                </c:pt>
                <c:pt idx="7554">
                  <c:v>144.5105016</c:v>
                </c:pt>
                <c:pt idx="7555">
                  <c:v>144.11000000000001</c:v>
                </c:pt>
                <c:pt idx="7556">
                  <c:v>142.4</c:v>
                </c:pt>
                <c:pt idx="7557">
                  <c:v>142.37100000000001</c:v>
                </c:pt>
                <c:pt idx="7558">
                  <c:v>141.4845712</c:v>
                </c:pt>
                <c:pt idx="7559">
                  <c:v>141.38200000000001</c:v>
                </c:pt>
                <c:pt idx="7560">
                  <c:v>140.80000000000001</c:v>
                </c:pt>
                <c:pt idx="7561">
                  <c:v>140</c:v>
                </c:pt>
                <c:pt idx="7562">
                  <c:v>139.94800000000001</c:v>
                </c:pt>
                <c:pt idx="7563">
                  <c:v>139.84891139999999</c:v>
                </c:pt>
                <c:pt idx="7564">
                  <c:v>139.19999999999999</c:v>
                </c:pt>
                <c:pt idx="7565">
                  <c:v>138.76875699999999</c:v>
                </c:pt>
                <c:pt idx="7566">
                  <c:v>138.494</c:v>
                </c:pt>
                <c:pt idx="7567">
                  <c:v>138.47904629999999</c:v>
                </c:pt>
                <c:pt idx="7568">
                  <c:v>138.4</c:v>
                </c:pt>
                <c:pt idx="7569">
                  <c:v>138.29499620000001</c:v>
                </c:pt>
                <c:pt idx="7570">
                  <c:v>138.27776119999999</c:v>
                </c:pt>
                <c:pt idx="7571">
                  <c:v>138.26683220000001</c:v>
                </c:pt>
                <c:pt idx="7572">
                  <c:v>137.63872610000001</c:v>
                </c:pt>
                <c:pt idx="7573">
                  <c:v>137.6</c:v>
                </c:pt>
                <c:pt idx="7574">
                  <c:v>137.55199999999999</c:v>
                </c:pt>
                <c:pt idx="7575">
                  <c:v>137.54224120000001</c:v>
                </c:pt>
                <c:pt idx="7576">
                  <c:v>136.80000000000001</c:v>
                </c:pt>
                <c:pt idx="7577">
                  <c:v>136.80000000000001</c:v>
                </c:pt>
                <c:pt idx="7578">
                  <c:v>136.26788690000001</c:v>
                </c:pt>
                <c:pt idx="7579">
                  <c:v>136.07120119999999</c:v>
                </c:pt>
                <c:pt idx="7580">
                  <c:v>135.91368069999999</c:v>
                </c:pt>
                <c:pt idx="7581">
                  <c:v>135.7597619</c:v>
                </c:pt>
                <c:pt idx="7582">
                  <c:v>135.505</c:v>
                </c:pt>
                <c:pt idx="7583">
                  <c:v>135.46</c:v>
                </c:pt>
                <c:pt idx="7584">
                  <c:v>135.19999999999999</c:v>
                </c:pt>
                <c:pt idx="7585">
                  <c:v>135.18724349999999</c:v>
                </c:pt>
                <c:pt idx="7586">
                  <c:v>134.63800000000001</c:v>
                </c:pt>
                <c:pt idx="7587">
                  <c:v>132.80000000000001</c:v>
                </c:pt>
                <c:pt idx="7588">
                  <c:v>132.61130990000001</c:v>
                </c:pt>
                <c:pt idx="7589">
                  <c:v>132.49473520000001</c:v>
                </c:pt>
                <c:pt idx="7590">
                  <c:v>132.42403830000001</c:v>
                </c:pt>
                <c:pt idx="7591">
                  <c:v>131.30255260000001</c:v>
                </c:pt>
                <c:pt idx="7592">
                  <c:v>130.6100533</c:v>
                </c:pt>
                <c:pt idx="7593">
                  <c:v>130.54875509999999</c:v>
                </c:pt>
                <c:pt idx="7594">
                  <c:v>129.98661190000001</c:v>
                </c:pt>
                <c:pt idx="7595">
                  <c:v>129.53700000000001</c:v>
                </c:pt>
                <c:pt idx="7596">
                  <c:v>128.80000000000001</c:v>
                </c:pt>
                <c:pt idx="7597">
                  <c:v>128.7160011</c:v>
                </c:pt>
                <c:pt idx="7598">
                  <c:v>127.2</c:v>
                </c:pt>
                <c:pt idx="7599">
                  <c:v>127.2</c:v>
                </c:pt>
                <c:pt idx="7600">
                  <c:v>127.2</c:v>
                </c:pt>
                <c:pt idx="7601">
                  <c:v>126.773</c:v>
                </c:pt>
                <c:pt idx="7602">
                  <c:v>126.64700000000001</c:v>
                </c:pt>
                <c:pt idx="7603">
                  <c:v>126.46530989999999</c:v>
                </c:pt>
                <c:pt idx="7604">
                  <c:v>126.4</c:v>
                </c:pt>
                <c:pt idx="7605">
                  <c:v>125.6</c:v>
                </c:pt>
                <c:pt idx="7606">
                  <c:v>124.8</c:v>
                </c:pt>
                <c:pt idx="7607">
                  <c:v>124.58329809999999</c:v>
                </c:pt>
                <c:pt idx="7608">
                  <c:v>124</c:v>
                </c:pt>
                <c:pt idx="7609">
                  <c:v>123.53317079999999</c:v>
                </c:pt>
                <c:pt idx="7610">
                  <c:v>123.2</c:v>
                </c:pt>
                <c:pt idx="7611">
                  <c:v>123.11848000000001</c:v>
                </c:pt>
                <c:pt idx="7612">
                  <c:v>122.7562326</c:v>
                </c:pt>
                <c:pt idx="7613">
                  <c:v>122.6744837</c:v>
                </c:pt>
                <c:pt idx="7614">
                  <c:v>122.023</c:v>
                </c:pt>
                <c:pt idx="7615">
                  <c:v>121.2023562</c:v>
                </c:pt>
                <c:pt idx="7616">
                  <c:v>120.42541799999999</c:v>
                </c:pt>
                <c:pt idx="7617">
                  <c:v>120</c:v>
                </c:pt>
                <c:pt idx="7618">
                  <c:v>120</c:v>
                </c:pt>
                <c:pt idx="7619">
                  <c:v>120</c:v>
                </c:pt>
                <c:pt idx="7620">
                  <c:v>119.9633776</c:v>
                </c:pt>
                <c:pt idx="7621">
                  <c:v>119.64100000000001</c:v>
                </c:pt>
                <c:pt idx="7622">
                  <c:v>119.5694711</c:v>
                </c:pt>
                <c:pt idx="7623">
                  <c:v>119.4031641</c:v>
                </c:pt>
                <c:pt idx="7624">
                  <c:v>118.7976318</c:v>
                </c:pt>
                <c:pt idx="7625">
                  <c:v>118.4</c:v>
                </c:pt>
                <c:pt idx="7626">
                  <c:v>118.4</c:v>
                </c:pt>
                <c:pt idx="7627">
                  <c:v>118.4</c:v>
                </c:pt>
                <c:pt idx="7628">
                  <c:v>117.6</c:v>
                </c:pt>
                <c:pt idx="7629">
                  <c:v>117.6</c:v>
                </c:pt>
                <c:pt idx="7630">
                  <c:v>117.348</c:v>
                </c:pt>
                <c:pt idx="7631">
                  <c:v>116.94967440000001</c:v>
                </c:pt>
                <c:pt idx="7632">
                  <c:v>116.8</c:v>
                </c:pt>
                <c:pt idx="7633">
                  <c:v>116.5407271</c:v>
                </c:pt>
                <c:pt idx="7634">
                  <c:v>116.1318445</c:v>
                </c:pt>
                <c:pt idx="7635">
                  <c:v>116</c:v>
                </c:pt>
                <c:pt idx="7636">
                  <c:v>116</c:v>
                </c:pt>
                <c:pt idx="7637">
                  <c:v>116</c:v>
                </c:pt>
                <c:pt idx="7638">
                  <c:v>115.476641</c:v>
                </c:pt>
                <c:pt idx="7639">
                  <c:v>115.2</c:v>
                </c:pt>
                <c:pt idx="7640">
                  <c:v>115.2</c:v>
                </c:pt>
                <c:pt idx="7641">
                  <c:v>115.054</c:v>
                </c:pt>
                <c:pt idx="7642">
                  <c:v>114.9868508</c:v>
                </c:pt>
                <c:pt idx="7643">
                  <c:v>114.9868508</c:v>
                </c:pt>
                <c:pt idx="7644">
                  <c:v>114.4</c:v>
                </c:pt>
                <c:pt idx="7645">
                  <c:v>114.4</c:v>
                </c:pt>
                <c:pt idx="7646">
                  <c:v>113.6783549</c:v>
                </c:pt>
                <c:pt idx="7647">
                  <c:v>113.6</c:v>
                </c:pt>
                <c:pt idx="7648">
                  <c:v>112.860525</c:v>
                </c:pt>
                <c:pt idx="7649">
                  <c:v>112.860525</c:v>
                </c:pt>
                <c:pt idx="7650">
                  <c:v>112.71638249999999</c:v>
                </c:pt>
                <c:pt idx="7651">
                  <c:v>112.6560362</c:v>
                </c:pt>
                <c:pt idx="7652">
                  <c:v>112.5998417</c:v>
                </c:pt>
                <c:pt idx="7653">
                  <c:v>111.879098</c:v>
                </c:pt>
                <c:pt idx="7654">
                  <c:v>111.2</c:v>
                </c:pt>
                <c:pt idx="7655">
                  <c:v>111.2</c:v>
                </c:pt>
                <c:pt idx="7656">
                  <c:v>110.4070353</c:v>
                </c:pt>
                <c:pt idx="7657">
                  <c:v>110.4</c:v>
                </c:pt>
                <c:pt idx="7658">
                  <c:v>110.4</c:v>
                </c:pt>
                <c:pt idx="7659">
                  <c:v>110.4</c:v>
                </c:pt>
                <c:pt idx="7660">
                  <c:v>110.4</c:v>
                </c:pt>
                <c:pt idx="7661">
                  <c:v>110.4</c:v>
                </c:pt>
                <c:pt idx="7662">
                  <c:v>110.328001</c:v>
                </c:pt>
                <c:pt idx="7663">
                  <c:v>110.259</c:v>
                </c:pt>
                <c:pt idx="7664">
                  <c:v>110.145</c:v>
                </c:pt>
                <c:pt idx="7665">
                  <c:v>109.818741</c:v>
                </c:pt>
                <c:pt idx="7666">
                  <c:v>109.6</c:v>
                </c:pt>
                <c:pt idx="7667">
                  <c:v>109.6</c:v>
                </c:pt>
                <c:pt idx="7668">
                  <c:v>109.6</c:v>
                </c:pt>
                <c:pt idx="7669">
                  <c:v>108.8</c:v>
                </c:pt>
                <c:pt idx="7670">
                  <c:v>108.8</c:v>
                </c:pt>
                <c:pt idx="7671">
                  <c:v>108.8</c:v>
                </c:pt>
                <c:pt idx="7672">
                  <c:v>108.8</c:v>
                </c:pt>
                <c:pt idx="7673">
                  <c:v>108.46673389999999</c:v>
                </c:pt>
                <c:pt idx="7674">
                  <c:v>108.3767989</c:v>
                </c:pt>
                <c:pt idx="7675">
                  <c:v>108.1214409</c:v>
                </c:pt>
                <c:pt idx="7676">
                  <c:v>108</c:v>
                </c:pt>
                <c:pt idx="7677">
                  <c:v>108</c:v>
                </c:pt>
                <c:pt idx="7678">
                  <c:v>108</c:v>
                </c:pt>
                <c:pt idx="7679">
                  <c:v>107.9944071</c:v>
                </c:pt>
                <c:pt idx="7680">
                  <c:v>107.21746899999999</c:v>
                </c:pt>
                <c:pt idx="7681">
                  <c:v>107.21746899999999</c:v>
                </c:pt>
                <c:pt idx="7682">
                  <c:v>107.21746899999999</c:v>
                </c:pt>
                <c:pt idx="7683">
                  <c:v>107.2</c:v>
                </c:pt>
                <c:pt idx="7684">
                  <c:v>107.2</c:v>
                </c:pt>
                <c:pt idx="7685">
                  <c:v>107.2</c:v>
                </c:pt>
                <c:pt idx="7686">
                  <c:v>107.13571570000001</c:v>
                </c:pt>
                <c:pt idx="7687">
                  <c:v>106.65040089999999</c:v>
                </c:pt>
                <c:pt idx="7688">
                  <c:v>106.65040089999999</c:v>
                </c:pt>
                <c:pt idx="7689">
                  <c:v>106.4</c:v>
                </c:pt>
                <c:pt idx="7690">
                  <c:v>106.4</c:v>
                </c:pt>
                <c:pt idx="7691">
                  <c:v>106.36532149999999</c:v>
                </c:pt>
                <c:pt idx="7692">
                  <c:v>106.18600000000001</c:v>
                </c:pt>
                <c:pt idx="7693">
                  <c:v>106.102</c:v>
                </c:pt>
                <c:pt idx="7694">
                  <c:v>105.9861343</c:v>
                </c:pt>
                <c:pt idx="7695">
                  <c:v>105.9148809</c:v>
                </c:pt>
                <c:pt idx="7696">
                  <c:v>105.6</c:v>
                </c:pt>
                <c:pt idx="7697">
                  <c:v>105.6</c:v>
                </c:pt>
                <c:pt idx="7698">
                  <c:v>105.6</c:v>
                </c:pt>
                <c:pt idx="7699">
                  <c:v>105.500056</c:v>
                </c:pt>
                <c:pt idx="7700">
                  <c:v>105.3491528</c:v>
                </c:pt>
                <c:pt idx="7701">
                  <c:v>105.232</c:v>
                </c:pt>
                <c:pt idx="7702">
                  <c:v>105.189246</c:v>
                </c:pt>
                <c:pt idx="7703">
                  <c:v>105.189246</c:v>
                </c:pt>
                <c:pt idx="7704">
                  <c:v>105.17936090000001</c:v>
                </c:pt>
                <c:pt idx="7705">
                  <c:v>104.8866544</c:v>
                </c:pt>
                <c:pt idx="7706">
                  <c:v>104.8866544</c:v>
                </c:pt>
                <c:pt idx="7707">
                  <c:v>104.8</c:v>
                </c:pt>
                <c:pt idx="7708">
                  <c:v>104.8</c:v>
                </c:pt>
                <c:pt idx="7709">
                  <c:v>104.8</c:v>
                </c:pt>
                <c:pt idx="7710">
                  <c:v>104.8</c:v>
                </c:pt>
                <c:pt idx="7711">
                  <c:v>104.26900000000001</c:v>
                </c:pt>
                <c:pt idx="7712">
                  <c:v>104.10971619999999</c:v>
                </c:pt>
                <c:pt idx="7713">
                  <c:v>104.10971619999999</c:v>
                </c:pt>
                <c:pt idx="7714">
                  <c:v>104</c:v>
                </c:pt>
                <c:pt idx="7715">
                  <c:v>104</c:v>
                </c:pt>
                <c:pt idx="7716">
                  <c:v>103.8643962</c:v>
                </c:pt>
                <c:pt idx="7717">
                  <c:v>103.3327781</c:v>
                </c:pt>
                <c:pt idx="7718">
                  <c:v>103.2926415</c:v>
                </c:pt>
                <c:pt idx="7719">
                  <c:v>103.221</c:v>
                </c:pt>
                <c:pt idx="7720">
                  <c:v>103.2</c:v>
                </c:pt>
                <c:pt idx="7721">
                  <c:v>103.2</c:v>
                </c:pt>
                <c:pt idx="7722">
                  <c:v>103.2</c:v>
                </c:pt>
                <c:pt idx="7723">
                  <c:v>103.2</c:v>
                </c:pt>
                <c:pt idx="7724">
                  <c:v>102.491</c:v>
                </c:pt>
                <c:pt idx="7725">
                  <c:v>102.4</c:v>
                </c:pt>
                <c:pt idx="7726">
                  <c:v>102.4</c:v>
                </c:pt>
                <c:pt idx="7727">
                  <c:v>102.4</c:v>
                </c:pt>
                <c:pt idx="7728">
                  <c:v>102.2287364</c:v>
                </c:pt>
                <c:pt idx="7729">
                  <c:v>102.2287364</c:v>
                </c:pt>
                <c:pt idx="7730">
                  <c:v>102.2287364</c:v>
                </c:pt>
                <c:pt idx="7731">
                  <c:v>102.2212181</c:v>
                </c:pt>
                <c:pt idx="7732">
                  <c:v>102.069</c:v>
                </c:pt>
                <c:pt idx="7733">
                  <c:v>101.77890170000001</c:v>
                </c:pt>
                <c:pt idx="7734">
                  <c:v>101.77890170000001</c:v>
                </c:pt>
                <c:pt idx="7735">
                  <c:v>101.77890170000001</c:v>
                </c:pt>
                <c:pt idx="7736">
                  <c:v>101.6</c:v>
                </c:pt>
                <c:pt idx="7737">
                  <c:v>101.6</c:v>
                </c:pt>
                <c:pt idx="7738">
                  <c:v>101.6</c:v>
                </c:pt>
                <c:pt idx="7739">
                  <c:v>101.6</c:v>
                </c:pt>
                <c:pt idx="7740">
                  <c:v>101.6</c:v>
                </c:pt>
                <c:pt idx="7741">
                  <c:v>101.6</c:v>
                </c:pt>
                <c:pt idx="7742">
                  <c:v>101.6</c:v>
                </c:pt>
                <c:pt idx="7743">
                  <c:v>101.6</c:v>
                </c:pt>
                <c:pt idx="7744">
                  <c:v>101.6</c:v>
                </c:pt>
                <c:pt idx="7745">
                  <c:v>101.473266</c:v>
                </c:pt>
                <c:pt idx="7746">
                  <c:v>101.2048049</c:v>
                </c:pt>
                <c:pt idx="7747">
                  <c:v>101.182</c:v>
                </c:pt>
                <c:pt idx="7748">
                  <c:v>101.0019635</c:v>
                </c:pt>
                <c:pt idx="7749">
                  <c:v>100.98399999999999</c:v>
                </c:pt>
                <c:pt idx="7750">
                  <c:v>100.8</c:v>
                </c:pt>
                <c:pt idx="7751">
                  <c:v>100.8</c:v>
                </c:pt>
                <c:pt idx="7752">
                  <c:v>100.8</c:v>
                </c:pt>
                <c:pt idx="7753">
                  <c:v>100.7662409</c:v>
                </c:pt>
                <c:pt idx="7754">
                  <c:v>100.7662409</c:v>
                </c:pt>
                <c:pt idx="7755">
                  <c:v>100.7662409</c:v>
                </c:pt>
                <c:pt idx="7756">
                  <c:v>100.5930766</c:v>
                </c:pt>
                <c:pt idx="7757">
                  <c:v>100.5930766</c:v>
                </c:pt>
                <c:pt idx="7758">
                  <c:v>100.5930766</c:v>
                </c:pt>
                <c:pt idx="7759">
                  <c:v>100.5930766</c:v>
                </c:pt>
                <c:pt idx="7760">
                  <c:v>100.24542</c:v>
                </c:pt>
                <c:pt idx="7761">
                  <c:v>100.2250253</c:v>
                </c:pt>
                <c:pt idx="7762">
                  <c:v>100.2250253</c:v>
                </c:pt>
                <c:pt idx="7763">
                  <c:v>100.03072090000001</c:v>
                </c:pt>
                <c:pt idx="7764">
                  <c:v>100.03072090000001</c:v>
                </c:pt>
                <c:pt idx="7765">
                  <c:v>100.012</c:v>
                </c:pt>
                <c:pt idx="7766">
                  <c:v>100</c:v>
                </c:pt>
                <c:pt idx="7767">
                  <c:v>100</c:v>
                </c:pt>
                <c:pt idx="7768">
                  <c:v>100</c:v>
                </c:pt>
                <c:pt idx="7769">
                  <c:v>100</c:v>
                </c:pt>
                <c:pt idx="7770">
                  <c:v>100</c:v>
                </c:pt>
                <c:pt idx="7771">
                  <c:v>100</c:v>
                </c:pt>
                <c:pt idx="7772">
                  <c:v>100</c:v>
                </c:pt>
                <c:pt idx="7773">
                  <c:v>99.775246719999998</c:v>
                </c:pt>
                <c:pt idx="7774">
                  <c:v>99.536463870000006</c:v>
                </c:pt>
                <c:pt idx="7775">
                  <c:v>99.448087150000006</c:v>
                </c:pt>
                <c:pt idx="7776">
                  <c:v>99.260999999999996</c:v>
                </c:pt>
                <c:pt idx="7777">
                  <c:v>99.2</c:v>
                </c:pt>
                <c:pt idx="7778">
                  <c:v>99.2</c:v>
                </c:pt>
                <c:pt idx="7779">
                  <c:v>99.2</c:v>
                </c:pt>
                <c:pt idx="7780">
                  <c:v>99.2</c:v>
                </c:pt>
                <c:pt idx="7781">
                  <c:v>99.2</c:v>
                </c:pt>
                <c:pt idx="7782">
                  <c:v>99.2</c:v>
                </c:pt>
                <c:pt idx="7783">
                  <c:v>99.126628980000007</c:v>
                </c:pt>
                <c:pt idx="7784">
                  <c:v>98.957416820000006</c:v>
                </c:pt>
                <c:pt idx="7785">
                  <c:v>98.957416820000006</c:v>
                </c:pt>
                <c:pt idx="7786">
                  <c:v>98.957416820000006</c:v>
                </c:pt>
                <c:pt idx="7787">
                  <c:v>98.846000000000004</c:v>
                </c:pt>
                <c:pt idx="7788">
                  <c:v>98.671148970000004</c:v>
                </c:pt>
                <c:pt idx="7789">
                  <c:v>98.671148970000004</c:v>
                </c:pt>
                <c:pt idx="7790">
                  <c:v>98.671148970000004</c:v>
                </c:pt>
                <c:pt idx="7791">
                  <c:v>98.671148970000004</c:v>
                </c:pt>
                <c:pt idx="7792">
                  <c:v>98.671148970000004</c:v>
                </c:pt>
                <c:pt idx="7793">
                  <c:v>98.55968086</c:v>
                </c:pt>
                <c:pt idx="7794">
                  <c:v>98.4</c:v>
                </c:pt>
                <c:pt idx="7795">
                  <c:v>98.4</c:v>
                </c:pt>
                <c:pt idx="7796">
                  <c:v>98.4</c:v>
                </c:pt>
                <c:pt idx="7797">
                  <c:v>98.4</c:v>
                </c:pt>
                <c:pt idx="7798">
                  <c:v>98.4</c:v>
                </c:pt>
                <c:pt idx="7799">
                  <c:v>98.4</c:v>
                </c:pt>
                <c:pt idx="7800">
                  <c:v>98.4</c:v>
                </c:pt>
                <c:pt idx="7801">
                  <c:v>98.4</c:v>
                </c:pt>
                <c:pt idx="7802">
                  <c:v>98.247</c:v>
                </c:pt>
                <c:pt idx="7803">
                  <c:v>97.635999999999996</c:v>
                </c:pt>
                <c:pt idx="7804">
                  <c:v>97.6</c:v>
                </c:pt>
                <c:pt idx="7805">
                  <c:v>97.6</c:v>
                </c:pt>
                <c:pt idx="7806">
                  <c:v>97.321757039999994</c:v>
                </c:pt>
                <c:pt idx="7807">
                  <c:v>97.256223730000002</c:v>
                </c:pt>
                <c:pt idx="7808">
                  <c:v>97.220363759999998</c:v>
                </c:pt>
                <c:pt idx="7809">
                  <c:v>97.117272610000001</c:v>
                </c:pt>
                <c:pt idx="7810">
                  <c:v>96.820999999999998</c:v>
                </c:pt>
                <c:pt idx="7811">
                  <c:v>96.805000000000007</c:v>
                </c:pt>
                <c:pt idx="7812">
                  <c:v>96.8</c:v>
                </c:pt>
                <c:pt idx="7813">
                  <c:v>96.8</c:v>
                </c:pt>
                <c:pt idx="7814">
                  <c:v>96.8</c:v>
                </c:pt>
                <c:pt idx="7815">
                  <c:v>96.8</c:v>
                </c:pt>
                <c:pt idx="7816">
                  <c:v>96.8</c:v>
                </c:pt>
                <c:pt idx="7817">
                  <c:v>96.8</c:v>
                </c:pt>
                <c:pt idx="7818">
                  <c:v>96.8</c:v>
                </c:pt>
                <c:pt idx="7819">
                  <c:v>96.8</c:v>
                </c:pt>
                <c:pt idx="7820">
                  <c:v>96.540729499999998</c:v>
                </c:pt>
                <c:pt idx="7821">
                  <c:v>96.503927149999996</c:v>
                </c:pt>
                <c:pt idx="7822">
                  <c:v>96.444393840000004</c:v>
                </c:pt>
                <c:pt idx="7823">
                  <c:v>96.428456080000004</c:v>
                </c:pt>
                <c:pt idx="7824">
                  <c:v>96.423475530000005</c:v>
                </c:pt>
                <c:pt idx="7825">
                  <c:v>96.340334429999999</c:v>
                </c:pt>
                <c:pt idx="7826">
                  <c:v>96.007000000000005</c:v>
                </c:pt>
                <c:pt idx="7827">
                  <c:v>96</c:v>
                </c:pt>
                <c:pt idx="7828">
                  <c:v>96</c:v>
                </c:pt>
                <c:pt idx="7829">
                  <c:v>96</c:v>
                </c:pt>
                <c:pt idx="7830">
                  <c:v>96</c:v>
                </c:pt>
                <c:pt idx="7831">
                  <c:v>96</c:v>
                </c:pt>
                <c:pt idx="7832">
                  <c:v>95.686097259999997</c:v>
                </c:pt>
                <c:pt idx="7833">
                  <c:v>95.633560070000001</c:v>
                </c:pt>
                <c:pt idx="7834">
                  <c:v>95.626587299999997</c:v>
                </c:pt>
                <c:pt idx="7835">
                  <c:v>95.617600830000001</c:v>
                </c:pt>
                <c:pt idx="7836">
                  <c:v>95.414806819999995</c:v>
                </c:pt>
                <c:pt idx="7837">
                  <c:v>95.361999999999995</c:v>
                </c:pt>
                <c:pt idx="7838">
                  <c:v>95.215000000000003</c:v>
                </c:pt>
                <c:pt idx="7839">
                  <c:v>95.2</c:v>
                </c:pt>
                <c:pt idx="7840">
                  <c:v>95.2</c:v>
                </c:pt>
                <c:pt idx="7841">
                  <c:v>95.2</c:v>
                </c:pt>
                <c:pt idx="7842">
                  <c:v>95.2</c:v>
                </c:pt>
                <c:pt idx="7843">
                  <c:v>95.06</c:v>
                </c:pt>
                <c:pt idx="7844">
                  <c:v>94.991068940000005</c:v>
                </c:pt>
                <c:pt idx="7845">
                  <c:v>94.896000000000001</c:v>
                </c:pt>
                <c:pt idx="7846">
                  <c:v>94.882080830000007</c:v>
                </c:pt>
                <c:pt idx="7847">
                  <c:v>94.868267369999998</c:v>
                </c:pt>
                <c:pt idx="7848">
                  <c:v>94.868267369999998</c:v>
                </c:pt>
                <c:pt idx="7849">
                  <c:v>94.868267369999998</c:v>
                </c:pt>
                <c:pt idx="7850">
                  <c:v>94.844640729999995</c:v>
                </c:pt>
                <c:pt idx="7851">
                  <c:v>94.829699070000004</c:v>
                </c:pt>
                <c:pt idx="7852">
                  <c:v>94.829699070000004</c:v>
                </c:pt>
                <c:pt idx="7853">
                  <c:v>94.790999999999997</c:v>
                </c:pt>
                <c:pt idx="7854">
                  <c:v>94.436000000000007</c:v>
                </c:pt>
                <c:pt idx="7855">
                  <c:v>94.4</c:v>
                </c:pt>
                <c:pt idx="7856">
                  <c:v>94.4</c:v>
                </c:pt>
                <c:pt idx="7857">
                  <c:v>94.4</c:v>
                </c:pt>
                <c:pt idx="7858">
                  <c:v>94.4</c:v>
                </c:pt>
                <c:pt idx="7859">
                  <c:v>94.4</c:v>
                </c:pt>
                <c:pt idx="7860">
                  <c:v>94.4</c:v>
                </c:pt>
                <c:pt idx="7861">
                  <c:v>94.4</c:v>
                </c:pt>
                <c:pt idx="7862">
                  <c:v>94.4</c:v>
                </c:pt>
                <c:pt idx="7863">
                  <c:v>94.4</c:v>
                </c:pt>
                <c:pt idx="7864">
                  <c:v>94.146560820000005</c:v>
                </c:pt>
                <c:pt idx="7865">
                  <c:v>94.146560820000005</c:v>
                </c:pt>
                <c:pt idx="7866">
                  <c:v>94.05</c:v>
                </c:pt>
                <c:pt idx="7867">
                  <c:v>94.032810850000004</c:v>
                </c:pt>
                <c:pt idx="7868">
                  <c:v>94.032810850000004</c:v>
                </c:pt>
                <c:pt idx="7869">
                  <c:v>94.032810850000004</c:v>
                </c:pt>
                <c:pt idx="7870">
                  <c:v>94.032810850000004</c:v>
                </c:pt>
                <c:pt idx="7871">
                  <c:v>94.032810850000004</c:v>
                </c:pt>
                <c:pt idx="7872">
                  <c:v>94.009519890000007</c:v>
                </c:pt>
                <c:pt idx="7873">
                  <c:v>93.6</c:v>
                </c:pt>
                <c:pt idx="7874">
                  <c:v>93.6</c:v>
                </c:pt>
                <c:pt idx="7875">
                  <c:v>93.6</c:v>
                </c:pt>
                <c:pt idx="7876">
                  <c:v>93.6</c:v>
                </c:pt>
                <c:pt idx="7877">
                  <c:v>93.6</c:v>
                </c:pt>
                <c:pt idx="7878">
                  <c:v>93.6</c:v>
                </c:pt>
                <c:pt idx="7879">
                  <c:v>93.6</c:v>
                </c:pt>
                <c:pt idx="7880">
                  <c:v>93.6</c:v>
                </c:pt>
                <c:pt idx="7881">
                  <c:v>93.6</c:v>
                </c:pt>
                <c:pt idx="7882">
                  <c:v>93.6</c:v>
                </c:pt>
                <c:pt idx="7883">
                  <c:v>93.6</c:v>
                </c:pt>
                <c:pt idx="7884">
                  <c:v>93.6</c:v>
                </c:pt>
                <c:pt idx="7885">
                  <c:v>93.6</c:v>
                </c:pt>
                <c:pt idx="7886">
                  <c:v>93.6</c:v>
                </c:pt>
                <c:pt idx="7887">
                  <c:v>93.6</c:v>
                </c:pt>
                <c:pt idx="7888">
                  <c:v>93.6</c:v>
                </c:pt>
                <c:pt idx="7889">
                  <c:v>93.6</c:v>
                </c:pt>
                <c:pt idx="7890">
                  <c:v>93.411040810000003</c:v>
                </c:pt>
                <c:pt idx="7891">
                  <c:v>93.411040810000003</c:v>
                </c:pt>
                <c:pt idx="7892">
                  <c:v>93.277000000000001</c:v>
                </c:pt>
                <c:pt idx="7893">
                  <c:v>93.235922619999997</c:v>
                </c:pt>
                <c:pt idx="7894">
                  <c:v>93.235922619999997</c:v>
                </c:pt>
                <c:pt idx="7895">
                  <c:v>93.235922619999997</c:v>
                </c:pt>
                <c:pt idx="7896">
                  <c:v>93.235922619999997</c:v>
                </c:pt>
                <c:pt idx="7897">
                  <c:v>93.235922619999997</c:v>
                </c:pt>
                <c:pt idx="7898">
                  <c:v>93.235922619999997</c:v>
                </c:pt>
                <c:pt idx="7899">
                  <c:v>93.235922619999997</c:v>
                </c:pt>
                <c:pt idx="7900">
                  <c:v>93.235922619999997</c:v>
                </c:pt>
                <c:pt idx="7901">
                  <c:v>93.235922619999997</c:v>
                </c:pt>
                <c:pt idx="7902">
                  <c:v>93.235922619999997</c:v>
                </c:pt>
                <c:pt idx="7903">
                  <c:v>93.232607590000001</c:v>
                </c:pt>
                <c:pt idx="7904">
                  <c:v>93.232607590000001</c:v>
                </c:pt>
                <c:pt idx="7905">
                  <c:v>93.232581710000005</c:v>
                </c:pt>
                <c:pt idx="7906">
                  <c:v>92.844690409999998</c:v>
                </c:pt>
                <c:pt idx="7907">
                  <c:v>92.8</c:v>
                </c:pt>
                <c:pt idx="7908">
                  <c:v>92.8</c:v>
                </c:pt>
                <c:pt idx="7909">
                  <c:v>92.8</c:v>
                </c:pt>
                <c:pt idx="7910">
                  <c:v>92.8</c:v>
                </c:pt>
                <c:pt idx="7911">
                  <c:v>92.8</c:v>
                </c:pt>
                <c:pt idx="7912">
                  <c:v>92.8</c:v>
                </c:pt>
                <c:pt idx="7913">
                  <c:v>92.8</c:v>
                </c:pt>
                <c:pt idx="7914">
                  <c:v>92.8</c:v>
                </c:pt>
                <c:pt idx="7915">
                  <c:v>92.8</c:v>
                </c:pt>
                <c:pt idx="7916">
                  <c:v>92.8</c:v>
                </c:pt>
                <c:pt idx="7917">
                  <c:v>92.8</c:v>
                </c:pt>
                <c:pt idx="7918">
                  <c:v>92.8</c:v>
                </c:pt>
                <c:pt idx="7919">
                  <c:v>92.707999999999998</c:v>
                </c:pt>
                <c:pt idx="7920">
                  <c:v>92.675520809999995</c:v>
                </c:pt>
                <c:pt idx="7921">
                  <c:v>92.675520809999995</c:v>
                </c:pt>
                <c:pt idx="7922">
                  <c:v>92.439034390000003</c:v>
                </c:pt>
                <c:pt idx="7923">
                  <c:v>92.439034390000003</c:v>
                </c:pt>
                <c:pt idx="7924">
                  <c:v>92.439034390000003</c:v>
                </c:pt>
                <c:pt idx="7925">
                  <c:v>92.439034390000003</c:v>
                </c:pt>
                <c:pt idx="7926">
                  <c:v>92.439034390000003</c:v>
                </c:pt>
                <c:pt idx="7927">
                  <c:v>92.439034390000003</c:v>
                </c:pt>
                <c:pt idx="7928">
                  <c:v>92.414777700000002</c:v>
                </c:pt>
                <c:pt idx="7929">
                  <c:v>92.414777700000002</c:v>
                </c:pt>
                <c:pt idx="7930">
                  <c:v>92.160407019999994</c:v>
                </c:pt>
                <c:pt idx="7931">
                  <c:v>92.13</c:v>
                </c:pt>
                <c:pt idx="7932">
                  <c:v>92</c:v>
                </c:pt>
                <c:pt idx="7933">
                  <c:v>92</c:v>
                </c:pt>
                <c:pt idx="7934">
                  <c:v>92</c:v>
                </c:pt>
                <c:pt idx="7935">
                  <c:v>92</c:v>
                </c:pt>
                <c:pt idx="7936">
                  <c:v>92</c:v>
                </c:pt>
                <c:pt idx="7937">
                  <c:v>91.951033600000002</c:v>
                </c:pt>
                <c:pt idx="7938">
                  <c:v>91.940000800000007</c:v>
                </c:pt>
                <c:pt idx="7939">
                  <c:v>91.940000800000007</c:v>
                </c:pt>
                <c:pt idx="7940">
                  <c:v>91.688953670000004</c:v>
                </c:pt>
                <c:pt idx="7941">
                  <c:v>91.676201539999994</c:v>
                </c:pt>
                <c:pt idx="7942">
                  <c:v>91.642146159999996</c:v>
                </c:pt>
                <c:pt idx="7943">
                  <c:v>91.642146159999996</c:v>
                </c:pt>
                <c:pt idx="7944">
                  <c:v>91.596947799999995</c:v>
                </c:pt>
                <c:pt idx="7945">
                  <c:v>91.596947799999995</c:v>
                </c:pt>
                <c:pt idx="7946">
                  <c:v>91.204480799999999</c:v>
                </c:pt>
                <c:pt idx="7947">
                  <c:v>91.204480799999999</c:v>
                </c:pt>
                <c:pt idx="7948">
                  <c:v>91.2</c:v>
                </c:pt>
                <c:pt idx="7949">
                  <c:v>91.2</c:v>
                </c:pt>
                <c:pt idx="7950">
                  <c:v>91.2</c:v>
                </c:pt>
                <c:pt idx="7951">
                  <c:v>91.2</c:v>
                </c:pt>
                <c:pt idx="7952">
                  <c:v>91.2</c:v>
                </c:pt>
                <c:pt idx="7953">
                  <c:v>91.2</c:v>
                </c:pt>
                <c:pt idx="7954">
                  <c:v>91.2</c:v>
                </c:pt>
                <c:pt idx="7955">
                  <c:v>91.2</c:v>
                </c:pt>
                <c:pt idx="7956">
                  <c:v>91.2</c:v>
                </c:pt>
                <c:pt idx="7957">
                  <c:v>91.2</c:v>
                </c:pt>
                <c:pt idx="7958">
                  <c:v>91.2</c:v>
                </c:pt>
                <c:pt idx="7959">
                  <c:v>91.2</c:v>
                </c:pt>
                <c:pt idx="7960">
                  <c:v>91.2</c:v>
                </c:pt>
                <c:pt idx="7961">
                  <c:v>91.2</c:v>
                </c:pt>
                <c:pt idx="7962">
                  <c:v>91.2</c:v>
                </c:pt>
                <c:pt idx="7963">
                  <c:v>91.2</c:v>
                </c:pt>
                <c:pt idx="7964">
                  <c:v>91.170275579999995</c:v>
                </c:pt>
                <c:pt idx="7965">
                  <c:v>90.852560990000001</c:v>
                </c:pt>
                <c:pt idx="7966">
                  <c:v>90.845257939999996</c:v>
                </c:pt>
                <c:pt idx="7967">
                  <c:v>90.845257939999996</c:v>
                </c:pt>
                <c:pt idx="7968">
                  <c:v>90.845257939999996</c:v>
                </c:pt>
                <c:pt idx="7969">
                  <c:v>90.845257939999996</c:v>
                </c:pt>
                <c:pt idx="7970">
                  <c:v>90.845257939999996</c:v>
                </c:pt>
                <c:pt idx="7971">
                  <c:v>90.845257939999996</c:v>
                </c:pt>
                <c:pt idx="7972">
                  <c:v>90.638000000000005</c:v>
                </c:pt>
                <c:pt idx="7973">
                  <c:v>90.468960789999997</c:v>
                </c:pt>
                <c:pt idx="7974">
                  <c:v>90.468960789999997</c:v>
                </c:pt>
                <c:pt idx="7975">
                  <c:v>90.454999999999998</c:v>
                </c:pt>
                <c:pt idx="7976">
                  <c:v>90.4</c:v>
                </c:pt>
                <c:pt idx="7977">
                  <c:v>90.4</c:v>
                </c:pt>
                <c:pt idx="7978">
                  <c:v>90.4</c:v>
                </c:pt>
                <c:pt idx="7979">
                  <c:v>90.4</c:v>
                </c:pt>
                <c:pt idx="7980">
                  <c:v>90.4</c:v>
                </c:pt>
                <c:pt idx="7981">
                  <c:v>90.093000000000004</c:v>
                </c:pt>
                <c:pt idx="7982">
                  <c:v>90.048369710000003</c:v>
                </c:pt>
                <c:pt idx="7983">
                  <c:v>90.048369710000003</c:v>
                </c:pt>
                <c:pt idx="7984">
                  <c:v>90.035481090000005</c:v>
                </c:pt>
                <c:pt idx="7985">
                  <c:v>90.021150230000003</c:v>
                </c:pt>
                <c:pt idx="7986">
                  <c:v>89.771142569999995</c:v>
                </c:pt>
                <c:pt idx="7987">
                  <c:v>89.742563849999996</c:v>
                </c:pt>
                <c:pt idx="7988">
                  <c:v>89.69</c:v>
                </c:pt>
                <c:pt idx="7989">
                  <c:v>89.626000000000005</c:v>
                </c:pt>
                <c:pt idx="7990">
                  <c:v>89.61</c:v>
                </c:pt>
                <c:pt idx="7991">
                  <c:v>89.6</c:v>
                </c:pt>
                <c:pt idx="7992">
                  <c:v>89.6</c:v>
                </c:pt>
                <c:pt idx="7993">
                  <c:v>89.6</c:v>
                </c:pt>
                <c:pt idx="7994">
                  <c:v>89.6</c:v>
                </c:pt>
                <c:pt idx="7995">
                  <c:v>89.6</c:v>
                </c:pt>
                <c:pt idx="7996">
                  <c:v>89.6</c:v>
                </c:pt>
                <c:pt idx="7997">
                  <c:v>89.6</c:v>
                </c:pt>
                <c:pt idx="7998">
                  <c:v>89.6</c:v>
                </c:pt>
                <c:pt idx="7999">
                  <c:v>89.6</c:v>
                </c:pt>
                <c:pt idx="8000">
                  <c:v>89.6</c:v>
                </c:pt>
                <c:pt idx="8001">
                  <c:v>89.6</c:v>
                </c:pt>
                <c:pt idx="8002">
                  <c:v>89.489000000000004</c:v>
                </c:pt>
                <c:pt idx="8003">
                  <c:v>89.474143260000005</c:v>
                </c:pt>
                <c:pt idx="8004">
                  <c:v>89.331999999999994</c:v>
                </c:pt>
                <c:pt idx="8005">
                  <c:v>89.251481479999995</c:v>
                </c:pt>
                <c:pt idx="8006">
                  <c:v>89.171999999999997</c:v>
                </c:pt>
                <c:pt idx="8007">
                  <c:v>89.143458129999999</c:v>
                </c:pt>
                <c:pt idx="8008">
                  <c:v>89.143458129999999</c:v>
                </c:pt>
                <c:pt idx="8009">
                  <c:v>89.120999999999995</c:v>
                </c:pt>
                <c:pt idx="8010">
                  <c:v>88.997920780000001</c:v>
                </c:pt>
                <c:pt idx="8011">
                  <c:v>88.997920780000001</c:v>
                </c:pt>
                <c:pt idx="8012">
                  <c:v>88.984523920000001</c:v>
                </c:pt>
                <c:pt idx="8013">
                  <c:v>88.8</c:v>
                </c:pt>
                <c:pt idx="8014">
                  <c:v>88.8</c:v>
                </c:pt>
                <c:pt idx="8015">
                  <c:v>88.8</c:v>
                </c:pt>
                <c:pt idx="8016">
                  <c:v>88.8</c:v>
                </c:pt>
                <c:pt idx="8017">
                  <c:v>88.8</c:v>
                </c:pt>
                <c:pt idx="8018">
                  <c:v>88.8</c:v>
                </c:pt>
                <c:pt idx="8019">
                  <c:v>88.673205940000003</c:v>
                </c:pt>
                <c:pt idx="8020">
                  <c:v>88.652000000000001</c:v>
                </c:pt>
                <c:pt idx="8021">
                  <c:v>88.61</c:v>
                </c:pt>
                <c:pt idx="8022">
                  <c:v>88.454593250000002</c:v>
                </c:pt>
                <c:pt idx="8023">
                  <c:v>88.454593250000002</c:v>
                </c:pt>
                <c:pt idx="8024">
                  <c:v>88.454593250000002</c:v>
                </c:pt>
                <c:pt idx="8025">
                  <c:v>88.454593250000002</c:v>
                </c:pt>
                <c:pt idx="8026">
                  <c:v>88.454593250000002</c:v>
                </c:pt>
                <c:pt idx="8027">
                  <c:v>88.363452870000003</c:v>
                </c:pt>
                <c:pt idx="8028">
                  <c:v>88.32562824</c:v>
                </c:pt>
                <c:pt idx="8029">
                  <c:v>88.32562824</c:v>
                </c:pt>
                <c:pt idx="8030">
                  <c:v>88.32562824</c:v>
                </c:pt>
                <c:pt idx="8031">
                  <c:v>88.32562824</c:v>
                </c:pt>
                <c:pt idx="8032">
                  <c:v>88.307168930000003</c:v>
                </c:pt>
                <c:pt idx="8033">
                  <c:v>88.307000000000002</c:v>
                </c:pt>
                <c:pt idx="8034">
                  <c:v>88.265332299999997</c:v>
                </c:pt>
                <c:pt idx="8035">
                  <c:v>88.263999999999996</c:v>
                </c:pt>
                <c:pt idx="8036">
                  <c:v>88.262400769999999</c:v>
                </c:pt>
                <c:pt idx="8037">
                  <c:v>88.262400769999999</c:v>
                </c:pt>
                <c:pt idx="8038">
                  <c:v>88.262</c:v>
                </c:pt>
                <c:pt idx="8039">
                  <c:v>88.18</c:v>
                </c:pt>
                <c:pt idx="8040">
                  <c:v>88.081999999999994</c:v>
                </c:pt>
                <c:pt idx="8041">
                  <c:v>88.025153549999999</c:v>
                </c:pt>
                <c:pt idx="8042">
                  <c:v>88</c:v>
                </c:pt>
                <c:pt idx="8043">
                  <c:v>88</c:v>
                </c:pt>
                <c:pt idx="8044">
                  <c:v>88</c:v>
                </c:pt>
                <c:pt idx="8045">
                  <c:v>88</c:v>
                </c:pt>
                <c:pt idx="8046">
                  <c:v>88</c:v>
                </c:pt>
                <c:pt idx="8047">
                  <c:v>88</c:v>
                </c:pt>
                <c:pt idx="8048">
                  <c:v>88</c:v>
                </c:pt>
                <c:pt idx="8049">
                  <c:v>88</c:v>
                </c:pt>
                <c:pt idx="8050">
                  <c:v>87.963510880000001</c:v>
                </c:pt>
                <c:pt idx="8051">
                  <c:v>87.886044670000004</c:v>
                </c:pt>
                <c:pt idx="8052">
                  <c:v>87.84742894</c:v>
                </c:pt>
                <c:pt idx="8053">
                  <c:v>87.813999999999993</c:v>
                </c:pt>
                <c:pt idx="8054">
                  <c:v>87.738</c:v>
                </c:pt>
                <c:pt idx="8055">
                  <c:v>87.682000000000002</c:v>
                </c:pt>
                <c:pt idx="8056">
                  <c:v>87.657705030000002</c:v>
                </c:pt>
                <c:pt idx="8057">
                  <c:v>87.657705030000002</c:v>
                </c:pt>
                <c:pt idx="8058">
                  <c:v>87.657705030000002</c:v>
                </c:pt>
                <c:pt idx="8059">
                  <c:v>87.657705030000002</c:v>
                </c:pt>
                <c:pt idx="8060">
                  <c:v>87.657705030000002</c:v>
                </c:pt>
                <c:pt idx="8061">
                  <c:v>87.657705030000002</c:v>
                </c:pt>
                <c:pt idx="8062">
                  <c:v>87.657705030000002</c:v>
                </c:pt>
                <c:pt idx="8063">
                  <c:v>87.641999999999996</c:v>
                </c:pt>
                <c:pt idx="8064">
                  <c:v>87.507798350000002</c:v>
                </c:pt>
                <c:pt idx="8065">
                  <c:v>87.355973710000001</c:v>
                </c:pt>
                <c:pt idx="8066">
                  <c:v>87.301097540000001</c:v>
                </c:pt>
                <c:pt idx="8067">
                  <c:v>87.2</c:v>
                </c:pt>
                <c:pt idx="8068">
                  <c:v>87.2</c:v>
                </c:pt>
                <c:pt idx="8069">
                  <c:v>87.2</c:v>
                </c:pt>
                <c:pt idx="8070">
                  <c:v>87.2</c:v>
                </c:pt>
                <c:pt idx="8071">
                  <c:v>87.2</c:v>
                </c:pt>
                <c:pt idx="8072">
                  <c:v>87.2</c:v>
                </c:pt>
                <c:pt idx="8073">
                  <c:v>87.2</c:v>
                </c:pt>
                <c:pt idx="8074">
                  <c:v>87.2</c:v>
                </c:pt>
                <c:pt idx="8075">
                  <c:v>87.2</c:v>
                </c:pt>
                <c:pt idx="8076">
                  <c:v>87.2</c:v>
                </c:pt>
                <c:pt idx="8077">
                  <c:v>87.2</c:v>
                </c:pt>
                <c:pt idx="8078">
                  <c:v>87.2</c:v>
                </c:pt>
                <c:pt idx="8079">
                  <c:v>87.2</c:v>
                </c:pt>
                <c:pt idx="8080">
                  <c:v>87.2</c:v>
                </c:pt>
                <c:pt idx="8081">
                  <c:v>87.2</c:v>
                </c:pt>
                <c:pt idx="8082">
                  <c:v>87.2</c:v>
                </c:pt>
                <c:pt idx="8083">
                  <c:v>87.088999999999999</c:v>
                </c:pt>
                <c:pt idx="8084">
                  <c:v>87.026172149999994</c:v>
                </c:pt>
                <c:pt idx="8085">
                  <c:v>86.909276090000006</c:v>
                </c:pt>
                <c:pt idx="8086">
                  <c:v>86.860816799999995</c:v>
                </c:pt>
                <c:pt idx="8087">
                  <c:v>86.860816799999995</c:v>
                </c:pt>
                <c:pt idx="8088">
                  <c:v>86.860816799999995</c:v>
                </c:pt>
                <c:pt idx="8089">
                  <c:v>86.860816799999995</c:v>
                </c:pt>
                <c:pt idx="8090">
                  <c:v>86.860816799999995</c:v>
                </c:pt>
                <c:pt idx="8091">
                  <c:v>86.860816799999995</c:v>
                </c:pt>
                <c:pt idx="8092">
                  <c:v>86.860816799999995</c:v>
                </c:pt>
                <c:pt idx="8093">
                  <c:v>86.860816799999995</c:v>
                </c:pt>
                <c:pt idx="8094">
                  <c:v>86.860816799999995</c:v>
                </c:pt>
                <c:pt idx="8095">
                  <c:v>86.860816799999995</c:v>
                </c:pt>
                <c:pt idx="8096">
                  <c:v>86.860816799999995</c:v>
                </c:pt>
                <c:pt idx="8097">
                  <c:v>86.860816799999995</c:v>
                </c:pt>
                <c:pt idx="8098">
                  <c:v>86.801000000000002</c:v>
                </c:pt>
                <c:pt idx="8099">
                  <c:v>86.791360760000003</c:v>
                </c:pt>
                <c:pt idx="8100">
                  <c:v>86.787000000000006</c:v>
                </c:pt>
                <c:pt idx="8101">
                  <c:v>86.784999999999997</c:v>
                </c:pt>
                <c:pt idx="8102">
                  <c:v>86.750248560000003</c:v>
                </c:pt>
                <c:pt idx="8103">
                  <c:v>86.74</c:v>
                </c:pt>
                <c:pt idx="8104">
                  <c:v>86.689968460000003</c:v>
                </c:pt>
                <c:pt idx="8105">
                  <c:v>86.689968460000003</c:v>
                </c:pt>
                <c:pt idx="8106">
                  <c:v>86.655000000000001</c:v>
                </c:pt>
                <c:pt idx="8107">
                  <c:v>86.617000000000004</c:v>
                </c:pt>
                <c:pt idx="8108">
                  <c:v>86.551884520000002</c:v>
                </c:pt>
                <c:pt idx="8109">
                  <c:v>86.449423249999995</c:v>
                </c:pt>
                <c:pt idx="8110">
                  <c:v>86.436999999999998</c:v>
                </c:pt>
                <c:pt idx="8111">
                  <c:v>86.4</c:v>
                </c:pt>
                <c:pt idx="8112">
                  <c:v>86.4</c:v>
                </c:pt>
                <c:pt idx="8113">
                  <c:v>86.4</c:v>
                </c:pt>
                <c:pt idx="8114">
                  <c:v>86.4</c:v>
                </c:pt>
                <c:pt idx="8115">
                  <c:v>86.4</c:v>
                </c:pt>
                <c:pt idx="8116">
                  <c:v>86.4</c:v>
                </c:pt>
                <c:pt idx="8117">
                  <c:v>86.4</c:v>
                </c:pt>
                <c:pt idx="8118">
                  <c:v>86.4</c:v>
                </c:pt>
                <c:pt idx="8119">
                  <c:v>86.4</c:v>
                </c:pt>
                <c:pt idx="8120">
                  <c:v>86.4</c:v>
                </c:pt>
                <c:pt idx="8121">
                  <c:v>86.4</c:v>
                </c:pt>
                <c:pt idx="8122">
                  <c:v>86.317936689999996</c:v>
                </c:pt>
                <c:pt idx="8123">
                  <c:v>86.280084500000001</c:v>
                </c:pt>
                <c:pt idx="8124">
                  <c:v>86.063928570000002</c:v>
                </c:pt>
                <c:pt idx="8125">
                  <c:v>86.063928570000002</c:v>
                </c:pt>
                <c:pt idx="8126">
                  <c:v>86.063928570000002</c:v>
                </c:pt>
                <c:pt idx="8127">
                  <c:v>86.063928570000002</c:v>
                </c:pt>
                <c:pt idx="8128">
                  <c:v>86.063928570000002</c:v>
                </c:pt>
                <c:pt idx="8129">
                  <c:v>86.055840750000002</c:v>
                </c:pt>
                <c:pt idx="8130">
                  <c:v>86.055840750000002</c:v>
                </c:pt>
                <c:pt idx="8131">
                  <c:v>86.055840750000002</c:v>
                </c:pt>
                <c:pt idx="8132">
                  <c:v>86.02</c:v>
                </c:pt>
                <c:pt idx="8133">
                  <c:v>85.97</c:v>
                </c:pt>
                <c:pt idx="8134">
                  <c:v>85.872138570000004</c:v>
                </c:pt>
                <c:pt idx="8135">
                  <c:v>85.748999999999995</c:v>
                </c:pt>
                <c:pt idx="8136">
                  <c:v>85.719589499999998</c:v>
                </c:pt>
                <c:pt idx="8137">
                  <c:v>85.685406659999998</c:v>
                </c:pt>
                <c:pt idx="8138">
                  <c:v>85.644804339999993</c:v>
                </c:pt>
                <c:pt idx="8139">
                  <c:v>85.644804339999993</c:v>
                </c:pt>
                <c:pt idx="8140">
                  <c:v>85.638010989999998</c:v>
                </c:pt>
                <c:pt idx="8141">
                  <c:v>85.6</c:v>
                </c:pt>
                <c:pt idx="8142">
                  <c:v>85.6</c:v>
                </c:pt>
                <c:pt idx="8143">
                  <c:v>85.6</c:v>
                </c:pt>
                <c:pt idx="8144">
                  <c:v>85.6</c:v>
                </c:pt>
                <c:pt idx="8145">
                  <c:v>85.6</c:v>
                </c:pt>
                <c:pt idx="8146">
                  <c:v>85.6</c:v>
                </c:pt>
                <c:pt idx="8147">
                  <c:v>85.6</c:v>
                </c:pt>
                <c:pt idx="8148">
                  <c:v>85.6</c:v>
                </c:pt>
                <c:pt idx="8149">
                  <c:v>85.542836059999999</c:v>
                </c:pt>
                <c:pt idx="8150">
                  <c:v>85.466999999999999</c:v>
                </c:pt>
                <c:pt idx="8151">
                  <c:v>85.339176710000004</c:v>
                </c:pt>
                <c:pt idx="8152">
                  <c:v>85.32032074</c:v>
                </c:pt>
                <c:pt idx="8153">
                  <c:v>85.32032074</c:v>
                </c:pt>
                <c:pt idx="8154">
                  <c:v>85.278189609999998</c:v>
                </c:pt>
                <c:pt idx="8155">
                  <c:v>85.267040339999994</c:v>
                </c:pt>
                <c:pt idx="8156">
                  <c:v>85.267040339999994</c:v>
                </c:pt>
                <c:pt idx="8157">
                  <c:v>85.13455768</c:v>
                </c:pt>
                <c:pt idx="8158">
                  <c:v>84.954120430000003</c:v>
                </c:pt>
                <c:pt idx="8159">
                  <c:v>84.8</c:v>
                </c:pt>
                <c:pt idx="8160">
                  <c:v>84.8</c:v>
                </c:pt>
                <c:pt idx="8161">
                  <c:v>84.8</c:v>
                </c:pt>
                <c:pt idx="8162">
                  <c:v>84.8</c:v>
                </c:pt>
                <c:pt idx="8163">
                  <c:v>84.8</c:v>
                </c:pt>
                <c:pt idx="8164">
                  <c:v>84.741</c:v>
                </c:pt>
                <c:pt idx="8165">
                  <c:v>84.584800740000006</c:v>
                </c:pt>
                <c:pt idx="8166">
                  <c:v>84.557000000000002</c:v>
                </c:pt>
                <c:pt idx="8167">
                  <c:v>84.507000000000005</c:v>
                </c:pt>
                <c:pt idx="8168">
                  <c:v>84.470152119999995</c:v>
                </c:pt>
                <c:pt idx="8169">
                  <c:v>84.470152119999995</c:v>
                </c:pt>
                <c:pt idx="8170">
                  <c:v>84.470152119999995</c:v>
                </c:pt>
                <c:pt idx="8171">
                  <c:v>84.462000000000003</c:v>
                </c:pt>
                <c:pt idx="8172">
                  <c:v>84.445999999999998</c:v>
                </c:pt>
                <c:pt idx="8173">
                  <c:v>84.411381610000007</c:v>
                </c:pt>
                <c:pt idx="8174">
                  <c:v>84.322999999999993</c:v>
                </c:pt>
                <c:pt idx="8175">
                  <c:v>84.298763800000003</c:v>
                </c:pt>
                <c:pt idx="8176">
                  <c:v>84.283225040000005</c:v>
                </c:pt>
                <c:pt idx="8177">
                  <c:v>84.228097320000003</c:v>
                </c:pt>
                <c:pt idx="8178">
                  <c:v>84.178291799999997</c:v>
                </c:pt>
                <c:pt idx="8179">
                  <c:v>84.042000000000002</c:v>
                </c:pt>
                <c:pt idx="8180">
                  <c:v>84</c:v>
                </c:pt>
                <c:pt idx="8181">
                  <c:v>84</c:v>
                </c:pt>
                <c:pt idx="8182">
                  <c:v>84</c:v>
                </c:pt>
                <c:pt idx="8183">
                  <c:v>83.995007509999994</c:v>
                </c:pt>
                <c:pt idx="8184">
                  <c:v>83.849280730000004</c:v>
                </c:pt>
                <c:pt idx="8185">
                  <c:v>83.849280730000004</c:v>
                </c:pt>
                <c:pt idx="8186">
                  <c:v>83.715100519999993</c:v>
                </c:pt>
                <c:pt idx="8187">
                  <c:v>83.673263890000001</c:v>
                </c:pt>
                <c:pt idx="8188">
                  <c:v>83.572752620000003</c:v>
                </c:pt>
                <c:pt idx="8189">
                  <c:v>83.418999999999997</c:v>
                </c:pt>
                <c:pt idx="8190">
                  <c:v>83.41864889</c:v>
                </c:pt>
                <c:pt idx="8191">
                  <c:v>83.41864889</c:v>
                </c:pt>
                <c:pt idx="8192">
                  <c:v>83.41864889</c:v>
                </c:pt>
                <c:pt idx="8193">
                  <c:v>83.396000000000001</c:v>
                </c:pt>
                <c:pt idx="8194">
                  <c:v>83.254000000000005</c:v>
                </c:pt>
                <c:pt idx="8195">
                  <c:v>83.2</c:v>
                </c:pt>
                <c:pt idx="8196">
                  <c:v>83.2</c:v>
                </c:pt>
                <c:pt idx="8197">
                  <c:v>83.071613279999994</c:v>
                </c:pt>
                <c:pt idx="8198">
                  <c:v>82.933000000000007</c:v>
                </c:pt>
                <c:pt idx="8199">
                  <c:v>82.930165619999997</c:v>
                </c:pt>
                <c:pt idx="8200">
                  <c:v>82.891999999999996</c:v>
                </c:pt>
                <c:pt idx="8201">
                  <c:v>82.882068709999999</c:v>
                </c:pt>
                <c:pt idx="8202">
                  <c:v>82.876375659999994</c:v>
                </c:pt>
                <c:pt idx="8203">
                  <c:v>82.775000000000006</c:v>
                </c:pt>
                <c:pt idx="8204">
                  <c:v>82.665000000000006</c:v>
                </c:pt>
                <c:pt idx="8205">
                  <c:v>82.653999999999996</c:v>
                </c:pt>
                <c:pt idx="8206">
                  <c:v>82.638000000000005</c:v>
                </c:pt>
                <c:pt idx="8207">
                  <c:v>82.610414210000002</c:v>
                </c:pt>
                <c:pt idx="8208">
                  <c:v>82.600819000000001</c:v>
                </c:pt>
                <c:pt idx="8209">
                  <c:v>82.453028790000005</c:v>
                </c:pt>
                <c:pt idx="8210">
                  <c:v>82.403000000000006</c:v>
                </c:pt>
                <c:pt idx="8211">
                  <c:v>82.4</c:v>
                </c:pt>
                <c:pt idx="8212">
                  <c:v>82.387434720000002</c:v>
                </c:pt>
                <c:pt idx="8213">
                  <c:v>82.378240719999994</c:v>
                </c:pt>
                <c:pt idx="8214">
                  <c:v>82.378240719999994</c:v>
                </c:pt>
                <c:pt idx="8215">
                  <c:v>82.378240719999994</c:v>
                </c:pt>
                <c:pt idx="8216">
                  <c:v>82.378240719999994</c:v>
                </c:pt>
                <c:pt idx="8217">
                  <c:v>82.343456660000001</c:v>
                </c:pt>
                <c:pt idx="8218">
                  <c:v>82.33249945</c:v>
                </c:pt>
                <c:pt idx="8219">
                  <c:v>82.316561680000007</c:v>
                </c:pt>
                <c:pt idx="8220">
                  <c:v>82.191384810000002</c:v>
                </c:pt>
                <c:pt idx="8221">
                  <c:v>82.082475759999994</c:v>
                </c:pt>
                <c:pt idx="8222">
                  <c:v>82.07948743</c:v>
                </c:pt>
                <c:pt idx="8223">
                  <c:v>82.070515119999996</c:v>
                </c:pt>
                <c:pt idx="8224">
                  <c:v>82.011652029999993</c:v>
                </c:pt>
                <c:pt idx="8225">
                  <c:v>81.838272660000001</c:v>
                </c:pt>
                <c:pt idx="8226">
                  <c:v>81.795000000000002</c:v>
                </c:pt>
                <c:pt idx="8227">
                  <c:v>81.782989110000003</c:v>
                </c:pt>
                <c:pt idx="8228">
                  <c:v>81.642720710000006</c:v>
                </c:pt>
                <c:pt idx="8229">
                  <c:v>81.599999999999994</c:v>
                </c:pt>
                <c:pt idx="8230">
                  <c:v>81.599999999999994</c:v>
                </c:pt>
                <c:pt idx="8231">
                  <c:v>81.599999999999994</c:v>
                </c:pt>
                <c:pt idx="8232">
                  <c:v>81.599999999999994</c:v>
                </c:pt>
                <c:pt idx="8233">
                  <c:v>81.599999999999994</c:v>
                </c:pt>
                <c:pt idx="8234">
                  <c:v>81.599999999999994</c:v>
                </c:pt>
                <c:pt idx="8235">
                  <c:v>81.515000000000001</c:v>
                </c:pt>
                <c:pt idx="8236">
                  <c:v>81.500700899999998</c:v>
                </c:pt>
                <c:pt idx="8237">
                  <c:v>81.500700899999998</c:v>
                </c:pt>
                <c:pt idx="8238">
                  <c:v>81.435000000000002</c:v>
                </c:pt>
                <c:pt idx="8239">
                  <c:v>81.361999999999995</c:v>
                </c:pt>
                <c:pt idx="8240">
                  <c:v>81.282599210000001</c:v>
                </c:pt>
                <c:pt idx="8241">
                  <c:v>81.253</c:v>
                </c:pt>
                <c:pt idx="8242">
                  <c:v>81.198526689999994</c:v>
                </c:pt>
                <c:pt idx="8243">
                  <c:v>81.197929830000007</c:v>
                </c:pt>
                <c:pt idx="8244">
                  <c:v>81.183999999999997</c:v>
                </c:pt>
                <c:pt idx="8245">
                  <c:v>81.118241010000006</c:v>
                </c:pt>
                <c:pt idx="8246">
                  <c:v>81.102000000000004</c:v>
                </c:pt>
                <c:pt idx="8247">
                  <c:v>81.045524959999995</c:v>
                </c:pt>
                <c:pt idx="8248">
                  <c:v>80.965159220000004</c:v>
                </c:pt>
                <c:pt idx="8249">
                  <c:v>80.965159220000004</c:v>
                </c:pt>
                <c:pt idx="8250">
                  <c:v>80.936948939999994</c:v>
                </c:pt>
                <c:pt idx="8251">
                  <c:v>80.868217329999993</c:v>
                </c:pt>
                <c:pt idx="8252">
                  <c:v>80.818972130000006</c:v>
                </c:pt>
                <c:pt idx="8253">
                  <c:v>80.810016989999994</c:v>
                </c:pt>
                <c:pt idx="8254">
                  <c:v>80.810016989999994</c:v>
                </c:pt>
                <c:pt idx="8255">
                  <c:v>80.810016989999994</c:v>
                </c:pt>
                <c:pt idx="8256">
                  <c:v>80.8</c:v>
                </c:pt>
                <c:pt idx="8257">
                  <c:v>80.786536280000007</c:v>
                </c:pt>
                <c:pt idx="8258">
                  <c:v>80.774000000000001</c:v>
                </c:pt>
                <c:pt idx="8259">
                  <c:v>80.760999999999996</c:v>
                </c:pt>
                <c:pt idx="8260">
                  <c:v>80.614831499999994</c:v>
                </c:pt>
                <c:pt idx="8261">
                  <c:v>80.578999999999994</c:v>
                </c:pt>
                <c:pt idx="8262">
                  <c:v>80.506</c:v>
                </c:pt>
                <c:pt idx="8263">
                  <c:v>80.484999999999999</c:v>
                </c:pt>
                <c:pt idx="8264">
                  <c:v>80.474999999999994</c:v>
                </c:pt>
                <c:pt idx="8265">
                  <c:v>80.459812110000001</c:v>
                </c:pt>
                <c:pt idx="8266">
                  <c:v>80.446862679999995</c:v>
                </c:pt>
                <c:pt idx="8267">
                  <c:v>80.265570609999997</c:v>
                </c:pt>
                <c:pt idx="8268">
                  <c:v>80.192854550000007</c:v>
                </c:pt>
                <c:pt idx="8269">
                  <c:v>80.161975139999996</c:v>
                </c:pt>
                <c:pt idx="8270">
                  <c:v>80.119333089999998</c:v>
                </c:pt>
                <c:pt idx="8271">
                  <c:v>80.078000000000003</c:v>
                </c:pt>
                <c:pt idx="8272">
                  <c:v>80</c:v>
                </c:pt>
                <c:pt idx="8273">
                  <c:v>80</c:v>
                </c:pt>
                <c:pt idx="8274">
                  <c:v>80</c:v>
                </c:pt>
                <c:pt idx="8275">
                  <c:v>80</c:v>
                </c:pt>
                <c:pt idx="8276">
                  <c:v>79.923000000000002</c:v>
                </c:pt>
                <c:pt idx="8277">
                  <c:v>79.796000000000006</c:v>
                </c:pt>
                <c:pt idx="8278">
                  <c:v>79.766519349999996</c:v>
                </c:pt>
                <c:pt idx="8279">
                  <c:v>79.68882275</c:v>
                </c:pt>
                <c:pt idx="8280">
                  <c:v>79.68882275</c:v>
                </c:pt>
                <c:pt idx="8281">
                  <c:v>79.68882275</c:v>
                </c:pt>
                <c:pt idx="8282">
                  <c:v>79.66</c:v>
                </c:pt>
                <c:pt idx="8283">
                  <c:v>79.653000000000006</c:v>
                </c:pt>
                <c:pt idx="8284">
                  <c:v>79.485616250000007</c:v>
                </c:pt>
                <c:pt idx="8285">
                  <c:v>79.437073130000002</c:v>
                </c:pt>
                <c:pt idx="8286">
                  <c:v>79.428649179999994</c:v>
                </c:pt>
                <c:pt idx="8287">
                  <c:v>79.428649179999994</c:v>
                </c:pt>
                <c:pt idx="8288">
                  <c:v>79.355056619999999</c:v>
                </c:pt>
                <c:pt idx="8289">
                  <c:v>79.350145249999997</c:v>
                </c:pt>
                <c:pt idx="8290">
                  <c:v>79.343172480000007</c:v>
                </c:pt>
                <c:pt idx="8291">
                  <c:v>79.281000000000006</c:v>
                </c:pt>
                <c:pt idx="8292">
                  <c:v>79.239999999999995</c:v>
                </c:pt>
                <c:pt idx="8293">
                  <c:v>79.2</c:v>
                </c:pt>
                <c:pt idx="8294">
                  <c:v>79.2</c:v>
                </c:pt>
                <c:pt idx="8295">
                  <c:v>79.066999999999993</c:v>
                </c:pt>
                <c:pt idx="8296">
                  <c:v>79.057000000000002</c:v>
                </c:pt>
                <c:pt idx="8297">
                  <c:v>78.972619460000004</c:v>
                </c:pt>
                <c:pt idx="8298">
                  <c:v>78.931778929999993</c:v>
                </c:pt>
                <c:pt idx="8299">
                  <c:v>78.900999999999996</c:v>
                </c:pt>
                <c:pt idx="8300">
                  <c:v>78.852999999999994</c:v>
                </c:pt>
                <c:pt idx="8301">
                  <c:v>78.837631290000004</c:v>
                </c:pt>
                <c:pt idx="8302">
                  <c:v>78.759451859999999</c:v>
                </c:pt>
                <c:pt idx="8303">
                  <c:v>78.737965279999997</c:v>
                </c:pt>
                <c:pt idx="8304">
                  <c:v>78.737965279999997</c:v>
                </c:pt>
                <c:pt idx="8305">
                  <c:v>78.737965279999997</c:v>
                </c:pt>
                <c:pt idx="8306">
                  <c:v>78.737965279999997</c:v>
                </c:pt>
                <c:pt idx="8307">
                  <c:v>78.70064069</c:v>
                </c:pt>
                <c:pt idx="8308">
                  <c:v>78.594097550000001</c:v>
                </c:pt>
                <c:pt idx="8309">
                  <c:v>78.546284249999999</c:v>
                </c:pt>
                <c:pt idx="8310">
                  <c:v>78.511669549999993</c:v>
                </c:pt>
                <c:pt idx="8311">
                  <c:v>78.42</c:v>
                </c:pt>
                <c:pt idx="8312">
                  <c:v>78.400000000000006</c:v>
                </c:pt>
                <c:pt idx="8313">
                  <c:v>78.400000000000006</c:v>
                </c:pt>
                <c:pt idx="8314">
                  <c:v>78.321524100000005</c:v>
                </c:pt>
                <c:pt idx="8315">
                  <c:v>78.114968500000003</c:v>
                </c:pt>
                <c:pt idx="8316">
                  <c:v>78.047281369999993</c:v>
                </c:pt>
                <c:pt idx="8317">
                  <c:v>77.693839659999995</c:v>
                </c:pt>
                <c:pt idx="8318">
                  <c:v>77.625</c:v>
                </c:pt>
                <c:pt idx="8319">
                  <c:v>77.599999999999994</c:v>
                </c:pt>
                <c:pt idx="8320">
                  <c:v>77.379044690000001</c:v>
                </c:pt>
                <c:pt idx="8321">
                  <c:v>77.356597460000003</c:v>
                </c:pt>
                <c:pt idx="8322">
                  <c:v>77.356597460000003</c:v>
                </c:pt>
                <c:pt idx="8323">
                  <c:v>77.356597460000003</c:v>
                </c:pt>
                <c:pt idx="8324">
                  <c:v>77.075999999999993</c:v>
                </c:pt>
                <c:pt idx="8325">
                  <c:v>76.987081570000001</c:v>
                </c:pt>
                <c:pt idx="8326">
                  <c:v>76.876009760000002</c:v>
                </c:pt>
                <c:pt idx="8327">
                  <c:v>76.8</c:v>
                </c:pt>
                <c:pt idx="8328">
                  <c:v>76.8</c:v>
                </c:pt>
                <c:pt idx="8329">
                  <c:v>76.8</c:v>
                </c:pt>
                <c:pt idx="8330">
                  <c:v>76.8</c:v>
                </c:pt>
                <c:pt idx="8331">
                  <c:v>76.776196279999994</c:v>
                </c:pt>
                <c:pt idx="8332">
                  <c:v>76.614000000000004</c:v>
                </c:pt>
                <c:pt idx="8333">
                  <c:v>76.501269840000006</c:v>
                </c:pt>
                <c:pt idx="8334">
                  <c:v>76.201428629999995</c:v>
                </c:pt>
                <c:pt idx="8335">
                  <c:v>76.02</c:v>
                </c:pt>
                <c:pt idx="8336">
                  <c:v>76</c:v>
                </c:pt>
                <c:pt idx="8337">
                  <c:v>76</c:v>
                </c:pt>
                <c:pt idx="8338">
                  <c:v>75.975229650000003</c:v>
                </c:pt>
                <c:pt idx="8339">
                  <c:v>75.749030669999996</c:v>
                </c:pt>
                <c:pt idx="8340">
                  <c:v>75.724303820000003</c:v>
                </c:pt>
                <c:pt idx="8341">
                  <c:v>75.611000000000004</c:v>
                </c:pt>
                <c:pt idx="8342">
                  <c:v>75.453000000000003</c:v>
                </c:pt>
                <c:pt idx="8343">
                  <c:v>75.31689471</c:v>
                </c:pt>
                <c:pt idx="8344">
                  <c:v>75.284545750000007</c:v>
                </c:pt>
                <c:pt idx="8345">
                  <c:v>75.2</c:v>
                </c:pt>
                <c:pt idx="8346">
                  <c:v>75.162999999999997</c:v>
                </c:pt>
                <c:pt idx="8347">
                  <c:v>75.159509290000003</c:v>
                </c:pt>
                <c:pt idx="8348">
                  <c:v>74.960999999999999</c:v>
                </c:pt>
                <c:pt idx="8349">
                  <c:v>74.903000000000006</c:v>
                </c:pt>
                <c:pt idx="8350">
                  <c:v>74.870637310000006</c:v>
                </c:pt>
                <c:pt idx="8351">
                  <c:v>74.669423030000004</c:v>
                </c:pt>
                <c:pt idx="8352">
                  <c:v>74.649000000000001</c:v>
                </c:pt>
                <c:pt idx="8353">
                  <c:v>74.611648630000005</c:v>
                </c:pt>
                <c:pt idx="8354">
                  <c:v>74.593861840000002</c:v>
                </c:pt>
                <c:pt idx="8355">
                  <c:v>74.593861840000002</c:v>
                </c:pt>
                <c:pt idx="8356">
                  <c:v>74.478999999999999</c:v>
                </c:pt>
                <c:pt idx="8357">
                  <c:v>74.453999999999994</c:v>
                </c:pt>
                <c:pt idx="8358">
                  <c:v>74.358636619999999</c:v>
                </c:pt>
                <c:pt idx="8359">
                  <c:v>74.164395110000001</c:v>
                </c:pt>
                <c:pt idx="8360">
                  <c:v>73.997909649999997</c:v>
                </c:pt>
                <c:pt idx="8361">
                  <c:v>73.903177929999998</c:v>
                </c:pt>
                <c:pt idx="8362">
                  <c:v>73.28</c:v>
                </c:pt>
                <c:pt idx="8363">
                  <c:v>73.062877900000004</c:v>
                </c:pt>
                <c:pt idx="8364">
                  <c:v>73.025053260000007</c:v>
                </c:pt>
                <c:pt idx="8365">
                  <c:v>72.99496164</c:v>
                </c:pt>
                <c:pt idx="8366">
                  <c:v>72.920680079999997</c:v>
                </c:pt>
                <c:pt idx="8367">
                  <c:v>72.8</c:v>
                </c:pt>
                <c:pt idx="8368">
                  <c:v>72.8</c:v>
                </c:pt>
                <c:pt idx="8369">
                  <c:v>72.8</c:v>
                </c:pt>
                <c:pt idx="8370">
                  <c:v>72.771000000000001</c:v>
                </c:pt>
                <c:pt idx="8371">
                  <c:v>72.487941500000005</c:v>
                </c:pt>
                <c:pt idx="8372">
                  <c:v>72</c:v>
                </c:pt>
                <c:pt idx="8373">
                  <c:v>71.831126220000002</c:v>
                </c:pt>
                <c:pt idx="8374">
                  <c:v>71.56521291</c:v>
                </c:pt>
                <c:pt idx="8375">
                  <c:v>71.47</c:v>
                </c:pt>
                <c:pt idx="8376">
                  <c:v>71.433000000000007</c:v>
                </c:pt>
                <c:pt idx="8377">
                  <c:v>70.537999999999997</c:v>
                </c:pt>
                <c:pt idx="8378">
                  <c:v>70.449758399999993</c:v>
                </c:pt>
                <c:pt idx="8379">
                  <c:v>70.333370639999998</c:v>
                </c:pt>
                <c:pt idx="8380">
                  <c:v>69.873999999999995</c:v>
                </c:pt>
                <c:pt idx="8381">
                  <c:v>69.844999999999999</c:v>
                </c:pt>
                <c:pt idx="8382">
                  <c:v>69.75</c:v>
                </c:pt>
                <c:pt idx="8383">
                  <c:v>69.555999999999997</c:v>
                </c:pt>
                <c:pt idx="8384">
                  <c:v>69.058999999999997</c:v>
                </c:pt>
                <c:pt idx="8385">
                  <c:v>68.887</c:v>
                </c:pt>
                <c:pt idx="8386">
                  <c:v>68.8</c:v>
                </c:pt>
                <c:pt idx="8387">
                  <c:v>68.697710850000007</c:v>
                </c:pt>
                <c:pt idx="8388">
                  <c:v>68.403999999999996</c:v>
                </c:pt>
                <c:pt idx="8389">
                  <c:v>67.2</c:v>
                </c:pt>
                <c:pt idx="8390">
                  <c:v>66.996338879999996</c:v>
                </c:pt>
                <c:pt idx="8391">
                  <c:v>66.932320579999995</c:v>
                </c:pt>
                <c:pt idx="8392">
                  <c:v>66.864999999999995</c:v>
                </c:pt>
                <c:pt idx="8393">
                  <c:v>66.305654970000006</c:v>
                </c:pt>
                <c:pt idx="8394">
                  <c:v>66.072000000000003</c:v>
                </c:pt>
                <c:pt idx="8395">
                  <c:v>65.492000000000004</c:v>
                </c:pt>
                <c:pt idx="8396">
                  <c:v>65.31</c:v>
                </c:pt>
                <c:pt idx="8397">
                  <c:v>64.271000000000001</c:v>
                </c:pt>
                <c:pt idx="8398">
                  <c:v>64.132999999999996</c:v>
                </c:pt>
                <c:pt idx="8399">
                  <c:v>63.569000000000003</c:v>
                </c:pt>
                <c:pt idx="8400">
                  <c:v>62.387</c:v>
                </c:pt>
                <c:pt idx="8401">
                  <c:v>62.252000000000002</c:v>
                </c:pt>
                <c:pt idx="8402">
                  <c:v>60.615000000000002</c:v>
                </c:pt>
                <c:pt idx="8403">
                  <c:v>60.338000000000001</c:v>
                </c:pt>
                <c:pt idx="8404">
                  <c:v>60.106000000000002</c:v>
                </c:pt>
                <c:pt idx="8405">
                  <c:v>59.935000000000002</c:v>
                </c:pt>
                <c:pt idx="8406">
                  <c:v>59.771000000000001</c:v>
                </c:pt>
                <c:pt idx="8407">
                  <c:v>59.139000000000003</c:v>
                </c:pt>
                <c:pt idx="8408">
                  <c:v>57.64</c:v>
                </c:pt>
                <c:pt idx="8409">
                  <c:v>57.444000000000003</c:v>
                </c:pt>
                <c:pt idx="8410">
                  <c:v>56.963000000000001</c:v>
                </c:pt>
                <c:pt idx="8411">
                  <c:v>44.716000000000001</c:v>
                </c:pt>
                <c:pt idx="8412">
                  <c:v>39.491</c:v>
                </c:pt>
                <c:pt idx="8413">
                  <c:v>37.99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92-460E-8011-B49B4E5DE895}"/>
            </c:ext>
          </c:extLst>
        </c:ser>
        <c:ser>
          <c:idx val="1"/>
          <c:order val="1"/>
          <c:tx>
            <c:strRef>
              <c:f>'Load Duration'!$C$1</c:f>
              <c:strCache>
                <c:ptCount val="1"/>
                <c:pt idx="0">
                  <c:v>Net Load (kW)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'Load Duration'!$A$2:$A$8761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cat>
          <c:val>
            <c:numRef>
              <c:f>'Load Duration'!$C$2:$C$8761</c:f>
              <c:numCache>
                <c:formatCode>#,##0</c:formatCode>
                <c:ptCount val="8760"/>
                <c:pt idx="0">
                  <c:v>2428</c:v>
                </c:pt>
                <c:pt idx="1">
                  <c:v>2418.556</c:v>
                </c:pt>
                <c:pt idx="2">
                  <c:v>2389.6</c:v>
                </c:pt>
                <c:pt idx="3">
                  <c:v>2380.3049999999998</c:v>
                </c:pt>
                <c:pt idx="4">
                  <c:v>2379.1999999999998</c:v>
                </c:pt>
                <c:pt idx="5">
                  <c:v>2369.9459999999999</c:v>
                </c:pt>
                <c:pt idx="6">
                  <c:v>2352</c:v>
                </c:pt>
                <c:pt idx="7">
                  <c:v>2345.3249999999998</c:v>
                </c:pt>
                <c:pt idx="8">
                  <c:v>2342.8510000000001</c:v>
                </c:pt>
                <c:pt idx="9">
                  <c:v>2330.4</c:v>
                </c:pt>
                <c:pt idx="10">
                  <c:v>2321.335</c:v>
                </c:pt>
                <c:pt idx="11">
                  <c:v>2295.1999999999998</c:v>
                </c:pt>
                <c:pt idx="12">
                  <c:v>2286.2719999999999</c:v>
                </c:pt>
                <c:pt idx="13">
                  <c:v>2215.1999999999998</c:v>
                </c:pt>
                <c:pt idx="14">
                  <c:v>2208.8000000000002</c:v>
                </c:pt>
                <c:pt idx="15">
                  <c:v>2206.5839999999998</c:v>
                </c:pt>
                <c:pt idx="16">
                  <c:v>2200.2080000000001</c:v>
                </c:pt>
                <c:pt idx="17">
                  <c:v>2156.8000000000002</c:v>
                </c:pt>
                <c:pt idx="18">
                  <c:v>2148.4110000000001</c:v>
                </c:pt>
                <c:pt idx="19">
                  <c:v>2129.6</c:v>
                </c:pt>
                <c:pt idx="20">
                  <c:v>2121.3159999999998</c:v>
                </c:pt>
                <c:pt idx="21">
                  <c:v>2075.1999999999998</c:v>
                </c:pt>
                <c:pt idx="22">
                  <c:v>2067.1280000000002</c:v>
                </c:pt>
                <c:pt idx="23">
                  <c:v>2057.6</c:v>
                </c:pt>
                <c:pt idx="24">
                  <c:v>2057.6</c:v>
                </c:pt>
                <c:pt idx="25">
                  <c:v>2049.5970000000002</c:v>
                </c:pt>
                <c:pt idx="26">
                  <c:v>2035.742</c:v>
                </c:pt>
                <c:pt idx="27">
                  <c:v>2032.8620000000001</c:v>
                </c:pt>
                <c:pt idx="28">
                  <c:v>2028.8</c:v>
                </c:pt>
                <c:pt idx="29">
                  <c:v>2027.2</c:v>
                </c:pt>
                <c:pt idx="30">
                  <c:v>2020.9090000000001</c:v>
                </c:pt>
                <c:pt idx="31">
                  <c:v>2004</c:v>
                </c:pt>
                <c:pt idx="32">
                  <c:v>2003.2</c:v>
                </c:pt>
                <c:pt idx="33">
                  <c:v>2003.2</c:v>
                </c:pt>
                <c:pt idx="34">
                  <c:v>2003.1030000000001</c:v>
                </c:pt>
                <c:pt idx="35">
                  <c:v>2000</c:v>
                </c:pt>
                <c:pt idx="36">
                  <c:v>1998.4</c:v>
                </c:pt>
                <c:pt idx="37">
                  <c:v>1998.2850000000001</c:v>
                </c:pt>
                <c:pt idx="38">
                  <c:v>1996.2049999999999</c:v>
                </c:pt>
                <c:pt idx="39">
                  <c:v>1992.221</c:v>
                </c:pt>
                <c:pt idx="40">
                  <c:v>1975.9749999999999</c:v>
                </c:pt>
                <c:pt idx="41">
                  <c:v>1962.7919999999999</c:v>
                </c:pt>
                <c:pt idx="42">
                  <c:v>1956</c:v>
                </c:pt>
                <c:pt idx="43">
                  <c:v>1951.2</c:v>
                </c:pt>
                <c:pt idx="44">
                  <c:v>1948.3920000000001</c:v>
                </c:pt>
                <c:pt idx="45">
                  <c:v>1944.6079999999999</c:v>
                </c:pt>
                <c:pt idx="46">
                  <c:v>1940.8</c:v>
                </c:pt>
                <c:pt idx="47">
                  <c:v>1940.7919999999999</c:v>
                </c:pt>
                <c:pt idx="48">
                  <c:v>1925.6</c:v>
                </c:pt>
                <c:pt idx="49">
                  <c:v>1922.864</c:v>
                </c:pt>
                <c:pt idx="50">
                  <c:v>1920</c:v>
                </c:pt>
                <c:pt idx="51">
                  <c:v>1916</c:v>
                </c:pt>
                <c:pt idx="52">
                  <c:v>1916</c:v>
                </c:pt>
                <c:pt idx="53">
                  <c:v>1915.2</c:v>
                </c:pt>
                <c:pt idx="54">
                  <c:v>1914.4</c:v>
                </c:pt>
                <c:pt idx="55">
                  <c:v>1913.6</c:v>
                </c:pt>
                <c:pt idx="56">
                  <c:v>1906.954</c:v>
                </c:pt>
                <c:pt idx="57">
                  <c:v>1894.952</c:v>
                </c:pt>
                <c:pt idx="58">
                  <c:v>1888</c:v>
                </c:pt>
                <c:pt idx="59">
                  <c:v>1885.221</c:v>
                </c:pt>
                <c:pt idx="60">
                  <c:v>1884.8520000000001</c:v>
                </c:pt>
                <c:pt idx="61">
                  <c:v>1880.6559999999999</c:v>
                </c:pt>
                <c:pt idx="62">
                  <c:v>1860.7670000000001</c:v>
                </c:pt>
                <c:pt idx="63">
                  <c:v>1860.7670000000001</c:v>
                </c:pt>
                <c:pt idx="64">
                  <c:v>1859.99</c:v>
                </c:pt>
                <c:pt idx="65">
                  <c:v>1858.4359999999999</c:v>
                </c:pt>
                <c:pt idx="66">
                  <c:v>1851.2</c:v>
                </c:pt>
                <c:pt idx="67">
                  <c:v>1850.4</c:v>
                </c:pt>
                <c:pt idx="68">
                  <c:v>1849.6</c:v>
                </c:pt>
                <c:pt idx="69">
                  <c:v>1849.1130000000001</c:v>
                </c:pt>
                <c:pt idx="70">
                  <c:v>1847.2</c:v>
                </c:pt>
                <c:pt idx="71">
                  <c:v>1845.6</c:v>
                </c:pt>
                <c:pt idx="72">
                  <c:v>1843.202</c:v>
                </c:pt>
                <c:pt idx="73">
                  <c:v>1842.4</c:v>
                </c:pt>
                <c:pt idx="74">
                  <c:v>1840</c:v>
                </c:pt>
                <c:pt idx="75">
                  <c:v>1838.421</c:v>
                </c:pt>
                <c:pt idx="76">
                  <c:v>1835.2339999999999</c:v>
                </c:pt>
                <c:pt idx="77">
                  <c:v>1832.8</c:v>
                </c:pt>
                <c:pt idx="78">
                  <c:v>1830.4</c:v>
                </c:pt>
                <c:pt idx="79">
                  <c:v>1828.8</c:v>
                </c:pt>
                <c:pt idx="80">
                  <c:v>1827.85</c:v>
                </c:pt>
                <c:pt idx="81">
                  <c:v>1825.671</c:v>
                </c:pt>
                <c:pt idx="82">
                  <c:v>1824.8</c:v>
                </c:pt>
                <c:pt idx="83">
                  <c:v>1823.28</c:v>
                </c:pt>
                <c:pt idx="84">
                  <c:v>1822.4</c:v>
                </c:pt>
                <c:pt idx="85">
                  <c:v>1820</c:v>
                </c:pt>
                <c:pt idx="86">
                  <c:v>1819.672</c:v>
                </c:pt>
                <c:pt idx="87">
                  <c:v>1818.0360000000001</c:v>
                </c:pt>
                <c:pt idx="88">
                  <c:v>1814.4</c:v>
                </c:pt>
                <c:pt idx="89">
                  <c:v>1814.0989999999999</c:v>
                </c:pt>
                <c:pt idx="90">
                  <c:v>1812.2049999999999</c:v>
                </c:pt>
                <c:pt idx="91">
                  <c:v>1812</c:v>
                </c:pt>
                <c:pt idx="92">
                  <c:v>1808.8</c:v>
                </c:pt>
                <c:pt idx="93">
                  <c:v>1805.6980000000001</c:v>
                </c:pt>
                <c:pt idx="94">
                  <c:v>1804.952</c:v>
                </c:pt>
                <c:pt idx="95">
                  <c:v>1798.4</c:v>
                </c:pt>
                <c:pt idx="96">
                  <c:v>1797.835</c:v>
                </c:pt>
                <c:pt idx="97">
                  <c:v>1797.6</c:v>
                </c:pt>
                <c:pt idx="98">
                  <c:v>1793.95</c:v>
                </c:pt>
                <c:pt idx="99">
                  <c:v>1791.405</c:v>
                </c:pt>
                <c:pt idx="100">
                  <c:v>1788</c:v>
                </c:pt>
                <c:pt idx="101">
                  <c:v>1786.9580000000001</c:v>
                </c:pt>
                <c:pt idx="102">
                  <c:v>1786.4</c:v>
                </c:pt>
                <c:pt idx="103">
                  <c:v>1785.6</c:v>
                </c:pt>
                <c:pt idx="104">
                  <c:v>1784.8</c:v>
                </c:pt>
                <c:pt idx="105">
                  <c:v>1783.2</c:v>
                </c:pt>
                <c:pt idx="106">
                  <c:v>1782.229</c:v>
                </c:pt>
                <c:pt idx="107">
                  <c:v>1780</c:v>
                </c:pt>
                <c:pt idx="108">
                  <c:v>1778.4</c:v>
                </c:pt>
                <c:pt idx="109">
                  <c:v>1777.8579999999999</c:v>
                </c:pt>
                <c:pt idx="110">
                  <c:v>1777.6</c:v>
                </c:pt>
                <c:pt idx="111">
                  <c:v>1776.0809999999999</c:v>
                </c:pt>
                <c:pt idx="112">
                  <c:v>1775.2</c:v>
                </c:pt>
                <c:pt idx="113">
                  <c:v>1775.2</c:v>
                </c:pt>
                <c:pt idx="114">
                  <c:v>1771.2</c:v>
                </c:pt>
                <c:pt idx="115">
                  <c:v>1770.4</c:v>
                </c:pt>
                <c:pt idx="116">
                  <c:v>1765.6</c:v>
                </c:pt>
                <c:pt idx="117">
                  <c:v>1764.8</c:v>
                </c:pt>
                <c:pt idx="118">
                  <c:v>1762.4</c:v>
                </c:pt>
                <c:pt idx="119">
                  <c:v>1761.6</c:v>
                </c:pt>
                <c:pt idx="120">
                  <c:v>1760</c:v>
                </c:pt>
                <c:pt idx="121">
                  <c:v>1759.2</c:v>
                </c:pt>
                <c:pt idx="122">
                  <c:v>1759.2</c:v>
                </c:pt>
                <c:pt idx="123">
                  <c:v>1756</c:v>
                </c:pt>
                <c:pt idx="124">
                  <c:v>1755.8810000000001</c:v>
                </c:pt>
                <c:pt idx="125">
                  <c:v>1755.5450000000001</c:v>
                </c:pt>
                <c:pt idx="126">
                  <c:v>1754.748</c:v>
                </c:pt>
                <c:pt idx="127">
                  <c:v>1753.57</c:v>
                </c:pt>
                <c:pt idx="128">
                  <c:v>1749.17</c:v>
                </c:pt>
                <c:pt idx="129">
                  <c:v>1748.8</c:v>
                </c:pt>
                <c:pt idx="130">
                  <c:v>1748</c:v>
                </c:pt>
                <c:pt idx="131">
                  <c:v>1748</c:v>
                </c:pt>
                <c:pt idx="132">
                  <c:v>1746.4</c:v>
                </c:pt>
                <c:pt idx="133">
                  <c:v>1745.78</c:v>
                </c:pt>
                <c:pt idx="134">
                  <c:v>1744</c:v>
                </c:pt>
                <c:pt idx="135">
                  <c:v>1744</c:v>
                </c:pt>
                <c:pt idx="136">
                  <c:v>1743.2360000000001</c:v>
                </c:pt>
                <c:pt idx="137">
                  <c:v>1742.4</c:v>
                </c:pt>
                <c:pt idx="138">
                  <c:v>1741.9780000000001</c:v>
                </c:pt>
                <c:pt idx="139">
                  <c:v>1741.0219999999999</c:v>
                </c:pt>
                <c:pt idx="140">
                  <c:v>1740.8</c:v>
                </c:pt>
                <c:pt idx="141">
                  <c:v>1739.691</c:v>
                </c:pt>
                <c:pt idx="142">
                  <c:v>1738.4</c:v>
                </c:pt>
                <c:pt idx="143">
                  <c:v>1737.8889999999999</c:v>
                </c:pt>
                <c:pt idx="144">
                  <c:v>1737.6</c:v>
                </c:pt>
                <c:pt idx="145">
                  <c:v>1734.126</c:v>
                </c:pt>
                <c:pt idx="146">
                  <c:v>1734.029</c:v>
                </c:pt>
                <c:pt idx="147">
                  <c:v>1733.606</c:v>
                </c:pt>
                <c:pt idx="148">
                  <c:v>1731.7950000000001</c:v>
                </c:pt>
                <c:pt idx="149">
                  <c:v>1729.6</c:v>
                </c:pt>
                <c:pt idx="150">
                  <c:v>1728.8</c:v>
                </c:pt>
                <c:pt idx="151">
                  <c:v>1725.6</c:v>
                </c:pt>
                <c:pt idx="152">
                  <c:v>1725.6</c:v>
                </c:pt>
                <c:pt idx="153">
                  <c:v>1724</c:v>
                </c:pt>
                <c:pt idx="154">
                  <c:v>1724</c:v>
                </c:pt>
                <c:pt idx="155">
                  <c:v>1723.9849999999999</c:v>
                </c:pt>
                <c:pt idx="156">
                  <c:v>1723.1679999999999</c:v>
                </c:pt>
                <c:pt idx="157">
                  <c:v>1722.075</c:v>
                </c:pt>
                <c:pt idx="158">
                  <c:v>1721.6</c:v>
                </c:pt>
                <c:pt idx="159">
                  <c:v>1718.4</c:v>
                </c:pt>
                <c:pt idx="160">
                  <c:v>1717.6</c:v>
                </c:pt>
                <c:pt idx="161">
                  <c:v>1717.0809999999999</c:v>
                </c:pt>
                <c:pt idx="162">
                  <c:v>1714.703</c:v>
                </c:pt>
                <c:pt idx="163">
                  <c:v>1714.171</c:v>
                </c:pt>
                <c:pt idx="164">
                  <c:v>1711.2</c:v>
                </c:pt>
                <c:pt idx="165">
                  <c:v>1711.2</c:v>
                </c:pt>
                <c:pt idx="166">
                  <c:v>1709.2639999999999</c:v>
                </c:pt>
                <c:pt idx="167">
                  <c:v>1708</c:v>
                </c:pt>
                <c:pt idx="168">
                  <c:v>1707.182</c:v>
                </c:pt>
                <c:pt idx="169">
                  <c:v>1706.4</c:v>
                </c:pt>
                <c:pt idx="170">
                  <c:v>1706.4</c:v>
                </c:pt>
                <c:pt idx="171">
                  <c:v>1706.4</c:v>
                </c:pt>
                <c:pt idx="172">
                  <c:v>1704.5440000000001</c:v>
                </c:pt>
                <c:pt idx="173">
                  <c:v>1704</c:v>
                </c:pt>
                <c:pt idx="174">
                  <c:v>1703.54</c:v>
                </c:pt>
                <c:pt idx="175">
                  <c:v>1703.153</c:v>
                </c:pt>
                <c:pt idx="176">
                  <c:v>1702.4</c:v>
                </c:pt>
                <c:pt idx="177">
                  <c:v>1701.6</c:v>
                </c:pt>
                <c:pt idx="178">
                  <c:v>1701.356</c:v>
                </c:pt>
                <c:pt idx="179">
                  <c:v>1701.086</c:v>
                </c:pt>
                <c:pt idx="180">
                  <c:v>1700.8</c:v>
                </c:pt>
                <c:pt idx="181">
                  <c:v>1700.5219999999999</c:v>
                </c:pt>
                <c:pt idx="182">
                  <c:v>1700</c:v>
                </c:pt>
                <c:pt idx="183">
                  <c:v>1699.7629999999999</c:v>
                </c:pt>
                <c:pt idx="184">
                  <c:v>1698.633</c:v>
                </c:pt>
                <c:pt idx="185">
                  <c:v>1698.4</c:v>
                </c:pt>
                <c:pt idx="186">
                  <c:v>1698.3869999999999</c:v>
                </c:pt>
                <c:pt idx="187">
                  <c:v>1697.61</c:v>
                </c:pt>
                <c:pt idx="188">
                  <c:v>1696.1790000000001</c:v>
                </c:pt>
                <c:pt idx="189">
                  <c:v>1695.2</c:v>
                </c:pt>
                <c:pt idx="190">
                  <c:v>1695.2</c:v>
                </c:pt>
                <c:pt idx="191">
                  <c:v>1693.6</c:v>
                </c:pt>
                <c:pt idx="192">
                  <c:v>1692.171</c:v>
                </c:pt>
                <c:pt idx="193">
                  <c:v>1692</c:v>
                </c:pt>
                <c:pt idx="194">
                  <c:v>1691.2</c:v>
                </c:pt>
                <c:pt idx="195">
                  <c:v>1690.454</c:v>
                </c:pt>
                <c:pt idx="196">
                  <c:v>1690.4</c:v>
                </c:pt>
                <c:pt idx="197">
                  <c:v>1688.8</c:v>
                </c:pt>
                <c:pt idx="198">
                  <c:v>1688.606</c:v>
                </c:pt>
                <c:pt idx="199">
                  <c:v>1688</c:v>
                </c:pt>
                <c:pt idx="200">
                  <c:v>1687.675</c:v>
                </c:pt>
                <c:pt idx="201">
                  <c:v>1687.183</c:v>
                </c:pt>
                <c:pt idx="202">
                  <c:v>1686.4</c:v>
                </c:pt>
                <c:pt idx="203">
                  <c:v>1686.4</c:v>
                </c:pt>
                <c:pt idx="204">
                  <c:v>1685.6</c:v>
                </c:pt>
                <c:pt idx="205">
                  <c:v>1684.73</c:v>
                </c:pt>
                <c:pt idx="206">
                  <c:v>1684</c:v>
                </c:pt>
                <c:pt idx="207">
                  <c:v>1683.912</c:v>
                </c:pt>
                <c:pt idx="208">
                  <c:v>1683.2</c:v>
                </c:pt>
                <c:pt idx="209">
                  <c:v>1682.848</c:v>
                </c:pt>
                <c:pt idx="210">
                  <c:v>1682.4</c:v>
                </c:pt>
                <c:pt idx="211">
                  <c:v>1680.8</c:v>
                </c:pt>
                <c:pt idx="212">
                  <c:v>1679.6279999999999</c:v>
                </c:pt>
                <c:pt idx="213">
                  <c:v>1676.8</c:v>
                </c:pt>
                <c:pt idx="214">
                  <c:v>1675.856</c:v>
                </c:pt>
                <c:pt idx="215">
                  <c:v>1675.856</c:v>
                </c:pt>
                <c:pt idx="216">
                  <c:v>1675.2</c:v>
                </c:pt>
                <c:pt idx="217">
                  <c:v>1674.2619999999999</c:v>
                </c:pt>
                <c:pt idx="218">
                  <c:v>1668.8</c:v>
                </c:pt>
                <c:pt idx="219">
                  <c:v>1668.373</c:v>
                </c:pt>
                <c:pt idx="220">
                  <c:v>1667.2</c:v>
                </c:pt>
                <c:pt idx="221">
                  <c:v>1666.4</c:v>
                </c:pt>
                <c:pt idx="222">
                  <c:v>1666.155</c:v>
                </c:pt>
                <c:pt idx="223">
                  <c:v>1665.9839999999999</c:v>
                </c:pt>
                <c:pt idx="224">
                  <c:v>1664</c:v>
                </c:pt>
                <c:pt idx="225">
                  <c:v>1663.2</c:v>
                </c:pt>
                <c:pt idx="226">
                  <c:v>1661.83</c:v>
                </c:pt>
                <c:pt idx="227">
                  <c:v>1661.6</c:v>
                </c:pt>
                <c:pt idx="228">
                  <c:v>1661.6</c:v>
                </c:pt>
                <c:pt idx="229">
                  <c:v>1660.8</c:v>
                </c:pt>
                <c:pt idx="230">
                  <c:v>1660.7149999999999</c:v>
                </c:pt>
                <c:pt idx="231">
                  <c:v>1660.1949999999999</c:v>
                </c:pt>
                <c:pt idx="232">
                  <c:v>1660</c:v>
                </c:pt>
                <c:pt idx="233">
                  <c:v>1660</c:v>
                </c:pt>
                <c:pt idx="234">
                  <c:v>1659.2</c:v>
                </c:pt>
                <c:pt idx="235">
                  <c:v>1653.652</c:v>
                </c:pt>
                <c:pt idx="236">
                  <c:v>1653.6</c:v>
                </c:pt>
                <c:pt idx="237">
                  <c:v>1653.5429999999999</c:v>
                </c:pt>
                <c:pt idx="238">
                  <c:v>1652.548</c:v>
                </c:pt>
                <c:pt idx="239">
                  <c:v>1651.771</c:v>
                </c:pt>
                <c:pt idx="240">
                  <c:v>1650.4</c:v>
                </c:pt>
                <c:pt idx="241">
                  <c:v>1648</c:v>
                </c:pt>
                <c:pt idx="242">
                  <c:v>1647.2</c:v>
                </c:pt>
                <c:pt idx="243">
                  <c:v>1647.1089999999999</c:v>
                </c:pt>
                <c:pt idx="244">
                  <c:v>1645.6</c:v>
                </c:pt>
                <c:pt idx="245">
                  <c:v>1643.2239999999999</c:v>
                </c:pt>
                <c:pt idx="246">
                  <c:v>1643.02</c:v>
                </c:pt>
                <c:pt idx="247">
                  <c:v>1642.4</c:v>
                </c:pt>
                <c:pt idx="248">
                  <c:v>1641.6</c:v>
                </c:pt>
                <c:pt idx="249">
                  <c:v>1640</c:v>
                </c:pt>
                <c:pt idx="250">
                  <c:v>1639.34</c:v>
                </c:pt>
                <c:pt idx="251">
                  <c:v>1638.931</c:v>
                </c:pt>
                <c:pt idx="252">
                  <c:v>1637.7819999999999</c:v>
                </c:pt>
                <c:pt idx="253">
                  <c:v>1636.43</c:v>
                </c:pt>
                <c:pt idx="254">
                  <c:v>1635.2</c:v>
                </c:pt>
                <c:pt idx="255">
                  <c:v>1635.1079999999999</c:v>
                </c:pt>
                <c:pt idx="256">
                  <c:v>1634.4</c:v>
                </c:pt>
                <c:pt idx="257">
                  <c:v>1634.4</c:v>
                </c:pt>
                <c:pt idx="258">
                  <c:v>1634.325</c:v>
                </c:pt>
                <c:pt idx="259">
                  <c:v>1633.6</c:v>
                </c:pt>
                <c:pt idx="260">
                  <c:v>1632</c:v>
                </c:pt>
                <c:pt idx="261">
                  <c:v>1629.6</c:v>
                </c:pt>
                <c:pt idx="262">
                  <c:v>1628.8</c:v>
                </c:pt>
                <c:pt idx="263">
                  <c:v>1626.9090000000001</c:v>
                </c:pt>
                <c:pt idx="264">
                  <c:v>1625.6</c:v>
                </c:pt>
                <c:pt idx="265">
                  <c:v>1624.8</c:v>
                </c:pt>
                <c:pt idx="266">
                  <c:v>1624.8</c:v>
                </c:pt>
                <c:pt idx="267">
                  <c:v>1624</c:v>
                </c:pt>
                <c:pt idx="268">
                  <c:v>1622.4639999999999</c:v>
                </c:pt>
                <c:pt idx="269">
                  <c:v>1622.4</c:v>
                </c:pt>
                <c:pt idx="270">
                  <c:v>1621.6</c:v>
                </c:pt>
                <c:pt idx="271">
                  <c:v>1620</c:v>
                </c:pt>
                <c:pt idx="272">
                  <c:v>1617.6</c:v>
                </c:pt>
                <c:pt idx="273">
                  <c:v>1616.16</c:v>
                </c:pt>
                <c:pt idx="274">
                  <c:v>1616</c:v>
                </c:pt>
                <c:pt idx="275">
                  <c:v>1615.258</c:v>
                </c:pt>
                <c:pt idx="276">
                  <c:v>1615.2539999999999</c:v>
                </c:pt>
                <c:pt idx="277">
                  <c:v>1615.2</c:v>
                </c:pt>
                <c:pt idx="278">
                  <c:v>1613.701</c:v>
                </c:pt>
                <c:pt idx="279">
                  <c:v>1613.6</c:v>
                </c:pt>
                <c:pt idx="280">
                  <c:v>1613.6</c:v>
                </c:pt>
                <c:pt idx="281">
                  <c:v>1613.578</c:v>
                </c:pt>
                <c:pt idx="282">
                  <c:v>1612.924</c:v>
                </c:pt>
                <c:pt idx="283">
                  <c:v>1612</c:v>
                </c:pt>
                <c:pt idx="284">
                  <c:v>1609.7139999999999</c:v>
                </c:pt>
                <c:pt idx="285">
                  <c:v>1609.6</c:v>
                </c:pt>
                <c:pt idx="286">
                  <c:v>1607.2</c:v>
                </c:pt>
                <c:pt idx="287">
                  <c:v>1604.691</c:v>
                </c:pt>
                <c:pt idx="288">
                  <c:v>1603.434</c:v>
                </c:pt>
                <c:pt idx="289">
                  <c:v>1603.2</c:v>
                </c:pt>
                <c:pt idx="290">
                  <c:v>1603.2</c:v>
                </c:pt>
                <c:pt idx="291">
                  <c:v>1602.9469999999999</c:v>
                </c:pt>
                <c:pt idx="292">
                  <c:v>1602.4</c:v>
                </c:pt>
                <c:pt idx="293">
                  <c:v>1601.6</c:v>
                </c:pt>
                <c:pt idx="294">
                  <c:v>1601.6</c:v>
                </c:pt>
                <c:pt idx="295">
                  <c:v>1600.8</c:v>
                </c:pt>
                <c:pt idx="296">
                  <c:v>1600</c:v>
                </c:pt>
                <c:pt idx="297">
                  <c:v>1599.675</c:v>
                </c:pt>
                <c:pt idx="298">
                  <c:v>1599.2</c:v>
                </c:pt>
                <c:pt idx="299">
                  <c:v>1599.2</c:v>
                </c:pt>
                <c:pt idx="300">
                  <c:v>1598.4</c:v>
                </c:pt>
                <c:pt idx="301">
                  <c:v>1598.4</c:v>
                </c:pt>
                <c:pt idx="302">
                  <c:v>1597.549</c:v>
                </c:pt>
                <c:pt idx="303">
                  <c:v>1596.511</c:v>
                </c:pt>
                <c:pt idx="304">
                  <c:v>1595.586</c:v>
                </c:pt>
                <c:pt idx="305">
                  <c:v>1595.37</c:v>
                </c:pt>
                <c:pt idx="306">
                  <c:v>1595.0540000000001</c:v>
                </c:pt>
                <c:pt idx="307">
                  <c:v>1594.4069999999999</c:v>
                </c:pt>
                <c:pt idx="308">
                  <c:v>1593.5</c:v>
                </c:pt>
                <c:pt idx="309">
                  <c:v>1590.4</c:v>
                </c:pt>
                <c:pt idx="310">
                  <c:v>1588.8</c:v>
                </c:pt>
                <c:pt idx="311">
                  <c:v>1588.2049999999999</c:v>
                </c:pt>
                <c:pt idx="312">
                  <c:v>1588.0619999999999</c:v>
                </c:pt>
                <c:pt idx="313">
                  <c:v>1587.2850000000001</c:v>
                </c:pt>
                <c:pt idx="314">
                  <c:v>1587.2850000000001</c:v>
                </c:pt>
                <c:pt idx="315">
                  <c:v>1587.2</c:v>
                </c:pt>
                <c:pt idx="316">
                  <c:v>1587.2</c:v>
                </c:pt>
                <c:pt idx="317">
                  <c:v>1585.7719999999999</c:v>
                </c:pt>
                <c:pt idx="318">
                  <c:v>1585.6</c:v>
                </c:pt>
                <c:pt idx="319">
                  <c:v>1584.954</c:v>
                </c:pt>
                <c:pt idx="320">
                  <c:v>1584.8</c:v>
                </c:pt>
                <c:pt idx="321">
                  <c:v>1583.2</c:v>
                </c:pt>
                <c:pt idx="322">
                  <c:v>1582.623</c:v>
                </c:pt>
                <c:pt idx="323">
                  <c:v>1582.4</c:v>
                </c:pt>
                <c:pt idx="324">
                  <c:v>1581.6</c:v>
                </c:pt>
                <c:pt idx="325">
                  <c:v>1580.8</c:v>
                </c:pt>
                <c:pt idx="326">
                  <c:v>1580</c:v>
                </c:pt>
                <c:pt idx="327">
                  <c:v>1579.2</c:v>
                </c:pt>
                <c:pt idx="328">
                  <c:v>1578.4</c:v>
                </c:pt>
                <c:pt idx="329">
                  <c:v>1577.961</c:v>
                </c:pt>
                <c:pt idx="330">
                  <c:v>1577.6</c:v>
                </c:pt>
                <c:pt idx="331">
                  <c:v>1576.8</c:v>
                </c:pt>
                <c:pt idx="332">
                  <c:v>1576.8</c:v>
                </c:pt>
                <c:pt idx="333">
                  <c:v>1576</c:v>
                </c:pt>
                <c:pt idx="334">
                  <c:v>1575.2</c:v>
                </c:pt>
                <c:pt idx="335">
                  <c:v>1574.854</c:v>
                </c:pt>
                <c:pt idx="336">
                  <c:v>1574.4</c:v>
                </c:pt>
                <c:pt idx="337">
                  <c:v>1573.3</c:v>
                </c:pt>
                <c:pt idx="338">
                  <c:v>1572</c:v>
                </c:pt>
                <c:pt idx="339">
                  <c:v>1572</c:v>
                </c:pt>
                <c:pt idx="340">
                  <c:v>1571.8689999999999</c:v>
                </c:pt>
                <c:pt idx="341">
                  <c:v>1571.8689999999999</c:v>
                </c:pt>
                <c:pt idx="342">
                  <c:v>1571.306</c:v>
                </c:pt>
                <c:pt idx="343">
                  <c:v>1571.2</c:v>
                </c:pt>
                <c:pt idx="344">
                  <c:v>1571.0509999999999</c:v>
                </c:pt>
                <c:pt idx="345">
                  <c:v>1570.4</c:v>
                </c:pt>
                <c:pt idx="346">
                  <c:v>1570.213</c:v>
                </c:pt>
                <c:pt idx="347">
                  <c:v>1569.6</c:v>
                </c:pt>
                <c:pt idx="348">
                  <c:v>1569.6</c:v>
                </c:pt>
                <c:pt idx="349">
                  <c:v>1569.6</c:v>
                </c:pt>
                <c:pt idx="350">
                  <c:v>1569.204</c:v>
                </c:pt>
                <c:pt idx="351">
                  <c:v>1568.8</c:v>
                </c:pt>
                <c:pt idx="352">
                  <c:v>1568.8</c:v>
                </c:pt>
                <c:pt idx="353">
                  <c:v>1568.598</c:v>
                </c:pt>
                <c:pt idx="354">
                  <c:v>1568</c:v>
                </c:pt>
                <c:pt idx="355">
                  <c:v>1567.2</c:v>
                </c:pt>
                <c:pt idx="356">
                  <c:v>1567.2</c:v>
                </c:pt>
                <c:pt idx="357">
                  <c:v>1567.0840000000001</c:v>
                </c:pt>
                <c:pt idx="358">
                  <c:v>1567.0840000000001</c:v>
                </c:pt>
                <c:pt idx="359">
                  <c:v>1566.4</c:v>
                </c:pt>
                <c:pt idx="360">
                  <c:v>1566.4</c:v>
                </c:pt>
                <c:pt idx="361">
                  <c:v>1566.144</c:v>
                </c:pt>
                <c:pt idx="362">
                  <c:v>1565.326</c:v>
                </c:pt>
                <c:pt idx="363">
                  <c:v>1565.326</c:v>
                </c:pt>
                <c:pt idx="364">
                  <c:v>1565.326</c:v>
                </c:pt>
                <c:pt idx="365">
                  <c:v>1564.8</c:v>
                </c:pt>
                <c:pt idx="366">
                  <c:v>1564</c:v>
                </c:pt>
                <c:pt idx="367">
                  <c:v>1564</c:v>
                </c:pt>
                <c:pt idx="368">
                  <c:v>1563.6020000000001</c:v>
                </c:pt>
                <c:pt idx="369">
                  <c:v>1563.4949999999999</c:v>
                </c:pt>
                <c:pt idx="370">
                  <c:v>1562.6980000000001</c:v>
                </c:pt>
                <c:pt idx="371">
                  <c:v>1562.4</c:v>
                </c:pt>
                <c:pt idx="372">
                  <c:v>1560.8</c:v>
                </c:pt>
                <c:pt idx="373">
                  <c:v>1559.6020000000001</c:v>
                </c:pt>
                <c:pt idx="374">
                  <c:v>1558.4</c:v>
                </c:pt>
                <c:pt idx="375">
                  <c:v>1557.9659999999999</c:v>
                </c:pt>
                <c:pt idx="376">
                  <c:v>1556.8</c:v>
                </c:pt>
                <c:pt idx="377">
                  <c:v>1556.8</c:v>
                </c:pt>
                <c:pt idx="378">
                  <c:v>1556.1590000000001</c:v>
                </c:pt>
                <c:pt idx="379">
                  <c:v>1556</c:v>
                </c:pt>
                <c:pt idx="380">
                  <c:v>1556</c:v>
                </c:pt>
                <c:pt idx="381">
                  <c:v>1555.43</c:v>
                </c:pt>
                <c:pt idx="382">
                  <c:v>1555.2</c:v>
                </c:pt>
                <c:pt idx="383">
                  <c:v>1554.4</c:v>
                </c:pt>
                <c:pt idx="384">
                  <c:v>1554.4</c:v>
                </c:pt>
                <c:pt idx="385">
                  <c:v>1553.6</c:v>
                </c:pt>
                <c:pt idx="386">
                  <c:v>1551.423</c:v>
                </c:pt>
                <c:pt idx="387">
                  <c:v>1551.3119999999999</c:v>
                </c:pt>
                <c:pt idx="388">
                  <c:v>1551.2</c:v>
                </c:pt>
                <c:pt idx="389">
                  <c:v>1551.2</c:v>
                </c:pt>
                <c:pt idx="390">
                  <c:v>1550.4</c:v>
                </c:pt>
                <c:pt idx="391">
                  <c:v>1550.4</c:v>
                </c:pt>
                <c:pt idx="392">
                  <c:v>1549.6</c:v>
                </c:pt>
                <c:pt idx="393">
                  <c:v>1549.318</c:v>
                </c:pt>
                <c:pt idx="394">
                  <c:v>1548.97</c:v>
                </c:pt>
                <c:pt idx="395">
                  <c:v>1548.8</c:v>
                </c:pt>
                <c:pt idx="396">
                  <c:v>1548.8</c:v>
                </c:pt>
                <c:pt idx="397">
                  <c:v>1548.5309999999999</c:v>
                </c:pt>
                <c:pt idx="398">
                  <c:v>1548.048</c:v>
                </c:pt>
                <c:pt idx="399">
                  <c:v>1548</c:v>
                </c:pt>
                <c:pt idx="400">
                  <c:v>1547.5340000000001</c:v>
                </c:pt>
                <c:pt idx="401">
                  <c:v>1546.9349999999999</c:v>
                </c:pt>
                <c:pt idx="402">
                  <c:v>1546.5160000000001</c:v>
                </c:pt>
                <c:pt idx="403">
                  <c:v>1546.4</c:v>
                </c:pt>
                <c:pt idx="404">
                  <c:v>1546.4</c:v>
                </c:pt>
                <c:pt idx="405">
                  <c:v>1546.4</c:v>
                </c:pt>
                <c:pt idx="406">
                  <c:v>1545.6</c:v>
                </c:pt>
                <c:pt idx="407">
                  <c:v>1545.6</c:v>
                </c:pt>
                <c:pt idx="408">
                  <c:v>1544.8</c:v>
                </c:pt>
                <c:pt idx="409">
                  <c:v>1544.0630000000001</c:v>
                </c:pt>
                <c:pt idx="410">
                  <c:v>1544.0630000000001</c:v>
                </c:pt>
                <c:pt idx="411">
                  <c:v>1544</c:v>
                </c:pt>
                <c:pt idx="412">
                  <c:v>1543.7760000000001</c:v>
                </c:pt>
                <c:pt idx="413">
                  <c:v>1543.2</c:v>
                </c:pt>
                <c:pt idx="414">
                  <c:v>1542.7760000000001</c:v>
                </c:pt>
                <c:pt idx="415">
                  <c:v>1542.4</c:v>
                </c:pt>
                <c:pt idx="416">
                  <c:v>1542.4</c:v>
                </c:pt>
                <c:pt idx="417">
                  <c:v>1541.6</c:v>
                </c:pt>
                <c:pt idx="418">
                  <c:v>1540.8</c:v>
                </c:pt>
                <c:pt idx="419">
                  <c:v>1539.8910000000001</c:v>
                </c:pt>
                <c:pt idx="420">
                  <c:v>1538.8330000000001</c:v>
                </c:pt>
                <c:pt idx="421">
                  <c:v>1538.4</c:v>
                </c:pt>
                <c:pt idx="422">
                  <c:v>1537.6</c:v>
                </c:pt>
                <c:pt idx="423">
                  <c:v>1537.6</c:v>
                </c:pt>
                <c:pt idx="424">
                  <c:v>1537.5609999999999</c:v>
                </c:pt>
                <c:pt idx="425">
                  <c:v>1536.8</c:v>
                </c:pt>
                <c:pt idx="426">
                  <c:v>1536.789</c:v>
                </c:pt>
                <c:pt idx="427">
                  <c:v>1535.885</c:v>
                </c:pt>
                <c:pt idx="428">
                  <c:v>1535.5119999999999</c:v>
                </c:pt>
                <c:pt idx="429">
                  <c:v>1535.23</c:v>
                </c:pt>
                <c:pt idx="430">
                  <c:v>1534.4</c:v>
                </c:pt>
                <c:pt idx="431">
                  <c:v>1534.4</c:v>
                </c:pt>
                <c:pt idx="432">
                  <c:v>1534.4</c:v>
                </c:pt>
                <c:pt idx="433">
                  <c:v>1532.8</c:v>
                </c:pt>
                <c:pt idx="434">
                  <c:v>1532.8</c:v>
                </c:pt>
                <c:pt idx="435">
                  <c:v>1532</c:v>
                </c:pt>
                <c:pt idx="436">
                  <c:v>1532</c:v>
                </c:pt>
                <c:pt idx="437">
                  <c:v>1532</c:v>
                </c:pt>
                <c:pt idx="438">
                  <c:v>1531.2</c:v>
                </c:pt>
                <c:pt idx="439">
                  <c:v>1531.2</c:v>
                </c:pt>
                <c:pt idx="440">
                  <c:v>1531.2</c:v>
                </c:pt>
                <c:pt idx="441">
                  <c:v>1531.0740000000001</c:v>
                </c:pt>
                <c:pt idx="442">
                  <c:v>1530.9780000000001</c:v>
                </c:pt>
                <c:pt idx="443">
                  <c:v>1529.6</c:v>
                </c:pt>
                <c:pt idx="444">
                  <c:v>1529.6</c:v>
                </c:pt>
                <c:pt idx="445">
                  <c:v>1529.6</c:v>
                </c:pt>
                <c:pt idx="446">
                  <c:v>1529.6</c:v>
                </c:pt>
                <c:pt idx="447">
                  <c:v>1528</c:v>
                </c:pt>
                <c:pt idx="448">
                  <c:v>1526.8879999999999</c:v>
                </c:pt>
                <c:pt idx="449">
                  <c:v>1526.8879999999999</c:v>
                </c:pt>
                <c:pt idx="450">
                  <c:v>1526.838</c:v>
                </c:pt>
                <c:pt idx="451">
                  <c:v>1526.4</c:v>
                </c:pt>
                <c:pt idx="452">
                  <c:v>1526.4</c:v>
                </c:pt>
                <c:pt idx="453">
                  <c:v>1526.204</c:v>
                </c:pt>
                <c:pt idx="454">
                  <c:v>1526.0409999999999</c:v>
                </c:pt>
                <c:pt idx="455">
                  <c:v>1525.662</c:v>
                </c:pt>
                <c:pt idx="456">
                  <c:v>1525.6</c:v>
                </c:pt>
                <c:pt idx="457">
                  <c:v>1524</c:v>
                </c:pt>
                <c:pt idx="458">
                  <c:v>1524</c:v>
                </c:pt>
                <c:pt idx="459">
                  <c:v>1522.828</c:v>
                </c:pt>
                <c:pt idx="460">
                  <c:v>1522.799</c:v>
                </c:pt>
                <c:pt idx="461">
                  <c:v>1522.4</c:v>
                </c:pt>
                <c:pt idx="462">
                  <c:v>1521.981</c:v>
                </c:pt>
                <c:pt idx="463">
                  <c:v>1521.981</c:v>
                </c:pt>
                <c:pt idx="464">
                  <c:v>1521.9159999999999</c:v>
                </c:pt>
                <c:pt idx="465">
                  <c:v>1521.164</c:v>
                </c:pt>
                <c:pt idx="466">
                  <c:v>1520.8</c:v>
                </c:pt>
                <c:pt idx="467">
                  <c:v>1519.2</c:v>
                </c:pt>
                <c:pt idx="468">
                  <c:v>1518.914</c:v>
                </c:pt>
                <c:pt idx="469">
                  <c:v>1518.8140000000001</c:v>
                </c:pt>
                <c:pt idx="470">
                  <c:v>1518.8140000000001</c:v>
                </c:pt>
                <c:pt idx="471">
                  <c:v>1518.73</c:v>
                </c:pt>
                <c:pt idx="472">
                  <c:v>1518.71</c:v>
                </c:pt>
                <c:pt idx="473">
                  <c:v>1518.4</c:v>
                </c:pt>
                <c:pt idx="474">
                  <c:v>1517.6</c:v>
                </c:pt>
                <c:pt idx="475">
                  <c:v>1517.6</c:v>
                </c:pt>
                <c:pt idx="476">
                  <c:v>1517.36</c:v>
                </c:pt>
                <c:pt idx="477">
                  <c:v>1516.8</c:v>
                </c:pt>
                <c:pt idx="478">
                  <c:v>1516.8</c:v>
                </c:pt>
                <c:pt idx="479">
                  <c:v>1516.4780000000001</c:v>
                </c:pt>
                <c:pt idx="480">
                  <c:v>1516</c:v>
                </c:pt>
                <c:pt idx="481">
                  <c:v>1515.954</c:v>
                </c:pt>
                <c:pt idx="482">
                  <c:v>1515.2</c:v>
                </c:pt>
                <c:pt idx="483">
                  <c:v>1515.2</c:v>
                </c:pt>
                <c:pt idx="484">
                  <c:v>1514.4</c:v>
                </c:pt>
                <c:pt idx="485">
                  <c:v>1513.8030000000001</c:v>
                </c:pt>
                <c:pt idx="486">
                  <c:v>1513.4760000000001</c:v>
                </c:pt>
                <c:pt idx="487">
                  <c:v>1512.8</c:v>
                </c:pt>
                <c:pt idx="488">
                  <c:v>1512.8</c:v>
                </c:pt>
                <c:pt idx="489">
                  <c:v>1512.4939999999999</c:v>
                </c:pt>
                <c:pt idx="490">
                  <c:v>1512.191</c:v>
                </c:pt>
                <c:pt idx="491">
                  <c:v>1511.922</c:v>
                </c:pt>
                <c:pt idx="492">
                  <c:v>1510.4</c:v>
                </c:pt>
                <c:pt idx="493">
                  <c:v>1510.4</c:v>
                </c:pt>
                <c:pt idx="494">
                  <c:v>1510.3679999999999</c:v>
                </c:pt>
                <c:pt idx="495">
                  <c:v>1509.6</c:v>
                </c:pt>
                <c:pt idx="496">
                  <c:v>1509.5909999999999</c:v>
                </c:pt>
                <c:pt idx="497">
                  <c:v>1509.5909999999999</c:v>
                </c:pt>
                <c:pt idx="498">
                  <c:v>1509.144</c:v>
                </c:pt>
                <c:pt idx="499">
                  <c:v>1508.8</c:v>
                </c:pt>
                <c:pt idx="500">
                  <c:v>1508</c:v>
                </c:pt>
                <c:pt idx="501">
                  <c:v>1508</c:v>
                </c:pt>
                <c:pt idx="502">
                  <c:v>1508</c:v>
                </c:pt>
                <c:pt idx="503">
                  <c:v>1507.789</c:v>
                </c:pt>
                <c:pt idx="504">
                  <c:v>1507.7629999999999</c:v>
                </c:pt>
                <c:pt idx="505">
                  <c:v>1507.221</c:v>
                </c:pt>
                <c:pt idx="506">
                  <c:v>1506.9159999999999</c:v>
                </c:pt>
                <c:pt idx="507">
                  <c:v>1506.4</c:v>
                </c:pt>
                <c:pt idx="508">
                  <c:v>1505.7059999999999</c:v>
                </c:pt>
                <c:pt idx="509">
                  <c:v>1505.6</c:v>
                </c:pt>
                <c:pt idx="510">
                  <c:v>1504</c:v>
                </c:pt>
                <c:pt idx="511">
                  <c:v>1504</c:v>
                </c:pt>
                <c:pt idx="512">
                  <c:v>1503.2</c:v>
                </c:pt>
                <c:pt idx="513">
                  <c:v>1503.171</c:v>
                </c:pt>
                <c:pt idx="514">
                  <c:v>1503.11</c:v>
                </c:pt>
                <c:pt idx="515">
                  <c:v>1502.4</c:v>
                </c:pt>
                <c:pt idx="516">
                  <c:v>1501.8219999999999</c:v>
                </c:pt>
                <c:pt idx="517">
                  <c:v>1500.8</c:v>
                </c:pt>
                <c:pt idx="518">
                  <c:v>1500.5409999999999</c:v>
                </c:pt>
                <c:pt idx="519">
                  <c:v>1500.268</c:v>
                </c:pt>
                <c:pt idx="520">
                  <c:v>1500.13</c:v>
                </c:pt>
                <c:pt idx="521">
                  <c:v>1500</c:v>
                </c:pt>
                <c:pt idx="522">
                  <c:v>1500</c:v>
                </c:pt>
                <c:pt idx="523">
                  <c:v>1499.46</c:v>
                </c:pt>
                <c:pt idx="524">
                  <c:v>1499.2</c:v>
                </c:pt>
                <c:pt idx="525">
                  <c:v>1498.7139999999999</c:v>
                </c:pt>
                <c:pt idx="526">
                  <c:v>1498.2639999999999</c:v>
                </c:pt>
                <c:pt idx="527">
                  <c:v>1497.6</c:v>
                </c:pt>
                <c:pt idx="528">
                  <c:v>1497.6</c:v>
                </c:pt>
                <c:pt idx="529">
                  <c:v>1497.6</c:v>
                </c:pt>
                <c:pt idx="530">
                  <c:v>1497.3530000000001</c:v>
                </c:pt>
                <c:pt idx="531">
                  <c:v>1496.8</c:v>
                </c:pt>
                <c:pt idx="532">
                  <c:v>1496.7090000000001</c:v>
                </c:pt>
                <c:pt idx="533">
                  <c:v>1494.962</c:v>
                </c:pt>
                <c:pt idx="534">
                  <c:v>1494.4</c:v>
                </c:pt>
                <c:pt idx="535">
                  <c:v>1494.4</c:v>
                </c:pt>
                <c:pt idx="536">
                  <c:v>1494.4</c:v>
                </c:pt>
                <c:pt idx="537">
                  <c:v>1494.165</c:v>
                </c:pt>
                <c:pt idx="538">
                  <c:v>1493.6</c:v>
                </c:pt>
                <c:pt idx="539">
                  <c:v>1493.6</c:v>
                </c:pt>
                <c:pt idx="540">
                  <c:v>1493.259</c:v>
                </c:pt>
                <c:pt idx="541">
                  <c:v>1492.8</c:v>
                </c:pt>
                <c:pt idx="542">
                  <c:v>1492</c:v>
                </c:pt>
                <c:pt idx="543">
                  <c:v>1491.7750000000001</c:v>
                </c:pt>
                <c:pt idx="544">
                  <c:v>1491.722</c:v>
                </c:pt>
                <c:pt idx="545">
                  <c:v>1491.721</c:v>
                </c:pt>
                <c:pt idx="546">
                  <c:v>1491.2</c:v>
                </c:pt>
                <c:pt idx="547">
                  <c:v>1490.4</c:v>
                </c:pt>
                <c:pt idx="548">
                  <c:v>1490.4</c:v>
                </c:pt>
                <c:pt idx="549">
                  <c:v>1490.1669999999999</c:v>
                </c:pt>
                <c:pt idx="550">
                  <c:v>1489.6</c:v>
                </c:pt>
                <c:pt idx="551">
                  <c:v>1488.8</c:v>
                </c:pt>
                <c:pt idx="552">
                  <c:v>1488.8</c:v>
                </c:pt>
                <c:pt idx="553">
                  <c:v>1488.8</c:v>
                </c:pt>
                <c:pt idx="554">
                  <c:v>1488.8</c:v>
                </c:pt>
                <c:pt idx="555">
                  <c:v>1488.8</c:v>
                </c:pt>
                <c:pt idx="556">
                  <c:v>1488.614</c:v>
                </c:pt>
                <c:pt idx="557">
                  <c:v>1488.587</c:v>
                </c:pt>
                <c:pt idx="558">
                  <c:v>1488.424</c:v>
                </c:pt>
                <c:pt idx="559">
                  <c:v>1488</c:v>
                </c:pt>
                <c:pt idx="560">
                  <c:v>1488</c:v>
                </c:pt>
                <c:pt idx="561">
                  <c:v>1487.837</c:v>
                </c:pt>
                <c:pt idx="562">
                  <c:v>1486.3520000000001</c:v>
                </c:pt>
                <c:pt idx="563">
                  <c:v>1485.81</c:v>
                </c:pt>
                <c:pt idx="564">
                  <c:v>1485.6</c:v>
                </c:pt>
                <c:pt idx="565">
                  <c:v>1485.5060000000001</c:v>
                </c:pt>
                <c:pt idx="566">
                  <c:v>1485.5060000000001</c:v>
                </c:pt>
                <c:pt idx="567">
                  <c:v>1485.0719999999999</c:v>
                </c:pt>
                <c:pt idx="568">
                  <c:v>1484</c:v>
                </c:pt>
                <c:pt idx="569">
                  <c:v>1483.2</c:v>
                </c:pt>
                <c:pt idx="570">
                  <c:v>1483.009</c:v>
                </c:pt>
                <c:pt idx="571">
                  <c:v>1482.886</c:v>
                </c:pt>
                <c:pt idx="572">
                  <c:v>1482.63</c:v>
                </c:pt>
                <c:pt idx="573">
                  <c:v>1482.4</c:v>
                </c:pt>
                <c:pt idx="574">
                  <c:v>1482.212</c:v>
                </c:pt>
                <c:pt idx="575">
                  <c:v>1481.15</c:v>
                </c:pt>
                <c:pt idx="576">
                  <c:v>1480.8</c:v>
                </c:pt>
                <c:pt idx="577">
                  <c:v>1480.4760000000001</c:v>
                </c:pt>
                <c:pt idx="578">
                  <c:v>1480.067</c:v>
                </c:pt>
                <c:pt idx="579">
                  <c:v>1479.5930000000001</c:v>
                </c:pt>
                <c:pt idx="580">
                  <c:v>1479.454</c:v>
                </c:pt>
                <c:pt idx="581">
                  <c:v>1479.252</c:v>
                </c:pt>
                <c:pt idx="582">
                  <c:v>1479.2</c:v>
                </c:pt>
                <c:pt idx="583">
                  <c:v>1479.2</c:v>
                </c:pt>
                <c:pt idx="584">
                  <c:v>1478.4</c:v>
                </c:pt>
                <c:pt idx="585">
                  <c:v>1478.2280000000001</c:v>
                </c:pt>
                <c:pt idx="586">
                  <c:v>1477.6</c:v>
                </c:pt>
                <c:pt idx="587">
                  <c:v>1477.6</c:v>
                </c:pt>
                <c:pt idx="588">
                  <c:v>1476.9590000000001</c:v>
                </c:pt>
                <c:pt idx="589">
                  <c:v>1476.634</c:v>
                </c:pt>
                <c:pt idx="590">
                  <c:v>1476.183</c:v>
                </c:pt>
                <c:pt idx="591">
                  <c:v>1476</c:v>
                </c:pt>
                <c:pt idx="592">
                  <c:v>1476</c:v>
                </c:pt>
                <c:pt idx="593">
                  <c:v>1475.4059999999999</c:v>
                </c:pt>
                <c:pt idx="594">
                  <c:v>1475.2</c:v>
                </c:pt>
                <c:pt idx="595">
                  <c:v>1475.2</c:v>
                </c:pt>
                <c:pt idx="596">
                  <c:v>1473.941</c:v>
                </c:pt>
                <c:pt idx="597">
                  <c:v>1472.8</c:v>
                </c:pt>
                <c:pt idx="598">
                  <c:v>1472.8</c:v>
                </c:pt>
                <c:pt idx="599">
                  <c:v>1472.5830000000001</c:v>
                </c:pt>
                <c:pt idx="600">
                  <c:v>1472.049</c:v>
                </c:pt>
                <c:pt idx="601">
                  <c:v>1472</c:v>
                </c:pt>
                <c:pt idx="602">
                  <c:v>1472</c:v>
                </c:pt>
                <c:pt idx="603">
                  <c:v>1471.8530000000001</c:v>
                </c:pt>
                <c:pt idx="604">
                  <c:v>1471.2</c:v>
                </c:pt>
                <c:pt idx="605">
                  <c:v>1471.127</c:v>
                </c:pt>
                <c:pt idx="606">
                  <c:v>1471.0440000000001</c:v>
                </c:pt>
                <c:pt idx="607">
                  <c:v>1470.4</c:v>
                </c:pt>
                <c:pt idx="608">
                  <c:v>1470.4</c:v>
                </c:pt>
                <c:pt idx="609">
                  <c:v>1470.3040000000001</c:v>
                </c:pt>
                <c:pt idx="610">
                  <c:v>1469.7750000000001</c:v>
                </c:pt>
                <c:pt idx="611">
                  <c:v>1469.6</c:v>
                </c:pt>
                <c:pt idx="612">
                  <c:v>1469.6</c:v>
                </c:pt>
                <c:pt idx="613">
                  <c:v>1469.462</c:v>
                </c:pt>
                <c:pt idx="614">
                  <c:v>1469.462</c:v>
                </c:pt>
                <c:pt idx="615">
                  <c:v>1469.19</c:v>
                </c:pt>
                <c:pt idx="616">
                  <c:v>1468.8</c:v>
                </c:pt>
                <c:pt idx="617">
                  <c:v>1468.0050000000001</c:v>
                </c:pt>
                <c:pt idx="618">
                  <c:v>1468</c:v>
                </c:pt>
                <c:pt idx="619">
                  <c:v>1467.75</c:v>
                </c:pt>
                <c:pt idx="620">
                  <c:v>1467.2</c:v>
                </c:pt>
                <c:pt idx="621">
                  <c:v>1467.0709999999999</c:v>
                </c:pt>
                <c:pt idx="622">
                  <c:v>1466.4</c:v>
                </c:pt>
                <c:pt idx="623">
                  <c:v>1466.4</c:v>
                </c:pt>
                <c:pt idx="624">
                  <c:v>1466.4</c:v>
                </c:pt>
                <c:pt idx="625">
                  <c:v>1466.4</c:v>
                </c:pt>
                <c:pt idx="626">
                  <c:v>1466.3689999999999</c:v>
                </c:pt>
                <c:pt idx="627">
                  <c:v>1466.0820000000001</c:v>
                </c:pt>
                <c:pt idx="628">
                  <c:v>1465.837</c:v>
                </c:pt>
                <c:pt idx="629">
                  <c:v>1465.6</c:v>
                </c:pt>
                <c:pt idx="630">
                  <c:v>1465.6</c:v>
                </c:pt>
                <c:pt idx="631">
                  <c:v>1465.4770000000001</c:v>
                </c:pt>
                <c:pt idx="632">
                  <c:v>1465.4480000000001</c:v>
                </c:pt>
                <c:pt idx="633">
                  <c:v>1464.8</c:v>
                </c:pt>
                <c:pt idx="634">
                  <c:v>1464.7329999999999</c:v>
                </c:pt>
                <c:pt idx="635">
                  <c:v>1464.528</c:v>
                </c:pt>
                <c:pt idx="636">
                  <c:v>1464</c:v>
                </c:pt>
                <c:pt idx="637">
                  <c:v>1463.884</c:v>
                </c:pt>
                <c:pt idx="638">
                  <c:v>1463.752</c:v>
                </c:pt>
                <c:pt idx="639">
                  <c:v>1463.2</c:v>
                </c:pt>
                <c:pt idx="640">
                  <c:v>1463.2</c:v>
                </c:pt>
                <c:pt idx="641">
                  <c:v>1463.2</c:v>
                </c:pt>
                <c:pt idx="642">
                  <c:v>1462.4</c:v>
                </c:pt>
                <c:pt idx="643">
                  <c:v>1461.6</c:v>
                </c:pt>
                <c:pt idx="644">
                  <c:v>1461.462</c:v>
                </c:pt>
                <c:pt idx="645">
                  <c:v>1460.8</c:v>
                </c:pt>
                <c:pt idx="646">
                  <c:v>1460.6959999999999</c:v>
                </c:pt>
                <c:pt idx="647">
                  <c:v>1460.644</c:v>
                </c:pt>
                <c:pt idx="648">
                  <c:v>1460.106</c:v>
                </c:pt>
                <c:pt idx="649">
                  <c:v>1459.826</c:v>
                </c:pt>
                <c:pt idx="650">
                  <c:v>1459.415</c:v>
                </c:pt>
                <c:pt idx="651">
                  <c:v>1459.2</c:v>
                </c:pt>
                <c:pt idx="652">
                  <c:v>1459.2</c:v>
                </c:pt>
                <c:pt idx="653">
                  <c:v>1459.2</c:v>
                </c:pt>
                <c:pt idx="654">
                  <c:v>1459.2</c:v>
                </c:pt>
                <c:pt idx="655">
                  <c:v>1459.2</c:v>
                </c:pt>
                <c:pt idx="656">
                  <c:v>1459.1020000000001</c:v>
                </c:pt>
                <c:pt idx="657">
                  <c:v>1458.4</c:v>
                </c:pt>
                <c:pt idx="658">
                  <c:v>1458.4</c:v>
                </c:pt>
                <c:pt idx="659">
                  <c:v>1458.3050000000001</c:v>
                </c:pt>
                <c:pt idx="660">
                  <c:v>1457.6</c:v>
                </c:pt>
                <c:pt idx="661">
                  <c:v>1457.6</c:v>
                </c:pt>
                <c:pt idx="662">
                  <c:v>1457.0650000000001</c:v>
                </c:pt>
                <c:pt idx="663">
                  <c:v>1456.8</c:v>
                </c:pt>
                <c:pt idx="664">
                  <c:v>1456.7170000000001</c:v>
                </c:pt>
                <c:pt idx="665">
                  <c:v>1456</c:v>
                </c:pt>
                <c:pt idx="666">
                  <c:v>1455.962</c:v>
                </c:pt>
                <c:pt idx="667">
                  <c:v>1455.5940000000001</c:v>
                </c:pt>
                <c:pt idx="668">
                  <c:v>1455.5940000000001</c:v>
                </c:pt>
                <c:pt idx="669">
                  <c:v>1455.3009999999999</c:v>
                </c:pt>
                <c:pt idx="670">
                  <c:v>1453.6</c:v>
                </c:pt>
                <c:pt idx="671">
                  <c:v>1453.6</c:v>
                </c:pt>
                <c:pt idx="672">
                  <c:v>1453.6</c:v>
                </c:pt>
                <c:pt idx="673">
                  <c:v>1453.2840000000001</c:v>
                </c:pt>
                <c:pt idx="674">
                  <c:v>1453.1369999999999</c:v>
                </c:pt>
                <c:pt idx="675">
                  <c:v>1452.7270000000001</c:v>
                </c:pt>
                <c:pt idx="676">
                  <c:v>1452.404</c:v>
                </c:pt>
                <c:pt idx="677">
                  <c:v>1451.9159999999999</c:v>
                </c:pt>
                <c:pt idx="678">
                  <c:v>1451.527</c:v>
                </c:pt>
                <c:pt idx="679">
                  <c:v>1451.2</c:v>
                </c:pt>
                <c:pt idx="680">
                  <c:v>1450.4449999999999</c:v>
                </c:pt>
                <c:pt idx="681">
                  <c:v>1449.6</c:v>
                </c:pt>
                <c:pt idx="682">
                  <c:v>1448.8</c:v>
                </c:pt>
                <c:pt idx="683">
                  <c:v>1448.8</c:v>
                </c:pt>
                <c:pt idx="684">
                  <c:v>1447.9459999999999</c:v>
                </c:pt>
                <c:pt idx="685">
                  <c:v>1447.559</c:v>
                </c:pt>
                <c:pt idx="686">
                  <c:v>1447.2</c:v>
                </c:pt>
                <c:pt idx="687">
                  <c:v>1447.2</c:v>
                </c:pt>
                <c:pt idx="688">
                  <c:v>1446.4</c:v>
                </c:pt>
                <c:pt idx="689">
                  <c:v>1446.4</c:v>
                </c:pt>
                <c:pt idx="690">
                  <c:v>1446.4</c:v>
                </c:pt>
                <c:pt idx="691">
                  <c:v>1446.4</c:v>
                </c:pt>
                <c:pt idx="692">
                  <c:v>1445.923</c:v>
                </c:pt>
                <c:pt idx="693">
                  <c:v>1445.8820000000001</c:v>
                </c:pt>
                <c:pt idx="694">
                  <c:v>1445.6</c:v>
                </c:pt>
                <c:pt idx="695">
                  <c:v>1445.297</c:v>
                </c:pt>
                <c:pt idx="696">
                  <c:v>1445.105</c:v>
                </c:pt>
                <c:pt idx="697">
                  <c:v>1444.8</c:v>
                </c:pt>
                <c:pt idx="698">
                  <c:v>1444.5609999999999</c:v>
                </c:pt>
                <c:pt idx="699">
                  <c:v>1444.5409999999999</c:v>
                </c:pt>
                <c:pt idx="700">
                  <c:v>1444</c:v>
                </c:pt>
                <c:pt idx="701">
                  <c:v>1444</c:v>
                </c:pt>
                <c:pt idx="702">
                  <c:v>1444</c:v>
                </c:pt>
                <c:pt idx="703">
                  <c:v>1444</c:v>
                </c:pt>
                <c:pt idx="704">
                  <c:v>1444</c:v>
                </c:pt>
                <c:pt idx="705">
                  <c:v>1443.211</c:v>
                </c:pt>
                <c:pt idx="706">
                  <c:v>1443.09</c:v>
                </c:pt>
                <c:pt idx="707">
                  <c:v>1441.6</c:v>
                </c:pt>
                <c:pt idx="708">
                  <c:v>1441.5709999999999</c:v>
                </c:pt>
                <c:pt idx="709">
                  <c:v>1441.0229999999999</c:v>
                </c:pt>
                <c:pt idx="710">
                  <c:v>1440.8</c:v>
                </c:pt>
                <c:pt idx="711">
                  <c:v>1440.7739999999999</c:v>
                </c:pt>
                <c:pt idx="712">
                  <c:v>1440.7670000000001</c:v>
                </c:pt>
                <c:pt idx="713">
                  <c:v>1440.383</c:v>
                </c:pt>
                <c:pt idx="714">
                  <c:v>1440</c:v>
                </c:pt>
                <c:pt idx="715">
                  <c:v>1439.865</c:v>
                </c:pt>
                <c:pt idx="716">
                  <c:v>1439.2</c:v>
                </c:pt>
                <c:pt idx="717">
                  <c:v>1438.383</c:v>
                </c:pt>
                <c:pt idx="718">
                  <c:v>1438.009</c:v>
                </c:pt>
                <c:pt idx="719">
                  <c:v>1436.8</c:v>
                </c:pt>
                <c:pt idx="720">
                  <c:v>1436.8</c:v>
                </c:pt>
                <c:pt idx="721">
                  <c:v>1436.8</c:v>
                </c:pt>
                <c:pt idx="722">
                  <c:v>1436.559</c:v>
                </c:pt>
                <c:pt idx="723">
                  <c:v>1436.559</c:v>
                </c:pt>
                <c:pt idx="724">
                  <c:v>1436.3150000000001</c:v>
                </c:pt>
                <c:pt idx="725">
                  <c:v>1436</c:v>
                </c:pt>
                <c:pt idx="726">
                  <c:v>1436</c:v>
                </c:pt>
                <c:pt idx="727">
                  <c:v>1436</c:v>
                </c:pt>
                <c:pt idx="728">
                  <c:v>1436</c:v>
                </c:pt>
                <c:pt idx="729">
                  <c:v>1434.4</c:v>
                </c:pt>
                <c:pt idx="730">
                  <c:v>1434.4</c:v>
                </c:pt>
                <c:pt idx="731">
                  <c:v>1433.6020000000001</c:v>
                </c:pt>
                <c:pt idx="732">
                  <c:v>1433.6</c:v>
                </c:pt>
                <c:pt idx="733">
                  <c:v>1433.6</c:v>
                </c:pt>
                <c:pt idx="734">
                  <c:v>1433.6</c:v>
                </c:pt>
                <c:pt idx="735">
                  <c:v>1433.6</c:v>
                </c:pt>
                <c:pt idx="736">
                  <c:v>1433.6</c:v>
                </c:pt>
                <c:pt idx="737">
                  <c:v>1432.8</c:v>
                </c:pt>
                <c:pt idx="738">
                  <c:v>1432.8</c:v>
                </c:pt>
                <c:pt idx="739">
                  <c:v>1432.8</c:v>
                </c:pt>
                <c:pt idx="740">
                  <c:v>1432.8</c:v>
                </c:pt>
                <c:pt idx="741">
                  <c:v>1432.02</c:v>
                </c:pt>
                <c:pt idx="742">
                  <c:v>1432</c:v>
                </c:pt>
                <c:pt idx="743">
                  <c:v>1431.211</c:v>
                </c:pt>
                <c:pt idx="744">
                  <c:v>1431.202</c:v>
                </c:pt>
                <c:pt idx="745">
                  <c:v>1431.202</c:v>
                </c:pt>
                <c:pt idx="746">
                  <c:v>1431.2</c:v>
                </c:pt>
                <c:pt idx="747">
                  <c:v>1430.414</c:v>
                </c:pt>
                <c:pt idx="748">
                  <c:v>1430.4</c:v>
                </c:pt>
                <c:pt idx="749">
                  <c:v>1430.4</c:v>
                </c:pt>
                <c:pt idx="750">
                  <c:v>1430.3889999999999</c:v>
                </c:pt>
                <c:pt idx="751">
                  <c:v>1429.6</c:v>
                </c:pt>
                <c:pt idx="752">
                  <c:v>1429.6</c:v>
                </c:pt>
                <c:pt idx="753">
                  <c:v>1429.6</c:v>
                </c:pt>
                <c:pt idx="754">
                  <c:v>1429.566</c:v>
                </c:pt>
                <c:pt idx="755">
                  <c:v>1428.38</c:v>
                </c:pt>
                <c:pt idx="756">
                  <c:v>1428.0239999999999</c:v>
                </c:pt>
                <c:pt idx="757">
                  <c:v>1428</c:v>
                </c:pt>
                <c:pt idx="758">
                  <c:v>1428</c:v>
                </c:pt>
                <c:pt idx="759">
                  <c:v>1428</c:v>
                </c:pt>
                <c:pt idx="760">
                  <c:v>1428</c:v>
                </c:pt>
                <c:pt idx="761">
                  <c:v>1427.931</c:v>
                </c:pt>
                <c:pt idx="762">
                  <c:v>1427.2349999999999</c:v>
                </c:pt>
                <c:pt idx="763">
                  <c:v>1427.2</c:v>
                </c:pt>
                <c:pt idx="764">
                  <c:v>1427.2</c:v>
                </c:pt>
                <c:pt idx="765">
                  <c:v>1427.1130000000001</c:v>
                </c:pt>
                <c:pt idx="766">
                  <c:v>1426.2950000000001</c:v>
                </c:pt>
                <c:pt idx="767">
                  <c:v>1425.6</c:v>
                </c:pt>
                <c:pt idx="768">
                  <c:v>1425.4780000000001</c:v>
                </c:pt>
                <c:pt idx="769">
                  <c:v>1424.8</c:v>
                </c:pt>
                <c:pt idx="770">
                  <c:v>1424.8</c:v>
                </c:pt>
                <c:pt idx="771">
                  <c:v>1424.1279999999999</c:v>
                </c:pt>
                <c:pt idx="772">
                  <c:v>1424</c:v>
                </c:pt>
                <c:pt idx="773">
                  <c:v>1423.9670000000001</c:v>
                </c:pt>
                <c:pt idx="774">
                  <c:v>1423.8420000000001</c:v>
                </c:pt>
                <c:pt idx="775">
                  <c:v>1423.7280000000001</c:v>
                </c:pt>
                <c:pt idx="776">
                  <c:v>1423.3510000000001</c:v>
                </c:pt>
                <c:pt idx="777">
                  <c:v>1423.2</c:v>
                </c:pt>
                <c:pt idx="778">
                  <c:v>1423.2</c:v>
                </c:pt>
                <c:pt idx="779">
                  <c:v>1422.4</c:v>
                </c:pt>
                <c:pt idx="780">
                  <c:v>1422.4</c:v>
                </c:pt>
                <c:pt idx="781">
                  <c:v>1422.4</c:v>
                </c:pt>
                <c:pt idx="782">
                  <c:v>1421.6489999999999</c:v>
                </c:pt>
                <c:pt idx="783">
                  <c:v>1421.6</c:v>
                </c:pt>
                <c:pt idx="784">
                  <c:v>1421.6</c:v>
                </c:pt>
                <c:pt idx="785">
                  <c:v>1421.6</c:v>
                </c:pt>
                <c:pt idx="786">
                  <c:v>1421.02</c:v>
                </c:pt>
                <c:pt idx="787">
                  <c:v>1421.02</c:v>
                </c:pt>
                <c:pt idx="788">
                  <c:v>1420.2429999999999</c:v>
                </c:pt>
                <c:pt idx="789">
                  <c:v>1420</c:v>
                </c:pt>
                <c:pt idx="790">
                  <c:v>1419.2</c:v>
                </c:pt>
                <c:pt idx="791">
                  <c:v>1418.6890000000001</c:v>
                </c:pt>
                <c:pt idx="792">
                  <c:v>1418.578</c:v>
                </c:pt>
                <c:pt idx="793">
                  <c:v>1418.4</c:v>
                </c:pt>
                <c:pt idx="794">
                  <c:v>1418.0830000000001</c:v>
                </c:pt>
                <c:pt idx="795">
                  <c:v>1417.347</c:v>
                </c:pt>
                <c:pt idx="796">
                  <c:v>1417.299</c:v>
                </c:pt>
                <c:pt idx="797">
                  <c:v>1417.135</c:v>
                </c:pt>
                <c:pt idx="798">
                  <c:v>1417.135</c:v>
                </c:pt>
                <c:pt idx="799">
                  <c:v>1416.8</c:v>
                </c:pt>
                <c:pt idx="800">
                  <c:v>1416.8</c:v>
                </c:pt>
                <c:pt idx="801">
                  <c:v>1416.8</c:v>
                </c:pt>
                <c:pt idx="802">
                  <c:v>1416.8</c:v>
                </c:pt>
                <c:pt idx="803">
                  <c:v>1416.481</c:v>
                </c:pt>
                <c:pt idx="804">
                  <c:v>1416</c:v>
                </c:pt>
                <c:pt idx="805">
                  <c:v>1416</c:v>
                </c:pt>
                <c:pt idx="806">
                  <c:v>1415.902</c:v>
                </c:pt>
                <c:pt idx="807">
                  <c:v>1415.33</c:v>
                </c:pt>
                <c:pt idx="808">
                  <c:v>1415.2</c:v>
                </c:pt>
                <c:pt idx="809">
                  <c:v>1414.846</c:v>
                </c:pt>
                <c:pt idx="810">
                  <c:v>1414.8040000000001</c:v>
                </c:pt>
                <c:pt idx="811">
                  <c:v>1414.405</c:v>
                </c:pt>
                <c:pt idx="812">
                  <c:v>1414.4</c:v>
                </c:pt>
                <c:pt idx="813">
                  <c:v>1414.4</c:v>
                </c:pt>
                <c:pt idx="814">
                  <c:v>1414.4</c:v>
                </c:pt>
                <c:pt idx="815">
                  <c:v>1413.6</c:v>
                </c:pt>
                <c:pt idx="816">
                  <c:v>1413.21</c:v>
                </c:pt>
                <c:pt idx="817">
                  <c:v>1412.883</c:v>
                </c:pt>
                <c:pt idx="818">
                  <c:v>1412.8</c:v>
                </c:pt>
                <c:pt idx="819">
                  <c:v>1412.8</c:v>
                </c:pt>
                <c:pt idx="820">
                  <c:v>1412.521</c:v>
                </c:pt>
                <c:pt idx="821">
                  <c:v>1412</c:v>
                </c:pt>
                <c:pt idx="822">
                  <c:v>1412</c:v>
                </c:pt>
                <c:pt idx="823">
                  <c:v>1411.8710000000001</c:v>
                </c:pt>
                <c:pt idx="824">
                  <c:v>1411.5740000000001</c:v>
                </c:pt>
                <c:pt idx="825">
                  <c:v>1411.5740000000001</c:v>
                </c:pt>
                <c:pt idx="826">
                  <c:v>1411.5740000000001</c:v>
                </c:pt>
                <c:pt idx="827">
                  <c:v>1411.289</c:v>
                </c:pt>
                <c:pt idx="828">
                  <c:v>1411.2</c:v>
                </c:pt>
                <c:pt idx="829">
                  <c:v>1411.2</c:v>
                </c:pt>
                <c:pt idx="830">
                  <c:v>1410.7270000000001</c:v>
                </c:pt>
                <c:pt idx="831">
                  <c:v>1410.4</c:v>
                </c:pt>
                <c:pt idx="832">
                  <c:v>1410.377</c:v>
                </c:pt>
                <c:pt idx="833">
                  <c:v>1409.9280000000001</c:v>
                </c:pt>
                <c:pt idx="834">
                  <c:v>1409.6</c:v>
                </c:pt>
                <c:pt idx="835">
                  <c:v>1409.5050000000001</c:v>
                </c:pt>
                <c:pt idx="836">
                  <c:v>1408.8979999999999</c:v>
                </c:pt>
                <c:pt idx="837">
                  <c:v>1408.8</c:v>
                </c:pt>
                <c:pt idx="838">
                  <c:v>1408.8</c:v>
                </c:pt>
                <c:pt idx="839">
                  <c:v>1408</c:v>
                </c:pt>
                <c:pt idx="840">
                  <c:v>1408</c:v>
                </c:pt>
                <c:pt idx="841">
                  <c:v>1408</c:v>
                </c:pt>
                <c:pt idx="842">
                  <c:v>1408</c:v>
                </c:pt>
                <c:pt idx="843">
                  <c:v>1408</c:v>
                </c:pt>
                <c:pt idx="844">
                  <c:v>1407.529</c:v>
                </c:pt>
                <c:pt idx="845">
                  <c:v>1407.4849999999999</c:v>
                </c:pt>
                <c:pt idx="846">
                  <c:v>1407.2</c:v>
                </c:pt>
                <c:pt idx="847">
                  <c:v>1407.0350000000001</c:v>
                </c:pt>
                <c:pt idx="848">
                  <c:v>1405.711</c:v>
                </c:pt>
                <c:pt idx="849">
                  <c:v>1404.8430000000001</c:v>
                </c:pt>
                <c:pt idx="850">
                  <c:v>1404.8</c:v>
                </c:pt>
                <c:pt idx="851">
                  <c:v>1404.704</c:v>
                </c:pt>
                <c:pt idx="852">
                  <c:v>1403.2</c:v>
                </c:pt>
                <c:pt idx="853">
                  <c:v>1403.15</c:v>
                </c:pt>
                <c:pt idx="854">
                  <c:v>1402.5830000000001</c:v>
                </c:pt>
                <c:pt idx="855">
                  <c:v>1402.55</c:v>
                </c:pt>
                <c:pt idx="856">
                  <c:v>1402.5229999999999</c:v>
                </c:pt>
                <c:pt idx="857">
                  <c:v>1402.5229999999999</c:v>
                </c:pt>
                <c:pt idx="858">
                  <c:v>1402.4</c:v>
                </c:pt>
                <c:pt idx="859">
                  <c:v>1402.4</c:v>
                </c:pt>
                <c:pt idx="860">
                  <c:v>1402.373</c:v>
                </c:pt>
                <c:pt idx="861">
                  <c:v>1402.0070000000001</c:v>
                </c:pt>
                <c:pt idx="862">
                  <c:v>1401.76</c:v>
                </c:pt>
                <c:pt idx="863">
                  <c:v>1401.34</c:v>
                </c:pt>
                <c:pt idx="864">
                  <c:v>1400.8</c:v>
                </c:pt>
                <c:pt idx="865">
                  <c:v>1400.8</c:v>
                </c:pt>
                <c:pt idx="866">
                  <c:v>1400.125</c:v>
                </c:pt>
                <c:pt idx="867">
                  <c:v>1400.0429999999999</c:v>
                </c:pt>
                <c:pt idx="868">
                  <c:v>1400</c:v>
                </c:pt>
                <c:pt idx="869">
                  <c:v>1400</c:v>
                </c:pt>
                <c:pt idx="870">
                  <c:v>1400</c:v>
                </c:pt>
                <c:pt idx="871">
                  <c:v>1399.307</c:v>
                </c:pt>
                <c:pt idx="872">
                  <c:v>1398.489</c:v>
                </c:pt>
                <c:pt idx="873">
                  <c:v>1398.425</c:v>
                </c:pt>
                <c:pt idx="874">
                  <c:v>1398.4</c:v>
                </c:pt>
                <c:pt idx="875">
                  <c:v>1398.4</c:v>
                </c:pt>
                <c:pt idx="876">
                  <c:v>1398.4</c:v>
                </c:pt>
                <c:pt idx="877">
                  <c:v>1397.6</c:v>
                </c:pt>
                <c:pt idx="878">
                  <c:v>1397.6</c:v>
                </c:pt>
                <c:pt idx="879">
                  <c:v>1396.8</c:v>
                </c:pt>
                <c:pt idx="880">
                  <c:v>1396.8</c:v>
                </c:pt>
                <c:pt idx="881">
                  <c:v>1396.8</c:v>
                </c:pt>
                <c:pt idx="882">
                  <c:v>1396.8</c:v>
                </c:pt>
                <c:pt idx="883">
                  <c:v>1396.6320000000001</c:v>
                </c:pt>
                <c:pt idx="884">
                  <c:v>1396</c:v>
                </c:pt>
                <c:pt idx="885">
                  <c:v>1396</c:v>
                </c:pt>
                <c:pt idx="886">
                  <c:v>1396</c:v>
                </c:pt>
                <c:pt idx="887">
                  <c:v>1395.3810000000001</c:v>
                </c:pt>
                <c:pt idx="888">
                  <c:v>1395.2809999999999</c:v>
                </c:pt>
                <c:pt idx="889">
                  <c:v>1395.2</c:v>
                </c:pt>
                <c:pt idx="890">
                  <c:v>1395.2</c:v>
                </c:pt>
                <c:pt idx="891">
                  <c:v>1395.2</c:v>
                </c:pt>
                <c:pt idx="892">
                  <c:v>1394.961</c:v>
                </c:pt>
                <c:pt idx="893">
                  <c:v>1394.604</c:v>
                </c:pt>
                <c:pt idx="894">
                  <c:v>1394.546</c:v>
                </c:pt>
                <c:pt idx="895">
                  <c:v>1394.546</c:v>
                </c:pt>
                <c:pt idx="896">
                  <c:v>1394.491</c:v>
                </c:pt>
                <c:pt idx="897">
                  <c:v>1394.4</c:v>
                </c:pt>
                <c:pt idx="898">
                  <c:v>1394.4</c:v>
                </c:pt>
                <c:pt idx="899">
                  <c:v>1394.4</c:v>
                </c:pt>
                <c:pt idx="900">
                  <c:v>1393.6</c:v>
                </c:pt>
                <c:pt idx="901">
                  <c:v>1393.075</c:v>
                </c:pt>
                <c:pt idx="902">
                  <c:v>1393.075</c:v>
                </c:pt>
                <c:pt idx="903">
                  <c:v>1392.8</c:v>
                </c:pt>
                <c:pt idx="904">
                  <c:v>1392.7639999999999</c:v>
                </c:pt>
                <c:pt idx="905">
                  <c:v>1392.164</c:v>
                </c:pt>
                <c:pt idx="906">
                  <c:v>1392</c:v>
                </c:pt>
                <c:pt idx="907">
                  <c:v>1392</c:v>
                </c:pt>
                <c:pt idx="908">
                  <c:v>1392</c:v>
                </c:pt>
                <c:pt idx="909">
                  <c:v>1391.9459999999999</c:v>
                </c:pt>
                <c:pt idx="910">
                  <c:v>1391.9349999999999</c:v>
                </c:pt>
                <c:pt idx="911">
                  <c:v>1391.7280000000001</c:v>
                </c:pt>
                <c:pt idx="912">
                  <c:v>1391.588</c:v>
                </c:pt>
                <c:pt idx="913">
                  <c:v>1391.4960000000001</c:v>
                </c:pt>
                <c:pt idx="914">
                  <c:v>1391.367</c:v>
                </c:pt>
                <c:pt idx="915">
                  <c:v>1391.367</c:v>
                </c:pt>
                <c:pt idx="916">
                  <c:v>1389.6</c:v>
                </c:pt>
                <c:pt idx="917">
                  <c:v>1388.8</c:v>
                </c:pt>
                <c:pt idx="918">
                  <c:v>1388.675</c:v>
                </c:pt>
                <c:pt idx="919">
                  <c:v>1388.3889999999999</c:v>
                </c:pt>
                <c:pt idx="920">
                  <c:v>1388</c:v>
                </c:pt>
                <c:pt idx="921">
                  <c:v>1388</c:v>
                </c:pt>
                <c:pt idx="922">
                  <c:v>1387.2</c:v>
                </c:pt>
                <c:pt idx="923">
                  <c:v>1386.835</c:v>
                </c:pt>
                <c:pt idx="924">
                  <c:v>1386.835</c:v>
                </c:pt>
                <c:pt idx="925">
                  <c:v>1386.835</c:v>
                </c:pt>
                <c:pt idx="926">
                  <c:v>1386.586</c:v>
                </c:pt>
                <c:pt idx="927">
                  <c:v>1386.4</c:v>
                </c:pt>
                <c:pt idx="928">
                  <c:v>1386.4</c:v>
                </c:pt>
                <c:pt idx="929">
                  <c:v>1386.4</c:v>
                </c:pt>
                <c:pt idx="930">
                  <c:v>1386.2660000000001</c:v>
                </c:pt>
                <c:pt idx="931">
                  <c:v>1385.6</c:v>
                </c:pt>
                <c:pt idx="932">
                  <c:v>1384.8</c:v>
                </c:pt>
                <c:pt idx="933">
                  <c:v>1384.8</c:v>
                </c:pt>
                <c:pt idx="934">
                  <c:v>1384.8</c:v>
                </c:pt>
                <c:pt idx="935">
                  <c:v>1384</c:v>
                </c:pt>
                <c:pt idx="936">
                  <c:v>1383.44</c:v>
                </c:pt>
                <c:pt idx="937">
                  <c:v>1383.09</c:v>
                </c:pt>
                <c:pt idx="938">
                  <c:v>1382.778</c:v>
                </c:pt>
                <c:pt idx="939">
                  <c:v>1382.7159999999999</c:v>
                </c:pt>
                <c:pt idx="940">
                  <c:v>1382.4</c:v>
                </c:pt>
                <c:pt idx="941">
                  <c:v>1382.4</c:v>
                </c:pt>
                <c:pt idx="942">
                  <c:v>1382.173</c:v>
                </c:pt>
                <c:pt idx="943">
                  <c:v>1382.0329999999999</c:v>
                </c:pt>
                <c:pt idx="944">
                  <c:v>1381.6</c:v>
                </c:pt>
                <c:pt idx="945">
                  <c:v>1380.8</c:v>
                </c:pt>
                <c:pt idx="946">
                  <c:v>1380.8</c:v>
                </c:pt>
                <c:pt idx="947">
                  <c:v>1380.8</c:v>
                </c:pt>
                <c:pt idx="948">
                  <c:v>1380.21</c:v>
                </c:pt>
                <c:pt idx="949">
                  <c:v>1380</c:v>
                </c:pt>
                <c:pt idx="950">
                  <c:v>1379.9860000000001</c:v>
                </c:pt>
                <c:pt idx="951">
                  <c:v>1379.414</c:v>
                </c:pt>
                <c:pt idx="952">
                  <c:v>1379.2</c:v>
                </c:pt>
                <c:pt idx="953">
                  <c:v>1378.4</c:v>
                </c:pt>
                <c:pt idx="954">
                  <c:v>1377.6</c:v>
                </c:pt>
                <c:pt idx="955">
                  <c:v>1377.6</c:v>
                </c:pt>
                <c:pt idx="956">
                  <c:v>1377.2260000000001</c:v>
                </c:pt>
                <c:pt idx="957">
                  <c:v>1376.8</c:v>
                </c:pt>
                <c:pt idx="958">
                  <c:v>1376.8</c:v>
                </c:pt>
                <c:pt idx="959">
                  <c:v>1376.8</c:v>
                </c:pt>
                <c:pt idx="960">
                  <c:v>1376.8</c:v>
                </c:pt>
                <c:pt idx="961">
                  <c:v>1376.664</c:v>
                </c:pt>
                <c:pt idx="962">
                  <c:v>1376.1579999999999</c:v>
                </c:pt>
                <c:pt idx="963">
                  <c:v>1376</c:v>
                </c:pt>
                <c:pt idx="964">
                  <c:v>1375.2</c:v>
                </c:pt>
                <c:pt idx="965">
                  <c:v>1375.2</c:v>
                </c:pt>
                <c:pt idx="966">
                  <c:v>1374.7380000000001</c:v>
                </c:pt>
                <c:pt idx="967">
                  <c:v>1373.136</c:v>
                </c:pt>
                <c:pt idx="968">
                  <c:v>1373.1310000000001</c:v>
                </c:pt>
                <c:pt idx="969">
                  <c:v>1372.1569999999999</c:v>
                </c:pt>
                <c:pt idx="970">
                  <c:v>1371.4449999999999</c:v>
                </c:pt>
                <c:pt idx="971">
                  <c:v>1371.211</c:v>
                </c:pt>
                <c:pt idx="972">
                  <c:v>1371.2</c:v>
                </c:pt>
                <c:pt idx="973">
                  <c:v>1369.8510000000001</c:v>
                </c:pt>
                <c:pt idx="974">
                  <c:v>1369.6</c:v>
                </c:pt>
                <c:pt idx="975">
                  <c:v>1369.6</c:v>
                </c:pt>
                <c:pt idx="976">
                  <c:v>1369.6</c:v>
                </c:pt>
                <c:pt idx="977">
                  <c:v>1369.538</c:v>
                </c:pt>
                <c:pt idx="978">
                  <c:v>1368.8</c:v>
                </c:pt>
                <c:pt idx="979">
                  <c:v>1368.8</c:v>
                </c:pt>
                <c:pt idx="980">
                  <c:v>1368.8</c:v>
                </c:pt>
                <c:pt idx="981">
                  <c:v>1368.2570000000001</c:v>
                </c:pt>
                <c:pt idx="982">
                  <c:v>1368</c:v>
                </c:pt>
                <c:pt idx="983">
                  <c:v>1368</c:v>
                </c:pt>
                <c:pt idx="984">
                  <c:v>1367.412</c:v>
                </c:pt>
                <c:pt idx="985">
                  <c:v>1367.2</c:v>
                </c:pt>
                <c:pt idx="986">
                  <c:v>1367.2</c:v>
                </c:pt>
                <c:pt idx="987">
                  <c:v>1366.663</c:v>
                </c:pt>
                <c:pt idx="988">
                  <c:v>1366.634</c:v>
                </c:pt>
                <c:pt idx="989">
                  <c:v>1366.634</c:v>
                </c:pt>
                <c:pt idx="990">
                  <c:v>1366.4</c:v>
                </c:pt>
                <c:pt idx="991">
                  <c:v>1366.4</c:v>
                </c:pt>
                <c:pt idx="992">
                  <c:v>1366.4</c:v>
                </c:pt>
                <c:pt idx="993">
                  <c:v>1365.6</c:v>
                </c:pt>
                <c:pt idx="994">
                  <c:v>1365.6</c:v>
                </c:pt>
                <c:pt idx="995">
                  <c:v>1365.482</c:v>
                </c:pt>
                <c:pt idx="996">
                  <c:v>1364.9580000000001</c:v>
                </c:pt>
                <c:pt idx="997">
                  <c:v>1364.8</c:v>
                </c:pt>
                <c:pt idx="998">
                  <c:v>1364.8</c:v>
                </c:pt>
                <c:pt idx="999">
                  <c:v>1364.2729999999999</c:v>
                </c:pt>
                <c:pt idx="1000">
                  <c:v>1364.1010000000001</c:v>
                </c:pt>
                <c:pt idx="1001">
                  <c:v>1364</c:v>
                </c:pt>
                <c:pt idx="1002">
                  <c:v>1364</c:v>
                </c:pt>
                <c:pt idx="1003">
                  <c:v>1363.654</c:v>
                </c:pt>
                <c:pt idx="1004">
                  <c:v>1363.3219999999999</c:v>
                </c:pt>
                <c:pt idx="1005">
                  <c:v>1363.3219999999999</c:v>
                </c:pt>
                <c:pt idx="1006">
                  <c:v>1363.2</c:v>
                </c:pt>
                <c:pt idx="1007">
                  <c:v>1362.6790000000001</c:v>
                </c:pt>
                <c:pt idx="1008">
                  <c:v>1362.5050000000001</c:v>
                </c:pt>
                <c:pt idx="1009">
                  <c:v>1362.4</c:v>
                </c:pt>
                <c:pt idx="1010">
                  <c:v>1362.4</c:v>
                </c:pt>
                <c:pt idx="1011">
                  <c:v>1362.4</c:v>
                </c:pt>
                <c:pt idx="1012">
                  <c:v>1362.1130000000001</c:v>
                </c:pt>
                <c:pt idx="1013">
                  <c:v>1361.6</c:v>
                </c:pt>
                <c:pt idx="1014">
                  <c:v>1361.529</c:v>
                </c:pt>
                <c:pt idx="1015">
                  <c:v>1361.338</c:v>
                </c:pt>
                <c:pt idx="1016">
                  <c:v>1361.338</c:v>
                </c:pt>
                <c:pt idx="1017">
                  <c:v>1360.8</c:v>
                </c:pt>
                <c:pt idx="1018">
                  <c:v>1360.8</c:v>
                </c:pt>
                <c:pt idx="1019">
                  <c:v>1360.6469999999999</c:v>
                </c:pt>
                <c:pt idx="1020">
                  <c:v>1358.6079999999999</c:v>
                </c:pt>
                <c:pt idx="1021">
                  <c:v>1358.4</c:v>
                </c:pt>
                <c:pt idx="1022">
                  <c:v>1358.4</c:v>
                </c:pt>
                <c:pt idx="1023">
                  <c:v>1358.4</c:v>
                </c:pt>
                <c:pt idx="1024">
                  <c:v>1358.088</c:v>
                </c:pt>
                <c:pt idx="1025">
                  <c:v>1357.97</c:v>
                </c:pt>
                <c:pt idx="1026">
                  <c:v>1357.6</c:v>
                </c:pt>
                <c:pt idx="1027">
                  <c:v>1357.6</c:v>
                </c:pt>
                <c:pt idx="1028">
                  <c:v>1357.194</c:v>
                </c:pt>
                <c:pt idx="1029">
                  <c:v>1357.1010000000001</c:v>
                </c:pt>
                <c:pt idx="1030">
                  <c:v>1356.9639999999999</c:v>
                </c:pt>
                <c:pt idx="1031">
                  <c:v>1356.8</c:v>
                </c:pt>
                <c:pt idx="1032">
                  <c:v>1356.8</c:v>
                </c:pt>
                <c:pt idx="1033">
                  <c:v>1356.8</c:v>
                </c:pt>
                <c:pt idx="1034">
                  <c:v>1356</c:v>
                </c:pt>
                <c:pt idx="1035">
                  <c:v>1356</c:v>
                </c:pt>
                <c:pt idx="1036">
                  <c:v>1356</c:v>
                </c:pt>
                <c:pt idx="1037">
                  <c:v>1355.7570000000001</c:v>
                </c:pt>
                <c:pt idx="1038">
                  <c:v>1355.5070000000001</c:v>
                </c:pt>
                <c:pt idx="1039">
                  <c:v>1355.144</c:v>
                </c:pt>
                <c:pt idx="1040">
                  <c:v>1354.98</c:v>
                </c:pt>
                <c:pt idx="1041">
                  <c:v>1354.4</c:v>
                </c:pt>
                <c:pt idx="1042">
                  <c:v>1354.202</c:v>
                </c:pt>
                <c:pt idx="1043">
                  <c:v>1353.508</c:v>
                </c:pt>
                <c:pt idx="1044">
                  <c:v>1353.4259999999999</c:v>
                </c:pt>
                <c:pt idx="1045">
                  <c:v>1353.116</c:v>
                </c:pt>
                <c:pt idx="1046">
                  <c:v>1352.8</c:v>
                </c:pt>
                <c:pt idx="1047">
                  <c:v>1352.769</c:v>
                </c:pt>
                <c:pt idx="1048">
                  <c:v>1352.3589999999999</c:v>
                </c:pt>
                <c:pt idx="1049">
                  <c:v>1352.319</c:v>
                </c:pt>
                <c:pt idx="1050">
                  <c:v>1352.319</c:v>
                </c:pt>
                <c:pt idx="1051">
                  <c:v>1352</c:v>
                </c:pt>
                <c:pt idx="1052">
                  <c:v>1351.886</c:v>
                </c:pt>
                <c:pt idx="1053">
                  <c:v>1351.8720000000001</c:v>
                </c:pt>
                <c:pt idx="1054">
                  <c:v>1351.5219999999999</c:v>
                </c:pt>
                <c:pt idx="1055">
                  <c:v>1351.2</c:v>
                </c:pt>
                <c:pt idx="1056">
                  <c:v>1351.2</c:v>
                </c:pt>
                <c:pt idx="1057">
                  <c:v>1351.0550000000001</c:v>
                </c:pt>
                <c:pt idx="1058">
                  <c:v>1350.4</c:v>
                </c:pt>
                <c:pt idx="1059">
                  <c:v>1350.4</c:v>
                </c:pt>
                <c:pt idx="1060">
                  <c:v>1350.4</c:v>
                </c:pt>
                <c:pt idx="1061">
                  <c:v>1350.2370000000001</c:v>
                </c:pt>
                <c:pt idx="1062">
                  <c:v>1349.6790000000001</c:v>
                </c:pt>
                <c:pt idx="1063">
                  <c:v>1349.6</c:v>
                </c:pt>
                <c:pt idx="1064">
                  <c:v>1349.1320000000001</c:v>
                </c:pt>
                <c:pt idx="1065">
                  <c:v>1348.944</c:v>
                </c:pt>
                <c:pt idx="1066">
                  <c:v>1348.873</c:v>
                </c:pt>
                <c:pt idx="1067">
                  <c:v>1348.8</c:v>
                </c:pt>
                <c:pt idx="1068">
                  <c:v>1348.8</c:v>
                </c:pt>
                <c:pt idx="1069">
                  <c:v>1348.8</c:v>
                </c:pt>
                <c:pt idx="1070">
                  <c:v>1348</c:v>
                </c:pt>
                <c:pt idx="1071">
                  <c:v>1347.7840000000001</c:v>
                </c:pt>
                <c:pt idx="1072">
                  <c:v>1347.2</c:v>
                </c:pt>
                <c:pt idx="1073">
                  <c:v>1347.2</c:v>
                </c:pt>
                <c:pt idx="1074">
                  <c:v>1347.2</c:v>
                </c:pt>
                <c:pt idx="1075">
                  <c:v>1346.434</c:v>
                </c:pt>
                <c:pt idx="1076">
                  <c:v>1346.4</c:v>
                </c:pt>
                <c:pt idx="1077">
                  <c:v>1345.6</c:v>
                </c:pt>
                <c:pt idx="1078">
                  <c:v>1345.6</c:v>
                </c:pt>
                <c:pt idx="1079">
                  <c:v>1345.6</c:v>
                </c:pt>
                <c:pt idx="1080">
                  <c:v>1345.6</c:v>
                </c:pt>
                <c:pt idx="1081">
                  <c:v>1345.1469999999999</c:v>
                </c:pt>
                <c:pt idx="1082">
                  <c:v>1345.1020000000001</c:v>
                </c:pt>
                <c:pt idx="1083">
                  <c:v>1344.8</c:v>
                </c:pt>
                <c:pt idx="1084">
                  <c:v>1344.8</c:v>
                </c:pt>
                <c:pt idx="1085">
                  <c:v>1344.8</c:v>
                </c:pt>
                <c:pt idx="1086">
                  <c:v>1344.8</c:v>
                </c:pt>
                <c:pt idx="1087">
                  <c:v>1344</c:v>
                </c:pt>
                <c:pt idx="1088">
                  <c:v>1343.38</c:v>
                </c:pt>
                <c:pt idx="1089">
                  <c:v>1343.2</c:v>
                </c:pt>
                <c:pt idx="1090">
                  <c:v>1342.549</c:v>
                </c:pt>
                <c:pt idx="1091">
                  <c:v>1341.96</c:v>
                </c:pt>
                <c:pt idx="1092">
                  <c:v>1341.96</c:v>
                </c:pt>
                <c:pt idx="1093">
                  <c:v>1341.829</c:v>
                </c:pt>
                <c:pt idx="1094">
                  <c:v>1341.6</c:v>
                </c:pt>
                <c:pt idx="1095">
                  <c:v>1341.6</c:v>
                </c:pt>
                <c:pt idx="1096">
                  <c:v>1341.163</c:v>
                </c:pt>
                <c:pt idx="1097">
                  <c:v>1340.366</c:v>
                </c:pt>
                <c:pt idx="1098">
                  <c:v>1340.366</c:v>
                </c:pt>
                <c:pt idx="1099">
                  <c:v>1340</c:v>
                </c:pt>
                <c:pt idx="1100">
                  <c:v>1340</c:v>
                </c:pt>
                <c:pt idx="1101">
                  <c:v>1339.569</c:v>
                </c:pt>
                <c:pt idx="1102">
                  <c:v>1339.569</c:v>
                </c:pt>
                <c:pt idx="1103">
                  <c:v>1339.4169999999999</c:v>
                </c:pt>
                <c:pt idx="1104">
                  <c:v>1339.2360000000001</c:v>
                </c:pt>
                <c:pt idx="1105">
                  <c:v>1338.664</c:v>
                </c:pt>
                <c:pt idx="1106">
                  <c:v>1338.646</c:v>
                </c:pt>
                <c:pt idx="1107">
                  <c:v>1338.4</c:v>
                </c:pt>
                <c:pt idx="1108">
                  <c:v>1337.8879999999999</c:v>
                </c:pt>
                <c:pt idx="1109">
                  <c:v>1337.6</c:v>
                </c:pt>
                <c:pt idx="1110">
                  <c:v>1337.6</c:v>
                </c:pt>
                <c:pt idx="1111">
                  <c:v>1337.0619999999999</c:v>
                </c:pt>
                <c:pt idx="1112">
                  <c:v>1336.8</c:v>
                </c:pt>
                <c:pt idx="1113">
                  <c:v>1336.473</c:v>
                </c:pt>
                <c:pt idx="1114">
                  <c:v>1336</c:v>
                </c:pt>
                <c:pt idx="1115">
                  <c:v>1335.2</c:v>
                </c:pt>
                <c:pt idx="1116">
                  <c:v>1335.0920000000001</c:v>
                </c:pt>
                <c:pt idx="1117">
                  <c:v>1335.0920000000001</c:v>
                </c:pt>
                <c:pt idx="1118">
                  <c:v>1334.6980000000001</c:v>
                </c:pt>
                <c:pt idx="1119">
                  <c:v>1334.4</c:v>
                </c:pt>
                <c:pt idx="1120">
                  <c:v>1333.6</c:v>
                </c:pt>
                <c:pt idx="1121">
                  <c:v>1333.6</c:v>
                </c:pt>
                <c:pt idx="1122">
                  <c:v>1333.6</c:v>
                </c:pt>
                <c:pt idx="1123">
                  <c:v>1333.02</c:v>
                </c:pt>
                <c:pt idx="1124">
                  <c:v>1332.8</c:v>
                </c:pt>
                <c:pt idx="1125">
                  <c:v>1332.8</c:v>
                </c:pt>
                <c:pt idx="1126">
                  <c:v>1332.451</c:v>
                </c:pt>
                <c:pt idx="1127">
                  <c:v>1332</c:v>
                </c:pt>
                <c:pt idx="1128">
                  <c:v>1331.6389999999999</c:v>
                </c:pt>
                <c:pt idx="1129">
                  <c:v>1331.63</c:v>
                </c:pt>
                <c:pt idx="1130">
                  <c:v>1331.4269999999999</c:v>
                </c:pt>
                <c:pt idx="1131">
                  <c:v>1331.2</c:v>
                </c:pt>
                <c:pt idx="1132">
                  <c:v>1331.2</c:v>
                </c:pt>
                <c:pt idx="1133">
                  <c:v>1330.3109999999999</c:v>
                </c:pt>
                <c:pt idx="1134">
                  <c:v>1329.82</c:v>
                </c:pt>
                <c:pt idx="1135">
                  <c:v>1329.82</c:v>
                </c:pt>
                <c:pt idx="1136">
                  <c:v>1329.6</c:v>
                </c:pt>
                <c:pt idx="1137">
                  <c:v>1329.6</c:v>
                </c:pt>
                <c:pt idx="1138">
                  <c:v>1329.085</c:v>
                </c:pt>
                <c:pt idx="1139">
                  <c:v>1328.8</c:v>
                </c:pt>
                <c:pt idx="1140">
                  <c:v>1328.8</c:v>
                </c:pt>
                <c:pt idx="1141">
                  <c:v>1328.5640000000001</c:v>
                </c:pt>
                <c:pt idx="1142">
                  <c:v>1328.413</c:v>
                </c:pt>
                <c:pt idx="1143">
                  <c:v>1328.1559999999999</c:v>
                </c:pt>
                <c:pt idx="1144">
                  <c:v>1327.9559999999999</c:v>
                </c:pt>
                <c:pt idx="1145">
                  <c:v>1327.751</c:v>
                </c:pt>
                <c:pt idx="1146">
                  <c:v>1327.2</c:v>
                </c:pt>
                <c:pt idx="1147">
                  <c:v>1326.819</c:v>
                </c:pt>
                <c:pt idx="1148">
                  <c:v>1326.5170000000001</c:v>
                </c:pt>
                <c:pt idx="1149">
                  <c:v>1326.4</c:v>
                </c:pt>
                <c:pt idx="1150">
                  <c:v>1326.4</c:v>
                </c:pt>
                <c:pt idx="1151">
                  <c:v>1326.0219999999999</c:v>
                </c:pt>
                <c:pt idx="1152">
                  <c:v>1325.702</c:v>
                </c:pt>
                <c:pt idx="1153">
                  <c:v>1325.6</c:v>
                </c:pt>
                <c:pt idx="1154">
                  <c:v>1325.6</c:v>
                </c:pt>
                <c:pt idx="1155">
                  <c:v>1325.6</c:v>
                </c:pt>
                <c:pt idx="1156">
                  <c:v>1325.4570000000001</c:v>
                </c:pt>
                <c:pt idx="1157">
                  <c:v>1324.8</c:v>
                </c:pt>
                <c:pt idx="1158">
                  <c:v>1324.8</c:v>
                </c:pt>
                <c:pt idx="1159">
                  <c:v>1324.067</c:v>
                </c:pt>
                <c:pt idx="1160">
                  <c:v>1324</c:v>
                </c:pt>
                <c:pt idx="1161">
                  <c:v>1324</c:v>
                </c:pt>
                <c:pt idx="1162">
                  <c:v>1324</c:v>
                </c:pt>
                <c:pt idx="1163">
                  <c:v>1324</c:v>
                </c:pt>
                <c:pt idx="1164">
                  <c:v>1324</c:v>
                </c:pt>
                <c:pt idx="1165">
                  <c:v>1323.903</c:v>
                </c:pt>
                <c:pt idx="1166">
                  <c:v>1323.8989999999999</c:v>
                </c:pt>
                <c:pt idx="1167">
                  <c:v>1323.126</c:v>
                </c:pt>
                <c:pt idx="1168">
                  <c:v>1322.4</c:v>
                </c:pt>
                <c:pt idx="1169">
                  <c:v>1321.6130000000001</c:v>
                </c:pt>
                <c:pt idx="1170">
                  <c:v>1321.6</c:v>
                </c:pt>
                <c:pt idx="1171">
                  <c:v>1321.6</c:v>
                </c:pt>
                <c:pt idx="1172">
                  <c:v>1321.6</c:v>
                </c:pt>
                <c:pt idx="1173">
                  <c:v>1320.9939999999999</c:v>
                </c:pt>
                <c:pt idx="1174">
                  <c:v>1320.8</c:v>
                </c:pt>
                <c:pt idx="1175">
                  <c:v>1320.8</c:v>
                </c:pt>
                <c:pt idx="1176">
                  <c:v>1320.8</c:v>
                </c:pt>
                <c:pt idx="1177">
                  <c:v>1319.4580000000001</c:v>
                </c:pt>
                <c:pt idx="1178">
                  <c:v>1319.2</c:v>
                </c:pt>
                <c:pt idx="1179">
                  <c:v>1319.2</c:v>
                </c:pt>
                <c:pt idx="1180">
                  <c:v>1319.16</c:v>
                </c:pt>
                <c:pt idx="1181">
                  <c:v>1318.787</c:v>
                </c:pt>
                <c:pt idx="1182">
                  <c:v>1318.4</c:v>
                </c:pt>
                <c:pt idx="1183">
                  <c:v>1318.4</c:v>
                </c:pt>
                <c:pt idx="1184">
                  <c:v>1318.4</c:v>
                </c:pt>
                <c:pt idx="1185">
                  <c:v>1318.375</c:v>
                </c:pt>
                <c:pt idx="1186">
                  <c:v>1318.0519999999999</c:v>
                </c:pt>
                <c:pt idx="1187">
                  <c:v>1317.825</c:v>
                </c:pt>
                <c:pt idx="1188">
                  <c:v>1317.6869999999999</c:v>
                </c:pt>
                <c:pt idx="1189">
                  <c:v>1317.22</c:v>
                </c:pt>
                <c:pt idx="1190">
                  <c:v>1316.91</c:v>
                </c:pt>
                <c:pt idx="1191">
                  <c:v>1316.8</c:v>
                </c:pt>
                <c:pt idx="1192">
                  <c:v>1316</c:v>
                </c:pt>
                <c:pt idx="1193">
                  <c:v>1315.8879999999999</c:v>
                </c:pt>
                <c:pt idx="1194">
                  <c:v>1315.845</c:v>
                </c:pt>
                <c:pt idx="1195">
                  <c:v>1315.492</c:v>
                </c:pt>
                <c:pt idx="1196">
                  <c:v>1315.11</c:v>
                </c:pt>
                <c:pt idx="1197">
                  <c:v>1314.4</c:v>
                </c:pt>
                <c:pt idx="1198">
                  <c:v>1314.374</c:v>
                </c:pt>
                <c:pt idx="1199">
                  <c:v>1314.059</c:v>
                </c:pt>
                <c:pt idx="1200">
                  <c:v>1313.6</c:v>
                </c:pt>
                <c:pt idx="1201">
                  <c:v>1313.6</c:v>
                </c:pt>
                <c:pt idx="1202">
                  <c:v>1313.2719999999999</c:v>
                </c:pt>
                <c:pt idx="1203">
                  <c:v>1313.1079999999999</c:v>
                </c:pt>
                <c:pt idx="1204">
                  <c:v>1313.059</c:v>
                </c:pt>
                <c:pt idx="1205">
                  <c:v>1313.0260000000001</c:v>
                </c:pt>
                <c:pt idx="1206">
                  <c:v>1312.8</c:v>
                </c:pt>
                <c:pt idx="1207">
                  <c:v>1312.8</c:v>
                </c:pt>
                <c:pt idx="1208">
                  <c:v>1312.249</c:v>
                </c:pt>
                <c:pt idx="1209">
                  <c:v>1312.249</c:v>
                </c:pt>
                <c:pt idx="1210">
                  <c:v>1312</c:v>
                </c:pt>
                <c:pt idx="1211">
                  <c:v>1310.4000000000001</c:v>
                </c:pt>
                <c:pt idx="1212">
                  <c:v>1310.4000000000001</c:v>
                </c:pt>
                <c:pt idx="1213">
                  <c:v>1310.4000000000001</c:v>
                </c:pt>
                <c:pt idx="1214">
                  <c:v>1310.163</c:v>
                </c:pt>
                <c:pt idx="1215">
                  <c:v>1309.9179999999999</c:v>
                </c:pt>
                <c:pt idx="1216">
                  <c:v>1309.9179999999999</c:v>
                </c:pt>
                <c:pt idx="1217">
                  <c:v>1308.846</c:v>
                </c:pt>
                <c:pt idx="1218">
                  <c:v>1308.643</c:v>
                </c:pt>
                <c:pt idx="1219">
                  <c:v>1308</c:v>
                </c:pt>
                <c:pt idx="1220">
                  <c:v>1307.2</c:v>
                </c:pt>
                <c:pt idx="1221">
                  <c:v>1306.9090000000001</c:v>
                </c:pt>
                <c:pt idx="1222">
                  <c:v>1306.2840000000001</c:v>
                </c:pt>
                <c:pt idx="1223">
                  <c:v>1306.0329999999999</c:v>
                </c:pt>
                <c:pt idx="1224">
                  <c:v>1306.0329999999999</c:v>
                </c:pt>
                <c:pt idx="1225">
                  <c:v>1305.5999999999999</c:v>
                </c:pt>
                <c:pt idx="1226">
                  <c:v>1305.5999999999999</c:v>
                </c:pt>
                <c:pt idx="1227">
                  <c:v>1305.5999999999999</c:v>
                </c:pt>
                <c:pt idx="1228">
                  <c:v>1305.548</c:v>
                </c:pt>
                <c:pt idx="1229">
                  <c:v>1304.8</c:v>
                </c:pt>
                <c:pt idx="1230">
                  <c:v>1304.4390000000001</c:v>
                </c:pt>
                <c:pt idx="1231">
                  <c:v>1304</c:v>
                </c:pt>
                <c:pt idx="1232">
                  <c:v>1304</c:v>
                </c:pt>
                <c:pt idx="1233">
                  <c:v>1304</c:v>
                </c:pt>
                <c:pt idx="1234">
                  <c:v>1304</c:v>
                </c:pt>
                <c:pt idx="1235">
                  <c:v>1304</c:v>
                </c:pt>
                <c:pt idx="1236">
                  <c:v>1303.2</c:v>
                </c:pt>
                <c:pt idx="1237">
                  <c:v>1302.8030000000001</c:v>
                </c:pt>
                <c:pt idx="1238">
                  <c:v>1302.6300000000001</c:v>
                </c:pt>
                <c:pt idx="1239">
                  <c:v>1302.606</c:v>
                </c:pt>
                <c:pt idx="1240">
                  <c:v>1302.4000000000001</c:v>
                </c:pt>
                <c:pt idx="1241">
                  <c:v>1301.9390000000001</c:v>
                </c:pt>
                <c:pt idx="1242">
                  <c:v>1300.8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1299.5319999999999</c:v>
                </c:pt>
                <c:pt idx="1248">
                  <c:v>1299.258</c:v>
                </c:pt>
                <c:pt idx="1249">
                  <c:v>1299.2</c:v>
                </c:pt>
                <c:pt idx="1250">
                  <c:v>1299.0409999999999</c:v>
                </c:pt>
                <c:pt idx="1251">
                  <c:v>1298.9280000000001</c:v>
                </c:pt>
                <c:pt idx="1252">
                  <c:v>1298.5619999999999</c:v>
                </c:pt>
                <c:pt idx="1253">
                  <c:v>1298.4000000000001</c:v>
                </c:pt>
                <c:pt idx="1254">
                  <c:v>1298.193</c:v>
                </c:pt>
                <c:pt idx="1255">
                  <c:v>1298.1310000000001</c:v>
                </c:pt>
                <c:pt idx="1256">
                  <c:v>1296.8</c:v>
                </c:pt>
                <c:pt idx="1257">
                  <c:v>1296.71</c:v>
                </c:pt>
                <c:pt idx="1258">
                  <c:v>1295.933</c:v>
                </c:pt>
                <c:pt idx="1259">
                  <c:v>1295.74</c:v>
                </c:pt>
                <c:pt idx="1260">
                  <c:v>1295.2</c:v>
                </c:pt>
                <c:pt idx="1261">
                  <c:v>1294.5150000000001</c:v>
                </c:pt>
                <c:pt idx="1262">
                  <c:v>1294.4000000000001</c:v>
                </c:pt>
                <c:pt idx="1263">
                  <c:v>1294.4000000000001</c:v>
                </c:pt>
                <c:pt idx="1264">
                  <c:v>1294.146</c:v>
                </c:pt>
                <c:pt idx="1265">
                  <c:v>1293.5999999999999</c:v>
                </c:pt>
                <c:pt idx="1266">
                  <c:v>1293.3499999999999</c:v>
                </c:pt>
                <c:pt idx="1267">
                  <c:v>1292.96</c:v>
                </c:pt>
                <c:pt idx="1268">
                  <c:v>1292.8</c:v>
                </c:pt>
                <c:pt idx="1269">
                  <c:v>1292.8</c:v>
                </c:pt>
                <c:pt idx="1270">
                  <c:v>1292.665</c:v>
                </c:pt>
                <c:pt idx="1271">
                  <c:v>1292.662</c:v>
                </c:pt>
                <c:pt idx="1272">
                  <c:v>1292</c:v>
                </c:pt>
                <c:pt idx="1273">
                  <c:v>1292</c:v>
                </c:pt>
                <c:pt idx="1274">
                  <c:v>1291.2</c:v>
                </c:pt>
                <c:pt idx="1275">
                  <c:v>1290.9390000000001</c:v>
                </c:pt>
                <c:pt idx="1276">
                  <c:v>1290.5360000000001</c:v>
                </c:pt>
                <c:pt idx="1277">
                  <c:v>1290.4939999999999</c:v>
                </c:pt>
                <c:pt idx="1278">
                  <c:v>1290.4000000000001</c:v>
                </c:pt>
                <c:pt idx="1279">
                  <c:v>1290.4000000000001</c:v>
                </c:pt>
                <c:pt idx="1280">
                  <c:v>1290.4000000000001</c:v>
                </c:pt>
                <c:pt idx="1281">
                  <c:v>1290.3989999999999</c:v>
                </c:pt>
                <c:pt idx="1282">
                  <c:v>1290.1980000000001</c:v>
                </c:pt>
                <c:pt idx="1283">
                  <c:v>1290.1980000000001</c:v>
                </c:pt>
                <c:pt idx="1284">
                  <c:v>1289.367</c:v>
                </c:pt>
                <c:pt idx="1285">
                  <c:v>1288.8</c:v>
                </c:pt>
                <c:pt idx="1286">
                  <c:v>1288.7170000000001</c:v>
                </c:pt>
                <c:pt idx="1287">
                  <c:v>1288.125</c:v>
                </c:pt>
                <c:pt idx="1288">
                  <c:v>1288</c:v>
                </c:pt>
                <c:pt idx="1289">
                  <c:v>1288</c:v>
                </c:pt>
                <c:pt idx="1290">
                  <c:v>1288</c:v>
                </c:pt>
                <c:pt idx="1291">
                  <c:v>1288</c:v>
                </c:pt>
                <c:pt idx="1292">
                  <c:v>1287.4349999999999</c:v>
                </c:pt>
                <c:pt idx="1293">
                  <c:v>1287.32</c:v>
                </c:pt>
                <c:pt idx="1294">
                  <c:v>1287.2</c:v>
                </c:pt>
                <c:pt idx="1295">
                  <c:v>1287.2</c:v>
                </c:pt>
                <c:pt idx="1296">
                  <c:v>1287.2</c:v>
                </c:pt>
                <c:pt idx="1297">
                  <c:v>1287.2</c:v>
                </c:pt>
                <c:pt idx="1298">
                  <c:v>1286.77</c:v>
                </c:pt>
                <c:pt idx="1299">
                  <c:v>1286.7439999999999</c:v>
                </c:pt>
                <c:pt idx="1300">
                  <c:v>1286.7349999999999</c:v>
                </c:pt>
                <c:pt idx="1301">
                  <c:v>1286.6099999999999</c:v>
                </c:pt>
                <c:pt idx="1302">
                  <c:v>1286.4459999999999</c:v>
                </c:pt>
                <c:pt idx="1303">
                  <c:v>1286.4000000000001</c:v>
                </c:pt>
                <c:pt idx="1304">
                  <c:v>1285.8330000000001</c:v>
                </c:pt>
                <c:pt idx="1305">
                  <c:v>1285.8330000000001</c:v>
                </c:pt>
                <c:pt idx="1306">
                  <c:v>1285.6890000000001</c:v>
                </c:pt>
                <c:pt idx="1307">
                  <c:v>1285.5999999999999</c:v>
                </c:pt>
                <c:pt idx="1308">
                  <c:v>1285.5999999999999</c:v>
                </c:pt>
                <c:pt idx="1309">
                  <c:v>1284.1320000000001</c:v>
                </c:pt>
                <c:pt idx="1310">
                  <c:v>1284</c:v>
                </c:pt>
                <c:pt idx="1311">
                  <c:v>1284</c:v>
                </c:pt>
                <c:pt idx="1312">
                  <c:v>1283.787</c:v>
                </c:pt>
                <c:pt idx="1313">
                  <c:v>1283.482</c:v>
                </c:pt>
                <c:pt idx="1314">
                  <c:v>1283.2</c:v>
                </c:pt>
                <c:pt idx="1315">
                  <c:v>1282.7249999999999</c:v>
                </c:pt>
                <c:pt idx="1316">
                  <c:v>1282.357</c:v>
                </c:pt>
                <c:pt idx="1317">
                  <c:v>1282.193</c:v>
                </c:pt>
                <c:pt idx="1318">
                  <c:v>1282.011</c:v>
                </c:pt>
                <c:pt idx="1319">
                  <c:v>1281.93</c:v>
                </c:pt>
                <c:pt idx="1320">
                  <c:v>1281.4570000000001</c:v>
                </c:pt>
                <c:pt idx="1321">
                  <c:v>1280.8</c:v>
                </c:pt>
                <c:pt idx="1322">
                  <c:v>1280.5989999999999</c:v>
                </c:pt>
                <c:pt idx="1323">
                  <c:v>1280.18</c:v>
                </c:pt>
                <c:pt idx="1324">
                  <c:v>1280</c:v>
                </c:pt>
                <c:pt idx="1325">
                  <c:v>1280</c:v>
                </c:pt>
                <c:pt idx="1326">
                  <c:v>1280</c:v>
                </c:pt>
                <c:pt idx="1327">
                  <c:v>1279.8050000000001</c:v>
                </c:pt>
                <c:pt idx="1328">
                  <c:v>1278.268</c:v>
                </c:pt>
                <c:pt idx="1329">
                  <c:v>1277.5999999999999</c:v>
                </c:pt>
                <c:pt idx="1330">
                  <c:v>1277.598</c:v>
                </c:pt>
                <c:pt idx="1331">
                  <c:v>1277.105</c:v>
                </c:pt>
                <c:pt idx="1332">
                  <c:v>1276.8630000000001</c:v>
                </c:pt>
                <c:pt idx="1333">
                  <c:v>1276.8</c:v>
                </c:pt>
                <c:pt idx="1334">
                  <c:v>1276</c:v>
                </c:pt>
                <c:pt idx="1335">
                  <c:v>1276</c:v>
                </c:pt>
                <c:pt idx="1336">
                  <c:v>1275.732</c:v>
                </c:pt>
                <c:pt idx="1337">
                  <c:v>1275.3920000000001</c:v>
                </c:pt>
                <c:pt idx="1338">
                  <c:v>1275.2</c:v>
                </c:pt>
                <c:pt idx="1339">
                  <c:v>1275.021</c:v>
                </c:pt>
                <c:pt idx="1340">
                  <c:v>1274.9559999999999</c:v>
                </c:pt>
                <c:pt idx="1341">
                  <c:v>1274.6559999999999</c:v>
                </c:pt>
                <c:pt idx="1342">
                  <c:v>1274.4000000000001</c:v>
                </c:pt>
                <c:pt idx="1343">
                  <c:v>1274.4000000000001</c:v>
                </c:pt>
                <c:pt idx="1344">
                  <c:v>1274.4000000000001</c:v>
                </c:pt>
                <c:pt idx="1345">
                  <c:v>1274.4000000000001</c:v>
                </c:pt>
                <c:pt idx="1346">
                  <c:v>1274.4000000000001</c:v>
                </c:pt>
                <c:pt idx="1347">
                  <c:v>1274.3879999999999</c:v>
                </c:pt>
                <c:pt idx="1348">
                  <c:v>1274.3119999999999</c:v>
                </c:pt>
                <c:pt idx="1349">
                  <c:v>1274.3119999999999</c:v>
                </c:pt>
                <c:pt idx="1350">
                  <c:v>1273.3610000000001</c:v>
                </c:pt>
                <c:pt idx="1351">
                  <c:v>1272.8</c:v>
                </c:pt>
                <c:pt idx="1352">
                  <c:v>1272.8</c:v>
                </c:pt>
                <c:pt idx="1353">
                  <c:v>1272.8</c:v>
                </c:pt>
                <c:pt idx="1354">
                  <c:v>1272.45</c:v>
                </c:pt>
                <c:pt idx="1355">
                  <c:v>1272</c:v>
                </c:pt>
                <c:pt idx="1356">
                  <c:v>1271.2</c:v>
                </c:pt>
                <c:pt idx="1357">
                  <c:v>1270.9079999999999</c:v>
                </c:pt>
                <c:pt idx="1358">
                  <c:v>1270.8579999999999</c:v>
                </c:pt>
                <c:pt idx="1359">
                  <c:v>1270.4000000000001</c:v>
                </c:pt>
                <c:pt idx="1360">
                  <c:v>1270.2940000000001</c:v>
                </c:pt>
                <c:pt idx="1361">
                  <c:v>1270.2909999999999</c:v>
                </c:pt>
                <c:pt idx="1362">
                  <c:v>1270.2429999999999</c:v>
                </c:pt>
                <c:pt idx="1363">
                  <c:v>1270.07</c:v>
                </c:pt>
                <c:pt idx="1364">
                  <c:v>1269.443</c:v>
                </c:pt>
                <c:pt idx="1365">
                  <c:v>1268.8</c:v>
                </c:pt>
                <c:pt idx="1366">
                  <c:v>1268.8</c:v>
                </c:pt>
                <c:pt idx="1367">
                  <c:v>1268.8</c:v>
                </c:pt>
                <c:pt idx="1368">
                  <c:v>1268.8</c:v>
                </c:pt>
                <c:pt idx="1369">
                  <c:v>1268.7719999999999</c:v>
                </c:pt>
                <c:pt idx="1370">
                  <c:v>1268</c:v>
                </c:pt>
                <c:pt idx="1371">
                  <c:v>1267.963</c:v>
                </c:pt>
                <c:pt idx="1372">
                  <c:v>1267.2</c:v>
                </c:pt>
                <c:pt idx="1373">
                  <c:v>1267.2</c:v>
                </c:pt>
                <c:pt idx="1374">
                  <c:v>1267.0519999999999</c:v>
                </c:pt>
                <c:pt idx="1375">
                  <c:v>1266.819</c:v>
                </c:pt>
                <c:pt idx="1376">
                  <c:v>1266.4090000000001</c:v>
                </c:pt>
                <c:pt idx="1377">
                  <c:v>1266.4090000000001</c:v>
                </c:pt>
                <c:pt idx="1378">
                  <c:v>1266.4000000000001</c:v>
                </c:pt>
                <c:pt idx="1379">
                  <c:v>1266.4000000000001</c:v>
                </c:pt>
                <c:pt idx="1380">
                  <c:v>1266.3</c:v>
                </c:pt>
                <c:pt idx="1381">
                  <c:v>1265.3389999999999</c:v>
                </c:pt>
                <c:pt idx="1382">
                  <c:v>1265.0940000000001</c:v>
                </c:pt>
                <c:pt idx="1383">
                  <c:v>1264.8</c:v>
                </c:pt>
                <c:pt idx="1384">
                  <c:v>1264</c:v>
                </c:pt>
                <c:pt idx="1385">
                  <c:v>1263.865</c:v>
                </c:pt>
                <c:pt idx="1386">
                  <c:v>1263.865</c:v>
                </c:pt>
                <c:pt idx="1387">
                  <c:v>1263.865</c:v>
                </c:pt>
                <c:pt idx="1388">
                  <c:v>1263.261</c:v>
                </c:pt>
                <c:pt idx="1389">
                  <c:v>1263.2</c:v>
                </c:pt>
                <c:pt idx="1390">
                  <c:v>1263.155</c:v>
                </c:pt>
                <c:pt idx="1391">
                  <c:v>1262.5250000000001</c:v>
                </c:pt>
                <c:pt idx="1392">
                  <c:v>1262.5250000000001</c:v>
                </c:pt>
                <c:pt idx="1393">
                  <c:v>1262.4000000000001</c:v>
                </c:pt>
                <c:pt idx="1394">
                  <c:v>1262.4000000000001</c:v>
                </c:pt>
                <c:pt idx="1395">
                  <c:v>1262.4000000000001</c:v>
                </c:pt>
                <c:pt idx="1396">
                  <c:v>1261.5999999999999</c:v>
                </c:pt>
                <c:pt idx="1397">
                  <c:v>1261.4960000000001</c:v>
                </c:pt>
                <c:pt idx="1398">
                  <c:v>1260.2760000000001</c:v>
                </c:pt>
                <c:pt idx="1399">
                  <c:v>1260</c:v>
                </c:pt>
                <c:pt idx="1400">
                  <c:v>1260</c:v>
                </c:pt>
                <c:pt idx="1401">
                  <c:v>1259.807</c:v>
                </c:pt>
                <c:pt idx="1402">
                  <c:v>1259.4549999999999</c:v>
                </c:pt>
                <c:pt idx="1403">
                  <c:v>1259.433</c:v>
                </c:pt>
                <c:pt idx="1404">
                  <c:v>1259.21</c:v>
                </c:pt>
                <c:pt idx="1405">
                  <c:v>1259.2</c:v>
                </c:pt>
                <c:pt idx="1406">
                  <c:v>1259.117</c:v>
                </c:pt>
                <c:pt idx="1407">
                  <c:v>1258.4259999999999</c:v>
                </c:pt>
                <c:pt idx="1408">
                  <c:v>1258.4259999999999</c:v>
                </c:pt>
                <c:pt idx="1409">
                  <c:v>1258.4000000000001</c:v>
                </c:pt>
                <c:pt idx="1410">
                  <c:v>1258.4000000000001</c:v>
                </c:pt>
                <c:pt idx="1411">
                  <c:v>1257.5999999999999</c:v>
                </c:pt>
                <c:pt idx="1412">
                  <c:v>1257.5999999999999</c:v>
                </c:pt>
                <c:pt idx="1413">
                  <c:v>1257.49</c:v>
                </c:pt>
                <c:pt idx="1414">
                  <c:v>1257.086</c:v>
                </c:pt>
                <c:pt idx="1415">
                  <c:v>1257.0039999999999</c:v>
                </c:pt>
                <c:pt idx="1416">
                  <c:v>1256.8</c:v>
                </c:pt>
                <c:pt idx="1417">
                  <c:v>1256.8</c:v>
                </c:pt>
                <c:pt idx="1418">
                  <c:v>1256.268</c:v>
                </c:pt>
                <c:pt idx="1419">
                  <c:v>1256.268</c:v>
                </c:pt>
                <c:pt idx="1420">
                  <c:v>1256</c:v>
                </c:pt>
                <c:pt idx="1421">
                  <c:v>1256</c:v>
                </c:pt>
                <c:pt idx="1422">
                  <c:v>1255.6400000000001</c:v>
                </c:pt>
                <c:pt idx="1423">
                  <c:v>1255.5329999999999</c:v>
                </c:pt>
                <c:pt idx="1424">
                  <c:v>1255.3689999999999</c:v>
                </c:pt>
                <c:pt idx="1425">
                  <c:v>1255.0989999999999</c:v>
                </c:pt>
                <c:pt idx="1426">
                  <c:v>1254.973</c:v>
                </c:pt>
                <c:pt idx="1427">
                  <c:v>1254.973</c:v>
                </c:pt>
                <c:pt idx="1428">
                  <c:v>1254.4000000000001</c:v>
                </c:pt>
                <c:pt idx="1429">
                  <c:v>1254.4000000000001</c:v>
                </c:pt>
                <c:pt idx="1430">
                  <c:v>1254.4000000000001</c:v>
                </c:pt>
                <c:pt idx="1431">
                  <c:v>1254.2909999999999</c:v>
                </c:pt>
                <c:pt idx="1432">
                  <c:v>1253.6849999999999</c:v>
                </c:pt>
                <c:pt idx="1433">
                  <c:v>1252.915</c:v>
                </c:pt>
                <c:pt idx="1434">
                  <c:v>1252.9010000000001</c:v>
                </c:pt>
                <c:pt idx="1435">
                  <c:v>1252.8</c:v>
                </c:pt>
                <c:pt idx="1436">
                  <c:v>1252.8</c:v>
                </c:pt>
                <c:pt idx="1437">
                  <c:v>1251.519</c:v>
                </c:pt>
                <c:pt idx="1438">
                  <c:v>1251.1199999999999</c:v>
                </c:pt>
                <c:pt idx="1439">
                  <c:v>1251.115</c:v>
                </c:pt>
                <c:pt idx="1440">
                  <c:v>1250.4000000000001</c:v>
                </c:pt>
                <c:pt idx="1441">
                  <c:v>1250.4000000000001</c:v>
                </c:pt>
                <c:pt idx="1442">
                  <c:v>1248.913</c:v>
                </c:pt>
                <c:pt idx="1443">
                  <c:v>1248.8</c:v>
                </c:pt>
                <c:pt idx="1444">
                  <c:v>1248.8</c:v>
                </c:pt>
                <c:pt idx="1445">
                  <c:v>1248.8</c:v>
                </c:pt>
                <c:pt idx="1446">
                  <c:v>1248.8</c:v>
                </c:pt>
                <c:pt idx="1447">
                  <c:v>1248.8</c:v>
                </c:pt>
                <c:pt idx="1448">
                  <c:v>1248.008</c:v>
                </c:pt>
                <c:pt idx="1449">
                  <c:v>1248</c:v>
                </c:pt>
                <c:pt idx="1450">
                  <c:v>1248</c:v>
                </c:pt>
                <c:pt idx="1451">
                  <c:v>1247.2</c:v>
                </c:pt>
                <c:pt idx="1452">
                  <c:v>1246.9860000000001</c:v>
                </c:pt>
                <c:pt idx="1453">
                  <c:v>1246.9459999999999</c:v>
                </c:pt>
                <c:pt idx="1454">
                  <c:v>1246.7059999999999</c:v>
                </c:pt>
                <c:pt idx="1455">
                  <c:v>1246.4000000000001</c:v>
                </c:pt>
                <c:pt idx="1456">
                  <c:v>1246.4000000000001</c:v>
                </c:pt>
                <c:pt idx="1457">
                  <c:v>1246.4000000000001</c:v>
                </c:pt>
                <c:pt idx="1458">
                  <c:v>1245.5999999999999</c:v>
                </c:pt>
                <c:pt idx="1459">
                  <c:v>1245.5999999999999</c:v>
                </c:pt>
                <c:pt idx="1460">
                  <c:v>1244.8</c:v>
                </c:pt>
                <c:pt idx="1461">
                  <c:v>1244.8</c:v>
                </c:pt>
                <c:pt idx="1462">
                  <c:v>1244.8</c:v>
                </c:pt>
                <c:pt idx="1463">
                  <c:v>1244.01</c:v>
                </c:pt>
                <c:pt idx="1464">
                  <c:v>1243.943</c:v>
                </c:pt>
                <c:pt idx="1465">
                  <c:v>1243.943</c:v>
                </c:pt>
                <c:pt idx="1466">
                  <c:v>1243.2</c:v>
                </c:pt>
                <c:pt idx="1467">
                  <c:v>1243.2</c:v>
                </c:pt>
                <c:pt idx="1468">
                  <c:v>1243.029</c:v>
                </c:pt>
                <c:pt idx="1469">
                  <c:v>1242.4000000000001</c:v>
                </c:pt>
                <c:pt idx="1470">
                  <c:v>1242.3489999999999</c:v>
                </c:pt>
                <c:pt idx="1471">
                  <c:v>1240.8</c:v>
                </c:pt>
                <c:pt idx="1472">
                  <c:v>1240.77</c:v>
                </c:pt>
                <c:pt idx="1473">
                  <c:v>1240.0920000000001</c:v>
                </c:pt>
                <c:pt idx="1474">
                  <c:v>1240.087</c:v>
                </c:pt>
                <c:pt idx="1475">
                  <c:v>1240</c:v>
                </c:pt>
                <c:pt idx="1476">
                  <c:v>1240</c:v>
                </c:pt>
                <c:pt idx="1477">
                  <c:v>1240</c:v>
                </c:pt>
                <c:pt idx="1478">
                  <c:v>1239.848</c:v>
                </c:pt>
                <c:pt idx="1479">
                  <c:v>1239.2</c:v>
                </c:pt>
                <c:pt idx="1480">
                  <c:v>1239.2</c:v>
                </c:pt>
                <c:pt idx="1481">
                  <c:v>1239.2</c:v>
                </c:pt>
                <c:pt idx="1482">
                  <c:v>1238.616</c:v>
                </c:pt>
                <c:pt idx="1483">
                  <c:v>1238.4390000000001</c:v>
                </c:pt>
                <c:pt idx="1484">
                  <c:v>1238.4000000000001</c:v>
                </c:pt>
                <c:pt idx="1485">
                  <c:v>1238.194</c:v>
                </c:pt>
                <c:pt idx="1486">
                  <c:v>1237.7059999999999</c:v>
                </c:pt>
                <c:pt idx="1487">
                  <c:v>1237.7059999999999</c:v>
                </c:pt>
                <c:pt idx="1488">
                  <c:v>1237.7059999999999</c:v>
                </c:pt>
                <c:pt idx="1489">
                  <c:v>1237.663</c:v>
                </c:pt>
                <c:pt idx="1490">
                  <c:v>1237.567</c:v>
                </c:pt>
                <c:pt idx="1491">
                  <c:v>1237.145</c:v>
                </c:pt>
                <c:pt idx="1492">
                  <c:v>1237.145</c:v>
                </c:pt>
                <c:pt idx="1493">
                  <c:v>1237.0150000000001</c:v>
                </c:pt>
                <c:pt idx="1494">
                  <c:v>1236.8</c:v>
                </c:pt>
                <c:pt idx="1495">
                  <c:v>1236.559</c:v>
                </c:pt>
                <c:pt idx="1496">
                  <c:v>1236.3240000000001</c:v>
                </c:pt>
                <c:pt idx="1497">
                  <c:v>1236.1089999999999</c:v>
                </c:pt>
                <c:pt idx="1498">
                  <c:v>1235.288</c:v>
                </c:pt>
                <c:pt idx="1499">
                  <c:v>1235.2</c:v>
                </c:pt>
                <c:pt idx="1500">
                  <c:v>1234.4000000000001</c:v>
                </c:pt>
                <c:pt idx="1501">
                  <c:v>1234.4000000000001</c:v>
                </c:pt>
                <c:pt idx="1502">
                  <c:v>1233.778</c:v>
                </c:pt>
                <c:pt idx="1503">
                  <c:v>1233.4670000000001</c:v>
                </c:pt>
                <c:pt idx="1504">
                  <c:v>1233.287</c:v>
                </c:pt>
                <c:pt idx="1505">
                  <c:v>1233.287</c:v>
                </c:pt>
                <c:pt idx="1506">
                  <c:v>1233.252</c:v>
                </c:pt>
                <c:pt idx="1507">
                  <c:v>1232.8</c:v>
                </c:pt>
                <c:pt idx="1508">
                  <c:v>1232.8</c:v>
                </c:pt>
                <c:pt idx="1509">
                  <c:v>1232.8</c:v>
                </c:pt>
                <c:pt idx="1510">
                  <c:v>1232.2239999999999</c:v>
                </c:pt>
                <c:pt idx="1511">
                  <c:v>1232.18</c:v>
                </c:pt>
                <c:pt idx="1512">
                  <c:v>1232.086</c:v>
                </c:pt>
                <c:pt idx="1513">
                  <c:v>1232</c:v>
                </c:pt>
                <c:pt idx="1514">
                  <c:v>1231.989</c:v>
                </c:pt>
                <c:pt idx="1515">
                  <c:v>1230.981</c:v>
                </c:pt>
                <c:pt idx="1516">
                  <c:v>1230.9190000000001</c:v>
                </c:pt>
                <c:pt idx="1517">
                  <c:v>1230.67</c:v>
                </c:pt>
                <c:pt idx="1518">
                  <c:v>1230.47</c:v>
                </c:pt>
                <c:pt idx="1519">
                  <c:v>1230.4000000000001</c:v>
                </c:pt>
                <c:pt idx="1520">
                  <c:v>1230.3389999999999</c:v>
                </c:pt>
                <c:pt idx="1521">
                  <c:v>1230.1079999999999</c:v>
                </c:pt>
                <c:pt idx="1522">
                  <c:v>1230.1079999999999</c:v>
                </c:pt>
                <c:pt idx="1523">
                  <c:v>1229.5989999999999</c:v>
                </c:pt>
                <c:pt idx="1524">
                  <c:v>1229.116</c:v>
                </c:pt>
                <c:pt idx="1525">
                  <c:v>1228.8</c:v>
                </c:pt>
                <c:pt idx="1526">
                  <c:v>1228.7360000000001</c:v>
                </c:pt>
                <c:pt idx="1527">
                  <c:v>1228.3800000000001</c:v>
                </c:pt>
                <c:pt idx="1528">
                  <c:v>1228.3800000000001</c:v>
                </c:pt>
                <c:pt idx="1529">
                  <c:v>1228</c:v>
                </c:pt>
                <c:pt idx="1530">
                  <c:v>1228</c:v>
                </c:pt>
                <c:pt idx="1531">
                  <c:v>1227.345</c:v>
                </c:pt>
                <c:pt idx="1532">
                  <c:v>1226.847</c:v>
                </c:pt>
                <c:pt idx="1533">
                  <c:v>1226.4000000000001</c:v>
                </c:pt>
                <c:pt idx="1534">
                  <c:v>1226.4000000000001</c:v>
                </c:pt>
                <c:pt idx="1535">
                  <c:v>1226.4000000000001</c:v>
                </c:pt>
                <c:pt idx="1536">
                  <c:v>1226.4000000000001</c:v>
                </c:pt>
                <c:pt idx="1537">
                  <c:v>1226.008</c:v>
                </c:pt>
                <c:pt idx="1538">
                  <c:v>1225.5999999999999</c:v>
                </c:pt>
                <c:pt idx="1539">
                  <c:v>1225.5999999999999</c:v>
                </c:pt>
                <c:pt idx="1540">
                  <c:v>1225.5999999999999</c:v>
                </c:pt>
                <c:pt idx="1541">
                  <c:v>1225.376</c:v>
                </c:pt>
                <c:pt idx="1542">
                  <c:v>1225.2729999999999</c:v>
                </c:pt>
                <c:pt idx="1543">
                  <c:v>1225.232</c:v>
                </c:pt>
                <c:pt idx="1544">
                  <c:v>1224.8</c:v>
                </c:pt>
                <c:pt idx="1545">
                  <c:v>1223.548</c:v>
                </c:pt>
                <c:pt idx="1546">
                  <c:v>1223.2</c:v>
                </c:pt>
                <c:pt idx="1547">
                  <c:v>1223.2</c:v>
                </c:pt>
                <c:pt idx="1548">
                  <c:v>1222.511</c:v>
                </c:pt>
                <c:pt idx="1549">
                  <c:v>1222.4000000000001</c:v>
                </c:pt>
                <c:pt idx="1550">
                  <c:v>1222.4000000000001</c:v>
                </c:pt>
                <c:pt idx="1551">
                  <c:v>1222.4000000000001</c:v>
                </c:pt>
                <c:pt idx="1552">
                  <c:v>1222.4000000000001</c:v>
                </c:pt>
                <c:pt idx="1553">
                  <c:v>1222.124</c:v>
                </c:pt>
                <c:pt idx="1554">
                  <c:v>1221.838</c:v>
                </c:pt>
                <c:pt idx="1555">
                  <c:v>1221.6990000000001</c:v>
                </c:pt>
                <c:pt idx="1556">
                  <c:v>1221.6300000000001</c:v>
                </c:pt>
                <c:pt idx="1557">
                  <c:v>1221.5999999999999</c:v>
                </c:pt>
                <c:pt idx="1558">
                  <c:v>1221.1289999999999</c:v>
                </c:pt>
                <c:pt idx="1559">
                  <c:v>1220.8330000000001</c:v>
                </c:pt>
                <c:pt idx="1560">
                  <c:v>1220.8</c:v>
                </c:pt>
                <c:pt idx="1561">
                  <c:v>1220.8</c:v>
                </c:pt>
                <c:pt idx="1562">
                  <c:v>1220.57</c:v>
                </c:pt>
                <c:pt idx="1563">
                  <c:v>1220.0360000000001</c:v>
                </c:pt>
                <c:pt idx="1564">
                  <c:v>1220</c:v>
                </c:pt>
                <c:pt idx="1565">
                  <c:v>1220</c:v>
                </c:pt>
                <c:pt idx="1566">
                  <c:v>1220</c:v>
                </c:pt>
                <c:pt idx="1567">
                  <c:v>1219.9849999999999</c:v>
                </c:pt>
                <c:pt idx="1568">
                  <c:v>1219.2</c:v>
                </c:pt>
                <c:pt idx="1569">
                  <c:v>1219.057</c:v>
                </c:pt>
                <c:pt idx="1570">
                  <c:v>1218.7570000000001</c:v>
                </c:pt>
                <c:pt idx="1571">
                  <c:v>1218.567</c:v>
                </c:pt>
                <c:pt idx="1572">
                  <c:v>1218.4000000000001</c:v>
                </c:pt>
                <c:pt idx="1573">
                  <c:v>1218.239</c:v>
                </c:pt>
                <c:pt idx="1574">
                  <c:v>1217.5999999999999</c:v>
                </c:pt>
                <c:pt idx="1575">
                  <c:v>1217.2860000000001</c:v>
                </c:pt>
                <c:pt idx="1576">
                  <c:v>1217.2860000000001</c:v>
                </c:pt>
                <c:pt idx="1577">
                  <c:v>1216.931</c:v>
                </c:pt>
                <c:pt idx="1578">
                  <c:v>1216.848</c:v>
                </c:pt>
                <c:pt idx="1579">
                  <c:v>1216.6849999999999</c:v>
                </c:pt>
                <c:pt idx="1580">
                  <c:v>1216.2940000000001</c:v>
                </c:pt>
                <c:pt idx="1581">
                  <c:v>1216</c:v>
                </c:pt>
                <c:pt idx="1582">
                  <c:v>1216</c:v>
                </c:pt>
                <c:pt idx="1583">
                  <c:v>1216</c:v>
                </c:pt>
                <c:pt idx="1584">
                  <c:v>1215.604</c:v>
                </c:pt>
                <c:pt idx="1585">
                  <c:v>1215.3430000000001</c:v>
                </c:pt>
                <c:pt idx="1586">
                  <c:v>1215.2950000000001</c:v>
                </c:pt>
                <c:pt idx="1587">
                  <c:v>1215.2</c:v>
                </c:pt>
                <c:pt idx="1588">
                  <c:v>1215.079</c:v>
                </c:pt>
                <c:pt idx="1589">
                  <c:v>1214.808</c:v>
                </c:pt>
                <c:pt idx="1590">
                  <c:v>1214.4000000000001</c:v>
                </c:pt>
                <c:pt idx="1591">
                  <c:v>1214.3440000000001</c:v>
                </c:pt>
                <c:pt idx="1592">
                  <c:v>1213.5999999999999</c:v>
                </c:pt>
                <c:pt idx="1593">
                  <c:v>1212.979</c:v>
                </c:pt>
                <c:pt idx="1594">
                  <c:v>1212.8409999999999</c:v>
                </c:pt>
                <c:pt idx="1595">
                  <c:v>1212.8</c:v>
                </c:pt>
                <c:pt idx="1596">
                  <c:v>1212.8</c:v>
                </c:pt>
                <c:pt idx="1597">
                  <c:v>1212</c:v>
                </c:pt>
                <c:pt idx="1598">
                  <c:v>1212</c:v>
                </c:pt>
                <c:pt idx="1599">
                  <c:v>1211.46</c:v>
                </c:pt>
                <c:pt idx="1600">
                  <c:v>1211.2</c:v>
                </c:pt>
                <c:pt idx="1601">
                  <c:v>1211.2</c:v>
                </c:pt>
                <c:pt idx="1602">
                  <c:v>1210.769</c:v>
                </c:pt>
                <c:pt idx="1603">
                  <c:v>1210.6659999999999</c:v>
                </c:pt>
                <c:pt idx="1604">
                  <c:v>1210.4000000000001</c:v>
                </c:pt>
                <c:pt idx="1605">
                  <c:v>1209.693</c:v>
                </c:pt>
                <c:pt idx="1606">
                  <c:v>1209.6759999999999</c:v>
                </c:pt>
                <c:pt idx="1607">
                  <c:v>1209.5999999999999</c:v>
                </c:pt>
                <c:pt idx="1608">
                  <c:v>1208.9159999999999</c:v>
                </c:pt>
                <c:pt idx="1609">
                  <c:v>1208.8</c:v>
                </c:pt>
                <c:pt idx="1610">
                  <c:v>1208.7529999999999</c:v>
                </c:pt>
                <c:pt idx="1611">
                  <c:v>1208.0830000000001</c:v>
                </c:pt>
                <c:pt idx="1612">
                  <c:v>1208</c:v>
                </c:pt>
                <c:pt idx="1613">
                  <c:v>1207.7239999999999</c:v>
                </c:pt>
                <c:pt idx="1614">
                  <c:v>1207.3630000000001</c:v>
                </c:pt>
                <c:pt idx="1615">
                  <c:v>1207.2</c:v>
                </c:pt>
                <c:pt idx="1616">
                  <c:v>1207.2</c:v>
                </c:pt>
                <c:pt idx="1617">
                  <c:v>1206.6600000000001</c:v>
                </c:pt>
                <c:pt idx="1618">
                  <c:v>1206.489</c:v>
                </c:pt>
                <c:pt idx="1619">
                  <c:v>1206.4000000000001</c:v>
                </c:pt>
                <c:pt idx="1620">
                  <c:v>1206.4000000000001</c:v>
                </c:pt>
                <c:pt idx="1621">
                  <c:v>1206.4000000000001</c:v>
                </c:pt>
                <c:pt idx="1622">
                  <c:v>1205.933</c:v>
                </c:pt>
                <c:pt idx="1623">
                  <c:v>1204.8</c:v>
                </c:pt>
                <c:pt idx="1624">
                  <c:v>1204.7819999999999</c:v>
                </c:pt>
                <c:pt idx="1625">
                  <c:v>1204.663</c:v>
                </c:pt>
                <c:pt idx="1626">
                  <c:v>1204.4760000000001</c:v>
                </c:pt>
                <c:pt idx="1627">
                  <c:v>1204</c:v>
                </c:pt>
                <c:pt idx="1628">
                  <c:v>1204</c:v>
                </c:pt>
                <c:pt idx="1629">
                  <c:v>1204</c:v>
                </c:pt>
                <c:pt idx="1630">
                  <c:v>1204</c:v>
                </c:pt>
                <c:pt idx="1631">
                  <c:v>1203.8620000000001</c:v>
                </c:pt>
                <c:pt idx="1632">
                  <c:v>1203.5440000000001</c:v>
                </c:pt>
                <c:pt idx="1633">
                  <c:v>1203.4770000000001</c:v>
                </c:pt>
                <c:pt idx="1634">
                  <c:v>1203.4770000000001</c:v>
                </c:pt>
                <c:pt idx="1635">
                  <c:v>1203.2</c:v>
                </c:pt>
                <c:pt idx="1636">
                  <c:v>1203.028</c:v>
                </c:pt>
                <c:pt idx="1637">
                  <c:v>1202.5039999999999</c:v>
                </c:pt>
                <c:pt idx="1638">
                  <c:v>1202.4000000000001</c:v>
                </c:pt>
                <c:pt idx="1639">
                  <c:v>1202.1199999999999</c:v>
                </c:pt>
                <c:pt idx="1640">
                  <c:v>1201.951</c:v>
                </c:pt>
                <c:pt idx="1641">
                  <c:v>1201.5999999999999</c:v>
                </c:pt>
                <c:pt idx="1642">
                  <c:v>1201.1130000000001</c:v>
                </c:pt>
                <c:pt idx="1643">
                  <c:v>1200.8</c:v>
                </c:pt>
                <c:pt idx="1644">
                  <c:v>1200.8</c:v>
                </c:pt>
                <c:pt idx="1645">
                  <c:v>1200.8</c:v>
                </c:pt>
                <c:pt idx="1646">
                  <c:v>1200.8</c:v>
                </c:pt>
                <c:pt idx="1647">
                  <c:v>1200.3689999999999</c:v>
                </c:pt>
                <c:pt idx="1648">
                  <c:v>1200.114</c:v>
                </c:pt>
                <c:pt idx="1649">
                  <c:v>1200.0540000000001</c:v>
                </c:pt>
                <c:pt idx="1650">
                  <c:v>1200</c:v>
                </c:pt>
                <c:pt idx="1651">
                  <c:v>1199.5930000000001</c:v>
                </c:pt>
                <c:pt idx="1652">
                  <c:v>1199.317</c:v>
                </c:pt>
                <c:pt idx="1653">
                  <c:v>1199.317</c:v>
                </c:pt>
                <c:pt idx="1654">
                  <c:v>1199.2</c:v>
                </c:pt>
                <c:pt idx="1655">
                  <c:v>1199.2</c:v>
                </c:pt>
                <c:pt idx="1656">
                  <c:v>1199.2</c:v>
                </c:pt>
                <c:pt idx="1657">
                  <c:v>1198.8979999999999</c:v>
                </c:pt>
                <c:pt idx="1658">
                  <c:v>1198.816</c:v>
                </c:pt>
                <c:pt idx="1659">
                  <c:v>1198.4000000000001</c:v>
                </c:pt>
                <c:pt idx="1660">
                  <c:v>1198.337</c:v>
                </c:pt>
                <c:pt idx="1661">
                  <c:v>1198.1210000000001</c:v>
                </c:pt>
                <c:pt idx="1662">
                  <c:v>1197.3030000000001</c:v>
                </c:pt>
                <c:pt idx="1663">
                  <c:v>1197.2619999999999</c:v>
                </c:pt>
                <c:pt idx="1664">
                  <c:v>1197.0719999999999</c:v>
                </c:pt>
                <c:pt idx="1665">
                  <c:v>1196.8</c:v>
                </c:pt>
                <c:pt idx="1666">
                  <c:v>1196.29</c:v>
                </c:pt>
                <c:pt idx="1667">
                  <c:v>1196</c:v>
                </c:pt>
                <c:pt idx="1668">
                  <c:v>1196</c:v>
                </c:pt>
                <c:pt idx="1669">
                  <c:v>1195.6669999999999</c:v>
                </c:pt>
                <c:pt idx="1670">
                  <c:v>1195.5740000000001</c:v>
                </c:pt>
                <c:pt idx="1671">
                  <c:v>1195.548</c:v>
                </c:pt>
                <c:pt idx="1672">
                  <c:v>1195.2</c:v>
                </c:pt>
                <c:pt idx="1673">
                  <c:v>1194.4000000000001</c:v>
                </c:pt>
                <c:pt idx="1674">
                  <c:v>1194.4000000000001</c:v>
                </c:pt>
                <c:pt idx="1675">
                  <c:v>1193.5999999999999</c:v>
                </c:pt>
                <c:pt idx="1676">
                  <c:v>1193.5999999999999</c:v>
                </c:pt>
                <c:pt idx="1677">
                  <c:v>1193.2139999999999</c:v>
                </c:pt>
                <c:pt idx="1678">
                  <c:v>1192.8109999999999</c:v>
                </c:pt>
                <c:pt idx="1679">
                  <c:v>1192</c:v>
                </c:pt>
                <c:pt idx="1680">
                  <c:v>1192</c:v>
                </c:pt>
                <c:pt idx="1681">
                  <c:v>1192</c:v>
                </c:pt>
                <c:pt idx="1682">
                  <c:v>1191.2</c:v>
                </c:pt>
                <c:pt idx="1683">
                  <c:v>1191.2</c:v>
                </c:pt>
                <c:pt idx="1684">
                  <c:v>1189.7539999999999</c:v>
                </c:pt>
                <c:pt idx="1685">
                  <c:v>1189.5999999999999</c:v>
                </c:pt>
                <c:pt idx="1686">
                  <c:v>1189.336</c:v>
                </c:pt>
                <c:pt idx="1687">
                  <c:v>1188.8</c:v>
                </c:pt>
                <c:pt idx="1688">
                  <c:v>1188.6669999999999</c:v>
                </c:pt>
                <c:pt idx="1689">
                  <c:v>1188</c:v>
                </c:pt>
                <c:pt idx="1690">
                  <c:v>1187.9380000000001</c:v>
                </c:pt>
                <c:pt idx="1691">
                  <c:v>1187.865</c:v>
                </c:pt>
                <c:pt idx="1692">
                  <c:v>1187.2860000000001</c:v>
                </c:pt>
                <c:pt idx="1693">
                  <c:v>1187.2</c:v>
                </c:pt>
                <c:pt idx="1694">
                  <c:v>1185.5319999999999</c:v>
                </c:pt>
                <c:pt idx="1695">
                  <c:v>1184.973</c:v>
                </c:pt>
                <c:pt idx="1696">
                  <c:v>1184.973</c:v>
                </c:pt>
                <c:pt idx="1697">
                  <c:v>1184.9110000000001</c:v>
                </c:pt>
                <c:pt idx="1698">
                  <c:v>1184.8309999999999</c:v>
                </c:pt>
                <c:pt idx="1699">
                  <c:v>1184.8309999999999</c:v>
                </c:pt>
                <c:pt idx="1700">
                  <c:v>1184.8309999999999</c:v>
                </c:pt>
                <c:pt idx="1701">
                  <c:v>1184.8</c:v>
                </c:pt>
                <c:pt idx="1702">
                  <c:v>1184.1869999999999</c:v>
                </c:pt>
                <c:pt idx="1703">
                  <c:v>1184.1869999999999</c:v>
                </c:pt>
                <c:pt idx="1704">
                  <c:v>1184.1220000000001</c:v>
                </c:pt>
                <c:pt idx="1705">
                  <c:v>1184</c:v>
                </c:pt>
                <c:pt idx="1706">
                  <c:v>1184</c:v>
                </c:pt>
                <c:pt idx="1707">
                  <c:v>1183.461</c:v>
                </c:pt>
                <c:pt idx="1708">
                  <c:v>1183.452</c:v>
                </c:pt>
                <c:pt idx="1709">
                  <c:v>1183.2</c:v>
                </c:pt>
                <c:pt idx="1710">
                  <c:v>1183.155</c:v>
                </c:pt>
                <c:pt idx="1711">
                  <c:v>1182.4000000000001</c:v>
                </c:pt>
                <c:pt idx="1712">
                  <c:v>1182.4000000000001</c:v>
                </c:pt>
                <c:pt idx="1713">
                  <c:v>1182.3330000000001</c:v>
                </c:pt>
                <c:pt idx="1714">
                  <c:v>1181.981</c:v>
                </c:pt>
                <c:pt idx="1715">
                  <c:v>1181.981</c:v>
                </c:pt>
                <c:pt idx="1716">
                  <c:v>1181.76</c:v>
                </c:pt>
                <c:pt idx="1717">
                  <c:v>1181.655</c:v>
                </c:pt>
                <c:pt idx="1718">
                  <c:v>1181.5999999999999</c:v>
                </c:pt>
                <c:pt idx="1719">
                  <c:v>1180.9459999999999</c:v>
                </c:pt>
                <c:pt idx="1720">
                  <c:v>1180.8</c:v>
                </c:pt>
                <c:pt idx="1721">
                  <c:v>1180.8</c:v>
                </c:pt>
                <c:pt idx="1722">
                  <c:v>1180.51</c:v>
                </c:pt>
                <c:pt idx="1723">
                  <c:v>1180.4770000000001</c:v>
                </c:pt>
                <c:pt idx="1724">
                  <c:v>1180.461</c:v>
                </c:pt>
                <c:pt idx="1725">
                  <c:v>1180.114</c:v>
                </c:pt>
                <c:pt idx="1726">
                  <c:v>1179.7739999999999</c:v>
                </c:pt>
                <c:pt idx="1727">
                  <c:v>1179.2</c:v>
                </c:pt>
                <c:pt idx="1728">
                  <c:v>1179.2</c:v>
                </c:pt>
                <c:pt idx="1729">
                  <c:v>1179.039</c:v>
                </c:pt>
                <c:pt idx="1730">
                  <c:v>1178.4000000000001</c:v>
                </c:pt>
                <c:pt idx="1731">
                  <c:v>1178.4000000000001</c:v>
                </c:pt>
                <c:pt idx="1732">
                  <c:v>1177.616</c:v>
                </c:pt>
                <c:pt idx="1733">
                  <c:v>1177.568</c:v>
                </c:pt>
                <c:pt idx="1734">
                  <c:v>1177.0609999999999</c:v>
                </c:pt>
                <c:pt idx="1735">
                  <c:v>1176.8320000000001</c:v>
                </c:pt>
                <c:pt idx="1736">
                  <c:v>1176.8</c:v>
                </c:pt>
                <c:pt idx="1737">
                  <c:v>1176.8</c:v>
                </c:pt>
                <c:pt idx="1738">
                  <c:v>1176.8</c:v>
                </c:pt>
                <c:pt idx="1739">
                  <c:v>1176.2070000000001</c:v>
                </c:pt>
                <c:pt idx="1740">
                  <c:v>1176.039</c:v>
                </c:pt>
                <c:pt idx="1741">
                  <c:v>1176</c:v>
                </c:pt>
                <c:pt idx="1742">
                  <c:v>1175.5440000000001</c:v>
                </c:pt>
                <c:pt idx="1743">
                  <c:v>1175.2</c:v>
                </c:pt>
                <c:pt idx="1744">
                  <c:v>1174.6130000000001</c:v>
                </c:pt>
                <c:pt idx="1745">
                  <c:v>1173.954</c:v>
                </c:pt>
                <c:pt idx="1746">
                  <c:v>1173.816</c:v>
                </c:pt>
                <c:pt idx="1747">
                  <c:v>1172.4000000000001</c:v>
                </c:pt>
                <c:pt idx="1748">
                  <c:v>1172</c:v>
                </c:pt>
                <c:pt idx="1749">
                  <c:v>1171.95</c:v>
                </c:pt>
                <c:pt idx="1750">
                  <c:v>1171.7660000000001</c:v>
                </c:pt>
                <c:pt idx="1751">
                  <c:v>1171.2</c:v>
                </c:pt>
                <c:pt idx="1752">
                  <c:v>1170.7090000000001</c:v>
                </c:pt>
                <c:pt idx="1753">
                  <c:v>1170.212</c:v>
                </c:pt>
                <c:pt idx="1754">
                  <c:v>1169.5999999999999</c:v>
                </c:pt>
                <c:pt idx="1755">
                  <c:v>1169.5999999999999</c:v>
                </c:pt>
                <c:pt idx="1756">
                  <c:v>1169.5999999999999</c:v>
                </c:pt>
                <c:pt idx="1757">
                  <c:v>1168.8</c:v>
                </c:pt>
                <c:pt idx="1758">
                  <c:v>1168.8</c:v>
                </c:pt>
                <c:pt idx="1759">
                  <c:v>1168.6199999999999</c:v>
                </c:pt>
                <c:pt idx="1760">
                  <c:v>1168.5150000000001</c:v>
                </c:pt>
                <c:pt idx="1761">
                  <c:v>1168.0409999999999</c:v>
                </c:pt>
                <c:pt idx="1762">
                  <c:v>1168</c:v>
                </c:pt>
                <c:pt idx="1763">
                  <c:v>1168</c:v>
                </c:pt>
                <c:pt idx="1764">
                  <c:v>1167.2</c:v>
                </c:pt>
                <c:pt idx="1765">
                  <c:v>1167.2</c:v>
                </c:pt>
                <c:pt idx="1766">
                  <c:v>1167.2</c:v>
                </c:pt>
                <c:pt idx="1767">
                  <c:v>1167.1420000000001</c:v>
                </c:pt>
                <c:pt idx="1768">
                  <c:v>1166.4000000000001</c:v>
                </c:pt>
                <c:pt idx="1769">
                  <c:v>1166.2249999999999</c:v>
                </c:pt>
                <c:pt idx="1770">
                  <c:v>1165.874</c:v>
                </c:pt>
                <c:pt idx="1771">
                  <c:v>1165.874</c:v>
                </c:pt>
                <c:pt idx="1772">
                  <c:v>1165.5999999999999</c:v>
                </c:pt>
                <c:pt idx="1773">
                  <c:v>1165.5999999999999</c:v>
                </c:pt>
                <c:pt idx="1774">
                  <c:v>1165.4079999999999</c:v>
                </c:pt>
                <c:pt idx="1775">
                  <c:v>1165.184</c:v>
                </c:pt>
                <c:pt idx="1776">
                  <c:v>1165.0640000000001</c:v>
                </c:pt>
                <c:pt idx="1777">
                  <c:v>1164.9179999999999</c:v>
                </c:pt>
                <c:pt idx="1778">
                  <c:v>1164.8</c:v>
                </c:pt>
                <c:pt idx="1779">
                  <c:v>1164.328</c:v>
                </c:pt>
                <c:pt idx="1780">
                  <c:v>1164.328</c:v>
                </c:pt>
                <c:pt idx="1781">
                  <c:v>1163.2</c:v>
                </c:pt>
                <c:pt idx="1782">
                  <c:v>1163.1120000000001</c:v>
                </c:pt>
                <c:pt idx="1783">
                  <c:v>1163.02</c:v>
                </c:pt>
                <c:pt idx="1784">
                  <c:v>1162.857</c:v>
                </c:pt>
                <c:pt idx="1785">
                  <c:v>1162.857</c:v>
                </c:pt>
                <c:pt idx="1786">
                  <c:v>1162.377</c:v>
                </c:pt>
                <c:pt idx="1787">
                  <c:v>1162.3</c:v>
                </c:pt>
                <c:pt idx="1788">
                  <c:v>1162.1220000000001</c:v>
                </c:pt>
                <c:pt idx="1789">
                  <c:v>1161.066</c:v>
                </c:pt>
                <c:pt idx="1790">
                  <c:v>1160.8</c:v>
                </c:pt>
                <c:pt idx="1791">
                  <c:v>1160.3489999999999</c:v>
                </c:pt>
                <c:pt idx="1792">
                  <c:v>1159.2</c:v>
                </c:pt>
                <c:pt idx="1793">
                  <c:v>1159.2</c:v>
                </c:pt>
                <c:pt idx="1794">
                  <c:v>1158.5820000000001</c:v>
                </c:pt>
                <c:pt idx="1795">
                  <c:v>1158.444</c:v>
                </c:pt>
                <c:pt idx="1796">
                  <c:v>1158.4000000000001</c:v>
                </c:pt>
                <c:pt idx="1797">
                  <c:v>1158.277</c:v>
                </c:pt>
                <c:pt idx="1798">
                  <c:v>1158.277</c:v>
                </c:pt>
                <c:pt idx="1799">
                  <c:v>1157.6379999999999</c:v>
                </c:pt>
                <c:pt idx="1800">
                  <c:v>1156.896</c:v>
                </c:pt>
                <c:pt idx="1801">
                  <c:v>1156</c:v>
                </c:pt>
                <c:pt idx="1802">
                  <c:v>1156</c:v>
                </c:pt>
                <c:pt idx="1803">
                  <c:v>1155.7249999999999</c:v>
                </c:pt>
                <c:pt idx="1804">
                  <c:v>1155.502</c:v>
                </c:pt>
                <c:pt idx="1805">
                  <c:v>1155.2</c:v>
                </c:pt>
                <c:pt idx="1806">
                  <c:v>1155.2</c:v>
                </c:pt>
                <c:pt idx="1807">
                  <c:v>1154.691</c:v>
                </c:pt>
                <c:pt idx="1808">
                  <c:v>1154.133</c:v>
                </c:pt>
                <c:pt idx="1809">
                  <c:v>1153.5999999999999</c:v>
                </c:pt>
                <c:pt idx="1810">
                  <c:v>1152.9760000000001</c:v>
                </c:pt>
                <c:pt idx="1811">
                  <c:v>1152.8</c:v>
                </c:pt>
                <c:pt idx="1812">
                  <c:v>1152</c:v>
                </c:pt>
                <c:pt idx="1813">
                  <c:v>1152</c:v>
                </c:pt>
                <c:pt idx="1814">
                  <c:v>1151.8240000000001</c:v>
                </c:pt>
                <c:pt idx="1815">
                  <c:v>1151.404</c:v>
                </c:pt>
                <c:pt idx="1816">
                  <c:v>1150.645</c:v>
                </c:pt>
                <c:pt idx="1817">
                  <c:v>1150.4000000000001</c:v>
                </c:pt>
                <c:pt idx="1818">
                  <c:v>1150.4000000000001</c:v>
                </c:pt>
                <c:pt idx="1819">
                  <c:v>1150.4000000000001</c:v>
                </c:pt>
                <c:pt idx="1820">
                  <c:v>1149.6179999999999</c:v>
                </c:pt>
                <c:pt idx="1821">
                  <c:v>1149.5999999999999</c:v>
                </c:pt>
                <c:pt idx="1822">
                  <c:v>1149.5999999999999</c:v>
                </c:pt>
                <c:pt idx="1823">
                  <c:v>1149.425</c:v>
                </c:pt>
                <c:pt idx="1824">
                  <c:v>1148.1469999999999</c:v>
                </c:pt>
                <c:pt idx="1825">
                  <c:v>1148.1469999999999</c:v>
                </c:pt>
                <c:pt idx="1826">
                  <c:v>1148.1469999999999</c:v>
                </c:pt>
                <c:pt idx="1827">
                  <c:v>1148</c:v>
                </c:pt>
                <c:pt idx="1828">
                  <c:v>1148</c:v>
                </c:pt>
                <c:pt idx="1829">
                  <c:v>1147.9169999999999</c:v>
                </c:pt>
                <c:pt idx="1830">
                  <c:v>1147.538</c:v>
                </c:pt>
                <c:pt idx="1831">
                  <c:v>1147.4110000000001</c:v>
                </c:pt>
                <c:pt idx="1832">
                  <c:v>1147.2</c:v>
                </c:pt>
                <c:pt idx="1833">
                  <c:v>1147.2</c:v>
                </c:pt>
                <c:pt idx="1834">
                  <c:v>1146.944</c:v>
                </c:pt>
                <c:pt idx="1835">
                  <c:v>1146.875</c:v>
                </c:pt>
                <c:pt idx="1836">
                  <c:v>1146.8119999999999</c:v>
                </c:pt>
                <c:pt idx="1837">
                  <c:v>1146.4000000000001</c:v>
                </c:pt>
                <c:pt idx="1838">
                  <c:v>1146.4000000000001</c:v>
                </c:pt>
                <c:pt idx="1839">
                  <c:v>1145.845</c:v>
                </c:pt>
                <c:pt idx="1840">
                  <c:v>1145.5999999999999</c:v>
                </c:pt>
                <c:pt idx="1841">
                  <c:v>1145.5999999999999</c:v>
                </c:pt>
                <c:pt idx="1842">
                  <c:v>1145.154</c:v>
                </c:pt>
                <c:pt idx="1843">
                  <c:v>1145.07</c:v>
                </c:pt>
                <c:pt idx="1844">
                  <c:v>1144.8</c:v>
                </c:pt>
                <c:pt idx="1845">
                  <c:v>1144.463</c:v>
                </c:pt>
                <c:pt idx="1846">
                  <c:v>1144.1559999999999</c:v>
                </c:pt>
                <c:pt idx="1847">
                  <c:v>1144</c:v>
                </c:pt>
                <c:pt idx="1848">
                  <c:v>1143.2470000000001</c:v>
                </c:pt>
                <c:pt idx="1849">
                  <c:v>1143.106</c:v>
                </c:pt>
                <c:pt idx="1850">
                  <c:v>1142.4000000000001</c:v>
                </c:pt>
                <c:pt idx="1851">
                  <c:v>1142.4000000000001</c:v>
                </c:pt>
                <c:pt idx="1852">
                  <c:v>1142.4000000000001</c:v>
                </c:pt>
                <c:pt idx="1853">
                  <c:v>1141.7</c:v>
                </c:pt>
                <c:pt idx="1854">
                  <c:v>1141.5999999999999</c:v>
                </c:pt>
                <c:pt idx="1855">
                  <c:v>1141.3219999999999</c:v>
                </c:pt>
                <c:pt idx="1856">
                  <c:v>1141.01</c:v>
                </c:pt>
                <c:pt idx="1857">
                  <c:v>1141.01</c:v>
                </c:pt>
                <c:pt idx="1858">
                  <c:v>1140.8</c:v>
                </c:pt>
                <c:pt idx="1859">
                  <c:v>1140.0809999999999</c:v>
                </c:pt>
                <c:pt idx="1860">
                  <c:v>1140.056</c:v>
                </c:pt>
                <c:pt idx="1861">
                  <c:v>1140</c:v>
                </c:pt>
                <c:pt idx="1862">
                  <c:v>1140</c:v>
                </c:pt>
                <c:pt idx="1863">
                  <c:v>1140</c:v>
                </c:pt>
                <c:pt idx="1864">
                  <c:v>1139.2</c:v>
                </c:pt>
                <c:pt idx="1865">
                  <c:v>1138.9570000000001</c:v>
                </c:pt>
                <c:pt idx="1866">
                  <c:v>1138.585</c:v>
                </c:pt>
                <c:pt idx="1867">
                  <c:v>1138.2470000000001</c:v>
                </c:pt>
                <c:pt idx="1868">
                  <c:v>1137.963</c:v>
                </c:pt>
                <c:pt idx="1869">
                  <c:v>1137.9559999999999</c:v>
                </c:pt>
                <c:pt idx="1870">
                  <c:v>1137.5999999999999</c:v>
                </c:pt>
                <c:pt idx="1871">
                  <c:v>1136.8</c:v>
                </c:pt>
                <c:pt idx="1872">
                  <c:v>1136.5309999999999</c:v>
                </c:pt>
                <c:pt idx="1873">
                  <c:v>1136.175</c:v>
                </c:pt>
                <c:pt idx="1874">
                  <c:v>1135.9659999999999</c:v>
                </c:pt>
                <c:pt idx="1875">
                  <c:v>1135.2</c:v>
                </c:pt>
                <c:pt idx="1876">
                  <c:v>1134.769</c:v>
                </c:pt>
                <c:pt idx="1877">
                  <c:v>1134.4000000000001</c:v>
                </c:pt>
                <c:pt idx="1878">
                  <c:v>1134.33</c:v>
                </c:pt>
                <c:pt idx="1879">
                  <c:v>1134.1320000000001</c:v>
                </c:pt>
                <c:pt idx="1880">
                  <c:v>1133.8130000000001</c:v>
                </c:pt>
                <c:pt idx="1881">
                  <c:v>1133.69</c:v>
                </c:pt>
                <c:pt idx="1882">
                  <c:v>1133.5999999999999</c:v>
                </c:pt>
                <c:pt idx="1883">
                  <c:v>1133.5530000000001</c:v>
                </c:pt>
                <c:pt idx="1884">
                  <c:v>1133.4359999999999</c:v>
                </c:pt>
                <c:pt idx="1885">
                  <c:v>1133.412</c:v>
                </c:pt>
                <c:pt idx="1886">
                  <c:v>1132.8</c:v>
                </c:pt>
                <c:pt idx="1887">
                  <c:v>1132.701</c:v>
                </c:pt>
                <c:pt idx="1888">
                  <c:v>1132.213</c:v>
                </c:pt>
                <c:pt idx="1889">
                  <c:v>1132</c:v>
                </c:pt>
                <c:pt idx="1890">
                  <c:v>1131.3399999999999</c:v>
                </c:pt>
                <c:pt idx="1891">
                  <c:v>1131.2</c:v>
                </c:pt>
                <c:pt idx="1892">
                  <c:v>1131.2</c:v>
                </c:pt>
                <c:pt idx="1893">
                  <c:v>1131.2</c:v>
                </c:pt>
                <c:pt idx="1894">
                  <c:v>1131.2</c:v>
                </c:pt>
                <c:pt idx="1895">
                  <c:v>1130.4000000000001</c:v>
                </c:pt>
                <c:pt idx="1896">
                  <c:v>1128.8</c:v>
                </c:pt>
                <c:pt idx="1897">
                  <c:v>1128.8</c:v>
                </c:pt>
                <c:pt idx="1898">
                  <c:v>1128.578</c:v>
                </c:pt>
                <c:pt idx="1899">
                  <c:v>1128.5650000000001</c:v>
                </c:pt>
                <c:pt idx="1900">
                  <c:v>1128</c:v>
                </c:pt>
                <c:pt idx="1901">
                  <c:v>1128</c:v>
                </c:pt>
                <c:pt idx="1902">
                  <c:v>1127.798</c:v>
                </c:pt>
                <c:pt idx="1903">
                  <c:v>1127.787</c:v>
                </c:pt>
                <c:pt idx="1904">
                  <c:v>1127.5519999999999</c:v>
                </c:pt>
                <c:pt idx="1905">
                  <c:v>1127.2</c:v>
                </c:pt>
                <c:pt idx="1906">
                  <c:v>1127.2</c:v>
                </c:pt>
                <c:pt idx="1907">
                  <c:v>1126.97</c:v>
                </c:pt>
                <c:pt idx="1908">
                  <c:v>1126.8</c:v>
                </c:pt>
                <c:pt idx="1909">
                  <c:v>1126.4000000000001</c:v>
                </c:pt>
                <c:pt idx="1910">
                  <c:v>1125.423</c:v>
                </c:pt>
                <c:pt idx="1911">
                  <c:v>1124.8</c:v>
                </c:pt>
                <c:pt idx="1912">
                  <c:v>1124.23</c:v>
                </c:pt>
                <c:pt idx="1913">
                  <c:v>1124</c:v>
                </c:pt>
                <c:pt idx="1914">
                  <c:v>1123.875</c:v>
                </c:pt>
                <c:pt idx="1915">
                  <c:v>1122.6759999999999</c:v>
                </c:pt>
                <c:pt idx="1916">
                  <c:v>1122.404</c:v>
                </c:pt>
                <c:pt idx="1917">
                  <c:v>1122.4000000000001</c:v>
                </c:pt>
                <c:pt idx="1918">
                  <c:v>1121.8989999999999</c:v>
                </c:pt>
                <c:pt idx="1919">
                  <c:v>1121.5999999999999</c:v>
                </c:pt>
                <c:pt idx="1920">
                  <c:v>1121.5999999999999</c:v>
                </c:pt>
                <c:pt idx="1921">
                  <c:v>1121.5999999999999</c:v>
                </c:pt>
                <c:pt idx="1922">
                  <c:v>1120.963</c:v>
                </c:pt>
                <c:pt idx="1923">
                  <c:v>1120.8</c:v>
                </c:pt>
                <c:pt idx="1924">
                  <c:v>1120.451</c:v>
                </c:pt>
                <c:pt idx="1925">
                  <c:v>1120.1969999999999</c:v>
                </c:pt>
                <c:pt idx="1926">
                  <c:v>1120</c:v>
                </c:pt>
                <c:pt idx="1927">
                  <c:v>1120</c:v>
                </c:pt>
                <c:pt idx="1928">
                  <c:v>1119.2</c:v>
                </c:pt>
                <c:pt idx="1929">
                  <c:v>1118.4000000000001</c:v>
                </c:pt>
                <c:pt idx="1930">
                  <c:v>1118.4000000000001</c:v>
                </c:pt>
                <c:pt idx="1931">
                  <c:v>1118.0340000000001</c:v>
                </c:pt>
                <c:pt idx="1932">
                  <c:v>1117.527</c:v>
                </c:pt>
                <c:pt idx="1933">
                  <c:v>1116.46</c:v>
                </c:pt>
                <c:pt idx="1934">
                  <c:v>1116.432</c:v>
                </c:pt>
                <c:pt idx="1935">
                  <c:v>1115.644</c:v>
                </c:pt>
                <c:pt idx="1936">
                  <c:v>1115.4549999999999</c:v>
                </c:pt>
                <c:pt idx="1937">
                  <c:v>1115.2</c:v>
                </c:pt>
                <c:pt idx="1938">
                  <c:v>1115.2</c:v>
                </c:pt>
                <c:pt idx="1939">
                  <c:v>1114.1289999999999</c:v>
                </c:pt>
                <c:pt idx="1940">
                  <c:v>1114.0730000000001</c:v>
                </c:pt>
                <c:pt idx="1941">
                  <c:v>1114.0730000000001</c:v>
                </c:pt>
                <c:pt idx="1942">
                  <c:v>1114.05</c:v>
                </c:pt>
                <c:pt idx="1943">
                  <c:v>1113.798</c:v>
                </c:pt>
                <c:pt idx="1944">
                  <c:v>1113.577</c:v>
                </c:pt>
                <c:pt idx="1945">
                  <c:v>1113.3520000000001</c:v>
                </c:pt>
                <c:pt idx="1946">
                  <c:v>1113.2529999999999</c:v>
                </c:pt>
                <c:pt idx="1947">
                  <c:v>1113.066</c:v>
                </c:pt>
                <c:pt idx="1948">
                  <c:v>1112.9580000000001</c:v>
                </c:pt>
                <c:pt idx="1949">
                  <c:v>1112.8</c:v>
                </c:pt>
                <c:pt idx="1950">
                  <c:v>1112.595</c:v>
                </c:pt>
                <c:pt idx="1951">
                  <c:v>1112.575</c:v>
                </c:pt>
                <c:pt idx="1952">
                  <c:v>1112.001</c:v>
                </c:pt>
                <c:pt idx="1953">
                  <c:v>1111.31</c:v>
                </c:pt>
                <c:pt idx="1954">
                  <c:v>1111.2</c:v>
                </c:pt>
                <c:pt idx="1955">
                  <c:v>1111.2</c:v>
                </c:pt>
                <c:pt idx="1956">
                  <c:v>1111.2</c:v>
                </c:pt>
                <c:pt idx="1957">
                  <c:v>1111.0219999999999</c:v>
                </c:pt>
                <c:pt idx="1958">
                  <c:v>1110.6199999999999</c:v>
                </c:pt>
                <c:pt idx="1959">
                  <c:v>1109.5999999999999</c:v>
                </c:pt>
                <c:pt idx="1960">
                  <c:v>1109.5999999999999</c:v>
                </c:pt>
                <c:pt idx="1961">
                  <c:v>1109.529</c:v>
                </c:pt>
                <c:pt idx="1962">
                  <c:v>1109.306</c:v>
                </c:pt>
                <c:pt idx="1963">
                  <c:v>1109.164</c:v>
                </c:pt>
                <c:pt idx="1964">
                  <c:v>1108.249</c:v>
                </c:pt>
                <c:pt idx="1965">
                  <c:v>1108</c:v>
                </c:pt>
                <c:pt idx="1966">
                  <c:v>1108</c:v>
                </c:pt>
                <c:pt idx="1967">
                  <c:v>1107.2</c:v>
                </c:pt>
                <c:pt idx="1968">
                  <c:v>1106.8779999999999</c:v>
                </c:pt>
                <c:pt idx="1969">
                  <c:v>1106.5239999999999</c:v>
                </c:pt>
                <c:pt idx="1970">
                  <c:v>1106.5239999999999</c:v>
                </c:pt>
                <c:pt idx="1971">
                  <c:v>1106.4000000000001</c:v>
                </c:pt>
                <c:pt idx="1972">
                  <c:v>1106.3489999999999</c:v>
                </c:pt>
                <c:pt idx="1973">
                  <c:v>1105.7850000000001</c:v>
                </c:pt>
                <c:pt idx="1974">
                  <c:v>1105.5999999999999</c:v>
                </c:pt>
                <c:pt idx="1975">
                  <c:v>1105.2840000000001</c:v>
                </c:pt>
                <c:pt idx="1976">
                  <c:v>1105.0940000000001</c:v>
                </c:pt>
                <c:pt idx="1977">
                  <c:v>1104.806</c:v>
                </c:pt>
                <c:pt idx="1978">
                  <c:v>1104.53</c:v>
                </c:pt>
                <c:pt idx="1979">
                  <c:v>1104.0160000000001</c:v>
                </c:pt>
                <c:pt idx="1980">
                  <c:v>1104</c:v>
                </c:pt>
                <c:pt idx="1981">
                  <c:v>1103.788</c:v>
                </c:pt>
                <c:pt idx="1982">
                  <c:v>1103.2</c:v>
                </c:pt>
                <c:pt idx="1983">
                  <c:v>1103.2</c:v>
                </c:pt>
                <c:pt idx="1984">
                  <c:v>1102.6289999999999</c:v>
                </c:pt>
                <c:pt idx="1985">
                  <c:v>1102.5440000000001</c:v>
                </c:pt>
                <c:pt idx="1986">
                  <c:v>1102.4749999999999</c:v>
                </c:pt>
                <c:pt idx="1987">
                  <c:v>1102.4000000000001</c:v>
                </c:pt>
                <c:pt idx="1988">
                  <c:v>1102.4000000000001</c:v>
                </c:pt>
                <c:pt idx="1989">
                  <c:v>1101.6410000000001</c:v>
                </c:pt>
                <c:pt idx="1990">
                  <c:v>1101.5999999999999</c:v>
                </c:pt>
                <c:pt idx="1991">
                  <c:v>1100.8</c:v>
                </c:pt>
                <c:pt idx="1992">
                  <c:v>1100.259</c:v>
                </c:pt>
                <c:pt idx="1993">
                  <c:v>1100.152</c:v>
                </c:pt>
                <c:pt idx="1994">
                  <c:v>1100</c:v>
                </c:pt>
                <c:pt idx="1995">
                  <c:v>1099.6020000000001</c:v>
                </c:pt>
                <c:pt idx="1996">
                  <c:v>1098.9090000000001</c:v>
                </c:pt>
                <c:pt idx="1997">
                  <c:v>1098.8779999999999</c:v>
                </c:pt>
                <c:pt idx="1998">
                  <c:v>1097.396</c:v>
                </c:pt>
                <c:pt idx="1999">
                  <c:v>1096.71</c:v>
                </c:pt>
                <c:pt idx="2000">
                  <c:v>1096.6279999999999</c:v>
                </c:pt>
                <c:pt idx="2001">
                  <c:v>1096.569</c:v>
                </c:pt>
                <c:pt idx="2002">
                  <c:v>1096.431</c:v>
                </c:pt>
                <c:pt idx="2003">
                  <c:v>1096.26</c:v>
                </c:pt>
                <c:pt idx="2004">
                  <c:v>1096.201</c:v>
                </c:pt>
                <c:pt idx="2005">
                  <c:v>1094.518</c:v>
                </c:pt>
                <c:pt idx="2006">
                  <c:v>1093.5999999999999</c:v>
                </c:pt>
                <c:pt idx="2007">
                  <c:v>1093.3530000000001</c:v>
                </c:pt>
                <c:pt idx="2008">
                  <c:v>1093.261</c:v>
                </c:pt>
                <c:pt idx="2009">
                  <c:v>1092.8</c:v>
                </c:pt>
                <c:pt idx="2010">
                  <c:v>1092</c:v>
                </c:pt>
                <c:pt idx="2011">
                  <c:v>1091.598</c:v>
                </c:pt>
                <c:pt idx="2012">
                  <c:v>1090.5899999999999</c:v>
                </c:pt>
                <c:pt idx="2013">
                  <c:v>1090.5899999999999</c:v>
                </c:pt>
                <c:pt idx="2014">
                  <c:v>1090.4000000000001</c:v>
                </c:pt>
                <c:pt idx="2015">
                  <c:v>1090.3430000000001</c:v>
                </c:pt>
                <c:pt idx="2016">
                  <c:v>1089.364</c:v>
                </c:pt>
                <c:pt idx="2017">
                  <c:v>1089.3520000000001</c:v>
                </c:pt>
                <c:pt idx="2018">
                  <c:v>1089.2670000000001</c:v>
                </c:pt>
                <c:pt idx="2019">
                  <c:v>1088.8</c:v>
                </c:pt>
                <c:pt idx="2020">
                  <c:v>1088.8</c:v>
                </c:pt>
                <c:pt idx="2021">
                  <c:v>1088.8</c:v>
                </c:pt>
                <c:pt idx="2022">
                  <c:v>1088.8</c:v>
                </c:pt>
                <c:pt idx="2023">
                  <c:v>1088.644</c:v>
                </c:pt>
                <c:pt idx="2024">
                  <c:v>1088.57</c:v>
                </c:pt>
                <c:pt idx="2025">
                  <c:v>1088</c:v>
                </c:pt>
                <c:pt idx="2026">
                  <c:v>1088</c:v>
                </c:pt>
                <c:pt idx="2027">
                  <c:v>1087.8340000000001</c:v>
                </c:pt>
                <c:pt idx="2028">
                  <c:v>1087.827</c:v>
                </c:pt>
                <c:pt idx="2029">
                  <c:v>1087.2</c:v>
                </c:pt>
                <c:pt idx="2030">
                  <c:v>1086.9639999999999</c:v>
                </c:pt>
                <c:pt idx="2031">
                  <c:v>1086.4000000000001</c:v>
                </c:pt>
                <c:pt idx="2032">
                  <c:v>1085.895</c:v>
                </c:pt>
                <c:pt idx="2033">
                  <c:v>1085.7550000000001</c:v>
                </c:pt>
                <c:pt idx="2034">
                  <c:v>1084.8</c:v>
                </c:pt>
                <c:pt idx="2035">
                  <c:v>1084.473</c:v>
                </c:pt>
                <c:pt idx="2036">
                  <c:v>1083.414</c:v>
                </c:pt>
                <c:pt idx="2037">
                  <c:v>1083.2</c:v>
                </c:pt>
                <c:pt idx="2038">
                  <c:v>1082.992</c:v>
                </c:pt>
                <c:pt idx="2039">
                  <c:v>1082.7809999999999</c:v>
                </c:pt>
                <c:pt idx="2040">
                  <c:v>1082.4000000000001</c:v>
                </c:pt>
                <c:pt idx="2041">
                  <c:v>1082.4000000000001</c:v>
                </c:pt>
                <c:pt idx="2042">
                  <c:v>1081.95</c:v>
                </c:pt>
                <c:pt idx="2043">
                  <c:v>1081.3030000000001</c:v>
                </c:pt>
                <c:pt idx="2044">
                  <c:v>1081.171</c:v>
                </c:pt>
                <c:pt idx="2045">
                  <c:v>1080.9059999999999</c:v>
                </c:pt>
                <c:pt idx="2046">
                  <c:v>1080.8</c:v>
                </c:pt>
                <c:pt idx="2047">
                  <c:v>1080.8</c:v>
                </c:pt>
                <c:pt idx="2048">
                  <c:v>1080.6379999999999</c:v>
                </c:pt>
                <c:pt idx="2049">
                  <c:v>1080.58</c:v>
                </c:pt>
                <c:pt idx="2050">
                  <c:v>1080</c:v>
                </c:pt>
                <c:pt idx="2051">
                  <c:v>1079.2</c:v>
                </c:pt>
                <c:pt idx="2052">
                  <c:v>1078.9870000000001</c:v>
                </c:pt>
                <c:pt idx="2053">
                  <c:v>1078.9749999999999</c:v>
                </c:pt>
                <c:pt idx="2054">
                  <c:v>1078.4000000000001</c:v>
                </c:pt>
                <c:pt idx="2055">
                  <c:v>1078.2719999999999</c:v>
                </c:pt>
                <c:pt idx="2056">
                  <c:v>1077.9000000000001</c:v>
                </c:pt>
                <c:pt idx="2057">
                  <c:v>1077.5999999999999</c:v>
                </c:pt>
                <c:pt idx="2058">
                  <c:v>1077.5999999999999</c:v>
                </c:pt>
                <c:pt idx="2059">
                  <c:v>1077.537</c:v>
                </c:pt>
                <c:pt idx="2060">
                  <c:v>1077.4670000000001</c:v>
                </c:pt>
                <c:pt idx="2061">
                  <c:v>1077.3979999999999</c:v>
                </c:pt>
                <c:pt idx="2062">
                  <c:v>1076.086</c:v>
                </c:pt>
                <c:pt idx="2063">
                  <c:v>1076.086</c:v>
                </c:pt>
                <c:pt idx="2064">
                  <c:v>1076.086</c:v>
                </c:pt>
                <c:pt idx="2065">
                  <c:v>1076.059</c:v>
                </c:pt>
                <c:pt idx="2066">
                  <c:v>1076</c:v>
                </c:pt>
                <c:pt idx="2067">
                  <c:v>1076</c:v>
                </c:pt>
                <c:pt idx="2068">
                  <c:v>1075.33</c:v>
                </c:pt>
                <c:pt idx="2069">
                  <c:v>1075.33</c:v>
                </c:pt>
                <c:pt idx="2070">
                  <c:v>1075.2</c:v>
                </c:pt>
                <c:pt idx="2071">
                  <c:v>1075.2</c:v>
                </c:pt>
                <c:pt idx="2072">
                  <c:v>1074.595</c:v>
                </c:pt>
                <c:pt idx="2073">
                  <c:v>1074.4000000000001</c:v>
                </c:pt>
                <c:pt idx="2074">
                  <c:v>1073.5999999999999</c:v>
                </c:pt>
                <c:pt idx="2075">
                  <c:v>1073.5999999999999</c:v>
                </c:pt>
                <c:pt idx="2076">
                  <c:v>1073.4079999999999</c:v>
                </c:pt>
                <c:pt idx="2077">
                  <c:v>1073.3230000000001</c:v>
                </c:pt>
                <c:pt idx="2078">
                  <c:v>1072.8</c:v>
                </c:pt>
                <c:pt idx="2079">
                  <c:v>1072.8</c:v>
                </c:pt>
                <c:pt idx="2080">
                  <c:v>1072</c:v>
                </c:pt>
                <c:pt idx="2081">
                  <c:v>1072</c:v>
                </c:pt>
                <c:pt idx="2082">
                  <c:v>1071.8150000000001</c:v>
                </c:pt>
                <c:pt idx="2083">
                  <c:v>1071.653</c:v>
                </c:pt>
                <c:pt idx="2084">
                  <c:v>1071.5350000000001</c:v>
                </c:pt>
                <c:pt idx="2085">
                  <c:v>1071.357</c:v>
                </c:pt>
                <c:pt idx="2086">
                  <c:v>1071.251</c:v>
                </c:pt>
                <c:pt idx="2087">
                  <c:v>1070.1510000000001</c:v>
                </c:pt>
                <c:pt idx="2088">
                  <c:v>1069.5999999999999</c:v>
                </c:pt>
                <c:pt idx="2089">
                  <c:v>1069.4459999999999</c:v>
                </c:pt>
                <c:pt idx="2090">
                  <c:v>1069.424</c:v>
                </c:pt>
                <c:pt idx="2091">
                  <c:v>1068.711</c:v>
                </c:pt>
                <c:pt idx="2092">
                  <c:v>1068.2739999999999</c:v>
                </c:pt>
                <c:pt idx="2093">
                  <c:v>1068.086</c:v>
                </c:pt>
                <c:pt idx="2094">
                  <c:v>1067.681</c:v>
                </c:pt>
                <c:pt idx="2095">
                  <c:v>1067.5429999999999</c:v>
                </c:pt>
                <c:pt idx="2096">
                  <c:v>1067.338</c:v>
                </c:pt>
                <c:pt idx="2097">
                  <c:v>1067.24</c:v>
                </c:pt>
                <c:pt idx="2098">
                  <c:v>1067.2</c:v>
                </c:pt>
                <c:pt idx="2099">
                  <c:v>1066.0630000000001</c:v>
                </c:pt>
                <c:pt idx="2100">
                  <c:v>1065.2149999999999</c:v>
                </c:pt>
                <c:pt idx="2101">
                  <c:v>1065.192</c:v>
                </c:pt>
                <c:pt idx="2102">
                  <c:v>1064.8</c:v>
                </c:pt>
                <c:pt idx="2103">
                  <c:v>1063.798</c:v>
                </c:pt>
                <c:pt idx="2104">
                  <c:v>1063.7370000000001</c:v>
                </c:pt>
                <c:pt idx="2105">
                  <c:v>1062.8440000000001</c:v>
                </c:pt>
                <c:pt idx="2106">
                  <c:v>1062.5640000000001</c:v>
                </c:pt>
                <c:pt idx="2107">
                  <c:v>1062.098</c:v>
                </c:pt>
                <c:pt idx="2108">
                  <c:v>1061.5999999999999</c:v>
                </c:pt>
                <c:pt idx="2109">
                  <c:v>1061.317</c:v>
                </c:pt>
                <c:pt idx="2110">
                  <c:v>1060.8900000000001</c:v>
                </c:pt>
                <c:pt idx="2111">
                  <c:v>1060.2</c:v>
                </c:pt>
                <c:pt idx="2112">
                  <c:v>1059.4549999999999</c:v>
                </c:pt>
                <c:pt idx="2113">
                  <c:v>1058.818</c:v>
                </c:pt>
                <c:pt idx="2114">
                  <c:v>1057.6780000000001</c:v>
                </c:pt>
                <c:pt idx="2115">
                  <c:v>1057.5999999999999</c:v>
                </c:pt>
                <c:pt idx="2116">
                  <c:v>1057.5999999999999</c:v>
                </c:pt>
                <c:pt idx="2117">
                  <c:v>1057.413</c:v>
                </c:pt>
                <c:pt idx="2118">
                  <c:v>1057.0830000000001</c:v>
                </c:pt>
                <c:pt idx="2119">
                  <c:v>1056</c:v>
                </c:pt>
                <c:pt idx="2120">
                  <c:v>1056</c:v>
                </c:pt>
                <c:pt idx="2121">
                  <c:v>1055.8589999999999</c:v>
                </c:pt>
                <c:pt idx="2122">
                  <c:v>1055.365</c:v>
                </c:pt>
                <c:pt idx="2123">
                  <c:v>1055.0820000000001</c:v>
                </c:pt>
                <c:pt idx="2124">
                  <c:v>1054.825</c:v>
                </c:pt>
                <c:pt idx="2125">
                  <c:v>1054.7360000000001</c:v>
                </c:pt>
                <c:pt idx="2126">
                  <c:v>1054.605</c:v>
                </c:pt>
                <c:pt idx="2127">
                  <c:v>1054.4000000000001</c:v>
                </c:pt>
                <c:pt idx="2128">
                  <c:v>1054.4000000000001</c:v>
                </c:pt>
                <c:pt idx="2129">
                  <c:v>1052</c:v>
                </c:pt>
                <c:pt idx="2130">
                  <c:v>1051.221</c:v>
                </c:pt>
                <c:pt idx="2131">
                  <c:v>1051.2</c:v>
                </c:pt>
                <c:pt idx="2132">
                  <c:v>1051.2</c:v>
                </c:pt>
                <c:pt idx="2133">
                  <c:v>1051.2</c:v>
                </c:pt>
                <c:pt idx="2134">
                  <c:v>1050.9110000000001</c:v>
                </c:pt>
                <c:pt idx="2135">
                  <c:v>1050.4000000000001</c:v>
                </c:pt>
                <c:pt idx="2136">
                  <c:v>1050.3230000000001</c:v>
                </c:pt>
                <c:pt idx="2137">
                  <c:v>1050.3230000000001</c:v>
                </c:pt>
                <c:pt idx="2138">
                  <c:v>1050.1769999999999</c:v>
                </c:pt>
                <c:pt idx="2139">
                  <c:v>1049.8399999999999</c:v>
                </c:pt>
                <c:pt idx="2140">
                  <c:v>1049.3440000000001</c:v>
                </c:pt>
                <c:pt idx="2141">
                  <c:v>1049.2760000000001</c:v>
                </c:pt>
                <c:pt idx="2142">
                  <c:v>1049.193</c:v>
                </c:pt>
                <c:pt idx="2143">
                  <c:v>1048.4649999999999</c:v>
                </c:pt>
                <c:pt idx="2144">
                  <c:v>1048.3430000000001</c:v>
                </c:pt>
                <c:pt idx="2145">
                  <c:v>1048.116</c:v>
                </c:pt>
                <c:pt idx="2146">
                  <c:v>1048</c:v>
                </c:pt>
                <c:pt idx="2147">
                  <c:v>1047.7670000000001</c:v>
                </c:pt>
                <c:pt idx="2148">
                  <c:v>1046.855</c:v>
                </c:pt>
                <c:pt idx="2149">
                  <c:v>1046.5360000000001</c:v>
                </c:pt>
                <c:pt idx="2150">
                  <c:v>1046.4000000000001</c:v>
                </c:pt>
                <c:pt idx="2151">
                  <c:v>1046.4000000000001</c:v>
                </c:pt>
                <c:pt idx="2152">
                  <c:v>1046.3140000000001</c:v>
                </c:pt>
                <c:pt idx="2153">
                  <c:v>1046.0650000000001</c:v>
                </c:pt>
                <c:pt idx="2154">
                  <c:v>1045.759</c:v>
                </c:pt>
                <c:pt idx="2155">
                  <c:v>1045.174</c:v>
                </c:pt>
                <c:pt idx="2156">
                  <c:v>1044</c:v>
                </c:pt>
                <c:pt idx="2157">
                  <c:v>1043.4870000000001</c:v>
                </c:pt>
                <c:pt idx="2158">
                  <c:v>1042.9670000000001</c:v>
                </c:pt>
                <c:pt idx="2159">
                  <c:v>1042.933</c:v>
                </c:pt>
                <c:pt idx="2160">
                  <c:v>1042.232</c:v>
                </c:pt>
                <c:pt idx="2161">
                  <c:v>1041.874</c:v>
                </c:pt>
                <c:pt idx="2162">
                  <c:v>1041.4960000000001</c:v>
                </c:pt>
                <c:pt idx="2163">
                  <c:v>1040.5940000000001</c:v>
                </c:pt>
                <c:pt idx="2164">
                  <c:v>1040.0250000000001</c:v>
                </c:pt>
                <c:pt idx="2165">
                  <c:v>1040.0250000000001</c:v>
                </c:pt>
                <c:pt idx="2166">
                  <c:v>1040.0250000000001</c:v>
                </c:pt>
                <c:pt idx="2167">
                  <c:v>1040</c:v>
                </c:pt>
                <c:pt idx="2168">
                  <c:v>1039.779</c:v>
                </c:pt>
                <c:pt idx="2169">
                  <c:v>1039.5429999999999</c:v>
                </c:pt>
                <c:pt idx="2170">
                  <c:v>1039.479</c:v>
                </c:pt>
                <c:pt idx="2171">
                  <c:v>1038.7660000000001</c:v>
                </c:pt>
                <c:pt idx="2172">
                  <c:v>1038.098</c:v>
                </c:pt>
                <c:pt idx="2173">
                  <c:v>1037.9559999999999</c:v>
                </c:pt>
                <c:pt idx="2174">
                  <c:v>1037.4010000000001</c:v>
                </c:pt>
                <c:pt idx="2175">
                  <c:v>1036.8</c:v>
                </c:pt>
                <c:pt idx="2176">
                  <c:v>1036.8</c:v>
                </c:pt>
                <c:pt idx="2177">
                  <c:v>1036.7170000000001</c:v>
                </c:pt>
                <c:pt idx="2178">
                  <c:v>1036.4359999999999</c:v>
                </c:pt>
                <c:pt idx="2179">
                  <c:v>1036.348</c:v>
                </c:pt>
                <c:pt idx="2180">
                  <c:v>1035.944</c:v>
                </c:pt>
                <c:pt idx="2181">
                  <c:v>1035.529</c:v>
                </c:pt>
                <c:pt idx="2182">
                  <c:v>1035.335</c:v>
                </c:pt>
                <c:pt idx="2183">
                  <c:v>1035.326</c:v>
                </c:pt>
                <c:pt idx="2184">
                  <c:v>1034.877</c:v>
                </c:pt>
                <c:pt idx="2185">
                  <c:v>1034.4000000000001</c:v>
                </c:pt>
                <c:pt idx="2186">
                  <c:v>1034.1410000000001</c:v>
                </c:pt>
                <c:pt idx="2187">
                  <c:v>1034.0150000000001</c:v>
                </c:pt>
                <c:pt idx="2188">
                  <c:v>1033.701</c:v>
                </c:pt>
                <c:pt idx="2189">
                  <c:v>1033.328</c:v>
                </c:pt>
                <c:pt idx="2190">
                  <c:v>1031.191</c:v>
                </c:pt>
                <c:pt idx="2191">
                  <c:v>1030.5</c:v>
                </c:pt>
                <c:pt idx="2192">
                  <c:v>1029.1189999999999</c:v>
                </c:pt>
                <c:pt idx="2193">
                  <c:v>1029.0640000000001</c:v>
                </c:pt>
                <c:pt idx="2194">
                  <c:v>1028.83</c:v>
                </c:pt>
                <c:pt idx="2195">
                  <c:v>1028.2570000000001</c:v>
                </c:pt>
                <c:pt idx="2196">
                  <c:v>1028</c:v>
                </c:pt>
                <c:pt idx="2197">
                  <c:v>1028</c:v>
                </c:pt>
                <c:pt idx="2198">
                  <c:v>1027.8630000000001</c:v>
                </c:pt>
                <c:pt idx="2199">
                  <c:v>1027.857</c:v>
                </c:pt>
                <c:pt idx="2200">
                  <c:v>1026.4000000000001</c:v>
                </c:pt>
                <c:pt idx="2201">
                  <c:v>1026.4000000000001</c:v>
                </c:pt>
                <c:pt idx="2202">
                  <c:v>1026.377</c:v>
                </c:pt>
                <c:pt idx="2203">
                  <c:v>1025.712</c:v>
                </c:pt>
                <c:pt idx="2204">
                  <c:v>1025.3150000000001</c:v>
                </c:pt>
                <c:pt idx="2205">
                  <c:v>1024.0050000000001</c:v>
                </c:pt>
                <c:pt idx="2206">
                  <c:v>1024</c:v>
                </c:pt>
                <c:pt idx="2207">
                  <c:v>1023.903</c:v>
                </c:pt>
                <c:pt idx="2208">
                  <c:v>1023.228</c:v>
                </c:pt>
                <c:pt idx="2209">
                  <c:v>1022.388</c:v>
                </c:pt>
                <c:pt idx="2210">
                  <c:v>1022.212</c:v>
                </c:pt>
                <c:pt idx="2211">
                  <c:v>1021.6369999999999</c:v>
                </c:pt>
                <c:pt idx="2212">
                  <c:v>1021.6</c:v>
                </c:pt>
                <c:pt idx="2213">
                  <c:v>1020.897</c:v>
                </c:pt>
                <c:pt idx="2214">
                  <c:v>1020.897</c:v>
                </c:pt>
                <c:pt idx="2215">
                  <c:v>1020.8</c:v>
                </c:pt>
                <c:pt idx="2216">
                  <c:v>1020.076</c:v>
                </c:pt>
                <c:pt idx="2217">
                  <c:v>1020</c:v>
                </c:pt>
                <c:pt idx="2218">
                  <c:v>1019.8339999999999</c:v>
                </c:pt>
                <c:pt idx="2219">
                  <c:v>1019.449</c:v>
                </c:pt>
                <c:pt idx="2220">
                  <c:v>1019.414</c:v>
                </c:pt>
                <c:pt idx="2221">
                  <c:v>1019.202</c:v>
                </c:pt>
                <c:pt idx="2222">
                  <c:v>1018.6950000000001</c:v>
                </c:pt>
                <c:pt idx="2223">
                  <c:v>1018.4</c:v>
                </c:pt>
                <c:pt idx="2224">
                  <c:v>1017.789</c:v>
                </c:pt>
                <c:pt idx="2225">
                  <c:v>1016</c:v>
                </c:pt>
                <c:pt idx="2226">
                  <c:v>1016</c:v>
                </c:pt>
                <c:pt idx="2227">
                  <c:v>1015.996</c:v>
                </c:pt>
                <c:pt idx="2228">
                  <c:v>1015.418</c:v>
                </c:pt>
                <c:pt idx="2229">
                  <c:v>1015.152</c:v>
                </c:pt>
                <c:pt idx="2230">
                  <c:v>1015.025</c:v>
                </c:pt>
                <c:pt idx="2231">
                  <c:v>1015.024</c:v>
                </c:pt>
                <c:pt idx="2232">
                  <c:v>1015.018</c:v>
                </c:pt>
                <c:pt idx="2233">
                  <c:v>1014.799</c:v>
                </c:pt>
                <c:pt idx="2234">
                  <c:v>1014.4</c:v>
                </c:pt>
                <c:pt idx="2235">
                  <c:v>1014.283</c:v>
                </c:pt>
                <c:pt idx="2236">
                  <c:v>1013.904</c:v>
                </c:pt>
                <c:pt idx="2237">
                  <c:v>1012.811</c:v>
                </c:pt>
                <c:pt idx="2238">
                  <c:v>1012.401</c:v>
                </c:pt>
                <c:pt idx="2239">
                  <c:v>1011.616</c:v>
                </c:pt>
                <c:pt idx="2240">
                  <c:v>1010.905</c:v>
                </c:pt>
                <c:pt idx="2241">
                  <c:v>1009.0890000000001</c:v>
                </c:pt>
                <c:pt idx="2242">
                  <c:v>1008.399</c:v>
                </c:pt>
                <c:pt idx="2243">
                  <c:v>1007.686</c:v>
                </c:pt>
                <c:pt idx="2244">
                  <c:v>1007.0170000000001</c:v>
                </c:pt>
                <c:pt idx="2245">
                  <c:v>1006.927</c:v>
                </c:pt>
                <c:pt idx="2246">
                  <c:v>1006.4</c:v>
                </c:pt>
                <c:pt idx="2247">
                  <c:v>1006.4</c:v>
                </c:pt>
                <c:pt idx="2248">
                  <c:v>1005.636</c:v>
                </c:pt>
                <c:pt idx="2249">
                  <c:v>1005.386</c:v>
                </c:pt>
                <c:pt idx="2250">
                  <c:v>1004.72</c:v>
                </c:pt>
                <c:pt idx="2251">
                  <c:v>1004.038</c:v>
                </c:pt>
                <c:pt idx="2252">
                  <c:v>1004</c:v>
                </c:pt>
                <c:pt idx="2253">
                  <c:v>1003.985</c:v>
                </c:pt>
                <c:pt idx="2254">
                  <c:v>1002.848</c:v>
                </c:pt>
                <c:pt idx="2255">
                  <c:v>1002.452</c:v>
                </c:pt>
                <c:pt idx="2256">
                  <c:v>1001.778</c:v>
                </c:pt>
                <c:pt idx="2257">
                  <c:v>1001.2380000000001</c:v>
                </c:pt>
                <c:pt idx="2258">
                  <c:v>1001.043</c:v>
                </c:pt>
                <c:pt idx="2259">
                  <c:v>1000.307</c:v>
                </c:pt>
                <c:pt idx="2260">
                  <c:v>999.2</c:v>
                </c:pt>
                <c:pt idx="2261">
                  <c:v>998.4</c:v>
                </c:pt>
                <c:pt idx="2262">
                  <c:v>997.6</c:v>
                </c:pt>
                <c:pt idx="2263">
                  <c:v>996.81200000000001</c:v>
                </c:pt>
                <c:pt idx="2264">
                  <c:v>995.64200000000005</c:v>
                </c:pt>
                <c:pt idx="2265">
                  <c:v>995.27599999999995</c:v>
                </c:pt>
                <c:pt idx="2266">
                  <c:v>995.2</c:v>
                </c:pt>
                <c:pt idx="2267">
                  <c:v>994.4</c:v>
                </c:pt>
                <c:pt idx="2268">
                  <c:v>993.6</c:v>
                </c:pt>
                <c:pt idx="2269">
                  <c:v>992.21600000000001</c:v>
                </c:pt>
                <c:pt idx="2270">
                  <c:v>992</c:v>
                </c:pt>
                <c:pt idx="2271">
                  <c:v>991.37300000000005</c:v>
                </c:pt>
                <c:pt idx="2272">
                  <c:v>991.13099999999997</c:v>
                </c:pt>
                <c:pt idx="2273">
                  <c:v>990.58600000000001</c:v>
                </c:pt>
                <c:pt idx="2274">
                  <c:v>990.01400000000001</c:v>
                </c:pt>
                <c:pt idx="2275">
                  <c:v>989.274</c:v>
                </c:pt>
                <c:pt idx="2276">
                  <c:v>989.23900000000003</c:v>
                </c:pt>
                <c:pt idx="2277">
                  <c:v>988.53899999999999</c:v>
                </c:pt>
                <c:pt idx="2278">
                  <c:v>988.36500000000001</c:v>
                </c:pt>
                <c:pt idx="2279">
                  <c:v>988.06899999999996</c:v>
                </c:pt>
                <c:pt idx="2280">
                  <c:v>985.60599999999999</c:v>
                </c:pt>
                <c:pt idx="2281">
                  <c:v>985.6</c:v>
                </c:pt>
                <c:pt idx="2282">
                  <c:v>985.6</c:v>
                </c:pt>
                <c:pt idx="2283">
                  <c:v>984.86099999999999</c:v>
                </c:pt>
                <c:pt idx="2284">
                  <c:v>983.89200000000005</c:v>
                </c:pt>
                <c:pt idx="2285">
                  <c:v>982.84299999999996</c:v>
                </c:pt>
                <c:pt idx="2286">
                  <c:v>982.4</c:v>
                </c:pt>
                <c:pt idx="2287">
                  <c:v>981.6</c:v>
                </c:pt>
                <c:pt idx="2288">
                  <c:v>980.26499999999999</c:v>
                </c:pt>
                <c:pt idx="2289">
                  <c:v>979.2</c:v>
                </c:pt>
                <c:pt idx="2290">
                  <c:v>978.4</c:v>
                </c:pt>
                <c:pt idx="2291">
                  <c:v>976.03499999999997</c:v>
                </c:pt>
                <c:pt idx="2292">
                  <c:v>975.93600000000004</c:v>
                </c:pt>
                <c:pt idx="2293">
                  <c:v>975.60599999999999</c:v>
                </c:pt>
                <c:pt idx="2294">
                  <c:v>975.48699999999997</c:v>
                </c:pt>
                <c:pt idx="2295">
                  <c:v>974.79100000000005</c:v>
                </c:pt>
                <c:pt idx="2296">
                  <c:v>974.57299999999998</c:v>
                </c:pt>
                <c:pt idx="2297">
                  <c:v>974.55499999999995</c:v>
                </c:pt>
                <c:pt idx="2298">
                  <c:v>973.86400000000003</c:v>
                </c:pt>
                <c:pt idx="2299">
                  <c:v>973.86400000000003</c:v>
                </c:pt>
                <c:pt idx="2300">
                  <c:v>973.17399999999998</c:v>
                </c:pt>
                <c:pt idx="2301">
                  <c:v>972.95799999999997</c:v>
                </c:pt>
                <c:pt idx="2302">
                  <c:v>972.35699999999997</c:v>
                </c:pt>
                <c:pt idx="2303">
                  <c:v>972.32600000000002</c:v>
                </c:pt>
                <c:pt idx="2304">
                  <c:v>972</c:v>
                </c:pt>
                <c:pt idx="2305">
                  <c:v>971.2</c:v>
                </c:pt>
                <c:pt idx="2306">
                  <c:v>970.88599999999997</c:v>
                </c:pt>
                <c:pt idx="2307">
                  <c:v>970.74900000000002</c:v>
                </c:pt>
                <c:pt idx="2308">
                  <c:v>970.4</c:v>
                </c:pt>
                <c:pt idx="2309">
                  <c:v>970.35500000000002</c:v>
                </c:pt>
                <c:pt idx="2310">
                  <c:v>969.774</c:v>
                </c:pt>
                <c:pt idx="2311">
                  <c:v>968.8</c:v>
                </c:pt>
                <c:pt idx="2312">
                  <c:v>967.95699999999999</c:v>
                </c:pt>
                <c:pt idx="2313">
                  <c:v>967.20899999999995</c:v>
                </c:pt>
                <c:pt idx="2314">
                  <c:v>967.2</c:v>
                </c:pt>
                <c:pt idx="2315">
                  <c:v>966.95699999999999</c:v>
                </c:pt>
                <c:pt idx="2316">
                  <c:v>966.66300000000001</c:v>
                </c:pt>
                <c:pt idx="2317">
                  <c:v>966.51099999999997</c:v>
                </c:pt>
                <c:pt idx="2318">
                  <c:v>966.26700000000005</c:v>
                </c:pt>
                <c:pt idx="2319">
                  <c:v>964.697</c:v>
                </c:pt>
                <c:pt idx="2320">
                  <c:v>964</c:v>
                </c:pt>
                <c:pt idx="2321">
                  <c:v>963.74699999999996</c:v>
                </c:pt>
                <c:pt idx="2322">
                  <c:v>963.2</c:v>
                </c:pt>
                <c:pt idx="2323">
                  <c:v>962.06</c:v>
                </c:pt>
                <c:pt idx="2324">
                  <c:v>961.99400000000003</c:v>
                </c:pt>
                <c:pt idx="2325">
                  <c:v>960.25</c:v>
                </c:pt>
                <c:pt idx="2326">
                  <c:v>960</c:v>
                </c:pt>
                <c:pt idx="2327">
                  <c:v>959.85400000000004</c:v>
                </c:pt>
                <c:pt idx="2328">
                  <c:v>959.38499999999999</c:v>
                </c:pt>
                <c:pt idx="2329">
                  <c:v>958.15700000000004</c:v>
                </c:pt>
                <c:pt idx="2330">
                  <c:v>957.6</c:v>
                </c:pt>
                <c:pt idx="2331">
                  <c:v>956.86099999999999</c:v>
                </c:pt>
                <c:pt idx="2332">
                  <c:v>956.46199999999999</c:v>
                </c:pt>
                <c:pt idx="2333">
                  <c:v>956.17600000000004</c:v>
                </c:pt>
                <c:pt idx="2334">
                  <c:v>956.17600000000004</c:v>
                </c:pt>
                <c:pt idx="2335">
                  <c:v>955.90700000000004</c:v>
                </c:pt>
                <c:pt idx="2336">
                  <c:v>955.21600000000001</c:v>
                </c:pt>
                <c:pt idx="2337">
                  <c:v>955.04399999999998</c:v>
                </c:pt>
                <c:pt idx="2338">
                  <c:v>954.52499999999998</c:v>
                </c:pt>
                <c:pt idx="2339">
                  <c:v>954.40700000000004</c:v>
                </c:pt>
                <c:pt idx="2340">
                  <c:v>954.4</c:v>
                </c:pt>
                <c:pt idx="2341">
                  <c:v>954.21299999999997</c:v>
                </c:pt>
                <c:pt idx="2342">
                  <c:v>953.6</c:v>
                </c:pt>
                <c:pt idx="2343">
                  <c:v>952.8</c:v>
                </c:pt>
                <c:pt idx="2344">
                  <c:v>950.4</c:v>
                </c:pt>
                <c:pt idx="2345">
                  <c:v>950.4</c:v>
                </c:pt>
                <c:pt idx="2346">
                  <c:v>949.6</c:v>
                </c:pt>
                <c:pt idx="2347">
                  <c:v>949.6</c:v>
                </c:pt>
                <c:pt idx="2348">
                  <c:v>949.6</c:v>
                </c:pt>
                <c:pt idx="2349">
                  <c:v>949.6</c:v>
                </c:pt>
                <c:pt idx="2350">
                  <c:v>949.57500000000005</c:v>
                </c:pt>
                <c:pt idx="2351">
                  <c:v>949.52300000000002</c:v>
                </c:pt>
                <c:pt idx="2352">
                  <c:v>948.64200000000005</c:v>
                </c:pt>
                <c:pt idx="2353">
                  <c:v>946.45799999999997</c:v>
                </c:pt>
                <c:pt idx="2354">
                  <c:v>945.90599999999995</c:v>
                </c:pt>
                <c:pt idx="2355">
                  <c:v>945.90599999999995</c:v>
                </c:pt>
                <c:pt idx="2356">
                  <c:v>945.14300000000003</c:v>
                </c:pt>
                <c:pt idx="2357">
                  <c:v>944.51700000000005</c:v>
                </c:pt>
                <c:pt idx="2358">
                  <c:v>944.16499999999996</c:v>
                </c:pt>
                <c:pt idx="2359">
                  <c:v>943.98</c:v>
                </c:pt>
                <c:pt idx="2360">
                  <c:v>943.2</c:v>
                </c:pt>
                <c:pt idx="2361">
                  <c:v>942.42600000000004</c:v>
                </c:pt>
                <c:pt idx="2362">
                  <c:v>942.4</c:v>
                </c:pt>
                <c:pt idx="2363">
                  <c:v>942.4</c:v>
                </c:pt>
                <c:pt idx="2364">
                  <c:v>941.40200000000004</c:v>
                </c:pt>
                <c:pt idx="2365">
                  <c:v>940.8</c:v>
                </c:pt>
                <c:pt idx="2366">
                  <c:v>940.18700000000001</c:v>
                </c:pt>
                <c:pt idx="2367">
                  <c:v>939.33</c:v>
                </c:pt>
                <c:pt idx="2368">
                  <c:v>939.31799999999998</c:v>
                </c:pt>
                <c:pt idx="2369">
                  <c:v>939.20500000000004</c:v>
                </c:pt>
                <c:pt idx="2370">
                  <c:v>937.6</c:v>
                </c:pt>
                <c:pt idx="2371">
                  <c:v>937.49599999999998</c:v>
                </c:pt>
                <c:pt idx="2372">
                  <c:v>936.67100000000005</c:v>
                </c:pt>
                <c:pt idx="2373">
                  <c:v>936.56399999999996</c:v>
                </c:pt>
                <c:pt idx="2374">
                  <c:v>936</c:v>
                </c:pt>
                <c:pt idx="2375">
                  <c:v>935.577</c:v>
                </c:pt>
                <c:pt idx="2376">
                  <c:v>935.43399999999997</c:v>
                </c:pt>
                <c:pt idx="2377">
                  <c:v>935.08900000000006</c:v>
                </c:pt>
                <c:pt idx="2378">
                  <c:v>934.78499999999997</c:v>
                </c:pt>
                <c:pt idx="2379">
                  <c:v>934.75400000000002</c:v>
                </c:pt>
                <c:pt idx="2380">
                  <c:v>934.4</c:v>
                </c:pt>
                <c:pt idx="2381">
                  <c:v>934.11</c:v>
                </c:pt>
                <c:pt idx="2382">
                  <c:v>933.6</c:v>
                </c:pt>
                <c:pt idx="2383">
                  <c:v>933.11400000000003</c:v>
                </c:pt>
                <c:pt idx="2384">
                  <c:v>932</c:v>
                </c:pt>
                <c:pt idx="2385">
                  <c:v>931.04200000000003</c:v>
                </c:pt>
                <c:pt idx="2386">
                  <c:v>930.78099999999995</c:v>
                </c:pt>
                <c:pt idx="2387">
                  <c:v>930.38</c:v>
                </c:pt>
                <c:pt idx="2388">
                  <c:v>928.279</c:v>
                </c:pt>
                <c:pt idx="2389">
                  <c:v>927.58799999999997</c:v>
                </c:pt>
                <c:pt idx="2390">
                  <c:v>926.89800000000002</c:v>
                </c:pt>
                <c:pt idx="2391">
                  <c:v>926.88699999999994</c:v>
                </c:pt>
                <c:pt idx="2392">
                  <c:v>926.84500000000003</c:v>
                </c:pt>
                <c:pt idx="2393">
                  <c:v>926.66700000000003</c:v>
                </c:pt>
                <c:pt idx="2394">
                  <c:v>926.601</c:v>
                </c:pt>
                <c:pt idx="2395">
                  <c:v>926.23599999999999</c:v>
                </c:pt>
                <c:pt idx="2396">
                  <c:v>925.28399999999999</c:v>
                </c:pt>
                <c:pt idx="2397">
                  <c:v>924.96600000000001</c:v>
                </c:pt>
                <c:pt idx="2398">
                  <c:v>924.50300000000004</c:v>
                </c:pt>
                <c:pt idx="2399">
                  <c:v>924.37900000000002</c:v>
                </c:pt>
                <c:pt idx="2400">
                  <c:v>924</c:v>
                </c:pt>
                <c:pt idx="2401">
                  <c:v>923.54499999999996</c:v>
                </c:pt>
                <c:pt idx="2402">
                  <c:v>923.2</c:v>
                </c:pt>
                <c:pt idx="2403">
                  <c:v>923.2</c:v>
                </c:pt>
                <c:pt idx="2404">
                  <c:v>923.00300000000004</c:v>
                </c:pt>
                <c:pt idx="2405">
                  <c:v>923.00300000000004</c:v>
                </c:pt>
                <c:pt idx="2406">
                  <c:v>922.471</c:v>
                </c:pt>
                <c:pt idx="2407">
                  <c:v>921.6</c:v>
                </c:pt>
                <c:pt idx="2408">
                  <c:v>921.6</c:v>
                </c:pt>
                <c:pt idx="2409">
                  <c:v>921.221</c:v>
                </c:pt>
                <c:pt idx="2410">
                  <c:v>920.83</c:v>
                </c:pt>
                <c:pt idx="2411">
                  <c:v>920.35599999999999</c:v>
                </c:pt>
                <c:pt idx="2412">
                  <c:v>920</c:v>
                </c:pt>
                <c:pt idx="2413">
                  <c:v>919.3</c:v>
                </c:pt>
                <c:pt idx="2414">
                  <c:v>918.66399999999999</c:v>
                </c:pt>
                <c:pt idx="2415">
                  <c:v>918.61599999999999</c:v>
                </c:pt>
                <c:pt idx="2416">
                  <c:v>916.01</c:v>
                </c:pt>
                <c:pt idx="2417">
                  <c:v>916</c:v>
                </c:pt>
                <c:pt idx="2418">
                  <c:v>914.78800000000001</c:v>
                </c:pt>
                <c:pt idx="2419">
                  <c:v>914.33399999999995</c:v>
                </c:pt>
                <c:pt idx="2420">
                  <c:v>914.25099999999998</c:v>
                </c:pt>
                <c:pt idx="2421">
                  <c:v>913.94500000000005</c:v>
                </c:pt>
                <c:pt idx="2422">
                  <c:v>913.51599999999996</c:v>
                </c:pt>
                <c:pt idx="2423">
                  <c:v>913.49800000000005</c:v>
                </c:pt>
                <c:pt idx="2424">
                  <c:v>912.04499999999996</c:v>
                </c:pt>
                <c:pt idx="2425">
                  <c:v>911.70299999999997</c:v>
                </c:pt>
                <c:pt idx="2426">
                  <c:v>911.70299999999997</c:v>
                </c:pt>
                <c:pt idx="2427">
                  <c:v>910.84799999999996</c:v>
                </c:pt>
                <c:pt idx="2428">
                  <c:v>910.32899999999995</c:v>
                </c:pt>
                <c:pt idx="2429">
                  <c:v>910.32100000000003</c:v>
                </c:pt>
                <c:pt idx="2430">
                  <c:v>907.06600000000003</c:v>
                </c:pt>
                <c:pt idx="2431">
                  <c:v>906.4</c:v>
                </c:pt>
                <c:pt idx="2432">
                  <c:v>906.16099999999994</c:v>
                </c:pt>
                <c:pt idx="2433">
                  <c:v>906.16099999999994</c:v>
                </c:pt>
                <c:pt idx="2434">
                  <c:v>905.6</c:v>
                </c:pt>
                <c:pt idx="2435">
                  <c:v>905.25900000000001</c:v>
                </c:pt>
                <c:pt idx="2436">
                  <c:v>905.22400000000005</c:v>
                </c:pt>
                <c:pt idx="2437">
                  <c:v>904.85199999999998</c:v>
                </c:pt>
                <c:pt idx="2438">
                  <c:v>904.8</c:v>
                </c:pt>
                <c:pt idx="2439">
                  <c:v>904.63699999999994</c:v>
                </c:pt>
                <c:pt idx="2440">
                  <c:v>904.06399999999996</c:v>
                </c:pt>
                <c:pt idx="2441">
                  <c:v>903.2</c:v>
                </c:pt>
                <c:pt idx="2442">
                  <c:v>902.85500000000002</c:v>
                </c:pt>
                <c:pt idx="2443">
                  <c:v>902.48299999999995</c:v>
                </c:pt>
                <c:pt idx="2444">
                  <c:v>901.68399999999997</c:v>
                </c:pt>
                <c:pt idx="2445">
                  <c:v>899.99699999999996</c:v>
                </c:pt>
                <c:pt idx="2446">
                  <c:v>899.68700000000001</c:v>
                </c:pt>
                <c:pt idx="2447">
                  <c:v>897.6</c:v>
                </c:pt>
                <c:pt idx="2448">
                  <c:v>897.34900000000005</c:v>
                </c:pt>
                <c:pt idx="2449">
                  <c:v>896.58699999999999</c:v>
                </c:pt>
                <c:pt idx="2450">
                  <c:v>896</c:v>
                </c:pt>
                <c:pt idx="2451">
                  <c:v>895.95699999999999</c:v>
                </c:pt>
                <c:pt idx="2452">
                  <c:v>895.12599999999998</c:v>
                </c:pt>
                <c:pt idx="2453">
                  <c:v>895.12599999999998</c:v>
                </c:pt>
                <c:pt idx="2454">
                  <c:v>895.03300000000002</c:v>
                </c:pt>
                <c:pt idx="2455">
                  <c:v>894.4</c:v>
                </c:pt>
                <c:pt idx="2456">
                  <c:v>892.8</c:v>
                </c:pt>
                <c:pt idx="2457">
                  <c:v>892.43100000000004</c:v>
                </c:pt>
                <c:pt idx="2458">
                  <c:v>891.92499999999995</c:v>
                </c:pt>
                <c:pt idx="2459">
                  <c:v>890.71500000000003</c:v>
                </c:pt>
                <c:pt idx="2460">
                  <c:v>890.4</c:v>
                </c:pt>
                <c:pt idx="2461">
                  <c:v>890.4</c:v>
                </c:pt>
                <c:pt idx="2462">
                  <c:v>889.27</c:v>
                </c:pt>
                <c:pt idx="2463">
                  <c:v>889.24400000000003</c:v>
                </c:pt>
                <c:pt idx="2464">
                  <c:v>888.01400000000001</c:v>
                </c:pt>
                <c:pt idx="2465">
                  <c:v>888</c:v>
                </c:pt>
                <c:pt idx="2466">
                  <c:v>886.71799999999996</c:v>
                </c:pt>
                <c:pt idx="2467">
                  <c:v>886.15499999999997</c:v>
                </c:pt>
                <c:pt idx="2468">
                  <c:v>885.428</c:v>
                </c:pt>
                <c:pt idx="2469">
                  <c:v>883.23299999999995</c:v>
                </c:pt>
                <c:pt idx="2470">
                  <c:v>883.2</c:v>
                </c:pt>
                <c:pt idx="2471">
                  <c:v>882.62400000000002</c:v>
                </c:pt>
                <c:pt idx="2472">
                  <c:v>882.45899999999995</c:v>
                </c:pt>
                <c:pt idx="2473">
                  <c:v>882.34400000000005</c:v>
                </c:pt>
                <c:pt idx="2474">
                  <c:v>880.62199999999996</c:v>
                </c:pt>
                <c:pt idx="2475">
                  <c:v>880.17600000000004</c:v>
                </c:pt>
                <c:pt idx="2476">
                  <c:v>879.22500000000002</c:v>
                </c:pt>
                <c:pt idx="2477">
                  <c:v>878.41099999999994</c:v>
                </c:pt>
                <c:pt idx="2478">
                  <c:v>878.4</c:v>
                </c:pt>
                <c:pt idx="2479">
                  <c:v>878.06</c:v>
                </c:pt>
                <c:pt idx="2480">
                  <c:v>877.6</c:v>
                </c:pt>
                <c:pt idx="2481">
                  <c:v>876.8</c:v>
                </c:pt>
                <c:pt idx="2482">
                  <c:v>876.8</c:v>
                </c:pt>
                <c:pt idx="2483">
                  <c:v>876.73299999999995</c:v>
                </c:pt>
                <c:pt idx="2484">
                  <c:v>876.00400000000002</c:v>
                </c:pt>
                <c:pt idx="2485">
                  <c:v>875.78700000000003</c:v>
                </c:pt>
                <c:pt idx="2486">
                  <c:v>875.2</c:v>
                </c:pt>
                <c:pt idx="2487">
                  <c:v>874.803</c:v>
                </c:pt>
                <c:pt idx="2488">
                  <c:v>873.06200000000001</c:v>
                </c:pt>
                <c:pt idx="2489">
                  <c:v>871.64300000000003</c:v>
                </c:pt>
                <c:pt idx="2490">
                  <c:v>871.2</c:v>
                </c:pt>
                <c:pt idx="2491">
                  <c:v>870.54700000000003</c:v>
                </c:pt>
                <c:pt idx="2492">
                  <c:v>870.26800000000003</c:v>
                </c:pt>
                <c:pt idx="2493">
                  <c:v>866.76199999999994</c:v>
                </c:pt>
                <c:pt idx="2494">
                  <c:v>864.8</c:v>
                </c:pt>
                <c:pt idx="2495">
                  <c:v>863.2</c:v>
                </c:pt>
                <c:pt idx="2496">
                  <c:v>862.41300000000001</c:v>
                </c:pt>
                <c:pt idx="2497">
                  <c:v>861.97400000000005</c:v>
                </c:pt>
                <c:pt idx="2498">
                  <c:v>861.33600000000001</c:v>
                </c:pt>
                <c:pt idx="2499">
                  <c:v>860.86699999999996</c:v>
                </c:pt>
                <c:pt idx="2500">
                  <c:v>860.8</c:v>
                </c:pt>
                <c:pt idx="2501">
                  <c:v>860.8</c:v>
                </c:pt>
                <c:pt idx="2502">
                  <c:v>859.97199999999998</c:v>
                </c:pt>
                <c:pt idx="2503">
                  <c:v>858.93100000000004</c:v>
                </c:pt>
                <c:pt idx="2504">
                  <c:v>858.73</c:v>
                </c:pt>
                <c:pt idx="2505">
                  <c:v>856</c:v>
                </c:pt>
                <c:pt idx="2506">
                  <c:v>854.4</c:v>
                </c:pt>
                <c:pt idx="2507">
                  <c:v>853.6</c:v>
                </c:pt>
                <c:pt idx="2508">
                  <c:v>853.25300000000004</c:v>
                </c:pt>
                <c:pt idx="2509">
                  <c:v>851.2</c:v>
                </c:pt>
                <c:pt idx="2510">
                  <c:v>851.06</c:v>
                </c:pt>
                <c:pt idx="2511">
                  <c:v>849.97</c:v>
                </c:pt>
                <c:pt idx="2512">
                  <c:v>848.79</c:v>
                </c:pt>
                <c:pt idx="2513">
                  <c:v>848.36300000000006</c:v>
                </c:pt>
                <c:pt idx="2514">
                  <c:v>848.16</c:v>
                </c:pt>
                <c:pt idx="2515">
                  <c:v>848</c:v>
                </c:pt>
                <c:pt idx="2516">
                  <c:v>846.73</c:v>
                </c:pt>
                <c:pt idx="2517">
                  <c:v>846.51499999999999</c:v>
                </c:pt>
                <c:pt idx="2518">
                  <c:v>845.6</c:v>
                </c:pt>
                <c:pt idx="2519">
                  <c:v>845.29300000000001</c:v>
                </c:pt>
                <c:pt idx="2520">
                  <c:v>844.70600000000002</c:v>
                </c:pt>
                <c:pt idx="2521">
                  <c:v>843.2</c:v>
                </c:pt>
                <c:pt idx="2522">
                  <c:v>841.40899999999999</c:v>
                </c:pt>
                <c:pt idx="2523">
                  <c:v>841.17600000000004</c:v>
                </c:pt>
                <c:pt idx="2524">
                  <c:v>839.76599999999996</c:v>
                </c:pt>
                <c:pt idx="2525">
                  <c:v>838.68700000000001</c:v>
                </c:pt>
                <c:pt idx="2526">
                  <c:v>837.86699999999996</c:v>
                </c:pt>
                <c:pt idx="2527">
                  <c:v>837.38800000000003</c:v>
                </c:pt>
                <c:pt idx="2528">
                  <c:v>836.11300000000006</c:v>
                </c:pt>
                <c:pt idx="2529">
                  <c:v>836.06799999999998</c:v>
                </c:pt>
                <c:pt idx="2530">
                  <c:v>835.98500000000001</c:v>
                </c:pt>
                <c:pt idx="2531">
                  <c:v>834.32299999999998</c:v>
                </c:pt>
                <c:pt idx="2532">
                  <c:v>830.09699999999998</c:v>
                </c:pt>
                <c:pt idx="2533">
                  <c:v>828.77700000000004</c:v>
                </c:pt>
                <c:pt idx="2534">
                  <c:v>828.24900000000002</c:v>
                </c:pt>
                <c:pt idx="2535">
                  <c:v>827.2</c:v>
                </c:pt>
                <c:pt idx="2536">
                  <c:v>826.58399999999995</c:v>
                </c:pt>
                <c:pt idx="2537">
                  <c:v>825.6</c:v>
                </c:pt>
                <c:pt idx="2538">
                  <c:v>823.81399999999996</c:v>
                </c:pt>
                <c:pt idx="2539">
                  <c:v>823.78200000000004</c:v>
                </c:pt>
                <c:pt idx="2540">
                  <c:v>823.60900000000004</c:v>
                </c:pt>
                <c:pt idx="2541">
                  <c:v>823.55499999999995</c:v>
                </c:pt>
                <c:pt idx="2542">
                  <c:v>823.39</c:v>
                </c:pt>
                <c:pt idx="2543">
                  <c:v>823.29499999999996</c:v>
                </c:pt>
                <c:pt idx="2544">
                  <c:v>823.22799999999995</c:v>
                </c:pt>
                <c:pt idx="2545">
                  <c:v>822.05200000000002</c:v>
                </c:pt>
                <c:pt idx="2546">
                  <c:v>821.69100000000003</c:v>
                </c:pt>
                <c:pt idx="2547">
                  <c:v>821.37800000000004</c:v>
                </c:pt>
                <c:pt idx="2548">
                  <c:v>820.53200000000004</c:v>
                </c:pt>
                <c:pt idx="2549">
                  <c:v>820.33699999999999</c:v>
                </c:pt>
                <c:pt idx="2550">
                  <c:v>819.28800000000001</c:v>
                </c:pt>
                <c:pt idx="2551">
                  <c:v>818.79</c:v>
                </c:pt>
                <c:pt idx="2552">
                  <c:v>818.63400000000001</c:v>
                </c:pt>
                <c:pt idx="2553">
                  <c:v>818.55700000000002</c:v>
                </c:pt>
                <c:pt idx="2554">
                  <c:v>817.976</c:v>
                </c:pt>
                <c:pt idx="2555">
                  <c:v>816.42700000000002</c:v>
                </c:pt>
                <c:pt idx="2556">
                  <c:v>816</c:v>
                </c:pt>
                <c:pt idx="2557">
                  <c:v>815.45899999999995</c:v>
                </c:pt>
                <c:pt idx="2558">
                  <c:v>815.37599999999998</c:v>
                </c:pt>
                <c:pt idx="2559">
                  <c:v>814.99300000000005</c:v>
                </c:pt>
                <c:pt idx="2560">
                  <c:v>813.6</c:v>
                </c:pt>
                <c:pt idx="2561">
                  <c:v>812.322</c:v>
                </c:pt>
                <c:pt idx="2562">
                  <c:v>812</c:v>
                </c:pt>
                <c:pt idx="2563">
                  <c:v>811.803</c:v>
                </c:pt>
                <c:pt idx="2564">
                  <c:v>810.577</c:v>
                </c:pt>
                <c:pt idx="2565">
                  <c:v>809.48199999999997</c:v>
                </c:pt>
                <c:pt idx="2566">
                  <c:v>807.601</c:v>
                </c:pt>
                <c:pt idx="2567">
                  <c:v>807.36900000000003</c:v>
                </c:pt>
                <c:pt idx="2568">
                  <c:v>806.86500000000001</c:v>
                </c:pt>
                <c:pt idx="2569">
                  <c:v>806.13</c:v>
                </c:pt>
                <c:pt idx="2570">
                  <c:v>805.6</c:v>
                </c:pt>
                <c:pt idx="2571">
                  <c:v>805.00900000000001</c:v>
                </c:pt>
                <c:pt idx="2572">
                  <c:v>804.91200000000003</c:v>
                </c:pt>
                <c:pt idx="2573">
                  <c:v>804.64700000000005</c:v>
                </c:pt>
                <c:pt idx="2574">
                  <c:v>804.35599999999999</c:v>
                </c:pt>
                <c:pt idx="2575">
                  <c:v>803.87099999999998</c:v>
                </c:pt>
                <c:pt idx="2576">
                  <c:v>799.35900000000004</c:v>
                </c:pt>
                <c:pt idx="2577">
                  <c:v>799.2</c:v>
                </c:pt>
                <c:pt idx="2578">
                  <c:v>797.74</c:v>
                </c:pt>
                <c:pt idx="2579">
                  <c:v>797.6</c:v>
                </c:pt>
                <c:pt idx="2580">
                  <c:v>797.35799999999995</c:v>
                </c:pt>
                <c:pt idx="2581">
                  <c:v>796.63800000000003</c:v>
                </c:pt>
                <c:pt idx="2582">
                  <c:v>795.58299999999997</c:v>
                </c:pt>
                <c:pt idx="2583">
                  <c:v>793.64099999999996</c:v>
                </c:pt>
                <c:pt idx="2584">
                  <c:v>792</c:v>
                </c:pt>
                <c:pt idx="2585">
                  <c:v>790.678</c:v>
                </c:pt>
                <c:pt idx="2586">
                  <c:v>788.92399999999998</c:v>
                </c:pt>
                <c:pt idx="2587">
                  <c:v>788.16899999999998</c:v>
                </c:pt>
                <c:pt idx="2588">
                  <c:v>787.94500000000005</c:v>
                </c:pt>
                <c:pt idx="2589">
                  <c:v>786.48299999999995</c:v>
                </c:pt>
                <c:pt idx="2590">
                  <c:v>785.56799999999998</c:v>
                </c:pt>
                <c:pt idx="2591">
                  <c:v>784.8</c:v>
                </c:pt>
                <c:pt idx="2592">
                  <c:v>783.75400000000002</c:v>
                </c:pt>
                <c:pt idx="2593">
                  <c:v>782.92499999999995</c:v>
                </c:pt>
                <c:pt idx="2594">
                  <c:v>782.59299999999996</c:v>
                </c:pt>
                <c:pt idx="2595">
                  <c:v>782.54499999999996</c:v>
                </c:pt>
                <c:pt idx="2596">
                  <c:v>782.04499999999996</c:v>
                </c:pt>
                <c:pt idx="2597">
                  <c:v>781.44399999999996</c:v>
                </c:pt>
                <c:pt idx="2598">
                  <c:v>779.73099999999999</c:v>
                </c:pt>
                <c:pt idx="2599">
                  <c:v>779.65099999999995</c:v>
                </c:pt>
                <c:pt idx="2600">
                  <c:v>779.2</c:v>
                </c:pt>
                <c:pt idx="2601">
                  <c:v>779.18399999999997</c:v>
                </c:pt>
                <c:pt idx="2602">
                  <c:v>778.57799999999997</c:v>
                </c:pt>
                <c:pt idx="2603">
                  <c:v>778.4</c:v>
                </c:pt>
                <c:pt idx="2604">
                  <c:v>776.35699999999997</c:v>
                </c:pt>
                <c:pt idx="2605">
                  <c:v>775.55700000000002</c:v>
                </c:pt>
                <c:pt idx="2606">
                  <c:v>774.947</c:v>
                </c:pt>
                <c:pt idx="2607">
                  <c:v>774.4</c:v>
                </c:pt>
                <c:pt idx="2608">
                  <c:v>771.21400000000006</c:v>
                </c:pt>
                <c:pt idx="2609">
                  <c:v>771.08600000000001</c:v>
                </c:pt>
                <c:pt idx="2610">
                  <c:v>770.803</c:v>
                </c:pt>
                <c:pt idx="2611">
                  <c:v>769.67899999999997</c:v>
                </c:pt>
                <c:pt idx="2612">
                  <c:v>769.6</c:v>
                </c:pt>
                <c:pt idx="2613">
                  <c:v>768.61599999999999</c:v>
                </c:pt>
                <c:pt idx="2614">
                  <c:v>768.20899999999995</c:v>
                </c:pt>
                <c:pt idx="2615">
                  <c:v>768</c:v>
                </c:pt>
                <c:pt idx="2616">
                  <c:v>767.81399999999996</c:v>
                </c:pt>
                <c:pt idx="2617">
                  <c:v>765.721</c:v>
                </c:pt>
                <c:pt idx="2618">
                  <c:v>764.63699999999994</c:v>
                </c:pt>
                <c:pt idx="2619">
                  <c:v>764.35299999999995</c:v>
                </c:pt>
                <c:pt idx="2620">
                  <c:v>764.06399999999996</c:v>
                </c:pt>
                <c:pt idx="2621">
                  <c:v>764</c:v>
                </c:pt>
                <c:pt idx="2622">
                  <c:v>763.49800000000005</c:v>
                </c:pt>
                <c:pt idx="2623">
                  <c:v>762.51499999999999</c:v>
                </c:pt>
                <c:pt idx="2624">
                  <c:v>762.41399999999999</c:v>
                </c:pt>
                <c:pt idx="2625">
                  <c:v>761.22699999999998</c:v>
                </c:pt>
                <c:pt idx="2626">
                  <c:v>760</c:v>
                </c:pt>
                <c:pt idx="2627">
                  <c:v>759.279</c:v>
                </c:pt>
                <c:pt idx="2628">
                  <c:v>758.12800000000004</c:v>
                </c:pt>
                <c:pt idx="2629">
                  <c:v>756.99</c:v>
                </c:pt>
                <c:pt idx="2630">
                  <c:v>756.99</c:v>
                </c:pt>
                <c:pt idx="2631">
                  <c:v>755.66899999999998</c:v>
                </c:pt>
                <c:pt idx="2632">
                  <c:v>754.85699999999997</c:v>
                </c:pt>
                <c:pt idx="2633">
                  <c:v>754.4</c:v>
                </c:pt>
                <c:pt idx="2634">
                  <c:v>754.21600000000001</c:v>
                </c:pt>
                <c:pt idx="2635">
                  <c:v>752.8</c:v>
                </c:pt>
                <c:pt idx="2636">
                  <c:v>752.15499999999997</c:v>
                </c:pt>
                <c:pt idx="2637">
                  <c:v>751.928</c:v>
                </c:pt>
                <c:pt idx="2638">
                  <c:v>750.43499999999995</c:v>
                </c:pt>
                <c:pt idx="2639">
                  <c:v>750.35699999999997</c:v>
                </c:pt>
                <c:pt idx="2640">
                  <c:v>749.74699999999996</c:v>
                </c:pt>
                <c:pt idx="2641">
                  <c:v>749.66600000000005</c:v>
                </c:pt>
                <c:pt idx="2642">
                  <c:v>747.822</c:v>
                </c:pt>
                <c:pt idx="2643">
                  <c:v>745.04300000000001</c:v>
                </c:pt>
                <c:pt idx="2644">
                  <c:v>743.56600000000003</c:v>
                </c:pt>
                <c:pt idx="2645">
                  <c:v>743.17600000000004</c:v>
                </c:pt>
                <c:pt idx="2646">
                  <c:v>743.14099999999996</c:v>
                </c:pt>
                <c:pt idx="2647">
                  <c:v>741.77200000000005</c:v>
                </c:pt>
                <c:pt idx="2648">
                  <c:v>741.6</c:v>
                </c:pt>
                <c:pt idx="2649">
                  <c:v>741.41200000000003</c:v>
                </c:pt>
                <c:pt idx="2650">
                  <c:v>741.41</c:v>
                </c:pt>
                <c:pt idx="2651">
                  <c:v>740.71600000000001</c:v>
                </c:pt>
                <c:pt idx="2652">
                  <c:v>740.59799999999996</c:v>
                </c:pt>
                <c:pt idx="2653">
                  <c:v>739.03200000000004</c:v>
                </c:pt>
                <c:pt idx="2654">
                  <c:v>738.4</c:v>
                </c:pt>
                <c:pt idx="2655">
                  <c:v>738.30200000000002</c:v>
                </c:pt>
                <c:pt idx="2656">
                  <c:v>738.09100000000001</c:v>
                </c:pt>
                <c:pt idx="2657">
                  <c:v>737.68700000000001</c:v>
                </c:pt>
                <c:pt idx="2658">
                  <c:v>737.42</c:v>
                </c:pt>
                <c:pt idx="2659">
                  <c:v>736.16800000000001</c:v>
                </c:pt>
                <c:pt idx="2660">
                  <c:v>735.63199999999995</c:v>
                </c:pt>
                <c:pt idx="2661">
                  <c:v>735.55700000000002</c:v>
                </c:pt>
                <c:pt idx="2662">
                  <c:v>733.4</c:v>
                </c:pt>
                <c:pt idx="2663">
                  <c:v>730.92399999999998</c:v>
                </c:pt>
                <c:pt idx="2664">
                  <c:v>730.9</c:v>
                </c:pt>
                <c:pt idx="2665">
                  <c:v>730.55</c:v>
                </c:pt>
                <c:pt idx="2666">
                  <c:v>730.029</c:v>
                </c:pt>
                <c:pt idx="2667">
                  <c:v>729.84100000000001</c:v>
                </c:pt>
                <c:pt idx="2668">
                  <c:v>729.50400000000002</c:v>
                </c:pt>
                <c:pt idx="2669">
                  <c:v>728.8</c:v>
                </c:pt>
                <c:pt idx="2670">
                  <c:v>728.76599999999996</c:v>
                </c:pt>
                <c:pt idx="2671">
                  <c:v>727.42499999999995</c:v>
                </c:pt>
                <c:pt idx="2672">
                  <c:v>726.952</c:v>
                </c:pt>
                <c:pt idx="2673">
                  <c:v>725.6</c:v>
                </c:pt>
                <c:pt idx="2674">
                  <c:v>724.59699999999998</c:v>
                </c:pt>
                <c:pt idx="2675">
                  <c:v>724.54300000000001</c:v>
                </c:pt>
                <c:pt idx="2676">
                  <c:v>723.66899999999998</c:v>
                </c:pt>
                <c:pt idx="2677">
                  <c:v>720.44899999999996</c:v>
                </c:pt>
                <c:pt idx="2678">
                  <c:v>717.98</c:v>
                </c:pt>
                <c:pt idx="2679">
                  <c:v>716.41899999999998</c:v>
                </c:pt>
                <c:pt idx="2680">
                  <c:v>716.39599999999996</c:v>
                </c:pt>
                <c:pt idx="2681">
                  <c:v>715.66099999999994</c:v>
                </c:pt>
                <c:pt idx="2682">
                  <c:v>715.54899999999998</c:v>
                </c:pt>
                <c:pt idx="2683">
                  <c:v>714.16700000000003</c:v>
                </c:pt>
                <c:pt idx="2684">
                  <c:v>713.6</c:v>
                </c:pt>
                <c:pt idx="2685">
                  <c:v>712.46799999999996</c:v>
                </c:pt>
                <c:pt idx="2686">
                  <c:v>711.98299999999995</c:v>
                </c:pt>
                <c:pt idx="2687">
                  <c:v>711.76400000000001</c:v>
                </c:pt>
                <c:pt idx="2688">
                  <c:v>708.8</c:v>
                </c:pt>
                <c:pt idx="2689">
                  <c:v>707.95100000000002</c:v>
                </c:pt>
                <c:pt idx="2690">
                  <c:v>706.91800000000001</c:v>
                </c:pt>
                <c:pt idx="2691">
                  <c:v>705.6</c:v>
                </c:pt>
                <c:pt idx="2692">
                  <c:v>705.58799999999997</c:v>
                </c:pt>
                <c:pt idx="2693">
                  <c:v>705.06299999999999</c:v>
                </c:pt>
                <c:pt idx="2694">
                  <c:v>704.96900000000005</c:v>
                </c:pt>
                <c:pt idx="2695">
                  <c:v>704.28200000000004</c:v>
                </c:pt>
                <c:pt idx="2696">
                  <c:v>704.23199999999997</c:v>
                </c:pt>
                <c:pt idx="2697">
                  <c:v>704</c:v>
                </c:pt>
                <c:pt idx="2698">
                  <c:v>702.84299999999996</c:v>
                </c:pt>
                <c:pt idx="2699">
                  <c:v>702.47900000000004</c:v>
                </c:pt>
                <c:pt idx="2700">
                  <c:v>701.75699999999995</c:v>
                </c:pt>
                <c:pt idx="2701">
                  <c:v>701.72400000000005</c:v>
                </c:pt>
                <c:pt idx="2702">
                  <c:v>700.87199999999996</c:v>
                </c:pt>
                <c:pt idx="2703">
                  <c:v>700.8</c:v>
                </c:pt>
                <c:pt idx="2704">
                  <c:v>699.88199999999995</c:v>
                </c:pt>
                <c:pt idx="2705">
                  <c:v>699.01599999999996</c:v>
                </c:pt>
                <c:pt idx="2706">
                  <c:v>698.95699999999999</c:v>
                </c:pt>
                <c:pt idx="2707">
                  <c:v>698.69100000000003</c:v>
                </c:pt>
                <c:pt idx="2708">
                  <c:v>698.01400000000001</c:v>
                </c:pt>
                <c:pt idx="2709">
                  <c:v>696.31399999999996</c:v>
                </c:pt>
                <c:pt idx="2710">
                  <c:v>695.10599999999999</c:v>
                </c:pt>
                <c:pt idx="2711">
                  <c:v>693.95500000000004</c:v>
                </c:pt>
                <c:pt idx="2712">
                  <c:v>693.09799999999996</c:v>
                </c:pt>
                <c:pt idx="2713">
                  <c:v>692.702</c:v>
                </c:pt>
                <c:pt idx="2714">
                  <c:v>692.42700000000002</c:v>
                </c:pt>
                <c:pt idx="2715">
                  <c:v>690.72699999999998</c:v>
                </c:pt>
                <c:pt idx="2716">
                  <c:v>690.36599999999999</c:v>
                </c:pt>
                <c:pt idx="2717">
                  <c:v>689.6</c:v>
                </c:pt>
                <c:pt idx="2718">
                  <c:v>688.79499999999996</c:v>
                </c:pt>
                <c:pt idx="2719">
                  <c:v>687.99099999999999</c:v>
                </c:pt>
                <c:pt idx="2720">
                  <c:v>687</c:v>
                </c:pt>
                <c:pt idx="2721">
                  <c:v>686.10299999999995</c:v>
                </c:pt>
                <c:pt idx="2722">
                  <c:v>684.41300000000001</c:v>
                </c:pt>
                <c:pt idx="2723">
                  <c:v>683.351</c:v>
                </c:pt>
                <c:pt idx="2724">
                  <c:v>679.76099999999997</c:v>
                </c:pt>
                <c:pt idx="2725">
                  <c:v>679.04600000000005</c:v>
                </c:pt>
                <c:pt idx="2726">
                  <c:v>678.56299999999999</c:v>
                </c:pt>
                <c:pt idx="2727">
                  <c:v>678.37300000000005</c:v>
                </c:pt>
                <c:pt idx="2728">
                  <c:v>677.6</c:v>
                </c:pt>
                <c:pt idx="2729">
                  <c:v>676.55200000000002</c:v>
                </c:pt>
                <c:pt idx="2730">
                  <c:v>674.94200000000001</c:v>
                </c:pt>
                <c:pt idx="2731">
                  <c:v>674.08399999999995</c:v>
                </c:pt>
                <c:pt idx="2732">
                  <c:v>673.47799999999995</c:v>
                </c:pt>
                <c:pt idx="2733">
                  <c:v>671.83299999999997</c:v>
                </c:pt>
                <c:pt idx="2734">
                  <c:v>670.221</c:v>
                </c:pt>
                <c:pt idx="2735">
                  <c:v>668.58799999999997</c:v>
                </c:pt>
                <c:pt idx="2736">
                  <c:v>665.81399999999996</c:v>
                </c:pt>
                <c:pt idx="2737">
                  <c:v>664.55499999999995</c:v>
                </c:pt>
                <c:pt idx="2738">
                  <c:v>663.61400000000003</c:v>
                </c:pt>
                <c:pt idx="2739">
                  <c:v>663.43899999999996</c:v>
                </c:pt>
                <c:pt idx="2740">
                  <c:v>662.86199999999997</c:v>
                </c:pt>
                <c:pt idx="2741">
                  <c:v>660.23400000000004</c:v>
                </c:pt>
                <c:pt idx="2742">
                  <c:v>658.846</c:v>
                </c:pt>
                <c:pt idx="2743">
                  <c:v>654.35</c:v>
                </c:pt>
                <c:pt idx="2744">
                  <c:v>654.31700000000001</c:v>
                </c:pt>
                <c:pt idx="2745">
                  <c:v>652.92999999999995</c:v>
                </c:pt>
                <c:pt idx="2746">
                  <c:v>652.00599999999997</c:v>
                </c:pt>
                <c:pt idx="2747">
                  <c:v>646.16700000000003</c:v>
                </c:pt>
                <c:pt idx="2748">
                  <c:v>645.65099999999995</c:v>
                </c:pt>
                <c:pt idx="2749">
                  <c:v>639.55499999999995</c:v>
                </c:pt>
                <c:pt idx="2750">
                  <c:v>637.40499999999997</c:v>
                </c:pt>
                <c:pt idx="2751">
                  <c:v>636.221</c:v>
                </c:pt>
                <c:pt idx="2752">
                  <c:v>635.46400000000006</c:v>
                </c:pt>
                <c:pt idx="2753">
                  <c:v>635.43499999999995</c:v>
                </c:pt>
                <c:pt idx="2754">
                  <c:v>632.72199999999998</c:v>
                </c:pt>
                <c:pt idx="2755">
                  <c:v>632.44200000000001</c:v>
                </c:pt>
                <c:pt idx="2756">
                  <c:v>632.11500000000001</c:v>
                </c:pt>
                <c:pt idx="2757">
                  <c:v>630.24400000000003</c:v>
                </c:pt>
                <c:pt idx="2758">
                  <c:v>630.02599999999995</c:v>
                </c:pt>
                <c:pt idx="2759">
                  <c:v>629.90899999999999</c:v>
                </c:pt>
                <c:pt idx="2760">
                  <c:v>629.62699999999995</c:v>
                </c:pt>
                <c:pt idx="2761">
                  <c:v>625.49</c:v>
                </c:pt>
                <c:pt idx="2762">
                  <c:v>624.60299999999995</c:v>
                </c:pt>
                <c:pt idx="2763">
                  <c:v>623.09500000000003</c:v>
                </c:pt>
                <c:pt idx="2764">
                  <c:v>621.02800000000002</c:v>
                </c:pt>
                <c:pt idx="2765">
                  <c:v>620.91399999999999</c:v>
                </c:pt>
                <c:pt idx="2766">
                  <c:v>620.38599999999997</c:v>
                </c:pt>
                <c:pt idx="2767">
                  <c:v>616.428</c:v>
                </c:pt>
                <c:pt idx="2768">
                  <c:v>615.82600000000002</c:v>
                </c:pt>
                <c:pt idx="2769">
                  <c:v>614.399</c:v>
                </c:pt>
                <c:pt idx="2770">
                  <c:v>614.33100000000002</c:v>
                </c:pt>
                <c:pt idx="2771">
                  <c:v>614.16200000000003</c:v>
                </c:pt>
                <c:pt idx="2772">
                  <c:v>610.29999999999995</c:v>
                </c:pt>
                <c:pt idx="2773">
                  <c:v>608.654</c:v>
                </c:pt>
                <c:pt idx="2774">
                  <c:v>607.80200000000002</c:v>
                </c:pt>
                <c:pt idx="2775">
                  <c:v>607.32399999999996</c:v>
                </c:pt>
                <c:pt idx="2776">
                  <c:v>606.46299999999997</c:v>
                </c:pt>
                <c:pt idx="2777">
                  <c:v>606.01199999999994</c:v>
                </c:pt>
                <c:pt idx="2778">
                  <c:v>605.346</c:v>
                </c:pt>
                <c:pt idx="2779">
                  <c:v>602.4</c:v>
                </c:pt>
                <c:pt idx="2780">
                  <c:v>602.27599999999995</c:v>
                </c:pt>
                <c:pt idx="2781">
                  <c:v>602.14700000000005</c:v>
                </c:pt>
                <c:pt idx="2782">
                  <c:v>601.654</c:v>
                </c:pt>
                <c:pt idx="2783">
                  <c:v>596.16200000000003</c:v>
                </c:pt>
                <c:pt idx="2784">
                  <c:v>595.84</c:v>
                </c:pt>
                <c:pt idx="2785">
                  <c:v>594.83799999999997</c:v>
                </c:pt>
                <c:pt idx="2786">
                  <c:v>594.4</c:v>
                </c:pt>
                <c:pt idx="2787">
                  <c:v>593.745</c:v>
                </c:pt>
                <c:pt idx="2788">
                  <c:v>592.79999999999995</c:v>
                </c:pt>
                <c:pt idx="2789">
                  <c:v>592.39099999999996</c:v>
                </c:pt>
                <c:pt idx="2790">
                  <c:v>591.428</c:v>
                </c:pt>
                <c:pt idx="2791">
                  <c:v>590.91099999999994</c:v>
                </c:pt>
                <c:pt idx="2792">
                  <c:v>582.82600000000002</c:v>
                </c:pt>
                <c:pt idx="2793">
                  <c:v>582.59199999999998</c:v>
                </c:pt>
                <c:pt idx="2794">
                  <c:v>580.79999999999995</c:v>
                </c:pt>
                <c:pt idx="2795">
                  <c:v>580.19600000000003</c:v>
                </c:pt>
                <c:pt idx="2796">
                  <c:v>580.11400000000003</c:v>
                </c:pt>
                <c:pt idx="2797">
                  <c:v>579.86800000000005</c:v>
                </c:pt>
                <c:pt idx="2798">
                  <c:v>579.72400000000005</c:v>
                </c:pt>
                <c:pt idx="2799">
                  <c:v>579.48500000000001</c:v>
                </c:pt>
                <c:pt idx="2800">
                  <c:v>579.06100000000004</c:v>
                </c:pt>
                <c:pt idx="2801">
                  <c:v>577.07500000000005</c:v>
                </c:pt>
                <c:pt idx="2802">
                  <c:v>576.79999999999995</c:v>
                </c:pt>
                <c:pt idx="2803">
                  <c:v>575.62099999999998</c:v>
                </c:pt>
                <c:pt idx="2804">
                  <c:v>575.32899999999995</c:v>
                </c:pt>
                <c:pt idx="2805">
                  <c:v>574.55600000000004</c:v>
                </c:pt>
                <c:pt idx="2806">
                  <c:v>574.22</c:v>
                </c:pt>
                <c:pt idx="2807">
                  <c:v>573.52499999999998</c:v>
                </c:pt>
                <c:pt idx="2808">
                  <c:v>573.47400000000005</c:v>
                </c:pt>
                <c:pt idx="2809">
                  <c:v>568.46</c:v>
                </c:pt>
                <c:pt idx="2810">
                  <c:v>567.02499999999998</c:v>
                </c:pt>
                <c:pt idx="2811">
                  <c:v>563.48500000000001</c:v>
                </c:pt>
                <c:pt idx="2812">
                  <c:v>561.98599999999999</c:v>
                </c:pt>
                <c:pt idx="2813">
                  <c:v>560.94500000000005</c:v>
                </c:pt>
                <c:pt idx="2814">
                  <c:v>560.53800000000001</c:v>
                </c:pt>
                <c:pt idx="2815">
                  <c:v>556.75099999999998</c:v>
                </c:pt>
                <c:pt idx="2816">
                  <c:v>556.48500000000001</c:v>
                </c:pt>
                <c:pt idx="2817">
                  <c:v>554.73699999999997</c:v>
                </c:pt>
                <c:pt idx="2818">
                  <c:v>554.197</c:v>
                </c:pt>
                <c:pt idx="2819">
                  <c:v>551.20000000000005</c:v>
                </c:pt>
                <c:pt idx="2820">
                  <c:v>547.00400000000002</c:v>
                </c:pt>
                <c:pt idx="2821">
                  <c:v>545.21600000000001</c:v>
                </c:pt>
                <c:pt idx="2822">
                  <c:v>543.33100000000002</c:v>
                </c:pt>
                <c:pt idx="2823">
                  <c:v>543.29100000000005</c:v>
                </c:pt>
                <c:pt idx="2824">
                  <c:v>543.26099999999997</c:v>
                </c:pt>
                <c:pt idx="2825">
                  <c:v>538.02099999999996</c:v>
                </c:pt>
                <c:pt idx="2826">
                  <c:v>535.91</c:v>
                </c:pt>
                <c:pt idx="2827">
                  <c:v>535.649</c:v>
                </c:pt>
                <c:pt idx="2828">
                  <c:v>535.28200000000004</c:v>
                </c:pt>
                <c:pt idx="2829">
                  <c:v>534.40599999999995</c:v>
                </c:pt>
                <c:pt idx="2830">
                  <c:v>534.20299999999997</c:v>
                </c:pt>
                <c:pt idx="2831">
                  <c:v>533.51</c:v>
                </c:pt>
                <c:pt idx="2832">
                  <c:v>528.95299999999997</c:v>
                </c:pt>
                <c:pt idx="2833">
                  <c:v>528.04300000000001</c:v>
                </c:pt>
                <c:pt idx="2834">
                  <c:v>526.88199999999995</c:v>
                </c:pt>
                <c:pt idx="2835">
                  <c:v>526.4</c:v>
                </c:pt>
                <c:pt idx="2836">
                  <c:v>525.56299999999999</c:v>
                </c:pt>
                <c:pt idx="2837">
                  <c:v>524.755</c:v>
                </c:pt>
                <c:pt idx="2838">
                  <c:v>524.35199999999998</c:v>
                </c:pt>
                <c:pt idx="2839">
                  <c:v>523.75199999999995</c:v>
                </c:pt>
                <c:pt idx="2840">
                  <c:v>517.95500000000004</c:v>
                </c:pt>
                <c:pt idx="2841">
                  <c:v>513.28800000000001</c:v>
                </c:pt>
                <c:pt idx="2842">
                  <c:v>513.197</c:v>
                </c:pt>
                <c:pt idx="2843">
                  <c:v>512.779</c:v>
                </c:pt>
                <c:pt idx="2844">
                  <c:v>508.48599999999999</c:v>
                </c:pt>
                <c:pt idx="2845">
                  <c:v>508.46499999999997</c:v>
                </c:pt>
                <c:pt idx="2846">
                  <c:v>504</c:v>
                </c:pt>
                <c:pt idx="2847">
                  <c:v>504</c:v>
                </c:pt>
                <c:pt idx="2848">
                  <c:v>503.87299999999999</c:v>
                </c:pt>
                <c:pt idx="2849">
                  <c:v>503.32600000000002</c:v>
                </c:pt>
                <c:pt idx="2850">
                  <c:v>502.04</c:v>
                </c:pt>
                <c:pt idx="2851">
                  <c:v>502.04</c:v>
                </c:pt>
                <c:pt idx="2852">
                  <c:v>501.6</c:v>
                </c:pt>
                <c:pt idx="2853">
                  <c:v>501.58</c:v>
                </c:pt>
                <c:pt idx="2854">
                  <c:v>498.49099999999999</c:v>
                </c:pt>
                <c:pt idx="2855">
                  <c:v>498.46699999999998</c:v>
                </c:pt>
                <c:pt idx="2856">
                  <c:v>498.4</c:v>
                </c:pt>
                <c:pt idx="2857">
                  <c:v>498.4</c:v>
                </c:pt>
                <c:pt idx="2858">
                  <c:v>497.327</c:v>
                </c:pt>
                <c:pt idx="2859">
                  <c:v>496.46100000000001</c:v>
                </c:pt>
                <c:pt idx="2860">
                  <c:v>496.46100000000001</c:v>
                </c:pt>
                <c:pt idx="2861">
                  <c:v>496.27600000000001</c:v>
                </c:pt>
                <c:pt idx="2862">
                  <c:v>495.60500000000002</c:v>
                </c:pt>
                <c:pt idx="2863">
                  <c:v>495.464</c:v>
                </c:pt>
                <c:pt idx="2864">
                  <c:v>493.56900000000002</c:v>
                </c:pt>
                <c:pt idx="2865">
                  <c:v>491.767</c:v>
                </c:pt>
                <c:pt idx="2866">
                  <c:v>488.66500000000002</c:v>
                </c:pt>
                <c:pt idx="2867">
                  <c:v>488.24099999999999</c:v>
                </c:pt>
                <c:pt idx="2868">
                  <c:v>487.2</c:v>
                </c:pt>
                <c:pt idx="2869">
                  <c:v>486.28800000000001</c:v>
                </c:pt>
                <c:pt idx="2870">
                  <c:v>486.02100000000002</c:v>
                </c:pt>
                <c:pt idx="2871">
                  <c:v>485.30500000000001</c:v>
                </c:pt>
                <c:pt idx="2872">
                  <c:v>483.71100000000001</c:v>
                </c:pt>
                <c:pt idx="2873">
                  <c:v>482.524</c:v>
                </c:pt>
                <c:pt idx="2874">
                  <c:v>482.52</c:v>
                </c:pt>
                <c:pt idx="2875">
                  <c:v>481.79500000000002</c:v>
                </c:pt>
                <c:pt idx="2876">
                  <c:v>480.89600000000002</c:v>
                </c:pt>
                <c:pt idx="2877">
                  <c:v>480.68799999999999</c:v>
                </c:pt>
                <c:pt idx="2878">
                  <c:v>479.78899999999999</c:v>
                </c:pt>
                <c:pt idx="2879">
                  <c:v>479.56700000000001</c:v>
                </c:pt>
                <c:pt idx="2880">
                  <c:v>478.976</c:v>
                </c:pt>
                <c:pt idx="2881">
                  <c:v>478.04700000000003</c:v>
                </c:pt>
                <c:pt idx="2882">
                  <c:v>477.6</c:v>
                </c:pt>
                <c:pt idx="2883">
                  <c:v>475.96899999999999</c:v>
                </c:pt>
                <c:pt idx="2884">
                  <c:v>475.94799999999998</c:v>
                </c:pt>
                <c:pt idx="2885">
                  <c:v>475.74200000000002</c:v>
                </c:pt>
                <c:pt idx="2886">
                  <c:v>475.572</c:v>
                </c:pt>
                <c:pt idx="2887">
                  <c:v>475.22699999999998</c:v>
                </c:pt>
                <c:pt idx="2888">
                  <c:v>474.28899999999999</c:v>
                </c:pt>
                <c:pt idx="2889">
                  <c:v>472.846</c:v>
                </c:pt>
                <c:pt idx="2890">
                  <c:v>472.73599999999999</c:v>
                </c:pt>
                <c:pt idx="2891">
                  <c:v>472.25299999999999</c:v>
                </c:pt>
                <c:pt idx="2892">
                  <c:v>472</c:v>
                </c:pt>
                <c:pt idx="2893">
                  <c:v>469.68799999999999</c:v>
                </c:pt>
                <c:pt idx="2894">
                  <c:v>468.78899999999999</c:v>
                </c:pt>
                <c:pt idx="2895">
                  <c:v>467.976</c:v>
                </c:pt>
                <c:pt idx="2896">
                  <c:v>467.75099999999998</c:v>
                </c:pt>
                <c:pt idx="2897">
                  <c:v>465.63499999999999</c:v>
                </c:pt>
                <c:pt idx="2898">
                  <c:v>464.44400000000002</c:v>
                </c:pt>
                <c:pt idx="2899">
                  <c:v>463.97699999999998</c:v>
                </c:pt>
                <c:pt idx="2900">
                  <c:v>463.863</c:v>
                </c:pt>
                <c:pt idx="2901">
                  <c:v>461.78300000000002</c:v>
                </c:pt>
                <c:pt idx="2902">
                  <c:v>461.40899999999999</c:v>
                </c:pt>
                <c:pt idx="2903">
                  <c:v>460.56400000000002</c:v>
                </c:pt>
                <c:pt idx="2904">
                  <c:v>459.84899999999999</c:v>
                </c:pt>
                <c:pt idx="2905">
                  <c:v>459.8</c:v>
                </c:pt>
                <c:pt idx="2906">
                  <c:v>459.50099999999998</c:v>
                </c:pt>
                <c:pt idx="2907">
                  <c:v>459.02600000000001</c:v>
                </c:pt>
                <c:pt idx="2908">
                  <c:v>458.96199999999999</c:v>
                </c:pt>
                <c:pt idx="2909">
                  <c:v>458.911</c:v>
                </c:pt>
                <c:pt idx="2910">
                  <c:v>457.28</c:v>
                </c:pt>
                <c:pt idx="2911">
                  <c:v>457.27600000000001</c:v>
                </c:pt>
                <c:pt idx="2912">
                  <c:v>455.714</c:v>
                </c:pt>
                <c:pt idx="2913">
                  <c:v>454.34800000000001</c:v>
                </c:pt>
                <c:pt idx="2914">
                  <c:v>452.84199999999998</c:v>
                </c:pt>
                <c:pt idx="2915">
                  <c:v>450.4</c:v>
                </c:pt>
                <c:pt idx="2916">
                  <c:v>449.74</c:v>
                </c:pt>
                <c:pt idx="2917">
                  <c:v>449.18700000000001</c:v>
                </c:pt>
                <c:pt idx="2918">
                  <c:v>448.64800000000002</c:v>
                </c:pt>
                <c:pt idx="2919">
                  <c:v>447.685</c:v>
                </c:pt>
                <c:pt idx="2920">
                  <c:v>447.54199999999997</c:v>
                </c:pt>
                <c:pt idx="2921">
                  <c:v>447.08800000000002</c:v>
                </c:pt>
                <c:pt idx="2922">
                  <c:v>446.791</c:v>
                </c:pt>
                <c:pt idx="2923">
                  <c:v>445.995</c:v>
                </c:pt>
                <c:pt idx="2924">
                  <c:v>445.25299999999999</c:v>
                </c:pt>
                <c:pt idx="2925">
                  <c:v>443.55799999999999</c:v>
                </c:pt>
                <c:pt idx="2926">
                  <c:v>442.96899999999999</c:v>
                </c:pt>
                <c:pt idx="2927">
                  <c:v>442.79</c:v>
                </c:pt>
                <c:pt idx="2928">
                  <c:v>440.81</c:v>
                </c:pt>
                <c:pt idx="2929">
                  <c:v>438.94499999999999</c:v>
                </c:pt>
                <c:pt idx="2930">
                  <c:v>437.654</c:v>
                </c:pt>
                <c:pt idx="2931">
                  <c:v>437.14299999999997</c:v>
                </c:pt>
                <c:pt idx="2932">
                  <c:v>436.41199999999998</c:v>
                </c:pt>
                <c:pt idx="2933">
                  <c:v>436.30099999999999</c:v>
                </c:pt>
                <c:pt idx="2934">
                  <c:v>435.38600000000002</c:v>
                </c:pt>
                <c:pt idx="2935">
                  <c:v>434.35700000000003</c:v>
                </c:pt>
                <c:pt idx="2936">
                  <c:v>433.45</c:v>
                </c:pt>
                <c:pt idx="2937">
                  <c:v>433.298</c:v>
                </c:pt>
                <c:pt idx="2938">
                  <c:v>432.24900000000002</c:v>
                </c:pt>
                <c:pt idx="2939">
                  <c:v>431.2</c:v>
                </c:pt>
                <c:pt idx="2940">
                  <c:v>428.47300000000001</c:v>
                </c:pt>
                <c:pt idx="2941">
                  <c:v>426.089</c:v>
                </c:pt>
                <c:pt idx="2942">
                  <c:v>425.96199999999999</c:v>
                </c:pt>
                <c:pt idx="2943">
                  <c:v>425.78800000000001</c:v>
                </c:pt>
                <c:pt idx="2944">
                  <c:v>424.928</c:v>
                </c:pt>
                <c:pt idx="2945">
                  <c:v>422.39</c:v>
                </c:pt>
                <c:pt idx="2946">
                  <c:v>422.04599999999999</c:v>
                </c:pt>
                <c:pt idx="2947">
                  <c:v>421.6</c:v>
                </c:pt>
                <c:pt idx="2948">
                  <c:v>421</c:v>
                </c:pt>
                <c:pt idx="2949">
                  <c:v>419.96</c:v>
                </c:pt>
                <c:pt idx="2950">
                  <c:v>419.262</c:v>
                </c:pt>
                <c:pt idx="2951">
                  <c:v>416.8</c:v>
                </c:pt>
                <c:pt idx="2952">
                  <c:v>414.81900000000002</c:v>
                </c:pt>
                <c:pt idx="2953">
                  <c:v>411.90800000000002</c:v>
                </c:pt>
                <c:pt idx="2954">
                  <c:v>411.67099999999999</c:v>
                </c:pt>
                <c:pt idx="2955">
                  <c:v>411.16</c:v>
                </c:pt>
                <c:pt idx="2956">
                  <c:v>410.4</c:v>
                </c:pt>
                <c:pt idx="2957">
                  <c:v>409.28800000000001</c:v>
                </c:pt>
                <c:pt idx="2958">
                  <c:v>408.80399999999997</c:v>
                </c:pt>
                <c:pt idx="2959">
                  <c:v>408.303</c:v>
                </c:pt>
                <c:pt idx="2960">
                  <c:v>407.04300000000001</c:v>
                </c:pt>
                <c:pt idx="2961">
                  <c:v>406.46100000000001</c:v>
                </c:pt>
                <c:pt idx="2962">
                  <c:v>405.02600000000001</c:v>
                </c:pt>
                <c:pt idx="2963">
                  <c:v>404.17500000000001</c:v>
                </c:pt>
                <c:pt idx="2964">
                  <c:v>403.20400000000001</c:v>
                </c:pt>
                <c:pt idx="2965">
                  <c:v>403.19</c:v>
                </c:pt>
                <c:pt idx="2966">
                  <c:v>402.80700000000002</c:v>
                </c:pt>
                <c:pt idx="2967">
                  <c:v>401.99200000000002</c:v>
                </c:pt>
                <c:pt idx="2968">
                  <c:v>401.85500000000002</c:v>
                </c:pt>
                <c:pt idx="2969">
                  <c:v>401.17700000000002</c:v>
                </c:pt>
                <c:pt idx="2970">
                  <c:v>400.83800000000002</c:v>
                </c:pt>
                <c:pt idx="2971">
                  <c:v>400.06</c:v>
                </c:pt>
                <c:pt idx="2972">
                  <c:v>399.18200000000002</c:v>
                </c:pt>
                <c:pt idx="2973">
                  <c:v>399.101</c:v>
                </c:pt>
                <c:pt idx="2974">
                  <c:v>398.00799999999998</c:v>
                </c:pt>
                <c:pt idx="2975">
                  <c:v>397.69299999999998</c:v>
                </c:pt>
                <c:pt idx="2976">
                  <c:v>397.6</c:v>
                </c:pt>
                <c:pt idx="2977">
                  <c:v>394.4</c:v>
                </c:pt>
                <c:pt idx="2978">
                  <c:v>393.964</c:v>
                </c:pt>
                <c:pt idx="2979">
                  <c:v>392.55799999999999</c:v>
                </c:pt>
                <c:pt idx="2980">
                  <c:v>391.96</c:v>
                </c:pt>
                <c:pt idx="2981">
                  <c:v>391.14699999999999</c:v>
                </c:pt>
                <c:pt idx="2982">
                  <c:v>390.923</c:v>
                </c:pt>
                <c:pt idx="2983">
                  <c:v>390.613</c:v>
                </c:pt>
                <c:pt idx="2984">
                  <c:v>390.56</c:v>
                </c:pt>
                <c:pt idx="2985">
                  <c:v>390.4</c:v>
                </c:pt>
                <c:pt idx="2986">
                  <c:v>390.29300000000001</c:v>
                </c:pt>
                <c:pt idx="2987">
                  <c:v>390.10500000000002</c:v>
                </c:pt>
                <c:pt idx="2988">
                  <c:v>389.12799999999999</c:v>
                </c:pt>
                <c:pt idx="2989">
                  <c:v>388.46899999999999</c:v>
                </c:pt>
                <c:pt idx="2990">
                  <c:v>387.2</c:v>
                </c:pt>
                <c:pt idx="2991">
                  <c:v>386.834</c:v>
                </c:pt>
                <c:pt idx="2992">
                  <c:v>386.26499999999999</c:v>
                </c:pt>
                <c:pt idx="2993">
                  <c:v>385.69400000000002</c:v>
                </c:pt>
                <c:pt idx="2994">
                  <c:v>383.55099999999999</c:v>
                </c:pt>
                <c:pt idx="2995">
                  <c:v>382.4</c:v>
                </c:pt>
                <c:pt idx="2996">
                  <c:v>382.4</c:v>
                </c:pt>
                <c:pt idx="2997">
                  <c:v>381.83</c:v>
                </c:pt>
                <c:pt idx="2998">
                  <c:v>381.6</c:v>
                </c:pt>
                <c:pt idx="2999">
                  <c:v>380</c:v>
                </c:pt>
                <c:pt idx="3000">
                  <c:v>378.4</c:v>
                </c:pt>
                <c:pt idx="3001">
                  <c:v>378.4</c:v>
                </c:pt>
                <c:pt idx="3002">
                  <c:v>378.38900000000001</c:v>
                </c:pt>
                <c:pt idx="3003">
                  <c:v>378.28</c:v>
                </c:pt>
                <c:pt idx="3004">
                  <c:v>377.25599999999997</c:v>
                </c:pt>
                <c:pt idx="3005">
                  <c:v>376.928</c:v>
                </c:pt>
                <c:pt idx="3006">
                  <c:v>376.40199999999999</c:v>
                </c:pt>
                <c:pt idx="3007">
                  <c:v>375.38400000000001</c:v>
                </c:pt>
                <c:pt idx="3008">
                  <c:v>374.56900000000002</c:v>
                </c:pt>
                <c:pt idx="3009">
                  <c:v>372.14299999999997</c:v>
                </c:pt>
                <c:pt idx="3010">
                  <c:v>371.37599999999998</c:v>
                </c:pt>
                <c:pt idx="3011">
                  <c:v>371.33600000000001</c:v>
                </c:pt>
                <c:pt idx="3012">
                  <c:v>369.65899999999999</c:v>
                </c:pt>
                <c:pt idx="3013">
                  <c:v>369.6</c:v>
                </c:pt>
                <c:pt idx="3014">
                  <c:v>368.54500000000002</c:v>
                </c:pt>
                <c:pt idx="3015">
                  <c:v>368.16199999999998</c:v>
                </c:pt>
                <c:pt idx="3016">
                  <c:v>367.2</c:v>
                </c:pt>
                <c:pt idx="3017">
                  <c:v>367.00099999999998</c:v>
                </c:pt>
                <c:pt idx="3018">
                  <c:v>365.71300000000002</c:v>
                </c:pt>
                <c:pt idx="3019">
                  <c:v>365.57</c:v>
                </c:pt>
                <c:pt idx="3020">
                  <c:v>365.13099999999997</c:v>
                </c:pt>
                <c:pt idx="3021">
                  <c:v>364.02800000000002</c:v>
                </c:pt>
                <c:pt idx="3022">
                  <c:v>363.38200000000001</c:v>
                </c:pt>
                <c:pt idx="3023">
                  <c:v>363.03699999999998</c:v>
                </c:pt>
                <c:pt idx="3024">
                  <c:v>362.53300000000002</c:v>
                </c:pt>
                <c:pt idx="3025">
                  <c:v>362.33699999999999</c:v>
                </c:pt>
                <c:pt idx="3026">
                  <c:v>362.29899999999998</c:v>
                </c:pt>
                <c:pt idx="3027">
                  <c:v>362.02499999999998</c:v>
                </c:pt>
                <c:pt idx="3028">
                  <c:v>361.6</c:v>
                </c:pt>
                <c:pt idx="3029">
                  <c:v>361.53500000000003</c:v>
                </c:pt>
                <c:pt idx="3030">
                  <c:v>359.42</c:v>
                </c:pt>
                <c:pt idx="3031">
                  <c:v>358.51299999999998</c:v>
                </c:pt>
                <c:pt idx="3032">
                  <c:v>357.6</c:v>
                </c:pt>
                <c:pt idx="3033">
                  <c:v>357.30200000000002</c:v>
                </c:pt>
                <c:pt idx="3034">
                  <c:v>355.80099999999999</c:v>
                </c:pt>
                <c:pt idx="3035">
                  <c:v>355.78899999999999</c:v>
                </c:pt>
                <c:pt idx="3036">
                  <c:v>354.4</c:v>
                </c:pt>
                <c:pt idx="3037">
                  <c:v>354.4</c:v>
                </c:pt>
                <c:pt idx="3038">
                  <c:v>354.23899999999998</c:v>
                </c:pt>
                <c:pt idx="3039">
                  <c:v>352.94400000000002</c:v>
                </c:pt>
                <c:pt idx="3040">
                  <c:v>352.649</c:v>
                </c:pt>
                <c:pt idx="3041">
                  <c:v>351.81599999999997</c:v>
                </c:pt>
                <c:pt idx="3042">
                  <c:v>350.24099999999999</c:v>
                </c:pt>
                <c:pt idx="3043">
                  <c:v>349.89499999999998</c:v>
                </c:pt>
                <c:pt idx="3044">
                  <c:v>349.697</c:v>
                </c:pt>
                <c:pt idx="3045">
                  <c:v>348.53199999999998</c:v>
                </c:pt>
                <c:pt idx="3046">
                  <c:v>345.85300000000001</c:v>
                </c:pt>
                <c:pt idx="3047">
                  <c:v>344.75</c:v>
                </c:pt>
                <c:pt idx="3048">
                  <c:v>344.70499999999998</c:v>
                </c:pt>
                <c:pt idx="3049">
                  <c:v>342.4</c:v>
                </c:pt>
                <c:pt idx="3050">
                  <c:v>341.06799999999998</c:v>
                </c:pt>
                <c:pt idx="3051">
                  <c:v>339.60899999999998</c:v>
                </c:pt>
                <c:pt idx="3052">
                  <c:v>338.36900000000003</c:v>
                </c:pt>
                <c:pt idx="3053">
                  <c:v>338.07</c:v>
                </c:pt>
                <c:pt idx="3054">
                  <c:v>333.197</c:v>
                </c:pt>
                <c:pt idx="3055">
                  <c:v>331.57100000000003</c:v>
                </c:pt>
                <c:pt idx="3056">
                  <c:v>331.12400000000002</c:v>
                </c:pt>
                <c:pt idx="3057">
                  <c:v>328.935</c:v>
                </c:pt>
                <c:pt idx="3058">
                  <c:v>328.56299999999999</c:v>
                </c:pt>
                <c:pt idx="3059">
                  <c:v>327.54000000000002</c:v>
                </c:pt>
                <c:pt idx="3060">
                  <c:v>320.41399999999999</c:v>
                </c:pt>
                <c:pt idx="3061">
                  <c:v>319.16199999999998</c:v>
                </c:pt>
                <c:pt idx="3062">
                  <c:v>317.899</c:v>
                </c:pt>
                <c:pt idx="3063">
                  <c:v>317.35000000000002</c:v>
                </c:pt>
                <c:pt idx="3064">
                  <c:v>316.54199999999997</c:v>
                </c:pt>
                <c:pt idx="3065">
                  <c:v>315.49599999999998</c:v>
                </c:pt>
                <c:pt idx="3066">
                  <c:v>315.16800000000001</c:v>
                </c:pt>
                <c:pt idx="3067">
                  <c:v>314.62200000000001</c:v>
                </c:pt>
                <c:pt idx="3068">
                  <c:v>314.04700000000003</c:v>
                </c:pt>
                <c:pt idx="3069">
                  <c:v>313.45</c:v>
                </c:pt>
                <c:pt idx="3070">
                  <c:v>312.45600000000002</c:v>
                </c:pt>
                <c:pt idx="3071">
                  <c:v>310.50299999999999</c:v>
                </c:pt>
                <c:pt idx="3072">
                  <c:v>310.48500000000001</c:v>
                </c:pt>
                <c:pt idx="3073">
                  <c:v>309.81099999999998</c:v>
                </c:pt>
                <c:pt idx="3074">
                  <c:v>309.28899999999999</c:v>
                </c:pt>
                <c:pt idx="3075">
                  <c:v>308.8</c:v>
                </c:pt>
                <c:pt idx="3076">
                  <c:v>307.88299999999998</c:v>
                </c:pt>
                <c:pt idx="3077">
                  <c:v>307.697</c:v>
                </c:pt>
                <c:pt idx="3078">
                  <c:v>307.59899999999999</c:v>
                </c:pt>
                <c:pt idx="3079">
                  <c:v>305.91300000000001</c:v>
                </c:pt>
                <c:pt idx="3080">
                  <c:v>305.60000000000002</c:v>
                </c:pt>
                <c:pt idx="3081">
                  <c:v>305.34699999999998</c:v>
                </c:pt>
                <c:pt idx="3082">
                  <c:v>305.31599999999997</c:v>
                </c:pt>
                <c:pt idx="3083">
                  <c:v>304.411</c:v>
                </c:pt>
                <c:pt idx="3084">
                  <c:v>303.98099999999999</c:v>
                </c:pt>
                <c:pt idx="3085">
                  <c:v>302.43200000000002</c:v>
                </c:pt>
                <c:pt idx="3086">
                  <c:v>299.154</c:v>
                </c:pt>
                <c:pt idx="3087">
                  <c:v>297.65699999999998</c:v>
                </c:pt>
                <c:pt idx="3088">
                  <c:v>295.048</c:v>
                </c:pt>
                <c:pt idx="3089">
                  <c:v>294.52300000000002</c:v>
                </c:pt>
                <c:pt idx="3090">
                  <c:v>293.79500000000002</c:v>
                </c:pt>
                <c:pt idx="3091">
                  <c:v>293.30200000000002</c:v>
                </c:pt>
                <c:pt idx="3092">
                  <c:v>291.59399999999999</c:v>
                </c:pt>
                <c:pt idx="3093">
                  <c:v>286.666</c:v>
                </c:pt>
                <c:pt idx="3094">
                  <c:v>286.41800000000001</c:v>
                </c:pt>
                <c:pt idx="3095">
                  <c:v>285.33</c:v>
                </c:pt>
                <c:pt idx="3096">
                  <c:v>281.67</c:v>
                </c:pt>
                <c:pt idx="3097">
                  <c:v>281.608</c:v>
                </c:pt>
                <c:pt idx="3098">
                  <c:v>281.589</c:v>
                </c:pt>
                <c:pt idx="3099">
                  <c:v>277.12299999999999</c:v>
                </c:pt>
                <c:pt idx="3100">
                  <c:v>275.96899999999999</c:v>
                </c:pt>
                <c:pt idx="3101">
                  <c:v>274.97500000000002</c:v>
                </c:pt>
                <c:pt idx="3102">
                  <c:v>274.68200000000002</c:v>
                </c:pt>
                <c:pt idx="3103">
                  <c:v>274.108</c:v>
                </c:pt>
                <c:pt idx="3104">
                  <c:v>272.66399999999999</c:v>
                </c:pt>
                <c:pt idx="3105">
                  <c:v>269.89100000000002</c:v>
                </c:pt>
                <c:pt idx="3106">
                  <c:v>269.48099999999999</c:v>
                </c:pt>
                <c:pt idx="3107">
                  <c:v>267.72399999999999</c:v>
                </c:pt>
                <c:pt idx="3108">
                  <c:v>264.25900000000001</c:v>
                </c:pt>
                <c:pt idx="3109">
                  <c:v>262.37700000000001</c:v>
                </c:pt>
                <c:pt idx="3110">
                  <c:v>262.166</c:v>
                </c:pt>
                <c:pt idx="3111">
                  <c:v>260.20699999999999</c:v>
                </c:pt>
                <c:pt idx="3112">
                  <c:v>259.36700000000002</c:v>
                </c:pt>
                <c:pt idx="3113">
                  <c:v>258.47000000000003</c:v>
                </c:pt>
                <c:pt idx="3114">
                  <c:v>255.5</c:v>
                </c:pt>
                <c:pt idx="3115">
                  <c:v>255.44399999999999</c:v>
                </c:pt>
                <c:pt idx="3116">
                  <c:v>255.26499999999999</c:v>
                </c:pt>
                <c:pt idx="3117">
                  <c:v>254.15899999999999</c:v>
                </c:pt>
                <c:pt idx="3118">
                  <c:v>252.506</c:v>
                </c:pt>
                <c:pt idx="3119">
                  <c:v>251.15100000000001</c:v>
                </c:pt>
                <c:pt idx="3120">
                  <c:v>250.77</c:v>
                </c:pt>
                <c:pt idx="3121">
                  <c:v>250.47399999999999</c:v>
                </c:pt>
                <c:pt idx="3122">
                  <c:v>248.87</c:v>
                </c:pt>
                <c:pt idx="3123">
                  <c:v>247.72</c:v>
                </c:pt>
                <c:pt idx="3124">
                  <c:v>246.35900000000001</c:v>
                </c:pt>
                <c:pt idx="3125">
                  <c:v>245.447</c:v>
                </c:pt>
                <c:pt idx="3126">
                  <c:v>243.12700000000001</c:v>
                </c:pt>
                <c:pt idx="3127">
                  <c:v>242.03399999999999</c:v>
                </c:pt>
                <c:pt idx="3128">
                  <c:v>239.441</c:v>
                </c:pt>
                <c:pt idx="3129">
                  <c:v>238.51</c:v>
                </c:pt>
                <c:pt idx="3130">
                  <c:v>237.15</c:v>
                </c:pt>
                <c:pt idx="3131">
                  <c:v>234.899</c:v>
                </c:pt>
                <c:pt idx="3132">
                  <c:v>234.4</c:v>
                </c:pt>
                <c:pt idx="3133">
                  <c:v>233.488</c:v>
                </c:pt>
                <c:pt idx="3134">
                  <c:v>232.608</c:v>
                </c:pt>
                <c:pt idx="3135">
                  <c:v>231.249</c:v>
                </c:pt>
                <c:pt idx="3136">
                  <c:v>230.80799999999999</c:v>
                </c:pt>
                <c:pt idx="3137">
                  <c:v>230.4</c:v>
                </c:pt>
                <c:pt idx="3138">
                  <c:v>230.35400000000001</c:v>
                </c:pt>
                <c:pt idx="3139">
                  <c:v>228.92699999999999</c:v>
                </c:pt>
                <c:pt idx="3140">
                  <c:v>225.76900000000001</c:v>
                </c:pt>
                <c:pt idx="3141">
                  <c:v>225.37700000000001</c:v>
                </c:pt>
                <c:pt idx="3142">
                  <c:v>223.75800000000001</c:v>
                </c:pt>
                <c:pt idx="3143">
                  <c:v>223.2</c:v>
                </c:pt>
                <c:pt idx="3144">
                  <c:v>222.47200000000001</c:v>
                </c:pt>
                <c:pt idx="3145">
                  <c:v>222.41900000000001</c:v>
                </c:pt>
                <c:pt idx="3146">
                  <c:v>222.33199999999999</c:v>
                </c:pt>
                <c:pt idx="3147">
                  <c:v>220.09899999999999</c:v>
                </c:pt>
                <c:pt idx="3148">
                  <c:v>216.68799999999999</c:v>
                </c:pt>
                <c:pt idx="3149">
                  <c:v>214.17599999999999</c:v>
                </c:pt>
                <c:pt idx="3150">
                  <c:v>214.13900000000001</c:v>
                </c:pt>
                <c:pt idx="3151">
                  <c:v>212.24100000000001</c:v>
                </c:pt>
                <c:pt idx="3152">
                  <c:v>210.81100000000001</c:v>
                </c:pt>
                <c:pt idx="3153">
                  <c:v>210.21899999999999</c:v>
                </c:pt>
                <c:pt idx="3154">
                  <c:v>206.89400000000001</c:v>
                </c:pt>
                <c:pt idx="3155">
                  <c:v>206.422</c:v>
                </c:pt>
                <c:pt idx="3156">
                  <c:v>206.102</c:v>
                </c:pt>
                <c:pt idx="3157">
                  <c:v>204.863</c:v>
                </c:pt>
                <c:pt idx="3158">
                  <c:v>204.12799999999999</c:v>
                </c:pt>
                <c:pt idx="3159">
                  <c:v>204.01900000000001</c:v>
                </c:pt>
                <c:pt idx="3160">
                  <c:v>203.31100000000001</c:v>
                </c:pt>
                <c:pt idx="3161">
                  <c:v>201.625</c:v>
                </c:pt>
                <c:pt idx="3162">
                  <c:v>201.11799999999999</c:v>
                </c:pt>
                <c:pt idx="3163">
                  <c:v>200.49199999999999</c:v>
                </c:pt>
                <c:pt idx="3164">
                  <c:v>199.77500000000001</c:v>
                </c:pt>
                <c:pt idx="3165">
                  <c:v>198.571</c:v>
                </c:pt>
                <c:pt idx="3166">
                  <c:v>196.57400000000001</c:v>
                </c:pt>
                <c:pt idx="3167">
                  <c:v>196.24100000000001</c:v>
                </c:pt>
                <c:pt idx="3168">
                  <c:v>196.17099999999999</c:v>
                </c:pt>
                <c:pt idx="3169">
                  <c:v>195.10300000000001</c:v>
                </c:pt>
                <c:pt idx="3170">
                  <c:v>194.71799999999999</c:v>
                </c:pt>
                <c:pt idx="3171">
                  <c:v>192</c:v>
                </c:pt>
                <c:pt idx="3172">
                  <c:v>187.65</c:v>
                </c:pt>
                <c:pt idx="3173">
                  <c:v>186.465</c:v>
                </c:pt>
                <c:pt idx="3174">
                  <c:v>184.82300000000001</c:v>
                </c:pt>
                <c:pt idx="3175">
                  <c:v>184.63499999999999</c:v>
                </c:pt>
                <c:pt idx="3176">
                  <c:v>184.63200000000001</c:v>
                </c:pt>
                <c:pt idx="3177">
                  <c:v>184.62899999999999</c:v>
                </c:pt>
                <c:pt idx="3178">
                  <c:v>184.351</c:v>
                </c:pt>
                <c:pt idx="3179">
                  <c:v>183.38200000000001</c:v>
                </c:pt>
                <c:pt idx="3180">
                  <c:v>183.37299999999999</c:v>
                </c:pt>
                <c:pt idx="3181">
                  <c:v>182.07400000000001</c:v>
                </c:pt>
                <c:pt idx="3182">
                  <c:v>181.738</c:v>
                </c:pt>
                <c:pt idx="3183">
                  <c:v>180.48</c:v>
                </c:pt>
                <c:pt idx="3184">
                  <c:v>180.16399999999999</c:v>
                </c:pt>
                <c:pt idx="3185">
                  <c:v>179.28</c:v>
                </c:pt>
                <c:pt idx="3186">
                  <c:v>177.06399999999999</c:v>
                </c:pt>
                <c:pt idx="3187">
                  <c:v>176.4</c:v>
                </c:pt>
                <c:pt idx="3188">
                  <c:v>173.6</c:v>
                </c:pt>
                <c:pt idx="3189">
                  <c:v>172.56</c:v>
                </c:pt>
                <c:pt idx="3190">
                  <c:v>172.274</c:v>
                </c:pt>
                <c:pt idx="3191">
                  <c:v>171.2</c:v>
                </c:pt>
                <c:pt idx="3192">
                  <c:v>168.10599999999999</c:v>
                </c:pt>
                <c:pt idx="3193">
                  <c:v>167.03299999999999</c:v>
                </c:pt>
                <c:pt idx="3194">
                  <c:v>163.76599999999999</c:v>
                </c:pt>
                <c:pt idx="3195">
                  <c:v>162.07300000000001</c:v>
                </c:pt>
                <c:pt idx="3196">
                  <c:v>161.84100000000001</c:v>
                </c:pt>
                <c:pt idx="3197">
                  <c:v>161.66</c:v>
                </c:pt>
                <c:pt idx="3198">
                  <c:v>161.64400000000001</c:v>
                </c:pt>
                <c:pt idx="3199">
                  <c:v>159.773</c:v>
                </c:pt>
                <c:pt idx="3200">
                  <c:v>159.328</c:v>
                </c:pt>
                <c:pt idx="3201">
                  <c:v>158.78200000000001</c:v>
                </c:pt>
                <c:pt idx="3202">
                  <c:v>158.68799999999999</c:v>
                </c:pt>
                <c:pt idx="3203">
                  <c:v>157.40100000000001</c:v>
                </c:pt>
                <c:pt idx="3204">
                  <c:v>156.16499999999999</c:v>
                </c:pt>
                <c:pt idx="3205">
                  <c:v>153.74700000000001</c:v>
                </c:pt>
                <c:pt idx="3206">
                  <c:v>153.08199999999999</c:v>
                </c:pt>
                <c:pt idx="3207">
                  <c:v>152.24100000000001</c:v>
                </c:pt>
                <c:pt idx="3208">
                  <c:v>150.89099999999999</c:v>
                </c:pt>
                <c:pt idx="3209">
                  <c:v>150.52699999999999</c:v>
                </c:pt>
                <c:pt idx="3210">
                  <c:v>149.964</c:v>
                </c:pt>
                <c:pt idx="3211">
                  <c:v>149.01499999999999</c:v>
                </c:pt>
                <c:pt idx="3212">
                  <c:v>147.00399999999999</c:v>
                </c:pt>
                <c:pt idx="3213">
                  <c:v>145.916</c:v>
                </c:pt>
                <c:pt idx="3214">
                  <c:v>145.76499999999999</c:v>
                </c:pt>
                <c:pt idx="3215">
                  <c:v>145.185</c:v>
                </c:pt>
                <c:pt idx="3216">
                  <c:v>145.083</c:v>
                </c:pt>
                <c:pt idx="3217">
                  <c:v>143.28299999999999</c:v>
                </c:pt>
                <c:pt idx="3218">
                  <c:v>141.48500000000001</c:v>
                </c:pt>
                <c:pt idx="3219">
                  <c:v>139.84899999999999</c:v>
                </c:pt>
                <c:pt idx="3220">
                  <c:v>139.65100000000001</c:v>
                </c:pt>
                <c:pt idx="3221">
                  <c:v>139.643</c:v>
                </c:pt>
                <c:pt idx="3222">
                  <c:v>138.64599999999999</c:v>
                </c:pt>
                <c:pt idx="3223">
                  <c:v>138.4</c:v>
                </c:pt>
                <c:pt idx="3224">
                  <c:v>137.47300000000001</c:v>
                </c:pt>
                <c:pt idx="3225">
                  <c:v>137.02500000000001</c:v>
                </c:pt>
                <c:pt idx="3226">
                  <c:v>136.80000000000001</c:v>
                </c:pt>
                <c:pt idx="3227">
                  <c:v>135.078</c:v>
                </c:pt>
                <c:pt idx="3228">
                  <c:v>134.44800000000001</c:v>
                </c:pt>
                <c:pt idx="3229">
                  <c:v>133.56200000000001</c:v>
                </c:pt>
                <c:pt idx="3230">
                  <c:v>133.124</c:v>
                </c:pt>
                <c:pt idx="3231">
                  <c:v>129.99600000000001</c:v>
                </c:pt>
                <c:pt idx="3232">
                  <c:v>129.85</c:v>
                </c:pt>
                <c:pt idx="3233">
                  <c:v>129.68199999999999</c:v>
                </c:pt>
                <c:pt idx="3234">
                  <c:v>129.333</c:v>
                </c:pt>
                <c:pt idx="3235">
                  <c:v>128.488</c:v>
                </c:pt>
                <c:pt idx="3236">
                  <c:v>128.21700000000001</c:v>
                </c:pt>
                <c:pt idx="3237">
                  <c:v>127.937</c:v>
                </c:pt>
                <c:pt idx="3238">
                  <c:v>127.754</c:v>
                </c:pt>
                <c:pt idx="3239">
                  <c:v>127.2</c:v>
                </c:pt>
                <c:pt idx="3240">
                  <c:v>126.4</c:v>
                </c:pt>
                <c:pt idx="3241">
                  <c:v>125.512</c:v>
                </c:pt>
                <c:pt idx="3242">
                  <c:v>124.8</c:v>
                </c:pt>
                <c:pt idx="3243">
                  <c:v>124.774</c:v>
                </c:pt>
                <c:pt idx="3244">
                  <c:v>123.533</c:v>
                </c:pt>
                <c:pt idx="3245">
                  <c:v>122.756</c:v>
                </c:pt>
                <c:pt idx="3246">
                  <c:v>121.84399999999999</c:v>
                </c:pt>
                <c:pt idx="3247">
                  <c:v>121.67</c:v>
                </c:pt>
                <c:pt idx="3248">
                  <c:v>121.202</c:v>
                </c:pt>
                <c:pt idx="3249">
                  <c:v>121.197</c:v>
                </c:pt>
                <c:pt idx="3250">
                  <c:v>120.206</c:v>
                </c:pt>
                <c:pt idx="3251">
                  <c:v>120</c:v>
                </c:pt>
                <c:pt idx="3252">
                  <c:v>119.40300000000001</c:v>
                </c:pt>
                <c:pt idx="3253">
                  <c:v>118.52200000000001</c:v>
                </c:pt>
                <c:pt idx="3254">
                  <c:v>118.4</c:v>
                </c:pt>
                <c:pt idx="3255">
                  <c:v>116.95</c:v>
                </c:pt>
                <c:pt idx="3256">
                  <c:v>116.8</c:v>
                </c:pt>
                <c:pt idx="3257">
                  <c:v>116.541</c:v>
                </c:pt>
                <c:pt idx="3258">
                  <c:v>116.13200000000001</c:v>
                </c:pt>
                <c:pt idx="3259">
                  <c:v>116</c:v>
                </c:pt>
                <c:pt idx="3260">
                  <c:v>115.538</c:v>
                </c:pt>
                <c:pt idx="3261">
                  <c:v>114.98699999999999</c:v>
                </c:pt>
                <c:pt idx="3262">
                  <c:v>114.81699999999999</c:v>
                </c:pt>
                <c:pt idx="3263">
                  <c:v>114.4</c:v>
                </c:pt>
                <c:pt idx="3264">
                  <c:v>114.4</c:v>
                </c:pt>
                <c:pt idx="3265">
                  <c:v>113.747</c:v>
                </c:pt>
                <c:pt idx="3266">
                  <c:v>113.678</c:v>
                </c:pt>
                <c:pt idx="3267">
                  <c:v>113.6</c:v>
                </c:pt>
                <c:pt idx="3268">
                  <c:v>112.861</c:v>
                </c:pt>
                <c:pt idx="3269">
                  <c:v>112.861</c:v>
                </c:pt>
                <c:pt idx="3270">
                  <c:v>112.65600000000001</c:v>
                </c:pt>
                <c:pt idx="3271">
                  <c:v>111.2</c:v>
                </c:pt>
                <c:pt idx="3272">
                  <c:v>111.114</c:v>
                </c:pt>
                <c:pt idx="3273">
                  <c:v>111.014</c:v>
                </c:pt>
                <c:pt idx="3274">
                  <c:v>110.4</c:v>
                </c:pt>
                <c:pt idx="3275">
                  <c:v>110.4</c:v>
                </c:pt>
                <c:pt idx="3276">
                  <c:v>110.4</c:v>
                </c:pt>
                <c:pt idx="3277">
                  <c:v>110.4</c:v>
                </c:pt>
                <c:pt idx="3278">
                  <c:v>109.6</c:v>
                </c:pt>
                <c:pt idx="3279">
                  <c:v>108.8</c:v>
                </c:pt>
                <c:pt idx="3280">
                  <c:v>108.614</c:v>
                </c:pt>
                <c:pt idx="3281">
                  <c:v>108.377</c:v>
                </c:pt>
                <c:pt idx="3282">
                  <c:v>108.301</c:v>
                </c:pt>
                <c:pt idx="3283">
                  <c:v>108.018</c:v>
                </c:pt>
                <c:pt idx="3284">
                  <c:v>107.217</c:v>
                </c:pt>
                <c:pt idx="3285">
                  <c:v>107.217</c:v>
                </c:pt>
                <c:pt idx="3286">
                  <c:v>107.2</c:v>
                </c:pt>
                <c:pt idx="3287">
                  <c:v>107.136</c:v>
                </c:pt>
                <c:pt idx="3288">
                  <c:v>106.78</c:v>
                </c:pt>
                <c:pt idx="3289">
                  <c:v>106.502</c:v>
                </c:pt>
                <c:pt idx="3290">
                  <c:v>106.4</c:v>
                </c:pt>
                <c:pt idx="3291">
                  <c:v>105.986</c:v>
                </c:pt>
                <c:pt idx="3292">
                  <c:v>105.6</c:v>
                </c:pt>
                <c:pt idx="3293">
                  <c:v>105.6</c:v>
                </c:pt>
                <c:pt idx="3294">
                  <c:v>105.5</c:v>
                </c:pt>
                <c:pt idx="3295">
                  <c:v>105.18899999999999</c:v>
                </c:pt>
                <c:pt idx="3296">
                  <c:v>105.179</c:v>
                </c:pt>
                <c:pt idx="3297">
                  <c:v>104.887</c:v>
                </c:pt>
                <c:pt idx="3298">
                  <c:v>104.8</c:v>
                </c:pt>
                <c:pt idx="3299">
                  <c:v>104.8</c:v>
                </c:pt>
                <c:pt idx="3300">
                  <c:v>104.548</c:v>
                </c:pt>
                <c:pt idx="3301">
                  <c:v>104.54</c:v>
                </c:pt>
                <c:pt idx="3302">
                  <c:v>104.32</c:v>
                </c:pt>
                <c:pt idx="3303">
                  <c:v>104.11</c:v>
                </c:pt>
                <c:pt idx="3304">
                  <c:v>103.351</c:v>
                </c:pt>
                <c:pt idx="3305">
                  <c:v>103.333</c:v>
                </c:pt>
                <c:pt idx="3306">
                  <c:v>103.09699999999999</c:v>
                </c:pt>
                <c:pt idx="3307">
                  <c:v>102.229</c:v>
                </c:pt>
                <c:pt idx="3308">
                  <c:v>101.779</c:v>
                </c:pt>
                <c:pt idx="3309">
                  <c:v>101.779</c:v>
                </c:pt>
                <c:pt idx="3310">
                  <c:v>101.6</c:v>
                </c:pt>
                <c:pt idx="3311">
                  <c:v>101.49299999999999</c:v>
                </c:pt>
                <c:pt idx="3312">
                  <c:v>101.205</c:v>
                </c:pt>
                <c:pt idx="3313">
                  <c:v>101.002</c:v>
                </c:pt>
                <c:pt idx="3314">
                  <c:v>100.875</c:v>
                </c:pt>
                <c:pt idx="3315">
                  <c:v>100.76600000000001</c:v>
                </c:pt>
                <c:pt idx="3316">
                  <c:v>100.593</c:v>
                </c:pt>
                <c:pt idx="3317">
                  <c:v>100</c:v>
                </c:pt>
                <c:pt idx="3318">
                  <c:v>99.775000000000006</c:v>
                </c:pt>
                <c:pt idx="3319">
                  <c:v>99.683000000000007</c:v>
                </c:pt>
                <c:pt idx="3320">
                  <c:v>99.63</c:v>
                </c:pt>
                <c:pt idx="3321">
                  <c:v>99.447999999999993</c:v>
                </c:pt>
                <c:pt idx="3322">
                  <c:v>99.2</c:v>
                </c:pt>
                <c:pt idx="3323">
                  <c:v>99.07</c:v>
                </c:pt>
                <c:pt idx="3324">
                  <c:v>98.956999999999994</c:v>
                </c:pt>
                <c:pt idx="3325">
                  <c:v>98.671000000000006</c:v>
                </c:pt>
                <c:pt idx="3326">
                  <c:v>98.4</c:v>
                </c:pt>
                <c:pt idx="3327">
                  <c:v>98.013000000000005</c:v>
                </c:pt>
                <c:pt idx="3328">
                  <c:v>97.6</c:v>
                </c:pt>
                <c:pt idx="3329">
                  <c:v>96.8</c:v>
                </c:pt>
                <c:pt idx="3330">
                  <c:v>96.69</c:v>
                </c:pt>
                <c:pt idx="3331">
                  <c:v>96.504000000000005</c:v>
                </c:pt>
                <c:pt idx="3332">
                  <c:v>96.213999999999999</c:v>
                </c:pt>
                <c:pt idx="3333">
                  <c:v>95.396000000000001</c:v>
                </c:pt>
                <c:pt idx="3334">
                  <c:v>94.867999999999995</c:v>
                </c:pt>
                <c:pt idx="3335">
                  <c:v>94.641000000000005</c:v>
                </c:pt>
                <c:pt idx="3336">
                  <c:v>94.4</c:v>
                </c:pt>
                <c:pt idx="3337">
                  <c:v>94.305000000000007</c:v>
                </c:pt>
                <c:pt idx="3338">
                  <c:v>94.033000000000001</c:v>
                </c:pt>
                <c:pt idx="3339">
                  <c:v>94.031000000000006</c:v>
                </c:pt>
                <c:pt idx="3340">
                  <c:v>93.808999999999997</c:v>
                </c:pt>
                <c:pt idx="3341">
                  <c:v>93.379000000000005</c:v>
                </c:pt>
                <c:pt idx="3342">
                  <c:v>92</c:v>
                </c:pt>
                <c:pt idx="3343">
                  <c:v>91.641999999999996</c:v>
                </c:pt>
                <c:pt idx="3344">
                  <c:v>91.2</c:v>
                </c:pt>
                <c:pt idx="3345">
                  <c:v>90.951999999999998</c:v>
                </c:pt>
                <c:pt idx="3346">
                  <c:v>90.513999999999996</c:v>
                </c:pt>
                <c:pt idx="3347">
                  <c:v>89.710999999999999</c:v>
                </c:pt>
                <c:pt idx="3348">
                  <c:v>89.6</c:v>
                </c:pt>
                <c:pt idx="3349">
                  <c:v>89.397999999999996</c:v>
                </c:pt>
                <c:pt idx="3350">
                  <c:v>88.8</c:v>
                </c:pt>
                <c:pt idx="3351">
                  <c:v>88.695999999999998</c:v>
                </c:pt>
                <c:pt idx="3352">
                  <c:v>88.292000000000002</c:v>
                </c:pt>
                <c:pt idx="3353">
                  <c:v>88.262</c:v>
                </c:pt>
                <c:pt idx="3354">
                  <c:v>88</c:v>
                </c:pt>
                <c:pt idx="3355">
                  <c:v>88</c:v>
                </c:pt>
                <c:pt idx="3356">
                  <c:v>87.846999999999994</c:v>
                </c:pt>
                <c:pt idx="3357">
                  <c:v>87.658000000000001</c:v>
                </c:pt>
                <c:pt idx="3358">
                  <c:v>87.658000000000001</c:v>
                </c:pt>
                <c:pt idx="3359">
                  <c:v>87.460999999999999</c:v>
                </c:pt>
                <c:pt idx="3360">
                  <c:v>87.325000000000003</c:v>
                </c:pt>
                <c:pt idx="3361">
                  <c:v>87.2</c:v>
                </c:pt>
                <c:pt idx="3362">
                  <c:v>86.641000000000005</c:v>
                </c:pt>
                <c:pt idx="3363">
                  <c:v>85.828000000000003</c:v>
                </c:pt>
                <c:pt idx="3364">
                  <c:v>85.6</c:v>
                </c:pt>
                <c:pt idx="3365">
                  <c:v>85.6</c:v>
                </c:pt>
                <c:pt idx="3366">
                  <c:v>84</c:v>
                </c:pt>
                <c:pt idx="3367">
                  <c:v>82.665999999999997</c:v>
                </c:pt>
                <c:pt idx="3368">
                  <c:v>82.635999999999996</c:v>
                </c:pt>
                <c:pt idx="3369">
                  <c:v>82.378</c:v>
                </c:pt>
                <c:pt idx="3370">
                  <c:v>82.378</c:v>
                </c:pt>
                <c:pt idx="3371">
                  <c:v>82.378</c:v>
                </c:pt>
                <c:pt idx="3372">
                  <c:v>82.378</c:v>
                </c:pt>
                <c:pt idx="3373">
                  <c:v>81.396000000000001</c:v>
                </c:pt>
                <c:pt idx="3374">
                  <c:v>80.826999999999998</c:v>
                </c:pt>
                <c:pt idx="3375">
                  <c:v>80.554000000000002</c:v>
                </c:pt>
                <c:pt idx="3376">
                  <c:v>80.281999999999996</c:v>
                </c:pt>
                <c:pt idx="3377">
                  <c:v>78.641000000000005</c:v>
                </c:pt>
                <c:pt idx="3378">
                  <c:v>76.94</c:v>
                </c:pt>
                <c:pt idx="3379">
                  <c:v>75.570999999999998</c:v>
                </c:pt>
                <c:pt idx="3380">
                  <c:v>75.442999999999998</c:v>
                </c:pt>
                <c:pt idx="3381">
                  <c:v>74.429000000000002</c:v>
                </c:pt>
                <c:pt idx="3382">
                  <c:v>73.840999999999994</c:v>
                </c:pt>
                <c:pt idx="3383">
                  <c:v>73.126999999999995</c:v>
                </c:pt>
                <c:pt idx="3384">
                  <c:v>72.893000000000001</c:v>
                </c:pt>
                <c:pt idx="3385">
                  <c:v>71.415999999999997</c:v>
                </c:pt>
                <c:pt idx="3386">
                  <c:v>71.39</c:v>
                </c:pt>
                <c:pt idx="3387">
                  <c:v>71.069999999999993</c:v>
                </c:pt>
                <c:pt idx="3388">
                  <c:v>70.891000000000005</c:v>
                </c:pt>
                <c:pt idx="3389">
                  <c:v>70.484999999999999</c:v>
                </c:pt>
                <c:pt idx="3390">
                  <c:v>68.596999999999994</c:v>
                </c:pt>
                <c:pt idx="3391">
                  <c:v>68.088999999999999</c:v>
                </c:pt>
                <c:pt idx="3392">
                  <c:v>66.641000000000005</c:v>
                </c:pt>
                <c:pt idx="3393">
                  <c:v>64.206000000000003</c:v>
                </c:pt>
                <c:pt idx="3394">
                  <c:v>62.895000000000003</c:v>
                </c:pt>
                <c:pt idx="3395">
                  <c:v>61.040999999999997</c:v>
                </c:pt>
                <c:pt idx="3396">
                  <c:v>60.69</c:v>
                </c:pt>
                <c:pt idx="3397">
                  <c:v>60.503999999999998</c:v>
                </c:pt>
                <c:pt idx="3398">
                  <c:v>59.588999999999999</c:v>
                </c:pt>
                <c:pt idx="3399">
                  <c:v>57.165999999999997</c:v>
                </c:pt>
                <c:pt idx="3400">
                  <c:v>56.94</c:v>
                </c:pt>
                <c:pt idx="3401">
                  <c:v>52.582000000000001</c:v>
                </c:pt>
                <c:pt idx="3402">
                  <c:v>52.241</c:v>
                </c:pt>
                <c:pt idx="3403">
                  <c:v>52.063000000000002</c:v>
                </c:pt>
                <c:pt idx="3404">
                  <c:v>51.692999999999998</c:v>
                </c:pt>
                <c:pt idx="3405">
                  <c:v>51.366</c:v>
                </c:pt>
                <c:pt idx="3406">
                  <c:v>50.97</c:v>
                </c:pt>
                <c:pt idx="3407">
                  <c:v>49.588000000000001</c:v>
                </c:pt>
                <c:pt idx="3408">
                  <c:v>49.012</c:v>
                </c:pt>
                <c:pt idx="3409">
                  <c:v>48.531999999999996</c:v>
                </c:pt>
                <c:pt idx="3410">
                  <c:v>47.887999999999998</c:v>
                </c:pt>
                <c:pt idx="3411">
                  <c:v>47.305999999999997</c:v>
                </c:pt>
                <c:pt idx="3412">
                  <c:v>47.13</c:v>
                </c:pt>
                <c:pt idx="3413">
                  <c:v>47.122</c:v>
                </c:pt>
                <c:pt idx="3414">
                  <c:v>46.301000000000002</c:v>
                </c:pt>
                <c:pt idx="3415">
                  <c:v>45.122</c:v>
                </c:pt>
                <c:pt idx="3416">
                  <c:v>45.027000000000001</c:v>
                </c:pt>
                <c:pt idx="3417">
                  <c:v>43.212000000000003</c:v>
                </c:pt>
                <c:pt idx="3418">
                  <c:v>42.265999999999998</c:v>
                </c:pt>
                <c:pt idx="3419">
                  <c:v>41.878999999999998</c:v>
                </c:pt>
                <c:pt idx="3420">
                  <c:v>41.142000000000003</c:v>
                </c:pt>
                <c:pt idx="3421">
                  <c:v>41.040999999999997</c:v>
                </c:pt>
                <c:pt idx="3422">
                  <c:v>39.493000000000002</c:v>
                </c:pt>
                <c:pt idx="3423">
                  <c:v>34.328000000000003</c:v>
                </c:pt>
                <c:pt idx="3424">
                  <c:v>33.841000000000001</c:v>
                </c:pt>
                <c:pt idx="3425">
                  <c:v>33.817</c:v>
                </c:pt>
                <c:pt idx="3426">
                  <c:v>33.756</c:v>
                </c:pt>
                <c:pt idx="3427">
                  <c:v>32.381</c:v>
                </c:pt>
                <c:pt idx="3428">
                  <c:v>30.763999999999999</c:v>
                </c:pt>
                <c:pt idx="3429">
                  <c:v>30.692</c:v>
                </c:pt>
                <c:pt idx="3430">
                  <c:v>30.672999999999998</c:v>
                </c:pt>
                <c:pt idx="3431">
                  <c:v>30.495999999999999</c:v>
                </c:pt>
                <c:pt idx="3432">
                  <c:v>30.465</c:v>
                </c:pt>
                <c:pt idx="3433">
                  <c:v>29.231999999999999</c:v>
                </c:pt>
                <c:pt idx="3434">
                  <c:v>28.309000000000001</c:v>
                </c:pt>
                <c:pt idx="3435">
                  <c:v>28.215</c:v>
                </c:pt>
                <c:pt idx="3436">
                  <c:v>27.51</c:v>
                </c:pt>
                <c:pt idx="3437">
                  <c:v>25.167000000000002</c:v>
                </c:pt>
                <c:pt idx="3438">
                  <c:v>22.640999999999998</c:v>
                </c:pt>
                <c:pt idx="3439">
                  <c:v>20.927</c:v>
                </c:pt>
                <c:pt idx="3440">
                  <c:v>20.393000000000001</c:v>
                </c:pt>
                <c:pt idx="3441">
                  <c:v>20.241</c:v>
                </c:pt>
                <c:pt idx="3442">
                  <c:v>19.777000000000001</c:v>
                </c:pt>
                <c:pt idx="3443">
                  <c:v>19.494</c:v>
                </c:pt>
                <c:pt idx="3444">
                  <c:v>17.841000000000001</c:v>
                </c:pt>
                <c:pt idx="3445">
                  <c:v>15.15</c:v>
                </c:pt>
                <c:pt idx="3446">
                  <c:v>13.840999999999999</c:v>
                </c:pt>
                <c:pt idx="3447">
                  <c:v>13.752000000000001</c:v>
                </c:pt>
                <c:pt idx="3448">
                  <c:v>11.749000000000001</c:v>
                </c:pt>
                <c:pt idx="3449">
                  <c:v>10.72</c:v>
                </c:pt>
                <c:pt idx="3450">
                  <c:v>10.315</c:v>
                </c:pt>
                <c:pt idx="3451">
                  <c:v>10.116</c:v>
                </c:pt>
                <c:pt idx="3452">
                  <c:v>9.952</c:v>
                </c:pt>
                <c:pt idx="3453">
                  <c:v>9.8879999999999999</c:v>
                </c:pt>
                <c:pt idx="3454">
                  <c:v>9.83</c:v>
                </c:pt>
                <c:pt idx="3455">
                  <c:v>8.8789999999999996</c:v>
                </c:pt>
                <c:pt idx="3456">
                  <c:v>8.6120000000000001</c:v>
                </c:pt>
                <c:pt idx="3457">
                  <c:v>8.3209999999999997</c:v>
                </c:pt>
                <c:pt idx="3458">
                  <c:v>6.9560000000000004</c:v>
                </c:pt>
                <c:pt idx="3459">
                  <c:v>6.657</c:v>
                </c:pt>
                <c:pt idx="3460">
                  <c:v>5.8689999999999998</c:v>
                </c:pt>
                <c:pt idx="3461">
                  <c:v>5.1109999999999998</c:v>
                </c:pt>
                <c:pt idx="3462">
                  <c:v>4.8760000000000003</c:v>
                </c:pt>
                <c:pt idx="3463">
                  <c:v>4.2699999999999996</c:v>
                </c:pt>
                <c:pt idx="3464">
                  <c:v>4.2409999999999997</c:v>
                </c:pt>
                <c:pt idx="3465">
                  <c:v>4.194</c:v>
                </c:pt>
                <c:pt idx="3466">
                  <c:v>3.5960000000000001</c:v>
                </c:pt>
                <c:pt idx="3467">
                  <c:v>3.41</c:v>
                </c:pt>
                <c:pt idx="3468">
                  <c:v>3.1040000000000001</c:v>
                </c:pt>
                <c:pt idx="3469">
                  <c:v>2.9359999999999999</c:v>
                </c:pt>
                <c:pt idx="3470">
                  <c:v>2.86</c:v>
                </c:pt>
                <c:pt idx="3471">
                  <c:v>2.641</c:v>
                </c:pt>
                <c:pt idx="3472">
                  <c:v>2.1930000000000001</c:v>
                </c:pt>
                <c:pt idx="3473">
                  <c:v>1.2070000000000001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92-460E-8011-B49B4E5DE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E26"/>
  <sheetViews>
    <sheetView showGridLines="0" workbookViewId="0">
      <selection activeCell="D18" sqref="D18"/>
    </sheetView>
  </sheetViews>
  <sheetFormatPr defaultRowHeight="15" x14ac:dyDescent="0.25"/>
  <cols>
    <col min="1" max="1" width="2" customWidth="1"/>
    <col min="2" max="2" width="46" customWidth="1"/>
    <col min="3" max="3" width="30" customWidth="1"/>
    <col min="4" max="4" width="60" customWidth="1"/>
    <col min="5" max="5" width="14" customWidth="1"/>
  </cols>
  <sheetData>
    <row r="2" spans="2:5" ht="30" customHeight="1" x14ac:dyDescent="0.3">
      <c r="B2" s="43" t="s">
        <v>0</v>
      </c>
      <c r="C2" s="44"/>
      <c r="D2" s="44"/>
      <c r="E2" s="44"/>
    </row>
    <row r="3" spans="2:5" x14ac:dyDescent="0.25">
      <c r="B3" s="1" t="s">
        <v>433</v>
      </c>
    </row>
    <row r="4" spans="2:5" x14ac:dyDescent="0.25">
      <c r="B4" s="1" t="s">
        <v>434</v>
      </c>
    </row>
    <row r="6" spans="2:5" ht="15.75" x14ac:dyDescent="0.25">
      <c r="B6" s="2" t="s">
        <v>1</v>
      </c>
      <c r="C6" s="3" t="str">
        <f>IF(COUNTIF('Pro Forma (Audit)'!F86:F94,"REVIEW")+COUNTIF('FX Sensitivity'!F5:F8,"REVIEW")=0,"ALL CHECKS PASS","REVIEW REQUIRED")</f>
        <v>ALL CHECKS PASS</v>
      </c>
      <c r="D6" s="1" t="s">
        <v>2</v>
      </c>
    </row>
    <row r="8" spans="2:5" x14ac:dyDescent="0.25">
      <c r="B8" s="2" t="s">
        <v>3</v>
      </c>
    </row>
    <row r="9" spans="2:5" x14ac:dyDescent="0.25">
      <c r="B9" s="4" t="s">
        <v>4</v>
      </c>
      <c r="C9" s="1" t="s">
        <v>435</v>
      </c>
    </row>
    <row r="10" spans="2:5" x14ac:dyDescent="0.25">
      <c r="B10" t="s">
        <v>5</v>
      </c>
      <c r="C10" s="1" t="s">
        <v>6</v>
      </c>
    </row>
    <row r="11" spans="2:5" x14ac:dyDescent="0.25">
      <c r="B11" s="5" t="s">
        <v>7</v>
      </c>
      <c r="C11" s="1" t="s">
        <v>8</v>
      </c>
    </row>
    <row r="13" spans="2:5" x14ac:dyDescent="0.25">
      <c r="B13" s="2" t="s">
        <v>9</v>
      </c>
    </row>
    <row r="14" spans="2:5" x14ac:dyDescent="0.25">
      <c r="B14" s="2" t="s">
        <v>10</v>
      </c>
      <c r="C14" s="1" t="s">
        <v>11</v>
      </c>
    </row>
    <row r="15" spans="2:5" x14ac:dyDescent="0.25">
      <c r="B15" s="2" t="s">
        <v>12</v>
      </c>
      <c r="C15" s="1" t="s">
        <v>13</v>
      </c>
    </row>
    <row r="16" spans="2:5" x14ac:dyDescent="0.25">
      <c r="B16" s="2" t="s">
        <v>14</v>
      </c>
      <c r="C16" s="1" t="s">
        <v>15</v>
      </c>
    </row>
    <row r="17" spans="2:3" x14ac:dyDescent="0.25">
      <c r="B17" s="2" t="s">
        <v>16</v>
      </c>
      <c r="C17" s="1" t="s">
        <v>17</v>
      </c>
    </row>
    <row r="18" spans="2:3" x14ac:dyDescent="0.25">
      <c r="B18" s="2" t="s">
        <v>18</v>
      </c>
      <c r="C18" s="1" t="s">
        <v>19</v>
      </c>
    </row>
    <row r="19" spans="2:3" x14ac:dyDescent="0.25">
      <c r="B19" s="2" t="s">
        <v>20</v>
      </c>
      <c r="C19" s="1" t="s">
        <v>21</v>
      </c>
    </row>
    <row r="20" spans="2:3" x14ac:dyDescent="0.25">
      <c r="B20" s="2" t="s">
        <v>22</v>
      </c>
      <c r="C20" s="1" t="s">
        <v>23</v>
      </c>
    </row>
    <row r="21" spans="2:3" x14ac:dyDescent="0.25">
      <c r="B21" s="2" t="s">
        <v>24</v>
      </c>
      <c r="C21" s="1" t="s">
        <v>25</v>
      </c>
    </row>
    <row r="22" spans="2:3" x14ac:dyDescent="0.25">
      <c r="B22" s="2" t="s">
        <v>26</v>
      </c>
      <c r="C22" s="1" t="s">
        <v>27</v>
      </c>
    </row>
    <row r="23" spans="2:3" x14ac:dyDescent="0.25">
      <c r="B23" s="2" t="s">
        <v>28</v>
      </c>
      <c r="C23" s="1" t="s">
        <v>29</v>
      </c>
    </row>
    <row r="25" spans="2:3" x14ac:dyDescent="0.25">
      <c r="B25" s="1" t="s">
        <v>436</v>
      </c>
    </row>
    <row r="26" spans="2:3" x14ac:dyDescent="0.25">
      <c r="B26" s="1" t="s">
        <v>30</v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D40"/>
  <sheetViews>
    <sheetView showGridLines="0" topLeftCell="A21" workbookViewId="0">
      <selection activeCell="N24" sqref="N24"/>
    </sheetView>
  </sheetViews>
  <sheetFormatPr defaultRowHeight="15" x14ac:dyDescent="0.25"/>
  <cols>
    <col min="1" max="1" width="2" customWidth="1"/>
    <col min="2" max="2" width="42" customWidth="1"/>
    <col min="3" max="3" width="18" customWidth="1"/>
    <col min="4" max="4" width="36" customWidth="1"/>
  </cols>
  <sheetData>
    <row r="1" spans="2:4" ht="26.1" customHeight="1" x14ac:dyDescent="0.25">
      <c r="B1" s="45" t="s">
        <v>31</v>
      </c>
      <c r="C1" s="44"/>
      <c r="D1" s="44"/>
    </row>
    <row r="2" spans="2:4" x14ac:dyDescent="0.25">
      <c r="B2" s="1" t="s">
        <v>437</v>
      </c>
    </row>
    <row r="4" spans="2:4" x14ac:dyDescent="0.25">
      <c r="B4" s="6" t="s">
        <v>32</v>
      </c>
      <c r="C4" s="7"/>
      <c r="D4" s="7"/>
    </row>
    <row r="5" spans="2:4" x14ac:dyDescent="0.25">
      <c r="B5" t="s">
        <v>33</v>
      </c>
      <c r="C5" s="8">
        <v>5421.2726000000002</v>
      </c>
    </row>
    <row r="6" spans="2:4" x14ac:dyDescent="0.25">
      <c r="B6" s="9" t="s">
        <v>34</v>
      </c>
      <c r="C6" s="10">
        <v>1684.56</v>
      </c>
      <c r="D6" s="9"/>
    </row>
    <row r="7" spans="2:4" x14ac:dyDescent="0.25">
      <c r="B7" t="s">
        <v>35</v>
      </c>
      <c r="C7" s="8">
        <v>8639.73</v>
      </c>
    </row>
    <row r="8" spans="2:4" x14ac:dyDescent="0.25">
      <c r="B8" s="9" t="s">
        <v>36</v>
      </c>
      <c r="C8" s="10">
        <v>3773743.2480000001</v>
      </c>
      <c r="D8" s="9"/>
    </row>
    <row r="10" spans="2:4" x14ac:dyDescent="0.25">
      <c r="B10" s="6" t="s">
        <v>37</v>
      </c>
      <c r="C10" s="7"/>
      <c r="D10" s="7"/>
    </row>
    <row r="11" spans="2:4" x14ac:dyDescent="0.25">
      <c r="B11" t="s">
        <v>38</v>
      </c>
      <c r="C11" s="11">
        <v>0.9</v>
      </c>
    </row>
    <row r="12" spans="2:4" x14ac:dyDescent="0.25">
      <c r="B12" s="9" t="s">
        <v>39</v>
      </c>
      <c r="C12" s="12">
        <v>0.8</v>
      </c>
      <c r="D12" s="9"/>
    </row>
    <row r="13" spans="2:4" x14ac:dyDescent="0.25">
      <c r="B13" t="s">
        <v>40</v>
      </c>
      <c r="C13" s="13">
        <v>25</v>
      </c>
    </row>
    <row r="15" spans="2:4" x14ac:dyDescent="0.25">
      <c r="B15" s="6" t="s">
        <v>41</v>
      </c>
      <c r="C15" s="7"/>
      <c r="D15" s="7"/>
    </row>
    <row r="16" spans="2:4" x14ac:dyDescent="0.25">
      <c r="B16" s="9" t="s">
        <v>42</v>
      </c>
      <c r="C16" s="12">
        <v>0.15302629317548641</v>
      </c>
      <c r="D16" s="9"/>
    </row>
    <row r="17" spans="2:4" x14ac:dyDescent="0.25">
      <c r="B17" t="s">
        <v>43</v>
      </c>
      <c r="C17" s="11">
        <v>0.12589190120088201</v>
      </c>
    </row>
    <row r="18" spans="2:4" x14ac:dyDescent="0.25">
      <c r="B18" s="9" t="s">
        <v>44</v>
      </c>
      <c r="C18" s="10">
        <v>1030425.126319918</v>
      </c>
      <c r="D18" s="14" t="s">
        <v>45</v>
      </c>
    </row>
    <row r="19" spans="2:4" x14ac:dyDescent="0.25">
      <c r="B19" t="s">
        <v>46</v>
      </c>
      <c r="C19" s="15">
        <v>1.0933500578098421</v>
      </c>
      <c r="D19" s="1" t="s">
        <v>47</v>
      </c>
    </row>
    <row r="20" spans="2:4" x14ac:dyDescent="0.25">
      <c r="B20" s="9" t="s">
        <v>48</v>
      </c>
      <c r="C20" s="16">
        <v>1.254970936795599</v>
      </c>
      <c r="D20" s="9"/>
    </row>
    <row r="21" spans="2:4" x14ac:dyDescent="0.25">
      <c r="B21" t="s">
        <v>49</v>
      </c>
      <c r="C21" s="17">
        <v>11.856313837389351</v>
      </c>
    </row>
    <row r="22" spans="2:4" x14ac:dyDescent="0.25">
      <c r="B22" s="9" t="s">
        <v>50</v>
      </c>
      <c r="C22" s="10">
        <v>1132122.9743999999</v>
      </c>
      <c r="D22" s="9"/>
    </row>
    <row r="23" spans="2:4" x14ac:dyDescent="0.25">
      <c r="B23" t="s">
        <v>51</v>
      </c>
      <c r="C23" s="8">
        <v>2641620.2736</v>
      </c>
    </row>
    <row r="25" spans="2:4" x14ac:dyDescent="0.25">
      <c r="B25" s="6" t="s">
        <v>52</v>
      </c>
      <c r="C25" s="7"/>
      <c r="D25" s="7"/>
    </row>
    <row r="26" spans="2:4" x14ac:dyDescent="0.25">
      <c r="B26" s="9" t="s">
        <v>53</v>
      </c>
      <c r="C26" s="10">
        <v>765796.79</v>
      </c>
      <c r="D26" s="9"/>
    </row>
    <row r="27" spans="2:4" x14ac:dyDescent="0.25">
      <c r="B27" t="s">
        <v>54</v>
      </c>
      <c r="C27" s="8">
        <v>711971.32707346405</v>
      </c>
    </row>
    <row r="28" spans="2:4" x14ac:dyDescent="0.25">
      <c r="B28" s="9" t="s">
        <v>55</v>
      </c>
      <c r="C28" s="10">
        <v>53825.462926535984</v>
      </c>
      <c r="D28" s="9"/>
    </row>
    <row r="29" spans="2:4" x14ac:dyDescent="0.25">
      <c r="B29" t="s">
        <v>56</v>
      </c>
      <c r="C29" s="11">
        <v>7.0286874572216454E-2</v>
      </c>
    </row>
    <row r="30" spans="2:4" x14ac:dyDescent="0.25">
      <c r="B30" s="9" t="s">
        <v>57</v>
      </c>
      <c r="C30" s="10">
        <v>630864.32720365562</v>
      </c>
      <c r="D30" s="14" t="s">
        <v>58</v>
      </c>
    </row>
    <row r="31" spans="2:4" x14ac:dyDescent="0.25">
      <c r="B31" t="s">
        <v>59</v>
      </c>
      <c r="C31" s="11">
        <v>6.8615181263672692E-2</v>
      </c>
    </row>
    <row r="32" spans="2:4" x14ac:dyDescent="0.25">
      <c r="B32" s="9" t="s">
        <v>60</v>
      </c>
      <c r="C32" s="10">
        <v>2090925.512130907</v>
      </c>
      <c r="D32" s="14" t="s">
        <v>61</v>
      </c>
    </row>
    <row r="33" spans="2:4" x14ac:dyDescent="0.25">
      <c r="B33" t="s">
        <v>62</v>
      </c>
      <c r="C33" s="11">
        <v>6.5562073701739942E-2</v>
      </c>
    </row>
    <row r="35" spans="2:4" x14ac:dyDescent="0.25">
      <c r="B35" s="6" t="s">
        <v>63</v>
      </c>
      <c r="C35" s="7"/>
      <c r="D35" s="7"/>
    </row>
    <row r="36" spans="2:4" x14ac:dyDescent="0.25">
      <c r="B36" s="1" t="s">
        <v>64</v>
      </c>
    </row>
    <row r="37" spans="2:4" x14ac:dyDescent="0.25">
      <c r="B37" s="1" t="s">
        <v>438</v>
      </c>
    </row>
    <row r="38" spans="2:4" x14ac:dyDescent="0.25">
      <c r="B38" s="1" t="s">
        <v>65</v>
      </c>
    </row>
    <row r="39" spans="2:4" x14ac:dyDescent="0.25">
      <c r="B39" s="1" t="s">
        <v>66</v>
      </c>
    </row>
    <row r="40" spans="2:4" x14ac:dyDescent="0.25">
      <c r="B40" s="1" t="s">
        <v>67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E9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" customWidth="1"/>
    <col min="2" max="2" width="44" customWidth="1"/>
    <col min="3" max="4" width="16" customWidth="1"/>
    <col min="5" max="5" width="52" customWidth="1"/>
  </cols>
  <sheetData>
    <row r="1" spans="2:5" ht="24" customHeight="1" x14ac:dyDescent="0.3">
      <c r="B1" s="46" t="s">
        <v>68</v>
      </c>
      <c r="C1" s="44"/>
      <c r="D1" s="44"/>
      <c r="E1" s="44"/>
    </row>
    <row r="2" spans="2:5" x14ac:dyDescent="0.25">
      <c r="B2" s="1" t="s">
        <v>69</v>
      </c>
    </row>
    <row r="4" spans="2:5" x14ac:dyDescent="0.25">
      <c r="B4" s="6" t="s">
        <v>70</v>
      </c>
      <c r="C4" s="7"/>
      <c r="D4" s="7"/>
      <c r="E4" s="7"/>
    </row>
    <row r="5" spans="2:5" x14ac:dyDescent="0.25">
      <c r="B5" t="s">
        <v>71</v>
      </c>
      <c r="C5" s="4" t="s">
        <v>72</v>
      </c>
      <c r="E5" s="1" t="s">
        <v>73</v>
      </c>
    </row>
    <row r="6" spans="2:5" x14ac:dyDescent="0.25">
      <c r="B6" t="s">
        <v>74</v>
      </c>
      <c r="C6" s="4" t="s">
        <v>75</v>
      </c>
      <c r="E6" s="1" t="s">
        <v>76</v>
      </c>
    </row>
    <row r="7" spans="2:5" x14ac:dyDescent="0.25">
      <c r="B7" t="s">
        <v>439</v>
      </c>
      <c r="C7" s="4" t="s">
        <v>77</v>
      </c>
      <c r="E7" s="1" t="s">
        <v>440</v>
      </c>
    </row>
    <row r="8" spans="2:5" x14ac:dyDescent="0.25">
      <c r="B8" t="s">
        <v>78</v>
      </c>
      <c r="C8" s="4" t="s">
        <v>79</v>
      </c>
    </row>
    <row r="9" spans="2:5" x14ac:dyDescent="0.25">
      <c r="B9" t="s">
        <v>80</v>
      </c>
      <c r="C9" s="18">
        <v>25</v>
      </c>
      <c r="D9" s="1" t="s">
        <v>81</v>
      </c>
      <c r="E9" s="1" t="s">
        <v>82</v>
      </c>
    </row>
    <row r="10" spans="2:5" x14ac:dyDescent="0.25">
      <c r="B10" t="s">
        <v>83</v>
      </c>
      <c r="C10" s="18">
        <v>2025</v>
      </c>
      <c r="E10" s="1" t="s">
        <v>84</v>
      </c>
    </row>
    <row r="11" spans="2:5" x14ac:dyDescent="0.25">
      <c r="B11" t="s">
        <v>85</v>
      </c>
      <c r="C11" s="4" t="s">
        <v>86</v>
      </c>
      <c r="E11" s="1" t="s">
        <v>87</v>
      </c>
    </row>
    <row r="12" spans="2:5" x14ac:dyDescent="0.25">
      <c r="B12" t="s">
        <v>88</v>
      </c>
      <c r="C12" s="4" t="s">
        <v>89</v>
      </c>
      <c r="E12" s="1" t="s">
        <v>90</v>
      </c>
    </row>
    <row r="13" spans="2:5" x14ac:dyDescent="0.25">
      <c r="B13" s="6" t="s">
        <v>91</v>
      </c>
      <c r="C13" s="7"/>
      <c r="D13" s="7"/>
      <c r="E13" s="7"/>
    </row>
    <row r="14" spans="2:5" x14ac:dyDescent="0.25">
      <c r="B14" t="s">
        <v>92</v>
      </c>
      <c r="C14" s="19">
        <v>10.8231</v>
      </c>
      <c r="D14" s="1" t="s">
        <v>93</v>
      </c>
      <c r="E14" s="1" t="s">
        <v>94</v>
      </c>
    </row>
    <row r="15" spans="2:5" x14ac:dyDescent="0.25">
      <c r="B15" t="s">
        <v>95</v>
      </c>
      <c r="C15" s="19">
        <v>106.6297</v>
      </c>
      <c r="D15" s="1" t="s">
        <v>93</v>
      </c>
      <c r="E15" s="1" t="s">
        <v>96</v>
      </c>
    </row>
    <row r="16" spans="2:5" x14ac:dyDescent="0.25">
      <c r="B16" t="s">
        <v>97</v>
      </c>
      <c r="C16" s="4" t="s">
        <v>98</v>
      </c>
      <c r="E16" s="1" t="s">
        <v>99</v>
      </c>
    </row>
    <row r="17" spans="2:5" x14ac:dyDescent="0.25">
      <c r="B17" t="s">
        <v>100</v>
      </c>
      <c r="C17" s="18">
        <v>2025</v>
      </c>
      <c r="E17" s="1" t="s">
        <v>101</v>
      </c>
    </row>
    <row r="18" spans="2:5" x14ac:dyDescent="0.25">
      <c r="B18" s="6" t="s">
        <v>102</v>
      </c>
      <c r="C18" s="7"/>
      <c r="D18" s="7"/>
      <c r="E18" s="7"/>
    </row>
    <row r="19" spans="2:5" x14ac:dyDescent="0.25">
      <c r="B19" t="s">
        <v>103</v>
      </c>
      <c r="C19" s="20">
        <v>0</v>
      </c>
      <c r="D19" s="1" t="s">
        <v>104</v>
      </c>
      <c r="E19" s="1" t="s">
        <v>105</v>
      </c>
    </row>
    <row r="20" spans="2:5" x14ac:dyDescent="0.25">
      <c r="B20" t="s">
        <v>106</v>
      </c>
      <c r="C20" s="20">
        <v>10000</v>
      </c>
      <c r="D20" s="1" t="s">
        <v>104</v>
      </c>
      <c r="E20" s="1" t="s">
        <v>107</v>
      </c>
    </row>
    <row r="21" spans="2:5" x14ac:dyDescent="0.25">
      <c r="B21" t="s">
        <v>108</v>
      </c>
      <c r="C21" s="20">
        <v>480</v>
      </c>
      <c r="D21" s="1" t="s">
        <v>109</v>
      </c>
      <c r="E21" s="1" t="s">
        <v>110</v>
      </c>
    </row>
    <row r="22" spans="2:5" x14ac:dyDescent="0.25">
      <c r="B22" t="s">
        <v>111</v>
      </c>
      <c r="C22" s="21">
        <v>6</v>
      </c>
      <c r="D22" s="1" t="s">
        <v>112</v>
      </c>
      <c r="E22" s="1" t="s">
        <v>113</v>
      </c>
    </row>
    <row r="23" spans="2:5" x14ac:dyDescent="0.25">
      <c r="B23" t="s">
        <v>114</v>
      </c>
      <c r="C23" s="22">
        <v>5.0000000000000001E-3</v>
      </c>
      <c r="D23" s="1" t="s">
        <v>115</v>
      </c>
      <c r="E23" s="1" t="s">
        <v>116</v>
      </c>
    </row>
    <row r="24" spans="2:5" x14ac:dyDescent="0.25">
      <c r="B24" t="s">
        <v>117</v>
      </c>
      <c r="C24" s="4">
        <v>10</v>
      </c>
      <c r="E24" s="1" t="s">
        <v>118</v>
      </c>
    </row>
    <row r="25" spans="2:5" x14ac:dyDescent="0.25">
      <c r="B25" t="s">
        <v>119</v>
      </c>
      <c r="C25" s="4">
        <v>180</v>
      </c>
      <c r="E25" s="1" t="s">
        <v>118</v>
      </c>
    </row>
    <row r="26" spans="2:5" x14ac:dyDescent="0.25">
      <c r="B26" t="s">
        <v>120</v>
      </c>
      <c r="C26" s="4">
        <v>1</v>
      </c>
      <c r="E26" s="1" t="s">
        <v>118</v>
      </c>
    </row>
    <row r="27" spans="2:5" x14ac:dyDescent="0.25">
      <c r="B27" t="s">
        <v>121</v>
      </c>
      <c r="C27" s="4">
        <v>0</v>
      </c>
      <c r="E27" s="1" t="s">
        <v>118</v>
      </c>
    </row>
    <row r="28" spans="2:5" x14ac:dyDescent="0.25">
      <c r="B28" t="s">
        <v>122</v>
      </c>
      <c r="C28" s="4">
        <v>14</v>
      </c>
      <c r="E28" s="1" t="s">
        <v>118</v>
      </c>
    </row>
    <row r="29" spans="2:5" x14ac:dyDescent="0.25">
      <c r="B29" t="s">
        <v>123</v>
      </c>
      <c r="C29" s="4">
        <v>1.2</v>
      </c>
      <c r="E29" s="1" t="s">
        <v>118</v>
      </c>
    </row>
    <row r="30" spans="2:5" x14ac:dyDescent="0.25">
      <c r="B30" s="6" t="s">
        <v>124</v>
      </c>
      <c r="C30" s="7"/>
      <c r="D30" s="7"/>
      <c r="E30" s="7"/>
    </row>
    <row r="31" spans="2:5" x14ac:dyDescent="0.25">
      <c r="B31" t="s">
        <v>125</v>
      </c>
      <c r="C31" s="20">
        <v>0</v>
      </c>
      <c r="D31" s="1" t="s">
        <v>104</v>
      </c>
      <c r="E31" s="1" t="s">
        <v>126</v>
      </c>
    </row>
    <row r="32" spans="2:5" x14ac:dyDescent="0.25">
      <c r="B32" t="s">
        <v>127</v>
      </c>
      <c r="C32" s="20">
        <v>5000</v>
      </c>
      <c r="D32" s="1" t="s">
        <v>104</v>
      </c>
      <c r="E32" s="1" t="s">
        <v>128</v>
      </c>
    </row>
    <row r="33" spans="2:5" x14ac:dyDescent="0.25">
      <c r="B33" t="s">
        <v>129</v>
      </c>
      <c r="C33" s="20">
        <v>0</v>
      </c>
      <c r="D33" s="1" t="s">
        <v>130</v>
      </c>
      <c r="E33" s="1" t="s">
        <v>131</v>
      </c>
    </row>
    <row r="34" spans="2:5" x14ac:dyDescent="0.25">
      <c r="B34" t="s">
        <v>132</v>
      </c>
      <c r="C34" s="20">
        <v>20000</v>
      </c>
      <c r="D34" s="1" t="s">
        <v>130</v>
      </c>
      <c r="E34" s="1" t="s">
        <v>133</v>
      </c>
    </row>
    <row r="35" spans="2:5" x14ac:dyDescent="0.25">
      <c r="B35" t="s">
        <v>134</v>
      </c>
      <c r="C35" s="20">
        <v>80</v>
      </c>
      <c r="D35" s="1" t="s">
        <v>109</v>
      </c>
      <c r="E35" s="1" t="s">
        <v>135</v>
      </c>
    </row>
    <row r="36" spans="2:5" x14ac:dyDescent="0.25">
      <c r="B36" t="s">
        <v>136</v>
      </c>
      <c r="C36" s="20">
        <v>120</v>
      </c>
      <c r="D36" s="1" t="s">
        <v>137</v>
      </c>
      <c r="E36" s="1" t="s">
        <v>138</v>
      </c>
    </row>
    <row r="37" spans="2:5" x14ac:dyDescent="0.25">
      <c r="B37" t="s">
        <v>139</v>
      </c>
      <c r="C37" s="20">
        <v>0</v>
      </c>
      <c r="D37" s="1" t="s">
        <v>140</v>
      </c>
      <c r="E37" s="1" t="s">
        <v>141</v>
      </c>
    </row>
    <row r="38" spans="2:5" x14ac:dyDescent="0.25">
      <c r="B38" t="s">
        <v>142</v>
      </c>
      <c r="C38" s="20">
        <v>80</v>
      </c>
      <c r="D38" s="1" t="s">
        <v>109</v>
      </c>
      <c r="E38" s="1" t="s">
        <v>143</v>
      </c>
    </row>
    <row r="39" spans="2:5" x14ac:dyDescent="0.25">
      <c r="B39" t="s">
        <v>144</v>
      </c>
      <c r="C39" s="20">
        <v>100</v>
      </c>
      <c r="D39" s="1" t="s">
        <v>137</v>
      </c>
      <c r="E39" s="1" t="s">
        <v>145</v>
      </c>
    </row>
    <row r="40" spans="2:5" x14ac:dyDescent="0.25">
      <c r="B40" t="s">
        <v>146</v>
      </c>
      <c r="C40" s="20">
        <v>0</v>
      </c>
      <c r="D40" s="1" t="s">
        <v>140</v>
      </c>
      <c r="E40" s="1" t="s">
        <v>147</v>
      </c>
    </row>
    <row r="41" spans="2:5" x14ac:dyDescent="0.25">
      <c r="B41" t="s">
        <v>148</v>
      </c>
      <c r="C41" s="20">
        <v>10</v>
      </c>
      <c r="D41" s="1" t="s">
        <v>149</v>
      </c>
      <c r="E41" s="1" t="s">
        <v>150</v>
      </c>
    </row>
    <row r="42" spans="2:5" x14ac:dyDescent="0.25">
      <c r="B42" t="s">
        <v>151</v>
      </c>
      <c r="C42" s="20">
        <v>11</v>
      </c>
      <c r="D42" s="1" t="s">
        <v>149</v>
      </c>
      <c r="E42" s="1" t="s">
        <v>152</v>
      </c>
    </row>
    <row r="43" spans="2:5" x14ac:dyDescent="0.25">
      <c r="B43" t="s">
        <v>153</v>
      </c>
      <c r="C43" s="20">
        <v>10</v>
      </c>
      <c r="D43" s="1" t="s">
        <v>149</v>
      </c>
      <c r="E43" s="1" t="s">
        <v>154</v>
      </c>
    </row>
    <row r="44" spans="2:5" x14ac:dyDescent="0.25">
      <c r="B44" t="s">
        <v>155</v>
      </c>
      <c r="C44" s="22">
        <v>0.01</v>
      </c>
      <c r="D44" s="1" t="s">
        <v>115</v>
      </c>
      <c r="E44" s="1" t="s">
        <v>156</v>
      </c>
    </row>
    <row r="45" spans="2:5" x14ac:dyDescent="0.25">
      <c r="B45" s="6" t="s">
        <v>157</v>
      </c>
      <c r="C45" s="7"/>
      <c r="D45" s="7"/>
      <c r="E45" s="7"/>
    </row>
    <row r="46" spans="2:5" x14ac:dyDescent="0.25">
      <c r="B46" t="s">
        <v>158</v>
      </c>
      <c r="C46" s="4" t="s">
        <v>140</v>
      </c>
      <c r="E46" s="1" t="s">
        <v>441</v>
      </c>
    </row>
    <row r="47" spans="2:5" x14ac:dyDescent="0.25">
      <c r="B47" t="s">
        <v>159</v>
      </c>
      <c r="C47" s="20">
        <v>26300</v>
      </c>
      <c r="D47" s="1" t="s">
        <v>160</v>
      </c>
      <c r="E47" s="1" t="s">
        <v>161</v>
      </c>
    </row>
    <row r="48" spans="2:5" x14ac:dyDescent="0.25">
      <c r="B48" t="s">
        <v>162</v>
      </c>
      <c r="C48" s="4" t="s">
        <v>163</v>
      </c>
      <c r="E48" s="1" t="s">
        <v>164</v>
      </c>
    </row>
    <row r="49" spans="2:5" x14ac:dyDescent="0.25">
      <c r="B49" s="6" t="s">
        <v>165</v>
      </c>
      <c r="C49" s="7"/>
      <c r="D49" s="7"/>
      <c r="E49" s="7"/>
    </row>
    <row r="50" spans="2:5" x14ac:dyDescent="0.25">
      <c r="B50" t="s">
        <v>166</v>
      </c>
      <c r="C50" s="20">
        <v>2602210.8480000002</v>
      </c>
      <c r="D50" s="1" t="s">
        <v>140</v>
      </c>
      <c r="E50" s="1" t="s">
        <v>442</v>
      </c>
    </row>
    <row r="51" spans="2:5" x14ac:dyDescent="0.25">
      <c r="B51" t="s">
        <v>167</v>
      </c>
      <c r="C51" s="20">
        <v>1171532.3999999999</v>
      </c>
      <c r="D51" s="1" t="s">
        <v>140</v>
      </c>
      <c r="E51" s="1" t="s">
        <v>443</v>
      </c>
    </row>
    <row r="52" spans="2:5" x14ac:dyDescent="0.25">
      <c r="B52" t="s">
        <v>168</v>
      </c>
      <c r="C52" s="20">
        <v>0</v>
      </c>
      <c r="D52" s="1" t="s">
        <v>140</v>
      </c>
      <c r="E52" s="1" t="s">
        <v>169</v>
      </c>
    </row>
    <row r="53" spans="2:5" x14ac:dyDescent="0.25">
      <c r="B53" t="s">
        <v>170</v>
      </c>
      <c r="C53" s="23">
        <f>PV_CAPEX+BESS_CAPEX+OTHER_CAPEX</f>
        <v>3773743.2480000001</v>
      </c>
      <c r="D53" s="1" t="s">
        <v>140</v>
      </c>
      <c r="E53" s="1" t="s">
        <v>171</v>
      </c>
    </row>
    <row r="54" spans="2:5" x14ac:dyDescent="0.25">
      <c r="B54" s="6" t="s">
        <v>172</v>
      </c>
      <c r="C54" s="7"/>
      <c r="D54" s="7"/>
      <c r="E54" s="7"/>
    </row>
    <row r="55" spans="2:5" x14ac:dyDescent="0.25">
      <c r="B55" t="s">
        <v>173</v>
      </c>
      <c r="C55" s="20">
        <v>44242.963600000003</v>
      </c>
      <c r="D55" s="1" t="s">
        <v>174</v>
      </c>
      <c r="E55" s="1" t="s">
        <v>444</v>
      </c>
    </row>
    <row r="56" spans="2:5" x14ac:dyDescent="0.25">
      <c r="B56" t="s">
        <v>175</v>
      </c>
      <c r="C56" s="22">
        <v>0.03</v>
      </c>
      <c r="D56" s="1" t="s">
        <v>115</v>
      </c>
      <c r="E56" s="1" t="s">
        <v>176</v>
      </c>
    </row>
    <row r="57" spans="2:5" x14ac:dyDescent="0.25">
      <c r="B57" t="s">
        <v>151</v>
      </c>
      <c r="C57" s="18">
        <v>11</v>
      </c>
      <c r="D57" s="1" t="s">
        <v>149</v>
      </c>
      <c r="E57" s="1" t="s">
        <v>152</v>
      </c>
    </row>
    <row r="58" spans="2:5" x14ac:dyDescent="0.25">
      <c r="B58" s="6" t="s">
        <v>177</v>
      </c>
      <c r="C58" s="7"/>
      <c r="D58" s="7"/>
      <c r="E58" s="7"/>
    </row>
    <row r="59" spans="2:5" x14ac:dyDescent="0.25">
      <c r="B59" t="s">
        <v>178</v>
      </c>
      <c r="C59" s="22">
        <v>0.04</v>
      </c>
      <c r="D59" s="1" t="s">
        <v>115</v>
      </c>
      <c r="E59" s="1" t="s">
        <v>179</v>
      </c>
    </row>
    <row r="60" spans="2:5" x14ac:dyDescent="0.25">
      <c r="B60" t="s">
        <v>180</v>
      </c>
      <c r="C60" s="22">
        <v>0.04</v>
      </c>
      <c r="D60" s="1" t="s">
        <v>115</v>
      </c>
      <c r="E60" s="1" t="s">
        <v>181</v>
      </c>
    </row>
    <row r="61" spans="2:5" x14ac:dyDescent="0.25">
      <c r="B61" t="s">
        <v>182</v>
      </c>
      <c r="C61" s="22">
        <v>5.0000000000000001E-3</v>
      </c>
      <c r="D61" s="1" t="s">
        <v>115</v>
      </c>
      <c r="E61" s="1" t="s">
        <v>445</v>
      </c>
    </row>
    <row r="62" spans="2:5" x14ac:dyDescent="0.25">
      <c r="B62" t="s">
        <v>446</v>
      </c>
      <c r="C62" s="4" t="s">
        <v>140</v>
      </c>
      <c r="E62" s="1" t="s">
        <v>183</v>
      </c>
    </row>
    <row r="63" spans="2:5" x14ac:dyDescent="0.25">
      <c r="B63" t="s">
        <v>184</v>
      </c>
      <c r="C63" s="4" t="b">
        <v>0</v>
      </c>
      <c r="D63" s="1" t="s">
        <v>185</v>
      </c>
      <c r="E63" s="1" t="s">
        <v>186</v>
      </c>
    </row>
    <row r="64" spans="2:5" x14ac:dyDescent="0.25">
      <c r="B64" s="6" t="s">
        <v>37</v>
      </c>
      <c r="C64" s="7"/>
      <c r="D64" s="7"/>
      <c r="E64" s="7"/>
    </row>
    <row r="65" spans="2:5" x14ac:dyDescent="0.25">
      <c r="B65" t="s">
        <v>187</v>
      </c>
      <c r="C65" s="22">
        <v>0.9</v>
      </c>
      <c r="D65" s="1" t="s">
        <v>188</v>
      </c>
      <c r="E65" s="1" t="s">
        <v>189</v>
      </c>
    </row>
    <row r="66" spans="2:5" x14ac:dyDescent="0.25">
      <c r="B66" t="s">
        <v>190</v>
      </c>
      <c r="C66" s="22">
        <v>0.8</v>
      </c>
      <c r="D66" s="1" t="s">
        <v>188</v>
      </c>
      <c r="E66" s="1" t="s">
        <v>191</v>
      </c>
    </row>
    <row r="67" spans="2:5" x14ac:dyDescent="0.25">
      <c r="B67" t="s">
        <v>192</v>
      </c>
      <c r="C67" s="4" t="b">
        <v>0</v>
      </c>
      <c r="D67" s="1" t="s">
        <v>185</v>
      </c>
      <c r="E67" s="1" t="s">
        <v>193</v>
      </c>
    </row>
    <row r="68" spans="2:5" x14ac:dyDescent="0.25">
      <c r="B68" s="6" t="s">
        <v>194</v>
      </c>
      <c r="C68" s="7"/>
      <c r="D68" s="7"/>
      <c r="E68" s="7"/>
    </row>
    <row r="69" spans="2:5" x14ac:dyDescent="0.25">
      <c r="B69" t="s">
        <v>195</v>
      </c>
      <c r="C69" s="22">
        <v>0.7</v>
      </c>
      <c r="D69" s="1" t="s">
        <v>196</v>
      </c>
      <c r="E69" s="1" t="s">
        <v>197</v>
      </c>
    </row>
    <row r="70" spans="2:5" x14ac:dyDescent="0.25">
      <c r="B70" t="s">
        <v>198</v>
      </c>
      <c r="C70" s="22">
        <v>8.5000000000000006E-2</v>
      </c>
      <c r="D70" s="1" t="s">
        <v>115</v>
      </c>
      <c r="E70" s="1" t="s">
        <v>199</v>
      </c>
    </row>
    <row r="71" spans="2:5" x14ac:dyDescent="0.25">
      <c r="B71" t="s">
        <v>200</v>
      </c>
      <c r="C71" s="18">
        <v>10</v>
      </c>
      <c r="D71" s="1" t="s">
        <v>81</v>
      </c>
      <c r="E71" s="1" t="s">
        <v>201</v>
      </c>
    </row>
    <row r="72" spans="2:5" x14ac:dyDescent="0.25">
      <c r="B72" t="s">
        <v>202</v>
      </c>
      <c r="C72" s="23">
        <f>TOTAL_CAPEX*DEBT_FRACTION</f>
        <v>2641620.2736</v>
      </c>
      <c r="D72" s="1" t="s">
        <v>140</v>
      </c>
      <c r="E72" s="1" t="s">
        <v>203</v>
      </c>
    </row>
    <row r="73" spans="2:5" x14ac:dyDescent="0.25">
      <c r="B73" t="s">
        <v>204</v>
      </c>
      <c r="C73" s="23">
        <f>TOTAL_CAPEX-DEBT_PRINCIPAL</f>
        <v>1132122.9744000002</v>
      </c>
      <c r="D73" s="1" t="s">
        <v>140</v>
      </c>
      <c r="E73" s="1" t="s">
        <v>205</v>
      </c>
    </row>
    <row r="74" spans="2:5" x14ac:dyDescent="0.25">
      <c r="B74" t="s">
        <v>206</v>
      </c>
      <c r="C74" s="23">
        <f>IF(OR(DEBT_PRINCIPAL&lt;=0,DEBT_TERM_YEARS&lt;=0),0,IF(DEBT_RATE=0,DEBT_PRINCIPAL/DEBT_TERM_YEARS,DEBT_PRINCIPAL*(DEBT_RATE*(1+DEBT_RATE)^DEBT_TERM_YEARS)/((1+DEBT_RATE)^DEBT_TERM_YEARS-1)))</f>
        <v>402603.28366857069</v>
      </c>
      <c r="D74" s="1" t="s">
        <v>174</v>
      </c>
      <c r="E74" s="1" t="s">
        <v>207</v>
      </c>
    </row>
    <row r="75" spans="2:5" x14ac:dyDescent="0.25">
      <c r="B75" t="s">
        <v>208</v>
      </c>
      <c r="C75" s="22">
        <v>0.1</v>
      </c>
      <c r="D75" s="1" t="s">
        <v>115</v>
      </c>
      <c r="E75" s="1" t="s">
        <v>209</v>
      </c>
    </row>
    <row r="76" spans="2:5" x14ac:dyDescent="0.25">
      <c r="B76" s="6" t="s">
        <v>210</v>
      </c>
      <c r="C76" s="7"/>
      <c r="D76" s="7"/>
      <c r="E76" s="7"/>
    </row>
    <row r="77" spans="2:5" x14ac:dyDescent="0.25">
      <c r="B77" t="s">
        <v>211</v>
      </c>
      <c r="C77" s="4" t="s">
        <v>212</v>
      </c>
      <c r="E77" s="1" t="s">
        <v>213</v>
      </c>
    </row>
    <row r="78" spans="2:5" x14ac:dyDescent="0.25">
      <c r="B78" t="s">
        <v>214</v>
      </c>
      <c r="C78" s="22">
        <v>0.2</v>
      </c>
      <c r="D78" s="1" t="s">
        <v>215</v>
      </c>
      <c r="E78" s="1" t="s">
        <v>216</v>
      </c>
    </row>
    <row r="79" spans="2:5" x14ac:dyDescent="0.25">
      <c r="B79" t="s">
        <v>217</v>
      </c>
      <c r="C79" s="18">
        <v>4</v>
      </c>
      <c r="D79" s="1" t="s">
        <v>81</v>
      </c>
      <c r="E79" s="1" t="s">
        <v>218</v>
      </c>
    </row>
    <row r="80" spans="2:5" x14ac:dyDescent="0.25">
      <c r="B80" t="s">
        <v>219</v>
      </c>
      <c r="C80" s="18">
        <v>9</v>
      </c>
      <c r="D80" s="1" t="s">
        <v>81</v>
      </c>
      <c r="E80" s="1" t="s">
        <v>220</v>
      </c>
    </row>
    <row r="81" spans="2:5" x14ac:dyDescent="0.25">
      <c r="B81" t="s">
        <v>221</v>
      </c>
      <c r="C81" s="22">
        <v>0.5</v>
      </c>
      <c r="D81" s="1" t="s">
        <v>222</v>
      </c>
      <c r="E81" s="1" t="s">
        <v>223</v>
      </c>
    </row>
    <row r="82" spans="2:5" x14ac:dyDescent="0.25">
      <c r="B82" t="s">
        <v>224</v>
      </c>
      <c r="C82" s="18">
        <v>5</v>
      </c>
      <c r="D82" s="1" t="s">
        <v>81</v>
      </c>
      <c r="E82" s="1" t="s">
        <v>225</v>
      </c>
    </row>
    <row r="83" spans="2:5" x14ac:dyDescent="0.25">
      <c r="B83" t="s">
        <v>226</v>
      </c>
      <c r="C83" s="18">
        <v>4</v>
      </c>
      <c r="D83" s="1" t="s">
        <v>227</v>
      </c>
      <c r="E83" s="1" t="s">
        <v>220</v>
      </c>
    </row>
    <row r="84" spans="2:5" x14ac:dyDescent="0.25">
      <c r="B84" t="s">
        <v>228</v>
      </c>
      <c r="C84" s="18">
        <v>20</v>
      </c>
      <c r="D84" s="1" t="s">
        <v>81</v>
      </c>
      <c r="E84" s="1" t="s">
        <v>229</v>
      </c>
    </row>
    <row r="85" spans="2:5" x14ac:dyDescent="0.25">
      <c r="B85" t="s">
        <v>230</v>
      </c>
      <c r="C85" s="18">
        <v>8</v>
      </c>
      <c r="D85" s="1" t="s">
        <v>81</v>
      </c>
      <c r="E85" s="1" t="s">
        <v>231</v>
      </c>
    </row>
    <row r="86" spans="2:5" x14ac:dyDescent="0.25">
      <c r="B86" s="6" t="s">
        <v>232</v>
      </c>
      <c r="C86" s="7"/>
      <c r="D86" s="7"/>
      <c r="E86" s="7"/>
    </row>
    <row r="87" spans="2:5" x14ac:dyDescent="0.25">
      <c r="B87" t="s">
        <v>233</v>
      </c>
      <c r="C87" s="20">
        <v>765796.79</v>
      </c>
      <c r="D87" s="1" t="s">
        <v>140</v>
      </c>
      <c r="E87" s="1" t="s">
        <v>447</v>
      </c>
    </row>
    <row r="88" spans="2:5" x14ac:dyDescent="0.25">
      <c r="B88" t="s">
        <v>234</v>
      </c>
      <c r="C88" s="20">
        <v>227542.04</v>
      </c>
      <c r="D88" s="1" t="s">
        <v>140</v>
      </c>
      <c r="E88" s="1" t="s">
        <v>448</v>
      </c>
    </row>
    <row r="89" spans="2:5" x14ac:dyDescent="0.25">
      <c r="B89" t="s">
        <v>235</v>
      </c>
      <c r="C89" s="20">
        <v>0</v>
      </c>
      <c r="D89" s="1" t="s">
        <v>140</v>
      </c>
      <c r="E89" s="1" t="s">
        <v>449</v>
      </c>
    </row>
    <row r="90" spans="2:5" x14ac:dyDescent="0.25">
      <c r="B90" t="s">
        <v>236</v>
      </c>
      <c r="C90" s="20">
        <v>0</v>
      </c>
      <c r="D90" s="1" t="s">
        <v>140</v>
      </c>
      <c r="E90" s="1" t="s">
        <v>450</v>
      </c>
    </row>
    <row r="91" spans="2:5" x14ac:dyDescent="0.25">
      <c r="B91" t="s">
        <v>237</v>
      </c>
      <c r="C91" s="20">
        <v>0</v>
      </c>
      <c r="D91" s="1" t="s">
        <v>140</v>
      </c>
      <c r="E91" s="1" t="s">
        <v>238</v>
      </c>
    </row>
    <row r="92" spans="2:5" x14ac:dyDescent="0.25">
      <c r="B92" t="s">
        <v>239</v>
      </c>
      <c r="C92" s="20">
        <v>538254.76341496001</v>
      </c>
      <c r="D92" s="1" t="s">
        <v>140</v>
      </c>
      <c r="E92" s="1" t="s">
        <v>240</v>
      </c>
    </row>
    <row r="93" spans="2:5" x14ac:dyDescent="0.25">
      <c r="B93" t="s">
        <v>241</v>
      </c>
      <c r="C93" s="20">
        <v>484429.28707346402</v>
      </c>
      <c r="D93" s="1" t="s">
        <v>140</v>
      </c>
      <c r="E93" s="1" t="s">
        <v>242</v>
      </c>
    </row>
    <row r="94" spans="2:5" x14ac:dyDescent="0.25">
      <c r="B94" t="s">
        <v>243</v>
      </c>
      <c r="C94" s="20">
        <v>0</v>
      </c>
      <c r="D94" s="1" t="s">
        <v>140</v>
      </c>
      <c r="E94" s="1" t="s">
        <v>451</v>
      </c>
    </row>
    <row r="95" spans="2:5" x14ac:dyDescent="0.25">
      <c r="B95" s="6" t="s">
        <v>244</v>
      </c>
      <c r="C95" s="7"/>
      <c r="D95" s="7"/>
      <c r="E95" s="7"/>
    </row>
    <row r="96" spans="2:5" x14ac:dyDescent="0.25">
      <c r="B96" t="s">
        <v>245</v>
      </c>
      <c r="C96" s="4" t="s">
        <v>246</v>
      </c>
      <c r="E96" s="1" t="s">
        <v>247</v>
      </c>
    </row>
    <row r="97" spans="2:5" x14ac:dyDescent="0.25">
      <c r="B97" t="s">
        <v>248</v>
      </c>
      <c r="C97" s="4">
        <v>2025</v>
      </c>
      <c r="E97" s="1" t="s">
        <v>247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B1:C47"/>
  <sheetViews>
    <sheetView showGridLines="0" tabSelected="1" topLeftCell="A10" workbookViewId="0"/>
  </sheetViews>
  <sheetFormatPr defaultRowHeight="15" x14ac:dyDescent="0.25"/>
  <cols>
    <col min="1" max="1" width="2" customWidth="1"/>
    <col min="2" max="2" width="110" customWidth="1"/>
  </cols>
  <sheetData>
    <row r="1" spans="2:3" ht="24" customHeight="1" x14ac:dyDescent="0.3">
      <c r="B1" s="46" t="s">
        <v>249</v>
      </c>
      <c r="C1" s="44"/>
    </row>
    <row r="3" spans="2:3" x14ac:dyDescent="0.25">
      <c r="B3" s="24" t="s">
        <v>250</v>
      </c>
    </row>
    <row r="4" spans="2:3" ht="26.1" customHeight="1" x14ac:dyDescent="0.25">
      <c r="B4" s="25" t="s">
        <v>452</v>
      </c>
    </row>
    <row r="5" spans="2:3" ht="26.1" customHeight="1" x14ac:dyDescent="0.25">
      <c r="B5" s="25" t="s">
        <v>453</v>
      </c>
    </row>
    <row r="6" spans="2:3" ht="39" customHeight="1" x14ac:dyDescent="0.25">
      <c r="B6" s="25" t="s">
        <v>251</v>
      </c>
    </row>
    <row r="8" spans="2:3" x14ac:dyDescent="0.25">
      <c r="B8" s="24" t="s">
        <v>252</v>
      </c>
    </row>
    <row r="9" spans="2:3" ht="14.1" customHeight="1" x14ac:dyDescent="0.25">
      <c r="B9" s="25" t="s">
        <v>253</v>
      </c>
    </row>
    <row r="10" spans="2:3" ht="39" customHeight="1" x14ac:dyDescent="0.25">
      <c r="B10" s="25" t="s">
        <v>254</v>
      </c>
    </row>
    <row r="11" spans="2:3" ht="26.1" customHeight="1" x14ac:dyDescent="0.25">
      <c r="B11" s="25" t="s">
        <v>255</v>
      </c>
    </row>
    <row r="12" spans="2:3" ht="14.1" customHeight="1" x14ac:dyDescent="0.25">
      <c r="B12" s="25" t="s">
        <v>256</v>
      </c>
    </row>
    <row r="14" spans="2:3" x14ac:dyDescent="0.25">
      <c r="B14" s="24" t="s">
        <v>257</v>
      </c>
    </row>
    <row r="15" spans="2:3" ht="26.1" customHeight="1" x14ac:dyDescent="0.25">
      <c r="B15" s="25" t="s">
        <v>258</v>
      </c>
    </row>
    <row r="16" spans="2:3" ht="14.1" customHeight="1" x14ac:dyDescent="0.25">
      <c r="B16" s="25" t="s">
        <v>259</v>
      </c>
    </row>
    <row r="17" spans="2:2" ht="26.1" customHeight="1" x14ac:dyDescent="0.25">
      <c r="B17" s="25" t="s">
        <v>454</v>
      </c>
    </row>
    <row r="19" spans="2:2" x14ac:dyDescent="0.25">
      <c r="B19" s="24" t="s">
        <v>260</v>
      </c>
    </row>
    <row r="20" spans="2:2" ht="26.1" customHeight="1" x14ac:dyDescent="0.25">
      <c r="B20" s="25" t="s">
        <v>261</v>
      </c>
    </row>
    <row r="21" spans="2:2" ht="26.1" customHeight="1" x14ac:dyDescent="0.25">
      <c r="B21" s="25" t="s">
        <v>455</v>
      </c>
    </row>
    <row r="22" spans="2:2" ht="14.1" customHeight="1" x14ac:dyDescent="0.25">
      <c r="B22" s="25" t="s">
        <v>262</v>
      </c>
    </row>
    <row r="23" spans="2:2" ht="78" customHeight="1" x14ac:dyDescent="0.25">
      <c r="B23" s="25" t="s">
        <v>263</v>
      </c>
    </row>
    <row r="24" spans="2:2" ht="26.1" customHeight="1" x14ac:dyDescent="0.25">
      <c r="B24" s="25" t="s">
        <v>264</v>
      </c>
    </row>
    <row r="25" spans="2:2" ht="51.95" customHeight="1" x14ac:dyDescent="0.25">
      <c r="B25" s="25" t="s">
        <v>265</v>
      </c>
    </row>
    <row r="27" spans="2:2" x14ac:dyDescent="0.25">
      <c r="B27" s="24" t="s">
        <v>266</v>
      </c>
    </row>
    <row r="28" spans="2:2" ht="14.1" customHeight="1" x14ac:dyDescent="0.25">
      <c r="B28" s="25" t="s">
        <v>267</v>
      </c>
    </row>
    <row r="29" spans="2:2" ht="39" customHeight="1" x14ac:dyDescent="0.25">
      <c r="B29" s="25" t="s">
        <v>268</v>
      </c>
    </row>
    <row r="30" spans="2:2" ht="14.1" customHeight="1" x14ac:dyDescent="0.25">
      <c r="B30" s="25" t="s">
        <v>269</v>
      </c>
    </row>
    <row r="31" spans="2:2" ht="14.1" customHeight="1" x14ac:dyDescent="0.25">
      <c r="B31" s="25" t="s">
        <v>270</v>
      </c>
    </row>
    <row r="32" spans="2:2" ht="14.1" customHeight="1" x14ac:dyDescent="0.25">
      <c r="B32" s="25" t="s">
        <v>271</v>
      </c>
    </row>
    <row r="33" spans="2:2" ht="26.1" customHeight="1" x14ac:dyDescent="0.25">
      <c r="B33" s="25" t="s">
        <v>456</v>
      </c>
    </row>
    <row r="35" spans="2:2" x14ac:dyDescent="0.25">
      <c r="B35" s="24" t="s">
        <v>272</v>
      </c>
    </row>
    <row r="36" spans="2:2" ht="14.1" customHeight="1" x14ac:dyDescent="0.25">
      <c r="B36" s="25" t="s">
        <v>273</v>
      </c>
    </row>
    <row r="37" spans="2:2" ht="26.1" customHeight="1" x14ac:dyDescent="0.25">
      <c r="B37" s="25" t="s">
        <v>274</v>
      </c>
    </row>
    <row r="38" spans="2:2" ht="26.1" customHeight="1" x14ac:dyDescent="0.25">
      <c r="B38" s="25" t="s">
        <v>275</v>
      </c>
    </row>
    <row r="39" spans="2:2" ht="14.1" customHeight="1" x14ac:dyDescent="0.25">
      <c r="B39" s="25" t="s">
        <v>276</v>
      </c>
    </row>
    <row r="40" spans="2:2" ht="39" customHeight="1" x14ac:dyDescent="0.25">
      <c r="B40" s="25" t="s">
        <v>457</v>
      </c>
    </row>
    <row r="42" spans="2:2" x14ac:dyDescent="0.25">
      <c r="B42" s="24" t="s">
        <v>277</v>
      </c>
    </row>
    <row r="43" spans="2:2" ht="14.1" customHeight="1" x14ac:dyDescent="0.25">
      <c r="B43" s="25" t="s">
        <v>278</v>
      </c>
    </row>
    <row r="44" spans="2:2" ht="14.1" customHeight="1" x14ac:dyDescent="0.25">
      <c r="B44" s="25" t="s">
        <v>279</v>
      </c>
    </row>
    <row r="45" spans="2:2" ht="26.1" customHeight="1" x14ac:dyDescent="0.25">
      <c r="B45" s="25" t="s">
        <v>280</v>
      </c>
    </row>
    <row r="46" spans="2:2" ht="14.1" customHeight="1" x14ac:dyDescent="0.25">
      <c r="B46" s="25" t="s">
        <v>281</v>
      </c>
    </row>
    <row r="47" spans="2:2" ht="14.1" customHeight="1" x14ac:dyDescent="0.25">
      <c r="B47" s="25" t="s">
        <v>282</v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8" customWidth="1"/>
    <col min="2" max="2" width="8" customWidth="1"/>
    <col min="3" max="28" width="13" customWidth="1"/>
  </cols>
  <sheetData>
    <row r="1" spans="1:28" ht="17.25" x14ac:dyDescent="0.3">
      <c r="A1" s="26" t="s">
        <v>283</v>
      </c>
    </row>
    <row r="2" spans="1:28" x14ac:dyDescent="0.25">
      <c r="A2" s="1" t="s">
        <v>458</v>
      </c>
    </row>
    <row r="4" spans="1:28" x14ac:dyDescent="0.25">
      <c r="A4" s="6" t="s">
        <v>284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5">
      <c r="A5" s="2" t="s">
        <v>285</v>
      </c>
      <c r="B5" s="1" t="s">
        <v>286</v>
      </c>
      <c r="C5" s="27">
        <v>0</v>
      </c>
      <c r="D5" s="27">
        <v>1</v>
      </c>
      <c r="E5" s="27">
        <v>2</v>
      </c>
      <c r="F5" s="27">
        <v>3</v>
      </c>
      <c r="G5" s="27">
        <v>4</v>
      </c>
      <c r="H5" s="27">
        <v>5</v>
      </c>
      <c r="I5" s="27">
        <v>6</v>
      </c>
      <c r="J5" s="27">
        <v>7</v>
      </c>
      <c r="K5" s="27">
        <v>8</v>
      </c>
      <c r="L5" s="27">
        <v>9</v>
      </c>
      <c r="M5" s="27">
        <v>10</v>
      </c>
      <c r="N5" s="27">
        <v>11</v>
      </c>
      <c r="O5" s="27">
        <v>12</v>
      </c>
      <c r="P5" s="27">
        <v>13</v>
      </c>
      <c r="Q5" s="27">
        <v>14</v>
      </c>
      <c r="R5" s="27">
        <v>15</v>
      </c>
      <c r="S5" s="27">
        <v>16</v>
      </c>
      <c r="T5" s="27">
        <v>17</v>
      </c>
      <c r="U5" s="27">
        <v>18</v>
      </c>
      <c r="V5" s="27">
        <v>19</v>
      </c>
      <c r="W5" s="27">
        <v>20</v>
      </c>
      <c r="X5" s="27">
        <v>21</v>
      </c>
      <c r="Y5" s="27">
        <v>22</v>
      </c>
      <c r="Z5" s="27">
        <v>23</v>
      </c>
      <c r="AA5" s="27">
        <v>24</v>
      </c>
      <c r="AB5" s="27">
        <v>25</v>
      </c>
    </row>
    <row r="6" spans="1:28" x14ac:dyDescent="0.25">
      <c r="A6" t="s">
        <v>287</v>
      </c>
      <c r="B6" s="1" t="s">
        <v>286</v>
      </c>
      <c r="D6" s="28">
        <f t="shared" ref="D6:AB6" si="0">(1+ESC_ENERGY)^(D$5-1)</f>
        <v>1</v>
      </c>
      <c r="E6" s="28">
        <f t="shared" si="0"/>
        <v>1.04</v>
      </c>
      <c r="F6" s="28">
        <f t="shared" si="0"/>
        <v>1.0816000000000001</v>
      </c>
      <c r="G6" s="28">
        <f t="shared" si="0"/>
        <v>1.1248640000000001</v>
      </c>
      <c r="H6" s="28">
        <f t="shared" si="0"/>
        <v>1.1698585600000002</v>
      </c>
      <c r="I6" s="28">
        <f t="shared" si="0"/>
        <v>1.2166529024000003</v>
      </c>
      <c r="J6" s="28">
        <f t="shared" si="0"/>
        <v>1.2653190184960004</v>
      </c>
      <c r="K6" s="28">
        <f t="shared" si="0"/>
        <v>1.3159317792358403</v>
      </c>
      <c r="L6" s="28">
        <f t="shared" si="0"/>
        <v>1.3685690504052741</v>
      </c>
      <c r="M6" s="28">
        <f t="shared" si="0"/>
        <v>1.4233118124214852</v>
      </c>
      <c r="N6" s="28">
        <f t="shared" si="0"/>
        <v>1.4802442849183446</v>
      </c>
      <c r="O6" s="28">
        <f t="shared" si="0"/>
        <v>1.5394540563150783</v>
      </c>
      <c r="P6" s="28">
        <f t="shared" si="0"/>
        <v>1.6010322185676817</v>
      </c>
      <c r="Q6" s="28">
        <f t="shared" si="0"/>
        <v>1.6650735073103891</v>
      </c>
      <c r="R6" s="28">
        <f t="shared" si="0"/>
        <v>1.7316764476028046</v>
      </c>
      <c r="S6" s="28">
        <f t="shared" si="0"/>
        <v>1.8009435055069167</v>
      </c>
      <c r="T6" s="28">
        <f t="shared" si="0"/>
        <v>1.8729812457271937</v>
      </c>
      <c r="U6" s="28">
        <f t="shared" si="0"/>
        <v>1.9479004955562815</v>
      </c>
      <c r="V6" s="28">
        <f t="shared" si="0"/>
        <v>2.025816515378533</v>
      </c>
      <c r="W6" s="28">
        <f t="shared" si="0"/>
        <v>2.1068491759936743</v>
      </c>
      <c r="X6" s="28">
        <f t="shared" si="0"/>
        <v>2.1911231430334213</v>
      </c>
      <c r="Y6" s="28">
        <f t="shared" si="0"/>
        <v>2.2787680687547587</v>
      </c>
      <c r="Z6" s="28">
        <f t="shared" si="0"/>
        <v>2.3699187915049489</v>
      </c>
      <c r="AA6" s="28">
        <f t="shared" si="0"/>
        <v>2.4647155431651466</v>
      </c>
      <c r="AB6" s="28">
        <f t="shared" si="0"/>
        <v>2.5633041648917527</v>
      </c>
    </row>
    <row r="7" spans="1:28" x14ac:dyDescent="0.25">
      <c r="A7" t="s">
        <v>288</v>
      </c>
      <c r="B7" s="1" t="s">
        <v>286</v>
      </c>
      <c r="D7" s="28">
        <f t="shared" ref="D7:AB7" si="1">(1+ESC_CAPACITY)^(D$5-1)</f>
        <v>1</v>
      </c>
      <c r="E7" s="28">
        <f t="shared" si="1"/>
        <v>1.04</v>
      </c>
      <c r="F7" s="28">
        <f t="shared" si="1"/>
        <v>1.0816000000000001</v>
      </c>
      <c r="G7" s="28">
        <f t="shared" si="1"/>
        <v>1.1248640000000001</v>
      </c>
      <c r="H7" s="28">
        <f t="shared" si="1"/>
        <v>1.1698585600000002</v>
      </c>
      <c r="I7" s="28">
        <f t="shared" si="1"/>
        <v>1.2166529024000003</v>
      </c>
      <c r="J7" s="28">
        <f t="shared" si="1"/>
        <v>1.2653190184960004</v>
      </c>
      <c r="K7" s="28">
        <f t="shared" si="1"/>
        <v>1.3159317792358403</v>
      </c>
      <c r="L7" s="28">
        <f t="shared" si="1"/>
        <v>1.3685690504052741</v>
      </c>
      <c r="M7" s="28">
        <f t="shared" si="1"/>
        <v>1.4233118124214852</v>
      </c>
      <c r="N7" s="28">
        <f t="shared" si="1"/>
        <v>1.4802442849183446</v>
      </c>
      <c r="O7" s="28">
        <f t="shared" si="1"/>
        <v>1.5394540563150783</v>
      </c>
      <c r="P7" s="28">
        <f t="shared" si="1"/>
        <v>1.6010322185676817</v>
      </c>
      <c r="Q7" s="28">
        <f t="shared" si="1"/>
        <v>1.6650735073103891</v>
      </c>
      <c r="R7" s="28">
        <f t="shared" si="1"/>
        <v>1.7316764476028046</v>
      </c>
      <c r="S7" s="28">
        <f t="shared" si="1"/>
        <v>1.8009435055069167</v>
      </c>
      <c r="T7" s="28">
        <f t="shared" si="1"/>
        <v>1.8729812457271937</v>
      </c>
      <c r="U7" s="28">
        <f t="shared" si="1"/>
        <v>1.9479004955562815</v>
      </c>
      <c r="V7" s="28">
        <f t="shared" si="1"/>
        <v>2.025816515378533</v>
      </c>
      <c r="W7" s="28">
        <f t="shared" si="1"/>
        <v>2.1068491759936743</v>
      </c>
      <c r="X7" s="28">
        <f t="shared" si="1"/>
        <v>2.1911231430334213</v>
      </c>
      <c r="Y7" s="28">
        <f t="shared" si="1"/>
        <v>2.2787680687547587</v>
      </c>
      <c r="Z7" s="28">
        <f t="shared" si="1"/>
        <v>2.3699187915049489</v>
      </c>
      <c r="AA7" s="28">
        <f t="shared" si="1"/>
        <v>2.4647155431651466</v>
      </c>
      <c r="AB7" s="28">
        <f t="shared" si="1"/>
        <v>2.5633041648917527</v>
      </c>
    </row>
    <row r="8" spans="1:28" x14ac:dyDescent="0.25">
      <c r="A8" t="s">
        <v>289</v>
      </c>
      <c r="B8" s="1" t="s">
        <v>286</v>
      </c>
      <c r="D8" s="28">
        <f t="shared" ref="D8:AB8" si="2">(1+ESC_OM)^(D$5-1)</f>
        <v>1</v>
      </c>
      <c r="E8" s="28">
        <f t="shared" si="2"/>
        <v>1.03</v>
      </c>
      <c r="F8" s="28">
        <f t="shared" si="2"/>
        <v>1.0609</v>
      </c>
      <c r="G8" s="28">
        <f t="shared" si="2"/>
        <v>1.092727</v>
      </c>
      <c r="H8" s="28">
        <f t="shared" si="2"/>
        <v>1.1255088099999999</v>
      </c>
      <c r="I8" s="28">
        <f t="shared" si="2"/>
        <v>1.1592740742999998</v>
      </c>
      <c r="J8" s="28">
        <f t="shared" si="2"/>
        <v>1.1940522965289999</v>
      </c>
      <c r="K8" s="28">
        <f t="shared" si="2"/>
        <v>1.22987386542487</v>
      </c>
      <c r="L8" s="28">
        <f t="shared" si="2"/>
        <v>1.2667700813876159</v>
      </c>
      <c r="M8" s="28">
        <f t="shared" si="2"/>
        <v>1.3047731838292445</v>
      </c>
      <c r="N8" s="28">
        <f t="shared" si="2"/>
        <v>1.3439163793441218</v>
      </c>
      <c r="O8" s="28">
        <f t="shared" si="2"/>
        <v>1.3842338707244455</v>
      </c>
      <c r="P8" s="28">
        <f t="shared" si="2"/>
        <v>1.4257608868461786</v>
      </c>
      <c r="Q8" s="28">
        <f t="shared" si="2"/>
        <v>1.4685337134515639</v>
      </c>
      <c r="R8" s="28">
        <f t="shared" si="2"/>
        <v>1.512589724855111</v>
      </c>
      <c r="S8" s="28">
        <f t="shared" si="2"/>
        <v>1.5579674166007644</v>
      </c>
      <c r="T8" s="28">
        <f t="shared" si="2"/>
        <v>1.6047064390987871</v>
      </c>
      <c r="U8" s="28">
        <f t="shared" si="2"/>
        <v>1.6528476322717507</v>
      </c>
      <c r="V8" s="28">
        <f t="shared" si="2"/>
        <v>1.7024330612399032</v>
      </c>
      <c r="W8" s="28">
        <f t="shared" si="2"/>
        <v>1.7535060530771003</v>
      </c>
      <c r="X8" s="28">
        <f t="shared" si="2"/>
        <v>1.8061112346694133</v>
      </c>
      <c r="Y8" s="28">
        <f t="shared" si="2"/>
        <v>1.8602945717094954</v>
      </c>
      <c r="Z8" s="28">
        <f t="shared" si="2"/>
        <v>1.9161034088607805</v>
      </c>
      <c r="AA8" s="28">
        <f t="shared" si="2"/>
        <v>1.973586511126604</v>
      </c>
      <c r="AB8" s="28">
        <f t="shared" si="2"/>
        <v>2.0327941064604018</v>
      </c>
    </row>
    <row r="9" spans="1:28" x14ac:dyDescent="0.25">
      <c r="A9" t="s">
        <v>290</v>
      </c>
      <c r="B9" s="1" t="s">
        <v>286</v>
      </c>
      <c r="D9" s="28">
        <f t="shared" ref="D9:AB9" si="3">(1-PV_DEGRADATION)^(D$5-1)</f>
        <v>1</v>
      </c>
      <c r="E9" s="28">
        <f t="shared" si="3"/>
        <v>0.995</v>
      </c>
      <c r="F9" s="28">
        <f t="shared" si="3"/>
        <v>0.99002500000000004</v>
      </c>
      <c r="G9" s="28">
        <f t="shared" si="3"/>
        <v>0.98507487500000002</v>
      </c>
      <c r="H9" s="28">
        <f t="shared" si="3"/>
        <v>0.98014950062500006</v>
      </c>
      <c r="I9" s="28">
        <f t="shared" si="3"/>
        <v>0.97524875312187509</v>
      </c>
      <c r="J9" s="28">
        <f t="shared" si="3"/>
        <v>0.97037250935626573</v>
      </c>
      <c r="K9" s="28">
        <f t="shared" si="3"/>
        <v>0.96552064680948435</v>
      </c>
      <c r="L9" s="28">
        <f t="shared" si="3"/>
        <v>0.96069304357543694</v>
      </c>
      <c r="M9" s="28">
        <f t="shared" si="3"/>
        <v>0.95588957835755972</v>
      </c>
      <c r="N9" s="28">
        <f t="shared" si="3"/>
        <v>0.95111013046577197</v>
      </c>
      <c r="O9" s="28">
        <f t="shared" si="3"/>
        <v>0.94635457981344306</v>
      </c>
      <c r="P9" s="28">
        <f t="shared" si="3"/>
        <v>0.94162280691437594</v>
      </c>
      <c r="Q9" s="28">
        <f t="shared" si="3"/>
        <v>0.93691469287980411</v>
      </c>
      <c r="R9" s="28">
        <f t="shared" si="3"/>
        <v>0.93223011941540512</v>
      </c>
      <c r="S9" s="28">
        <f t="shared" si="3"/>
        <v>0.92756896881832807</v>
      </c>
      <c r="T9" s="28">
        <f t="shared" si="3"/>
        <v>0.92293112397423638</v>
      </c>
      <c r="U9" s="28">
        <f t="shared" si="3"/>
        <v>0.9183164683543652</v>
      </c>
      <c r="V9" s="28">
        <f t="shared" si="3"/>
        <v>0.91372488601259338</v>
      </c>
      <c r="W9" s="28">
        <f t="shared" si="3"/>
        <v>0.90915626158253038</v>
      </c>
      <c r="X9" s="28">
        <f t="shared" si="3"/>
        <v>0.90461048027461777</v>
      </c>
      <c r="Y9" s="28">
        <f t="shared" si="3"/>
        <v>0.90008742787324469</v>
      </c>
      <c r="Z9" s="28">
        <f t="shared" si="3"/>
        <v>0.89558699073387849</v>
      </c>
      <c r="AA9" s="28">
        <f t="shared" si="3"/>
        <v>0.89110905578020905</v>
      </c>
      <c r="AB9" s="28">
        <f t="shared" si="3"/>
        <v>0.88665351050130803</v>
      </c>
    </row>
    <row r="11" spans="1:28" x14ac:dyDescent="0.25">
      <c r="A11" s="6" t="s">
        <v>291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t="s">
        <v>292</v>
      </c>
      <c r="B12" s="1" t="s">
        <v>140</v>
      </c>
      <c r="D12" s="23">
        <f t="shared" ref="D12:AB12" si="4">BASE_ENERGY_REV*D6*D9</f>
        <v>484429.28707346402</v>
      </c>
      <c r="E12" s="23">
        <f t="shared" si="4"/>
        <v>501287.42626362055</v>
      </c>
      <c r="F12" s="23">
        <f t="shared" si="4"/>
        <v>518732.2286975946</v>
      </c>
      <c r="G12" s="23">
        <f t="shared" si="4"/>
        <v>536784.11025627085</v>
      </c>
      <c r="H12" s="23">
        <f t="shared" si="4"/>
        <v>555464.19729318924</v>
      </c>
      <c r="I12" s="23">
        <f t="shared" si="4"/>
        <v>574794.35135899228</v>
      </c>
      <c r="J12" s="23">
        <f t="shared" si="4"/>
        <v>594797.19478628517</v>
      </c>
      <c r="K12" s="23">
        <f t="shared" si="4"/>
        <v>615496.13716484793</v>
      </c>
      <c r="L12" s="23">
        <f t="shared" si="4"/>
        <v>636915.40273818467</v>
      </c>
      <c r="M12" s="23">
        <f t="shared" si="4"/>
        <v>659080.05875347357</v>
      </c>
      <c r="N12" s="23">
        <f t="shared" si="4"/>
        <v>682016.04479809443</v>
      </c>
      <c r="O12" s="23">
        <f t="shared" si="4"/>
        <v>705750.203157068</v>
      </c>
      <c r="P12" s="23">
        <f t="shared" si="4"/>
        <v>730310.31022693426</v>
      </c>
      <c r="Q12" s="23">
        <f t="shared" si="4"/>
        <v>755725.10902283166</v>
      </c>
      <c r="R12" s="23">
        <f t="shared" si="4"/>
        <v>782024.34281682619</v>
      </c>
      <c r="S12" s="23">
        <f t="shared" si="4"/>
        <v>809238.78994685167</v>
      </c>
      <c r="T12" s="23">
        <f t="shared" si="4"/>
        <v>837400.29983700218</v>
      </c>
      <c r="U12" s="23">
        <f t="shared" si="4"/>
        <v>866541.83027132985</v>
      </c>
      <c r="V12" s="23">
        <f t="shared" si="4"/>
        <v>896697.48596477229</v>
      </c>
      <c r="W12" s="23">
        <f t="shared" si="4"/>
        <v>927902.55847634631</v>
      </c>
      <c r="X12" s="23">
        <f t="shared" si="4"/>
        <v>960193.56751132337</v>
      </c>
      <c r="Y12" s="23">
        <f t="shared" si="4"/>
        <v>993608.30366071756</v>
      </c>
      <c r="Z12" s="23">
        <f t="shared" si="4"/>
        <v>1028185.8726281105</v>
      </c>
      <c r="AA12" s="23">
        <f t="shared" si="4"/>
        <v>1063966.7409955687</v>
      </c>
      <c r="AB12" s="23">
        <f t="shared" si="4"/>
        <v>1100992.7835822145</v>
      </c>
    </row>
    <row r="13" spans="1:28" x14ac:dyDescent="0.25">
      <c r="A13" t="s">
        <v>293</v>
      </c>
      <c r="B13" s="1" t="s">
        <v>140</v>
      </c>
      <c r="D13" s="23">
        <f t="shared" ref="D13:AB13" si="5">BASE_DEMAND_SAVINGS*D7</f>
        <v>0</v>
      </c>
      <c r="E13" s="23">
        <f t="shared" si="5"/>
        <v>0</v>
      </c>
      <c r="F13" s="23">
        <f t="shared" si="5"/>
        <v>0</v>
      </c>
      <c r="G13" s="23">
        <f t="shared" si="5"/>
        <v>0</v>
      </c>
      <c r="H13" s="23">
        <f t="shared" si="5"/>
        <v>0</v>
      </c>
      <c r="I13" s="23">
        <f t="shared" si="5"/>
        <v>0</v>
      </c>
      <c r="J13" s="23">
        <f t="shared" si="5"/>
        <v>0</v>
      </c>
      <c r="K13" s="23">
        <f t="shared" si="5"/>
        <v>0</v>
      </c>
      <c r="L13" s="23">
        <f t="shared" si="5"/>
        <v>0</v>
      </c>
      <c r="M13" s="23">
        <f t="shared" si="5"/>
        <v>0</v>
      </c>
      <c r="N13" s="23">
        <f t="shared" si="5"/>
        <v>0</v>
      </c>
      <c r="O13" s="23">
        <f t="shared" si="5"/>
        <v>0</v>
      </c>
      <c r="P13" s="23">
        <f t="shared" si="5"/>
        <v>0</v>
      </c>
      <c r="Q13" s="23">
        <f t="shared" si="5"/>
        <v>0</v>
      </c>
      <c r="R13" s="23">
        <f t="shared" si="5"/>
        <v>0</v>
      </c>
      <c r="S13" s="23">
        <f t="shared" si="5"/>
        <v>0</v>
      </c>
      <c r="T13" s="23">
        <f t="shared" si="5"/>
        <v>0</v>
      </c>
      <c r="U13" s="23">
        <f t="shared" si="5"/>
        <v>0</v>
      </c>
      <c r="V13" s="23">
        <f t="shared" si="5"/>
        <v>0</v>
      </c>
      <c r="W13" s="23">
        <f t="shared" si="5"/>
        <v>0</v>
      </c>
      <c r="X13" s="23">
        <f t="shared" si="5"/>
        <v>0</v>
      </c>
      <c r="Y13" s="23">
        <f t="shared" si="5"/>
        <v>0</v>
      </c>
      <c r="Z13" s="23">
        <f t="shared" si="5"/>
        <v>0</v>
      </c>
      <c r="AA13" s="23">
        <f t="shared" si="5"/>
        <v>0</v>
      </c>
      <c r="AB13" s="23">
        <f t="shared" si="5"/>
        <v>0</v>
      </c>
    </row>
    <row r="14" spans="1:28" x14ac:dyDescent="0.25">
      <c r="A14" t="s">
        <v>294</v>
      </c>
      <c r="B14" s="1" t="s">
        <v>140</v>
      </c>
      <c r="D14" s="23">
        <f t="shared" ref="D14:AB14" si="6">D13*DEMAND_SHARE</f>
        <v>0</v>
      </c>
      <c r="E14" s="23">
        <f t="shared" si="6"/>
        <v>0</v>
      </c>
      <c r="F14" s="23">
        <f t="shared" si="6"/>
        <v>0</v>
      </c>
      <c r="G14" s="23">
        <f t="shared" si="6"/>
        <v>0</v>
      </c>
      <c r="H14" s="23">
        <f t="shared" si="6"/>
        <v>0</v>
      </c>
      <c r="I14" s="23">
        <f t="shared" si="6"/>
        <v>0</v>
      </c>
      <c r="J14" s="23">
        <f t="shared" si="6"/>
        <v>0</v>
      </c>
      <c r="K14" s="23">
        <f t="shared" si="6"/>
        <v>0</v>
      </c>
      <c r="L14" s="23">
        <f t="shared" si="6"/>
        <v>0</v>
      </c>
      <c r="M14" s="23">
        <f t="shared" si="6"/>
        <v>0</v>
      </c>
      <c r="N14" s="23">
        <f t="shared" si="6"/>
        <v>0</v>
      </c>
      <c r="O14" s="23">
        <f t="shared" si="6"/>
        <v>0</v>
      </c>
      <c r="P14" s="23">
        <f t="shared" si="6"/>
        <v>0</v>
      </c>
      <c r="Q14" s="23">
        <f t="shared" si="6"/>
        <v>0</v>
      </c>
      <c r="R14" s="23">
        <f t="shared" si="6"/>
        <v>0</v>
      </c>
      <c r="S14" s="23">
        <f t="shared" si="6"/>
        <v>0</v>
      </c>
      <c r="T14" s="23">
        <f t="shared" si="6"/>
        <v>0</v>
      </c>
      <c r="U14" s="23">
        <f t="shared" si="6"/>
        <v>0</v>
      </c>
      <c r="V14" s="23">
        <f t="shared" si="6"/>
        <v>0</v>
      </c>
      <c r="W14" s="23">
        <f t="shared" si="6"/>
        <v>0</v>
      </c>
      <c r="X14" s="23">
        <f t="shared" si="6"/>
        <v>0</v>
      </c>
      <c r="Y14" s="23">
        <f t="shared" si="6"/>
        <v>0</v>
      </c>
      <c r="Z14" s="23">
        <f t="shared" si="6"/>
        <v>0</v>
      </c>
      <c r="AA14" s="23">
        <f t="shared" si="6"/>
        <v>0</v>
      </c>
      <c r="AB14" s="23">
        <f t="shared" si="6"/>
        <v>0</v>
      </c>
    </row>
    <row r="15" spans="1:28" x14ac:dyDescent="0.25">
      <c r="A15" t="s">
        <v>295</v>
      </c>
      <c r="B15" s="1" t="s">
        <v>140</v>
      </c>
      <c r="D15" s="23">
        <f t="shared" ref="D15:AB15" si="7">BASE_GRID_ARB*D6</f>
        <v>0</v>
      </c>
      <c r="E15" s="23">
        <f t="shared" si="7"/>
        <v>0</v>
      </c>
      <c r="F15" s="23">
        <f t="shared" si="7"/>
        <v>0</v>
      </c>
      <c r="G15" s="23">
        <f t="shared" si="7"/>
        <v>0</v>
      </c>
      <c r="H15" s="23">
        <f t="shared" si="7"/>
        <v>0</v>
      </c>
      <c r="I15" s="23">
        <f t="shared" si="7"/>
        <v>0</v>
      </c>
      <c r="J15" s="23">
        <f t="shared" si="7"/>
        <v>0</v>
      </c>
      <c r="K15" s="23">
        <f t="shared" si="7"/>
        <v>0</v>
      </c>
      <c r="L15" s="23">
        <f t="shared" si="7"/>
        <v>0</v>
      </c>
      <c r="M15" s="23">
        <f t="shared" si="7"/>
        <v>0</v>
      </c>
      <c r="N15" s="23">
        <f t="shared" si="7"/>
        <v>0</v>
      </c>
      <c r="O15" s="23">
        <f t="shared" si="7"/>
        <v>0</v>
      </c>
      <c r="P15" s="23">
        <f t="shared" si="7"/>
        <v>0</v>
      </c>
      <c r="Q15" s="23">
        <f t="shared" si="7"/>
        <v>0</v>
      </c>
      <c r="R15" s="23">
        <f t="shared" si="7"/>
        <v>0</v>
      </c>
      <c r="S15" s="23">
        <f t="shared" si="7"/>
        <v>0</v>
      </c>
      <c r="T15" s="23">
        <f t="shared" si="7"/>
        <v>0</v>
      </c>
      <c r="U15" s="23">
        <f t="shared" si="7"/>
        <v>0</v>
      </c>
      <c r="V15" s="23">
        <f t="shared" si="7"/>
        <v>0</v>
      </c>
      <c r="W15" s="23">
        <f t="shared" si="7"/>
        <v>0</v>
      </c>
      <c r="X15" s="23">
        <f t="shared" si="7"/>
        <v>0</v>
      </c>
      <c r="Y15" s="23">
        <f t="shared" si="7"/>
        <v>0</v>
      </c>
      <c r="Z15" s="23">
        <f t="shared" si="7"/>
        <v>0</v>
      </c>
      <c r="AA15" s="23">
        <f t="shared" si="7"/>
        <v>0</v>
      </c>
      <c r="AB15" s="23">
        <f t="shared" si="7"/>
        <v>0</v>
      </c>
    </row>
    <row r="16" spans="1:28" x14ac:dyDescent="0.25">
      <c r="A16" s="2" t="s">
        <v>296</v>
      </c>
      <c r="B16" s="1" t="s">
        <v>140</v>
      </c>
      <c r="D16" s="29">
        <f t="shared" ref="D16:AB16" si="8">D12+D14+D15</f>
        <v>484429.28707346402</v>
      </c>
      <c r="E16" s="29">
        <f t="shared" si="8"/>
        <v>501287.42626362055</v>
      </c>
      <c r="F16" s="29">
        <f t="shared" si="8"/>
        <v>518732.2286975946</v>
      </c>
      <c r="G16" s="29">
        <f t="shared" si="8"/>
        <v>536784.11025627085</v>
      </c>
      <c r="H16" s="29">
        <f t="shared" si="8"/>
        <v>555464.19729318924</v>
      </c>
      <c r="I16" s="29">
        <f t="shared" si="8"/>
        <v>574794.35135899228</v>
      </c>
      <c r="J16" s="29">
        <f t="shared" si="8"/>
        <v>594797.19478628517</v>
      </c>
      <c r="K16" s="29">
        <f t="shared" si="8"/>
        <v>615496.13716484793</v>
      </c>
      <c r="L16" s="29">
        <f t="shared" si="8"/>
        <v>636915.40273818467</v>
      </c>
      <c r="M16" s="29">
        <f t="shared" si="8"/>
        <v>659080.05875347357</v>
      </c>
      <c r="N16" s="29">
        <f t="shared" si="8"/>
        <v>682016.04479809443</v>
      </c>
      <c r="O16" s="29">
        <f t="shared" si="8"/>
        <v>705750.203157068</v>
      </c>
      <c r="P16" s="29">
        <f t="shared" si="8"/>
        <v>730310.31022693426</v>
      </c>
      <c r="Q16" s="29">
        <f t="shared" si="8"/>
        <v>755725.10902283166</v>
      </c>
      <c r="R16" s="29">
        <f t="shared" si="8"/>
        <v>782024.34281682619</v>
      </c>
      <c r="S16" s="29">
        <f t="shared" si="8"/>
        <v>809238.78994685167</v>
      </c>
      <c r="T16" s="29">
        <f t="shared" si="8"/>
        <v>837400.29983700218</v>
      </c>
      <c r="U16" s="29">
        <f t="shared" si="8"/>
        <v>866541.83027132985</v>
      </c>
      <c r="V16" s="29">
        <f t="shared" si="8"/>
        <v>896697.48596477229</v>
      </c>
      <c r="W16" s="29">
        <f t="shared" si="8"/>
        <v>927902.55847634631</v>
      </c>
      <c r="X16" s="29">
        <f t="shared" si="8"/>
        <v>960193.56751132337</v>
      </c>
      <c r="Y16" s="29">
        <f t="shared" si="8"/>
        <v>993608.30366071756</v>
      </c>
      <c r="Z16" s="29">
        <f t="shared" si="8"/>
        <v>1028185.8726281105</v>
      </c>
      <c r="AA16" s="29">
        <f t="shared" si="8"/>
        <v>1063966.7409955687</v>
      </c>
      <c r="AB16" s="29">
        <f t="shared" si="8"/>
        <v>1100992.7835822145</v>
      </c>
    </row>
    <row r="18" spans="1:28" x14ac:dyDescent="0.25">
      <c r="A18" s="6" t="s">
        <v>297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t="s">
        <v>298</v>
      </c>
      <c r="B19" s="1" t="s">
        <v>140</v>
      </c>
      <c r="D19" s="23">
        <f t="shared" ref="D19:AB19" si="9">OM_YEAR1*D8</f>
        <v>44242.963600000003</v>
      </c>
      <c r="E19" s="23">
        <f t="shared" si="9"/>
        <v>45570.252508000005</v>
      </c>
      <c r="F19" s="23">
        <f t="shared" si="9"/>
        <v>46937.360083240004</v>
      </c>
      <c r="G19" s="23">
        <f t="shared" si="9"/>
        <v>48345.480885737205</v>
      </c>
      <c r="H19" s="23">
        <f t="shared" si="9"/>
        <v>49795.845312309313</v>
      </c>
      <c r="I19" s="23">
        <f t="shared" si="9"/>
        <v>51289.720671678595</v>
      </c>
      <c r="J19" s="23">
        <f t="shared" si="9"/>
        <v>52828.41229182895</v>
      </c>
      <c r="K19" s="23">
        <f t="shared" si="9"/>
        <v>54413.264660583824</v>
      </c>
      <c r="L19" s="23">
        <f t="shared" si="9"/>
        <v>56045.662600401331</v>
      </c>
      <c r="M19" s="23">
        <f t="shared" si="9"/>
        <v>57727.032478413377</v>
      </c>
      <c r="N19" s="23">
        <f t="shared" si="9"/>
        <v>59458.843452765774</v>
      </c>
      <c r="O19" s="23">
        <f t="shared" si="9"/>
        <v>61242.608756348753</v>
      </c>
      <c r="P19" s="23">
        <f t="shared" si="9"/>
        <v>63079.887019039204</v>
      </c>
      <c r="Q19" s="23">
        <f t="shared" si="9"/>
        <v>64972.283629610378</v>
      </c>
      <c r="R19" s="23">
        <f t="shared" si="9"/>
        <v>66921.452138498702</v>
      </c>
      <c r="S19" s="23">
        <f t="shared" si="9"/>
        <v>68929.095702653663</v>
      </c>
      <c r="T19" s="23">
        <f t="shared" si="9"/>
        <v>70996.968573733262</v>
      </c>
      <c r="U19" s="23">
        <f t="shared" si="9"/>
        <v>73126.877630945251</v>
      </c>
      <c r="V19" s="23">
        <f t="shared" si="9"/>
        <v>75320.683959873611</v>
      </c>
      <c r="W19" s="23">
        <f t="shared" si="9"/>
        <v>77580.304478669816</v>
      </c>
      <c r="X19" s="23">
        <f t="shared" si="9"/>
        <v>79907.713613029919</v>
      </c>
      <c r="Y19" s="23">
        <f t="shared" si="9"/>
        <v>82304.945021420805</v>
      </c>
      <c r="Z19" s="23">
        <f t="shared" si="9"/>
        <v>84774.093372063435</v>
      </c>
      <c r="AA19" s="23">
        <f t="shared" si="9"/>
        <v>87317.316173225336</v>
      </c>
      <c r="AB19" s="23">
        <f t="shared" si="9"/>
        <v>89936.835658422089</v>
      </c>
    </row>
    <row r="20" spans="1:28" x14ac:dyDescent="0.25">
      <c r="A20" t="s">
        <v>299</v>
      </c>
      <c r="B20" s="1" t="s">
        <v>140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998737.8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</row>
    <row r="21" spans="1:28" x14ac:dyDescent="0.25">
      <c r="A21" s="2" t="s">
        <v>300</v>
      </c>
      <c r="B21" s="1" t="s">
        <v>140</v>
      </c>
      <c r="D21" s="29">
        <f t="shared" ref="D21:AB21" si="10">D16-D19-D20</f>
        <v>440186.323473464</v>
      </c>
      <c r="E21" s="29">
        <f t="shared" si="10"/>
        <v>455717.17375562055</v>
      </c>
      <c r="F21" s="29">
        <f t="shared" si="10"/>
        <v>471794.86861435458</v>
      </c>
      <c r="G21" s="29">
        <f t="shared" si="10"/>
        <v>488438.62937053363</v>
      </c>
      <c r="H21" s="29">
        <f t="shared" si="10"/>
        <v>505668.3519808799</v>
      </c>
      <c r="I21" s="29">
        <f t="shared" si="10"/>
        <v>523504.63068731368</v>
      </c>
      <c r="J21" s="29">
        <f t="shared" si="10"/>
        <v>541968.78249445627</v>
      </c>
      <c r="K21" s="29">
        <f t="shared" si="10"/>
        <v>561082.87250426412</v>
      </c>
      <c r="L21" s="29">
        <f t="shared" si="10"/>
        <v>580869.74013778334</v>
      </c>
      <c r="M21" s="29">
        <f t="shared" si="10"/>
        <v>601353.02627506014</v>
      </c>
      <c r="N21" s="29">
        <f t="shared" si="10"/>
        <v>-376180.59865467134</v>
      </c>
      <c r="O21" s="29">
        <f t="shared" si="10"/>
        <v>644507.59440071927</v>
      </c>
      <c r="P21" s="29">
        <f t="shared" si="10"/>
        <v>667230.42320789502</v>
      </c>
      <c r="Q21" s="29">
        <f t="shared" si="10"/>
        <v>690752.82539322134</v>
      </c>
      <c r="R21" s="29">
        <f t="shared" si="10"/>
        <v>715102.89067832753</v>
      </c>
      <c r="S21" s="29">
        <f t="shared" si="10"/>
        <v>740309.69424419804</v>
      </c>
      <c r="T21" s="29">
        <f t="shared" si="10"/>
        <v>766403.33126326895</v>
      </c>
      <c r="U21" s="29">
        <f t="shared" si="10"/>
        <v>793414.95264038455</v>
      </c>
      <c r="V21" s="29">
        <f t="shared" si="10"/>
        <v>821376.80200489867</v>
      </c>
      <c r="W21" s="29">
        <f t="shared" si="10"/>
        <v>850322.25399767654</v>
      </c>
      <c r="X21" s="29">
        <f t="shared" si="10"/>
        <v>880285.85389829346</v>
      </c>
      <c r="Y21" s="29">
        <f t="shared" si="10"/>
        <v>911303.35863929673</v>
      </c>
      <c r="Z21" s="29">
        <f t="shared" si="10"/>
        <v>943411.77925604698</v>
      </c>
      <c r="AA21" s="29">
        <f t="shared" si="10"/>
        <v>976649.4248223434</v>
      </c>
      <c r="AB21" s="29">
        <f t="shared" si="10"/>
        <v>1011055.9479237924</v>
      </c>
    </row>
    <row r="23" spans="1:28" x14ac:dyDescent="0.25">
      <c r="A23" s="6" t="s">
        <v>301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5">
      <c r="A24" t="s">
        <v>302</v>
      </c>
      <c r="B24" s="1" t="s">
        <v>140</v>
      </c>
      <c r="D24" s="23">
        <f>DEBT_PRINCIPAL</f>
        <v>2641620.2736</v>
      </c>
      <c r="E24" s="23">
        <f t="shared" ref="E24:AB24" si="11">D28</f>
        <v>2463554.7131874291</v>
      </c>
      <c r="F24" s="23">
        <f t="shared" si="11"/>
        <v>2270353.5801397897</v>
      </c>
      <c r="G24" s="23">
        <f t="shared" si="11"/>
        <v>2060730.3507831013</v>
      </c>
      <c r="H24" s="23">
        <f t="shared" si="11"/>
        <v>1833289.1469310941</v>
      </c>
      <c r="I24" s="23">
        <f t="shared" si="11"/>
        <v>1586515.4407516664</v>
      </c>
      <c r="J24" s="23">
        <f t="shared" si="11"/>
        <v>1318765.9695469874</v>
      </c>
      <c r="K24" s="23">
        <f t="shared" si="11"/>
        <v>1028257.7932899108</v>
      </c>
      <c r="L24" s="23">
        <f t="shared" si="11"/>
        <v>713056.42205098248</v>
      </c>
      <c r="M24" s="23">
        <f t="shared" si="11"/>
        <v>371062.93425674533</v>
      </c>
      <c r="N24" s="23">
        <f t="shared" si="11"/>
        <v>0</v>
      </c>
      <c r="O24" s="23">
        <f t="shared" si="11"/>
        <v>0</v>
      </c>
      <c r="P24" s="23">
        <f t="shared" si="11"/>
        <v>0</v>
      </c>
      <c r="Q24" s="23">
        <f t="shared" si="11"/>
        <v>0</v>
      </c>
      <c r="R24" s="23">
        <f t="shared" si="11"/>
        <v>0</v>
      </c>
      <c r="S24" s="23">
        <f t="shared" si="11"/>
        <v>0</v>
      </c>
      <c r="T24" s="23">
        <f t="shared" si="11"/>
        <v>0</v>
      </c>
      <c r="U24" s="23">
        <f t="shared" si="11"/>
        <v>0</v>
      </c>
      <c r="V24" s="23">
        <f t="shared" si="11"/>
        <v>0</v>
      </c>
      <c r="W24" s="23">
        <f t="shared" si="11"/>
        <v>0</v>
      </c>
      <c r="X24" s="23">
        <f t="shared" si="11"/>
        <v>0</v>
      </c>
      <c r="Y24" s="23">
        <f t="shared" si="11"/>
        <v>0</v>
      </c>
      <c r="Z24" s="23">
        <f t="shared" si="11"/>
        <v>0</v>
      </c>
      <c r="AA24" s="23">
        <f t="shared" si="11"/>
        <v>0</v>
      </c>
      <c r="AB24" s="23">
        <f t="shared" si="11"/>
        <v>0</v>
      </c>
    </row>
    <row r="25" spans="1:28" x14ac:dyDescent="0.25">
      <c r="A25" t="s">
        <v>303</v>
      </c>
      <c r="B25" s="1" t="s">
        <v>140</v>
      </c>
      <c r="D25" s="23">
        <f t="shared" ref="D25:AB25" si="12">IF(D$5&lt;=DEBT_TERM_YEARS,D24*DEBT_RATE,0)</f>
        <v>224537.72325600003</v>
      </c>
      <c r="E25" s="23">
        <f t="shared" si="12"/>
        <v>209402.1506209315</v>
      </c>
      <c r="F25" s="23">
        <f t="shared" si="12"/>
        <v>192980.05431188215</v>
      </c>
      <c r="G25" s="23">
        <f t="shared" si="12"/>
        <v>175162.07981656361</v>
      </c>
      <c r="H25" s="23">
        <f t="shared" si="12"/>
        <v>155829.577489143</v>
      </c>
      <c r="I25" s="23">
        <f t="shared" si="12"/>
        <v>134853.81246389166</v>
      </c>
      <c r="J25" s="23">
        <f t="shared" si="12"/>
        <v>112095.10741149394</v>
      </c>
      <c r="K25" s="23">
        <f t="shared" si="12"/>
        <v>87401.912429642427</v>
      </c>
      <c r="L25" s="23">
        <f t="shared" si="12"/>
        <v>60609.795874333518</v>
      </c>
      <c r="M25" s="23">
        <f t="shared" si="12"/>
        <v>31540.349411823354</v>
      </c>
      <c r="N25" s="23">
        <f t="shared" si="12"/>
        <v>0</v>
      </c>
      <c r="O25" s="23">
        <f t="shared" si="12"/>
        <v>0</v>
      </c>
      <c r="P25" s="23">
        <f t="shared" si="12"/>
        <v>0</v>
      </c>
      <c r="Q25" s="23">
        <f t="shared" si="12"/>
        <v>0</v>
      </c>
      <c r="R25" s="23">
        <f t="shared" si="12"/>
        <v>0</v>
      </c>
      <c r="S25" s="23">
        <f t="shared" si="12"/>
        <v>0</v>
      </c>
      <c r="T25" s="23">
        <f t="shared" si="12"/>
        <v>0</v>
      </c>
      <c r="U25" s="23">
        <f t="shared" si="12"/>
        <v>0</v>
      </c>
      <c r="V25" s="23">
        <f t="shared" si="12"/>
        <v>0</v>
      </c>
      <c r="W25" s="23">
        <f t="shared" si="12"/>
        <v>0</v>
      </c>
      <c r="X25" s="23">
        <f t="shared" si="12"/>
        <v>0</v>
      </c>
      <c r="Y25" s="23">
        <f t="shared" si="12"/>
        <v>0</v>
      </c>
      <c r="Z25" s="23">
        <f t="shared" si="12"/>
        <v>0</v>
      </c>
      <c r="AA25" s="23">
        <f t="shared" si="12"/>
        <v>0</v>
      </c>
      <c r="AB25" s="23">
        <f t="shared" si="12"/>
        <v>0</v>
      </c>
    </row>
    <row r="26" spans="1:28" x14ac:dyDescent="0.25">
      <c r="A26" t="s">
        <v>304</v>
      </c>
      <c r="B26" s="1" t="s">
        <v>140</v>
      </c>
      <c r="D26" s="23">
        <f t="shared" ref="D26:AB26" si="13">IF(D$5&lt;=DEBT_TERM_YEARS,MIN(MAX(DEBT_PAYMENT-D25,0),D24),0)</f>
        <v>178065.56041257066</v>
      </c>
      <c r="E26" s="23">
        <f t="shared" si="13"/>
        <v>193201.13304763919</v>
      </c>
      <c r="F26" s="23">
        <f t="shared" si="13"/>
        <v>209623.22935668853</v>
      </c>
      <c r="G26" s="23">
        <f t="shared" si="13"/>
        <v>227441.20385200708</v>
      </c>
      <c r="H26" s="23">
        <f t="shared" si="13"/>
        <v>246773.70617942768</v>
      </c>
      <c r="I26" s="23">
        <f t="shared" si="13"/>
        <v>267749.47120467899</v>
      </c>
      <c r="J26" s="23">
        <f t="shared" si="13"/>
        <v>290508.17625707673</v>
      </c>
      <c r="K26" s="23">
        <f t="shared" si="13"/>
        <v>315201.37123892829</v>
      </c>
      <c r="L26" s="23">
        <f t="shared" si="13"/>
        <v>341993.48779423715</v>
      </c>
      <c r="M26" s="23">
        <f t="shared" si="13"/>
        <v>371062.93425674533</v>
      </c>
      <c r="N26" s="23">
        <f t="shared" si="13"/>
        <v>0</v>
      </c>
      <c r="O26" s="23">
        <f t="shared" si="13"/>
        <v>0</v>
      </c>
      <c r="P26" s="23">
        <f t="shared" si="13"/>
        <v>0</v>
      </c>
      <c r="Q26" s="23">
        <f t="shared" si="13"/>
        <v>0</v>
      </c>
      <c r="R26" s="23">
        <f t="shared" si="13"/>
        <v>0</v>
      </c>
      <c r="S26" s="23">
        <f t="shared" si="13"/>
        <v>0</v>
      </c>
      <c r="T26" s="23">
        <f t="shared" si="13"/>
        <v>0</v>
      </c>
      <c r="U26" s="23">
        <f t="shared" si="13"/>
        <v>0</v>
      </c>
      <c r="V26" s="23">
        <f t="shared" si="13"/>
        <v>0</v>
      </c>
      <c r="W26" s="23">
        <f t="shared" si="13"/>
        <v>0</v>
      </c>
      <c r="X26" s="23">
        <f t="shared" si="13"/>
        <v>0</v>
      </c>
      <c r="Y26" s="23">
        <f t="shared" si="13"/>
        <v>0</v>
      </c>
      <c r="Z26" s="23">
        <f t="shared" si="13"/>
        <v>0</v>
      </c>
      <c r="AA26" s="23">
        <f t="shared" si="13"/>
        <v>0</v>
      </c>
      <c r="AB26" s="23">
        <f t="shared" si="13"/>
        <v>0</v>
      </c>
    </row>
    <row r="27" spans="1:28" x14ac:dyDescent="0.25">
      <c r="A27" s="2" t="s">
        <v>305</v>
      </c>
      <c r="B27" s="1" t="s">
        <v>140</v>
      </c>
      <c r="D27" s="29">
        <f t="shared" ref="D27:AB27" si="14">D25+D26</f>
        <v>402603.28366857069</v>
      </c>
      <c r="E27" s="29">
        <f t="shared" si="14"/>
        <v>402603.28366857069</v>
      </c>
      <c r="F27" s="29">
        <f t="shared" si="14"/>
        <v>402603.28366857069</v>
      </c>
      <c r="G27" s="29">
        <f t="shared" si="14"/>
        <v>402603.28366857069</v>
      </c>
      <c r="H27" s="29">
        <f t="shared" si="14"/>
        <v>402603.28366857069</v>
      </c>
      <c r="I27" s="29">
        <f t="shared" si="14"/>
        <v>402603.28366857069</v>
      </c>
      <c r="J27" s="29">
        <f t="shared" si="14"/>
        <v>402603.28366857069</v>
      </c>
      <c r="K27" s="29">
        <f t="shared" si="14"/>
        <v>402603.28366857069</v>
      </c>
      <c r="L27" s="29">
        <f t="shared" si="14"/>
        <v>402603.28366857069</v>
      </c>
      <c r="M27" s="29">
        <f t="shared" si="14"/>
        <v>402603.28366856871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  <c r="Y27" s="29">
        <f t="shared" si="14"/>
        <v>0</v>
      </c>
      <c r="Z27" s="29">
        <f t="shared" si="14"/>
        <v>0</v>
      </c>
      <c r="AA27" s="29">
        <f t="shared" si="14"/>
        <v>0</v>
      </c>
      <c r="AB27" s="29">
        <f t="shared" si="14"/>
        <v>0</v>
      </c>
    </row>
    <row r="28" spans="1:28" x14ac:dyDescent="0.25">
      <c r="A28" t="s">
        <v>306</v>
      </c>
      <c r="B28" s="1" t="s">
        <v>140</v>
      </c>
      <c r="D28" s="23">
        <f t="shared" ref="D28:AB28" si="15">D24-D26</f>
        <v>2463554.7131874291</v>
      </c>
      <c r="E28" s="23">
        <f t="shared" si="15"/>
        <v>2270353.5801397897</v>
      </c>
      <c r="F28" s="23">
        <f t="shared" si="15"/>
        <v>2060730.3507831013</v>
      </c>
      <c r="G28" s="23">
        <f t="shared" si="15"/>
        <v>1833289.1469310941</v>
      </c>
      <c r="H28" s="23">
        <f t="shared" si="15"/>
        <v>1586515.4407516664</v>
      </c>
      <c r="I28" s="23">
        <f t="shared" si="15"/>
        <v>1318765.9695469874</v>
      </c>
      <c r="J28" s="23">
        <f t="shared" si="15"/>
        <v>1028257.7932899108</v>
      </c>
      <c r="K28" s="23">
        <f t="shared" si="15"/>
        <v>713056.42205098248</v>
      </c>
      <c r="L28" s="23">
        <f t="shared" si="15"/>
        <v>371062.93425674533</v>
      </c>
      <c r="M28" s="23">
        <f t="shared" si="15"/>
        <v>0</v>
      </c>
      <c r="N28" s="23">
        <f t="shared" si="15"/>
        <v>0</v>
      </c>
      <c r="O28" s="23">
        <f t="shared" si="15"/>
        <v>0</v>
      </c>
      <c r="P28" s="23">
        <f t="shared" si="15"/>
        <v>0</v>
      </c>
      <c r="Q28" s="23">
        <f t="shared" si="15"/>
        <v>0</v>
      </c>
      <c r="R28" s="23">
        <f t="shared" si="15"/>
        <v>0</v>
      </c>
      <c r="S28" s="23">
        <f t="shared" si="15"/>
        <v>0</v>
      </c>
      <c r="T28" s="23">
        <f t="shared" si="15"/>
        <v>0</v>
      </c>
      <c r="U28" s="23">
        <f t="shared" si="15"/>
        <v>0</v>
      </c>
      <c r="V28" s="23">
        <f t="shared" si="15"/>
        <v>0</v>
      </c>
      <c r="W28" s="23">
        <f t="shared" si="15"/>
        <v>0</v>
      </c>
      <c r="X28" s="23">
        <f t="shared" si="15"/>
        <v>0</v>
      </c>
      <c r="Y28" s="23">
        <f t="shared" si="15"/>
        <v>0</v>
      </c>
      <c r="Z28" s="23">
        <f t="shared" si="15"/>
        <v>0</v>
      </c>
      <c r="AA28" s="23">
        <f t="shared" si="15"/>
        <v>0</v>
      </c>
      <c r="AB28" s="23">
        <f t="shared" si="15"/>
        <v>0</v>
      </c>
    </row>
    <row r="30" spans="1:28" x14ac:dyDescent="0.25">
      <c r="A30" s="6" t="s">
        <v>307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t="s">
        <v>228</v>
      </c>
      <c r="B31" s="1" t="s">
        <v>140</v>
      </c>
      <c r="D31" s="23">
        <f t="shared" ref="D31:AB31" si="16">IF(D$5&lt;=PV_DEP_YEARS,PV_CAPEX/PV_DEP_YEARS,0)</f>
        <v>130110.54240000001</v>
      </c>
      <c r="E31" s="23">
        <f t="shared" si="16"/>
        <v>130110.54240000001</v>
      </c>
      <c r="F31" s="23">
        <f t="shared" si="16"/>
        <v>130110.54240000001</v>
      </c>
      <c r="G31" s="23">
        <f t="shared" si="16"/>
        <v>130110.54240000001</v>
      </c>
      <c r="H31" s="23">
        <f t="shared" si="16"/>
        <v>130110.54240000001</v>
      </c>
      <c r="I31" s="23">
        <f t="shared" si="16"/>
        <v>130110.54240000001</v>
      </c>
      <c r="J31" s="23">
        <f t="shared" si="16"/>
        <v>130110.54240000001</v>
      </c>
      <c r="K31" s="23">
        <f t="shared" si="16"/>
        <v>130110.54240000001</v>
      </c>
      <c r="L31" s="23">
        <f t="shared" si="16"/>
        <v>130110.54240000001</v>
      </c>
      <c r="M31" s="23">
        <f t="shared" si="16"/>
        <v>130110.54240000001</v>
      </c>
      <c r="N31" s="23">
        <f t="shared" si="16"/>
        <v>130110.54240000001</v>
      </c>
      <c r="O31" s="23">
        <f t="shared" si="16"/>
        <v>130110.54240000001</v>
      </c>
      <c r="P31" s="23">
        <f t="shared" si="16"/>
        <v>130110.54240000001</v>
      </c>
      <c r="Q31" s="23">
        <f t="shared" si="16"/>
        <v>130110.54240000001</v>
      </c>
      <c r="R31" s="23">
        <f t="shared" si="16"/>
        <v>130110.54240000001</v>
      </c>
      <c r="S31" s="23">
        <f t="shared" si="16"/>
        <v>130110.54240000001</v>
      </c>
      <c r="T31" s="23">
        <f t="shared" si="16"/>
        <v>130110.54240000001</v>
      </c>
      <c r="U31" s="23">
        <f t="shared" si="16"/>
        <v>130110.54240000001</v>
      </c>
      <c r="V31" s="23">
        <f t="shared" si="16"/>
        <v>130110.54240000001</v>
      </c>
      <c r="W31" s="23">
        <f t="shared" si="16"/>
        <v>130110.54240000001</v>
      </c>
      <c r="X31" s="23">
        <f t="shared" si="16"/>
        <v>0</v>
      </c>
      <c r="Y31" s="23">
        <f t="shared" si="16"/>
        <v>0</v>
      </c>
      <c r="Z31" s="23">
        <f t="shared" si="16"/>
        <v>0</v>
      </c>
      <c r="AA31" s="23">
        <f t="shared" si="16"/>
        <v>0</v>
      </c>
      <c r="AB31" s="23">
        <f t="shared" si="16"/>
        <v>0</v>
      </c>
    </row>
    <row r="32" spans="1:28" x14ac:dyDescent="0.25">
      <c r="A32" t="s">
        <v>230</v>
      </c>
      <c r="B32" s="1" t="s">
        <v>140</v>
      </c>
      <c r="D32" s="23">
        <f t="shared" ref="D32:AB32" si="17">IF(D$5&lt;=BESS_DEP_YEARS,BESS_CAPEX/BESS_DEP_YEARS,0)</f>
        <v>146441.54999999999</v>
      </c>
      <c r="E32" s="23">
        <f t="shared" si="17"/>
        <v>146441.54999999999</v>
      </c>
      <c r="F32" s="23">
        <f t="shared" si="17"/>
        <v>146441.54999999999</v>
      </c>
      <c r="G32" s="23">
        <f t="shared" si="17"/>
        <v>146441.54999999999</v>
      </c>
      <c r="H32" s="23">
        <f t="shared" si="17"/>
        <v>146441.54999999999</v>
      </c>
      <c r="I32" s="23">
        <f t="shared" si="17"/>
        <v>146441.54999999999</v>
      </c>
      <c r="J32" s="23">
        <f t="shared" si="17"/>
        <v>146441.54999999999</v>
      </c>
      <c r="K32" s="23">
        <f t="shared" si="17"/>
        <v>146441.54999999999</v>
      </c>
      <c r="L32" s="23">
        <f t="shared" si="17"/>
        <v>0</v>
      </c>
      <c r="M32" s="23">
        <f t="shared" si="17"/>
        <v>0</v>
      </c>
      <c r="N32" s="23">
        <f t="shared" si="17"/>
        <v>0</v>
      </c>
      <c r="O32" s="23">
        <f t="shared" si="17"/>
        <v>0</v>
      </c>
      <c r="P32" s="23">
        <f t="shared" si="17"/>
        <v>0</v>
      </c>
      <c r="Q32" s="23">
        <f t="shared" si="17"/>
        <v>0</v>
      </c>
      <c r="R32" s="23">
        <f t="shared" si="17"/>
        <v>0</v>
      </c>
      <c r="S32" s="23">
        <f t="shared" si="17"/>
        <v>0</v>
      </c>
      <c r="T32" s="23">
        <f t="shared" si="17"/>
        <v>0</v>
      </c>
      <c r="U32" s="23">
        <f t="shared" si="17"/>
        <v>0</v>
      </c>
      <c r="V32" s="23">
        <f t="shared" si="17"/>
        <v>0</v>
      </c>
      <c r="W32" s="23">
        <f t="shared" si="17"/>
        <v>0</v>
      </c>
      <c r="X32" s="23">
        <f t="shared" si="17"/>
        <v>0</v>
      </c>
      <c r="Y32" s="23">
        <f t="shared" si="17"/>
        <v>0</v>
      </c>
      <c r="Z32" s="23">
        <f t="shared" si="17"/>
        <v>0</v>
      </c>
      <c r="AA32" s="23">
        <f t="shared" si="17"/>
        <v>0</v>
      </c>
      <c r="AB32" s="23">
        <f t="shared" si="17"/>
        <v>0</v>
      </c>
    </row>
    <row r="33" spans="1:28" x14ac:dyDescent="0.25">
      <c r="A33" t="s">
        <v>308</v>
      </c>
      <c r="B33" s="1" t="s">
        <v>140</v>
      </c>
      <c r="D33" s="23">
        <f t="shared" ref="D33:AB33" si="18">IF(AND(D$5&gt;=11,D$5&lt;=11+BESS_DEP_YEARS-1),$N$20/BESS_DEP_YEARS,0)</f>
        <v>0</v>
      </c>
      <c r="E33" s="23">
        <f t="shared" si="18"/>
        <v>0</v>
      </c>
      <c r="F33" s="23">
        <f t="shared" si="18"/>
        <v>0</v>
      </c>
      <c r="G33" s="23">
        <f t="shared" si="18"/>
        <v>0</v>
      </c>
      <c r="H33" s="23">
        <f t="shared" si="18"/>
        <v>0</v>
      </c>
      <c r="I33" s="23">
        <f t="shared" si="18"/>
        <v>0</v>
      </c>
      <c r="J33" s="23">
        <f t="shared" si="18"/>
        <v>0</v>
      </c>
      <c r="K33" s="23">
        <f t="shared" si="18"/>
        <v>0</v>
      </c>
      <c r="L33" s="23">
        <f t="shared" si="18"/>
        <v>0</v>
      </c>
      <c r="M33" s="23">
        <f t="shared" si="18"/>
        <v>0</v>
      </c>
      <c r="N33" s="23">
        <f t="shared" si="18"/>
        <v>124842.22500000001</v>
      </c>
      <c r="O33" s="23">
        <f t="shared" si="18"/>
        <v>124842.22500000001</v>
      </c>
      <c r="P33" s="23">
        <f t="shared" si="18"/>
        <v>124842.22500000001</v>
      </c>
      <c r="Q33" s="23">
        <f t="shared" si="18"/>
        <v>124842.22500000001</v>
      </c>
      <c r="R33" s="23">
        <f t="shared" si="18"/>
        <v>124842.22500000001</v>
      </c>
      <c r="S33" s="23">
        <f t="shared" si="18"/>
        <v>124842.22500000001</v>
      </c>
      <c r="T33" s="23">
        <f t="shared" si="18"/>
        <v>124842.22500000001</v>
      </c>
      <c r="U33" s="23">
        <f t="shared" si="18"/>
        <v>124842.22500000001</v>
      </c>
      <c r="V33" s="23">
        <f t="shared" si="18"/>
        <v>0</v>
      </c>
      <c r="W33" s="23">
        <f t="shared" si="18"/>
        <v>0</v>
      </c>
      <c r="X33" s="23">
        <f t="shared" si="18"/>
        <v>0</v>
      </c>
      <c r="Y33" s="23">
        <f t="shared" si="18"/>
        <v>0</v>
      </c>
      <c r="Z33" s="23">
        <f t="shared" si="18"/>
        <v>0</v>
      </c>
      <c r="AA33" s="23">
        <f t="shared" si="18"/>
        <v>0</v>
      </c>
      <c r="AB33" s="23">
        <f t="shared" si="18"/>
        <v>0</v>
      </c>
    </row>
    <row r="34" spans="1:28" x14ac:dyDescent="0.25">
      <c r="A34" t="s">
        <v>309</v>
      </c>
      <c r="B34" s="1" t="s">
        <v>140</v>
      </c>
      <c r="D34" s="23">
        <f t="shared" ref="D34:AB34" si="19">D31+D32+D33</f>
        <v>276552.09239999996</v>
      </c>
      <c r="E34" s="23">
        <f t="shared" si="19"/>
        <v>276552.09239999996</v>
      </c>
      <c r="F34" s="23">
        <f t="shared" si="19"/>
        <v>276552.09239999996</v>
      </c>
      <c r="G34" s="23">
        <f t="shared" si="19"/>
        <v>276552.09239999996</v>
      </c>
      <c r="H34" s="23">
        <f t="shared" si="19"/>
        <v>276552.09239999996</v>
      </c>
      <c r="I34" s="23">
        <f t="shared" si="19"/>
        <v>276552.09239999996</v>
      </c>
      <c r="J34" s="23">
        <f t="shared" si="19"/>
        <v>276552.09239999996</v>
      </c>
      <c r="K34" s="23">
        <f t="shared" si="19"/>
        <v>276552.09239999996</v>
      </c>
      <c r="L34" s="23">
        <f t="shared" si="19"/>
        <v>130110.54240000001</v>
      </c>
      <c r="M34" s="23">
        <f t="shared" si="19"/>
        <v>130110.54240000001</v>
      </c>
      <c r="N34" s="23">
        <f t="shared" si="19"/>
        <v>254952.76740000001</v>
      </c>
      <c r="O34" s="23">
        <f t="shared" si="19"/>
        <v>254952.76740000001</v>
      </c>
      <c r="P34" s="23">
        <f t="shared" si="19"/>
        <v>254952.76740000001</v>
      </c>
      <c r="Q34" s="23">
        <f t="shared" si="19"/>
        <v>254952.76740000001</v>
      </c>
      <c r="R34" s="23">
        <f t="shared" si="19"/>
        <v>254952.76740000001</v>
      </c>
      <c r="S34" s="23">
        <f t="shared" si="19"/>
        <v>254952.76740000001</v>
      </c>
      <c r="T34" s="23">
        <f t="shared" si="19"/>
        <v>254952.76740000001</v>
      </c>
      <c r="U34" s="23">
        <f t="shared" si="19"/>
        <v>254952.76740000001</v>
      </c>
      <c r="V34" s="23">
        <f t="shared" si="19"/>
        <v>130110.54240000001</v>
      </c>
      <c r="W34" s="23">
        <f t="shared" si="19"/>
        <v>130110.54240000001</v>
      </c>
      <c r="X34" s="23">
        <f t="shared" si="19"/>
        <v>0</v>
      </c>
      <c r="Y34" s="23">
        <f t="shared" si="19"/>
        <v>0</v>
      </c>
      <c r="Z34" s="23">
        <f t="shared" si="19"/>
        <v>0</v>
      </c>
      <c r="AA34" s="23">
        <f t="shared" si="19"/>
        <v>0</v>
      </c>
      <c r="AB34" s="23">
        <f t="shared" si="19"/>
        <v>0</v>
      </c>
    </row>
    <row r="35" spans="1:28" x14ac:dyDescent="0.25">
      <c r="A35" s="2" t="s">
        <v>310</v>
      </c>
      <c r="B35" s="1" t="s">
        <v>140</v>
      </c>
      <c r="D35" s="29">
        <f t="shared" ref="D35:AB35" si="20">D21+D20-D34-D25</f>
        <v>-60903.492182535992</v>
      </c>
      <c r="E35" s="29">
        <f t="shared" si="20"/>
        <v>-30237.069265310914</v>
      </c>
      <c r="F35" s="29">
        <f t="shared" si="20"/>
        <v>2262.7219024724618</v>
      </c>
      <c r="G35" s="29">
        <f t="shared" si="20"/>
        <v>36724.457153970056</v>
      </c>
      <c r="H35" s="29">
        <f t="shared" si="20"/>
        <v>73286.682091736933</v>
      </c>
      <c r="I35" s="29">
        <f t="shared" si="20"/>
        <v>112098.72582342205</v>
      </c>
      <c r="J35" s="29">
        <f t="shared" si="20"/>
        <v>153321.58268296235</v>
      </c>
      <c r="K35" s="29">
        <f t="shared" si="20"/>
        <v>197128.86767462172</v>
      </c>
      <c r="L35" s="29">
        <f t="shared" si="20"/>
        <v>390149.40186344978</v>
      </c>
      <c r="M35" s="29">
        <f t="shared" si="20"/>
        <v>439702.13446323673</v>
      </c>
      <c r="N35" s="29">
        <f t="shared" si="20"/>
        <v>367604.4339453287</v>
      </c>
      <c r="O35" s="29">
        <f t="shared" si="20"/>
        <v>389554.82700071926</v>
      </c>
      <c r="P35" s="29">
        <f t="shared" si="20"/>
        <v>412277.655807895</v>
      </c>
      <c r="Q35" s="29">
        <f t="shared" si="20"/>
        <v>435800.05799322133</v>
      </c>
      <c r="R35" s="29">
        <f t="shared" si="20"/>
        <v>460150.12327832752</v>
      </c>
      <c r="S35" s="29">
        <f t="shared" si="20"/>
        <v>485356.92684419802</v>
      </c>
      <c r="T35" s="29">
        <f t="shared" si="20"/>
        <v>511450.56386326894</v>
      </c>
      <c r="U35" s="29">
        <f t="shared" si="20"/>
        <v>538462.18524038454</v>
      </c>
      <c r="V35" s="29">
        <f t="shared" si="20"/>
        <v>691266.25960489863</v>
      </c>
      <c r="W35" s="29">
        <f t="shared" si="20"/>
        <v>720211.71159767651</v>
      </c>
      <c r="X35" s="29">
        <f t="shared" si="20"/>
        <v>880285.85389829346</v>
      </c>
      <c r="Y35" s="29">
        <f t="shared" si="20"/>
        <v>911303.35863929673</v>
      </c>
      <c r="Z35" s="29">
        <f t="shared" si="20"/>
        <v>943411.77925604698</v>
      </c>
      <c r="AA35" s="29">
        <f t="shared" si="20"/>
        <v>976649.4248223434</v>
      </c>
      <c r="AB35" s="29">
        <f t="shared" si="20"/>
        <v>1011055.9479237924</v>
      </c>
    </row>
    <row r="36" spans="1:28" x14ac:dyDescent="0.25">
      <c r="A36" t="s">
        <v>311</v>
      </c>
      <c r="B36" s="1" t="s">
        <v>140</v>
      </c>
      <c r="D36" s="23">
        <f t="shared" ref="D36:AB36" si="21">MAX(-D35,0)</f>
        <v>60903.492182535992</v>
      </c>
      <c r="E36" s="23">
        <f t="shared" si="21"/>
        <v>30237.069265310914</v>
      </c>
      <c r="F36" s="23">
        <f t="shared" si="21"/>
        <v>0</v>
      </c>
      <c r="G36" s="23">
        <f t="shared" si="21"/>
        <v>0</v>
      </c>
      <c r="H36" s="23">
        <f t="shared" si="21"/>
        <v>0</v>
      </c>
      <c r="I36" s="23">
        <f t="shared" si="21"/>
        <v>0</v>
      </c>
      <c r="J36" s="23">
        <f t="shared" si="21"/>
        <v>0</v>
      </c>
      <c r="K36" s="23">
        <f t="shared" si="21"/>
        <v>0</v>
      </c>
      <c r="L36" s="23">
        <f t="shared" si="21"/>
        <v>0</v>
      </c>
      <c r="M36" s="23">
        <f t="shared" si="21"/>
        <v>0</v>
      </c>
      <c r="N36" s="23">
        <f t="shared" si="21"/>
        <v>0</v>
      </c>
      <c r="O36" s="23">
        <f t="shared" si="21"/>
        <v>0</v>
      </c>
      <c r="P36" s="23">
        <f t="shared" si="21"/>
        <v>0</v>
      </c>
      <c r="Q36" s="23">
        <f t="shared" si="21"/>
        <v>0</v>
      </c>
      <c r="R36" s="23">
        <f t="shared" si="21"/>
        <v>0</v>
      </c>
      <c r="S36" s="23">
        <f t="shared" si="21"/>
        <v>0</v>
      </c>
      <c r="T36" s="23">
        <f t="shared" si="21"/>
        <v>0</v>
      </c>
      <c r="U36" s="23">
        <f t="shared" si="21"/>
        <v>0</v>
      </c>
      <c r="V36" s="23">
        <f t="shared" si="21"/>
        <v>0</v>
      </c>
      <c r="W36" s="23">
        <f t="shared" si="21"/>
        <v>0</v>
      </c>
      <c r="X36" s="23">
        <f t="shared" si="21"/>
        <v>0</v>
      </c>
      <c r="Y36" s="23">
        <f t="shared" si="21"/>
        <v>0</v>
      </c>
      <c r="Z36" s="23">
        <f t="shared" si="21"/>
        <v>0</v>
      </c>
      <c r="AA36" s="23">
        <f t="shared" si="21"/>
        <v>0</v>
      </c>
      <c r="AB36" s="23">
        <f t="shared" si="21"/>
        <v>0</v>
      </c>
    </row>
    <row r="37" spans="1:28" x14ac:dyDescent="0.25">
      <c r="A37" t="s">
        <v>312</v>
      </c>
      <c r="B37" s="1" t="s">
        <v>140</v>
      </c>
      <c r="D37" s="23">
        <f t="shared" ref="D37:AB37" si="22">MAX(D35,0)</f>
        <v>0</v>
      </c>
      <c r="E37" s="23">
        <f t="shared" si="22"/>
        <v>0</v>
      </c>
      <c r="F37" s="23">
        <f t="shared" si="22"/>
        <v>2262.7219024724618</v>
      </c>
      <c r="G37" s="23">
        <f t="shared" si="22"/>
        <v>36724.457153970056</v>
      </c>
      <c r="H37" s="23">
        <f t="shared" si="22"/>
        <v>73286.682091736933</v>
      </c>
      <c r="I37" s="23">
        <f t="shared" si="22"/>
        <v>112098.72582342205</v>
      </c>
      <c r="J37" s="23">
        <f t="shared" si="22"/>
        <v>153321.58268296235</v>
      </c>
      <c r="K37" s="23">
        <f t="shared" si="22"/>
        <v>197128.86767462172</v>
      </c>
      <c r="L37" s="23">
        <f t="shared" si="22"/>
        <v>390149.40186344978</v>
      </c>
      <c r="M37" s="23">
        <f t="shared" si="22"/>
        <v>439702.13446323673</v>
      </c>
      <c r="N37" s="23">
        <f t="shared" si="22"/>
        <v>367604.4339453287</v>
      </c>
      <c r="O37" s="23">
        <f t="shared" si="22"/>
        <v>389554.82700071926</v>
      </c>
      <c r="P37" s="23">
        <f t="shared" si="22"/>
        <v>412277.655807895</v>
      </c>
      <c r="Q37" s="23">
        <f t="shared" si="22"/>
        <v>435800.05799322133</v>
      </c>
      <c r="R37" s="23">
        <f t="shared" si="22"/>
        <v>460150.12327832752</v>
      </c>
      <c r="S37" s="23">
        <f t="shared" si="22"/>
        <v>485356.92684419802</v>
      </c>
      <c r="T37" s="23">
        <f t="shared" si="22"/>
        <v>511450.56386326894</v>
      </c>
      <c r="U37" s="23">
        <f t="shared" si="22"/>
        <v>538462.18524038454</v>
      </c>
      <c r="V37" s="23">
        <f t="shared" si="22"/>
        <v>691266.25960489863</v>
      </c>
      <c r="W37" s="23">
        <f t="shared" si="22"/>
        <v>720211.71159767651</v>
      </c>
      <c r="X37" s="23">
        <f t="shared" si="22"/>
        <v>880285.85389829346</v>
      </c>
      <c r="Y37" s="23">
        <f t="shared" si="22"/>
        <v>911303.35863929673</v>
      </c>
      <c r="Z37" s="23">
        <f t="shared" si="22"/>
        <v>943411.77925604698</v>
      </c>
      <c r="AA37" s="23">
        <f t="shared" si="22"/>
        <v>976649.4248223434</v>
      </c>
      <c r="AB37" s="23">
        <f t="shared" si="22"/>
        <v>1011055.9479237924</v>
      </c>
    </row>
    <row r="38" spans="1:28" x14ac:dyDescent="0.25">
      <c r="A38" t="s">
        <v>313</v>
      </c>
      <c r="B38" s="1" t="s">
        <v>140</v>
      </c>
      <c r="D38" s="23">
        <v>0</v>
      </c>
      <c r="E38" s="23">
        <f t="shared" ref="E38:AB38" si="23">D36</f>
        <v>60903.492182535992</v>
      </c>
      <c r="F38" s="23">
        <f t="shared" si="23"/>
        <v>30237.069265310914</v>
      </c>
      <c r="G38" s="23">
        <f t="shared" si="23"/>
        <v>0</v>
      </c>
      <c r="H38" s="23">
        <f t="shared" si="23"/>
        <v>0</v>
      </c>
      <c r="I38" s="23">
        <f t="shared" si="23"/>
        <v>0</v>
      </c>
      <c r="J38" s="23">
        <f t="shared" si="23"/>
        <v>0</v>
      </c>
      <c r="K38" s="23">
        <f t="shared" si="23"/>
        <v>0</v>
      </c>
      <c r="L38" s="23">
        <f t="shared" si="23"/>
        <v>0</v>
      </c>
      <c r="M38" s="23">
        <f t="shared" si="23"/>
        <v>0</v>
      </c>
      <c r="N38" s="23">
        <f t="shared" si="23"/>
        <v>0</v>
      </c>
      <c r="O38" s="23">
        <f t="shared" si="23"/>
        <v>0</v>
      </c>
      <c r="P38" s="23">
        <f t="shared" si="23"/>
        <v>0</v>
      </c>
      <c r="Q38" s="23">
        <f t="shared" si="23"/>
        <v>0</v>
      </c>
      <c r="R38" s="23">
        <f t="shared" si="23"/>
        <v>0</v>
      </c>
      <c r="S38" s="23">
        <f t="shared" si="23"/>
        <v>0</v>
      </c>
      <c r="T38" s="23">
        <f t="shared" si="23"/>
        <v>0</v>
      </c>
      <c r="U38" s="23">
        <f t="shared" si="23"/>
        <v>0</v>
      </c>
      <c r="V38" s="23">
        <f t="shared" si="23"/>
        <v>0</v>
      </c>
      <c r="W38" s="23">
        <f t="shared" si="23"/>
        <v>0</v>
      </c>
      <c r="X38" s="23">
        <f t="shared" si="23"/>
        <v>0</v>
      </c>
      <c r="Y38" s="23">
        <f t="shared" si="23"/>
        <v>0</v>
      </c>
      <c r="Z38" s="23">
        <f t="shared" si="23"/>
        <v>0</v>
      </c>
      <c r="AA38" s="23">
        <f t="shared" si="23"/>
        <v>0</v>
      </c>
      <c r="AB38" s="23">
        <f t="shared" si="23"/>
        <v>0</v>
      </c>
    </row>
    <row r="39" spans="1:28" x14ac:dyDescent="0.25">
      <c r="A39" t="s">
        <v>314</v>
      </c>
      <c r="B39" s="1" t="s">
        <v>140</v>
      </c>
      <c r="D39" s="23">
        <v>0</v>
      </c>
      <c r="E39" s="23">
        <f t="shared" ref="E39:AB39" si="24">MAX(D38-D47,0)</f>
        <v>0</v>
      </c>
      <c r="F39" s="23">
        <f t="shared" si="24"/>
        <v>60903.492182535992</v>
      </c>
      <c r="G39" s="23">
        <f t="shared" si="24"/>
        <v>30237.069265310914</v>
      </c>
      <c r="H39" s="23">
        <f t="shared" si="24"/>
        <v>0</v>
      </c>
      <c r="I39" s="23">
        <f t="shared" si="24"/>
        <v>0</v>
      </c>
      <c r="J39" s="23">
        <f t="shared" si="24"/>
        <v>0</v>
      </c>
      <c r="K39" s="23">
        <f t="shared" si="24"/>
        <v>0</v>
      </c>
      <c r="L39" s="23">
        <f t="shared" si="24"/>
        <v>0</v>
      </c>
      <c r="M39" s="23">
        <f t="shared" si="24"/>
        <v>0</v>
      </c>
      <c r="N39" s="23">
        <f t="shared" si="24"/>
        <v>0</v>
      </c>
      <c r="O39" s="23">
        <f t="shared" si="24"/>
        <v>0</v>
      </c>
      <c r="P39" s="23">
        <f t="shared" si="24"/>
        <v>0</v>
      </c>
      <c r="Q39" s="23">
        <f t="shared" si="24"/>
        <v>0</v>
      </c>
      <c r="R39" s="23">
        <f t="shared" si="24"/>
        <v>0</v>
      </c>
      <c r="S39" s="23">
        <f t="shared" si="24"/>
        <v>0</v>
      </c>
      <c r="T39" s="23">
        <f t="shared" si="24"/>
        <v>0</v>
      </c>
      <c r="U39" s="23">
        <f t="shared" si="24"/>
        <v>0</v>
      </c>
      <c r="V39" s="23">
        <f t="shared" si="24"/>
        <v>0</v>
      </c>
      <c r="W39" s="23">
        <f t="shared" si="24"/>
        <v>0</v>
      </c>
      <c r="X39" s="23">
        <f t="shared" si="24"/>
        <v>0</v>
      </c>
      <c r="Y39" s="23">
        <f t="shared" si="24"/>
        <v>0</v>
      </c>
      <c r="Z39" s="23">
        <f t="shared" si="24"/>
        <v>0</v>
      </c>
      <c r="AA39" s="23">
        <f t="shared" si="24"/>
        <v>0</v>
      </c>
      <c r="AB39" s="23">
        <f t="shared" si="24"/>
        <v>0</v>
      </c>
    </row>
    <row r="40" spans="1:28" x14ac:dyDescent="0.25">
      <c r="A40" t="s">
        <v>315</v>
      </c>
      <c r="B40" s="1" t="s">
        <v>140</v>
      </c>
      <c r="D40" s="23">
        <v>0</v>
      </c>
      <c r="E40" s="23">
        <f t="shared" ref="E40:AB40" si="25">MAX(D39-D46,0)</f>
        <v>0</v>
      </c>
      <c r="F40" s="23">
        <f t="shared" si="25"/>
        <v>0</v>
      </c>
      <c r="G40" s="23">
        <f t="shared" si="25"/>
        <v>58640.770280063531</v>
      </c>
      <c r="H40" s="23">
        <f t="shared" si="25"/>
        <v>30237.069265310914</v>
      </c>
      <c r="I40" s="23">
        <f t="shared" si="25"/>
        <v>0</v>
      </c>
      <c r="J40" s="23">
        <f t="shared" si="25"/>
        <v>0</v>
      </c>
      <c r="K40" s="23">
        <f t="shared" si="25"/>
        <v>0</v>
      </c>
      <c r="L40" s="23">
        <f t="shared" si="25"/>
        <v>0</v>
      </c>
      <c r="M40" s="23">
        <f t="shared" si="25"/>
        <v>0</v>
      </c>
      <c r="N40" s="23">
        <f t="shared" si="25"/>
        <v>0</v>
      </c>
      <c r="O40" s="23">
        <f t="shared" si="25"/>
        <v>0</v>
      </c>
      <c r="P40" s="23">
        <f t="shared" si="25"/>
        <v>0</v>
      </c>
      <c r="Q40" s="23">
        <f t="shared" si="25"/>
        <v>0</v>
      </c>
      <c r="R40" s="23">
        <f t="shared" si="25"/>
        <v>0</v>
      </c>
      <c r="S40" s="23">
        <f t="shared" si="25"/>
        <v>0</v>
      </c>
      <c r="T40" s="23">
        <f t="shared" si="25"/>
        <v>0</v>
      </c>
      <c r="U40" s="23">
        <f t="shared" si="25"/>
        <v>0</v>
      </c>
      <c r="V40" s="23">
        <f t="shared" si="25"/>
        <v>0</v>
      </c>
      <c r="W40" s="23">
        <f t="shared" si="25"/>
        <v>0</v>
      </c>
      <c r="X40" s="23">
        <f t="shared" si="25"/>
        <v>0</v>
      </c>
      <c r="Y40" s="23">
        <f t="shared" si="25"/>
        <v>0</v>
      </c>
      <c r="Z40" s="23">
        <f t="shared" si="25"/>
        <v>0</v>
      </c>
      <c r="AA40" s="23">
        <f t="shared" si="25"/>
        <v>0</v>
      </c>
      <c r="AB40" s="23">
        <f t="shared" si="25"/>
        <v>0</v>
      </c>
    </row>
    <row r="41" spans="1:28" x14ac:dyDescent="0.25">
      <c r="A41" t="s">
        <v>316</v>
      </c>
      <c r="B41" s="1" t="s">
        <v>140</v>
      </c>
      <c r="D41" s="23">
        <v>0</v>
      </c>
      <c r="E41" s="23">
        <f t="shared" ref="E41:AB41" si="26">MAX(D40-D45,0)</f>
        <v>0</v>
      </c>
      <c r="F41" s="23">
        <f t="shared" si="26"/>
        <v>0</v>
      </c>
      <c r="G41" s="23">
        <f t="shared" si="26"/>
        <v>0</v>
      </c>
      <c r="H41" s="23">
        <f t="shared" si="26"/>
        <v>21916.313126093475</v>
      </c>
      <c r="I41" s="23">
        <f t="shared" si="26"/>
        <v>0</v>
      </c>
      <c r="J41" s="23">
        <f t="shared" si="26"/>
        <v>0</v>
      </c>
      <c r="K41" s="23">
        <f t="shared" si="26"/>
        <v>0</v>
      </c>
      <c r="L41" s="23">
        <f t="shared" si="26"/>
        <v>0</v>
      </c>
      <c r="M41" s="23">
        <f t="shared" si="26"/>
        <v>0</v>
      </c>
      <c r="N41" s="23">
        <f t="shared" si="26"/>
        <v>0</v>
      </c>
      <c r="O41" s="23">
        <f t="shared" si="26"/>
        <v>0</v>
      </c>
      <c r="P41" s="23">
        <f t="shared" si="26"/>
        <v>0</v>
      </c>
      <c r="Q41" s="23">
        <f t="shared" si="26"/>
        <v>0</v>
      </c>
      <c r="R41" s="23">
        <f t="shared" si="26"/>
        <v>0</v>
      </c>
      <c r="S41" s="23">
        <f t="shared" si="26"/>
        <v>0</v>
      </c>
      <c r="T41" s="23">
        <f t="shared" si="26"/>
        <v>0</v>
      </c>
      <c r="U41" s="23">
        <f t="shared" si="26"/>
        <v>0</v>
      </c>
      <c r="V41" s="23">
        <f t="shared" si="26"/>
        <v>0</v>
      </c>
      <c r="W41" s="23">
        <f t="shared" si="26"/>
        <v>0</v>
      </c>
      <c r="X41" s="23">
        <f t="shared" si="26"/>
        <v>0</v>
      </c>
      <c r="Y41" s="23">
        <f t="shared" si="26"/>
        <v>0</v>
      </c>
      <c r="Z41" s="23">
        <f t="shared" si="26"/>
        <v>0</v>
      </c>
      <c r="AA41" s="23">
        <f t="shared" si="26"/>
        <v>0</v>
      </c>
      <c r="AB41" s="23">
        <f t="shared" si="26"/>
        <v>0</v>
      </c>
    </row>
    <row r="42" spans="1:28" x14ac:dyDescent="0.25">
      <c r="A42" t="s">
        <v>317</v>
      </c>
      <c r="B42" s="1" t="s">
        <v>140</v>
      </c>
      <c r="D42" s="23">
        <v>0</v>
      </c>
      <c r="E42" s="23">
        <f t="shared" ref="E42:AB42" si="27">MAX(D41-D44,0)</f>
        <v>0</v>
      </c>
      <c r="F42" s="23">
        <f t="shared" si="27"/>
        <v>0</v>
      </c>
      <c r="G42" s="23">
        <f t="shared" si="27"/>
        <v>0</v>
      </c>
      <c r="H42" s="23">
        <f t="shared" si="27"/>
        <v>0</v>
      </c>
      <c r="I42" s="23">
        <f t="shared" si="27"/>
        <v>0</v>
      </c>
      <c r="J42" s="23">
        <f t="shared" si="27"/>
        <v>0</v>
      </c>
      <c r="K42" s="23">
        <f t="shared" si="27"/>
        <v>0</v>
      </c>
      <c r="L42" s="23">
        <f t="shared" si="27"/>
        <v>0</v>
      </c>
      <c r="M42" s="23">
        <f t="shared" si="27"/>
        <v>0</v>
      </c>
      <c r="N42" s="23">
        <f t="shared" si="27"/>
        <v>0</v>
      </c>
      <c r="O42" s="23">
        <f t="shared" si="27"/>
        <v>0</v>
      </c>
      <c r="P42" s="23">
        <f t="shared" si="27"/>
        <v>0</v>
      </c>
      <c r="Q42" s="23">
        <f t="shared" si="27"/>
        <v>0</v>
      </c>
      <c r="R42" s="23">
        <f t="shared" si="27"/>
        <v>0</v>
      </c>
      <c r="S42" s="23">
        <f t="shared" si="27"/>
        <v>0</v>
      </c>
      <c r="T42" s="23">
        <f t="shared" si="27"/>
        <v>0</v>
      </c>
      <c r="U42" s="23">
        <f t="shared" si="27"/>
        <v>0</v>
      </c>
      <c r="V42" s="23">
        <f t="shared" si="27"/>
        <v>0</v>
      </c>
      <c r="W42" s="23">
        <f t="shared" si="27"/>
        <v>0</v>
      </c>
      <c r="X42" s="23">
        <f t="shared" si="27"/>
        <v>0</v>
      </c>
      <c r="Y42" s="23">
        <f t="shared" si="27"/>
        <v>0</v>
      </c>
      <c r="Z42" s="23">
        <f t="shared" si="27"/>
        <v>0</v>
      </c>
      <c r="AA42" s="23">
        <f t="shared" si="27"/>
        <v>0</v>
      </c>
      <c r="AB42" s="23">
        <f t="shared" si="27"/>
        <v>0</v>
      </c>
    </row>
    <row r="43" spans="1:28" x14ac:dyDescent="0.25">
      <c r="A43" t="s">
        <v>318</v>
      </c>
      <c r="B43" s="1" t="s">
        <v>140</v>
      </c>
      <c r="D43" s="23">
        <f t="shared" ref="D43:AB43" si="28">MIN(D42,MAX(D37,0))</f>
        <v>0</v>
      </c>
      <c r="E43" s="23">
        <f t="shared" si="28"/>
        <v>0</v>
      </c>
      <c r="F43" s="23">
        <f t="shared" si="28"/>
        <v>0</v>
      </c>
      <c r="G43" s="23">
        <f t="shared" si="28"/>
        <v>0</v>
      </c>
      <c r="H43" s="23">
        <f t="shared" si="28"/>
        <v>0</v>
      </c>
      <c r="I43" s="23">
        <f t="shared" si="28"/>
        <v>0</v>
      </c>
      <c r="J43" s="23">
        <f t="shared" si="28"/>
        <v>0</v>
      </c>
      <c r="K43" s="23">
        <f t="shared" si="28"/>
        <v>0</v>
      </c>
      <c r="L43" s="23">
        <f t="shared" si="28"/>
        <v>0</v>
      </c>
      <c r="M43" s="23">
        <f t="shared" si="28"/>
        <v>0</v>
      </c>
      <c r="N43" s="23">
        <f t="shared" si="28"/>
        <v>0</v>
      </c>
      <c r="O43" s="23">
        <f t="shared" si="28"/>
        <v>0</v>
      </c>
      <c r="P43" s="23">
        <f t="shared" si="28"/>
        <v>0</v>
      </c>
      <c r="Q43" s="23">
        <f t="shared" si="28"/>
        <v>0</v>
      </c>
      <c r="R43" s="23">
        <f t="shared" si="28"/>
        <v>0</v>
      </c>
      <c r="S43" s="23">
        <f t="shared" si="28"/>
        <v>0</v>
      </c>
      <c r="T43" s="23">
        <f t="shared" si="28"/>
        <v>0</v>
      </c>
      <c r="U43" s="23">
        <f t="shared" si="28"/>
        <v>0</v>
      </c>
      <c r="V43" s="23">
        <f t="shared" si="28"/>
        <v>0</v>
      </c>
      <c r="W43" s="23">
        <f t="shared" si="28"/>
        <v>0</v>
      </c>
      <c r="X43" s="23">
        <f t="shared" si="28"/>
        <v>0</v>
      </c>
      <c r="Y43" s="23">
        <f t="shared" si="28"/>
        <v>0</v>
      </c>
      <c r="Z43" s="23">
        <f t="shared" si="28"/>
        <v>0</v>
      </c>
      <c r="AA43" s="23">
        <f t="shared" si="28"/>
        <v>0</v>
      </c>
      <c r="AB43" s="23">
        <f t="shared" si="28"/>
        <v>0</v>
      </c>
    </row>
    <row r="44" spans="1:28" x14ac:dyDescent="0.25">
      <c r="A44" t="s">
        <v>319</v>
      </c>
      <c r="B44" s="1" t="s">
        <v>140</v>
      </c>
      <c r="D44" s="23">
        <f t="shared" ref="D44:AB44" si="29">MIN(D41,MAX(D37-D43,0))</f>
        <v>0</v>
      </c>
      <c r="E44" s="23">
        <f t="shared" si="29"/>
        <v>0</v>
      </c>
      <c r="F44" s="23">
        <f t="shared" si="29"/>
        <v>0</v>
      </c>
      <c r="G44" s="23">
        <f t="shared" si="29"/>
        <v>0</v>
      </c>
      <c r="H44" s="23">
        <f t="shared" si="29"/>
        <v>21916.313126093475</v>
      </c>
      <c r="I44" s="23">
        <f t="shared" si="29"/>
        <v>0</v>
      </c>
      <c r="J44" s="23">
        <f t="shared" si="29"/>
        <v>0</v>
      </c>
      <c r="K44" s="23">
        <f t="shared" si="29"/>
        <v>0</v>
      </c>
      <c r="L44" s="23">
        <f t="shared" si="29"/>
        <v>0</v>
      </c>
      <c r="M44" s="23">
        <f t="shared" si="29"/>
        <v>0</v>
      </c>
      <c r="N44" s="23">
        <f t="shared" si="29"/>
        <v>0</v>
      </c>
      <c r="O44" s="23">
        <f t="shared" si="29"/>
        <v>0</v>
      </c>
      <c r="P44" s="23">
        <f t="shared" si="29"/>
        <v>0</v>
      </c>
      <c r="Q44" s="23">
        <f t="shared" si="29"/>
        <v>0</v>
      </c>
      <c r="R44" s="23">
        <f t="shared" si="29"/>
        <v>0</v>
      </c>
      <c r="S44" s="23">
        <f t="shared" si="29"/>
        <v>0</v>
      </c>
      <c r="T44" s="23">
        <f t="shared" si="29"/>
        <v>0</v>
      </c>
      <c r="U44" s="23">
        <f t="shared" si="29"/>
        <v>0</v>
      </c>
      <c r="V44" s="23">
        <f t="shared" si="29"/>
        <v>0</v>
      </c>
      <c r="W44" s="23">
        <f t="shared" si="29"/>
        <v>0</v>
      </c>
      <c r="X44" s="23">
        <f t="shared" si="29"/>
        <v>0</v>
      </c>
      <c r="Y44" s="23">
        <f t="shared" si="29"/>
        <v>0</v>
      </c>
      <c r="Z44" s="23">
        <f t="shared" si="29"/>
        <v>0</v>
      </c>
      <c r="AA44" s="23">
        <f t="shared" si="29"/>
        <v>0</v>
      </c>
      <c r="AB44" s="23">
        <f t="shared" si="29"/>
        <v>0</v>
      </c>
    </row>
    <row r="45" spans="1:28" x14ac:dyDescent="0.25">
      <c r="A45" t="s">
        <v>320</v>
      </c>
      <c r="B45" s="1" t="s">
        <v>140</v>
      </c>
      <c r="D45" s="23">
        <f t="shared" ref="D45:AB45" si="30">MIN(D40,MAX(D37-D43-D44,0))</f>
        <v>0</v>
      </c>
      <c r="E45" s="23">
        <f t="shared" si="30"/>
        <v>0</v>
      </c>
      <c r="F45" s="23">
        <f t="shared" si="30"/>
        <v>0</v>
      </c>
      <c r="G45" s="23">
        <f t="shared" si="30"/>
        <v>36724.457153970056</v>
      </c>
      <c r="H45" s="23">
        <f t="shared" si="30"/>
        <v>30237.069265310914</v>
      </c>
      <c r="I45" s="23">
        <f t="shared" si="30"/>
        <v>0</v>
      </c>
      <c r="J45" s="23">
        <f t="shared" si="30"/>
        <v>0</v>
      </c>
      <c r="K45" s="23">
        <f t="shared" si="30"/>
        <v>0</v>
      </c>
      <c r="L45" s="23">
        <f t="shared" si="30"/>
        <v>0</v>
      </c>
      <c r="M45" s="23">
        <f t="shared" si="30"/>
        <v>0</v>
      </c>
      <c r="N45" s="23">
        <f t="shared" si="30"/>
        <v>0</v>
      </c>
      <c r="O45" s="23">
        <f t="shared" si="30"/>
        <v>0</v>
      </c>
      <c r="P45" s="23">
        <f t="shared" si="30"/>
        <v>0</v>
      </c>
      <c r="Q45" s="23">
        <f t="shared" si="30"/>
        <v>0</v>
      </c>
      <c r="R45" s="23">
        <f t="shared" si="30"/>
        <v>0</v>
      </c>
      <c r="S45" s="23">
        <f t="shared" si="30"/>
        <v>0</v>
      </c>
      <c r="T45" s="23">
        <f t="shared" si="30"/>
        <v>0</v>
      </c>
      <c r="U45" s="23">
        <f t="shared" si="30"/>
        <v>0</v>
      </c>
      <c r="V45" s="23">
        <f t="shared" si="30"/>
        <v>0</v>
      </c>
      <c r="W45" s="23">
        <f t="shared" si="30"/>
        <v>0</v>
      </c>
      <c r="X45" s="23">
        <f t="shared" si="30"/>
        <v>0</v>
      </c>
      <c r="Y45" s="23">
        <f t="shared" si="30"/>
        <v>0</v>
      </c>
      <c r="Z45" s="23">
        <f t="shared" si="30"/>
        <v>0</v>
      </c>
      <c r="AA45" s="23">
        <f t="shared" si="30"/>
        <v>0</v>
      </c>
      <c r="AB45" s="23">
        <f t="shared" si="30"/>
        <v>0</v>
      </c>
    </row>
    <row r="46" spans="1:28" x14ac:dyDescent="0.25">
      <c r="A46" t="s">
        <v>321</v>
      </c>
      <c r="B46" s="1" t="s">
        <v>140</v>
      </c>
      <c r="D46" s="23">
        <f t="shared" ref="D46:AB46" si="31">MIN(D39,MAX(D37-D43-D44-D45,0))</f>
        <v>0</v>
      </c>
      <c r="E46" s="23">
        <f t="shared" si="31"/>
        <v>0</v>
      </c>
      <c r="F46" s="23">
        <f t="shared" si="31"/>
        <v>2262.7219024724618</v>
      </c>
      <c r="G46" s="23">
        <f t="shared" si="31"/>
        <v>0</v>
      </c>
      <c r="H46" s="23">
        <f t="shared" si="31"/>
        <v>0</v>
      </c>
      <c r="I46" s="23">
        <f t="shared" si="31"/>
        <v>0</v>
      </c>
      <c r="J46" s="23">
        <f t="shared" si="31"/>
        <v>0</v>
      </c>
      <c r="K46" s="23">
        <f t="shared" si="31"/>
        <v>0</v>
      </c>
      <c r="L46" s="23">
        <f t="shared" si="31"/>
        <v>0</v>
      </c>
      <c r="M46" s="23">
        <f t="shared" si="31"/>
        <v>0</v>
      </c>
      <c r="N46" s="23">
        <f t="shared" si="31"/>
        <v>0</v>
      </c>
      <c r="O46" s="23">
        <f t="shared" si="31"/>
        <v>0</v>
      </c>
      <c r="P46" s="23">
        <f t="shared" si="31"/>
        <v>0</v>
      </c>
      <c r="Q46" s="23">
        <f t="shared" si="31"/>
        <v>0</v>
      </c>
      <c r="R46" s="23">
        <f t="shared" si="31"/>
        <v>0</v>
      </c>
      <c r="S46" s="23">
        <f t="shared" si="31"/>
        <v>0</v>
      </c>
      <c r="T46" s="23">
        <f t="shared" si="31"/>
        <v>0</v>
      </c>
      <c r="U46" s="23">
        <f t="shared" si="31"/>
        <v>0</v>
      </c>
      <c r="V46" s="23">
        <f t="shared" si="31"/>
        <v>0</v>
      </c>
      <c r="W46" s="23">
        <f t="shared" si="31"/>
        <v>0</v>
      </c>
      <c r="X46" s="23">
        <f t="shared" si="31"/>
        <v>0</v>
      </c>
      <c r="Y46" s="23">
        <f t="shared" si="31"/>
        <v>0</v>
      </c>
      <c r="Z46" s="23">
        <f t="shared" si="31"/>
        <v>0</v>
      </c>
      <c r="AA46" s="23">
        <f t="shared" si="31"/>
        <v>0</v>
      </c>
      <c r="AB46" s="23">
        <f t="shared" si="31"/>
        <v>0</v>
      </c>
    </row>
    <row r="47" spans="1:28" x14ac:dyDescent="0.25">
      <c r="A47" t="s">
        <v>322</v>
      </c>
      <c r="B47" s="1" t="s">
        <v>140</v>
      </c>
      <c r="D47" s="23">
        <f t="shared" ref="D47:AB47" si="32">MIN(D38,MAX(D37-D43-D44-D45-D46,0))</f>
        <v>0</v>
      </c>
      <c r="E47" s="23">
        <f t="shared" si="32"/>
        <v>0</v>
      </c>
      <c r="F47" s="23">
        <f t="shared" si="32"/>
        <v>0</v>
      </c>
      <c r="G47" s="23">
        <f t="shared" si="32"/>
        <v>0</v>
      </c>
      <c r="H47" s="23">
        <f t="shared" si="32"/>
        <v>0</v>
      </c>
      <c r="I47" s="23">
        <f t="shared" si="32"/>
        <v>0</v>
      </c>
      <c r="J47" s="23">
        <f t="shared" si="32"/>
        <v>0</v>
      </c>
      <c r="K47" s="23">
        <f t="shared" si="32"/>
        <v>0</v>
      </c>
      <c r="L47" s="23">
        <f t="shared" si="32"/>
        <v>0</v>
      </c>
      <c r="M47" s="23">
        <f t="shared" si="32"/>
        <v>0</v>
      </c>
      <c r="N47" s="23">
        <f t="shared" si="32"/>
        <v>0</v>
      </c>
      <c r="O47" s="23">
        <f t="shared" si="32"/>
        <v>0</v>
      </c>
      <c r="P47" s="23">
        <f t="shared" si="32"/>
        <v>0</v>
      </c>
      <c r="Q47" s="23">
        <f t="shared" si="32"/>
        <v>0</v>
      </c>
      <c r="R47" s="23">
        <f t="shared" si="32"/>
        <v>0</v>
      </c>
      <c r="S47" s="23">
        <f t="shared" si="32"/>
        <v>0</v>
      </c>
      <c r="T47" s="23">
        <f t="shared" si="32"/>
        <v>0</v>
      </c>
      <c r="U47" s="23">
        <f t="shared" si="32"/>
        <v>0</v>
      </c>
      <c r="V47" s="23">
        <f t="shared" si="32"/>
        <v>0</v>
      </c>
      <c r="W47" s="23">
        <f t="shared" si="32"/>
        <v>0</v>
      </c>
      <c r="X47" s="23">
        <f t="shared" si="32"/>
        <v>0</v>
      </c>
      <c r="Y47" s="23">
        <f t="shared" si="32"/>
        <v>0</v>
      </c>
      <c r="Z47" s="23">
        <f t="shared" si="32"/>
        <v>0</v>
      </c>
      <c r="AA47" s="23">
        <f t="shared" si="32"/>
        <v>0</v>
      </c>
      <c r="AB47" s="23">
        <f t="shared" si="32"/>
        <v>0</v>
      </c>
    </row>
    <row r="48" spans="1:28" x14ac:dyDescent="0.25">
      <c r="A48" t="s">
        <v>323</v>
      </c>
      <c r="B48" s="1" t="s">
        <v>140</v>
      </c>
      <c r="D48" s="23">
        <f t="shared" ref="D48:AB48" si="33">D43+D44+D45+D46+D47</f>
        <v>0</v>
      </c>
      <c r="E48" s="23">
        <f t="shared" si="33"/>
        <v>0</v>
      </c>
      <c r="F48" s="23">
        <f t="shared" si="33"/>
        <v>2262.7219024724618</v>
      </c>
      <c r="G48" s="23">
        <f t="shared" si="33"/>
        <v>36724.457153970056</v>
      </c>
      <c r="H48" s="23">
        <f t="shared" si="33"/>
        <v>52153.38239140439</v>
      </c>
      <c r="I48" s="23">
        <f t="shared" si="33"/>
        <v>0</v>
      </c>
      <c r="J48" s="23">
        <f t="shared" si="33"/>
        <v>0</v>
      </c>
      <c r="K48" s="23">
        <f t="shared" si="33"/>
        <v>0</v>
      </c>
      <c r="L48" s="23">
        <f t="shared" si="33"/>
        <v>0</v>
      </c>
      <c r="M48" s="23">
        <f t="shared" si="33"/>
        <v>0</v>
      </c>
      <c r="N48" s="23">
        <f t="shared" si="33"/>
        <v>0</v>
      </c>
      <c r="O48" s="23">
        <f t="shared" si="33"/>
        <v>0</v>
      </c>
      <c r="P48" s="23">
        <f t="shared" si="33"/>
        <v>0</v>
      </c>
      <c r="Q48" s="23">
        <f t="shared" si="33"/>
        <v>0</v>
      </c>
      <c r="R48" s="23">
        <f t="shared" si="33"/>
        <v>0</v>
      </c>
      <c r="S48" s="23">
        <f t="shared" si="33"/>
        <v>0</v>
      </c>
      <c r="T48" s="23">
        <f t="shared" si="33"/>
        <v>0</v>
      </c>
      <c r="U48" s="23">
        <f t="shared" si="33"/>
        <v>0</v>
      </c>
      <c r="V48" s="23">
        <f t="shared" si="33"/>
        <v>0</v>
      </c>
      <c r="W48" s="23">
        <f t="shared" si="33"/>
        <v>0</v>
      </c>
      <c r="X48" s="23">
        <f t="shared" si="33"/>
        <v>0</v>
      </c>
      <c r="Y48" s="23">
        <f t="shared" si="33"/>
        <v>0</v>
      </c>
      <c r="Z48" s="23">
        <f t="shared" si="33"/>
        <v>0</v>
      </c>
      <c r="AA48" s="23">
        <f t="shared" si="33"/>
        <v>0</v>
      </c>
      <c r="AB48" s="23">
        <f t="shared" si="33"/>
        <v>0</v>
      </c>
    </row>
    <row r="49" spans="1:28" x14ac:dyDescent="0.25">
      <c r="A49" s="2" t="s">
        <v>324</v>
      </c>
      <c r="B49" s="1" t="s">
        <v>140</v>
      </c>
      <c r="D49" s="29">
        <f t="shared" ref="D49:AB49" si="34">D37-D48</f>
        <v>0</v>
      </c>
      <c r="E49" s="29">
        <f t="shared" si="34"/>
        <v>0</v>
      </c>
      <c r="F49" s="29">
        <f t="shared" si="34"/>
        <v>0</v>
      </c>
      <c r="G49" s="29">
        <f t="shared" si="34"/>
        <v>0</v>
      </c>
      <c r="H49" s="29">
        <f t="shared" si="34"/>
        <v>21133.299700332544</v>
      </c>
      <c r="I49" s="29">
        <f t="shared" si="34"/>
        <v>112098.72582342205</v>
      </c>
      <c r="J49" s="29">
        <f t="shared" si="34"/>
        <v>153321.58268296235</v>
      </c>
      <c r="K49" s="29">
        <f t="shared" si="34"/>
        <v>197128.86767462172</v>
      </c>
      <c r="L49" s="29">
        <f t="shared" si="34"/>
        <v>390149.40186344978</v>
      </c>
      <c r="M49" s="29">
        <f t="shared" si="34"/>
        <v>439702.13446323673</v>
      </c>
      <c r="N49" s="29">
        <f t="shared" si="34"/>
        <v>367604.4339453287</v>
      </c>
      <c r="O49" s="29">
        <f t="shared" si="34"/>
        <v>389554.82700071926</v>
      </c>
      <c r="P49" s="29">
        <f t="shared" si="34"/>
        <v>412277.655807895</v>
      </c>
      <c r="Q49" s="29">
        <f t="shared" si="34"/>
        <v>435800.05799322133</v>
      </c>
      <c r="R49" s="29">
        <f t="shared" si="34"/>
        <v>460150.12327832752</v>
      </c>
      <c r="S49" s="29">
        <f t="shared" si="34"/>
        <v>485356.92684419802</v>
      </c>
      <c r="T49" s="29">
        <f t="shared" si="34"/>
        <v>511450.56386326894</v>
      </c>
      <c r="U49" s="29">
        <f t="shared" si="34"/>
        <v>538462.18524038454</v>
      </c>
      <c r="V49" s="29">
        <f t="shared" si="34"/>
        <v>691266.25960489863</v>
      </c>
      <c r="W49" s="29">
        <f t="shared" si="34"/>
        <v>720211.71159767651</v>
      </c>
      <c r="X49" s="29">
        <f t="shared" si="34"/>
        <v>880285.85389829346</v>
      </c>
      <c r="Y49" s="29">
        <f t="shared" si="34"/>
        <v>911303.35863929673</v>
      </c>
      <c r="Z49" s="29">
        <f t="shared" si="34"/>
        <v>943411.77925604698</v>
      </c>
      <c r="AA49" s="29">
        <f t="shared" si="34"/>
        <v>976649.4248223434</v>
      </c>
      <c r="AB49" s="29">
        <f t="shared" si="34"/>
        <v>1011055.9479237924</v>
      </c>
    </row>
    <row r="50" spans="1:28" x14ac:dyDescent="0.25">
      <c r="A50" t="s">
        <v>325</v>
      </c>
      <c r="B50" s="1" t="s">
        <v>326</v>
      </c>
      <c r="D50" s="30">
        <f>IF(D35&gt;0,1,0)</f>
        <v>0</v>
      </c>
      <c r="E50" s="30">
        <f t="shared" ref="E50:AB50" si="35">IF(OR(D50=1,E35&gt;0),1,0)</f>
        <v>0</v>
      </c>
      <c r="F50" s="30">
        <f t="shared" si="35"/>
        <v>1</v>
      </c>
      <c r="G50" s="30">
        <f t="shared" si="35"/>
        <v>1</v>
      </c>
      <c r="H50" s="30">
        <f t="shared" si="35"/>
        <v>1</v>
      </c>
      <c r="I50" s="30">
        <f t="shared" si="35"/>
        <v>1</v>
      </c>
      <c r="J50" s="30">
        <f t="shared" si="35"/>
        <v>1</v>
      </c>
      <c r="K50" s="30">
        <f t="shared" si="35"/>
        <v>1</v>
      </c>
      <c r="L50" s="30">
        <f t="shared" si="35"/>
        <v>1</v>
      </c>
      <c r="M50" s="30">
        <f t="shared" si="35"/>
        <v>1</v>
      </c>
      <c r="N50" s="30">
        <f t="shared" si="35"/>
        <v>1</v>
      </c>
      <c r="O50" s="30">
        <f t="shared" si="35"/>
        <v>1</v>
      </c>
      <c r="P50" s="30">
        <f t="shared" si="35"/>
        <v>1</v>
      </c>
      <c r="Q50" s="30">
        <f t="shared" si="35"/>
        <v>1</v>
      </c>
      <c r="R50" s="30">
        <f t="shared" si="35"/>
        <v>1</v>
      </c>
      <c r="S50" s="30">
        <f t="shared" si="35"/>
        <v>1</v>
      </c>
      <c r="T50" s="30">
        <f t="shared" si="35"/>
        <v>1</v>
      </c>
      <c r="U50" s="30">
        <f t="shared" si="35"/>
        <v>1</v>
      </c>
      <c r="V50" s="30">
        <f t="shared" si="35"/>
        <v>1</v>
      </c>
      <c r="W50" s="30">
        <f t="shared" si="35"/>
        <v>1</v>
      </c>
      <c r="X50" s="30">
        <f t="shared" si="35"/>
        <v>1</v>
      </c>
      <c r="Y50" s="30">
        <f t="shared" si="35"/>
        <v>1</v>
      </c>
      <c r="Z50" s="30">
        <f t="shared" si="35"/>
        <v>1</v>
      </c>
      <c r="AA50" s="30">
        <f t="shared" si="35"/>
        <v>1</v>
      </c>
      <c r="AB50" s="30">
        <f t="shared" si="35"/>
        <v>1</v>
      </c>
    </row>
    <row r="51" spans="1:28" x14ac:dyDescent="0.25">
      <c r="A51" t="s">
        <v>327</v>
      </c>
      <c r="C51" s="27">
        <f>MIN(IFERROR(MATCH(1,D50:AB50,0),CIT_CLOCK_CAP_YEAR),CIT_CLOCK_CAP_YEAR)</f>
        <v>3</v>
      </c>
      <c r="D51" s="1" t="s">
        <v>328</v>
      </c>
    </row>
    <row r="52" spans="1:28" x14ac:dyDescent="0.25">
      <c r="A52" t="s">
        <v>329</v>
      </c>
      <c r="B52" s="1" t="s">
        <v>330</v>
      </c>
      <c r="D52" s="31">
        <f t="shared" ref="D52:AB52" si="36">IF(D$5&lt;$C$51+CIT_HOLIDAY_YEARS,0,IF(D$5&lt;$C$51+CIT_HOLIDAY_YEARS+CIT_REDUCED_YEARS,CIT_RATE*CIT_REDUCED_FRACTION,CIT_RATE))</f>
        <v>0</v>
      </c>
      <c r="E52" s="31">
        <f t="shared" si="36"/>
        <v>0</v>
      </c>
      <c r="F52" s="31">
        <f t="shared" si="36"/>
        <v>0</v>
      </c>
      <c r="G52" s="31">
        <f t="shared" si="36"/>
        <v>0</v>
      </c>
      <c r="H52" s="31">
        <f t="shared" si="36"/>
        <v>0</v>
      </c>
      <c r="I52" s="31">
        <f t="shared" si="36"/>
        <v>0</v>
      </c>
      <c r="J52" s="31">
        <f t="shared" si="36"/>
        <v>0.1</v>
      </c>
      <c r="K52" s="31">
        <f t="shared" si="36"/>
        <v>0.1</v>
      </c>
      <c r="L52" s="31">
        <f t="shared" si="36"/>
        <v>0.1</v>
      </c>
      <c r="M52" s="31">
        <f t="shared" si="36"/>
        <v>0.1</v>
      </c>
      <c r="N52" s="31">
        <f t="shared" si="36"/>
        <v>0.1</v>
      </c>
      <c r="O52" s="31">
        <f t="shared" si="36"/>
        <v>0.1</v>
      </c>
      <c r="P52" s="31">
        <f t="shared" si="36"/>
        <v>0.1</v>
      </c>
      <c r="Q52" s="31">
        <f t="shared" si="36"/>
        <v>0.1</v>
      </c>
      <c r="R52" s="31">
        <f t="shared" si="36"/>
        <v>0.1</v>
      </c>
      <c r="S52" s="31">
        <f t="shared" si="36"/>
        <v>0.2</v>
      </c>
      <c r="T52" s="31">
        <f t="shared" si="36"/>
        <v>0.2</v>
      </c>
      <c r="U52" s="31">
        <f t="shared" si="36"/>
        <v>0.2</v>
      </c>
      <c r="V52" s="31">
        <f t="shared" si="36"/>
        <v>0.2</v>
      </c>
      <c r="W52" s="31">
        <f t="shared" si="36"/>
        <v>0.2</v>
      </c>
      <c r="X52" s="31">
        <f t="shared" si="36"/>
        <v>0.2</v>
      </c>
      <c r="Y52" s="31">
        <f t="shared" si="36"/>
        <v>0.2</v>
      </c>
      <c r="Z52" s="31">
        <f t="shared" si="36"/>
        <v>0.2</v>
      </c>
      <c r="AA52" s="31">
        <f t="shared" si="36"/>
        <v>0.2</v>
      </c>
      <c r="AB52" s="31">
        <f t="shared" si="36"/>
        <v>0.2</v>
      </c>
    </row>
    <row r="53" spans="1:28" x14ac:dyDescent="0.25">
      <c r="A53" s="2" t="s">
        <v>331</v>
      </c>
      <c r="B53" s="1" t="s">
        <v>140</v>
      </c>
      <c r="D53" s="29">
        <f t="shared" ref="D53:AB53" si="37">D49*D52</f>
        <v>0</v>
      </c>
      <c r="E53" s="29">
        <f t="shared" si="37"/>
        <v>0</v>
      </c>
      <c r="F53" s="29">
        <f t="shared" si="37"/>
        <v>0</v>
      </c>
      <c r="G53" s="29">
        <f t="shared" si="37"/>
        <v>0</v>
      </c>
      <c r="H53" s="29">
        <f t="shared" si="37"/>
        <v>0</v>
      </c>
      <c r="I53" s="29">
        <f t="shared" si="37"/>
        <v>0</v>
      </c>
      <c r="J53" s="29">
        <f t="shared" si="37"/>
        <v>15332.158268296236</v>
      </c>
      <c r="K53" s="29">
        <f t="shared" si="37"/>
        <v>19712.886767462172</v>
      </c>
      <c r="L53" s="29">
        <f t="shared" si="37"/>
        <v>39014.940186344982</v>
      </c>
      <c r="M53" s="29">
        <f t="shared" si="37"/>
        <v>43970.213446323673</v>
      </c>
      <c r="N53" s="29">
        <f t="shared" si="37"/>
        <v>36760.443394532871</v>
      </c>
      <c r="O53" s="29">
        <f t="shared" si="37"/>
        <v>38955.482700071931</v>
      </c>
      <c r="P53" s="29">
        <f t="shared" si="37"/>
        <v>41227.765580789506</v>
      </c>
      <c r="Q53" s="29">
        <f t="shared" si="37"/>
        <v>43580.005799322134</v>
      </c>
      <c r="R53" s="29">
        <f t="shared" si="37"/>
        <v>46015.012327832752</v>
      </c>
      <c r="S53" s="29">
        <f t="shared" si="37"/>
        <v>97071.385368839605</v>
      </c>
      <c r="T53" s="29">
        <f t="shared" si="37"/>
        <v>102290.1127726538</v>
      </c>
      <c r="U53" s="29">
        <f t="shared" si="37"/>
        <v>107692.43704807691</v>
      </c>
      <c r="V53" s="29">
        <f t="shared" si="37"/>
        <v>138253.25192097973</v>
      </c>
      <c r="W53" s="29">
        <f t="shared" si="37"/>
        <v>144042.3423195353</v>
      </c>
      <c r="X53" s="29">
        <f t="shared" si="37"/>
        <v>176057.17077965871</v>
      </c>
      <c r="Y53" s="29">
        <f t="shared" si="37"/>
        <v>182260.67172785936</v>
      </c>
      <c r="Z53" s="29">
        <f t="shared" si="37"/>
        <v>188682.3558512094</v>
      </c>
      <c r="AA53" s="29">
        <f t="shared" si="37"/>
        <v>195329.88496446869</v>
      </c>
      <c r="AB53" s="29">
        <f t="shared" si="37"/>
        <v>202211.18958475848</v>
      </c>
    </row>
    <row r="55" spans="1:28" x14ac:dyDescent="0.25">
      <c r="A55" s="6" t="s">
        <v>332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5">
      <c r="A56" s="2" t="s">
        <v>333</v>
      </c>
      <c r="B56" s="1" t="s">
        <v>140</v>
      </c>
      <c r="D56" s="29">
        <f t="shared" ref="D56:AB56" si="38">D21-D53</f>
        <v>440186.323473464</v>
      </c>
      <c r="E56" s="29">
        <f t="shared" si="38"/>
        <v>455717.17375562055</v>
      </c>
      <c r="F56" s="29">
        <f t="shared" si="38"/>
        <v>471794.86861435458</v>
      </c>
      <c r="G56" s="29">
        <f t="shared" si="38"/>
        <v>488438.62937053363</v>
      </c>
      <c r="H56" s="29">
        <f t="shared" si="38"/>
        <v>505668.3519808799</v>
      </c>
      <c r="I56" s="29">
        <f t="shared" si="38"/>
        <v>523504.63068731368</v>
      </c>
      <c r="J56" s="29">
        <f t="shared" si="38"/>
        <v>526636.62422616</v>
      </c>
      <c r="K56" s="29">
        <f t="shared" si="38"/>
        <v>541369.98573680199</v>
      </c>
      <c r="L56" s="29">
        <f t="shared" si="38"/>
        <v>541854.79995143833</v>
      </c>
      <c r="M56" s="29">
        <f t="shared" si="38"/>
        <v>557382.8128287365</v>
      </c>
      <c r="N56" s="29">
        <f t="shared" si="38"/>
        <v>-412941.04204920423</v>
      </c>
      <c r="O56" s="29">
        <f t="shared" si="38"/>
        <v>605552.11170064739</v>
      </c>
      <c r="P56" s="29">
        <f t="shared" si="38"/>
        <v>626002.65762710548</v>
      </c>
      <c r="Q56" s="29">
        <f t="shared" si="38"/>
        <v>647172.81959389918</v>
      </c>
      <c r="R56" s="29">
        <f t="shared" si="38"/>
        <v>669087.87835049478</v>
      </c>
      <c r="S56" s="29">
        <f t="shared" si="38"/>
        <v>643238.30887535843</v>
      </c>
      <c r="T56" s="29">
        <f t="shared" si="38"/>
        <v>664113.21849061514</v>
      </c>
      <c r="U56" s="29">
        <f t="shared" si="38"/>
        <v>685722.51559230767</v>
      </c>
      <c r="V56" s="29">
        <f t="shared" si="38"/>
        <v>683123.55008391896</v>
      </c>
      <c r="W56" s="29">
        <f t="shared" si="38"/>
        <v>706279.91167814122</v>
      </c>
      <c r="X56" s="29">
        <f t="shared" si="38"/>
        <v>704228.68311863474</v>
      </c>
      <c r="Y56" s="29">
        <f t="shared" si="38"/>
        <v>729042.68691143743</v>
      </c>
      <c r="Z56" s="29">
        <f t="shared" si="38"/>
        <v>754729.42340483761</v>
      </c>
      <c r="AA56" s="29">
        <f t="shared" si="38"/>
        <v>781319.53985787474</v>
      </c>
      <c r="AB56" s="29">
        <f t="shared" si="38"/>
        <v>808844.75833903393</v>
      </c>
    </row>
    <row r="57" spans="1:28" x14ac:dyDescent="0.25">
      <c r="A57" t="s">
        <v>334</v>
      </c>
      <c r="B57" s="1" t="s">
        <v>140</v>
      </c>
      <c r="C57" s="23">
        <f>-TOTAL_CAPEX</f>
        <v>-3773743.2480000001</v>
      </c>
      <c r="D57" s="23">
        <f t="shared" ref="D57:AB57" si="39">D56</f>
        <v>440186.323473464</v>
      </c>
      <c r="E57" s="23">
        <f t="shared" si="39"/>
        <v>455717.17375562055</v>
      </c>
      <c r="F57" s="23">
        <f t="shared" si="39"/>
        <v>471794.86861435458</v>
      </c>
      <c r="G57" s="23">
        <f t="shared" si="39"/>
        <v>488438.62937053363</v>
      </c>
      <c r="H57" s="23">
        <f t="shared" si="39"/>
        <v>505668.3519808799</v>
      </c>
      <c r="I57" s="23">
        <f t="shared" si="39"/>
        <v>523504.63068731368</v>
      </c>
      <c r="J57" s="23">
        <f t="shared" si="39"/>
        <v>526636.62422616</v>
      </c>
      <c r="K57" s="23">
        <f t="shared" si="39"/>
        <v>541369.98573680199</v>
      </c>
      <c r="L57" s="23">
        <f t="shared" si="39"/>
        <v>541854.79995143833</v>
      </c>
      <c r="M57" s="23">
        <f t="shared" si="39"/>
        <v>557382.8128287365</v>
      </c>
      <c r="N57" s="23">
        <f t="shared" si="39"/>
        <v>-412941.04204920423</v>
      </c>
      <c r="O57" s="23">
        <f t="shared" si="39"/>
        <v>605552.11170064739</v>
      </c>
      <c r="P57" s="23">
        <f t="shared" si="39"/>
        <v>626002.65762710548</v>
      </c>
      <c r="Q57" s="23">
        <f t="shared" si="39"/>
        <v>647172.81959389918</v>
      </c>
      <c r="R57" s="23">
        <f t="shared" si="39"/>
        <v>669087.87835049478</v>
      </c>
      <c r="S57" s="23">
        <f t="shared" si="39"/>
        <v>643238.30887535843</v>
      </c>
      <c r="T57" s="23">
        <f t="shared" si="39"/>
        <v>664113.21849061514</v>
      </c>
      <c r="U57" s="23">
        <f t="shared" si="39"/>
        <v>685722.51559230767</v>
      </c>
      <c r="V57" s="23">
        <f t="shared" si="39"/>
        <v>683123.55008391896</v>
      </c>
      <c r="W57" s="23">
        <f t="shared" si="39"/>
        <v>706279.91167814122</v>
      </c>
      <c r="X57" s="23">
        <f t="shared" si="39"/>
        <v>704228.68311863474</v>
      </c>
      <c r="Y57" s="23">
        <f t="shared" si="39"/>
        <v>729042.68691143743</v>
      </c>
      <c r="Z57" s="23">
        <f t="shared" si="39"/>
        <v>754729.42340483761</v>
      </c>
      <c r="AA57" s="23">
        <f t="shared" si="39"/>
        <v>781319.53985787474</v>
      </c>
      <c r="AB57" s="23">
        <f t="shared" si="39"/>
        <v>808844.75833903393</v>
      </c>
    </row>
    <row r="58" spans="1:28" x14ac:dyDescent="0.25">
      <c r="A58" s="2" t="s">
        <v>335</v>
      </c>
      <c r="B58" s="1" t="s">
        <v>140</v>
      </c>
      <c r="C58" s="29">
        <f>-EQUITY_INVESTMENT</f>
        <v>-1132122.9744000002</v>
      </c>
      <c r="D58" s="29">
        <f t="shared" ref="D58:AB58" si="40">D56-D27</f>
        <v>37583.039804893313</v>
      </c>
      <c r="E58" s="29">
        <f t="shared" si="40"/>
        <v>53113.890087049862</v>
      </c>
      <c r="F58" s="29">
        <f t="shared" si="40"/>
        <v>69191.584945783892</v>
      </c>
      <c r="G58" s="29">
        <f t="shared" si="40"/>
        <v>85835.345701962942</v>
      </c>
      <c r="H58" s="29">
        <f t="shared" si="40"/>
        <v>103065.06831230922</v>
      </c>
      <c r="I58" s="29">
        <f t="shared" si="40"/>
        <v>120901.34701874299</v>
      </c>
      <c r="J58" s="29">
        <f t="shared" si="40"/>
        <v>124033.34055758931</v>
      </c>
      <c r="K58" s="29">
        <f t="shared" si="40"/>
        <v>138766.7020682313</v>
      </c>
      <c r="L58" s="29">
        <f t="shared" si="40"/>
        <v>139251.51628286764</v>
      </c>
      <c r="M58" s="29">
        <f t="shared" si="40"/>
        <v>154779.52916016779</v>
      </c>
      <c r="N58" s="29">
        <f t="shared" si="40"/>
        <v>-412941.04204920423</v>
      </c>
      <c r="O58" s="29">
        <f t="shared" si="40"/>
        <v>605552.11170064739</v>
      </c>
      <c r="P58" s="29">
        <f t="shared" si="40"/>
        <v>626002.65762710548</v>
      </c>
      <c r="Q58" s="29">
        <f t="shared" si="40"/>
        <v>647172.81959389918</v>
      </c>
      <c r="R58" s="29">
        <f t="shared" si="40"/>
        <v>669087.87835049478</v>
      </c>
      <c r="S58" s="29">
        <f t="shared" si="40"/>
        <v>643238.30887535843</v>
      </c>
      <c r="T58" s="29">
        <f t="shared" si="40"/>
        <v>664113.21849061514</v>
      </c>
      <c r="U58" s="29">
        <f t="shared" si="40"/>
        <v>685722.51559230767</v>
      </c>
      <c r="V58" s="29">
        <f t="shared" si="40"/>
        <v>683123.55008391896</v>
      </c>
      <c r="W58" s="29">
        <f t="shared" si="40"/>
        <v>706279.91167814122</v>
      </c>
      <c r="X58" s="29">
        <f t="shared" si="40"/>
        <v>704228.68311863474</v>
      </c>
      <c r="Y58" s="29">
        <f t="shared" si="40"/>
        <v>729042.68691143743</v>
      </c>
      <c r="Z58" s="29">
        <f t="shared" si="40"/>
        <v>754729.42340483761</v>
      </c>
      <c r="AA58" s="29">
        <f t="shared" si="40"/>
        <v>781319.53985787474</v>
      </c>
      <c r="AB58" s="29">
        <f t="shared" si="40"/>
        <v>808844.75833903393</v>
      </c>
    </row>
    <row r="59" spans="1:28" x14ac:dyDescent="0.25">
      <c r="A59" t="s">
        <v>336</v>
      </c>
      <c r="B59" s="1" t="s">
        <v>140</v>
      </c>
      <c r="C59" s="23">
        <f>C58</f>
        <v>-1132122.9744000002</v>
      </c>
      <c r="D59" s="23">
        <f t="shared" ref="D59:AB59" si="41">C59+D58</f>
        <v>-1094539.9345951069</v>
      </c>
      <c r="E59" s="23">
        <f t="shared" si="41"/>
        <v>-1041426.0445080569</v>
      </c>
      <c r="F59" s="23">
        <f t="shared" si="41"/>
        <v>-972234.459562273</v>
      </c>
      <c r="G59" s="23">
        <f t="shared" si="41"/>
        <v>-886399.11386031006</v>
      </c>
      <c r="H59" s="23">
        <f t="shared" si="41"/>
        <v>-783334.04554800084</v>
      </c>
      <c r="I59" s="23">
        <f t="shared" si="41"/>
        <v>-662432.6985292579</v>
      </c>
      <c r="J59" s="23">
        <f t="shared" si="41"/>
        <v>-538399.35797166859</v>
      </c>
      <c r="K59" s="23">
        <f t="shared" si="41"/>
        <v>-399632.65590343729</v>
      </c>
      <c r="L59" s="23">
        <f t="shared" si="41"/>
        <v>-260381.13962056965</v>
      </c>
      <c r="M59" s="23">
        <f t="shared" si="41"/>
        <v>-105601.61046040186</v>
      </c>
      <c r="N59" s="23">
        <f t="shared" si="41"/>
        <v>-518542.65250960609</v>
      </c>
      <c r="O59" s="23">
        <f t="shared" si="41"/>
        <v>87009.4591910413</v>
      </c>
      <c r="P59" s="23">
        <f t="shared" si="41"/>
        <v>713012.11681814678</v>
      </c>
      <c r="Q59" s="23">
        <f t="shared" si="41"/>
        <v>1360184.936412046</v>
      </c>
      <c r="R59" s="23">
        <f t="shared" si="41"/>
        <v>2029272.8147625406</v>
      </c>
      <c r="S59" s="23">
        <f t="shared" si="41"/>
        <v>2672511.1236378988</v>
      </c>
      <c r="T59" s="23">
        <f t="shared" si="41"/>
        <v>3336624.3421285138</v>
      </c>
      <c r="U59" s="23">
        <f t="shared" si="41"/>
        <v>4022346.8577208216</v>
      </c>
      <c r="V59" s="23">
        <f t="shared" si="41"/>
        <v>4705470.4078047406</v>
      </c>
      <c r="W59" s="23">
        <f t="shared" si="41"/>
        <v>5411750.3194828816</v>
      </c>
      <c r="X59" s="23">
        <f t="shared" si="41"/>
        <v>6115979.0026015164</v>
      </c>
      <c r="Y59" s="23">
        <f t="shared" si="41"/>
        <v>6845021.6895129541</v>
      </c>
      <c r="Z59" s="23">
        <f t="shared" si="41"/>
        <v>7599751.1129177921</v>
      </c>
      <c r="AA59" s="23">
        <f t="shared" si="41"/>
        <v>8381070.6527756667</v>
      </c>
      <c r="AB59" s="23">
        <f t="shared" si="41"/>
        <v>9189915.4111147001</v>
      </c>
    </row>
    <row r="60" spans="1:28" x14ac:dyDescent="0.25">
      <c r="A60" t="s">
        <v>337</v>
      </c>
      <c r="B60" s="1" t="s">
        <v>338</v>
      </c>
      <c r="D60" s="32">
        <f t="shared" ref="D60:AB60" si="42">IF(D27&gt;0,D56/D27,"")</f>
        <v>1.0933500578098421</v>
      </c>
      <c r="E60" s="32">
        <f t="shared" si="42"/>
        <v>1.1319261224177546</v>
      </c>
      <c r="F60" s="32">
        <f t="shared" si="42"/>
        <v>1.1718604585519066</v>
      </c>
      <c r="G60" s="32">
        <f t="shared" si="42"/>
        <v>1.2132008087957473</v>
      </c>
      <c r="H60" s="32">
        <f t="shared" si="42"/>
        <v>1.2559965914166611</v>
      </c>
      <c r="I60" s="32">
        <f t="shared" si="42"/>
        <v>1.3002989591070273</v>
      </c>
      <c r="J60" s="32">
        <f t="shared" si="42"/>
        <v>1.3080783132899023</v>
      </c>
      <c r="K60" s="32">
        <f t="shared" si="42"/>
        <v>1.3446735476267655</v>
      </c>
      <c r="L60" s="32">
        <f t="shared" si="42"/>
        <v>1.345877745988534</v>
      </c>
      <c r="M60" s="32">
        <f t="shared" si="42"/>
        <v>1.3844467629518529</v>
      </c>
      <c r="N60" s="32" t="str">
        <f t="shared" si="42"/>
        <v/>
      </c>
      <c r="O60" s="32" t="str">
        <f t="shared" si="42"/>
        <v/>
      </c>
      <c r="P60" s="32" t="str">
        <f t="shared" si="42"/>
        <v/>
      </c>
      <c r="Q60" s="32" t="str">
        <f t="shared" si="42"/>
        <v/>
      </c>
      <c r="R60" s="32" t="str">
        <f t="shared" si="42"/>
        <v/>
      </c>
      <c r="S60" s="32" t="str">
        <f t="shared" si="42"/>
        <v/>
      </c>
      <c r="T60" s="32" t="str">
        <f t="shared" si="42"/>
        <v/>
      </c>
      <c r="U60" s="32" t="str">
        <f t="shared" si="42"/>
        <v/>
      </c>
      <c r="V60" s="32" t="str">
        <f t="shared" si="42"/>
        <v/>
      </c>
      <c r="W60" s="32" t="str">
        <f t="shared" si="42"/>
        <v/>
      </c>
      <c r="X60" s="32" t="str">
        <f t="shared" si="42"/>
        <v/>
      </c>
      <c r="Y60" s="32" t="str">
        <f t="shared" si="42"/>
        <v/>
      </c>
      <c r="Z60" s="32" t="str">
        <f t="shared" si="42"/>
        <v/>
      </c>
      <c r="AA60" s="32" t="str">
        <f t="shared" si="42"/>
        <v/>
      </c>
      <c r="AB60" s="32" t="str">
        <f t="shared" si="42"/>
        <v/>
      </c>
    </row>
    <row r="62" spans="1:28" x14ac:dyDescent="0.25">
      <c r="A62" s="6" t="s">
        <v>339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5">
      <c r="A63" t="s">
        <v>340</v>
      </c>
      <c r="B63" s="1" t="s">
        <v>140</v>
      </c>
      <c r="D63" s="23">
        <f t="shared" ref="D63:AB63" si="43">BAU_BILL_Y1*D6</f>
        <v>765796.79</v>
      </c>
      <c r="E63" s="23">
        <f t="shared" si="43"/>
        <v>796428.66160000011</v>
      </c>
      <c r="F63" s="23">
        <f t="shared" si="43"/>
        <v>828285.8080640001</v>
      </c>
      <c r="G63" s="23">
        <f t="shared" si="43"/>
        <v>861417.24038656009</v>
      </c>
      <c r="H63" s="23">
        <f t="shared" si="43"/>
        <v>895873.93000202265</v>
      </c>
      <c r="I63" s="23">
        <f t="shared" si="43"/>
        <v>931708.88720210362</v>
      </c>
      <c r="J63" s="23">
        <f t="shared" si="43"/>
        <v>968977.24269018776</v>
      </c>
      <c r="K63" s="23">
        <f t="shared" si="43"/>
        <v>1007736.3323977952</v>
      </c>
      <c r="L63" s="23">
        <f t="shared" si="43"/>
        <v>1048045.7856937072</v>
      </c>
      <c r="M63" s="23">
        <f t="shared" si="43"/>
        <v>1089967.6171214555</v>
      </c>
      <c r="N63" s="23">
        <f t="shared" si="43"/>
        <v>1133566.3218063137</v>
      </c>
      <c r="O63" s="23">
        <f t="shared" si="43"/>
        <v>1178908.9746785662</v>
      </c>
      <c r="P63" s="23">
        <f t="shared" si="43"/>
        <v>1226065.3336657092</v>
      </c>
      <c r="Q63" s="23">
        <f t="shared" si="43"/>
        <v>1275107.9470123376</v>
      </c>
      <c r="R63" s="23">
        <f t="shared" si="43"/>
        <v>1326112.264892831</v>
      </c>
      <c r="S63" s="23">
        <f t="shared" si="43"/>
        <v>1379156.7554885442</v>
      </c>
      <c r="T63" s="23">
        <f t="shared" si="43"/>
        <v>1434323.0257080863</v>
      </c>
      <c r="U63" s="23">
        <f t="shared" si="43"/>
        <v>1491695.9467364098</v>
      </c>
      <c r="V63" s="23">
        <f t="shared" si="43"/>
        <v>1551363.7846058663</v>
      </c>
      <c r="W63" s="23">
        <f t="shared" si="43"/>
        <v>1613418.3359901009</v>
      </c>
      <c r="X63" s="23">
        <f t="shared" si="43"/>
        <v>1677955.0694297049</v>
      </c>
      <c r="Y63" s="23">
        <f t="shared" si="43"/>
        <v>1745073.2722068937</v>
      </c>
      <c r="Z63" s="23">
        <f t="shared" si="43"/>
        <v>1814876.2030951693</v>
      </c>
      <c r="AA63" s="23">
        <f t="shared" si="43"/>
        <v>1887471.2512189758</v>
      </c>
      <c r="AB63" s="23">
        <f t="shared" si="43"/>
        <v>1962970.101267735</v>
      </c>
    </row>
    <row r="64" spans="1:28" x14ac:dyDescent="0.25">
      <c r="A64" s="2" t="s">
        <v>341</v>
      </c>
      <c r="B64" s="1" t="s">
        <v>140</v>
      </c>
      <c r="D64" s="29">
        <f t="shared" ref="D64:AB64" si="44">(OPT_BILL_Y1+BASE_SERVED_RETAIL*(1-D9))*D6+D12+D14+D15</f>
        <v>711971.32707346405</v>
      </c>
      <c r="E64" s="29">
        <f t="shared" si="44"/>
        <v>740730.07263337832</v>
      </c>
      <c r="F64" s="29">
        <f t="shared" si="44"/>
        <v>770648.90827388805</v>
      </c>
      <c r="G64" s="29">
        <f t="shared" si="44"/>
        <v>801774.57655920216</v>
      </c>
      <c r="H64" s="29">
        <f t="shared" si="44"/>
        <v>834155.70155194076</v>
      </c>
      <c r="I64" s="29">
        <f t="shared" si="44"/>
        <v>867842.86448356556</v>
      </c>
      <c r="J64" s="29">
        <f t="shared" si="44"/>
        <v>902888.68246591557</v>
      </c>
      <c r="K64" s="29">
        <f t="shared" si="44"/>
        <v>939347.89036598429</v>
      </c>
      <c r="L64" s="29">
        <f t="shared" si="44"/>
        <v>977277.42597098567</v>
      </c>
      <c r="M64" s="29">
        <f t="shared" si="44"/>
        <v>1016736.5185758518</v>
      </c>
      <c r="N64" s="29">
        <f t="shared" si="44"/>
        <v>1057786.78113061</v>
      </c>
      <c r="O64" s="29">
        <f t="shared" si="44"/>
        <v>1100492.3060906064</v>
      </c>
      <c r="P64" s="29">
        <f t="shared" si="44"/>
        <v>1144919.7651182774</v>
      </c>
      <c r="Q64" s="29">
        <f t="shared" si="44"/>
        <v>1191138.5127911395</v>
      </c>
      <c r="R64" s="29">
        <f t="shared" si="44"/>
        <v>1239220.6944768871</v>
      </c>
      <c r="S64" s="29">
        <f t="shared" si="44"/>
        <v>1289241.3585429236</v>
      </c>
      <c r="T64" s="29">
        <f t="shared" si="44"/>
        <v>1341278.5730743879</v>
      </c>
      <c r="U64" s="29">
        <f t="shared" si="44"/>
        <v>1395413.5472817137</v>
      </c>
      <c r="V64" s="29">
        <f t="shared" si="44"/>
        <v>1451730.7577860279</v>
      </c>
      <c r="W64" s="29">
        <f t="shared" si="44"/>
        <v>1510318.0799782486</v>
      </c>
      <c r="X64" s="29">
        <f t="shared" si="44"/>
        <v>1571266.9246556098</v>
      </c>
      <c r="Y64" s="29">
        <f t="shared" si="44"/>
        <v>1634672.3801475074</v>
      </c>
      <c r="Z64" s="29">
        <f t="shared" si="44"/>
        <v>1700633.3601510783</v>
      </c>
      <c r="AA64" s="29">
        <f t="shared" si="44"/>
        <v>1769252.7575057507</v>
      </c>
      <c r="AB64" s="29">
        <f t="shared" si="44"/>
        <v>1840637.6041452228</v>
      </c>
    </row>
    <row r="65" spans="1:28" x14ac:dyDescent="0.25">
      <c r="A65" s="2" t="s">
        <v>342</v>
      </c>
      <c r="B65" s="1" t="s">
        <v>140</v>
      </c>
      <c r="D65" s="29">
        <f t="shared" ref="D65:AB65" si="45">D63-D64</f>
        <v>53825.462926535984</v>
      </c>
      <c r="E65" s="29">
        <f t="shared" si="45"/>
        <v>55698.588966621784</v>
      </c>
      <c r="F65" s="29">
        <f t="shared" si="45"/>
        <v>57636.899790112046</v>
      </c>
      <c r="G65" s="29">
        <f t="shared" si="45"/>
        <v>59642.66382735793</v>
      </c>
      <c r="H65" s="29">
        <f t="shared" si="45"/>
        <v>61718.228450081893</v>
      </c>
      <c r="I65" s="29">
        <f t="shared" si="45"/>
        <v>63866.022718538065</v>
      </c>
      <c r="J65" s="29">
        <f t="shared" si="45"/>
        <v>66088.560224272194</v>
      </c>
      <c r="K65" s="29">
        <f t="shared" si="45"/>
        <v>68388.442031810875</v>
      </c>
      <c r="L65" s="29">
        <f t="shared" si="45"/>
        <v>70768.359722721507</v>
      </c>
      <c r="M65" s="29">
        <f t="shared" si="45"/>
        <v>73231.098545603687</v>
      </c>
      <c r="N65" s="29">
        <f t="shared" si="45"/>
        <v>75779.540675703669</v>
      </c>
      <c r="O65" s="29">
        <f t="shared" si="45"/>
        <v>78416.668587959837</v>
      </c>
      <c r="P65" s="29">
        <f t="shared" si="45"/>
        <v>81145.568547431845</v>
      </c>
      <c r="Q65" s="29">
        <f t="shared" si="45"/>
        <v>83969.434221198084</v>
      </c>
      <c r="R65" s="29">
        <f t="shared" si="45"/>
        <v>86891.570415943861</v>
      </c>
      <c r="S65" s="29">
        <f t="shared" si="45"/>
        <v>89915.396945620654</v>
      </c>
      <c r="T65" s="29">
        <f t="shared" si="45"/>
        <v>93044.452633698471</v>
      </c>
      <c r="U65" s="29">
        <f t="shared" si="45"/>
        <v>96282.399454696104</v>
      </c>
      <c r="V65" s="29">
        <f t="shared" si="45"/>
        <v>99633.026819838444</v>
      </c>
      <c r="W65" s="29">
        <f t="shared" si="45"/>
        <v>103100.2560118523</v>
      </c>
      <c r="X65" s="29">
        <f t="shared" si="45"/>
        <v>106688.14477409516</v>
      </c>
      <c r="Y65" s="29">
        <f t="shared" si="45"/>
        <v>110400.89205938624</v>
      </c>
      <c r="Z65" s="29">
        <f t="shared" si="45"/>
        <v>114242.84294409095</v>
      </c>
      <c r="AA65" s="29">
        <f t="shared" si="45"/>
        <v>118218.49371322501</v>
      </c>
      <c r="AB65" s="29">
        <f t="shared" si="45"/>
        <v>122332.4971225122</v>
      </c>
    </row>
    <row r="66" spans="1:28" x14ac:dyDescent="0.25">
      <c r="A66" t="s">
        <v>343</v>
      </c>
      <c r="B66" s="1" t="s">
        <v>330</v>
      </c>
      <c r="D66" s="31">
        <f t="shared" ref="D66:AB66" si="46">IF(D63=0,"",D65/D63)</f>
        <v>7.0286874572216454E-2</v>
      </c>
      <c r="E66" s="31">
        <f t="shared" si="46"/>
        <v>6.9935440111767291E-2</v>
      </c>
      <c r="F66" s="31">
        <f t="shared" si="46"/>
        <v>6.9585762823620112E-2</v>
      </c>
      <c r="G66" s="31">
        <f t="shared" si="46"/>
        <v>6.923783392191378E-2</v>
      </c>
      <c r="H66" s="31">
        <f t="shared" si="46"/>
        <v>6.8891644664715881E-2</v>
      </c>
      <c r="I66" s="31">
        <f t="shared" si="46"/>
        <v>6.8547186353804121E-2</v>
      </c>
      <c r="J66" s="31">
        <f t="shared" si="46"/>
        <v>6.8204450334446887E-2</v>
      </c>
      <c r="K66" s="31">
        <f t="shared" si="46"/>
        <v>6.7863427995186271E-2</v>
      </c>
      <c r="L66" s="31">
        <f t="shared" si="46"/>
        <v>6.7524110767622186E-2</v>
      </c>
      <c r="M66" s="31">
        <f t="shared" si="46"/>
        <v>6.7186490126195667E-2</v>
      </c>
      <c r="N66" s="31">
        <f t="shared" si="46"/>
        <v>6.6850557587976492E-2</v>
      </c>
      <c r="O66" s="31">
        <f t="shared" si="46"/>
        <v>6.6516304712448585E-2</v>
      </c>
      <c r="P66" s="31">
        <f t="shared" si="46"/>
        <v>6.6183723101297998E-2</v>
      </c>
      <c r="Q66" s="31">
        <f t="shared" si="46"/>
        <v>6.5852804398203332E-2</v>
      </c>
      <c r="R66" s="31">
        <f t="shared" si="46"/>
        <v>6.5523540288624019E-2</v>
      </c>
      <c r="S66" s="31">
        <f t="shared" si="46"/>
        <v>6.5195922499592565E-2</v>
      </c>
      <c r="T66" s="31">
        <f t="shared" si="46"/>
        <v>6.4869942799506378E-2</v>
      </c>
      <c r="U66" s="31">
        <f t="shared" si="46"/>
        <v>6.4545592997920564E-2</v>
      </c>
      <c r="V66" s="31">
        <f t="shared" si="46"/>
        <v>6.4222864945342809E-2</v>
      </c>
      <c r="W66" s="31">
        <f t="shared" si="46"/>
        <v>6.3901750533027823E-2</v>
      </c>
      <c r="X66" s="31">
        <f t="shared" si="46"/>
        <v>6.3582241692774169E-2</v>
      </c>
      <c r="Y66" s="31">
        <f t="shared" si="46"/>
        <v>6.3264330396722301E-2</v>
      </c>
      <c r="Z66" s="31">
        <f t="shared" si="46"/>
        <v>6.2948008657150389E-2</v>
      </c>
      <c r="AA66" s="31">
        <f t="shared" si="46"/>
        <v>6.2633268526276403E-2</v>
      </c>
      <c r="AB66" s="31">
        <f t="shared" si="46"/>
        <v>6.2320102096056797E-2</v>
      </c>
    </row>
    <row r="68" spans="1:28" x14ac:dyDescent="0.25">
      <c r="A68" s="6" t="s">
        <v>344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5">
      <c r="A69" t="s">
        <v>42</v>
      </c>
      <c r="C69" s="33">
        <f>IRR(C58:AB58)</f>
        <v>0.15302629317548599</v>
      </c>
    </row>
    <row r="70" spans="1:28" x14ac:dyDescent="0.25">
      <c r="A70" t="s">
        <v>345</v>
      </c>
      <c r="C70" s="33">
        <f>IRR(C57:AB57)</f>
        <v>0.12589190120086724</v>
      </c>
    </row>
    <row r="71" spans="1:28" x14ac:dyDescent="0.25">
      <c r="A71" t="s">
        <v>346</v>
      </c>
      <c r="C71" s="29">
        <f>NPV(DISC_RATE,D58:AB58)+C58</f>
        <v>1030425.1263199192</v>
      </c>
    </row>
    <row r="72" spans="1:28" x14ac:dyDescent="0.25">
      <c r="A72" t="s">
        <v>46</v>
      </c>
      <c r="C72" s="34">
        <f>MIN(D60:AB60)</f>
        <v>1.0933500578098421</v>
      </c>
      <c r="D72" s="1" t="s">
        <v>347</v>
      </c>
    </row>
    <row r="73" spans="1:28" x14ac:dyDescent="0.25">
      <c r="A73" t="s">
        <v>348</v>
      </c>
      <c r="C73" s="34">
        <f>AVERAGE(D60:AB60)</f>
        <v>1.2549709367955995</v>
      </c>
    </row>
    <row r="74" spans="1:28" x14ac:dyDescent="0.25">
      <c r="A74" t="s">
        <v>349</v>
      </c>
      <c r="C74" s="27">
        <f>MATCH(TRUE,INDEX(D59:AB59&gt;=0,0),0)</f>
        <v>12</v>
      </c>
    </row>
    <row r="75" spans="1:28" x14ac:dyDescent="0.25">
      <c r="A75" t="s">
        <v>350</v>
      </c>
      <c r="C75" s="35">
        <f>IF(ISNA($C$74),"n/a",$C$74-1+IFERROR(-INDEX(C59:AB59,$C$74)/INDEX(D58:AB58,$C$74),0))</f>
        <v>11.856313837389351</v>
      </c>
      <c r="D75" s="1" t="s">
        <v>81</v>
      </c>
    </row>
    <row r="76" spans="1:28" x14ac:dyDescent="0.25">
      <c r="A76" t="s">
        <v>351</v>
      </c>
      <c r="C76" s="33">
        <f>SUM(D58:AB58)/EQUITY_INVESTMENT</f>
        <v>9.1174180004474792</v>
      </c>
    </row>
    <row r="77" spans="1:28" x14ac:dyDescent="0.25">
      <c r="A77" t="s">
        <v>352</v>
      </c>
      <c r="C77" s="33">
        <f>SUM(D65:M65)/SUM(D63:M63)</f>
        <v>6.861518126367272E-2</v>
      </c>
    </row>
    <row r="79" spans="1:28" x14ac:dyDescent="0.25">
      <c r="A79" s="6" t="s">
        <v>353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5">
      <c r="A80" t="s">
        <v>354</v>
      </c>
      <c r="B80" s="1" t="s">
        <v>140</v>
      </c>
      <c r="C80" s="20">
        <v>-1132122.9743999999</v>
      </c>
      <c r="D80" s="20">
        <v>37583.039804893247</v>
      </c>
      <c r="E80" s="20">
        <v>53113.890087049796</v>
      </c>
      <c r="F80" s="20">
        <v>69191.584945783834</v>
      </c>
      <c r="G80" s="20">
        <v>85835.345701962884</v>
      </c>
      <c r="H80" s="20">
        <v>103065.068312309</v>
      </c>
      <c r="I80" s="20">
        <v>120901.3470187428</v>
      </c>
      <c r="J80" s="20">
        <v>124033.3405575892</v>
      </c>
      <c r="K80" s="20">
        <v>138766.7020682311</v>
      </c>
      <c r="L80" s="20">
        <v>139251.51628286749</v>
      </c>
      <c r="M80" s="20">
        <v>154779.5291601682</v>
      </c>
      <c r="N80" s="20">
        <v>-412941.04204920441</v>
      </c>
      <c r="O80" s="20">
        <v>605552.11170064739</v>
      </c>
      <c r="P80" s="20">
        <v>626002.65762710525</v>
      </c>
      <c r="Q80" s="20">
        <v>647172.81959389895</v>
      </c>
      <c r="R80" s="20">
        <v>669087.87835049431</v>
      </c>
      <c r="S80" s="20">
        <v>643238.30887535808</v>
      </c>
      <c r="T80" s="20">
        <v>664113.21849061479</v>
      </c>
      <c r="U80" s="20">
        <v>685722.51559230743</v>
      </c>
      <c r="V80" s="20">
        <v>683123.5500839185</v>
      </c>
      <c r="W80" s="20">
        <v>706279.91167814087</v>
      </c>
      <c r="X80" s="20">
        <v>704228.68311863428</v>
      </c>
      <c r="Y80" s="20">
        <v>729042.68691143685</v>
      </c>
      <c r="Z80" s="20">
        <v>754729.42340483703</v>
      </c>
      <c r="AA80" s="20">
        <v>781319.53985787428</v>
      </c>
      <c r="AB80" s="20">
        <v>808844.75833903346</v>
      </c>
    </row>
    <row r="81" spans="1:28" x14ac:dyDescent="0.25">
      <c r="A81" t="s">
        <v>355</v>
      </c>
      <c r="B81" s="1" t="s">
        <v>140</v>
      </c>
      <c r="D81" s="20">
        <v>440186.323473464</v>
      </c>
      <c r="E81" s="20">
        <v>455717.17375562049</v>
      </c>
      <c r="F81" s="20">
        <v>471794.86861435458</v>
      </c>
      <c r="G81" s="20">
        <v>488438.62937053363</v>
      </c>
      <c r="H81" s="20">
        <v>505668.35198087979</v>
      </c>
      <c r="I81" s="20">
        <v>523504.63068731362</v>
      </c>
      <c r="J81" s="20">
        <v>526636.62422615988</v>
      </c>
      <c r="K81" s="20">
        <v>541369.98573680187</v>
      </c>
      <c r="L81" s="20">
        <v>541854.79995143821</v>
      </c>
      <c r="M81" s="20">
        <v>557382.81282873626</v>
      </c>
      <c r="N81" s="20">
        <v>-412941.04204920441</v>
      </c>
      <c r="O81" s="20">
        <v>605552.11170064739</v>
      </c>
      <c r="P81" s="20">
        <v>626002.65762710525</v>
      </c>
      <c r="Q81" s="20">
        <v>647172.81959389895</v>
      </c>
      <c r="R81" s="20">
        <v>669087.87835049431</v>
      </c>
      <c r="S81" s="20">
        <v>643238.30887535808</v>
      </c>
      <c r="T81" s="20">
        <v>664113.21849061479</v>
      </c>
      <c r="U81" s="20">
        <v>685722.51559230743</v>
      </c>
      <c r="V81" s="20">
        <v>683123.5500839185</v>
      </c>
      <c r="W81" s="20">
        <v>706279.91167814087</v>
      </c>
      <c r="X81" s="20">
        <v>704228.68311863428</v>
      </c>
      <c r="Y81" s="20">
        <v>729042.68691143685</v>
      </c>
      <c r="Z81" s="20">
        <v>754729.42340483703</v>
      </c>
      <c r="AA81" s="20">
        <v>781319.53985787428</v>
      </c>
      <c r="AB81" s="20">
        <v>808844.75833903346</v>
      </c>
    </row>
    <row r="82" spans="1:28" x14ac:dyDescent="0.25">
      <c r="A82" t="s">
        <v>356</v>
      </c>
      <c r="B82" s="1" t="s">
        <v>140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15332.158268296231</v>
      </c>
      <c r="K82" s="20">
        <v>19712.886767462169</v>
      </c>
      <c r="L82" s="20">
        <v>39014.940186344968</v>
      </c>
      <c r="M82" s="20">
        <v>43970.213446323658</v>
      </c>
      <c r="N82" s="20">
        <v>36760.443394532849</v>
      </c>
      <c r="O82" s="20">
        <v>38955.482700071931</v>
      </c>
      <c r="P82" s="20">
        <v>41227.76558078947</v>
      </c>
      <c r="Q82" s="20">
        <v>43580.005799322098</v>
      </c>
      <c r="R82" s="20">
        <v>46015.012327832708</v>
      </c>
      <c r="S82" s="20">
        <v>97071.385368839517</v>
      </c>
      <c r="T82" s="20">
        <v>102290.11277265369</v>
      </c>
      <c r="U82" s="20">
        <v>107692.4370480769</v>
      </c>
      <c r="V82" s="20">
        <v>138253.25192097959</v>
      </c>
      <c r="W82" s="20">
        <v>144042.34231953521</v>
      </c>
      <c r="X82" s="20">
        <v>176057.1707796586</v>
      </c>
      <c r="Y82" s="20">
        <v>182260.67172785921</v>
      </c>
      <c r="Z82" s="20">
        <v>188682.35585120929</v>
      </c>
      <c r="AA82" s="20">
        <v>195329.8849644686</v>
      </c>
      <c r="AB82" s="20">
        <v>202211.18958475839</v>
      </c>
    </row>
    <row r="83" spans="1:28" x14ac:dyDescent="0.25">
      <c r="A83" t="s">
        <v>357</v>
      </c>
      <c r="B83" s="1" t="s">
        <v>140</v>
      </c>
      <c r="C83" s="28">
        <f>ABS(C58-C80)</f>
        <v>2.3283064365386963E-10</v>
      </c>
      <c r="D83" s="28">
        <f t="shared" ref="D83:AB83" si="47">MAX(ABS(D58-D80),ABS(D56-D81),ABS(D53-D82))</f>
        <v>6.5483618527650833E-11</v>
      </c>
      <c r="E83" s="28">
        <f t="shared" si="47"/>
        <v>6.5483618527650833E-11</v>
      </c>
      <c r="F83" s="28">
        <f t="shared" si="47"/>
        <v>5.8207660913467407E-11</v>
      </c>
      <c r="G83" s="28">
        <f t="shared" si="47"/>
        <v>5.8207660913467407E-11</v>
      </c>
      <c r="H83" s="28">
        <f t="shared" si="47"/>
        <v>2.1827872842550278E-10</v>
      </c>
      <c r="I83" s="28">
        <f t="shared" si="47"/>
        <v>1.8917489796876907E-10</v>
      </c>
      <c r="J83" s="28">
        <f t="shared" si="47"/>
        <v>1.1641532182693481E-10</v>
      </c>
      <c r="K83" s="28">
        <f t="shared" si="47"/>
        <v>2.0372681319713593E-10</v>
      </c>
      <c r="L83" s="28">
        <f t="shared" si="47"/>
        <v>1.4551915228366852E-10</v>
      </c>
      <c r="M83" s="28">
        <f t="shared" si="47"/>
        <v>4.0745362639427185E-10</v>
      </c>
      <c r="N83" s="28">
        <f t="shared" si="47"/>
        <v>1.7462298274040222E-10</v>
      </c>
      <c r="O83" s="28">
        <f t="shared" si="47"/>
        <v>0</v>
      </c>
      <c r="P83" s="28">
        <f t="shared" si="47"/>
        <v>2.3283064365386963E-10</v>
      </c>
      <c r="Q83" s="28">
        <f t="shared" si="47"/>
        <v>2.3283064365386963E-10</v>
      </c>
      <c r="R83" s="28">
        <f t="shared" si="47"/>
        <v>4.6566128730773926E-10</v>
      </c>
      <c r="S83" s="28">
        <f t="shared" si="47"/>
        <v>3.4924596548080444E-10</v>
      </c>
      <c r="T83" s="28">
        <f t="shared" si="47"/>
        <v>3.4924596548080444E-10</v>
      </c>
      <c r="U83" s="28">
        <f t="shared" si="47"/>
        <v>2.3283064365386963E-10</v>
      </c>
      <c r="V83" s="28">
        <f t="shared" si="47"/>
        <v>4.6566128730773926E-10</v>
      </c>
      <c r="W83" s="28">
        <f t="shared" si="47"/>
        <v>3.4924596548080444E-10</v>
      </c>
      <c r="X83" s="28">
        <f t="shared" si="47"/>
        <v>4.6566128730773926E-10</v>
      </c>
      <c r="Y83" s="28">
        <f t="shared" si="47"/>
        <v>5.8207660913467407E-10</v>
      </c>
      <c r="Z83" s="28">
        <f t="shared" si="47"/>
        <v>5.8207660913467407E-10</v>
      </c>
      <c r="AA83" s="28">
        <f t="shared" si="47"/>
        <v>4.6566128730773926E-10</v>
      </c>
      <c r="AB83" s="28">
        <f t="shared" si="47"/>
        <v>4.6566128730773926E-10</v>
      </c>
    </row>
    <row r="85" spans="1:28" x14ac:dyDescent="0.25">
      <c r="A85" s="36" t="s">
        <v>358</v>
      </c>
      <c r="B85" s="36"/>
      <c r="C85" s="36" t="s">
        <v>359</v>
      </c>
      <c r="D85" s="36" t="s">
        <v>360</v>
      </c>
      <c r="E85" s="36" t="s">
        <v>361</v>
      </c>
      <c r="F85" s="36" t="s">
        <v>362</v>
      </c>
    </row>
    <row r="86" spans="1:28" x14ac:dyDescent="0.25">
      <c r="A86" t="s">
        <v>363</v>
      </c>
      <c r="C86" s="28">
        <f>MAX(C83:AB83)</f>
        <v>5.8207660913467407E-10</v>
      </c>
      <c r="D86" s="19">
        <v>0</v>
      </c>
      <c r="E86" s="37">
        <f t="shared" ref="E86:E94" si="48">ABS(C86-D86)</f>
        <v>5.8207660913467407E-10</v>
      </c>
      <c r="F86" s="38" t="str">
        <f>IF(ABS(C86-D86)&lt;=1,"PASS","REVIEW")</f>
        <v>PASS</v>
      </c>
    </row>
    <row r="87" spans="1:28" x14ac:dyDescent="0.25">
      <c r="A87" t="s">
        <v>42</v>
      </c>
      <c r="C87" s="31">
        <f>$C$69</f>
        <v>0.15302629317548599</v>
      </c>
      <c r="D87" s="22">
        <v>0.15302629317548641</v>
      </c>
      <c r="E87" s="37">
        <f t="shared" si="48"/>
        <v>4.163336342344337E-16</v>
      </c>
      <c r="F87" s="38" t="str">
        <f>IF(ABS(C87-D87)&lt;=0.0005,"PASS","REVIEW")</f>
        <v>PASS</v>
      </c>
    </row>
    <row r="88" spans="1:28" x14ac:dyDescent="0.25">
      <c r="A88" t="s">
        <v>43</v>
      </c>
      <c r="C88" s="31">
        <f>$C$70</f>
        <v>0.12589190120086724</v>
      </c>
      <c r="D88" s="22">
        <v>0.12589190120088201</v>
      </c>
      <c r="E88" s="37">
        <f t="shared" si="48"/>
        <v>1.4765966227514582E-14</v>
      </c>
      <c r="F88" s="38" t="str">
        <f>IF(ABS(C88-D88)&lt;=0.0005,"PASS","REVIEW")</f>
        <v>PASS</v>
      </c>
    </row>
    <row r="89" spans="1:28" x14ac:dyDescent="0.25">
      <c r="A89" t="s">
        <v>364</v>
      </c>
      <c r="C89" s="23">
        <f>$C$71</f>
        <v>1030425.1263199192</v>
      </c>
      <c r="D89" s="20">
        <v>1030425.126319918</v>
      </c>
      <c r="E89" s="37">
        <f t="shared" si="48"/>
        <v>1.280568540096283E-9</v>
      </c>
      <c r="F89" s="38" t="str">
        <f>IF(ABS(C89-D89)&lt;=1,"PASS","REVIEW")</f>
        <v>PASS</v>
      </c>
    </row>
    <row r="90" spans="1:28" x14ac:dyDescent="0.25">
      <c r="A90" t="s">
        <v>365</v>
      </c>
      <c r="C90" s="32">
        <f>$C$72</f>
        <v>1.0933500578098421</v>
      </c>
      <c r="D90" s="39">
        <v>1.0933500578098421</v>
      </c>
      <c r="E90" s="37">
        <f t="shared" si="48"/>
        <v>0</v>
      </c>
      <c r="F90" s="38" t="str">
        <f>IF(ABS(C90-D90)&lt;=0.005,"PASS","REVIEW")</f>
        <v>PASS</v>
      </c>
    </row>
    <row r="91" spans="1:28" x14ac:dyDescent="0.25">
      <c r="A91" t="s">
        <v>48</v>
      </c>
      <c r="C91" s="32">
        <f>$C$73</f>
        <v>1.2549709367955995</v>
      </c>
      <c r="D91" s="39">
        <v>1.254970936795599</v>
      </c>
      <c r="E91" s="37">
        <f t="shared" si="48"/>
        <v>4.4408920985006262E-16</v>
      </c>
      <c r="F91" s="38" t="str">
        <f>IF(ABS(C91-D91)&lt;=0.005,"PASS","REVIEW")</f>
        <v>PASS</v>
      </c>
    </row>
    <row r="92" spans="1:28" x14ac:dyDescent="0.25">
      <c r="A92" t="s">
        <v>350</v>
      </c>
      <c r="C92" s="40">
        <f>$C$75</f>
        <v>11.856313837389351</v>
      </c>
      <c r="D92" s="41">
        <v>11.856313837389351</v>
      </c>
      <c r="E92" s="37">
        <f t="shared" si="48"/>
        <v>0</v>
      </c>
      <c r="F92" s="38" t="str">
        <f>IF(ABS(C92-D92)&lt;=0.05,"PASS","REVIEW")</f>
        <v>PASS</v>
      </c>
    </row>
    <row r="93" spans="1:28" x14ac:dyDescent="0.25">
      <c r="A93" t="s">
        <v>366</v>
      </c>
      <c r="C93" s="31">
        <f>$C$76</f>
        <v>9.1174180004474792</v>
      </c>
      <c r="D93" s="22">
        <v>9.1174180004474721</v>
      </c>
      <c r="E93" s="37">
        <f t="shared" si="48"/>
        <v>7.1054273576010019E-15</v>
      </c>
      <c r="F93" s="38" t="str">
        <f>IF(ABS(C93-D93)&lt;=0.0005,"PASS","REVIEW")</f>
        <v>PASS</v>
      </c>
    </row>
    <row r="94" spans="1:28" x14ac:dyDescent="0.25">
      <c r="A94" t="s">
        <v>352</v>
      </c>
      <c r="C94" s="31">
        <f>$C$77</f>
        <v>6.861518126367272E-2</v>
      </c>
      <c r="D94" s="22">
        <v>6.8615181263672692E-2</v>
      </c>
      <c r="E94" s="37">
        <f t="shared" si="48"/>
        <v>2.7755575615628914E-17</v>
      </c>
      <c r="F94" s="38" t="str">
        <f>IF(ABS(C94-D94)&lt;=0.0005,"PASS","REVIEW")</f>
        <v>PASS</v>
      </c>
    </row>
  </sheetData>
  <conditionalFormatting sqref="F86:F94">
    <cfRule type="cellIs" dxfId="1" priority="1" operator="equal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AA15"/>
  <sheetViews>
    <sheetView showGridLines="0" workbookViewId="0">
      <selection sqref="A1:F1"/>
    </sheetView>
  </sheetViews>
  <sheetFormatPr defaultRowHeight="15" x14ac:dyDescent="0.25"/>
  <cols>
    <col min="1" max="1" width="28" customWidth="1"/>
    <col min="2" max="6" width="20" customWidth="1"/>
  </cols>
  <sheetData>
    <row r="1" spans="1:27" ht="24" customHeight="1" x14ac:dyDescent="0.3">
      <c r="A1" s="46" t="s">
        <v>367</v>
      </c>
      <c r="B1" s="44"/>
      <c r="C1" s="44"/>
      <c r="D1" s="44"/>
      <c r="E1" s="44"/>
      <c r="F1" s="44"/>
    </row>
    <row r="2" spans="1:27" x14ac:dyDescent="0.25">
      <c r="A2" s="1" t="s">
        <v>368</v>
      </c>
    </row>
    <row r="4" spans="1:27" x14ac:dyDescent="0.25">
      <c r="A4" s="36" t="s">
        <v>369</v>
      </c>
      <c r="B4" s="36" t="s">
        <v>370</v>
      </c>
      <c r="C4" s="36" t="s">
        <v>371</v>
      </c>
      <c r="D4" s="36" t="s">
        <v>372</v>
      </c>
      <c r="E4" s="36" t="s">
        <v>373</v>
      </c>
      <c r="F4" s="36" t="s">
        <v>362</v>
      </c>
    </row>
    <row r="5" spans="1:27" x14ac:dyDescent="0.25">
      <c r="A5" s="22">
        <v>0</v>
      </c>
      <c r="B5" s="31">
        <f>IRR(B12:AA12)</f>
        <v>0.15302629317548599</v>
      </c>
      <c r="C5" s="23">
        <f>NPV(DISC_RATE,C12:AA12)+B12</f>
        <v>1030425.1263199192</v>
      </c>
      <c r="D5" s="22">
        <v>0.15302629317548641</v>
      </c>
      <c r="E5" s="20">
        <v>1030425.126319918</v>
      </c>
      <c r="F5" s="38" t="str">
        <f>IF(AND(ABS(B5-D5)&lt;=0.0005,ABS(C5-E5)&lt;=1),"PASS","REVIEW")</f>
        <v>PASS</v>
      </c>
    </row>
    <row r="6" spans="1:27" x14ac:dyDescent="0.25">
      <c r="A6" s="22">
        <v>0.01</v>
      </c>
      <c r="B6" s="31">
        <f>IRR(B13:AA13)</f>
        <v>0.14161019126285757</v>
      </c>
      <c r="C6" s="23">
        <f>NPV(DISC_RATE,C13:AA13)+B13</f>
        <v>739768.28057505307</v>
      </c>
      <c r="D6" s="22">
        <v>0.14161019126289631</v>
      </c>
      <c r="E6" s="20">
        <v>739768.28057505214</v>
      </c>
      <c r="F6" s="38" t="str">
        <f>IF(AND(ABS(B6-D6)&lt;=0.0005,ABS(C6-E6)&lt;=1),"PASS","REVIEW")</f>
        <v>PASS</v>
      </c>
    </row>
    <row r="7" spans="1:27" x14ac:dyDescent="0.25">
      <c r="A7" s="22">
        <v>0.02</v>
      </c>
      <c r="B7" s="31">
        <f>IRR(B14:AA14)</f>
        <v>0.13041793448577033</v>
      </c>
      <c r="C7" s="23">
        <f>NPV(DISC_RATE,C14:AA14)+B14</f>
        <v>496857.13041473972</v>
      </c>
      <c r="D7" s="22">
        <v>0.13041793448579189</v>
      </c>
      <c r="E7" s="20">
        <v>496857.1304147382</v>
      </c>
      <c r="F7" s="38" t="str">
        <f>IF(AND(ABS(B7-D7)&lt;=0.0005,ABS(C7-E7)&lt;=1),"PASS","REVIEW")</f>
        <v>PASS</v>
      </c>
    </row>
    <row r="8" spans="1:27" x14ac:dyDescent="0.25">
      <c r="A8" s="22">
        <v>0.03</v>
      </c>
      <c r="B8" s="31">
        <f>IRR(B15:AA15)</f>
        <v>0.11944300308299627</v>
      </c>
      <c r="C8" s="23">
        <f>NPV(DISC_RATE,C15:AA15)+B15</f>
        <v>292971.02680017147</v>
      </c>
      <c r="D8" s="22">
        <v>0.11944300308302749</v>
      </c>
      <c r="E8" s="20">
        <v>292971.02680017002</v>
      </c>
      <c r="F8" s="38" t="str">
        <f>IF(AND(ABS(B8-D8)&lt;=0.0005,ABS(C8-E8)&lt;=1),"PASS","REVIEW")</f>
        <v>PASS</v>
      </c>
    </row>
    <row r="10" spans="1:27" x14ac:dyDescent="0.25">
      <c r="A10" s="1" t="s">
        <v>374</v>
      </c>
    </row>
    <row r="11" spans="1:27" x14ac:dyDescent="0.25">
      <c r="B11" s="27">
        <v>0</v>
      </c>
      <c r="C11" s="27">
        <v>1</v>
      </c>
      <c r="D11" s="27">
        <v>2</v>
      </c>
      <c r="E11" s="27">
        <v>3</v>
      </c>
      <c r="F11" s="27">
        <v>4</v>
      </c>
      <c r="G11" s="27">
        <v>5</v>
      </c>
      <c r="H11" s="27">
        <v>6</v>
      </c>
      <c r="I11" s="27">
        <v>7</v>
      </c>
      <c r="J11" s="27">
        <v>8</v>
      </c>
      <c r="K11" s="27">
        <v>9</v>
      </c>
      <c r="L11" s="27">
        <v>10</v>
      </c>
      <c r="M11" s="27">
        <v>11</v>
      </c>
      <c r="N11" s="27">
        <v>12</v>
      </c>
      <c r="O11" s="27">
        <v>13</v>
      </c>
      <c r="P11" s="27">
        <v>14</v>
      </c>
      <c r="Q11" s="27">
        <v>15</v>
      </c>
      <c r="R11" s="27">
        <v>16</v>
      </c>
      <c r="S11" s="27">
        <v>17</v>
      </c>
      <c r="T11" s="27">
        <v>18</v>
      </c>
      <c r="U11" s="27">
        <v>19</v>
      </c>
      <c r="V11" s="27">
        <v>20</v>
      </c>
      <c r="W11" s="27">
        <v>21</v>
      </c>
      <c r="X11" s="27">
        <v>22</v>
      </c>
      <c r="Y11" s="27">
        <v>23</v>
      </c>
      <c r="Z11" s="27">
        <v>24</v>
      </c>
      <c r="AA11" s="27">
        <v>25</v>
      </c>
    </row>
    <row r="12" spans="1:27" x14ac:dyDescent="0.25">
      <c r="A12" s="31">
        <f>A5</f>
        <v>0</v>
      </c>
      <c r="B12" s="23">
        <f>'Pro Forma (Audit)'!C58/(1+$A5)^B$11</f>
        <v>-1132122.9744000002</v>
      </c>
      <c r="C12" s="23">
        <f>'Pro Forma (Audit)'!D58/(1+$A5)^C$11</f>
        <v>37583.039804893313</v>
      </c>
      <c r="D12" s="23">
        <f>'Pro Forma (Audit)'!E58/(1+$A5)^D$11</f>
        <v>53113.890087049862</v>
      </c>
      <c r="E12" s="23">
        <f>'Pro Forma (Audit)'!F58/(1+$A5)^E$11</f>
        <v>69191.584945783892</v>
      </c>
      <c r="F12" s="23">
        <f>'Pro Forma (Audit)'!G58/(1+$A5)^F$11</f>
        <v>85835.345701962942</v>
      </c>
      <c r="G12" s="23">
        <f>'Pro Forma (Audit)'!H58/(1+$A5)^G$11</f>
        <v>103065.06831230922</v>
      </c>
      <c r="H12" s="23">
        <f>'Pro Forma (Audit)'!I58/(1+$A5)^H$11</f>
        <v>120901.34701874299</v>
      </c>
      <c r="I12" s="23">
        <f>'Pro Forma (Audit)'!J58/(1+$A5)^I$11</f>
        <v>124033.34055758931</v>
      </c>
      <c r="J12" s="23">
        <f>'Pro Forma (Audit)'!K58/(1+$A5)^J$11</f>
        <v>138766.7020682313</v>
      </c>
      <c r="K12" s="23">
        <f>'Pro Forma (Audit)'!L58/(1+$A5)^K$11</f>
        <v>139251.51628286764</v>
      </c>
      <c r="L12" s="23">
        <f>'Pro Forma (Audit)'!M58/(1+$A5)^L$11</f>
        <v>154779.52916016779</v>
      </c>
      <c r="M12" s="23">
        <f>'Pro Forma (Audit)'!N58/(1+$A5)^M$11</f>
        <v>-412941.04204920423</v>
      </c>
      <c r="N12" s="23">
        <f>'Pro Forma (Audit)'!O58/(1+$A5)^N$11</f>
        <v>605552.11170064739</v>
      </c>
      <c r="O12" s="23">
        <f>'Pro Forma (Audit)'!P58/(1+$A5)^O$11</f>
        <v>626002.65762710548</v>
      </c>
      <c r="P12" s="23">
        <f>'Pro Forma (Audit)'!Q58/(1+$A5)^P$11</f>
        <v>647172.81959389918</v>
      </c>
      <c r="Q12" s="23">
        <f>'Pro Forma (Audit)'!R58/(1+$A5)^Q$11</f>
        <v>669087.87835049478</v>
      </c>
      <c r="R12" s="23">
        <f>'Pro Forma (Audit)'!S58/(1+$A5)^R$11</f>
        <v>643238.30887535843</v>
      </c>
      <c r="S12" s="23">
        <f>'Pro Forma (Audit)'!T58/(1+$A5)^S$11</f>
        <v>664113.21849061514</v>
      </c>
      <c r="T12" s="23">
        <f>'Pro Forma (Audit)'!U58/(1+$A5)^T$11</f>
        <v>685722.51559230767</v>
      </c>
      <c r="U12" s="23">
        <f>'Pro Forma (Audit)'!V58/(1+$A5)^U$11</f>
        <v>683123.55008391896</v>
      </c>
      <c r="V12" s="23">
        <f>'Pro Forma (Audit)'!W58/(1+$A5)^V$11</f>
        <v>706279.91167814122</v>
      </c>
      <c r="W12" s="23">
        <f>'Pro Forma (Audit)'!X58/(1+$A5)^W$11</f>
        <v>704228.68311863474</v>
      </c>
      <c r="X12" s="23">
        <f>'Pro Forma (Audit)'!Y58/(1+$A5)^X$11</f>
        <v>729042.68691143743</v>
      </c>
      <c r="Y12" s="23">
        <f>'Pro Forma (Audit)'!Z58/(1+$A5)^Y$11</f>
        <v>754729.42340483761</v>
      </c>
      <c r="Z12" s="23">
        <f>'Pro Forma (Audit)'!AA58/(1+$A5)^Z$11</f>
        <v>781319.53985787474</v>
      </c>
      <c r="AA12" s="23">
        <f>'Pro Forma (Audit)'!AB58/(1+$A5)^AA$11</f>
        <v>808844.75833903393</v>
      </c>
    </row>
    <row r="13" spans="1:27" x14ac:dyDescent="0.25">
      <c r="A13" s="31">
        <f>A6</f>
        <v>0.01</v>
      </c>
      <c r="B13" s="23">
        <f>'Pro Forma (Audit)'!C58/(1+$A6)^B$11</f>
        <v>-1132122.9744000002</v>
      </c>
      <c r="C13" s="23">
        <f>'Pro Forma (Audit)'!D58/(1+$A6)^C$11</f>
        <v>37210.93049989437</v>
      </c>
      <c r="D13" s="23">
        <f>'Pro Forma (Audit)'!E58/(1+$A6)^D$11</f>
        <v>52067.336620968395</v>
      </c>
      <c r="E13" s="23">
        <f>'Pro Forma (Audit)'!F58/(1+$A6)^E$11</f>
        <v>67156.670667876577</v>
      </c>
      <c r="F13" s="23">
        <f>'Pro Forma (Audit)'!G58/(1+$A6)^F$11</f>
        <v>82486.080081473963</v>
      </c>
      <c r="G13" s="23">
        <f>'Pro Forma (Audit)'!H58/(1+$A6)^G$11</f>
        <v>98062.876090007834</v>
      </c>
      <c r="H13" s="23">
        <f>'Pro Forma (Audit)'!I58/(1+$A6)^H$11</f>
        <v>113894.53789482221</v>
      </c>
      <c r="I13" s="23">
        <f>'Pro Forma (Audit)'!J58/(1+$A6)^I$11</f>
        <v>115688.13612370235</v>
      </c>
      <c r="J13" s="23">
        <f>'Pro Forma (Audit)'!K58/(1+$A6)^J$11</f>
        <v>128148.72119921318</v>
      </c>
      <c r="K13" s="23">
        <f>'Pro Forma (Audit)'!L58/(1+$A6)^K$11</f>
        <v>127323.20692321857</v>
      </c>
      <c r="L13" s="23">
        <f>'Pro Forma (Audit)'!M58/(1+$A6)^L$11</f>
        <v>140119.88860222208</v>
      </c>
      <c r="M13" s="23">
        <f>'Pro Forma (Audit)'!N58/(1+$A6)^M$11</f>
        <v>-370128.84992521908</v>
      </c>
      <c r="N13" s="23">
        <f>'Pro Forma (Audit)'!O58/(1+$A6)^N$11</f>
        <v>537396.75238641736</v>
      </c>
      <c r="O13" s="23">
        <f>'Pro Forma (Audit)'!P58/(1+$A6)^O$11</f>
        <v>550045.1223020812</v>
      </c>
      <c r="P13" s="23">
        <f>'Pro Forma (Audit)'!Q58/(1+$A6)^P$11</f>
        <v>563016.38796321023</v>
      </c>
      <c r="Q13" s="23">
        <f>'Pro Forma (Audit)'!R58/(1+$A6)^Q$11</f>
        <v>576318.49263123306</v>
      </c>
      <c r="R13" s="23">
        <f>'Pro Forma (Audit)'!S58/(1+$A6)^R$11</f>
        <v>548567.3064745391</v>
      </c>
      <c r="S13" s="23">
        <f>'Pro Forma (Audit)'!T58/(1+$A6)^S$11</f>
        <v>560762.25073372782</v>
      </c>
      <c r="T13" s="23">
        <f>'Pro Forma (Audit)'!U58/(1+$A6)^T$11</f>
        <v>573275.89576582855</v>
      </c>
      <c r="U13" s="23">
        <f>'Pro Forma (Audit)'!V58/(1+$A6)^U$11</f>
        <v>565448.62930874294</v>
      </c>
      <c r="V13" s="23">
        <f>'Pro Forma (Audit)'!W58/(1+$A6)^V$11</f>
        <v>578827.796126134</v>
      </c>
      <c r="W13" s="23">
        <f>'Pro Forma (Audit)'!X58/(1+$A6)^W$11</f>
        <v>571432.39911167591</v>
      </c>
      <c r="X13" s="23">
        <f>'Pro Forma (Audit)'!Y58/(1+$A6)^X$11</f>
        <v>585710.12910313951</v>
      </c>
      <c r="Y13" s="23">
        <f>'Pro Forma (Audit)'!Z58/(1+$A6)^Y$11</f>
        <v>600343.32253612299</v>
      </c>
      <c r="Z13" s="23">
        <f>'Pro Forma (Audit)'!AA58/(1+$A6)^Z$11</f>
        <v>615340.80428635015</v>
      </c>
      <c r="AA13" s="23">
        <f>'Pro Forma (Audit)'!AB58/(1+$A6)^AA$11</f>
        <v>630711.61783371144</v>
      </c>
    </row>
    <row r="14" spans="1:27" x14ac:dyDescent="0.25">
      <c r="A14" s="31">
        <f>A7</f>
        <v>0.02</v>
      </c>
      <c r="B14" s="23">
        <f>'Pro Forma (Audit)'!C58/(1+$A7)^B$11</f>
        <v>-1132122.9744000002</v>
      </c>
      <c r="C14" s="23">
        <f>'Pro Forma (Audit)'!D58/(1+$A7)^C$11</f>
        <v>36846.117455777756</v>
      </c>
      <c r="D14" s="23">
        <f>'Pro Forma (Audit)'!E58/(1+$A7)^D$11</f>
        <v>51051.413001778034</v>
      </c>
      <c r="E14" s="23">
        <f>'Pro Forma (Audit)'!F58/(1+$A7)^E$11</f>
        <v>65200.775857121218</v>
      </c>
      <c r="F14" s="23">
        <f>'Pro Forma (Audit)'!G58/(1+$A7)^F$11</f>
        <v>79298.591518163084</v>
      </c>
      <c r="G14" s="23">
        <f>'Pro Forma (Audit)'!H58/(1+$A7)^G$11</f>
        <v>93349.207787683423</v>
      </c>
      <c r="H14" s="23">
        <f>'Pro Forma (Audit)'!I58/(1+$A7)^H$11</f>
        <v>107356.93622040565</v>
      </c>
      <c r="I14" s="23">
        <f>'Pro Forma (Audit)'!J58/(1+$A7)^I$11</f>
        <v>107978.48710989536</v>
      </c>
      <c r="J14" s="23">
        <f>'Pro Forma (Audit)'!K58/(1+$A7)^J$11</f>
        <v>118436.04405704237</v>
      </c>
      <c r="K14" s="23">
        <f>'Pro Forma (Audit)'!L58/(1+$A7)^K$11</f>
        <v>116519.43953044174</v>
      </c>
      <c r="L14" s="23">
        <f>'Pro Forma (Audit)'!M58/(1+$A7)^L$11</f>
        <v>126973.12360202067</v>
      </c>
      <c r="M14" s="23">
        <f>'Pro Forma (Audit)'!N58/(1+$A7)^M$11</f>
        <v>-332113.21744484291</v>
      </c>
      <c r="N14" s="23">
        <f>'Pro Forma (Audit)'!O58/(1+$A7)^N$11</f>
        <v>477473.70753502136</v>
      </c>
      <c r="O14" s="23">
        <f>'Pro Forma (Audit)'!P58/(1+$A7)^O$11</f>
        <v>483920.41513230669</v>
      </c>
      <c r="P14" s="23">
        <f>'Pro Forma (Audit)'!Q58/(1+$A7)^P$11</f>
        <v>490476.11656259897</v>
      </c>
      <c r="Q14" s="23">
        <f>'Pro Forma (Audit)'!R58/(1+$A7)^Q$11</f>
        <v>497142.14927118411</v>
      </c>
      <c r="R14" s="23">
        <f>'Pro Forma (Audit)'!S58/(1+$A7)^R$11</f>
        <v>468564.25332087855</v>
      </c>
      <c r="S14" s="23">
        <f>'Pro Forma (Audit)'!T58/(1+$A7)^S$11</f>
        <v>474284.79788409342</v>
      </c>
      <c r="T14" s="23">
        <f>'Pro Forma (Audit)'!U58/(1+$A7)^T$11</f>
        <v>480115.04791696504</v>
      </c>
      <c r="U14" s="23">
        <f>'Pro Forma (Audit)'!V58/(1+$A7)^U$11</f>
        <v>468917.01750103373</v>
      </c>
      <c r="V14" s="23">
        <f>'Pro Forma (Audit)'!W58/(1+$A7)^V$11</f>
        <v>475306.13370948</v>
      </c>
      <c r="W14" s="23">
        <f>'Pro Forma (Audit)'!X58/(1+$A7)^W$11</f>
        <v>464633.05459929374</v>
      </c>
      <c r="X14" s="23">
        <f>'Pro Forma (Audit)'!Y58/(1+$A7)^X$11</f>
        <v>471573.26884224376</v>
      </c>
      <c r="Y14" s="23">
        <f>'Pro Forma (Audit)'!Z58/(1+$A7)^Y$11</f>
        <v>478616.13011269178</v>
      </c>
      <c r="Z14" s="23">
        <f>'Pro Forma (Audit)'!AA58/(1+$A7)^Z$11</f>
        <v>485763.14687613153</v>
      </c>
      <c r="AA14" s="23">
        <f>'Pro Forma (Audit)'!AB58/(1+$A7)^AA$11</f>
        <v>493015.84967262705</v>
      </c>
    </row>
    <row r="15" spans="1:27" x14ac:dyDescent="0.25">
      <c r="A15" s="31">
        <f>A8</f>
        <v>0.03</v>
      </c>
      <c r="B15" s="23">
        <f>'Pro Forma (Audit)'!C58/(1+$A8)^B$11</f>
        <v>-1132122.9744000002</v>
      </c>
      <c r="C15" s="23">
        <f>'Pro Forma (Audit)'!D58/(1+$A8)^C$11</f>
        <v>36488.388160090595</v>
      </c>
      <c r="D15" s="23">
        <f>'Pro Forma (Audit)'!E58/(1+$A8)^D$11</f>
        <v>50064.935514233068</v>
      </c>
      <c r="E15" s="23">
        <f>'Pro Forma (Audit)'!F58/(1+$A8)^E$11</f>
        <v>63320.101860559764</v>
      </c>
      <c r="F15" s="23">
        <f>'Pro Forma (Audit)'!G58/(1+$A8)^F$11</f>
        <v>76263.59290955968</v>
      </c>
      <c r="G15" s="23">
        <f>'Pro Forma (Audit)'!H58/(1+$A8)^G$11</f>
        <v>88904.833289351882</v>
      </c>
      <c r="H15" s="23">
        <f>'Pro Forma (Audit)'!I58/(1+$A8)^H$11</f>
        <v>101252.97474004453</v>
      </c>
      <c r="I15" s="23">
        <f>'Pro Forma (Audit)'!J58/(1+$A8)^I$11</f>
        <v>100850.45633093519</v>
      </c>
      <c r="J15" s="23">
        <f>'Pro Forma (Audit)'!K58/(1+$A8)^J$11</f>
        <v>109543.71602795253</v>
      </c>
      <c r="K15" s="23">
        <f>'Pro Forma (Audit)'!L58/(1+$A8)^K$11</f>
        <v>106724.69208341077</v>
      </c>
      <c r="L15" s="23">
        <f>'Pro Forma (Audit)'!M58/(1+$A8)^L$11</f>
        <v>115170.50579866109</v>
      </c>
      <c r="M15" s="23">
        <f>'Pro Forma (Audit)'!N58/(1+$A8)^M$11</f>
        <v>-298317.39475720929</v>
      </c>
      <c r="N15" s="23">
        <f>'Pro Forma (Audit)'!O58/(1+$A8)^N$11</f>
        <v>424722.067555202</v>
      </c>
      <c r="O15" s="23">
        <f>'Pro Forma (Audit)'!P58/(1+$A8)^O$11</f>
        <v>426277.34855046804</v>
      </c>
      <c r="P15" s="23">
        <f>'Pro Forma (Audit)'!Q58/(1+$A8)^P$11</f>
        <v>427857.47447536775</v>
      </c>
      <c r="Q15" s="23">
        <f>'Pro Forma (Audit)'!R58/(1+$A8)^Q$11</f>
        <v>429462.04857758671</v>
      </c>
      <c r="R15" s="23">
        <f>'Pro Forma (Audit)'!S58/(1+$A8)^R$11</f>
        <v>400844.84813097963</v>
      </c>
      <c r="S15" s="23">
        <f>'Pro Forma (Audit)'!T58/(1+$A8)^S$11</f>
        <v>401799.41908972396</v>
      </c>
      <c r="T15" s="23">
        <f>'Pro Forma (Audit)'!U58/(1+$A8)^T$11</f>
        <v>402789.70797999389</v>
      </c>
      <c r="U15" s="23">
        <f>'Pro Forma (Audit)'!V58/(1+$A8)^U$11</f>
        <v>389575.8151990152</v>
      </c>
      <c r="V15" s="23">
        <f>'Pro Forma (Audit)'!W58/(1+$A8)^V$11</f>
        <v>391050.06276505289</v>
      </c>
      <c r="W15" s="23">
        <f>'Pro Forma (Audit)'!X58/(1+$A8)^W$11</f>
        <v>378557.61868481518</v>
      </c>
      <c r="X15" s="23">
        <f>'Pro Forma (Audit)'!Y58/(1+$A8)^X$11</f>
        <v>380481.91112236987</v>
      </c>
      <c r="Y15" s="23">
        <f>'Pro Forma (Audit)'!Z58/(1+$A8)^Y$11</f>
        <v>382415.1711363325</v>
      </c>
      <c r="Z15" s="23">
        <f>'Pro Forma (Audit)'!AA58/(1+$A8)^Z$11</f>
        <v>384357.44051735057</v>
      </c>
      <c r="AA15" s="23">
        <f>'Pro Forma (Audit)'!AB58/(1+$A8)^AA$11</f>
        <v>386308.76125082385</v>
      </c>
    </row>
  </sheetData>
  <mergeCells count="1">
    <mergeCell ref="A1:F1"/>
  </mergeCells>
  <conditionalFormatting sqref="F5:F8">
    <cfRule type="cellIs" dxfId="0" priority="1" operator="equal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F39"/>
  <sheetViews>
    <sheetView showGridLines="0" workbookViewId="0"/>
  </sheetViews>
  <sheetFormatPr defaultRowHeight="15" x14ac:dyDescent="0.25"/>
  <cols>
    <col min="1" max="1" width="10" customWidth="1"/>
    <col min="2" max="6" width="22" customWidth="1"/>
  </cols>
  <sheetData>
    <row r="1" spans="1:6" ht="26.1" customHeight="1" x14ac:dyDescent="0.25">
      <c r="B1" s="45" t="s">
        <v>375</v>
      </c>
      <c r="C1" s="44"/>
      <c r="D1" s="44"/>
      <c r="E1" s="44"/>
      <c r="F1" s="44"/>
    </row>
    <row r="2" spans="1:6" x14ac:dyDescent="0.25">
      <c r="B2" s="1" t="s">
        <v>376</v>
      </c>
    </row>
    <row r="4" spans="1:6" x14ac:dyDescent="0.25">
      <c r="B4" s="6" t="s">
        <v>377</v>
      </c>
      <c r="C4" s="7"/>
      <c r="D4" s="7"/>
      <c r="E4" s="7"/>
      <c r="F4" s="7"/>
    </row>
    <row r="5" spans="1:6" x14ac:dyDescent="0.25">
      <c r="B5" t="s">
        <v>53</v>
      </c>
      <c r="C5" s="8">
        <v>765796.79</v>
      </c>
    </row>
    <row r="6" spans="1:6" x14ac:dyDescent="0.25">
      <c r="B6" s="9" t="s">
        <v>54</v>
      </c>
      <c r="C6" s="10">
        <v>711971.32707346405</v>
      </c>
      <c r="D6" s="9"/>
    </row>
    <row r="7" spans="1:6" x14ac:dyDescent="0.25">
      <c r="B7" t="s">
        <v>378</v>
      </c>
      <c r="C7" s="8">
        <v>53825.462926535984</v>
      </c>
    </row>
    <row r="8" spans="1:6" x14ac:dyDescent="0.25">
      <c r="B8" s="9" t="s">
        <v>56</v>
      </c>
      <c r="C8" s="12">
        <v>7.0286874572216454E-2</v>
      </c>
      <c r="D8" s="9"/>
    </row>
    <row r="9" spans="1:6" x14ac:dyDescent="0.25">
      <c r="B9" t="s">
        <v>379</v>
      </c>
      <c r="C9" s="8">
        <v>630864.32720365562</v>
      </c>
      <c r="D9" s="1" t="s">
        <v>58</v>
      </c>
    </row>
    <row r="10" spans="1:6" x14ac:dyDescent="0.25">
      <c r="B10" s="9" t="s">
        <v>59</v>
      </c>
      <c r="C10" s="12">
        <v>6.8615181263672692E-2</v>
      </c>
      <c r="D10" s="9"/>
    </row>
    <row r="11" spans="1:6" x14ac:dyDescent="0.25">
      <c r="B11" t="s">
        <v>380</v>
      </c>
      <c r="C11" s="8">
        <v>2090925.512130907</v>
      </c>
      <c r="D11" s="1" t="s">
        <v>381</v>
      </c>
    </row>
    <row r="12" spans="1:6" x14ac:dyDescent="0.25">
      <c r="B12" s="9" t="s">
        <v>62</v>
      </c>
      <c r="C12" s="12">
        <v>6.5562073701739942E-2</v>
      </c>
      <c r="D12" s="9"/>
    </row>
    <row r="14" spans="1:6" x14ac:dyDescent="0.25">
      <c r="A14" s="36" t="s">
        <v>285</v>
      </c>
      <c r="B14" s="36" t="s">
        <v>382</v>
      </c>
      <c r="C14" s="36" t="s">
        <v>383</v>
      </c>
      <c r="D14" s="36" t="s">
        <v>384</v>
      </c>
      <c r="E14" s="36" t="s">
        <v>385</v>
      </c>
      <c r="F14" s="36" t="s">
        <v>386</v>
      </c>
    </row>
    <row r="15" spans="1:6" x14ac:dyDescent="0.25">
      <c r="A15">
        <v>1</v>
      </c>
      <c r="B15" s="23">
        <v>765796.79</v>
      </c>
      <c r="C15" s="23">
        <v>711971.32707346405</v>
      </c>
      <c r="D15" s="23">
        <v>53825.462926535984</v>
      </c>
      <c r="E15" s="42">
        <v>7.0286874572216454E-2</v>
      </c>
      <c r="F15" s="23">
        <v>53825.462926535984</v>
      </c>
    </row>
    <row r="16" spans="1:6" x14ac:dyDescent="0.25">
      <c r="A16">
        <v>2</v>
      </c>
      <c r="B16" s="23">
        <v>796428.66160000011</v>
      </c>
      <c r="C16" s="23">
        <v>740730.07263337832</v>
      </c>
      <c r="D16" s="23">
        <v>55698.588966621777</v>
      </c>
      <c r="E16" s="42">
        <v>6.9935440111767291E-2</v>
      </c>
      <c r="F16" s="23">
        <v>109524.0518931578</v>
      </c>
    </row>
    <row r="17" spans="1:6" x14ac:dyDescent="0.25">
      <c r="A17">
        <v>3</v>
      </c>
      <c r="B17" s="23">
        <v>828285.8080640001</v>
      </c>
      <c r="C17" s="23">
        <v>770648.90827388805</v>
      </c>
      <c r="D17" s="23">
        <v>57636.899790112053</v>
      </c>
      <c r="E17" s="42">
        <v>6.9585762823620112E-2</v>
      </c>
      <c r="F17" s="23">
        <v>167160.95168326981</v>
      </c>
    </row>
    <row r="18" spans="1:6" x14ac:dyDescent="0.25">
      <c r="A18">
        <v>4</v>
      </c>
      <c r="B18" s="23">
        <v>861417.24038656009</v>
      </c>
      <c r="C18" s="23">
        <v>801774.57655920216</v>
      </c>
      <c r="D18" s="23">
        <v>59642.66382735793</v>
      </c>
      <c r="E18" s="42">
        <v>6.923783392191378E-2</v>
      </c>
      <c r="F18" s="23">
        <v>226803.61551062769</v>
      </c>
    </row>
    <row r="19" spans="1:6" x14ac:dyDescent="0.25">
      <c r="A19">
        <v>5</v>
      </c>
      <c r="B19" s="23">
        <v>895873.93000202265</v>
      </c>
      <c r="C19" s="23">
        <v>834155.70155194064</v>
      </c>
      <c r="D19" s="23">
        <v>61718.22845008201</v>
      </c>
      <c r="E19" s="42">
        <v>6.8891644664716006E-2</v>
      </c>
      <c r="F19" s="23">
        <v>288521.84396070981</v>
      </c>
    </row>
    <row r="20" spans="1:6" x14ac:dyDescent="0.25">
      <c r="A20">
        <v>6</v>
      </c>
      <c r="B20" s="23">
        <v>931708.88720210339</v>
      </c>
      <c r="C20" s="23">
        <v>867842.86448356556</v>
      </c>
      <c r="D20" s="23">
        <v>63866.022718537832</v>
      </c>
      <c r="E20" s="42">
        <v>6.8547186353803899E-2</v>
      </c>
      <c r="F20" s="23">
        <v>352387.86667924759</v>
      </c>
    </row>
    <row r="21" spans="1:6" x14ac:dyDescent="0.25">
      <c r="A21">
        <v>7</v>
      </c>
      <c r="B21" s="23">
        <v>968977.24269018776</v>
      </c>
      <c r="C21" s="23">
        <v>902888.68246591568</v>
      </c>
      <c r="D21" s="23">
        <v>66088.560224272078</v>
      </c>
      <c r="E21" s="42">
        <v>6.8204450334446762E-2</v>
      </c>
      <c r="F21" s="23">
        <v>418476.42690351972</v>
      </c>
    </row>
    <row r="22" spans="1:6" x14ac:dyDescent="0.25">
      <c r="A22">
        <v>8</v>
      </c>
      <c r="B22" s="23">
        <v>1007736.332397795</v>
      </c>
      <c r="C22" s="23">
        <v>939347.89036598429</v>
      </c>
      <c r="D22" s="23">
        <v>68388.442031810875</v>
      </c>
      <c r="E22" s="42">
        <v>6.7863427995186271E-2</v>
      </c>
      <c r="F22" s="23">
        <v>486864.86893533048</v>
      </c>
    </row>
    <row r="23" spans="1:6" x14ac:dyDescent="0.25">
      <c r="A23">
        <v>9</v>
      </c>
      <c r="B23" s="23">
        <v>1048045.7856937069</v>
      </c>
      <c r="C23" s="23">
        <v>977277.42597098555</v>
      </c>
      <c r="D23" s="23">
        <v>70768.35972272139</v>
      </c>
      <c r="E23" s="42">
        <v>6.7524110767622089E-2</v>
      </c>
      <c r="F23" s="23">
        <v>557633.22865805193</v>
      </c>
    </row>
    <row r="24" spans="1:6" x14ac:dyDescent="0.25">
      <c r="A24">
        <v>10</v>
      </c>
      <c r="B24" s="23">
        <v>1089967.617121455</v>
      </c>
      <c r="C24" s="23">
        <v>1016736.518575852</v>
      </c>
      <c r="D24" s="23">
        <v>73231.098545603687</v>
      </c>
      <c r="E24" s="42">
        <v>6.718649012619568E-2</v>
      </c>
      <c r="F24" s="23">
        <v>630864.32720365562</v>
      </c>
    </row>
    <row r="25" spans="1:6" x14ac:dyDescent="0.25">
      <c r="A25">
        <v>11</v>
      </c>
      <c r="B25" s="23">
        <v>1133566.321806313</v>
      </c>
      <c r="C25" s="23">
        <v>1057786.78113061</v>
      </c>
      <c r="D25" s="23">
        <v>75779.540675703436</v>
      </c>
      <c r="E25" s="42">
        <v>6.6850557587976298E-2</v>
      </c>
      <c r="F25" s="23">
        <v>706643.86787935905</v>
      </c>
    </row>
    <row r="26" spans="1:6" x14ac:dyDescent="0.25">
      <c r="A26">
        <v>12</v>
      </c>
      <c r="B26" s="23">
        <v>1178908.974678566</v>
      </c>
      <c r="C26" s="23">
        <v>1100492.3060906071</v>
      </c>
      <c r="D26" s="23">
        <v>78416.668587959604</v>
      </c>
      <c r="E26" s="42">
        <v>6.6516304712448376E-2</v>
      </c>
      <c r="F26" s="23">
        <v>785060.53646731866</v>
      </c>
    </row>
    <row r="27" spans="1:6" x14ac:dyDescent="0.25">
      <c r="A27">
        <v>13</v>
      </c>
      <c r="B27" s="23">
        <v>1226065.333665709</v>
      </c>
      <c r="C27" s="23">
        <v>1144919.7651182769</v>
      </c>
      <c r="D27" s="23">
        <v>81145.568547431845</v>
      </c>
      <c r="E27" s="42">
        <v>6.6183723101298012E-2</v>
      </c>
      <c r="F27" s="23">
        <v>866206.1050147505</v>
      </c>
    </row>
    <row r="28" spans="1:6" x14ac:dyDescent="0.25">
      <c r="A28">
        <v>14</v>
      </c>
      <c r="B28" s="23">
        <v>1275107.9470123369</v>
      </c>
      <c r="C28" s="23">
        <v>1191138.51279114</v>
      </c>
      <c r="D28" s="23">
        <v>83969.434221197851</v>
      </c>
      <c r="E28" s="42">
        <v>6.5852804398203152E-2</v>
      </c>
      <c r="F28" s="23">
        <v>950175.53923594835</v>
      </c>
    </row>
    <row r="29" spans="1:6" x14ac:dyDescent="0.25">
      <c r="A29">
        <v>15</v>
      </c>
      <c r="B29" s="23">
        <v>1326112.264892831</v>
      </c>
      <c r="C29" s="23">
        <v>1239220.6944768869</v>
      </c>
      <c r="D29" s="23">
        <v>86891.570415943628</v>
      </c>
      <c r="E29" s="42">
        <v>6.5523540288623852E-2</v>
      </c>
      <c r="F29" s="23">
        <v>1037067.109651892</v>
      </c>
    </row>
    <row r="30" spans="1:6" x14ac:dyDescent="0.25">
      <c r="A30">
        <v>16</v>
      </c>
      <c r="B30" s="23">
        <v>1379156.755488544</v>
      </c>
      <c r="C30" s="23">
        <v>1289241.3585429229</v>
      </c>
      <c r="D30" s="23">
        <v>89915.396945620654</v>
      </c>
      <c r="E30" s="42">
        <v>6.5195922499592565E-2</v>
      </c>
      <c r="F30" s="23">
        <v>1126982.5065975131</v>
      </c>
    </row>
    <row r="31" spans="1:6" x14ac:dyDescent="0.25">
      <c r="A31">
        <v>17</v>
      </c>
      <c r="B31" s="23">
        <v>1434323.0257080861</v>
      </c>
      <c r="C31" s="23">
        <v>1341278.5730743869</v>
      </c>
      <c r="D31" s="23">
        <v>93044.452633698471</v>
      </c>
      <c r="E31" s="42">
        <v>6.4869942799506392E-2</v>
      </c>
      <c r="F31" s="23">
        <v>1220026.9592312111</v>
      </c>
    </row>
    <row r="32" spans="1:6" x14ac:dyDescent="0.25">
      <c r="A32">
        <v>18</v>
      </c>
      <c r="B32" s="23">
        <v>1491695.9467364091</v>
      </c>
      <c r="C32" s="23">
        <v>1395413.547281713</v>
      </c>
      <c r="D32" s="23">
        <v>96282.399454695871</v>
      </c>
      <c r="E32" s="42">
        <v>6.4545592997920426E-2</v>
      </c>
      <c r="F32" s="23">
        <v>1316309.358685907</v>
      </c>
    </row>
    <row r="33" spans="1:6" x14ac:dyDescent="0.25">
      <c r="A33">
        <v>19</v>
      </c>
      <c r="B33" s="23">
        <v>1551363.7846058661</v>
      </c>
      <c r="C33" s="23">
        <v>1451730.7577860281</v>
      </c>
      <c r="D33" s="23">
        <v>99633.026819838444</v>
      </c>
      <c r="E33" s="42">
        <v>6.4222864945342822E-2</v>
      </c>
      <c r="F33" s="23">
        <v>1415942.385505745</v>
      </c>
    </row>
    <row r="34" spans="1:6" x14ac:dyDescent="0.25">
      <c r="A34">
        <v>20</v>
      </c>
      <c r="B34" s="23">
        <v>1613418.3359901011</v>
      </c>
      <c r="C34" s="23">
        <v>1510318.079978249</v>
      </c>
      <c r="D34" s="23">
        <v>103100.25601185211</v>
      </c>
      <c r="E34" s="42">
        <v>6.3901750533027685E-2</v>
      </c>
      <c r="F34" s="23">
        <v>1519042.641517597</v>
      </c>
    </row>
    <row r="35" spans="1:6" x14ac:dyDescent="0.25">
      <c r="A35">
        <v>21</v>
      </c>
      <c r="B35" s="23">
        <v>1677955.0694297049</v>
      </c>
      <c r="C35" s="23">
        <v>1571266.9246556091</v>
      </c>
      <c r="D35" s="23">
        <v>106688.1447740954</v>
      </c>
      <c r="E35" s="42">
        <v>6.3582241692774308E-2</v>
      </c>
      <c r="F35" s="23">
        <v>1625730.7862916931</v>
      </c>
    </row>
    <row r="36" spans="1:6" x14ac:dyDescent="0.25">
      <c r="A36">
        <v>22</v>
      </c>
      <c r="B36" s="23">
        <v>1745073.272206893</v>
      </c>
      <c r="C36" s="23">
        <v>1634672.3801475069</v>
      </c>
      <c r="D36" s="23">
        <v>110400.89205938599</v>
      </c>
      <c r="E36" s="42">
        <v>6.3264330396722204E-2</v>
      </c>
      <c r="F36" s="23">
        <v>1736131.6783510791</v>
      </c>
    </row>
    <row r="37" spans="1:6" x14ac:dyDescent="0.25">
      <c r="A37">
        <v>23</v>
      </c>
      <c r="B37" s="23">
        <v>1814876.203095169</v>
      </c>
      <c r="C37" s="23">
        <v>1700633.3601510781</v>
      </c>
      <c r="D37" s="23">
        <v>114242.842944091</v>
      </c>
      <c r="E37" s="42">
        <v>6.2948008657150417E-2</v>
      </c>
      <c r="F37" s="23">
        <v>1850374.5212951701</v>
      </c>
    </row>
    <row r="38" spans="1:6" x14ac:dyDescent="0.25">
      <c r="A38">
        <v>24</v>
      </c>
      <c r="B38" s="23">
        <v>1887471.251218976</v>
      </c>
      <c r="C38" s="23">
        <v>1769252.757505751</v>
      </c>
      <c r="D38" s="23">
        <v>118218.49371322501</v>
      </c>
      <c r="E38" s="42">
        <v>6.2633268526276403E-2</v>
      </c>
      <c r="F38" s="23">
        <v>1968593.0150083951</v>
      </c>
    </row>
    <row r="39" spans="1:6" x14ac:dyDescent="0.25">
      <c r="A39">
        <v>25</v>
      </c>
      <c r="B39" s="23">
        <v>1962970.101267735</v>
      </c>
      <c r="C39" s="23">
        <v>1840637.604145223</v>
      </c>
      <c r="D39" s="23">
        <v>122332.4971225122</v>
      </c>
      <c r="E39" s="42">
        <v>6.2320102096056797E-2</v>
      </c>
      <c r="F39" s="23">
        <v>2090925.512130907</v>
      </c>
    </row>
  </sheetData>
  <mergeCells count="1">
    <mergeCell ref="B1:F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I43"/>
  <sheetViews>
    <sheetView showGridLines="0" workbookViewId="0"/>
  </sheetViews>
  <sheetFormatPr defaultRowHeight="15" x14ac:dyDescent="0.25"/>
  <cols>
    <col min="1" max="1" width="10" customWidth="1"/>
    <col min="2" max="9" width="20" customWidth="1"/>
  </cols>
  <sheetData>
    <row r="1" spans="2:8" ht="26.1" customHeight="1" x14ac:dyDescent="0.25">
      <c r="B1" s="45" t="s">
        <v>387</v>
      </c>
      <c r="C1" s="44"/>
      <c r="D1" s="44"/>
      <c r="E1" s="44"/>
      <c r="F1" s="44"/>
      <c r="G1" s="44"/>
      <c r="H1" s="44"/>
    </row>
    <row r="2" spans="2:8" x14ac:dyDescent="0.25">
      <c r="B2" s="1" t="s">
        <v>388</v>
      </c>
    </row>
    <row r="4" spans="2:8" x14ac:dyDescent="0.25">
      <c r="B4" s="6" t="s">
        <v>389</v>
      </c>
      <c r="C4" s="7"/>
      <c r="D4" s="7"/>
      <c r="E4" s="7"/>
      <c r="F4" s="7"/>
      <c r="G4" s="7"/>
      <c r="H4" s="7"/>
    </row>
    <row r="5" spans="2:8" x14ac:dyDescent="0.25">
      <c r="B5" t="s">
        <v>36</v>
      </c>
      <c r="C5" s="8">
        <v>3773743.2480000001</v>
      </c>
    </row>
    <row r="6" spans="2:8" x14ac:dyDescent="0.25">
      <c r="B6" s="9" t="s">
        <v>51</v>
      </c>
      <c r="C6" s="10">
        <v>2641620.2736</v>
      </c>
      <c r="D6" s="9"/>
    </row>
    <row r="7" spans="2:8" x14ac:dyDescent="0.25">
      <c r="B7" t="s">
        <v>50</v>
      </c>
      <c r="C7" s="8">
        <v>1132122.9743999999</v>
      </c>
    </row>
    <row r="9" spans="2:8" x14ac:dyDescent="0.25">
      <c r="B9" s="6" t="s">
        <v>390</v>
      </c>
      <c r="C9" s="7"/>
      <c r="D9" s="7"/>
      <c r="E9" s="7"/>
      <c r="F9" s="7"/>
      <c r="G9" s="7"/>
      <c r="H9" s="7"/>
    </row>
    <row r="10" spans="2:8" x14ac:dyDescent="0.25">
      <c r="B10" s="9" t="s">
        <v>42</v>
      </c>
      <c r="C10" s="12">
        <v>0.15302629317548641</v>
      </c>
      <c r="D10" s="9"/>
    </row>
    <row r="11" spans="2:8" x14ac:dyDescent="0.25">
      <c r="B11" t="s">
        <v>43</v>
      </c>
      <c r="C11" s="11">
        <v>0.12589190120088201</v>
      </c>
    </row>
    <row r="12" spans="2:8" x14ac:dyDescent="0.25">
      <c r="B12" s="9" t="s">
        <v>44</v>
      </c>
      <c r="C12" s="10">
        <v>1030425.126319918</v>
      </c>
      <c r="D12" s="14" t="s">
        <v>45</v>
      </c>
    </row>
    <row r="13" spans="2:8" x14ac:dyDescent="0.25">
      <c r="B13" t="s">
        <v>46</v>
      </c>
      <c r="C13" s="15">
        <v>1.0933500578098421</v>
      </c>
    </row>
    <row r="14" spans="2:8" x14ac:dyDescent="0.25">
      <c r="B14" s="9" t="s">
        <v>48</v>
      </c>
      <c r="C14" s="16">
        <v>1.254970936795599</v>
      </c>
      <c r="D14" s="9"/>
    </row>
    <row r="15" spans="2:8" x14ac:dyDescent="0.25">
      <c r="B15" t="s">
        <v>49</v>
      </c>
      <c r="C15" s="17">
        <v>11.856313837389351</v>
      </c>
    </row>
    <row r="16" spans="2:8" x14ac:dyDescent="0.25">
      <c r="B16" s="9" t="s">
        <v>351</v>
      </c>
      <c r="C16" s="12">
        <v>9.1174180004474721</v>
      </c>
      <c r="D16" s="9"/>
    </row>
    <row r="18" spans="1:9" x14ac:dyDescent="0.25">
      <c r="A18" s="36" t="s">
        <v>285</v>
      </c>
      <c r="B18" s="36" t="s">
        <v>391</v>
      </c>
      <c r="C18" s="36" t="s">
        <v>392</v>
      </c>
      <c r="D18" s="36" t="s">
        <v>393</v>
      </c>
      <c r="E18" s="36" t="s">
        <v>394</v>
      </c>
      <c r="F18" s="36" t="s">
        <v>395</v>
      </c>
      <c r="G18" s="36" t="s">
        <v>396</v>
      </c>
      <c r="H18" s="36" t="s">
        <v>397</v>
      </c>
      <c r="I18" s="36" t="s">
        <v>398</v>
      </c>
    </row>
    <row r="19" spans="1:9" x14ac:dyDescent="0.25">
      <c r="A19">
        <v>1</v>
      </c>
      <c r="B19" s="23">
        <v>484429.28707346402</v>
      </c>
      <c r="C19" s="23">
        <v>44242.963600000003</v>
      </c>
      <c r="D19" s="23">
        <v>0</v>
      </c>
      <c r="E19" s="23">
        <v>440186.323473464</v>
      </c>
      <c r="F19" s="23">
        <v>402603.28366857069</v>
      </c>
      <c r="G19" s="32">
        <v>1.0933500578098421</v>
      </c>
      <c r="H19" s="23">
        <v>37583.039804893247</v>
      </c>
      <c r="I19" s="23">
        <v>-1094539.9345951071</v>
      </c>
    </row>
    <row r="20" spans="1:9" x14ac:dyDescent="0.25">
      <c r="A20">
        <v>2</v>
      </c>
      <c r="B20" s="23">
        <v>501287.42626362061</v>
      </c>
      <c r="C20" s="23">
        <v>45570.252508000012</v>
      </c>
      <c r="D20" s="23">
        <v>0</v>
      </c>
      <c r="E20" s="23">
        <v>455717.17375562049</v>
      </c>
      <c r="F20" s="23">
        <v>402603.28366857069</v>
      </c>
      <c r="G20" s="32">
        <v>1.131926122417755</v>
      </c>
      <c r="H20" s="23">
        <v>53113.890087049796</v>
      </c>
      <c r="I20" s="23">
        <v>-1041426.0445080569</v>
      </c>
    </row>
    <row r="21" spans="1:9" x14ac:dyDescent="0.25">
      <c r="A21">
        <v>3</v>
      </c>
      <c r="B21" s="23">
        <v>518732.2286975946</v>
      </c>
      <c r="C21" s="23">
        <v>46937.360083239997</v>
      </c>
      <c r="D21" s="23">
        <v>0</v>
      </c>
      <c r="E21" s="23">
        <v>471794.86861435458</v>
      </c>
      <c r="F21" s="23">
        <v>402603.28366857069</v>
      </c>
      <c r="G21" s="32">
        <v>1.1718604585519059</v>
      </c>
      <c r="H21" s="23">
        <v>69191.584945783834</v>
      </c>
      <c r="I21" s="23">
        <v>-972234.45956227323</v>
      </c>
    </row>
    <row r="22" spans="1:9" x14ac:dyDescent="0.25">
      <c r="A22">
        <v>4</v>
      </c>
      <c r="B22" s="23">
        <v>536784.11025627085</v>
      </c>
      <c r="C22" s="23">
        <v>48345.480885737197</v>
      </c>
      <c r="D22" s="23">
        <v>0</v>
      </c>
      <c r="E22" s="23">
        <v>488438.62937053363</v>
      </c>
      <c r="F22" s="23">
        <v>402603.28366857069</v>
      </c>
      <c r="G22" s="32">
        <v>1.2132008087957471</v>
      </c>
      <c r="H22" s="23">
        <v>85835.345701962884</v>
      </c>
      <c r="I22" s="23">
        <v>-886399.11386031029</v>
      </c>
    </row>
    <row r="23" spans="1:9" x14ac:dyDescent="0.25">
      <c r="A23">
        <v>5</v>
      </c>
      <c r="B23" s="23">
        <v>555464.19729318912</v>
      </c>
      <c r="C23" s="23">
        <v>49795.845312309328</v>
      </c>
      <c r="D23" s="23">
        <v>0</v>
      </c>
      <c r="E23" s="23">
        <v>505668.35198087979</v>
      </c>
      <c r="F23" s="23">
        <v>402603.28366857069</v>
      </c>
      <c r="G23" s="32">
        <v>1.2559965914166611</v>
      </c>
      <c r="H23" s="23">
        <v>103065.068312309</v>
      </c>
      <c r="I23" s="23">
        <v>-783334.0455480013</v>
      </c>
    </row>
    <row r="24" spans="1:9" x14ac:dyDescent="0.25">
      <c r="A24">
        <v>6</v>
      </c>
      <c r="B24" s="23">
        <v>574794.35135899216</v>
      </c>
      <c r="C24" s="23">
        <v>51289.720671678602</v>
      </c>
      <c r="D24" s="23">
        <v>0</v>
      </c>
      <c r="E24" s="23">
        <v>523504.63068731362</v>
      </c>
      <c r="F24" s="23">
        <v>402603.28366857069</v>
      </c>
      <c r="G24" s="32">
        <v>1.3002989591070271</v>
      </c>
      <c r="H24" s="23">
        <v>120901.3470187428</v>
      </c>
      <c r="I24" s="23">
        <v>-662432.69852925849</v>
      </c>
    </row>
    <row r="25" spans="1:9" x14ac:dyDescent="0.25">
      <c r="A25">
        <v>7</v>
      </c>
      <c r="B25" s="23">
        <v>594797.19478628517</v>
      </c>
      <c r="C25" s="23">
        <v>52828.412291828958</v>
      </c>
      <c r="D25" s="23">
        <v>15332.158268296231</v>
      </c>
      <c r="E25" s="23">
        <v>526636.62422615988</v>
      </c>
      <c r="F25" s="23">
        <v>402603.28366857069</v>
      </c>
      <c r="G25" s="32">
        <v>1.3080783132899021</v>
      </c>
      <c r="H25" s="23">
        <v>124033.3405575892</v>
      </c>
      <c r="I25" s="23">
        <v>-538399.35797166929</v>
      </c>
    </row>
    <row r="26" spans="1:9" x14ac:dyDescent="0.25">
      <c r="A26">
        <v>8</v>
      </c>
      <c r="B26" s="23">
        <v>615496.13716484781</v>
      </c>
      <c r="C26" s="23">
        <v>54413.264660583831</v>
      </c>
      <c r="D26" s="23">
        <v>19712.886767462169</v>
      </c>
      <c r="E26" s="23">
        <v>541369.98573680187</v>
      </c>
      <c r="F26" s="23">
        <v>402603.28366857069</v>
      </c>
      <c r="G26" s="32">
        <v>1.3446735476267651</v>
      </c>
      <c r="H26" s="23">
        <v>138766.7020682311</v>
      </c>
      <c r="I26" s="23">
        <v>-399632.65590343822</v>
      </c>
    </row>
    <row r="27" spans="1:9" x14ac:dyDescent="0.25">
      <c r="A27">
        <v>9</v>
      </c>
      <c r="B27" s="23">
        <v>636915.40273818455</v>
      </c>
      <c r="C27" s="23">
        <v>56045.662600401352</v>
      </c>
      <c r="D27" s="23">
        <v>39014.940186344968</v>
      </c>
      <c r="E27" s="23">
        <v>541854.79995143821</v>
      </c>
      <c r="F27" s="23">
        <v>402603.28366857069</v>
      </c>
      <c r="G27" s="32">
        <v>1.345877745988534</v>
      </c>
      <c r="H27" s="23">
        <v>139251.51628286749</v>
      </c>
      <c r="I27" s="23">
        <v>-260381.1396205707</v>
      </c>
    </row>
    <row r="28" spans="1:9" x14ac:dyDescent="0.25">
      <c r="A28">
        <v>10</v>
      </c>
      <c r="B28" s="23">
        <v>659080.05875347333</v>
      </c>
      <c r="C28" s="23">
        <v>57727.032478413392</v>
      </c>
      <c r="D28" s="23">
        <v>43970.213446323658</v>
      </c>
      <c r="E28" s="23">
        <v>557382.81282873626</v>
      </c>
      <c r="F28" s="23">
        <v>402603.28366856812</v>
      </c>
      <c r="G28" s="32">
        <v>1.384446762951854</v>
      </c>
      <c r="H28" s="23">
        <v>154779.5291601682</v>
      </c>
      <c r="I28" s="23">
        <v>-105601.6104604025</v>
      </c>
    </row>
    <row r="29" spans="1:9" x14ac:dyDescent="0.25">
      <c r="A29">
        <v>11</v>
      </c>
      <c r="B29" s="23">
        <v>682016.04479809431</v>
      </c>
      <c r="C29" s="23">
        <v>1058196.6434527659</v>
      </c>
      <c r="D29" s="23">
        <v>36760.443394532849</v>
      </c>
      <c r="E29" s="23">
        <v>-412941.04204920441</v>
      </c>
      <c r="F29" s="23">
        <v>0</v>
      </c>
      <c r="G29" s="32"/>
      <c r="H29" s="23">
        <v>-412941.04204920441</v>
      </c>
      <c r="I29" s="23">
        <v>-518542.65250960691</v>
      </c>
    </row>
    <row r="30" spans="1:9" x14ac:dyDescent="0.25">
      <c r="A30">
        <v>12</v>
      </c>
      <c r="B30" s="23">
        <v>705750.203157068</v>
      </c>
      <c r="C30" s="23">
        <v>61242.608756348767</v>
      </c>
      <c r="D30" s="23">
        <v>38955.482700071931</v>
      </c>
      <c r="E30" s="23">
        <v>605552.11170064739</v>
      </c>
      <c r="F30" s="23">
        <v>0</v>
      </c>
      <c r="G30" s="32"/>
      <c r="H30" s="23">
        <v>605552.11170064739</v>
      </c>
      <c r="I30" s="23">
        <v>87009.459191040485</v>
      </c>
    </row>
    <row r="31" spans="1:9" x14ac:dyDescent="0.25">
      <c r="A31">
        <v>13</v>
      </c>
      <c r="B31" s="23">
        <v>730310.31022693391</v>
      </c>
      <c r="C31" s="23">
        <v>63079.887019039234</v>
      </c>
      <c r="D31" s="23">
        <v>41227.76558078947</v>
      </c>
      <c r="E31" s="23">
        <v>626002.65762710525</v>
      </c>
      <c r="F31" s="23">
        <v>0</v>
      </c>
      <c r="G31" s="32"/>
      <c r="H31" s="23">
        <v>626002.65762710525</v>
      </c>
      <c r="I31" s="23">
        <v>713012.11681814573</v>
      </c>
    </row>
    <row r="32" spans="1:9" x14ac:dyDescent="0.25">
      <c r="A32">
        <v>14</v>
      </c>
      <c r="B32" s="23">
        <v>755725.10902283143</v>
      </c>
      <c r="C32" s="23">
        <v>64972.283629610407</v>
      </c>
      <c r="D32" s="23">
        <v>43580.005799322098</v>
      </c>
      <c r="E32" s="23">
        <v>647172.81959389895</v>
      </c>
      <c r="F32" s="23">
        <v>0</v>
      </c>
      <c r="G32" s="32"/>
      <c r="H32" s="23">
        <v>647172.81959389895</v>
      </c>
      <c r="I32" s="23">
        <v>1360184.936412045</v>
      </c>
    </row>
    <row r="33" spans="1:9" x14ac:dyDescent="0.25">
      <c r="A33">
        <v>15</v>
      </c>
      <c r="B33" s="23">
        <v>782024.34281682584</v>
      </c>
      <c r="C33" s="23">
        <v>66921.452138498731</v>
      </c>
      <c r="D33" s="23">
        <v>46015.012327832708</v>
      </c>
      <c r="E33" s="23">
        <v>669087.87835049431</v>
      </c>
      <c r="F33" s="23">
        <v>0</v>
      </c>
      <c r="G33" s="32"/>
      <c r="H33" s="23">
        <v>669087.87835049431</v>
      </c>
      <c r="I33" s="23">
        <v>2029272.814762539</v>
      </c>
    </row>
    <row r="34" spans="1:9" x14ac:dyDescent="0.25">
      <c r="A34">
        <v>16</v>
      </c>
      <c r="B34" s="23">
        <v>809238.78994685132</v>
      </c>
      <c r="C34" s="23">
        <v>68929.095702653693</v>
      </c>
      <c r="D34" s="23">
        <v>97071.385368839517</v>
      </c>
      <c r="E34" s="23">
        <v>643238.30887535808</v>
      </c>
      <c r="F34" s="23">
        <v>0</v>
      </c>
      <c r="G34" s="32"/>
      <c r="H34" s="23">
        <v>643238.30887535808</v>
      </c>
      <c r="I34" s="23">
        <v>2672511.123637897</v>
      </c>
    </row>
    <row r="35" spans="1:9" x14ac:dyDescent="0.25">
      <c r="A35">
        <v>17</v>
      </c>
      <c r="B35" s="23">
        <v>837400.29983700183</v>
      </c>
      <c r="C35" s="23">
        <v>70996.968573733306</v>
      </c>
      <c r="D35" s="23">
        <v>102290.11277265369</v>
      </c>
      <c r="E35" s="23">
        <v>664113.21849061479</v>
      </c>
      <c r="F35" s="23">
        <v>0</v>
      </c>
      <c r="G35" s="32"/>
      <c r="H35" s="23">
        <v>664113.21849061479</v>
      </c>
      <c r="I35" s="23">
        <v>3336624.342128512</v>
      </c>
    </row>
    <row r="36" spans="1:9" x14ac:dyDescent="0.25">
      <c r="A36">
        <v>18</v>
      </c>
      <c r="B36" s="23">
        <v>866541.83027132961</v>
      </c>
      <c r="C36" s="23">
        <v>73126.87763094531</v>
      </c>
      <c r="D36" s="23">
        <v>107692.4370480769</v>
      </c>
      <c r="E36" s="23">
        <v>685722.51559230743</v>
      </c>
      <c r="F36" s="23">
        <v>0</v>
      </c>
      <c r="G36" s="32"/>
      <c r="H36" s="23">
        <v>685722.51559230743</v>
      </c>
      <c r="I36" s="23">
        <v>4022346.8577208198</v>
      </c>
    </row>
    <row r="37" spans="1:9" x14ac:dyDescent="0.25">
      <c r="A37">
        <v>19</v>
      </c>
      <c r="B37" s="23">
        <v>896697.48596477183</v>
      </c>
      <c r="C37" s="23">
        <v>75320.68395987367</v>
      </c>
      <c r="D37" s="23">
        <v>138253.25192097959</v>
      </c>
      <c r="E37" s="23">
        <v>683123.5500839185</v>
      </c>
      <c r="F37" s="23">
        <v>0</v>
      </c>
      <c r="G37" s="32"/>
      <c r="H37" s="23">
        <v>683123.5500839185</v>
      </c>
      <c r="I37" s="23">
        <v>4705470.4078047387</v>
      </c>
    </row>
    <row r="38" spans="1:9" x14ac:dyDescent="0.25">
      <c r="A38">
        <v>20</v>
      </c>
      <c r="B38" s="23">
        <v>927902.55847634596</v>
      </c>
      <c r="C38" s="23">
        <v>77580.304478669874</v>
      </c>
      <c r="D38" s="23">
        <v>144042.34231953521</v>
      </c>
      <c r="E38" s="23">
        <v>706279.91167814087</v>
      </c>
      <c r="F38" s="23">
        <v>0</v>
      </c>
      <c r="G38" s="32"/>
      <c r="H38" s="23">
        <v>706279.91167814087</v>
      </c>
      <c r="I38" s="23">
        <v>5411750.3194828797</v>
      </c>
    </row>
    <row r="39" spans="1:9" x14ac:dyDescent="0.25">
      <c r="A39">
        <v>21</v>
      </c>
      <c r="B39" s="23">
        <v>960193.56751132291</v>
      </c>
      <c r="C39" s="23">
        <v>79907.713613029977</v>
      </c>
      <c r="D39" s="23">
        <v>176057.1707796586</v>
      </c>
      <c r="E39" s="23">
        <v>704228.68311863428</v>
      </c>
      <c r="F39" s="23">
        <v>0</v>
      </c>
      <c r="G39" s="32"/>
      <c r="H39" s="23">
        <v>704228.68311863428</v>
      </c>
      <c r="I39" s="23">
        <v>6115979.0026015136</v>
      </c>
    </row>
    <row r="40" spans="1:9" x14ac:dyDescent="0.25">
      <c r="A40">
        <v>22</v>
      </c>
      <c r="B40" s="23">
        <v>993608.30366071686</v>
      </c>
      <c r="C40" s="23">
        <v>82304.945021420877</v>
      </c>
      <c r="D40" s="23">
        <v>182260.67172785921</v>
      </c>
      <c r="E40" s="23">
        <v>729042.68691143685</v>
      </c>
      <c r="F40" s="23">
        <v>0</v>
      </c>
      <c r="G40" s="32"/>
      <c r="H40" s="23">
        <v>729042.68691143685</v>
      </c>
      <c r="I40" s="23">
        <v>6845021.6895129504</v>
      </c>
    </row>
    <row r="41" spans="1:9" x14ac:dyDescent="0.25">
      <c r="A41">
        <v>23</v>
      </c>
      <c r="B41" s="23">
        <v>1028185.87262811</v>
      </c>
      <c r="C41" s="23">
        <v>84774.093372063508</v>
      </c>
      <c r="D41" s="23">
        <v>188682.35585120929</v>
      </c>
      <c r="E41" s="23">
        <v>754729.42340483703</v>
      </c>
      <c r="F41" s="23">
        <v>0</v>
      </c>
      <c r="G41" s="32"/>
      <c r="H41" s="23">
        <v>754729.42340483703</v>
      </c>
      <c r="I41" s="23">
        <v>7599751.1129177874</v>
      </c>
    </row>
    <row r="42" spans="1:9" x14ac:dyDescent="0.25">
      <c r="A42">
        <v>24</v>
      </c>
      <c r="B42" s="23">
        <v>1063966.740995568</v>
      </c>
      <c r="C42" s="23">
        <v>87317.316173225423</v>
      </c>
      <c r="D42" s="23">
        <v>195329.8849644686</v>
      </c>
      <c r="E42" s="23">
        <v>781319.53985787428</v>
      </c>
      <c r="F42" s="23">
        <v>0</v>
      </c>
      <c r="G42" s="32"/>
      <c r="H42" s="23">
        <v>781319.53985787428</v>
      </c>
      <c r="I42" s="23">
        <v>8381070.652775662</v>
      </c>
    </row>
    <row r="43" spans="1:9" x14ac:dyDescent="0.25">
      <c r="A43">
        <v>25</v>
      </c>
      <c r="B43" s="23">
        <v>1100992.783582214</v>
      </c>
      <c r="C43" s="23">
        <v>89936.835658422191</v>
      </c>
      <c r="D43" s="23">
        <v>202211.18958475839</v>
      </c>
      <c r="E43" s="23">
        <v>808844.75833903346</v>
      </c>
      <c r="F43" s="23">
        <v>0</v>
      </c>
      <c r="G43" s="32"/>
      <c r="H43" s="23">
        <v>808844.75833903346</v>
      </c>
      <c r="I43" s="23">
        <v>9189915.4111146964</v>
      </c>
    </row>
  </sheetData>
  <mergeCells count="1">
    <mergeCell ref="B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>
      <selection activeCell="H26" sqref="H26"/>
    </sheetView>
  </sheetViews>
  <sheetFormatPr defaultRowHeight="15" x14ac:dyDescent="0.25"/>
  <cols>
    <col min="1" max="1" width="33" customWidth="1"/>
    <col min="2" max="2" width="20" customWidth="1"/>
  </cols>
  <sheetData>
    <row r="1" spans="1:2" x14ac:dyDescent="0.25">
      <c r="A1" s="36" t="s">
        <v>399</v>
      </c>
      <c r="B1" s="36" t="s">
        <v>400</v>
      </c>
    </row>
    <row r="2" spans="1:2" x14ac:dyDescent="0.25">
      <c r="A2" s="6" t="s">
        <v>401</v>
      </c>
      <c r="B2" s="7"/>
    </row>
    <row r="3" spans="1:2" x14ac:dyDescent="0.25">
      <c r="A3" t="s">
        <v>33</v>
      </c>
      <c r="B3" s="23">
        <v>5421.2726000000002</v>
      </c>
    </row>
    <row r="4" spans="1:2" x14ac:dyDescent="0.25">
      <c r="A4" t="s">
        <v>34</v>
      </c>
      <c r="B4" s="23">
        <v>1684.56</v>
      </c>
    </row>
    <row r="5" spans="1:2" x14ac:dyDescent="0.25">
      <c r="A5" t="s">
        <v>35</v>
      </c>
      <c r="B5" s="23">
        <v>8639.73</v>
      </c>
    </row>
    <row r="7" spans="1:2" x14ac:dyDescent="0.25">
      <c r="A7" s="6" t="s">
        <v>402</v>
      </c>
      <c r="B7" s="7"/>
    </row>
    <row r="8" spans="1:2" x14ac:dyDescent="0.25">
      <c r="A8" t="s">
        <v>403</v>
      </c>
      <c r="B8" s="23">
        <v>3764122.7919999999</v>
      </c>
    </row>
    <row r="9" spans="1:2" x14ac:dyDescent="0.25">
      <c r="A9" t="s">
        <v>404</v>
      </c>
      <c r="B9" s="23">
        <v>2100131.2769999998</v>
      </c>
    </row>
    <row r="10" spans="1:2" x14ac:dyDescent="0.25">
      <c r="A10" t="s">
        <v>405</v>
      </c>
      <c r="B10" s="23">
        <v>0</v>
      </c>
    </row>
    <row r="11" spans="1:2" x14ac:dyDescent="0.25">
      <c r="A11" t="s">
        <v>406</v>
      </c>
      <c r="B11" s="23">
        <v>1889551.0419999999</v>
      </c>
    </row>
    <row r="12" spans="1:2" x14ac:dyDescent="0.25">
      <c r="A12" t="s">
        <v>407</v>
      </c>
      <c r="B12" s="23">
        <v>3686417.98</v>
      </c>
    </row>
    <row r="13" spans="1:2" x14ac:dyDescent="0.25">
      <c r="A13" t="s">
        <v>408</v>
      </c>
      <c r="B13" s="23">
        <v>1409356.1240000001</v>
      </c>
    </row>
    <row r="14" spans="1:2" x14ac:dyDescent="0.25">
      <c r="A14" t="s">
        <v>409</v>
      </c>
      <c r="B14" s="23">
        <v>0</v>
      </c>
    </row>
    <row r="16" spans="1:2" x14ac:dyDescent="0.25">
      <c r="A16" s="6" t="s">
        <v>410</v>
      </c>
      <c r="B16" s="7"/>
    </row>
    <row r="17" spans="1:2" x14ac:dyDescent="0.25">
      <c r="A17" t="s">
        <v>411</v>
      </c>
      <c r="B17" s="23">
        <v>765796.79</v>
      </c>
    </row>
    <row r="18" spans="1:2" x14ac:dyDescent="0.25">
      <c r="A18" t="s">
        <v>412</v>
      </c>
      <c r="B18" s="23">
        <v>227542.04</v>
      </c>
    </row>
    <row r="19" spans="1:2" x14ac:dyDescent="0.25">
      <c r="A19" t="s">
        <v>413</v>
      </c>
      <c r="B19" s="23">
        <v>538254.75</v>
      </c>
    </row>
    <row r="20" spans="1:2" x14ac:dyDescent="0.25">
      <c r="A20" t="s">
        <v>414</v>
      </c>
      <c r="B20" s="23">
        <v>0</v>
      </c>
    </row>
    <row r="21" spans="1:2" x14ac:dyDescent="0.25">
      <c r="A21" t="s">
        <v>415</v>
      </c>
      <c r="B21" s="23">
        <v>0</v>
      </c>
    </row>
    <row r="22" spans="1:2" x14ac:dyDescent="0.25">
      <c r="A22" t="s">
        <v>416</v>
      </c>
      <c r="B22" s="23">
        <v>0</v>
      </c>
    </row>
    <row r="24" spans="1:2" x14ac:dyDescent="0.25">
      <c r="A24" s="6" t="s">
        <v>417</v>
      </c>
      <c r="B24" s="7"/>
    </row>
    <row r="25" spans="1:2" x14ac:dyDescent="0.25">
      <c r="A25" t="s">
        <v>418</v>
      </c>
      <c r="B25" s="23">
        <v>1929.6822199999999</v>
      </c>
    </row>
    <row r="26" spans="1:2" x14ac:dyDescent="0.25">
      <c r="A26" t="s">
        <v>419</v>
      </c>
      <c r="B26" s="42">
        <v>0.72967588673745465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7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3" customWidth="1"/>
    <col min="3" max="3" width="23" customWidth="1"/>
    <col min="4" max="4" width="26" customWidth="1"/>
    <col min="5" max="5" width="17" customWidth="1"/>
    <col min="6" max="6" width="20" customWidth="1"/>
    <col min="7" max="7" width="17" customWidth="1"/>
    <col min="8" max="9" width="19" customWidth="1"/>
    <col min="10" max="11" width="22" customWidth="1"/>
  </cols>
  <sheetData>
    <row r="1" spans="1:11" x14ac:dyDescent="0.25">
      <c r="A1" s="36" t="s">
        <v>420</v>
      </c>
      <c r="B1" s="36" t="s">
        <v>421</v>
      </c>
      <c r="C1" s="36" t="s">
        <v>422</v>
      </c>
      <c r="D1" s="36" t="s">
        <v>423</v>
      </c>
      <c r="E1" s="36" t="s">
        <v>424</v>
      </c>
      <c r="F1" s="36" t="s">
        <v>425</v>
      </c>
      <c r="G1" s="36" t="s">
        <v>426</v>
      </c>
      <c r="H1" s="36" t="s">
        <v>427</v>
      </c>
      <c r="I1" s="36" t="s">
        <v>428</v>
      </c>
      <c r="J1" s="36" t="s">
        <v>429</v>
      </c>
      <c r="K1" s="36" t="s">
        <v>430</v>
      </c>
    </row>
    <row r="2" spans="1:11" x14ac:dyDescent="0.25">
      <c r="A2">
        <v>1</v>
      </c>
      <c r="B2" s="23">
        <v>1020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1020</v>
      </c>
      <c r="J2" s="23">
        <v>0</v>
      </c>
      <c r="K2" s="23">
        <v>0</v>
      </c>
    </row>
    <row r="3" spans="1:11" x14ac:dyDescent="0.25">
      <c r="A3">
        <v>2</v>
      </c>
      <c r="B3" s="23">
        <v>1078.4000000000001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1078.4000000000001</v>
      </c>
      <c r="J3" s="23">
        <v>0</v>
      </c>
      <c r="K3" s="23">
        <v>0</v>
      </c>
    </row>
    <row r="4" spans="1:11" x14ac:dyDescent="0.25">
      <c r="A4">
        <v>3</v>
      </c>
      <c r="B4" s="23">
        <v>906.4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906.4</v>
      </c>
      <c r="J4" s="23">
        <v>0</v>
      </c>
      <c r="K4" s="23">
        <v>0</v>
      </c>
    </row>
    <row r="5" spans="1:11" x14ac:dyDescent="0.25">
      <c r="A5">
        <v>4</v>
      </c>
      <c r="B5" s="23">
        <v>860.8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860.8</v>
      </c>
      <c r="J5" s="23">
        <v>0</v>
      </c>
      <c r="K5" s="23">
        <v>0</v>
      </c>
    </row>
    <row r="6" spans="1:11" x14ac:dyDescent="0.25">
      <c r="A6">
        <v>5</v>
      </c>
      <c r="B6" s="23">
        <v>996.8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94.305000000000007</v>
      </c>
      <c r="J6" s="23">
        <v>0</v>
      </c>
      <c r="K6" s="23">
        <v>902.495</v>
      </c>
    </row>
    <row r="7" spans="1:11" x14ac:dyDescent="0.25">
      <c r="A7">
        <v>6</v>
      </c>
      <c r="B7" s="23">
        <v>983.2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983.2</v>
      </c>
    </row>
    <row r="8" spans="1:11" x14ac:dyDescent="0.25">
      <c r="A8">
        <v>7</v>
      </c>
      <c r="B8" s="23">
        <v>586.4</v>
      </c>
      <c r="C8" s="23">
        <v>11.75</v>
      </c>
      <c r="D8" s="23">
        <v>15.151</v>
      </c>
      <c r="E8" s="23">
        <v>15.151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571.24900000000002</v>
      </c>
    </row>
    <row r="9" spans="1:11" x14ac:dyDescent="0.25">
      <c r="A9">
        <v>8</v>
      </c>
      <c r="B9" s="23">
        <v>104.26900000000001</v>
      </c>
      <c r="C9" s="23">
        <v>120.27</v>
      </c>
      <c r="D9" s="23">
        <v>468.81299999999999</v>
      </c>
      <c r="E9" s="23">
        <v>104.26900000000001</v>
      </c>
      <c r="F9" s="23">
        <v>-364.54399999999998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</row>
    <row r="10" spans="1:11" x14ac:dyDescent="0.25">
      <c r="A10">
        <v>9</v>
      </c>
      <c r="B10" s="23">
        <v>89.171999999999997</v>
      </c>
      <c r="C10" s="23">
        <v>270.88</v>
      </c>
      <c r="D10" s="23">
        <v>1097.068</v>
      </c>
      <c r="E10" s="23">
        <v>89.171999999999997</v>
      </c>
      <c r="F10" s="23">
        <v>-1007.896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pans="1:11" x14ac:dyDescent="0.25">
      <c r="A11">
        <v>10</v>
      </c>
      <c r="B11" s="23">
        <v>105.232</v>
      </c>
      <c r="C11" s="23">
        <v>505.48</v>
      </c>
      <c r="D11" s="23">
        <v>2035.3510000000001</v>
      </c>
      <c r="E11" s="23">
        <v>105.233</v>
      </c>
      <c r="F11" s="23">
        <v>-1684.559</v>
      </c>
      <c r="G11" s="23">
        <v>0</v>
      </c>
      <c r="H11" s="23">
        <v>245.559</v>
      </c>
      <c r="I11" s="23">
        <v>0</v>
      </c>
      <c r="J11" s="23">
        <v>0</v>
      </c>
      <c r="K11" s="23">
        <v>0</v>
      </c>
    </row>
    <row r="12" spans="1:11" x14ac:dyDescent="0.25">
      <c r="A12">
        <v>11</v>
      </c>
      <c r="B12" s="23">
        <v>89.626000000000005</v>
      </c>
      <c r="C12" s="23">
        <v>573.07000000000005</v>
      </c>
      <c r="D12" s="23">
        <v>2271.2249999999999</v>
      </c>
      <c r="E12" s="23">
        <v>89.626999999999995</v>
      </c>
      <c r="F12" s="23">
        <v>-1684.559</v>
      </c>
      <c r="G12" s="23">
        <v>0</v>
      </c>
      <c r="H12" s="23">
        <v>497.03899999999999</v>
      </c>
      <c r="I12" s="23">
        <v>0</v>
      </c>
      <c r="J12" s="23">
        <v>0</v>
      </c>
      <c r="K12" s="23">
        <v>0</v>
      </c>
    </row>
    <row r="13" spans="1:11" x14ac:dyDescent="0.25">
      <c r="A13">
        <v>12</v>
      </c>
      <c r="B13" s="23">
        <v>119.64100000000001</v>
      </c>
      <c r="C13" s="23">
        <v>477.66</v>
      </c>
      <c r="D13" s="23">
        <v>1875.336</v>
      </c>
      <c r="E13" s="23">
        <v>119.64100000000001</v>
      </c>
      <c r="F13" s="23">
        <v>-1684.559</v>
      </c>
      <c r="G13" s="23">
        <v>0</v>
      </c>
      <c r="H13" s="23">
        <v>71.135999999999996</v>
      </c>
      <c r="I13" s="23">
        <v>0</v>
      </c>
      <c r="J13" s="23">
        <v>0</v>
      </c>
      <c r="K13" s="23">
        <v>0</v>
      </c>
    </row>
    <row r="14" spans="1:11" x14ac:dyDescent="0.25">
      <c r="A14">
        <v>13</v>
      </c>
      <c r="B14" s="23">
        <v>82.891999999999996</v>
      </c>
      <c r="C14" s="23">
        <v>358.27</v>
      </c>
      <c r="D14" s="23">
        <v>1399.6010000000001</v>
      </c>
      <c r="E14" s="23">
        <v>82.891999999999996</v>
      </c>
      <c r="F14" s="23">
        <v>-865.38</v>
      </c>
      <c r="G14" s="23">
        <v>0</v>
      </c>
      <c r="H14" s="23">
        <v>451.32900000000001</v>
      </c>
      <c r="I14" s="23">
        <v>0</v>
      </c>
      <c r="J14" s="23">
        <v>0</v>
      </c>
      <c r="K14" s="23">
        <v>0</v>
      </c>
    </row>
    <row r="15" spans="1:11" x14ac:dyDescent="0.25">
      <c r="A15">
        <v>14</v>
      </c>
      <c r="B15" s="23">
        <v>87.738</v>
      </c>
      <c r="C15" s="23">
        <v>333.19</v>
      </c>
      <c r="D15" s="23">
        <v>1301.921</v>
      </c>
      <c r="E15" s="23">
        <v>87.738</v>
      </c>
      <c r="F15" s="23">
        <v>0</v>
      </c>
      <c r="G15" s="23">
        <v>0</v>
      </c>
      <c r="H15" s="23">
        <v>1214.183</v>
      </c>
      <c r="I15" s="23">
        <v>0</v>
      </c>
      <c r="J15" s="23">
        <v>0</v>
      </c>
      <c r="K15" s="23">
        <v>0</v>
      </c>
    </row>
    <row r="16" spans="1:11" x14ac:dyDescent="0.25">
      <c r="A16">
        <v>15</v>
      </c>
      <c r="B16" s="23">
        <v>106.18600000000001</v>
      </c>
      <c r="C16" s="23">
        <v>229.93</v>
      </c>
      <c r="D16" s="23">
        <v>895.80500000000006</v>
      </c>
      <c r="E16" s="23">
        <v>106.18600000000001</v>
      </c>
      <c r="F16" s="23">
        <v>0</v>
      </c>
      <c r="G16" s="23">
        <v>0</v>
      </c>
      <c r="H16" s="23">
        <v>789.61900000000003</v>
      </c>
      <c r="I16" s="23">
        <v>0</v>
      </c>
      <c r="J16" s="23">
        <v>0</v>
      </c>
      <c r="K16" s="23">
        <v>0</v>
      </c>
    </row>
    <row r="17" spans="1:11" x14ac:dyDescent="0.25">
      <c r="A17">
        <v>16</v>
      </c>
      <c r="B17" s="23">
        <v>98.846000000000004</v>
      </c>
      <c r="C17" s="23">
        <v>202.24</v>
      </c>
      <c r="D17" s="23">
        <v>797.63</v>
      </c>
      <c r="E17" s="23">
        <v>98.846000000000004</v>
      </c>
      <c r="F17" s="23">
        <v>0</v>
      </c>
      <c r="G17" s="23">
        <v>0</v>
      </c>
      <c r="H17" s="23">
        <v>698.78399999999999</v>
      </c>
      <c r="I17" s="23">
        <v>0</v>
      </c>
      <c r="J17" s="23">
        <v>0</v>
      </c>
      <c r="K17" s="23">
        <v>0</v>
      </c>
    </row>
    <row r="18" spans="1:11" x14ac:dyDescent="0.25">
      <c r="A18">
        <v>17</v>
      </c>
      <c r="B18" s="23">
        <v>88.262</v>
      </c>
      <c r="C18" s="23">
        <v>121.2</v>
      </c>
      <c r="D18" s="23">
        <v>462.79</v>
      </c>
      <c r="E18" s="23">
        <v>88.262</v>
      </c>
      <c r="F18" s="23">
        <v>0</v>
      </c>
      <c r="G18" s="23">
        <v>0</v>
      </c>
      <c r="H18" s="23">
        <v>374.52800000000002</v>
      </c>
      <c r="I18" s="23">
        <v>0</v>
      </c>
      <c r="J18" s="23">
        <v>0</v>
      </c>
      <c r="K18" s="23">
        <v>0</v>
      </c>
    </row>
    <row r="19" spans="1:11" x14ac:dyDescent="0.25">
      <c r="A19">
        <v>18</v>
      </c>
      <c r="B19" s="23">
        <v>94.790999999999997</v>
      </c>
      <c r="C19" s="23">
        <v>11.75</v>
      </c>
      <c r="D19" s="23">
        <v>7.7329999999999997</v>
      </c>
      <c r="E19" s="23">
        <v>7.7329999999999997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87.058000000000007</v>
      </c>
    </row>
    <row r="20" spans="1:11" x14ac:dyDescent="0.25">
      <c r="A20">
        <v>19</v>
      </c>
      <c r="B20" s="23">
        <v>90.4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90.4</v>
      </c>
    </row>
    <row r="21" spans="1:11" x14ac:dyDescent="0.25">
      <c r="A21">
        <v>20</v>
      </c>
      <c r="B21" s="23">
        <v>96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96</v>
      </c>
    </row>
    <row r="22" spans="1:11" x14ac:dyDescent="0.25">
      <c r="A22">
        <v>21</v>
      </c>
      <c r="B22" s="23">
        <v>87.2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87.2</v>
      </c>
    </row>
    <row r="23" spans="1:11" x14ac:dyDescent="0.25">
      <c r="A23">
        <v>22</v>
      </c>
      <c r="B23" s="23">
        <v>92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92</v>
      </c>
    </row>
    <row r="24" spans="1:11" x14ac:dyDescent="0.25">
      <c r="A24">
        <v>23</v>
      </c>
      <c r="B24" s="23">
        <v>88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88</v>
      </c>
    </row>
    <row r="25" spans="1:11" x14ac:dyDescent="0.25">
      <c r="A25">
        <v>24</v>
      </c>
      <c r="B25" s="23">
        <v>91.2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91.2</v>
      </c>
    </row>
    <row r="26" spans="1:11" x14ac:dyDescent="0.25">
      <c r="A26">
        <v>25</v>
      </c>
      <c r="B26" s="23">
        <v>86.4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86.4</v>
      </c>
    </row>
    <row r="27" spans="1:11" x14ac:dyDescent="0.25">
      <c r="A27">
        <v>26</v>
      </c>
      <c r="B27" s="23">
        <v>93.6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93.6</v>
      </c>
    </row>
    <row r="28" spans="1:11" x14ac:dyDescent="0.25">
      <c r="A28">
        <v>27</v>
      </c>
      <c r="B28" s="23">
        <v>86.4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86.4</v>
      </c>
    </row>
    <row r="29" spans="1:11" x14ac:dyDescent="0.25">
      <c r="A29">
        <v>28</v>
      </c>
      <c r="B29" s="23">
        <v>89.6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89.6</v>
      </c>
    </row>
    <row r="30" spans="1:11" x14ac:dyDescent="0.25">
      <c r="A30">
        <v>29</v>
      </c>
      <c r="B30" s="23">
        <v>83.2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83.2</v>
      </c>
    </row>
    <row r="31" spans="1:11" x14ac:dyDescent="0.25">
      <c r="A31">
        <v>30</v>
      </c>
      <c r="B31" s="23">
        <v>92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92</v>
      </c>
    </row>
    <row r="32" spans="1:11" x14ac:dyDescent="0.25">
      <c r="A32">
        <v>31</v>
      </c>
      <c r="B32" s="23">
        <v>76.8</v>
      </c>
      <c r="C32" s="23">
        <v>17.05</v>
      </c>
      <c r="D32" s="23">
        <v>24.605</v>
      </c>
      <c r="E32" s="23">
        <v>24.605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52.195</v>
      </c>
    </row>
    <row r="33" spans="1:11" x14ac:dyDescent="0.25">
      <c r="A33">
        <v>32</v>
      </c>
      <c r="B33" s="23">
        <v>84.462000000000003</v>
      </c>
      <c r="C33" s="23">
        <v>28.41</v>
      </c>
      <c r="D33" s="23">
        <v>89.475999999999999</v>
      </c>
      <c r="E33" s="23">
        <v>84.462000000000003</v>
      </c>
      <c r="F33" s="23">
        <v>-5.0140000000000002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</row>
    <row r="34" spans="1:11" x14ac:dyDescent="0.25">
      <c r="A34">
        <v>33</v>
      </c>
      <c r="B34" s="23">
        <v>178.70400000000001</v>
      </c>
      <c r="C34" s="23">
        <v>104.38</v>
      </c>
      <c r="D34" s="23">
        <v>399.76799999999997</v>
      </c>
      <c r="E34" s="23">
        <v>178.70400000000001</v>
      </c>
      <c r="F34" s="23">
        <v>-221.06399999999999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pans="1:11" x14ac:dyDescent="0.25">
      <c r="A35">
        <v>34</v>
      </c>
      <c r="B35" s="23">
        <v>122.023</v>
      </c>
      <c r="C35" s="23">
        <v>121.1</v>
      </c>
      <c r="D35" s="23">
        <v>461.39499999999998</v>
      </c>
      <c r="E35" s="23">
        <v>122.023</v>
      </c>
      <c r="F35" s="23">
        <v>-339.37200000000001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</row>
    <row r="36" spans="1:11" x14ac:dyDescent="0.25">
      <c r="A36">
        <v>35</v>
      </c>
      <c r="B36" s="23">
        <v>151.21100000000001</v>
      </c>
      <c r="C36" s="23">
        <v>155.66</v>
      </c>
      <c r="D36" s="23">
        <v>595.63300000000004</v>
      </c>
      <c r="E36" s="23">
        <v>151.21100000000001</v>
      </c>
      <c r="F36" s="23">
        <v>-444.42200000000003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pans="1:11" x14ac:dyDescent="0.25">
      <c r="A37">
        <v>36</v>
      </c>
      <c r="B37" s="23">
        <v>234.81299999999999</v>
      </c>
      <c r="C37" s="23">
        <v>203.34</v>
      </c>
      <c r="D37" s="23">
        <v>783.11899999999991</v>
      </c>
      <c r="E37" s="23">
        <v>234.81299999999999</v>
      </c>
      <c r="F37" s="23">
        <v>-342.57299999999998</v>
      </c>
      <c r="G37" s="23">
        <v>0</v>
      </c>
      <c r="H37" s="23">
        <v>205.733</v>
      </c>
      <c r="I37" s="23">
        <v>0</v>
      </c>
      <c r="J37" s="23">
        <v>0</v>
      </c>
      <c r="K37" s="23">
        <v>0</v>
      </c>
    </row>
    <row r="38" spans="1:11" x14ac:dyDescent="0.25">
      <c r="A38">
        <v>37</v>
      </c>
      <c r="B38" s="23">
        <v>410.82900000000001</v>
      </c>
      <c r="C38" s="23">
        <v>266.08</v>
      </c>
      <c r="D38" s="23">
        <v>1032.434</v>
      </c>
      <c r="E38" s="23">
        <v>410.82900000000001</v>
      </c>
      <c r="F38" s="23">
        <v>0</v>
      </c>
      <c r="G38" s="23">
        <v>0</v>
      </c>
      <c r="H38" s="23">
        <v>621.60500000000002</v>
      </c>
      <c r="I38" s="23">
        <v>0</v>
      </c>
      <c r="J38" s="23">
        <v>0</v>
      </c>
      <c r="K38" s="23">
        <v>0</v>
      </c>
    </row>
    <row r="39" spans="1:11" x14ac:dyDescent="0.25">
      <c r="A39">
        <v>38</v>
      </c>
      <c r="B39" s="23">
        <v>797.58699999999999</v>
      </c>
      <c r="C39" s="23">
        <v>196.09</v>
      </c>
      <c r="D39" s="23">
        <v>752.46500000000003</v>
      </c>
      <c r="E39" s="23">
        <v>752.46500000000003</v>
      </c>
      <c r="F39" s="23">
        <v>0</v>
      </c>
      <c r="G39" s="23">
        <v>0</v>
      </c>
      <c r="H39" s="23">
        <v>0</v>
      </c>
      <c r="I39" s="23">
        <v>45.122</v>
      </c>
      <c r="J39" s="23">
        <v>0</v>
      </c>
      <c r="K39" s="23">
        <v>0</v>
      </c>
    </row>
    <row r="40" spans="1:11" x14ac:dyDescent="0.25">
      <c r="A40">
        <v>39</v>
      </c>
      <c r="B40" s="23">
        <v>1144.1679999999999</v>
      </c>
      <c r="C40" s="23">
        <v>132.09</v>
      </c>
      <c r="D40" s="23">
        <v>498.517</v>
      </c>
      <c r="E40" s="23">
        <v>498.517</v>
      </c>
      <c r="F40" s="23">
        <v>0</v>
      </c>
      <c r="G40" s="23">
        <v>0</v>
      </c>
      <c r="H40" s="23">
        <v>0</v>
      </c>
      <c r="I40" s="23">
        <v>645.65099999999995</v>
      </c>
      <c r="J40" s="23">
        <v>0</v>
      </c>
      <c r="K40" s="23">
        <v>0</v>
      </c>
    </row>
    <row r="41" spans="1:11" x14ac:dyDescent="0.25">
      <c r="A41">
        <v>40</v>
      </c>
      <c r="B41" s="23">
        <v>1195.9680000000001</v>
      </c>
      <c r="C41" s="23">
        <v>35.28</v>
      </c>
      <c r="D41" s="23">
        <v>113.187</v>
      </c>
      <c r="E41" s="23">
        <v>113.187</v>
      </c>
      <c r="F41" s="23">
        <v>0</v>
      </c>
      <c r="G41" s="23">
        <v>0</v>
      </c>
      <c r="H41" s="23">
        <v>0</v>
      </c>
      <c r="I41" s="23">
        <v>1082.7809999999999</v>
      </c>
      <c r="J41" s="23">
        <v>0</v>
      </c>
      <c r="K41" s="23">
        <v>0</v>
      </c>
    </row>
    <row r="42" spans="1:11" x14ac:dyDescent="0.25">
      <c r="A42">
        <v>41</v>
      </c>
      <c r="B42" s="23">
        <v>1539.8109999999999</v>
      </c>
      <c r="C42" s="23">
        <v>39.200000000000003</v>
      </c>
      <c r="D42" s="23">
        <v>130.30600000000001</v>
      </c>
      <c r="E42" s="23">
        <v>130.30600000000001</v>
      </c>
      <c r="F42" s="23">
        <v>0</v>
      </c>
      <c r="G42" s="23">
        <v>0</v>
      </c>
      <c r="H42" s="23">
        <v>0</v>
      </c>
      <c r="I42" s="23">
        <v>1409.5050000000001</v>
      </c>
      <c r="J42" s="23">
        <v>0</v>
      </c>
      <c r="K42" s="23">
        <v>0</v>
      </c>
    </row>
    <row r="43" spans="1:11" x14ac:dyDescent="0.25">
      <c r="A43">
        <v>42</v>
      </c>
      <c r="B43" s="23">
        <v>1385.46</v>
      </c>
      <c r="C43" s="23">
        <v>5.87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1385.46</v>
      </c>
    </row>
    <row r="44" spans="1:11" x14ac:dyDescent="0.25">
      <c r="A44">
        <v>43</v>
      </c>
      <c r="B44" s="23">
        <v>1622.4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1622.4</v>
      </c>
    </row>
    <row r="45" spans="1:11" x14ac:dyDescent="0.25">
      <c r="A45">
        <v>44</v>
      </c>
      <c r="B45" s="23">
        <v>953.6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953.6</v>
      </c>
    </row>
    <row r="46" spans="1:11" x14ac:dyDescent="0.25">
      <c r="A46">
        <v>45</v>
      </c>
      <c r="B46" s="23">
        <v>1364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1364</v>
      </c>
      <c r="J46" s="23">
        <v>0</v>
      </c>
      <c r="K46" s="23">
        <v>0</v>
      </c>
    </row>
    <row r="47" spans="1:11" x14ac:dyDescent="0.25">
      <c r="A47">
        <v>46</v>
      </c>
      <c r="B47" s="23">
        <v>1566.4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1566.4</v>
      </c>
      <c r="J47" s="23">
        <v>0</v>
      </c>
      <c r="K47" s="23">
        <v>0</v>
      </c>
    </row>
    <row r="48" spans="1:11" x14ac:dyDescent="0.25">
      <c r="A48">
        <v>47</v>
      </c>
      <c r="B48" s="23">
        <v>1546.4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1546.4</v>
      </c>
      <c r="J48" s="23">
        <v>0</v>
      </c>
      <c r="K48" s="23">
        <v>0</v>
      </c>
    </row>
    <row r="49" spans="1:11" x14ac:dyDescent="0.25">
      <c r="A49">
        <v>48</v>
      </c>
      <c r="B49" s="23">
        <v>1576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1576</v>
      </c>
      <c r="J49" s="23">
        <v>0</v>
      </c>
      <c r="K49" s="23">
        <v>0</v>
      </c>
    </row>
    <row r="50" spans="1:11" x14ac:dyDescent="0.25">
      <c r="A50">
        <v>49</v>
      </c>
      <c r="B50" s="23">
        <v>1492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1492</v>
      </c>
      <c r="J50" s="23">
        <v>0</v>
      </c>
      <c r="K50" s="23">
        <v>0</v>
      </c>
    </row>
    <row r="51" spans="1:11" x14ac:dyDescent="0.25">
      <c r="A51">
        <v>50</v>
      </c>
      <c r="B51" s="23">
        <v>1759.2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1759.2</v>
      </c>
      <c r="J51" s="23">
        <v>0</v>
      </c>
      <c r="K51" s="23">
        <v>0</v>
      </c>
    </row>
    <row r="52" spans="1:11" x14ac:dyDescent="0.25">
      <c r="A52">
        <v>51</v>
      </c>
      <c r="B52" s="23">
        <v>1702.4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1702.4</v>
      </c>
      <c r="J52" s="23">
        <v>0</v>
      </c>
      <c r="K52" s="23">
        <v>0</v>
      </c>
    </row>
    <row r="53" spans="1:11" x14ac:dyDescent="0.25">
      <c r="A53">
        <v>52</v>
      </c>
      <c r="B53" s="23">
        <v>1202.4000000000001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1202.4000000000001</v>
      </c>
      <c r="J53" s="23">
        <v>0</v>
      </c>
      <c r="K53" s="23">
        <v>0</v>
      </c>
    </row>
    <row r="54" spans="1:11" x14ac:dyDescent="0.25">
      <c r="A54">
        <v>53</v>
      </c>
      <c r="B54" s="23">
        <v>1508.8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1508.8</v>
      </c>
      <c r="J54" s="23">
        <v>0</v>
      </c>
      <c r="K54" s="23">
        <v>0</v>
      </c>
    </row>
    <row r="55" spans="1:11" x14ac:dyDescent="0.25">
      <c r="A55">
        <v>54</v>
      </c>
      <c r="B55" s="23">
        <v>1304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1304</v>
      </c>
      <c r="J55" s="23">
        <v>0</v>
      </c>
      <c r="K55" s="23">
        <v>0</v>
      </c>
    </row>
    <row r="56" spans="1:11" x14ac:dyDescent="0.25">
      <c r="A56">
        <v>55</v>
      </c>
      <c r="B56" s="23">
        <v>1408</v>
      </c>
      <c r="C56" s="23">
        <v>33.28</v>
      </c>
      <c r="D56" s="23">
        <v>69.944000000000003</v>
      </c>
      <c r="E56" s="23">
        <v>0</v>
      </c>
      <c r="F56" s="23">
        <v>-69.944000000000003</v>
      </c>
      <c r="G56" s="23">
        <v>0</v>
      </c>
      <c r="H56" s="23">
        <v>0</v>
      </c>
      <c r="I56" s="23">
        <v>1408</v>
      </c>
      <c r="J56" s="23">
        <v>0</v>
      </c>
      <c r="K56" s="23">
        <v>0</v>
      </c>
    </row>
    <row r="57" spans="1:11" x14ac:dyDescent="0.25">
      <c r="A57">
        <v>56</v>
      </c>
      <c r="B57" s="23">
        <v>1348.873</v>
      </c>
      <c r="C57" s="23">
        <v>132.21</v>
      </c>
      <c r="D57" s="23">
        <v>509.28199999999998</v>
      </c>
      <c r="E57" s="23">
        <v>0</v>
      </c>
      <c r="F57" s="23">
        <v>-509.28199999999998</v>
      </c>
      <c r="G57" s="23">
        <v>0</v>
      </c>
      <c r="H57" s="23">
        <v>0</v>
      </c>
      <c r="I57" s="23">
        <v>1348.873</v>
      </c>
      <c r="J57" s="23">
        <v>0</v>
      </c>
      <c r="K57" s="23">
        <v>0</v>
      </c>
    </row>
    <row r="58" spans="1:11" x14ac:dyDescent="0.25">
      <c r="A58">
        <v>57</v>
      </c>
      <c r="B58" s="23">
        <v>1465.4480000000001</v>
      </c>
      <c r="C58" s="23">
        <v>278.69</v>
      </c>
      <c r="D58" s="23">
        <v>1118.8209999999999</v>
      </c>
      <c r="E58" s="23">
        <v>0</v>
      </c>
      <c r="F58" s="23">
        <v>-1118.8209999999999</v>
      </c>
      <c r="G58" s="23">
        <v>0</v>
      </c>
      <c r="H58" s="23">
        <v>0</v>
      </c>
      <c r="I58" s="23">
        <v>1465.4480000000001</v>
      </c>
      <c r="J58" s="23">
        <v>0</v>
      </c>
      <c r="K58" s="23">
        <v>0</v>
      </c>
    </row>
    <row r="59" spans="1:11" x14ac:dyDescent="0.25">
      <c r="A59">
        <v>58</v>
      </c>
      <c r="B59" s="23">
        <v>1762.864</v>
      </c>
      <c r="C59" s="23">
        <v>382.05</v>
      </c>
      <c r="D59" s="23">
        <v>1515.6389999999999</v>
      </c>
      <c r="E59" s="23">
        <v>669.60299999999995</v>
      </c>
      <c r="F59" s="23">
        <v>-846.03599999999994</v>
      </c>
      <c r="G59" s="23">
        <v>0</v>
      </c>
      <c r="H59" s="23">
        <v>0</v>
      </c>
      <c r="I59" s="23">
        <v>1093.261</v>
      </c>
      <c r="J59" s="23">
        <v>0</v>
      </c>
      <c r="K59" s="23">
        <v>0</v>
      </c>
    </row>
    <row r="60" spans="1:11" x14ac:dyDescent="0.25">
      <c r="A60">
        <v>59</v>
      </c>
      <c r="B60" s="23">
        <v>1691.0640000000001</v>
      </c>
      <c r="C60" s="23">
        <v>277.02</v>
      </c>
      <c r="D60" s="23">
        <v>1076.8699999999999</v>
      </c>
      <c r="E60" s="23">
        <v>1076.8699999999999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614.19399999999996</v>
      </c>
    </row>
    <row r="61" spans="1:11" x14ac:dyDescent="0.25">
      <c r="A61">
        <v>60</v>
      </c>
      <c r="B61" s="23">
        <v>1680.269</v>
      </c>
      <c r="C61" s="23">
        <v>533.11</v>
      </c>
      <c r="D61" s="23">
        <v>2077.9270000000001</v>
      </c>
      <c r="E61" s="23">
        <v>1680.269</v>
      </c>
      <c r="F61" s="23">
        <v>-397.65800000000002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</row>
    <row r="62" spans="1:11" x14ac:dyDescent="0.25">
      <c r="A62">
        <v>61</v>
      </c>
      <c r="B62" s="23">
        <v>1623.5930000000001</v>
      </c>
      <c r="C62" s="23">
        <v>450.13</v>
      </c>
      <c r="D62" s="23">
        <v>1751.095</v>
      </c>
      <c r="E62" s="23">
        <v>1623.5930000000001</v>
      </c>
      <c r="F62" s="23">
        <v>-127.502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</row>
    <row r="63" spans="1:11" x14ac:dyDescent="0.25">
      <c r="A63">
        <v>62</v>
      </c>
      <c r="B63" s="23">
        <v>1593.0840000000001</v>
      </c>
      <c r="C63" s="23">
        <v>499.13</v>
      </c>
      <c r="D63" s="23">
        <v>1948.7470000000001</v>
      </c>
      <c r="E63" s="23">
        <v>1593.0840000000001</v>
      </c>
      <c r="F63" s="23">
        <v>-355.66300000000001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</row>
    <row r="64" spans="1:11" x14ac:dyDescent="0.25">
      <c r="A64">
        <v>63</v>
      </c>
      <c r="B64" s="23">
        <v>1600.5360000000001</v>
      </c>
      <c r="C64" s="23">
        <v>137.97</v>
      </c>
      <c r="D64" s="23">
        <v>519.89800000000002</v>
      </c>
      <c r="E64" s="23">
        <v>519.89800000000002</v>
      </c>
      <c r="F64" s="23">
        <v>0</v>
      </c>
      <c r="G64" s="23">
        <v>0</v>
      </c>
      <c r="H64" s="23">
        <v>0</v>
      </c>
      <c r="I64" s="23">
        <v>1080.6379999999999</v>
      </c>
      <c r="J64" s="23">
        <v>0</v>
      </c>
      <c r="K64" s="23">
        <v>0</v>
      </c>
    </row>
    <row r="65" spans="1:11" x14ac:dyDescent="0.25">
      <c r="A65">
        <v>64</v>
      </c>
      <c r="B65" s="23">
        <v>2071.826</v>
      </c>
      <c r="C65" s="23">
        <v>199.75</v>
      </c>
      <c r="D65" s="23">
        <v>783.10900000000004</v>
      </c>
      <c r="E65" s="23">
        <v>783.10900000000004</v>
      </c>
      <c r="F65" s="23">
        <v>0</v>
      </c>
      <c r="G65" s="23">
        <v>0</v>
      </c>
      <c r="H65" s="23">
        <v>0</v>
      </c>
      <c r="I65" s="23">
        <v>1288.7170000000001</v>
      </c>
      <c r="J65" s="23">
        <v>0</v>
      </c>
      <c r="K65" s="23">
        <v>0</v>
      </c>
    </row>
    <row r="66" spans="1:11" x14ac:dyDescent="0.25">
      <c r="A66">
        <v>65</v>
      </c>
      <c r="B66" s="23">
        <v>1766.78</v>
      </c>
      <c r="C66" s="23">
        <v>172.64</v>
      </c>
      <c r="D66" s="23">
        <v>662.25</v>
      </c>
      <c r="E66" s="23">
        <v>662.25</v>
      </c>
      <c r="F66" s="23">
        <v>0</v>
      </c>
      <c r="G66" s="23">
        <v>0</v>
      </c>
      <c r="H66" s="23">
        <v>0</v>
      </c>
      <c r="I66" s="23">
        <v>1104.53</v>
      </c>
      <c r="J66" s="23">
        <v>0</v>
      </c>
      <c r="K66" s="23">
        <v>0</v>
      </c>
    </row>
    <row r="67" spans="1:11" x14ac:dyDescent="0.25">
      <c r="A67">
        <v>66</v>
      </c>
      <c r="B67" s="23">
        <v>1972.144</v>
      </c>
      <c r="C67" s="23">
        <v>24.34</v>
      </c>
      <c r="D67" s="23">
        <v>39.863999999999997</v>
      </c>
      <c r="E67" s="23">
        <v>39.863999999999997</v>
      </c>
      <c r="F67" s="23">
        <v>0</v>
      </c>
      <c r="G67" s="23">
        <v>0</v>
      </c>
      <c r="H67" s="23">
        <v>0</v>
      </c>
      <c r="I67" s="23">
        <v>247.72</v>
      </c>
      <c r="J67" s="23">
        <v>0</v>
      </c>
      <c r="K67" s="23">
        <v>1684.559</v>
      </c>
    </row>
    <row r="68" spans="1:11" x14ac:dyDescent="0.25">
      <c r="A68">
        <v>67</v>
      </c>
      <c r="B68" s="23">
        <v>1702.4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17.841000000000001</v>
      </c>
      <c r="J68" s="23">
        <v>0</v>
      </c>
      <c r="K68" s="23">
        <v>1684.559</v>
      </c>
    </row>
    <row r="69" spans="1:11" x14ac:dyDescent="0.25">
      <c r="A69">
        <v>68</v>
      </c>
      <c r="B69" s="23">
        <v>1880.8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196.24100000000001</v>
      </c>
      <c r="J69" s="23">
        <v>0</v>
      </c>
      <c r="K69" s="23">
        <v>1684.559</v>
      </c>
    </row>
    <row r="70" spans="1:11" x14ac:dyDescent="0.25">
      <c r="A70">
        <v>69</v>
      </c>
      <c r="B70" s="23">
        <v>1820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1820</v>
      </c>
      <c r="J70" s="23">
        <v>0</v>
      </c>
      <c r="K70" s="23">
        <v>0</v>
      </c>
    </row>
    <row r="71" spans="1:11" x14ac:dyDescent="0.25">
      <c r="A71">
        <v>70</v>
      </c>
      <c r="B71" s="23">
        <v>1544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1544</v>
      </c>
      <c r="J71" s="23">
        <v>0</v>
      </c>
      <c r="K71" s="23">
        <v>0</v>
      </c>
    </row>
    <row r="72" spans="1:11" x14ac:dyDescent="0.25">
      <c r="A72">
        <v>71</v>
      </c>
      <c r="B72" s="23">
        <v>1548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1548</v>
      </c>
      <c r="J72" s="23">
        <v>0</v>
      </c>
      <c r="K72" s="23">
        <v>0</v>
      </c>
    </row>
    <row r="73" spans="1:11" x14ac:dyDescent="0.25">
      <c r="A73">
        <v>72</v>
      </c>
      <c r="B73" s="23">
        <v>1748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1748</v>
      </c>
      <c r="J73" s="23">
        <v>0</v>
      </c>
      <c r="K73" s="23">
        <v>0</v>
      </c>
    </row>
    <row r="74" spans="1:11" x14ac:dyDescent="0.25">
      <c r="A74">
        <v>73</v>
      </c>
      <c r="B74" s="23">
        <v>1668.8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1668.8</v>
      </c>
      <c r="J74" s="23">
        <v>0</v>
      </c>
      <c r="K74" s="23">
        <v>0</v>
      </c>
    </row>
    <row r="75" spans="1:11" x14ac:dyDescent="0.25">
      <c r="A75">
        <v>74</v>
      </c>
      <c r="B75" s="23">
        <v>1640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1640</v>
      </c>
      <c r="J75" s="23">
        <v>0</v>
      </c>
      <c r="K75" s="23">
        <v>0</v>
      </c>
    </row>
    <row r="76" spans="1:11" x14ac:dyDescent="0.25">
      <c r="A76">
        <v>75</v>
      </c>
      <c r="B76" s="23">
        <v>1404.8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1404.8</v>
      </c>
      <c r="J76" s="23">
        <v>0</v>
      </c>
      <c r="K76" s="23">
        <v>0</v>
      </c>
    </row>
    <row r="77" spans="1:11" x14ac:dyDescent="0.25">
      <c r="A77">
        <v>76</v>
      </c>
      <c r="B77" s="23">
        <v>1329.6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1329.6</v>
      </c>
      <c r="J77" s="23">
        <v>0</v>
      </c>
      <c r="K77" s="23">
        <v>0</v>
      </c>
    </row>
    <row r="78" spans="1:11" x14ac:dyDescent="0.25">
      <c r="A78">
        <v>77</v>
      </c>
      <c r="B78" s="23">
        <v>1424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1424</v>
      </c>
      <c r="J78" s="23">
        <v>0</v>
      </c>
      <c r="K78" s="23">
        <v>0</v>
      </c>
    </row>
    <row r="79" spans="1:11" x14ac:dyDescent="0.25">
      <c r="A79">
        <v>78</v>
      </c>
      <c r="B79" s="23">
        <v>1144.8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1144.8</v>
      </c>
      <c r="J79" s="23">
        <v>0</v>
      </c>
      <c r="K79" s="23">
        <v>0</v>
      </c>
    </row>
    <row r="80" spans="1:11" x14ac:dyDescent="0.25">
      <c r="A80">
        <v>79</v>
      </c>
      <c r="B80" s="23">
        <v>1503.2</v>
      </c>
      <c r="C80" s="23">
        <v>53.12</v>
      </c>
      <c r="D80" s="23">
        <v>111.265</v>
      </c>
      <c r="E80" s="23">
        <v>111.265</v>
      </c>
      <c r="F80" s="23">
        <v>0</v>
      </c>
      <c r="G80" s="23">
        <v>0</v>
      </c>
      <c r="H80" s="23">
        <v>0</v>
      </c>
      <c r="I80" s="23">
        <v>1391.9349999999999</v>
      </c>
      <c r="J80" s="23">
        <v>0</v>
      </c>
      <c r="K80" s="23">
        <v>0</v>
      </c>
    </row>
    <row r="81" spans="1:11" x14ac:dyDescent="0.25">
      <c r="A81">
        <v>80</v>
      </c>
      <c r="B81" s="23">
        <v>1213.663</v>
      </c>
      <c r="C81" s="23">
        <v>213.5</v>
      </c>
      <c r="D81" s="23">
        <v>830.11199999999997</v>
      </c>
      <c r="E81" s="23">
        <v>830.11199999999997</v>
      </c>
      <c r="F81" s="23">
        <v>0</v>
      </c>
      <c r="G81" s="23">
        <v>0</v>
      </c>
      <c r="H81" s="23">
        <v>0</v>
      </c>
      <c r="I81" s="23">
        <v>383.55099999999999</v>
      </c>
      <c r="J81" s="23">
        <v>0</v>
      </c>
      <c r="K81" s="23">
        <v>0</v>
      </c>
    </row>
    <row r="82" spans="1:11" x14ac:dyDescent="0.25">
      <c r="A82">
        <v>81</v>
      </c>
      <c r="B82" s="23">
        <v>1603.942</v>
      </c>
      <c r="C82" s="23">
        <v>491.73</v>
      </c>
      <c r="D82" s="23">
        <v>2004.4079999999999</v>
      </c>
      <c r="E82" s="23">
        <v>1603.942</v>
      </c>
      <c r="F82" s="23">
        <v>-400.46600000000001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pans="1:11" x14ac:dyDescent="0.25">
      <c r="A83">
        <v>82</v>
      </c>
      <c r="B83" s="23">
        <v>1563.3979999999999</v>
      </c>
      <c r="C83" s="23">
        <v>634.77</v>
      </c>
      <c r="D83" s="23">
        <v>2536.2950000000001</v>
      </c>
      <c r="E83" s="23">
        <v>1563.3979999999999</v>
      </c>
      <c r="F83" s="23">
        <v>-972.89700000000005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pans="1:11" x14ac:dyDescent="0.25">
      <c r="A84">
        <v>83</v>
      </c>
      <c r="B84" s="23">
        <v>1507.155</v>
      </c>
      <c r="C84" s="23">
        <v>796.52</v>
      </c>
      <c r="D84" s="23">
        <v>3133.4160000000002</v>
      </c>
      <c r="E84" s="23">
        <v>1507.155</v>
      </c>
      <c r="F84" s="23">
        <v>-1626.261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</row>
    <row r="85" spans="1:11" x14ac:dyDescent="0.25">
      <c r="A85">
        <v>84</v>
      </c>
      <c r="B85" s="23">
        <v>1580.6990000000001</v>
      </c>
      <c r="C85" s="23">
        <v>787.57</v>
      </c>
      <c r="D85" s="23">
        <v>3069.4479999999999</v>
      </c>
      <c r="E85" s="23">
        <v>1580.6990000000001</v>
      </c>
      <c r="F85" s="23">
        <v>-1488.749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pans="1:11" x14ac:dyDescent="0.25">
      <c r="A86">
        <v>85</v>
      </c>
      <c r="B86" s="23">
        <v>1729.4690000000001</v>
      </c>
      <c r="C86" s="23">
        <v>763.71</v>
      </c>
      <c r="D86" s="23">
        <v>2982.395</v>
      </c>
      <c r="E86" s="23">
        <v>1729.4690000000001</v>
      </c>
      <c r="F86" s="23">
        <v>-1252.9259999999999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</row>
    <row r="87" spans="1:11" x14ac:dyDescent="0.25">
      <c r="A87">
        <v>86</v>
      </c>
      <c r="B87" s="23">
        <v>1487.7950000000001</v>
      </c>
      <c r="C87" s="23">
        <v>798.76</v>
      </c>
      <c r="D87" s="23">
        <v>3130.3890000000001</v>
      </c>
      <c r="E87" s="23">
        <v>1487.7950000000001</v>
      </c>
      <c r="F87" s="23">
        <v>-1550.2</v>
      </c>
      <c r="G87" s="23">
        <v>0</v>
      </c>
      <c r="H87" s="23">
        <v>92.394000000000005</v>
      </c>
      <c r="I87" s="23">
        <v>0</v>
      </c>
      <c r="J87" s="23">
        <v>0</v>
      </c>
      <c r="K87" s="23">
        <v>0</v>
      </c>
    </row>
    <row r="88" spans="1:11" x14ac:dyDescent="0.25">
      <c r="A88">
        <v>87</v>
      </c>
      <c r="B88" s="23">
        <v>1353.09</v>
      </c>
      <c r="C88" s="23">
        <v>576.57000000000005</v>
      </c>
      <c r="D88" s="23">
        <v>2290.694</v>
      </c>
      <c r="E88" s="23">
        <v>1353.09</v>
      </c>
      <c r="F88" s="23">
        <v>0</v>
      </c>
      <c r="G88" s="23">
        <v>0</v>
      </c>
      <c r="H88" s="23">
        <v>937.60400000000004</v>
      </c>
      <c r="I88" s="23">
        <v>0</v>
      </c>
      <c r="J88" s="23">
        <v>0</v>
      </c>
      <c r="K88" s="23">
        <v>0</v>
      </c>
    </row>
    <row r="89" spans="1:11" x14ac:dyDescent="0.25">
      <c r="A89">
        <v>88</v>
      </c>
      <c r="B89" s="23">
        <v>1713.845</v>
      </c>
      <c r="C89" s="23">
        <v>504.54</v>
      </c>
      <c r="D89" s="23">
        <v>2045.3209999999999</v>
      </c>
      <c r="E89" s="23">
        <v>1713.845</v>
      </c>
      <c r="F89" s="23">
        <v>0</v>
      </c>
      <c r="G89" s="23">
        <v>0</v>
      </c>
      <c r="H89" s="23">
        <v>331.476</v>
      </c>
      <c r="I89" s="23">
        <v>0</v>
      </c>
      <c r="J89" s="23">
        <v>0</v>
      </c>
      <c r="K89" s="23">
        <v>0</v>
      </c>
    </row>
    <row r="90" spans="1:11" x14ac:dyDescent="0.25">
      <c r="A90">
        <v>89</v>
      </c>
      <c r="B90" s="23">
        <v>1749.9590000000001</v>
      </c>
      <c r="C90" s="23">
        <v>265.01</v>
      </c>
      <c r="D90" s="23">
        <v>1013.7910000000001</v>
      </c>
      <c r="E90" s="23">
        <v>1013.7910000000001</v>
      </c>
      <c r="F90" s="23">
        <v>0</v>
      </c>
      <c r="G90" s="23">
        <v>0</v>
      </c>
      <c r="H90" s="23">
        <v>0</v>
      </c>
      <c r="I90" s="23">
        <v>736.16800000000001</v>
      </c>
      <c r="J90" s="23">
        <v>0</v>
      </c>
      <c r="K90" s="23">
        <v>0</v>
      </c>
    </row>
    <row r="91" spans="1:11" x14ac:dyDescent="0.25">
      <c r="A91">
        <v>90</v>
      </c>
      <c r="B91" s="23">
        <v>1614.836</v>
      </c>
      <c r="C91" s="23">
        <v>38</v>
      </c>
      <c r="D91" s="23">
        <v>74.888000000000005</v>
      </c>
      <c r="E91" s="23">
        <v>74.888000000000005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1539.9480000000001</v>
      </c>
    </row>
    <row r="92" spans="1:11" x14ac:dyDescent="0.25">
      <c r="A92">
        <v>91</v>
      </c>
      <c r="B92" s="23">
        <v>1603.201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1603.201</v>
      </c>
    </row>
    <row r="93" spans="1:11" x14ac:dyDescent="0.25">
      <c r="A93">
        <v>92</v>
      </c>
      <c r="B93" s="23">
        <v>1192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1192</v>
      </c>
    </row>
    <row r="94" spans="1:11" x14ac:dyDescent="0.25">
      <c r="A94">
        <v>93</v>
      </c>
      <c r="B94" s="23">
        <v>1322.4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1322.4</v>
      </c>
      <c r="J94" s="23">
        <v>0</v>
      </c>
      <c r="K94" s="23">
        <v>0</v>
      </c>
    </row>
    <row r="95" spans="1:11" x14ac:dyDescent="0.25">
      <c r="A95">
        <v>94</v>
      </c>
      <c r="B95" s="23">
        <v>1403.2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1403.2</v>
      </c>
      <c r="J95" s="23">
        <v>0</v>
      </c>
      <c r="K95" s="23">
        <v>0</v>
      </c>
    </row>
    <row r="96" spans="1:11" x14ac:dyDescent="0.25">
      <c r="A96">
        <v>95</v>
      </c>
      <c r="B96" s="23">
        <v>1576.8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1576.8</v>
      </c>
      <c r="J96" s="23">
        <v>0</v>
      </c>
      <c r="K96" s="23">
        <v>0</v>
      </c>
    </row>
    <row r="97" spans="1:11" x14ac:dyDescent="0.25">
      <c r="A97">
        <v>96</v>
      </c>
      <c r="B97" s="23">
        <v>1240.8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1240.8</v>
      </c>
      <c r="J97" s="23">
        <v>0</v>
      </c>
      <c r="K97" s="23">
        <v>0</v>
      </c>
    </row>
    <row r="98" spans="1:11" x14ac:dyDescent="0.25">
      <c r="A98">
        <v>97</v>
      </c>
      <c r="B98" s="23">
        <v>1476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1476</v>
      </c>
      <c r="J98" s="23">
        <v>0</v>
      </c>
      <c r="K98" s="23">
        <v>0</v>
      </c>
    </row>
    <row r="99" spans="1:11" x14ac:dyDescent="0.25">
      <c r="A99">
        <v>98</v>
      </c>
      <c r="B99" s="23">
        <v>1014.4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1014.4</v>
      </c>
      <c r="J99" s="23">
        <v>0</v>
      </c>
      <c r="K99" s="23">
        <v>0</v>
      </c>
    </row>
    <row r="100" spans="1:11" x14ac:dyDescent="0.25">
      <c r="A100">
        <v>99</v>
      </c>
      <c r="B100" s="23">
        <v>1200.8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1200.8</v>
      </c>
      <c r="J100" s="23">
        <v>0</v>
      </c>
      <c r="K100" s="23">
        <v>0</v>
      </c>
    </row>
    <row r="101" spans="1:11" x14ac:dyDescent="0.25">
      <c r="A101">
        <v>100</v>
      </c>
      <c r="B101" s="23">
        <v>1056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1056</v>
      </c>
      <c r="J101" s="23">
        <v>0</v>
      </c>
      <c r="K101" s="23">
        <v>0</v>
      </c>
    </row>
    <row r="102" spans="1:11" x14ac:dyDescent="0.25">
      <c r="A102">
        <v>101</v>
      </c>
      <c r="B102" s="23">
        <v>1512.8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1512.8</v>
      </c>
      <c r="J102" s="23">
        <v>0</v>
      </c>
      <c r="K102" s="23">
        <v>0</v>
      </c>
    </row>
    <row r="103" spans="1:11" x14ac:dyDescent="0.25">
      <c r="A103">
        <v>102</v>
      </c>
      <c r="B103" s="23">
        <v>1194.4000000000001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400.83800000000002</v>
      </c>
      <c r="J103" s="23">
        <v>0</v>
      </c>
      <c r="K103" s="23">
        <v>793.56200000000001</v>
      </c>
    </row>
    <row r="104" spans="1:11" x14ac:dyDescent="0.25">
      <c r="A104">
        <v>103</v>
      </c>
      <c r="B104" s="23">
        <v>1352.8</v>
      </c>
      <c r="C104" s="23">
        <v>52.8</v>
      </c>
      <c r="D104" s="23">
        <v>108.574</v>
      </c>
      <c r="E104" s="23">
        <v>108.574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1244.2260000000001</v>
      </c>
    </row>
    <row r="105" spans="1:11" x14ac:dyDescent="0.25">
      <c r="A105">
        <v>104</v>
      </c>
      <c r="B105" s="23">
        <v>1276.4970000000001</v>
      </c>
      <c r="C105" s="23">
        <v>282.7</v>
      </c>
      <c r="D105" s="23">
        <v>1097.585</v>
      </c>
      <c r="E105" s="23">
        <v>1097.585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178.91200000000001</v>
      </c>
    </row>
    <row r="106" spans="1:11" x14ac:dyDescent="0.25">
      <c r="A106">
        <v>105</v>
      </c>
      <c r="B106" s="23">
        <v>1178.106</v>
      </c>
      <c r="C106" s="23">
        <v>524.59</v>
      </c>
      <c r="D106" s="23">
        <v>2145.8049999999998</v>
      </c>
      <c r="E106" s="23">
        <v>1178.106</v>
      </c>
      <c r="F106" s="23">
        <v>-967.69899999999996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</row>
    <row r="107" spans="1:11" x14ac:dyDescent="0.25">
      <c r="A107">
        <v>106</v>
      </c>
      <c r="B107" s="23">
        <v>1381.4480000000001</v>
      </c>
      <c r="C107" s="23">
        <v>729.17</v>
      </c>
      <c r="D107" s="23">
        <v>2917.4609999999998</v>
      </c>
      <c r="E107" s="23">
        <v>1381.4480000000001</v>
      </c>
      <c r="F107" s="23">
        <v>-1536.0129999999999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</row>
    <row r="108" spans="1:11" x14ac:dyDescent="0.25">
      <c r="A108">
        <v>107</v>
      </c>
      <c r="B108" s="23">
        <v>1214.49</v>
      </c>
      <c r="C108" s="23">
        <v>872.15</v>
      </c>
      <c r="D108" s="23">
        <v>3422.44</v>
      </c>
      <c r="E108" s="23">
        <v>1214.49</v>
      </c>
      <c r="F108" s="23">
        <v>-1684.559</v>
      </c>
      <c r="G108" s="23">
        <v>0</v>
      </c>
      <c r="H108" s="23">
        <v>523.39099999999996</v>
      </c>
      <c r="I108" s="23">
        <v>0</v>
      </c>
      <c r="J108" s="23">
        <v>0</v>
      </c>
      <c r="K108" s="23">
        <v>0</v>
      </c>
    </row>
    <row r="109" spans="1:11" x14ac:dyDescent="0.25">
      <c r="A109">
        <v>108</v>
      </c>
      <c r="B109" s="23">
        <v>1201.671</v>
      </c>
      <c r="C109" s="23">
        <v>950.07</v>
      </c>
      <c r="D109" s="23">
        <v>3682.3969999999999</v>
      </c>
      <c r="E109" s="23">
        <v>1201.672</v>
      </c>
      <c r="F109" s="23">
        <v>-1684.559</v>
      </c>
      <c r="G109" s="23">
        <v>0</v>
      </c>
      <c r="H109" s="23">
        <v>796.16600000000005</v>
      </c>
      <c r="I109" s="23">
        <v>0</v>
      </c>
      <c r="J109" s="23">
        <v>0</v>
      </c>
      <c r="K109" s="23">
        <v>0</v>
      </c>
    </row>
    <row r="110" spans="1:11" x14ac:dyDescent="0.25">
      <c r="A110">
        <v>109</v>
      </c>
      <c r="B110" s="23">
        <v>1248.4169999999999</v>
      </c>
      <c r="C110" s="23">
        <v>949.58</v>
      </c>
      <c r="D110" s="23">
        <v>3668.9090000000001</v>
      </c>
      <c r="E110" s="23">
        <v>1248.4169999999999</v>
      </c>
      <c r="F110" s="23">
        <v>-1418.6679999999999</v>
      </c>
      <c r="G110" s="23">
        <v>0</v>
      </c>
      <c r="H110" s="23">
        <v>1001.824</v>
      </c>
      <c r="I110" s="23">
        <v>0</v>
      </c>
      <c r="J110" s="23">
        <v>0</v>
      </c>
      <c r="K110" s="23">
        <v>0</v>
      </c>
    </row>
    <row r="111" spans="1:11" x14ac:dyDescent="0.25">
      <c r="A111">
        <v>110</v>
      </c>
      <c r="B111" s="23">
        <v>1246.6489999999999</v>
      </c>
      <c r="C111" s="23">
        <v>870.91</v>
      </c>
      <c r="D111" s="23">
        <v>3390.8310000000001</v>
      </c>
      <c r="E111" s="23">
        <v>1246.6489999999999</v>
      </c>
      <c r="F111" s="23">
        <v>0</v>
      </c>
      <c r="G111" s="23">
        <v>0</v>
      </c>
      <c r="H111" s="23">
        <v>2144.1819999999998</v>
      </c>
      <c r="I111" s="23">
        <v>0</v>
      </c>
      <c r="J111" s="23">
        <v>0</v>
      </c>
      <c r="K111" s="23">
        <v>0</v>
      </c>
    </row>
    <row r="112" spans="1:11" x14ac:dyDescent="0.25">
      <c r="A112">
        <v>111</v>
      </c>
      <c r="B112" s="23">
        <v>987.59400000000005</v>
      </c>
      <c r="C112" s="23">
        <v>726.63</v>
      </c>
      <c r="D112" s="23">
        <v>2874.1979999999999</v>
      </c>
      <c r="E112" s="23">
        <v>987.59400000000005</v>
      </c>
      <c r="F112" s="23">
        <v>0</v>
      </c>
      <c r="G112" s="23">
        <v>0</v>
      </c>
      <c r="H112" s="23">
        <v>1886.604</v>
      </c>
      <c r="I112" s="23">
        <v>0</v>
      </c>
      <c r="J112" s="23">
        <v>0</v>
      </c>
      <c r="K112" s="23">
        <v>0</v>
      </c>
    </row>
    <row r="113" spans="1:11" x14ac:dyDescent="0.25">
      <c r="A113">
        <v>112</v>
      </c>
      <c r="B113" s="23">
        <v>489.88799999999998</v>
      </c>
      <c r="C113" s="23">
        <v>520.09</v>
      </c>
      <c r="D113" s="23">
        <v>2102.0100000000002</v>
      </c>
      <c r="E113" s="23">
        <v>489.88799999999998</v>
      </c>
      <c r="F113" s="23">
        <v>0</v>
      </c>
      <c r="G113" s="23">
        <v>0</v>
      </c>
      <c r="H113" s="23">
        <v>1612.1220000000001</v>
      </c>
      <c r="I113" s="23">
        <v>0</v>
      </c>
      <c r="J113" s="23">
        <v>0</v>
      </c>
      <c r="K113" s="23">
        <v>0</v>
      </c>
    </row>
    <row r="114" spans="1:11" x14ac:dyDescent="0.25">
      <c r="A114">
        <v>113</v>
      </c>
      <c r="B114" s="23">
        <v>193.99100000000001</v>
      </c>
      <c r="C114" s="23">
        <v>277.32</v>
      </c>
      <c r="D114" s="23">
        <v>1057.1569999999999</v>
      </c>
      <c r="E114" s="23">
        <v>193.99100000000001</v>
      </c>
      <c r="F114" s="23">
        <v>0</v>
      </c>
      <c r="G114" s="23">
        <v>0</v>
      </c>
      <c r="H114" s="23">
        <v>863.16600000000005</v>
      </c>
      <c r="I114" s="23">
        <v>0</v>
      </c>
      <c r="J114" s="23">
        <v>0</v>
      </c>
      <c r="K114" s="23">
        <v>0</v>
      </c>
    </row>
    <row r="115" spans="1:11" x14ac:dyDescent="0.25">
      <c r="A115">
        <v>114</v>
      </c>
      <c r="B115" s="23">
        <v>170.64400000000001</v>
      </c>
      <c r="C115" s="23">
        <v>43.35</v>
      </c>
      <c r="D115" s="23">
        <v>81.814999999999998</v>
      </c>
      <c r="E115" s="23">
        <v>81.814999999999998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88.828999999999994</v>
      </c>
    </row>
    <row r="116" spans="1:11" x14ac:dyDescent="0.25">
      <c r="A116">
        <v>115</v>
      </c>
      <c r="B116" s="23">
        <v>118.4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118.4</v>
      </c>
    </row>
    <row r="117" spans="1:11" x14ac:dyDescent="0.25">
      <c r="A117">
        <v>116</v>
      </c>
      <c r="B117" s="23">
        <v>127.2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127.2</v>
      </c>
    </row>
    <row r="118" spans="1:11" x14ac:dyDescent="0.25">
      <c r="A118">
        <v>117</v>
      </c>
      <c r="B118" s="23">
        <v>100.8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100.8</v>
      </c>
    </row>
    <row r="119" spans="1:11" x14ac:dyDescent="0.25">
      <c r="A119">
        <v>118</v>
      </c>
      <c r="B119" s="23">
        <v>94.4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94.4</v>
      </c>
    </row>
    <row r="120" spans="1:11" x14ac:dyDescent="0.25">
      <c r="A120">
        <v>119</v>
      </c>
      <c r="B120" s="23">
        <v>94.4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94.4</v>
      </c>
    </row>
    <row r="121" spans="1:11" x14ac:dyDescent="0.25">
      <c r="A121">
        <v>120</v>
      </c>
      <c r="B121" s="23">
        <v>99.2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99.2</v>
      </c>
    </row>
    <row r="122" spans="1:11" x14ac:dyDescent="0.25">
      <c r="A122">
        <v>121</v>
      </c>
      <c r="B122" s="23">
        <v>92.8</v>
      </c>
      <c r="C122" s="23">
        <v>0</v>
      </c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92.8</v>
      </c>
    </row>
    <row r="123" spans="1:11" x14ac:dyDescent="0.25">
      <c r="A123">
        <v>122</v>
      </c>
      <c r="B123" s="23">
        <v>91.2</v>
      </c>
      <c r="C123" s="23">
        <v>0</v>
      </c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91.2</v>
      </c>
    </row>
    <row r="124" spans="1:11" x14ac:dyDescent="0.25">
      <c r="A124">
        <v>123</v>
      </c>
      <c r="B124" s="23">
        <v>85.6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85.6</v>
      </c>
    </row>
    <row r="125" spans="1:11" x14ac:dyDescent="0.25">
      <c r="A125">
        <v>124</v>
      </c>
      <c r="B125" s="23">
        <v>93.6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93.6</v>
      </c>
    </row>
    <row r="126" spans="1:11" x14ac:dyDescent="0.25">
      <c r="A126">
        <v>125</v>
      </c>
      <c r="B126" s="23">
        <v>89.6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89.6</v>
      </c>
    </row>
    <row r="127" spans="1:11" x14ac:dyDescent="0.25">
      <c r="A127">
        <v>126</v>
      </c>
      <c r="B127" s="23">
        <v>93.6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93.6</v>
      </c>
    </row>
    <row r="128" spans="1:11" x14ac:dyDescent="0.25">
      <c r="A128">
        <v>127</v>
      </c>
      <c r="B128" s="23">
        <v>81.599999999999994</v>
      </c>
      <c r="C128" s="23">
        <v>59.95</v>
      </c>
      <c r="D128" s="23">
        <v>127.315</v>
      </c>
      <c r="E128" s="23">
        <v>81.599999999999994</v>
      </c>
      <c r="F128" s="23">
        <v>-45.715000000000003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pans="1:11" x14ac:dyDescent="0.25">
      <c r="A129">
        <v>128</v>
      </c>
      <c r="B129" s="23">
        <v>95.06</v>
      </c>
      <c r="C129" s="23">
        <v>231.48</v>
      </c>
      <c r="D129" s="23">
        <v>892.89100000000008</v>
      </c>
      <c r="E129" s="23">
        <v>95.06</v>
      </c>
      <c r="F129" s="23">
        <v>-797.83100000000002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</row>
    <row r="130" spans="1:11" x14ac:dyDescent="0.25">
      <c r="A130">
        <v>129</v>
      </c>
      <c r="B130" s="23">
        <v>615.27700000000004</v>
      </c>
      <c r="C130" s="23">
        <v>482.79</v>
      </c>
      <c r="D130" s="23">
        <v>1962.069</v>
      </c>
      <c r="E130" s="23">
        <v>615.27599999999995</v>
      </c>
      <c r="F130" s="23">
        <v>-569.41300000000001</v>
      </c>
      <c r="G130" s="23">
        <v>0</v>
      </c>
      <c r="H130" s="23">
        <v>777.38</v>
      </c>
      <c r="I130" s="23">
        <v>0</v>
      </c>
      <c r="J130" s="23">
        <v>0</v>
      </c>
      <c r="K130" s="23">
        <v>0</v>
      </c>
    </row>
    <row r="131" spans="1:11" x14ac:dyDescent="0.25">
      <c r="A131">
        <v>130</v>
      </c>
      <c r="B131" s="23">
        <v>1487.855</v>
      </c>
      <c r="C131" s="23">
        <v>454.39</v>
      </c>
      <c r="D131" s="23">
        <v>1797.0029999999999</v>
      </c>
      <c r="E131" s="23">
        <v>1487.855</v>
      </c>
      <c r="F131" s="23">
        <v>0</v>
      </c>
      <c r="G131" s="23">
        <v>0</v>
      </c>
      <c r="H131" s="23">
        <v>309.14800000000002</v>
      </c>
      <c r="I131" s="23">
        <v>0</v>
      </c>
      <c r="J131" s="23">
        <v>0</v>
      </c>
      <c r="K131" s="23">
        <v>0</v>
      </c>
    </row>
    <row r="132" spans="1:11" x14ac:dyDescent="0.25">
      <c r="A132">
        <v>131</v>
      </c>
      <c r="B132" s="23">
        <v>1570.749</v>
      </c>
      <c r="C132" s="23">
        <v>865.42</v>
      </c>
      <c r="D132" s="23">
        <v>3371.578</v>
      </c>
      <c r="E132" s="23">
        <v>1570.749</v>
      </c>
      <c r="F132" s="23">
        <v>0</v>
      </c>
      <c r="G132" s="23">
        <v>0</v>
      </c>
      <c r="H132" s="23">
        <v>1800.829</v>
      </c>
      <c r="I132" s="23">
        <v>0</v>
      </c>
      <c r="J132" s="23">
        <v>0</v>
      </c>
      <c r="K132" s="23">
        <v>0</v>
      </c>
    </row>
    <row r="133" spans="1:11" x14ac:dyDescent="0.25">
      <c r="A133">
        <v>132</v>
      </c>
      <c r="B133" s="23">
        <v>1374.539</v>
      </c>
      <c r="C133" s="23">
        <v>929.6</v>
      </c>
      <c r="D133" s="23">
        <v>3586.7579999999998</v>
      </c>
      <c r="E133" s="23">
        <v>1374.539</v>
      </c>
      <c r="F133" s="23">
        <v>0</v>
      </c>
      <c r="G133" s="23">
        <v>0</v>
      </c>
      <c r="H133" s="23">
        <v>2212.2190000000001</v>
      </c>
      <c r="I133" s="23">
        <v>0</v>
      </c>
      <c r="J133" s="23">
        <v>0</v>
      </c>
      <c r="K133" s="23">
        <v>0</v>
      </c>
    </row>
    <row r="134" spans="1:11" x14ac:dyDescent="0.25">
      <c r="A134">
        <v>133</v>
      </c>
      <c r="B134" s="23">
        <v>1744.337</v>
      </c>
      <c r="C134" s="23">
        <v>768.74</v>
      </c>
      <c r="D134" s="23">
        <v>2973.2719999999999</v>
      </c>
      <c r="E134" s="23">
        <v>1744.337</v>
      </c>
      <c r="F134" s="23">
        <v>0</v>
      </c>
      <c r="G134" s="23">
        <v>0</v>
      </c>
      <c r="H134" s="23">
        <v>1228.9349999999999</v>
      </c>
      <c r="I134" s="23">
        <v>0</v>
      </c>
      <c r="J134" s="23">
        <v>0</v>
      </c>
      <c r="K134" s="23">
        <v>0</v>
      </c>
    </row>
    <row r="135" spans="1:11" x14ac:dyDescent="0.25">
      <c r="A135">
        <v>134</v>
      </c>
      <c r="B135" s="23">
        <v>1288.096</v>
      </c>
      <c r="C135" s="23">
        <v>442.06</v>
      </c>
      <c r="D135" s="23">
        <v>1719.067</v>
      </c>
      <c r="E135" s="23">
        <v>1288.096</v>
      </c>
      <c r="F135" s="23">
        <v>0</v>
      </c>
      <c r="G135" s="23">
        <v>0</v>
      </c>
      <c r="H135" s="23">
        <v>430.971</v>
      </c>
      <c r="I135" s="23">
        <v>0</v>
      </c>
      <c r="J135" s="23">
        <v>0</v>
      </c>
      <c r="K135" s="23">
        <v>0</v>
      </c>
    </row>
    <row r="136" spans="1:11" x14ac:dyDescent="0.25">
      <c r="A136">
        <v>135</v>
      </c>
      <c r="B136" s="23">
        <v>1540.8240000000001</v>
      </c>
      <c r="C136" s="23">
        <v>681.24</v>
      </c>
      <c r="D136" s="23">
        <v>2695.8710000000001</v>
      </c>
      <c r="E136" s="23">
        <v>1540.8240000000001</v>
      </c>
      <c r="F136" s="23">
        <v>0</v>
      </c>
      <c r="G136" s="23">
        <v>0</v>
      </c>
      <c r="H136" s="23">
        <v>1155.047</v>
      </c>
      <c r="I136" s="23">
        <v>0</v>
      </c>
      <c r="J136" s="23">
        <v>0</v>
      </c>
      <c r="K136" s="23">
        <v>0</v>
      </c>
    </row>
    <row r="137" spans="1:11" x14ac:dyDescent="0.25">
      <c r="A137">
        <v>136</v>
      </c>
      <c r="B137" s="23">
        <v>1378.9960000000001</v>
      </c>
      <c r="C137" s="23">
        <v>392.63</v>
      </c>
      <c r="D137" s="23">
        <v>1581.4459999999999</v>
      </c>
      <c r="E137" s="23">
        <v>1378.9960000000001</v>
      </c>
      <c r="F137" s="23">
        <v>0</v>
      </c>
      <c r="G137" s="23">
        <v>0</v>
      </c>
      <c r="H137" s="23">
        <v>202.45</v>
      </c>
      <c r="I137" s="23">
        <v>0</v>
      </c>
      <c r="J137" s="23">
        <v>0</v>
      </c>
      <c r="K137" s="23">
        <v>0</v>
      </c>
    </row>
    <row r="138" spans="1:11" x14ac:dyDescent="0.25">
      <c r="A138">
        <v>137</v>
      </c>
      <c r="B138" s="23">
        <v>1206.845</v>
      </c>
      <c r="C138" s="23">
        <v>184.22</v>
      </c>
      <c r="D138" s="23">
        <v>698.38</v>
      </c>
      <c r="E138" s="23">
        <v>698.38</v>
      </c>
      <c r="F138" s="23">
        <v>0</v>
      </c>
      <c r="G138" s="23">
        <v>0</v>
      </c>
      <c r="H138" s="23">
        <v>0</v>
      </c>
      <c r="I138" s="23">
        <v>508.46499999999997</v>
      </c>
      <c r="J138" s="23">
        <v>0</v>
      </c>
      <c r="K138" s="23">
        <v>0</v>
      </c>
    </row>
    <row r="139" spans="1:11" x14ac:dyDescent="0.25">
      <c r="A139">
        <v>138</v>
      </c>
      <c r="B139" s="23">
        <v>1353.643</v>
      </c>
      <c r="C139" s="23">
        <v>38.869999999999997</v>
      </c>
      <c r="D139" s="23">
        <v>77.031999999999996</v>
      </c>
      <c r="E139" s="23">
        <v>77.031999999999996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1276.6110000000001</v>
      </c>
    </row>
    <row r="140" spans="1:11" x14ac:dyDescent="0.25">
      <c r="A140">
        <v>139</v>
      </c>
      <c r="B140" s="23">
        <v>1672.0050000000001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1672.0050000000001</v>
      </c>
    </row>
    <row r="141" spans="1:11" x14ac:dyDescent="0.25">
      <c r="A141">
        <v>140</v>
      </c>
      <c r="B141" s="23">
        <v>1202.4000000000001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1202.4000000000001</v>
      </c>
    </row>
    <row r="142" spans="1:11" x14ac:dyDescent="0.25">
      <c r="A142">
        <v>141</v>
      </c>
      <c r="B142" s="23">
        <v>1490.4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1490.4</v>
      </c>
      <c r="J142" s="23">
        <v>0</v>
      </c>
      <c r="K142" s="23">
        <v>0</v>
      </c>
    </row>
    <row r="143" spans="1:11" x14ac:dyDescent="0.25">
      <c r="A143">
        <v>142</v>
      </c>
      <c r="B143" s="23">
        <v>825.6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825.6</v>
      </c>
      <c r="J143" s="23">
        <v>0</v>
      </c>
      <c r="K143" s="23">
        <v>0</v>
      </c>
    </row>
    <row r="144" spans="1:11" x14ac:dyDescent="0.25">
      <c r="A144">
        <v>143</v>
      </c>
      <c r="B144" s="23">
        <v>1327.2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1327.2</v>
      </c>
      <c r="J144" s="23">
        <v>0</v>
      </c>
      <c r="K144" s="23">
        <v>0</v>
      </c>
    </row>
    <row r="145" spans="1:11" x14ac:dyDescent="0.25">
      <c r="A145">
        <v>144</v>
      </c>
      <c r="B145" s="23">
        <v>1368.8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1368.8</v>
      </c>
      <c r="J145" s="23">
        <v>0</v>
      </c>
      <c r="K145" s="23">
        <v>0</v>
      </c>
    </row>
    <row r="146" spans="1:11" x14ac:dyDescent="0.25">
      <c r="A146">
        <v>145</v>
      </c>
      <c r="B146" s="23">
        <v>1056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1056</v>
      </c>
      <c r="J146" s="23">
        <v>0</v>
      </c>
      <c r="K146" s="23">
        <v>0</v>
      </c>
    </row>
    <row r="147" spans="1:11" x14ac:dyDescent="0.25">
      <c r="A147">
        <v>146</v>
      </c>
      <c r="B147" s="23">
        <v>1168.8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3">
        <v>1168.8</v>
      </c>
      <c r="J147" s="23">
        <v>0</v>
      </c>
      <c r="K147" s="23">
        <v>0</v>
      </c>
    </row>
    <row r="148" spans="1:11" x14ac:dyDescent="0.25">
      <c r="A148">
        <v>147</v>
      </c>
      <c r="B148" s="23">
        <v>1128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3">
        <v>1128</v>
      </c>
      <c r="J148" s="23">
        <v>0</v>
      </c>
      <c r="K148" s="23">
        <v>0</v>
      </c>
    </row>
    <row r="149" spans="1:11" x14ac:dyDescent="0.25">
      <c r="A149">
        <v>148</v>
      </c>
      <c r="B149" s="23">
        <v>982.4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982.4</v>
      </c>
      <c r="J149" s="23">
        <v>0</v>
      </c>
      <c r="K149" s="23">
        <v>0</v>
      </c>
    </row>
    <row r="150" spans="1:11" x14ac:dyDescent="0.25">
      <c r="A150">
        <v>149</v>
      </c>
      <c r="B150" s="23">
        <v>904</v>
      </c>
      <c r="C150" s="23">
        <v>0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401.17700000000002</v>
      </c>
      <c r="J150" s="23">
        <v>0</v>
      </c>
      <c r="K150" s="23">
        <v>502.82299999999998</v>
      </c>
    </row>
    <row r="151" spans="1:11" x14ac:dyDescent="0.25">
      <c r="A151">
        <v>150</v>
      </c>
      <c r="B151" s="23">
        <v>892.8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892.8</v>
      </c>
    </row>
    <row r="152" spans="1:11" x14ac:dyDescent="0.25">
      <c r="A152">
        <v>151</v>
      </c>
      <c r="B152" s="23">
        <v>1122.4000000000001</v>
      </c>
      <c r="C152" s="23">
        <v>56.74</v>
      </c>
      <c r="D152" s="23">
        <v>117.19</v>
      </c>
      <c r="E152" s="23">
        <v>117.19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1005.21</v>
      </c>
    </row>
    <row r="153" spans="1:11" x14ac:dyDescent="0.25">
      <c r="A153">
        <v>152</v>
      </c>
      <c r="B153" s="23">
        <v>820.68600000000004</v>
      </c>
      <c r="C153" s="23">
        <v>302.44</v>
      </c>
      <c r="D153" s="23">
        <v>1170.9380000000001</v>
      </c>
      <c r="E153" s="23">
        <v>820.68600000000004</v>
      </c>
      <c r="F153" s="23">
        <v>-350.25200000000001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</row>
    <row r="154" spans="1:11" x14ac:dyDescent="0.25">
      <c r="A154">
        <v>153</v>
      </c>
      <c r="B154" s="23">
        <v>1276.2190000000001</v>
      </c>
      <c r="C154" s="23">
        <v>548.14</v>
      </c>
      <c r="D154" s="23">
        <v>2231.4169999999999</v>
      </c>
      <c r="E154" s="23">
        <v>1276.2190000000001</v>
      </c>
      <c r="F154" s="23">
        <v>-955.19799999999998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</row>
    <row r="155" spans="1:11" x14ac:dyDescent="0.25">
      <c r="A155">
        <v>154</v>
      </c>
      <c r="B155" s="23">
        <v>1102.819</v>
      </c>
      <c r="C155" s="23">
        <v>756.42</v>
      </c>
      <c r="D155" s="23">
        <v>2986.223</v>
      </c>
      <c r="E155" s="23">
        <v>1102.82</v>
      </c>
      <c r="F155" s="23">
        <v>-1684.559</v>
      </c>
      <c r="G155" s="23">
        <v>0</v>
      </c>
      <c r="H155" s="23">
        <v>198.84399999999999</v>
      </c>
      <c r="I155" s="23">
        <v>0</v>
      </c>
      <c r="J155" s="23">
        <v>0</v>
      </c>
      <c r="K155" s="23">
        <v>0</v>
      </c>
    </row>
    <row r="156" spans="1:11" x14ac:dyDescent="0.25">
      <c r="A156">
        <v>155</v>
      </c>
      <c r="B156" s="23">
        <v>1394.1579999999999</v>
      </c>
      <c r="C156" s="23">
        <v>904.1</v>
      </c>
      <c r="D156" s="23">
        <v>3478.3490000000002</v>
      </c>
      <c r="E156" s="23">
        <v>1394.1579999999999</v>
      </c>
      <c r="F156" s="23">
        <v>-1684.559</v>
      </c>
      <c r="G156" s="23">
        <v>0</v>
      </c>
      <c r="H156" s="23">
        <v>399.63200000000001</v>
      </c>
      <c r="I156" s="23">
        <v>0</v>
      </c>
      <c r="J156" s="23">
        <v>0</v>
      </c>
      <c r="K156" s="23">
        <v>0</v>
      </c>
    </row>
    <row r="157" spans="1:11" x14ac:dyDescent="0.25">
      <c r="A157">
        <v>156</v>
      </c>
      <c r="B157" s="23">
        <v>1343.0630000000001</v>
      </c>
      <c r="C157" s="23">
        <v>978.5</v>
      </c>
      <c r="D157" s="23">
        <v>3711.025000000001</v>
      </c>
      <c r="E157" s="23">
        <v>1343.0630000000001</v>
      </c>
      <c r="F157" s="23">
        <v>-1684.559</v>
      </c>
      <c r="G157" s="23">
        <v>0</v>
      </c>
      <c r="H157" s="23">
        <v>683.40300000000002</v>
      </c>
      <c r="I157" s="23">
        <v>0</v>
      </c>
      <c r="J157" s="23">
        <v>0</v>
      </c>
      <c r="K157" s="23">
        <v>0</v>
      </c>
    </row>
    <row r="158" spans="1:11" x14ac:dyDescent="0.25">
      <c r="A158">
        <v>157</v>
      </c>
      <c r="B158" s="23">
        <v>1117.0450000000001</v>
      </c>
      <c r="C158" s="23">
        <v>976.48</v>
      </c>
      <c r="D158" s="23">
        <v>3690.9560000000001</v>
      </c>
      <c r="E158" s="23">
        <v>1117.0450000000001</v>
      </c>
      <c r="F158" s="23">
        <v>-932.37</v>
      </c>
      <c r="G158" s="23">
        <v>0</v>
      </c>
      <c r="H158" s="23">
        <v>1641.5409999999999</v>
      </c>
      <c r="I158" s="23">
        <v>0</v>
      </c>
      <c r="J158" s="23">
        <v>0</v>
      </c>
      <c r="K158" s="23">
        <v>0</v>
      </c>
    </row>
    <row r="159" spans="1:11" x14ac:dyDescent="0.25">
      <c r="A159">
        <v>158</v>
      </c>
      <c r="B159" s="23">
        <v>1320.721</v>
      </c>
      <c r="C159" s="23">
        <v>893.64</v>
      </c>
      <c r="D159" s="23">
        <v>3401.8960000000002</v>
      </c>
      <c r="E159" s="23">
        <v>1320.721</v>
      </c>
      <c r="F159" s="23">
        <v>0</v>
      </c>
      <c r="G159" s="23">
        <v>0</v>
      </c>
      <c r="H159" s="23">
        <v>2081.1750000000002</v>
      </c>
      <c r="I159" s="23">
        <v>0</v>
      </c>
      <c r="J159" s="23">
        <v>0</v>
      </c>
      <c r="K159" s="23">
        <v>0</v>
      </c>
    </row>
    <row r="160" spans="1:11" x14ac:dyDescent="0.25">
      <c r="A160">
        <v>159</v>
      </c>
      <c r="B160" s="23">
        <v>965.83900000000006</v>
      </c>
      <c r="C160" s="23">
        <v>743.6</v>
      </c>
      <c r="D160" s="23">
        <v>2882.7109999999998</v>
      </c>
      <c r="E160" s="23">
        <v>965.83900000000006</v>
      </c>
      <c r="F160" s="23">
        <v>0</v>
      </c>
      <c r="G160" s="23">
        <v>0</v>
      </c>
      <c r="H160" s="23">
        <v>1916.8720000000001</v>
      </c>
      <c r="I160" s="23">
        <v>0</v>
      </c>
      <c r="J160" s="23">
        <v>0</v>
      </c>
      <c r="K160" s="23">
        <v>0</v>
      </c>
    </row>
    <row r="161" spans="1:11" x14ac:dyDescent="0.25">
      <c r="A161">
        <v>160</v>
      </c>
      <c r="B161" s="23">
        <v>1201.115</v>
      </c>
      <c r="C161" s="23">
        <v>536.55999999999995</v>
      </c>
      <c r="D161" s="23">
        <v>2134.4299999999998</v>
      </c>
      <c r="E161" s="23">
        <v>1201.115</v>
      </c>
      <c r="F161" s="23">
        <v>0</v>
      </c>
      <c r="G161" s="23">
        <v>0</v>
      </c>
      <c r="H161" s="23">
        <v>933.31500000000005</v>
      </c>
      <c r="I161" s="23">
        <v>0</v>
      </c>
      <c r="J161" s="23">
        <v>0</v>
      </c>
      <c r="K161" s="23">
        <v>0</v>
      </c>
    </row>
    <row r="162" spans="1:11" x14ac:dyDescent="0.25">
      <c r="A162">
        <v>161</v>
      </c>
      <c r="B162" s="23">
        <v>1181.242</v>
      </c>
      <c r="C162" s="23">
        <v>289.74</v>
      </c>
      <c r="D162" s="23">
        <v>1098.576</v>
      </c>
      <c r="E162" s="23">
        <v>1098.576</v>
      </c>
      <c r="F162" s="23">
        <v>0</v>
      </c>
      <c r="G162" s="23">
        <v>0</v>
      </c>
      <c r="H162" s="23">
        <v>0</v>
      </c>
      <c r="I162" s="23">
        <v>82.665999999999997</v>
      </c>
      <c r="J162" s="23">
        <v>0</v>
      </c>
      <c r="K162" s="23">
        <v>0</v>
      </c>
    </row>
    <row r="163" spans="1:11" x14ac:dyDescent="0.25">
      <c r="A163">
        <v>162</v>
      </c>
      <c r="B163" s="23">
        <v>1081.511</v>
      </c>
      <c r="C163" s="23">
        <v>49.78</v>
      </c>
      <c r="D163" s="23">
        <v>105.697</v>
      </c>
      <c r="E163" s="23">
        <v>105.697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975.81399999999996</v>
      </c>
    </row>
    <row r="164" spans="1:11" x14ac:dyDescent="0.25">
      <c r="A164">
        <v>163</v>
      </c>
      <c r="B164" s="23">
        <v>1008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1008</v>
      </c>
    </row>
    <row r="165" spans="1:11" x14ac:dyDescent="0.25">
      <c r="A165">
        <v>164</v>
      </c>
      <c r="B165" s="23">
        <v>1229.5999999999999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1229.5999999999999</v>
      </c>
    </row>
    <row r="166" spans="1:11" x14ac:dyDescent="0.25">
      <c r="A166">
        <v>165</v>
      </c>
      <c r="B166" s="23">
        <v>845.6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845.6</v>
      </c>
      <c r="J166" s="23">
        <v>0</v>
      </c>
      <c r="K166" s="23">
        <v>0</v>
      </c>
    </row>
    <row r="167" spans="1:11" x14ac:dyDescent="0.25">
      <c r="A167">
        <v>166</v>
      </c>
      <c r="B167" s="23">
        <v>1182.4000000000001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1182.4000000000001</v>
      </c>
      <c r="J167" s="23">
        <v>0</v>
      </c>
      <c r="K167" s="23">
        <v>0</v>
      </c>
    </row>
    <row r="168" spans="1:11" x14ac:dyDescent="0.25">
      <c r="A168">
        <v>167</v>
      </c>
      <c r="B168" s="23">
        <v>1105.5999999999999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1105.5999999999999</v>
      </c>
      <c r="J168" s="23">
        <v>0</v>
      </c>
      <c r="K168" s="23">
        <v>0</v>
      </c>
    </row>
    <row r="169" spans="1:11" x14ac:dyDescent="0.25">
      <c r="A169">
        <v>168</v>
      </c>
      <c r="B169" s="23">
        <v>876.8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876.8</v>
      </c>
      <c r="J169" s="23">
        <v>0</v>
      </c>
      <c r="K169" s="23">
        <v>0</v>
      </c>
    </row>
    <row r="170" spans="1:11" x14ac:dyDescent="0.25">
      <c r="A170">
        <v>169</v>
      </c>
      <c r="B170" s="23">
        <v>1152.8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1152.8</v>
      </c>
      <c r="J170" s="23">
        <v>0</v>
      </c>
      <c r="K170" s="23">
        <v>0</v>
      </c>
    </row>
    <row r="171" spans="1:11" x14ac:dyDescent="0.25">
      <c r="A171">
        <v>170</v>
      </c>
      <c r="B171" s="23">
        <v>1130.4000000000001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1130.4000000000001</v>
      </c>
      <c r="J171" s="23">
        <v>0</v>
      </c>
      <c r="K171" s="23">
        <v>0</v>
      </c>
    </row>
    <row r="172" spans="1:11" x14ac:dyDescent="0.25">
      <c r="A172">
        <v>171</v>
      </c>
      <c r="B172" s="23">
        <v>1128.8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1128.8</v>
      </c>
      <c r="J172" s="23">
        <v>0</v>
      </c>
      <c r="K172" s="23">
        <v>0</v>
      </c>
    </row>
    <row r="173" spans="1:11" x14ac:dyDescent="0.25">
      <c r="A173">
        <v>172</v>
      </c>
      <c r="B173" s="23">
        <v>1064.8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1064.8</v>
      </c>
      <c r="J173" s="23">
        <v>0</v>
      </c>
      <c r="K173" s="23">
        <v>0</v>
      </c>
    </row>
    <row r="174" spans="1:11" x14ac:dyDescent="0.25">
      <c r="A174">
        <v>173</v>
      </c>
      <c r="B174" s="23">
        <v>1179.2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1179.2</v>
      </c>
      <c r="J174" s="23">
        <v>0</v>
      </c>
      <c r="K174" s="23">
        <v>0</v>
      </c>
    </row>
    <row r="175" spans="1:11" x14ac:dyDescent="0.25">
      <c r="A175">
        <v>174</v>
      </c>
      <c r="B175" s="23">
        <v>769.6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769.6</v>
      </c>
      <c r="J175" s="23">
        <v>0</v>
      </c>
      <c r="K175" s="23">
        <v>0</v>
      </c>
    </row>
    <row r="176" spans="1:11" x14ac:dyDescent="0.25">
      <c r="A176">
        <v>175</v>
      </c>
      <c r="B176" s="23">
        <v>1032.8</v>
      </c>
      <c r="C176" s="23">
        <v>53.85</v>
      </c>
      <c r="D176" s="23">
        <v>106.56399999999999</v>
      </c>
      <c r="E176" s="23">
        <v>106.56399999999999</v>
      </c>
      <c r="F176" s="23">
        <v>0</v>
      </c>
      <c r="G176" s="23">
        <v>0</v>
      </c>
      <c r="H176" s="23">
        <v>0</v>
      </c>
      <c r="I176" s="23">
        <v>926.23599999999999</v>
      </c>
      <c r="J176" s="23">
        <v>0</v>
      </c>
      <c r="K176" s="23">
        <v>0</v>
      </c>
    </row>
    <row r="177" spans="1:11" x14ac:dyDescent="0.25">
      <c r="A177">
        <v>176</v>
      </c>
      <c r="B177" s="23">
        <v>1022.571</v>
      </c>
      <c r="C177" s="23">
        <v>223.67</v>
      </c>
      <c r="D177" s="23">
        <v>855.53800000000001</v>
      </c>
      <c r="E177" s="23">
        <v>855.53800000000001</v>
      </c>
      <c r="F177" s="23">
        <v>0</v>
      </c>
      <c r="G177" s="23">
        <v>0</v>
      </c>
      <c r="H177" s="23">
        <v>0</v>
      </c>
      <c r="I177" s="23">
        <v>167.03299999999999</v>
      </c>
      <c r="J177" s="23">
        <v>0</v>
      </c>
      <c r="K177" s="23">
        <v>0</v>
      </c>
    </row>
    <row r="178" spans="1:11" x14ac:dyDescent="0.25">
      <c r="A178">
        <v>177</v>
      </c>
      <c r="B178" s="23">
        <v>1349.0060000000001</v>
      </c>
      <c r="C178" s="23">
        <v>243.7</v>
      </c>
      <c r="D178" s="23">
        <v>958.39300000000003</v>
      </c>
      <c r="E178" s="23">
        <v>958.39300000000003</v>
      </c>
      <c r="F178" s="23">
        <v>0</v>
      </c>
      <c r="G178" s="23">
        <v>0</v>
      </c>
      <c r="H178" s="23">
        <v>0</v>
      </c>
      <c r="I178" s="23">
        <v>390.613</v>
      </c>
      <c r="J178" s="23">
        <v>0</v>
      </c>
      <c r="K178" s="23">
        <v>0</v>
      </c>
    </row>
    <row r="179" spans="1:11" x14ac:dyDescent="0.25">
      <c r="A179">
        <v>178</v>
      </c>
      <c r="B179" s="23">
        <v>1477.914</v>
      </c>
      <c r="C179" s="23">
        <v>188.21</v>
      </c>
      <c r="D179" s="23">
        <v>716.68700000000001</v>
      </c>
      <c r="E179" s="23">
        <v>716.68700000000001</v>
      </c>
      <c r="F179" s="23">
        <v>0</v>
      </c>
      <c r="G179" s="23">
        <v>0</v>
      </c>
      <c r="H179" s="23">
        <v>0</v>
      </c>
      <c r="I179" s="23">
        <v>761.22699999999998</v>
      </c>
      <c r="J179" s="23">
        <v>0</v>
      </c>
      <c r="K179" s="23">
        <v>0</v>
      </c>
    </row>
    <row r="180" spans="1:11" x14ac:dyDescent="0.25">
      <c r="A180">
        <v>179</v>
      </c>
      <c r="B180" s="23">
        <v>1484.4960000000001</v>
      </c>
      <c r="C180" s="23">
        <v>153.65</v>
      </c>
      <c r="D180" s="23">
        <v>571.76700000000005</v>
      </c>
      <c r="E180" s="23">
        <v>571.76700000000005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912.72900000000004</v>
      </c>
    </row>
    <row r="181" spans="1:11" x14ac:dyDescent="0.25">
      <c r="A181">
        <v>180</v>
      </c>
      <c r="B181" s="23">
        <v>1349.6310000000001</v>
      </c>
      <c r="C181" s="23">
        <v>240.6</v>
      </c>
      <c r="D181" s="23">
        <v>911.55499999999995</v>
      </c>
      <c r="E181" s="23">
        <v>911.55499999999995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438.07600000000002</v>
      </c>
    </row>
    <row r="182" spans="1:11" x14ac:dyDescent="0.25">
      <c r="A182">
        <v>181</v>
      </c>
      <c r="B182" s="23">
        <v>1462.0709999999999</v>
      </c>
      <c r="C182" s="23">
        <v>334.34</v>
      </c>
      <c r="D182" s="23">
        <v>1277.72</v>
      </c>
      <c r="E182" s="23">
        <v>1277.72</v>
      </c>
      <c r="F182" s="23">
        <v>0</v>
      </c>
      <c r="G182" s="23">
        <v>0</v>
      </c>
      <c r="H182" s="23">
        <v>0</v>
      </c>
      <c r="I182" s="23">
        <v>184.351</v>
      </c>
      <c r="J182" s="23">
        <v>0</v>
      </c>
      <c r="K182" s="23">
        <v>0</v>
      </c>
    </row>
    <row r="183" spans="1:11" x14ac:dyDescent="0.25">
      <c r="A183">
        <v>182</v>
      </c>
      <c r="B183" s="23">
        <v>1295.145</v>
      </c>
      <c r="C183" s="23">
        <v>645.91999999999996</v>
      </c>
      <c r="D183" s="23">
        <v>2495.1709999999998</v>
      </c>
      <c r="E183" s="23">
        <v>1295.145</v>
      </c>
      <c r="F183" s="23">
        <v>-1200.0260000000001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</row>
    <row r="184" spans="1:11" x14ac:dyDescent="0.25">
      <c r="A184">
        <v>183</v>
      </c>
      <c r="B184" s="23">
        <v>1332.1890000000001</v>
      </c>
      <c r="C184" s="23">
        <v>643.72</v>
      </c>
      <c r="D184" s="23">
        <v>2532.328</v>
      </c>
      <c r="E184" s="23">
        <v>1332.1890000000001</v>
      </c>
      <c r="F184" s="23">
        <v>-1200.1389999999999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</row>
    <row r="185" spans="1:11" x14ac:dyDescent="0.25">
      <c r="A185">
        <v>184</v>
      </c>
      <c r="B185" s="23">
        <v>1434.587</v>
      </c>
      <c r="C185" s="23">
        <v>246.14</v>
      </c>
      <c r="D185" s="23">
        <v>968.952</v>
      </c>
      <c r="E185" s="23">
        <v>968.952</v>
      </c>
      <c r="F185" s="23">
        <v>0</v>
      </c>
      <c r="G185" s="23">
        <v>0</v>
      </c>
      <c r="H185" s="23">
        <v>0</v>
      </c>
      <c r="I185" s="23">
        <v>465.63499999999999</v>
      </c>
      <c r="J185" s="23">
        <v>0</v>
      </c>
      <c r="K185" s="23">
        <v>0</v>
      </c>
    </row>
    <row r="186" spans="1:11" x14ac:dyDescent="0.25">
      <c r="A186">
        <v>185</v>
      </c>
      <c r="B186" s="23">
        <v>1105.5809999999999</v>
      </c>
      <c r="C186" s="23">
        <v>157.18</v>
      </c>
      <c r="D186" s="23">
        <v>601.70799999999997</v>
      </c>
      <c r="E186" s="23">
        <v>601.70799999999997</v>
      </c>
      <c r="F186" s="23">
        <v>0</v>
      </c>
      <c r="G186" s="23">
        <v>0</v>
      </c>
      <c r="H186" s="23">
        <v>0</v>
      </c>
      <c r="I186" s="23">
        <v>503.87299999999999</v>
      </c>
      <c r="J186" s="23">
        <v>0</v>
      </c>
      <c r="K186" s="23">
        <v>0</v>
      </c>
    </row>
    <row r="187" spans="1:11" x14ac:dyDescent="0.25">
      <c r="A187">
        <v>186</v>
      </c>
      <c r="B187" s="23">
        <v>1217.8030000000001</v>
      </c>
      <c r="C187" s="23">
        <v>15.26</v>
      </c>
      <c r="D187" s="23">
        <v>21.273</v>
      </c>
      <c r="E187" s="23">
        <v>21.273</v>
      </c>
      <c r="F187" s="23">
        <v>0</v>
      </c>
      <c r="G187" s="23">
        <v>0</v>
      </c>
      <c r="H187" s="23">
        <v>0</v>
      </c>
      <c r="I187" s="23">
        <v>0</v>
      </c>
      <c r="J187" s="23">
        <v>0</v>
      </c>
      <c r="K187" s="23">
        <v>1196.53</v>
      </c>
    </row>
    <row r="188" spans="1:11" x14ac:dyDescent="0.25">
      <c r="A188">
        <v>187</v>
      </c>
      <c r="B188" s="23">
        <v>1003.211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1003.211</v>
      </c>
    </row>
    <row r="189" spans="1:11" x14ac:dyDescent="0.25">
      <c r="A189">
        <v>188</v>
      </c>
      <c r="B189" s="23">
        <v>1195.2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1195.2</v>
      </c>
    </row>
    <row r="190" spans="1:11" x14ac:dyDescent="0.25">
      <c r="A190">
        <v>189</v>
      </c>
      <c r="B190" s="23">
        <v>1054.4000000000001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0</v>
      </c>
      <c r="I190" s="23">
        <v>1054.4000000000001</v>
      </c>
      <c r="J190" s="23">
        <v>0</v>
      </c>
      <c r="K190" s="23">
        <v>0</v>
      </c>
    </row>
    <row r="191" spans="1:11" x14ac:dyDescent="0.25">
      <c r="A191">
        <v>190</v>
      </c>
      <c r="B191" s="23">
        <v>1257.5999999999999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3">
        <v>1257.5999999999999</v>
      </c>
      <c r="J191" s="23">
        <v>0</v>
      </c>
      <c r="K191" s="23">
        <v>0</v>
      </c>
    </row>
    <row r="192" spans="1:11" x14ac:dyDescent="0.25">
      <c r="A192">
        <v>191</v>
      </c>
      <c r="B192" s="23">
        <v>1286.4000000000001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1286.4000000000001</v>
      </c>
      <c r="J192" s="23">
        <v>0</v>
      </c>
      <c r="K192" s="23">
        <v>0</v>
      </c>
    </row>
    <row r="193" spans="1:11" x14ac:dyDescent="0.25">
      <c r="A193">
        <v>192</v>
      </c>
      <c r="B193" s="23">
        <v>1148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3">
        <v>1148</v>
      </c>
      <c r="J193" s="23">
        <v>0</v>
      </c>
      <c r="K193" s="23">
        <v>0</v>
      </c>
    </row>
    <row r="194" spans="1:11" x14ac:dyDescent="0.25">
      <c r="A194">
        <v>193</v>
      </c>
      <c r="B194" s="23">
        <v>1193.5999999999999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1193.5999999999999</v>
      </c>
      <c r="J194" s="23">
        <v>0</v>
      </c>
      <c r="K194" s="23">
        <v>0</v>
      </c>
    </row>
    <row r="195" spans="1:11" x14ac:dyDescent="0.25">
      <c r="A195">
        <v>194</v>
      </c>
      <c r="B195" s="23">
        <v>937.6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937.6</v>
      </c>
      <c r="J195" s="23">
        <v>0</v>
      </c>
      <c r="K195" s="23">
        <v>0</v>
      </c>
    </row>
    <row r="196" spans="1:11" x14ac:dyDescent="0.25">
      <c r="A196">
        <v>195</v>
      </c>
      <c r="B196" s="23">
        <v>1222.4000000000001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1222.4000000000001</v>
      </c>
      <c r="J196" s="23">
        <v>0</v>
      </c>
      <c r="K196" s="23">
        <v>0</v>
      </c>
    </row>
    <row r="197" spans="1:11" x14ac:dyDescent="0.25">
      <c r="A197">
        <v>196</v>
      </c>
      <c r="B197" s="23">
        <v>1073.5999999999999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1073.5999999999999</v>
      </c>
      <c r="J197" s="23">
        <v>0</v>
      </c>
      <c r="K197" s="23">
        <v>0</v>
      </c>
    </row>
    <row r="198" spans="1:11" x14ac:dyDescent="0.25">
      <c r="A198">
        <v>197</v>
      </c>
      <c r="B198" s="23">
        <v>942.4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942.4</v>
      </c>
      <c r="J198" s="23">
        <v>0</v>
      </c>
      <c r="K198" s="23">
        <v>0</v>
      </c>
    </row>
    <row r="199" spans="1:11" x14ac:dyDescent="0.25">
      <c r="A199">
        <v>198</v>
      </c>
      <c r="B199" s="23">
        <v>1051.2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1051.2</v>
      </c>
      <c r="J199" s="23">
        <v>0</v>
      </c>
      <c r="K199" s="23">
        <v>0</v>
      </c>
    </row>
    <row r="200" spans="1:11" x14ac:dyDescent="0.25">
      <c r="A200">
        <v>199</v>
      </c>
      <c r="B200" s="23">
        <v>951.2</v>
      </c>
      <c r="C200" s="23">
        <v>50.52</v>
      </c>
      <c r="D200" s="23">
        <v>96.977000000000004</v>
      </c>
      <c r="E200" s="23">
        <v>96.977000000000004</v>
      </c>
      <c r="F200" s="23">
        <v>0</v>
      </c>
      <c r="G200" s="23">
        <v>0</v>
      </c>
      <c r="H200" s="23">
        <v>0</v>
      </c>
      <c r="I200" s="23">
        <v>254.15899999999999</v>
      </c>
      <c r="J200" s="23">
        <v>0</v>
      </c>
      <c r="K200" s="23">
        <v>600.06399999999996</v>
      </c>
    </row>
    <row r="201" spans="1:11" x14ac:dyDescent="0.25">
      <c r="A201">
        <v>200</v>
      </c>
      <c r="B201" s="23">
        <v>1114.771</v>
      </c>
      <c r="C201" s="23">
        <v>251.16</v>
      </c>
      <c r="D201" s="23">
        <v>965.45500000000004</v>
      </c>
      <c r="E201" s="23">
        <v>965.45500000000004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149.316</v>
      </c>
    </row>
    <row r="202" spans="1:11" x14ac:dyDescent="0.25">
      <c r="A202">
        <v>201</v>
      </c>
      <c r="B202" s="23">
        <v>1167.854</v>
      </c>
      <c r="C202" s="23">
        <v>534.22</v>
      </c>
      <c r="D202" s="23">
        <v>2158.973</v>
      </c>
      <c r="E202" s="23">
        <v>1167.854</v>
      </c>
      <c r="F202" s="23">
        <v>-991.11900000000003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pans="1:11" x14ac:dyDescent="0.25">
      <c r="A203">
        <v>202</v>
      </c>
      <c r="B203" s="23">
        <v>1664.173</v>
      </c>
      <c r="C203" s="23">
        <v>736.26</v>
      </c>
      <c r="D203" s="23">
        <v>2883.6509999999998</v>
      </c>
      <c r="E203" s="23">
        <v>1664.173</v>
      </c>
      <c r="F203" s="23">
        <v>-1219.4780000000001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pans="1:11" x14ac:dyDescent="0.25">
      <c r="A204">
        <v>203</v>
      </c>
      <c r="B204" s="23">
        <v>1338.6320000000001</v>
      </c>
      <c r="C204" s="23">
        <v>879.42</v>
      </c>
      <c r="D204" s="23">
        <v>3355.0630000000001</v>
      </c>
      <c r="E204" s="23">
        <v>1338.6320000000001</v>
      </c>
      <c r="F204" s="23">
        <v>-1684.559</v>
      </c>
      <c r="G204" s="23">
        <v>0</v>
      </c>
      <c r="H204" s="23">
        <v>331.87200000000001</v>
      </c>
      <c r="I204" s="23">
        <v>0</v>
      </c>
      <c r="J204" s="23">
        <v>0</v>
      </c>
      <c r="K204" s="23">
        <v>0</v>
      </c>
    </row>
    <row r="205" spans="1:11" x14ac:dyDescent="0.25">
      <c r="A205">
        <v>204</v>
      </c>
      <c r="B205" s="23">
        <v>1317.153</v>
      </c>
      <c r="C205" s="23">
        <v>957.52</v>
      </c>
      <c r="D205" s="23">
        <v>3591.5410000000002</v>
      </c>
      <c r="E205" s="23">
        <v>1317.153</v>
      </c>
      <c r="F205" s="23">
        <v>-1684.559</v>
      </c>
      <c r="G205" s="23">
        <v>0</v>
      </c>
      <c r="H205" s="23">
        <v>589.82899999999995</v>
      </c>
      <c r="I205" s="23">
        <v>0</v>
      </c>
      <c r="J205" s="23">
        <v>0</v>
      </c>
      <c r="K205" s="23">
        <v>0</v>
      </c>
    </row>
    <row r="206" spans="1:11" x14ac:dyDescent="0.25">
      <c r="A206">
        <v>205</v>
      </c>
      <c r="B206" s="23">
        <v>1355.422</v>
      </c>
      <c r="C206" s="23">
        <v>953.81</v>
      </c>
      <c r="D206" s="23">
        <v>3565.9760000000001</v>
      </c>
      <c r="E206" s="23">
        <v>1355.423</v>
      </c>
      <c r="F206" s="23">
        <v>-1684.559</v>
      </c>
      <c r="G206" s="23">
        <v>0</v>
      </c>
      <c r="H206" s="23">
        <v>525.99400000000003</v>
      </c>
      <c r="I206" s="23">
        <v>0</v>
      </c>
      <c r="J206" s="23">
        <v>0</v>
      </c>
      <c r="K206" s="23">
        <v>0</v>
      </c>
    </row>
    <row r="207" spans="1:11" x14ac:dyDescent="0.25">
      <c r="A207">
        <v>206</v>
      </c>
      <c r="B207" s="23">
        <v>1226.9960000000001</v>
      </c>
      <c r="C207" s="23">
        <v>674.24</v>
      </c>
      <c r="D207" s="23">
        <v>2576.5880000000002</v>
      </c>
      <c r="E207" s="23">
        <v>1226.9949999999999</v>
      </c>
      <c r="F207" s="23">
        <v>-27.224</v>
      </c>
      <c r="G207" s="23">
        <v>0</v>
      </c>
      <c r="H207" s="23">
        <v>1322.3689999999999</v>
      </c>
      <c r="I207" s="23">
        <v>0</v>
      </c>
      <c r="J207" s="23">
        <v>0</v>
      </c>
      <c r="K207" s="23">
        <v>0</v>
      </c>
    </row>
    <row r="208" spans="1:11" x14ac:dyDescent="0.25">
      <c r="A208">
        <v>207</v>
      </c>
      <c r="B208" s="23">
        <v>1258.144</v>
      </c>
      <c r="C208" s="23">
        <v>534.86</v>
      </c>
      <c r="D208" s="23">
        <v>2071.7489999999998</v>
      </c>
      <c r="E208" s="23">
        <v>1258.144</v>
      </c>
      <c r="F208" s="23">
        <v>0</v>
      </c>
      <c r="G208" s="23">
        <v>0</v>
      </c>
      <c r="H208" s="23">
        <v>813.60500000000002</v>
      </c>
      <c r="I208" s="23">
        <v>0</v>
      </c>
      <c r="J208" s="23">
        <v>0</v>
      </c>
      <c r="K208" s="23">
        <v>0</v>
      </c>
    </row>
    <row r="209" spans="1:11" x14ac:dyDescent="0.25">
      <c r="A209">
        <v>208</v>
      </c>
      <c r="B209" s="23">
        <v>1216.588</v>
      </c>
      <c r="C209" s="23">
        <v>276.81</v>
      </c>
      <c r="D209" s="23">
        <v>1086.5920000000001</v>
      </c>
      <c r="E209" s="23">
        <v>1086.5920000000001</v>
      </c>
      <c r="F209" s="23">
        <v>0</v>
      </c>
      <c r="G209" s="23">
        <v>0</v>
      </c>
      <c r="H209" s="23">
        <v>0</v>
      </c>
      <c r="I209" s="23">
        <v>129.99600000000001</v>
      </c>
      <c r="J209" s="23">
        <v>0</v>
      </c>
      <c r="K209" s="23">
        <v>0</v>
      </c>
    </row>
    <row r="210" spans="1:11" x14ac:dyDescent="0.25">
      <c r="A210">
        <v>209</v>
      </c>
      <c r="B210" s="23">
        <v>1274.1199999999999</v>
      </c>
      <c r="C210" s="23">
        <v>227.69</v>
      </c>
      <c r="D210" s="23">
        <v>869.94500000000005</v>
      </c>
      <c r="E210" s="23">
        <v>869.94500000000005</v>
      </c>
      <c r="F210" s="23">
        <v>0</v>
      </c>
      <c r="G210" s="23">
        <v>0</v>
      </c>
      <c r="H210" s="23">
        <v>0</v>
      </c>
      <c r="I210" s="23">
        <v>404.17500000000001</v>
      </c>
      <c r="J210" s="23">
        <v>0</v>
      </c>
      <c r="K210" s="23">
        <v>0</v>
      </c>
    </row>
    <row r="211" spans="1:11" x14ac:dyDescent="0.25">
      <c r="A211">
        <v>210</v>
      </c>
      <c r="B211" s="23">
        <v>1113.6210000000001</v>
      </c>
      <c r="C211" s="23">
        <v>41.65</v>
      </c>
      <c r="D211" s="23">
        <v>89.341999999999999</v>
      </c>
      <c r="E211" s="23">
        <v>89.341999999999999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1024.279</v>
      </c>
    </row>
    <row r="212" spans="1:11" x14ac:dyDescent="0.25">
      <c r="A212">
        <v>211</v>
      </c>
      <c r="B212" s="23">
        <v>1163.2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1163.2</v>
      </c>
    </row>
    <row r="213" spans="1:11" x14ac:dyDescent="0.25">
      <c r="A213">
        <v>212</v>
      </c>
      <c r="B213" s="23">
        <v>1064</v>
      </c>
      <c r="C213" s="23">
        <v>0</v>
      </c>
      <c r="D213" s="23">
        <v>0</v>
      </c>
      <c r="E213" s="23">
        <v>0</v>
      </c>
      <c r="F213" s="23">
        <v>0</v>
      </c>
      <c r="G213" s="23">
        <v>0</v>
      </c>
      <c r="H213" s="23">
        <v>0</v>
      </c>
      <c r="I213" s="23">
        <v>0</v>
      </c>
      <c r="J213" s="23">
        <v>0</v>
      </c>
      <c r="K213" s="23">
        <v>1064</v>
      </c>
    </row>
    <row r="214" spans="1:11" x14ac:dyDescent="0.25">
      <c r="A214">
        <v>213</v>
      </c>
      <c r="B214" s="23">
        <v>1449.6</v>
      </c>
      <c r="C214" s="23">
        <v>0</v>
      </c>
      <c r="D214" s="23">
        <v>0</v>
      </c>
      <c r="E214" s="23">
        <v>0</v>
      </c>
      <c r="F214" s="23">
        <v>0</v>
      </c>
      <c r="G214" s="23">
        <v>0</v>
      </c>
      <c r="H214" s="23">
        <v>0</v>
      </c>
      <c r="I214" s="23">
        <v>1449.6</v>
      </c>
      <c r="J214" s="23">
        <v>0</v>
      </c>
      <c r="K214" s="23">
        <v>0</v>
      </c>
    </row>
    <row r="215" spans="1:11" x14ac:dyDescent="0.25">
      <c r="A215">
        <v>214</v>
      </c>
      <c r="B215" s="23">
        <v>1246.4000000000001</v>
      </c>
      <c r="C215" s="23">
        <v>0</v>
      </c>
      <c r="D215" s="23">
        <v>0</v>
      </c>
      <c r="E215" s="23">
        <v>0</v>
      </c>
      <c r="F215" s="23">
        <v>0</v>
      </c>
      <c r="G215" s="23">
        <v>0</v>
      </c>
      <c r="H215" s="23">
        <v>0</v>
      </c>
      <c r="I215" s="23">
        <v>1246.4000000000001</v>
      </c>
      <c r="J215" s="23">
        <v>0</v>
      </c>
      <c r="K215" s="23">
        <v>0</v>
      </c>
    </row>
    <row r="216" spans="1:11" x14ac:dyDescent="0.25">
      <c r="A216">
        <v>215</v>
      </c>
      <c r="B216" s="23">
        <v>1491.2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1491.2</v>
      </c>
      <c r="J216" s="23">
        <v>0</v>
      </c>
      <c r="K216" s="23">
        <v>0</v>
      </c>
    </row>
    <row r="217" spans="1:11" x14ac:dyDescent="0.25">
      <c r="A217">
        <v>216</v>
      </c>
      <c r="B217" s="23">
        <v>1336.8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1336.8</v>
      </c>
      <c r="J217" s="23">
        <v>0</v>
      </c>
      <c r="K217" s="23">
        <v>0</v>
      </c>
    </row>
    <row r="218" spans="1:11" x14ac:dyDescent="0.25">
      <c r="A218">
        <v>217</v>
      </c>
      <c r="B218" s="23">
        <v>1711.2</v>
      </c>
      <c r="C218" s="23">
        <v>0</v>
      </c>
      <c r="D218" s="23">
        <v>0</v>
      </c>
      <c r="E218" s="23">
        <v>0</v>
      </c>
      <c r="F218" s="23">
        <v>0</v>
      </c>
      <c r="G218" s="23">
        <v>0</v>
      </c>
      <c r="H218" s="23">
        <v>0</v>
      </c>
      <c r="I218" s="23">
        <v>1711.2</v>
      </c>
      <c r="J218" s="23">
        <v>0</v>
      </c>
      <c r="K218" s="23">
        <v>0</v>
      </c>
    </row>
    <row r="219" spans="1:11" x14ac:dyDescent="0.25">
      <c r="A219">
        <v>218</v>
      </c>
      <c r="B219" s="23">
        <v>1122.4000000000001</v>
      </c>
      <c r="C219" s="23">
        <v>0</v>
      </c>
      <c r="D219" s="23">
        <v>0</v>
      </c>
      <c r="E219" s="23">
        <v>0</v>
      </c>
      <c r="F219" s="23">
        <v>0</v>
      </c>
      <c r="G219" s="23">
        <v>0</v>
      </c>
      <c r="H219" s="23">
        <v>0</v>
      </c>
      <c r="I219" s="23">
        <v>1122.4000000000001</v>
      </c>
      <c r="J219" s="23">
        <v>0</v>
      </c>
      <c r="K219" s="23">
        <v>0</v>
      </c>
    </row>
    <row r="220" spans="1:11" x14ac:dyDescent="0.25">
      <c r="A220">
        <v>219</v>
      </c>
      <c r="B220" s="23">
        <v>1392</v>
      </c>
      <c r="C220" s="23">
        <v>0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3">
        <v>1392</v>
      </c>
      <c r="J220" s="23">
        <v>0</v>
      </c>
      <c r="K220" s="23">
        <v>0</v>
      </c>
    </row>
    <row r="221" spans="1:11" x14ac:dyDescent="0.25">
      <c r="A221">
        <v>220</v>
      </c>
      <c r="B221" s="23">
        <v>1262.4000000000001</v>
      </c>
      <c r="C221" s="23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1262.4000000000001</v>
      </c>
      <c r="J221" s="23">
        <v>0</v>
      </c>
      <c r="K221" s="23">
        <v>0</v>
      </c>
    </row>
    <row r="222" spans="1:11" x14ac:dyDescent="0.25">
      <c r="A222">
        <v>221</v>
      </c>
      <c r="B222" s="23">
        <v>1117.5999999999999</v>
      </c>
      <c r="C222" s="23">
        <v>0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837.86699999999996</v>
      </c>
      <c r="J222" s="23">
        <v>0</v>
      </c>
      <c r="K222" s="23">
        <v>279.733</v>
      </c>
    </row>
    <row r="223" spans="1:11" x14ac:dyDescent="0.25">
      <c r="A223">
        <v>222</v>
      </c>
      <c r="B223" s="23">
        <v>1514.4</v>
      </c>
      <c r="C223" s="23">
        <v>0</v>
      </c>
      <c r="D223" s="23">
        <v>0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1514.4</v>
      </c>
    </row>
    <row r="224" spans="1:11" x14ac:dyDescent="0.25">
      <c r="A224">
        <v>223</v>
      </c>
      <c r="B224" s="23">
        <v>1350.4</v>
      </c>
      <c r="C224" s="23">
        <v>47.44</v>
      </c>
      <c r="D224" s="23">
        <v>86.216999999999999</v>
      </c>
      <c r="E224" s="23">
        <v>86.216999999999999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1264.183</v>
      </c>
    </row>
    <row r="225" spans="1:11" x14ac:dyDescent="0.25">
      <c r="A225">
        <v>224</v>
      </c>
      <c r="B225" s="23">
        <v>1353.11</v>
      </c>
      <c r="C225" s="23">
        <v>288.76</v>
      </c>
      <c r="D225" s="23">
        <v>1111.057</v>
      </c>
      <c r="E225" s="23">
        <v>1111.057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242.053</v>
      </c>
    </row>
    <row r="226" spans="1:11" x14ac:dyDescent="0.25">
      <c r="A226">
        <v>225</v>
      </c>
      <c r="B226" s="23">
        <v>1445.4280000000001</v>
      </c>
      <c r="C226" s="23">
        <v>534.75</v>
      </c>
      <c r="D226" s="23">
        <v>2174.46</v>
      </c>
      <c r="E226" s="23">
        <v>1445.4280000000001</v>
      </c>
      <c r="F226" s="23">
        <v>-729.03200000000004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</row>
    <row r="227" spans="1:11" x14ac:dyDescent="0.25">
      <c r="A227">
        <v>226</v>
      </c>
      <c r="B227" s="23">
        <v>1336.752</v>
      </c>
      <c r="C227" s="23">
        <v>734.82</v>
      </c>
      <c r="D227" s="23">
        <v>2905.6990000000001</v>
      </c>
      <c r="E227" s="23">
        <v>1336.752</v>
      </c>
      <c r="F227" s="23">
        <v>-1568.9469999999999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</row>
    <row r="228" spans="1:11" x14ac:dyDescent="0.25">
      <c r="A228">
        <v>227</v>
      </c>
      <c r="B228" s="23">
        <v>1366.848</v>
      </c>
      <c r="C228" s="23">
        <v>874.29</v>
      </c>
      <c r="D228" s="23">
        <v>3375.68</v>
      </c>
      <c r="E228" s="23">
        <v>1366.8489999999999</v>
      </c>
      <c r="F228" s="23">
        <v>-1684.559</v>
      </c>
      <c r="G228" s="23">
        <v>0</v>
      </c>
      <c r="H228" s="23">
        <v>324.27199999999999</v>
      </c>
      <c r="I228" s="23">
        <v>0</v>
      </c>
      <c r="J228" s="23">
        <v>0</v>
      </c>
      <c r="K228" s="23">
        <v>0</v>
      </c>
    </row>
    <row r="229" spans="1:11" x14ac:dyDescent="0.25">
      <c r="A229">
        <v>228</v>
      </c>
      <c r="B229" s="23">
        <v>1423.45</v>
      </c>
      <c r="C229" s="23">
        <v>954.03</v>
      </c>
      <c r="D229" s="23">
        <v>3629.9589999999998</v>
      </c>
      <c r="E229" s="23">
        <v>1423.451</v>
      </c>
      <c r="F229" s="23">
        <v>-1684.559</v>
      </c>
      <c r="G229" s="23">
        <v>0</v>
      </c>
      <c r="H229" s="23">
        <v>521.94899999999996</v>
      </c>
      <c r="I229" s="23">
        <v>0</v>
      </c>
      <c r="J229" s="23">
        <v>0</v>
      </c>
      <c r="K229" s="23">
        <v>0</v>
      </c>
    </row>
    <row r="230" spans="1:11" x14ac:dyDescent="0.25">
      <c r="A230">
        <v>229</v>
      </c>
      <c r="B230" s="23">
        <v>1626.9090000000001</v>
      </c>
      <c r="C230" s="23">
        <v>542.36</v>
      </c>
      <c r="D230" s="23">
        <v>2085.4479999999999</v>
      </c>
      <c r="E230" s="23">
        <v>1626.9090000000001</v>
      </c>
      <c r="F230" s="23">
        <v>-458.53899999999999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</row>
    <row r="231" spans="1:11" x14ac:dyDescent="0.25">
      <c r="A231">
        <v>230</v>
      </c>
      <c r="B231" s="23">
        <v>1552.3009999999999</v>
      </c>
      <c r="C231" s="23">
        <v>666.6</v>
      </c>
      <c r="D231" s="23">
        <v>2572.6309999999999</v>
      </c>
      <c r="E231" s="23">
        <v>1552.3009999999999</v>
      </c>
      <c r="F231" s="23">
        <v>-1020.33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</row>
    <row r="232" spans="1:11" x14ac:dyDescent="0.25">
      <c r="A232">
        <v>231</v>
      </c>
      <c r="B232" s="23">
        <v>1372.9369999999999</v>
      </c>
      <c r="C232" s="23">
        <v>710.42</v>
      </c>
      <c r="D232" s="23">
        <v>2777.2620000000002</v>
      </c>
      <c r="E232" s="23">
        <v>1372.9369999999999</v>
      </c>
      <c r="F232" s="23">
        <v>-145.53200000000001</v>
      </c>
      <c r="G232" s="23">
        <v>0</v>
      </c>
      <c r="H232" s="23">
        <v>1258.7929999999999</v>
      </c>
      <c r="I232" s="23">
        <v>0</v>
      </c>
      <c r="J232" s="23">
        <v>0</v>
      </c>
      <c r="K232" s="23">
        <v>0</v>
      </c>
    </row>
    <row r="233" spans="1:11" x14ac:dyDescent="0.25">
      <c r="A233">
        <v>232</v>
      </c>
      <c r="B233" s="23">
        <v>1588.328</v>
      </c>
      <c r="C233" s="23">
        <v>518.45000000000005</v>
      </c>
      <c r="D233" s="23">
        <v>2078.0770000000002</v>
      </c>
      <c r="E233" s="23">
        <v>1588.328</v>
      </c>
      <c r="F233" s="23">
        <v>0</v>
      </c>
      <c r="G233" s="23">
        <v>0</v>
      </c>
      <c r="H233" s="23">
        <v>489.74900000000002</v>
      </c>
      <c r="I233" s="23">
        <v>0</v>
      </c>
      <c r="J233" s="23">
        <v>0</v>
      </c>
      <c r="K233" s="23">
        <v>0</v>
      </c>
    </row>
    <row r="234" spans="1:11" x14ac:dyDescent="0.25">
      <c r="A234">
        <v>233</v>
      </c>
      <c r="B234" s="23">
        <v>1609.75</v>
      </c>
      <c r="C234" s="23">
        <v>207.82</v>
      </c>
      <c r="D234" s="23">
        <v>794.75699999999995</v>
      </c>
      <c r="E234" s="23">
        <v>794.75699999999995</v>
      </c>
      <c r="F234" s="23">
        <v>0</v>
      </c>
      <c r="G234" s="23">
        <v>0</v>
      </c>
      <c r="H234" s="23">
        <v>0</v>
      </c>
      <c r="I234" s="23">
        <v>814.99300000000005</v>
      </c>
      <c r="J234" s="23">
        <v>0</v>
      </c>
      <c r="K234" s="23">
        <v>0</v>
      </c>
    </row>
    <row r="235" spans="1:11" x14ac:dyDescent="0.25">
      <c r="A235">
        <v>234</v>
      </c>
      <c r="B235" s="23">
        <v>1634.626</v>
      </c>
      <c r="C235" s="23">
        <v>42.19</v>
      </c>
      <c r="D235" s="23">
        <v>92.668999999999997</v>
      </c>
      <c r="E235" s="23">
        <v>92.668999999999997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1541.9570000000001</v>
      </c>
    </row>
    <row r="236" spans="1:11" x14ac:dyDescent="0.25">
      <c r="A236">
        <v>235</v>
      </c>
      <c r="B236" s="23">
        <v>1760.002</v>
      </c>
      <c r="C236" s="23">
        <v>0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75.442999999999998</v>
      </c>
      <c r="J236" s="23">
        <v>0</v>
      </c>
      <c r="K236" s="23">
        <v>1684.559</v>
      </c>
    </row>
    <row r="237" spans="1:11" x14ac:dyDescent="0.25">
      <c r="A237">
        <v>236</v>
      </c>
      <c r="B237" s="23">
        <v>1500</v>
      </c>
      <c r="C237" s="23">
        <v>0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1500</v>
      </c>
    </row>
    <row r="238" spans="1:11" x14ac:dyDescent="0.25">
      <c r="A238">
        <v>237</v>
      </c>
      <c r="B238" s="23">
        <v>1500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1500</v>
      </c>
      <c r="J238" s="23">
        <v>0</v>
      </c>
      <c r="K238" s="23">
        <v>0</v>
      </c>
    </row>
    <row r="239" spans="1:11" x14ac:dyDescent="0.25">
      <c r="A239">
        <v>238</v>
      </c>
      <c r="B239" s="23">
        <v>1466.4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1466.4</v>
      </c>
      <c r="J239" s="23">
        <v>0</v>
      </c>
      <c r="K239" s="23">
        <v>0</v>
      </c>
    </row>
    <row r="240" spans="1:11" x14ac:dyDescent="0.25">
      <c r="A240">
        <v>239</v>
      </c>
      <c r="B240" s="23">
        <v>1682.4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1682.4</v>
      </c>
      <c r="J240" s="23">
        <v>0</v>
      </c>
      <c r="K240" s="23">
        <v>0</v>
      </c>
    </row>
    <row r="241" spans="1:11" x14ac:dyDescent="0.25">
      <c r="A241">
        <v>240</v>
      </c>
      <c r="B241" s="23">
        <v>1397.6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1397.6</v>
      </c>
      <c r="J241" s="23">
        <v>0</v>
      </c>
      <c r="K241" s="23">
        <v>0</v>
      </c>
    </row>
    <row r="242" spans="1:11" x14ac:dyDescent="0.25">
      <c r="A242">
        <v>241</v>
      </c>
      <c r="B242" s="23">
        <v>1472.8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1472.8</v>
      </c>
      <c r="J242" s="23">
        <v>0</v>
      </c>
      <c r="K242" s="23">
        <v>0</v>
      </c>
    </row>
    <row r="243" spans="1:11" x14ac:dyDescent="0.25">
      <c r="A243">
        <v>242</v>
      </c>
      <c r="B243" s="23">
        <v>1350.4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1350.4</v>
      </c>
      <c r="J243" s="23">
        <v>0</v>
      </c>
      <c r="K243" s="23">
        <v>0</v>
      </c>
    </row>
    <row r="244" spans="1:11" x14ac:dyDescent="0.25">
      <c r="A244">
        <v>243</v>
      </c>
      <c r="B244" s="23">
        <v>1287.2</v>
      </c>
      <c r="C244" s="23">
        <v>0</v>
      </c>
      <c r="D244" s="23">
        <v>0</v>
      </c>
      <c r="E244" s="23">
        <v>0</v>
      </c>
      <c r="F244" s="23">
        <v>0</v>
      </c>
      <c r="G244" s="23">
        <v>0</v>
      </c>
      <c r="H244" s="23">
        <v>0</v>
      </c>
      <c r="I244" s="23">
        <v>1287.2</v>
      </c>
      <c r="J244" s="23">
        <v>0</v>
      </c>
      <c r="K244" s="23">
        <v>0</v>
      </c>
    </row>
    <row r="245" spans="1:11" x14ac:dyDescent="0.25">
      <c r="A245">
        <v>244</v>
      </c>
      <c r="B245" s="23">
        <v>1179.2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1179.2</v>
      </c>
      <c r="J245" s="23">
        <v>0</v>
      </c>
      <c r="K245" s="23">
        <v>0</v>
      </c>
    </row>
    <row r="246" spans="1:11" x14ac:dyDescent="0.25">
      <c r="A246">
        <v>245</v>
      </c>
      <c r="B246" s="23">
        <v>1111.2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1111.2</v>
      </c>
      <c r="J246" s="23">
        <v>0</v>
      </c>
      <c r="K246" s="23">
        <v>0</v>
      </c>
    </row>
    <row r="247" spans="1:11" x14ac:dyDescent="0.25">
      <c r="A247">
        <v>246</v>
      </c>
      <c r="B247" s="23">
        <v>1189.5999999999999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1189.5999999999999</v>
      </c>
      <c r="J247" s="23">
        <v>0</v>
      </c>
      <c r="K247" s="23">
        <v>0</v>
      </c>
    </row>
    <row r="248" spans="1:11" x14ac:dyDescent="0.25">
      <c r="A248">
        <v>247</v>
      </c>
      <c r="B248" s="23">
        <v>1056</v>
      </c>
      <c r="C248" s="23">
        <v>39.39</v>
      </c>
      <c r="D248" s="23">
        <v>67.635000000000005</v>
      </c>
      <c r="E248" s="23">
        <v>67.635000000000005</v>
      </c>
      <c r="F248" s="23">
        <v>0</v>
      </c>
      <c r="G248" s="23">
        <v>0</v>
      </c>
      <c r="H248" s="23">
        <v>0</v>
      </c>
      <c r="I248" s="23">
        <v>988.36500000000001</v>
      </c>
      <c r="J248" s="23">
        <v>0</v>
      </c>
      <c r="K248" s="23">
        <v>0</v>
      </c>
    </row>
    <row r="249" spans="1:11" x14ac:dyDescent="0.25">
      <c r="A249">
        <v>248</v>
      </c>
      <c r="B249" s="23">
        <v>1007.057</v>
      </c>
      <c r="C249" s="23">
        <v>218.76</v>
      </c>
      <c r="D249" s="23">
        <v>844.98400000000004</v>
      </c>
      <c r="E249" s="23">
        <v>844.98400000000004</v>
      </c>
      <c r="F249" s="23">
        <v>0</v>
      </c>
      <c r="G249" s="23">
        <v>0</v>
      </c>
      <c r="H249" s="23">
        <v>0</v>
      </c>
      <c r="I249" s="23">
        <v>162.07300000000001</v>
      </c>
      <c r="J249" s="23">
        <v>0</v>
      </c>
      <c r="K249" s="23">
        <v>0</v>
      </c>
    </row>
    <row r="250" spans="1:11" x14ac:dyDescent="0.25">
      <c r="A250">
        <v>249</v>
      </c>
      <c r="B250" s="23">
        <v>1526.413</v>
      </c>
      <c r="C250" s="23">
        <v>231.29</v>
      </c>
      <c r="D250" s="23">
        <v>912.08199999999999</v>
      </c>
      <c r="E250" s="23">
        <v>912.08199999999999</v>
      </c>
      <c r="F250" s="23">
        <v>0</v>
      </c>
      <c r="G250" s="23">
        <v>0</v>
      </c>
      <c r="H250" s="23">
        <v>0</v>
      </c>
      <c r="I250" s="23">
        <v>614.33100000000002</v>
      </c>
      <c r="J250" s="23">
        <v>0</v>
      </c>
      <c r="K250" s="23">
        <v>0</v>
      </c>
    </row>
    <row r="251" spans="1:11" x14ac:dyDescent="0.25">
      <c r="A251">
        <v>250</v>
      </c>
      <c r="B251" s="23">
        <v>1751.451</v>
      </c>
      <c r="C251" s="23">
        <v>590.39</v>
      </c>
      <c r="D251" s="23">
        <v>2320.2170000000001</v>
      </c>
      <c r="E251" s="23">
        <v>1751.451</v>
      </c>
      <c r="F251" s="23">
        <v>-568.76599999999996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pans="1:11" x14ac:dyDescent="0.25">
      <c r="A252">
        <v>251</v>
      </c>
      <c r="B252" s="23">
        <v>1601.404</v>
      </c>
      <c r="C252" s="23">
        <v>863.35</v>
      </c>
      <c r="D252" s="23">
        <v>3300.172</v>
      </c>
      <c r="E252" s="23">
        <v>1601.405</v>
      </c>
      <c r="F252" s="23">
        <v>-1684.559</v>
      </c>
      <c r="G252" s="23">
        <v>0</v>
      </c>
      <c r="H252" s="23">
        <v>14.208</v>
      </c>
      <c r="I252" s="23">
        <v>0</v>
      </c>
      <c r="J252" s="23">
        <v>0</v>
      </c>
      <c r="K252" s="23">
        <v>0</v>
      </c>
    </row>
    <row r="253" spans="1:11" x14ac:dyDescent="0.25">
      <c r="A253">
        <v>252</v>
      </c>
      <c r="B253" s="23">
        <v>1468.1130000000001</v>
      </c>
      <c r="C253" s="23">
        <v>804.31</v>
      </c>
      <c r="D253" s="23">
        <v>3043.8780000000002</v>
      </c>
      <c r="E253" s="23">
        <v>1468.1130000000001</v>
      </c>
      <c r="F253" s="23">
        <v>-1575.7650000000001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pans="1:11" x14ac:dyDescent="0.25">
      <c r="A254">
        <v>253</v>
      </c>
      <c r="B254" s="23">
        <v>1613.9670000000001</v>
      </c>
      <c r="C254" s="23">
        <v>632.07000000000005</v>
      </c>
      <c r="D254" s="23">
        <v>2399.62</v>
      </c>
      <c r="E254" s="23">
        <v>1613.9670000000001</v>
      </c>
      <c r="F254" s="23">
        <v>-785.65300000000002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pans="1:11" x14ac:dyDescent="0.25">
      <c r="A255">
        <v>254</v>
      </c>
      <c r="B255" s="23">
        <v>1643.4849999999999</v>
      </c>
      <c r="C255" s="23">
        <v>354.16</v>
      </c>
      <c r="D255" s="23">
        <v>1351.854</v>
      </c>
      <c r="E255" s="23">
        <v>1351.854</v>
      </c>
      <c r="F255" s="23">
        <v>0</v>
      </c>
      <c r="G255" s="23">
        <v>0</v>
      </c>
      <c r="H255" s="23">
        <v>0</v>
      </c>
      <c r="I255" s="23">
        <v>129.68199999999999</v>
      </c>
      <c r="J255" s="23">
        <v>0</v>
      </c>
      <c r="K255" s="23">
        <v>161.94999999999999</v>
      </c>
    </row>
    <row r="256" spans="1:11" x14ac:dyDescent="0.25">
      <c r="A256">
        <v>255</v>
      </c>
      <c r="B256" s="23">
        <v>1670.9269999999999</v>
      </c>
      <c r="C256" s="23">
        <v>646.87</v>
      </c>
      <c r="D256" s="23">
        <v>2496.5189999999998</v>
      </c>
      <c r="E256" s="23">
        <v>1670.9269999999999</v>
      </c>
      <c r="F256" s="23">
        <v>-825.59199999999998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pans="1:11" x14ac:dyDescent="0.25">
      <c r="A257">
        <v>256</v>
      </c>
      <c r="B257" s="23">
        <v>1625.5989999999999</v>
      </c>
      <c r="C257" s="23">
        <v>202.23</v>
      </c>
      <c r="D257" s="23">
        <v>779.08399999999995</v>
      </c>
      <c r="E257" s="23">
        <v>779.08399999999995</v>
      </c>
      <c r="F257" s="23">
        <v>0</v>
      </c>
      <c r="G257" s="23">
        <v>0</v>
      </c>
      <c r="H257" s="23">
        <v>0</v>
      </c>
      <c r="I257" s="23">
        <v>846.51499999999999</v>
      </c>
      <c r="J257" s="23">
        <v>0</v>
      </c>
      <c r="K257" s="23">
        <v>0</v>
      </c>
    </row>
    <row r="258" spans="1:11" x14ac:dyDescent="0.25">
      <c r="A258">
        <v>257</v>
      </c>
      <c r="B258" s="23">
        <v>1615.953</v>
      </c>
      <c r="C258" s="23">
        <v>102.83</v>
      </c>
      <c r="D258" s="23">
        <v>380.66500000000002</v>
      </c>
      <c r="E258" s="23">
        <v>380.66500000000002</v>
      </c>
      <c r="F258" s="23">
        <v>0</v>
      </c>
      <c r="G258" s="23">
        <v>0</v>
      </c>
      <c r="H258" s="23">
        <v>0</v>
      </c>
      <c r="I258" s="23">
        <v>1235.288</v>
      </c>
      <c r="J258" s="23">
        <v>0</v>
      </c>
      <c r="K258" s="23">
        <v>0</v>
      </c>
    </row>
    <row r="259" spans="1:11" x14ac:dyDescent="0.25">
      <c r="A259">
        <v>258</v>
      </c>
      <c r="B259" s="23">
        <v>1849.7349999999999</v>
      </c>
      <c r="C259" s="23">
        <v>20.67</v>
      </c>
      <c r="D259" s="23">
        <v>40.401000000000003</v>
      </c>
      <c r="E259" s="23">
        <v>40.401000000000003</v>
      </c>
      <c r="F259" s="23">
        <v>0</v>
      </c>
      <c r="G259" s="23">
        <v>0</v>
      </c>
      <c r="H259" s="23">
        <v>0</v>
      </c>
      <c r="I259" s="23">
        <v>124.774</v>
      </c>
      <c r="J259" s="23">
        <v>0</v>
      </c>
      <c r="K259" s="23">
        <v>1684.559</v>
      </c>
    </row>
    <row r="260" spans="1:11" x14ac:dyDescent="0.25">
      <c r="A260">
        <v>259</v>
      </c>
      <c r="B260" s="23">
        <v>1528.0060000000001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1528.0060000000001</v>
      </c>
    </row>
    <row r="261" spans="1:11" x14ac:dyDescent="0.25">
      <c r="A261">
        <v>260</v>
      </c>
      <c r="B261" s="23">
        <v>1338.4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1338.4</v>
      </c>
    </row>
    <row r="262" spans="1:11" x14ac:dyDescent="0.25">
      <c r="A262">
        <v>261</v>
      </c>
      <c r="B262" s="23">
        <v>1358.4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1358.4</v>
      </c>
      <c r="J262" s="23">
        <v>0</v>
      </c>
      <c r="K262" s="23">
        <v>0</v>
      </c>
    </row>
    <row r="263" spans="1:11" x14ac:dyDescent="0.25">
      <c r="A263">
        <v>262</v>
      </c>
      <c r="B263" s="23">
        <v>1418.4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1418.4</v>
      </c>
      <c r="J263" s="23">
        <v>0</v>
      </c>
      <c r="K263" s="23">
        <v>0</v>
      </c>
    </row>
    <row r="264" spans="1:11" x14ac:dyDescent="0.25">
      <c r="A264">
        <v>263</v>
      </c>
      <c r="B264" s="23">
        <v>1347.2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1347.2</v>
      </c>
      <c r="J264" s="23">
        <v>0</v>
      </c>
      <c r="K264" s="23">
        <v>0</v>
      </c>
    </row>
    <row r="265" spans="1:11" x14ac:dyDescent="0.25">
      <c r="A265">
        <v>264</v>
      </c>
      <c r="B265" s="23">
        <v>1475.2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1475.2</v>
      </c>
      <c r="J265" s="23">
        <v>0</v>
      </c>
      <c r="K265" s="23">
        <v>0</v>
      </c>
    </row>
    <row r="266" spans="1:11" x14ac:dyDescent="0.25">
      <c r="A266">
        <v>265</v>
      </c>
      <c r="B266" s="23">
        <v>1247.2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1247.2</v>
      </c>
      <c r="J266" s="23">
        <v>0</v>
      </c>
      <c r="K266" s="23">
        <v>0</v>
      </c>
    </row>
    <row r="267" spans="1:11" x14ac:dyDescent="0.25">
      <c r="A267">
        <v>266</v>
      </c>
      <c r="B267" s="23">
        <v>1436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1436</v>
      </c>
      <c r="J267" s="23">
        <v>0</v>
      </c>
      <c r="K267" s="23">
        <v>0</v>
      </c>
    </row>
    <row r="268" spans="1:11" x14ac:dyDescent="0.25">
      <c r="A268">
        <v>267</v>
      </c>
      <c r="B268" s="23">
        <v>1268.8</v>
      </c>
      <c r="C268" s="23">
        <v>0</v>
      </c>
      <c r="D268" s="23">
        <v>0</v>
      </c>
      <c r="E268" s="23">
        <v>0</v>
      </c>
      <c r="F268" s="23">
        <v>0</v>
      </c>
      <c r="G268" s="23">
        <v>0</v>
      </c>
      <c r="H268" s="23">
        <v>0</v>
      </c>
      <c r="I268" s="23">
        <v>1268.8</v>
      </c>
      <c r="J268" s="23">
        <v>0</v>
      </c>
      <c r="K268" s="23">
        <v>0</v>
      </c>
    </row>
    <row r="269" spans="1:11" x14ac:dyDescent="0.25">
      <c r="A269">
        <v>268</v>
      </c>
      <c r="B269" s="23">
        <v>1268.8</v>
      </c>
      <c r="C269" s="23">
        <v>0</v>
      </c>
      <c r="D269" s="23">
        <v>0</v>
      </c>
      <c r="E269" s="23">
        <v>0</v>
      </c>
      <c r="F269" s="23">
        <v>0</v>
      </c>
      <c r="G269" s="23">
        <v>0</v>
      </c>
      <c r="H269" s="23">
        <v>0</v>
      </c>
      <c r="I269" s="23">
        <v>1268.8</v>
      </c>
      <c r="J269" s="23">
        <v>0</v>
      </c>
      <c r="K269" s="23">
        <v>0</v>
      </c>
    </row>
    <row r="270" spans="1:11" x14ac:dyDescent="0.25">
      <c r="A270">
        <v>269</v>
      </c>
      <c r="B270" s="23">
        <v>1345.6</v>
      </c>
      <c r="C270" s="23">
        <v>0</v>
      </c>
      <c r="D270" s="23">
        <v>0</v>
      </c>
      <c r="E270" s="23">
        <v>0</v>
      </c>
      <c r="F270" s="23">
        <v>0</v>
      </c>
      <c r="G270" s="23">
        <v>0</v>
      </c>
      <c r="H270" s="23">
        <v>0</v>
      </c>
      <c r="I270" s="23">
        <v>1345.6</v>
      </c>
      <c r="J270" s="23">
        <v>0</v>
      </c>
      <c r="K270" s="23">
        <v>0</v>
      </c>
    </row>
    <row r="271" spans="1:11" x14ac:dyDescent="0.25">
      <c r="A271">
        <v>270</v>
      </c>
      <c r="B271" s="23">
        <v>1118.4000000000001</v>
      </c>
      <c r="C271" s="23">
        <v>0</v>
      </c>
      <c r="D271" s="23">
        <v>0</v>
      </c>
      <c r="E271" s="23">
        <v>0</v>
      </c>
      <c r="F271" s="23">
        <v>0</v>
      </c>
      <c r="G271" s="23">
        <v>0</v>
      </c>
      <c r="H271" s="23">
        <v>0</v>
      </c>
      <c r="I271" s="23">
        <v>1118.4000000000001</v>
      </c>
      <c r="J271" s="23">
        <v>0</v>
      </c>
      <c r="K271" s="23">
        <v>0</v>
      </c>
    </row>
    <row r="272" spans="1:11" x14ac:dyDescent="0.25">
      <c r="A272">
        <v>271</v>
      </c>
      <c r="B272" s="23">
        <v>1312.8</v>
      </c>
      <c r="C272" s="23">
        <v>19.09</v>
      </c>
      <c r="D272" s="23">
        <v>26.03</v>
      </c>
      <c r="E272" s="23">
        <v>26.03</v>
      </c>
      <c r="F272" s="23">
        <v>0</v>
      </c>
      <c r="G272" s="23">
        <v>0</v>
      </c>
      <c r="H272" s="23">
        <v>0</v>
      </c>
      <c r="I272" s="23">
        <v>1286.77</v>
      </c>
      <c r="J272" s="23">
        <v>0</v>
      </c>
      <c r="K272" s="23">
        <v>0</v>
      </c>
    </row>
    <row r="273" spans="1:11" x14ac:dyDescent="0.25">
      <c r="A273">
        <v>272</v>
      </c>
      <c r="B273" s="23">
        <v>1080.0540000000001</v>
      </c>
      <c r="C273" s="23">
        <v>274.64</v>
      </c>
      <c r="D273" s="23">
        <v>1049.29</v>
      </c>
      <c r="E273" s="23">
        <v>1049.29</v>
      </c>
      <c r="F273" s="23">
        <v>0</v>
      </c>
      <c r="G273" s="23">
        <v>0</v>
      </c>
      <c r="H273" s="23">
        <v>0</v>
      </c>
      <c r="I273" s="23">
        <v>30.763999999999999</v>
      </c>
      <c r="J273" s="23">
        <v>0</v>
      </c>
      <c r="K273" s="23">
        <v>0</v>
      </c>
    </row>
    <row r="274" spans="1:11" x14ac:dyDescent="0.25">
      <c r="A274">
        <v>273</v>
      </c>
      <c r="B274" s="23">
        <v>1017.97</v>
      </c>
      <c r="C274" s="23">
        <v>438.49</v>
      </c>
      <c r="D274" s="23">
        <v>1755.5160000000001</v>
      </c>
      <c r="E274" s="23">
        <v>1017.97</v>
      </c>
      <c r="F274" s="23">
        <v>-737.54600000000005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pans="1:11" x14ac:dyDescent="0.25">
      <c r="A275">
        <v>274</v>
      </c>
      <c r="B275" s="23">
        <v>1165.1310000000001</v>
      </c>
      <c r="C275" s="23">
        <v>295.04000000000002</v>
      </c>
      <c r="D275" s="23">
        <v>1135.8989999999999</v>
      </c>
      <c r="E275" s="23">
        <v>1135.8989999999999</v>
      </c>
      <c r="F275" s="23">
        <v>0</v>
      </c>
      <c r="G275" s="23">
        <v>0</v>
      </c>
      <c r="H275" s="23">
        <v>0</v>
      </c>
      <c r="I275" s="23">
        <v>29.231999999999999</v>
      </c>
      <c r="J275" s="23">
        <v>0</v>
      </c>
      <c r="K275" s="23">
        <v>0</v>
      </c>
    </row>
    <row r="276" spans="1:11" x14ac:dyDescent="0.25">
      <c r="A276">
        <v>275</v>
      </c>
      <c r="B276" s="23">
        <v>1340.9079999999999</v>
      </c>
      <c r="C276" s="23">
        <v>321.33999999999997</v>
      </c>
      <c r="D276" s="23">
        <v>1219.2380000000001</v>
      </c>
      <c r="E276" s="23">
        <v>1219.2380000000001</v>
      </c>
      <c r="F276" s="23">
        <v>0</v>
      </c>
      <c r="G276" s="23">
        <v>0</v>
      </c>
      <c r="H276" s="23">
        <v>0</v>
      </c>
      <c r="I276" s="23">
        <v>121.67</v>
      </c>
      <c r="J276" s="23">
        <v>0</v>
      </c>
      <c r="K276" s="23">
        <v>0</v>
      </c>
    </row>
    <row r="277" spans="1:11" x14ac:dyDescent="0.25">
      <c r="A277">
        <v>276</v>
      </c>
      <c r="B277" s="23">
        <v>1421.7170000000001</v>
      </c>
      <c r="C277" s="23">
        <v>712.67</v>
      </c>
      <c r="D277" s="23">
        <v>2654.9789999999998</v>
      </c>
      <c r="E277" s="23">
        <v>1421.7170000000001</v>
      </c>
      <c r="F277" s="23">
        <v>-1233.2619999999999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pans="1:11" x14ac:dyDescent="0.25">
      <c r="A278">
        <v>277</v>
      </c>
      <c r="B278" s="23">
        <v>1076.722</v>
      </c>
      <c r="C278" s="23">
        <v>568.89</v>
      </c>
      <c r="D278" s="23">
        <v>2128.5</v>
      </c>
      <c r="E278" s="23">
        <v>1076.722</v>
      </c>
      <c r="F278" s="23">
        <v>-1051.778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pans="1:11" x14ac:dyDescent="0.25">
      <c r="A279">
        <v>278</v>
      </c>
      <c r="B279" s="23">
        <v>1233.4290000000001</v>
      </c>
      <c r="C279" s="23">
        <v>706.63</v>
      </c>
      <c r="D279" s="23">
        <v>2645.9949999999999</v>
      </c>
      <c r="E279" s="23">
        <v>1233.4290000000001</v>
      </c>
      <c r="F279" s="23">
        <v>-1412.566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pans="1:11" x14ac:dyDescent="0.25">
      <c r="A280">
        <v>279</v>
      </c>
      <c r="B280" s="23">
        <v>966.19200000000001</v>
      </c>
      <c r="C280" s="23">
        <v>208.75</v>
      </c>
      <c r="D280" s="23">
        <v>785.71199999999999</v>
      </c>
      <c r="E280" s="23">
        <v>785.71199999999999</v>
      </c>
      <c r="F280" s="23">
        <v>0</v>
      </c>
      <c r="G280" s="23">
        <v>0</v>
      </c>
      <c r="H280" s="23">
        <v>0</v>
      </c>
      <c r="I280" s="23">
        <v>180.48</v>
      </c>
      <c r="J280" s="23">
        <v>0</v>
      </c>
      <c r="K280" s="23">
        <v>0</v>
      </c>
    </row>
    <row r="281" spans="1:11" x14ac:dyDescent="0.25">
      <c r="A281">
        <v>280</v>
      </c>
      <c r="B281" s="23">
        <v>1205.3969999999999</v>
      </c>
      <c r="C281" s="23">
        <v>230.16</v>
      </c>
      <c r="D281" s="23">
        <v>887.49800000000005</v>
      </c>
      <c r="E281" s="23">
        <v>887.49800000000005</v>
      </c>
      <c r="F281" s="23">
        <v>0</v>
      </c>
      <c r="G281" s="23">
        <v>0</v>
      </c>
      <c r="H281" s="23">
        <v>0</v>
      </c>
      <c r="I281" s="23">
        <v>317.899</v>
      </c>
      <c r="J281" s="23">
        <v>0</v>
      </c>
      <c r="K281" s="23">
        <v>0</v>
      </c>
    </row>
    <row r="282" spans="1:11" x14ac:dyDescent="0.25">
      <c r="A282">
        <v>281</v>
      </c>
      <c r="B282" s="23">
        <v>1237.5319999999999</v>
      </c>
      <c r="C282" s="23">
        <v>9.7899999999999991</v>
      </c>
      <c r="D282" s="23">
        <v>13.984</v>
      </c>
      <c r="E282" s="23">
        <v>13.984</v>
      </c>
      <c r="F282" s="23">
        <v>0</v>
      </c>
      <c r="G282" s="23">
        <v>0</v>
      </c>
      <c r="H282" s="23">
        <v>0</v>
      </c>
      <c r="I282" s="23">
        <v>1223.548</v>
      </c>
      <c r="J282" s="23">
        <v>0</v>
      </c>
      <c r="K282" s="23">
        <v>0</v>
      </c>
    </row>
    <row r="283" spans="1:11" x14ac:dyDescent="0.25">
      <c r="A283">
        <v>282</v>
      </c>
      <c r="B283" s="23">
        <v>859.62400000000002</v>
      </c>
      <c r="C283" s="23">
        <v>8.41</v>
      </c>
      <c r="D283" s="23">
        <v>0.89400000000000002</v>
      </c>
      <c r="E283" s="23">
        <v>0.89400000000000002</v>
      </c>
      <c r="F283" s="23">
        <v>0</v>
      </c>
      <c r="G283" s="23">
        <v>0</v>
      </c>
      <c r="H283" s="23">
        <v>0</v>
      </c>
      <c r="I283" s="23">
        <v>858.73</v>
      </c>
      <c r="J283" s="23">
        <v>0</v>
      </c>
      <c r="K283" s="23">
        <v>0</v>
      </c>
    </row>
    <row r="284" spans="1:11" x14ac:dyDescent="0.25">
      <c r="A284">
        <v>283</v>
      </c>
      <c r="B284" s="23">
        <v>1175.2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286.666</v>
      </c>
      <c r="J284" s="23">
        <v>0</v>
      </c>
      <c r="K284" s="23">
        <v>888.53399999999999</v>
      </c>
    </row>
    <row r="285" spans="1:11" x14ac:dyDescent="0.25">
      <c r="A285">
        <v>284</v>
      </c>
      <c r="B285" s="23">
        <v>1189.5999999999999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1189.5999999999999</v>
      </c>
    </row>
    <row r="286" spans="1:11" x14ac:dyDescent="0.25">
      <c r="A286">
        <v>285</v>
      </c>
      <c r="B286" s="23">
        <v>1346.4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1346.4</v>
      </c>
    </row>
    <row r="287" spans="1:11" x14ac:dyDescent="0.25">
      <c r="A287">
        <v>286</v>
      </c>
      <c r="B287" s="23">
        <v>1161.5999999999999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1161.5999999999999</v>
      </c>
    </row>
    <row r="288" spans="1:11" x14ac:dyDescent="0.25">
      <c r="A288">
        <v>287</v>
      </c>
      <c r="B288" s="23">
        <v>1086.4000000000001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1086.4000000000001</v>
      </c>
    </row>
    <row r="289" spans="1:11" x14ac:dyDescent="0.25">
      <c r="A289">
        <v>288</v>
      </c>
      <c r="B289" s="23">
        <v>136.80000000000001</v>
      </c>
      <c r="C289" s="23">
        <v>0</v>
      </c>
      <c r="D289" s="23">
        <v>0</v>
      </c>
      <c r="E289" s="23">
        <v>0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136.80000000000001</v>
      </c>
    </row>
    <row r="290" spans="1:11" x14ac:dyDescent="0.25">
      <c r="A290">
        <v>289</v>
      </c>
      <c r="B290" s="23">
        <v>106.4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106.4</v>
      </c>
      <c r="J290" s="23">
        <v>0</v>
      </c>
      <c r="K290" s="23">
        <v>0</v>
      </c>
    </row>
    <row r="291" spans="1:11" x14ac:dyDescent="0.25">
      <c r="A291">
        <v>290</v>
      </c>
      <c r="B291" s="23">
        <v>88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88</v>
      </c>
      <c r="J291" s="23">
        <v>0</v>
      </c>
      <c r="K291" s="23">
        <v>0</v>
      </c>
    </row>
    <row r="292" spans="1:11" x14ac:dyDescent="0.25">
      <c r="A292">
        <v>291</v>
      </c>
      <c r="B292" s="23">
        <v>92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92</v>
      </c>
      <c r="J292" s="23">
        <v>0</v>
      </c>
      <c r="K292" s="23">
        <v>0</v>
      </c>
    </row>
    <row r="293" spans="1:11" x14ac:dyDescent="0.25">
      <c r="A293">
        <v>292</v>
      </c>
      <c r="B293" s="23">
        <v>88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88</v>
      </c>
      <c r="J293" s="23">
        <v>0</v>
      </c>
      <c r="K293" s="23">
        <v>0</v>
      </c>
    </row>
    <row r="294" spans="1:11" x14ac:dyDescent="0.25">
      <c r="A294">
        <v>293</v>
      </c>
      <c r="B294" s="23">
        <v>92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92</v>
      </c>
    </row>
    <row r="295" spans="1:11" x14ac:dyDescent="0.25">
      <c r="A295">
        <v>294</v>
      </c>
      <c r="B295" s="23">
        <v>84.8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84.8</v>
      </c>
    </row>
    <row r="296" spans="1:11" x14ac:dyDescent="0.25">
      <c r="A296">
        <v>295</v>
      </c>
      <c r="B296" s="23">
        <v>82.4</v>
      </c>
      <c r="C296" s="23">
        <v>45.81</v>
      </c>
      <c r="D296" s="23">
        <v>86.568000000000012</v>
      </c>
      <c r="E296" s="23">
        <v>82.4</v>
      </c>
      <c r="F296" s="23">
        <v>-4.1680000000000001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pans="1:11" x14ac:dyDescent="0.25">
      <c r="A297">
        <v>296</v>
      </c>
      <c r="B297" s="23">
        <v>81.361999999999995</v>
      </c>
      <c r="C297" s="23">
        <v>279.68</v>
      </c>
      <c r="D297" s="23">
        <v>1064.3579999999999</v>
      </c>
      <c r="E297" s="23">
        <v>81.361999999999995</v>
      </c>
      <c r="F297" s="23">
        <v>-982.99599999999998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pans="1:11" x14ac:dyDescent="0.25">
      <c r="A298">
        <v>297</v>
      </c>
      <c r="B298" s="23">
        <v>804.96100000000001</v>
      </c>
      <c r="C298" s="23">
        <v>524.59</v>
      </c>
      <c r="D298" s="23">
        <v>2097.7579999999998</v>
      </c>
      <c r="E298" s="23">
        <v>804.96100000000001</v>
      </c>
      <c r="F298" s="23">
        <v>-1292.797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pans="1:11" x14ac:dyDescent="0.25">
      <c r="A299">
        <v>298</v>
      </c>
      <c r="B299" s="23">
        <v>971.20100000000002</v>
      </c>
      <c r="C299" s="23">
        <v>727.41</v>
      </c>
      <c r="D299" s="23">
        <v>2793.8649999999998</v>
      </c>
      <c r="E299" s="23">
        <v>971.20100000000002</v>
      </c>
      <c r="F299" s="23">
        <v>-1684.559</v>
      </c>
      <c r="G299" s="23">
        <v>0</v>
      </c>
      <c r="H299" s="23">
        <v>138.10499999999999</v>
      </c>
      <c r="I299" s="23">
        <v>0</v>
      </c>
      <c r="J299" s="23">
        <v>0</v>
      </c>
      <c r="K299" s="23">
        <v>0</v>
      </c>
    </row>
    <row r="300" spans="1:11" x14ac:dyDescent="0.25">
      <c r="A300">
        <v>299</v>
      </c>
      <c r="B300" s="23">
        <v>1378.5809999999999</v>
      </c>
      <c r="C300" s="23">
        <v>872.3</v>
      </c>
      <c r="D300" s="23">
        <v>3235.4340000000002</v>
      </c>
      <c r="E300" s="23">
        <v>1378.5809999999999</v>
      </c>
      <c r="F300" s="23">
        <v>-1684.559</v>
      </c>
      <c r="G300" s="23">
        <v>0</v>
      </c>
      <c r="H300" s="23">
        <v>172.29400000000001</v>
      </c>
      <c r="I300" s="23">
        <v>0</v>
      </c>
      <c r="J300" s="23">
        <v>0</v>
      </c>
      <c r="K300" s="23">
        <v>0</v>
      </c>
    </row>
    <row r="301" spans="1:11" x14ac:dyDescent="0.25">
      <c r="A301">
        <v>300</v>
      </c>
      <c r="B301" s="23">
        <v>1301.865</v>
      </c>
      <c r="C301" s="23">
        <v>951.32</v>
      </c>
      <c r="D301" s="23">
        <v>3463.89</v>
      </c>
      <c r="E301" s="23">
        <v>1301.865</v>
      </c>
      <c r="F301" s="23">
        <v>-1642.4179999999999</v>
      </c>
      <c r="G301" s="23">
        <v>0</v>
      </c>
      <c r="H301" s="23">
        <v>519.60699999999997</v>
      </c>
      <c r="I301" s="23">
        <v>0</v>
      </c>
      <c r="J301" s="23">
        <v>0</v>
      </c>
      <c r="K301" s="23">
        <v>0</v>
      </c>
    </row>
    <row r="302" spans="1:11" x14ac:dyDescent="0.25">
      <c r="A302">
        <v>301</v>
      </c>
      <c r="B302" s="23">
        <v>1411.1990000000001</v>
      </c>
      <c r="C302" s="23">
        <v>911.94</v>
      </c>
      <c r="D302" s="23">
        <v>3331.8270000000002</v>
      </c>
      <c r="E302" s="23">
        <v>1411.1990000000001</v>
      </c>
      <c r="F302" s="23">
        <v>0</v>
      </c>
      <c r="G302" s="23">
        <v>0</v>
      </c>
      <c r="H302" s="23">
        <v>1920.6279999999999</v>
      </c>
      <c r="I302" s="23">
        <v>0</v>
      </c>
      <c r="J302" s="23">
        <v>0</v>
      </c>
      <c r="K302" s="23">
        <v>0</v>
      </c>
    </row>
    <row r="303" spans="1:11" x14ac:dyDescent="0.25">
      <c r="A303">
        <v>302</v>
      </c>
      <c r="B303" s="23">
        <v>1430.4449999999999</v>
      </c>
      <c r="C303" s="23">
        <v>651.42999999999995</v>
      </c>
      <c r="D303" s="23">
        <v>2438.203</v>
      </c>
      <c r="E303" s="23">
        <v>1430.4449999999999</v>
      </c>
      <c r="F303" s="23">
        <v>0</v>
      </c>
      <c r="G303" s="23">
        <v>0</v>
      </c>
      <c r="H303" s="23">
        <v>1007.758</v>
      </c>
      <c r="I303" s="23">
        <v>0</v>
      </c>
      <c r="J303" s="23">
        <v>0</v>
      </c>
      <c r="K303" s="23">
        <v>0</v>
      </c>
    </row>
    <row r="304" spans="1:11" x14ac:dyDescent="0.25">
      <c r="A304">
        <v>303</v>
      </c>
      <c r="B304" s="23">
        <v>1147.683</v>
      </c>
      <c r="C304" s="23">
        <v>392.72</v>
      </c>
      <c r="D304" s="23">
        <v>1494.4290000000001</v>
      </c>
      <c r="E304" s="23">
        <v>1147.683</v>
      </c>
      <c r="F304" s="23">
        <v>0</v>
      </c>
      <c r="G304" s="23">
        <v>0</v>
      </c>
      <c r="H304" s="23">
        <v>346.74599999999998</v>
      </c>
      <c r="I304" s="23">
        <v>0</v>
      </c>
      <c r="J304" s="23">
        <v>0</v>
      </c>
      <c r="K304" s="23">
        <v>0</v>
      </c>
    </row>
    <row r="305" spans="1:11" x14ac:dyDescent="0.25">
      <c r="A305">
        <v>304</v>
      </c>
      <c r="B305" s="23">
        <v>1193.172</v>
      </c>
      <c r="C305" s="23">
        <v>225.94</v>
      </c>
      <c r="D305" s="23">
        <v>865.63199999999995</v>
      </c>
      <c r="E305" s="23">
        <v>865.63199999999995</v>
      </c>
      <c r="F305" s="23">
        <v>0</v>
      </c>
      <c r="G305" s="23">
        <v>0</v>
      </c>
      <c r="H305" s="23">
        <v>0</v>
      </c>
      <c r="I305" s="23">
        <v>327.54000000000002</v>
      </c>
      <c r="J305" s="23">
        <v>0</v>
      </c>
      <c r="K305" s="23">
        <v>0</v>
      </c>
    </row>
    <row r="306" spans="1:11" x14ac:dyDescent="0.25">
      <c r="A306">
        <v>305</v>
      </c>
      <c r="B306" s="23">
        <v>1254.203</v>
      </c>
      <c r="C306" s="23">
        <v>147.29</v>
      </c>
      <c r="D306" s="23">
        <v>551.72400000000005</v>
      </c>
      <c r="E306" s="23">
        <v>551.72400000000005</v>
      </c>
      <c r="F306" s="23">
        <v>0</v>
      </c>
      <c r="G306" s="23">
        <v>0</v>
      </c>
      <c r="H306" s="23">
        <v>0</v>
      </c>
      <c r="I306" s="23">
        <v>702.47900000000004</v>
      </c>
      <c r="J306" s="23">
        <v>0</v>
      </c>
      <c r="K306" s="23">
        <v>0</v>
      </c>
    </row>
    <row r="307" spans="1:11" x14ac:dyDescent="0.25">
      <c r="A307">
        <v>306</v>
      </c>
      <c r="B307" s="23">
        <v>1409.7760000000001</v>
      </c>
      <c r="C307" s="23">
        <v>32.57</v>
      </c>
      <c r="D307" s="23">
        <v>71.085999999999999</v>
      </c>
      <c r="E307" s="23">
        <v>71.085999999999999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1338.69</v>
      </c>
    </row>
    <row r="308" spans="1:11" x14ac:dyDescent="0.25">
      <c r="A308">
        <v>307</v>
      </c>
      <c r="B308" s="23">
        <v>1164.8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1164.8</v>
      </c>
    </row>
    <row r="309" spans="1:11" x14ac:dyDescent="0.25">
      <c r="A309">
        <v>308</v>
      </c>
      <c r="B309" s="23">
        <v>1167.2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1167.2</v>
      </c>
    </row>
    <row r="310" spans="1:11" x14ac:dyDescent="0.25">
      <c r="A310">
        <v>309</v>
      </c>
      <c r="B310" s="23">
        <v>1375.2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1375.2</v>
      </c>
      <c r="J310" s="23">
        <v>0</v>
      </c>
      <c r="K310" s="23">
        <v>0</v>
      </c>
    </row>
    <row r="311" spans="1:11" x14ac:dyDescent="0.25">
      <c r="A311">
        <v>310</v>
      </c>
      <c r="B311" s="23">
        <v>1362.4</v>
      </c>
      <c r="C311" s="23">
        <v>0</v>
      </c>
      <c r="D311" s="23">
        <v>0</v>
      </c>
      <c r="E311" s="23">
        <v>0</v>
      </c>
      <c r="F311" s="23">
        <v>0</v>
      </c>
      <c r="G311" s="23">
        <v>0</v>
      </c>
      <c r="H311" s="23">
        <v>0</v>
      </c>
      <c r="I311" s="23">
        <v>1362.4</v>
      </c>
      <c r="J311" s="23">
        <v>0</v>
      </c>
      <c r="K311" s="23">
        <v>0</v>
      </c>
    </row>
    <row r="312" spans="1:11" x14ac:dyDescent="0.25">
      <c r="A312">
        <v>311</v>
      </c>
      <c r="B312" s="23">
        <v>1214.4000000000001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1214.4000000000001</v>
      </c>
      <c r="J312" s="23">
        <v>0</v>
      </c>
      <c r="K312" s="23">
        <v>0</v>
      </c>
    </row>
    <row r="313" spans="1:11" x14ac:dyDescent="0.25">
      <c r="A313">
        <v>312</v>
      </c>
      <c r="B313" s="23">
        <v>949.6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949.6</v>
      </c>
      <c r="J313" s="23">
        <v>0</v>
      </c>
      <c r="K313" s="23">
        <v>0</v>
      </c>
    </row>
    <row r="314" spans="1:11" x14ac:dyDescent="0.25">
      <c r="A314">
        <v>313</v>
      </c>
      <c r="B314" s="23">
        <v>1832.8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1832.8</v>
      </c>
      <c r="J314" s="23">
        <v>0</v>
      </c>
      <c r="K314" s="23">
        <v>0</v>
      </c>
    </row>
    <row r="315" spans="1:11" x14ac:dyDescent="0.25">
      <c r="A315">
        <v>314</v>
      </c>
      <c r="B315" s="23">
        <v>1784.8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1784.8</v>
      </c>
      <c r="J315" s="23">
        <v>0</v>
      </c>
      <c r="K315" s="23">
        <v>0</v>
      </c>
    </row>
    <row r="316" spans="1:11" x14ac:dyDescent="0.25">
      <c r="A316">
        <v>315</v>
      </c>
      <c r="B316" s="23">
        <v>1888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1888</v>
      </c>
      <c r="J316" s="23">
        <v>0</v>
      </c>
      <c r="K316" s="23">
        <v>0</v>
      </c>
    </row>
    <row r="317" spans="1:11" x14ac:dyDescent="0.25">
      <c r="A317">
        <v>316</v>
      </c>
      <c r="B317" s="23">
        <v>2028.8</v>
      </c>
      <c r="C317" s="23">
        <v>0</v>
      </c>
      <c r="D317" s="23">
        <v>0</v>
      </c>
      <c r="E317" s="23">
        <v>0</v>
      </c>
      <c r="F317" s="23">
        <v>0</v>
      </c>
      <c r="G317" s="23">
        <v>0</v>
      </c>
      <c r="H317" s="23">
        <v>0</v>
      </c>
      <c r="I317" s="23">
        <v>2028.8</v>
      </c>
      <c r="J317" s="23">
        <v>0</v>
      </c>
      <c r="K317" s="23">
        <v>0</v>
      </c>
    </row>
    <row r="318" spans="1:11" x14ac:dyDescent="0.25">
      <c r="A318">
        <v>317</v>
      </c>
      <c r="B318" s="23">
        <v>2156.8000000000002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2156.8000000000002</v>
      </c>
      <c r="J318" s="23">
        <v>0</v>
      </c>
      <c r="K318" s="23">
        <v>0</v>
      </c>
    </row>
    <row r="319" spans="1:11" x14ac:dyDescent="0.25">
      <c r="A319">
        <v>318</v>
      </c>
      <c r="B319" s="23">
        <v>2129.6</v>
      </c>
      <c r="C319" s="23">
        <v>0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2129.6</v>
      </c>
      <c r="J319" s="23">
        <v>0</v>
      </c>
      <c r="K319" s="23">
        <v>0</v>
      </c>
    </row>
    <row r="320" spans="1:11" x14ac:dyDescent="0.25">
      <c r="A320">
        <v>319</v>
      </c>
      <c r="B320" s="23">
        <v>1976.8</v>
      </c>
      <c r="C320" s="23">
        <v>49.36</v>
      </c>
      <c r="D320" s="23">
        <v>91.578999999999994</v>
      </c>
      <c r="E320" s="23">
        <v>91.578999999999994</v>
      </c>
      <c r="F320" s="23">
        <v>0</v>
      </c>
      <c r="G320" s="23">
        <v>0</v>
      </c>
      <c r="H320" s="23">
        <v>0</v>
      </c>
      <c r="I320" s="23">
        <v>1885.221</v>
      </c>
      <c r="J320" s="23">
        <v>0</v>
      </c>
      <c r="K320" s="23">
        <v>0</v>
      </c>
    </row>
    <row r="321" spans="1:11" x14ac:dyDescent="0.25">
      <c r="A321">
        <v>320</v>
      </c>
      <c r="B321" s="23">
        <v>1127.549</v>
      </c>
      <c r="C321" s="23">
        <v>293.77</v>
      </c>
      <c r="D321" s="23">
        <v>1124.6890000000001</v>
      </c>
      <c r="E321" s="23">
        <v>1124.6890000000001</v>
      </c>
      <c r="F321" s="23">
        <v>0</v>
      </c>
      <c r="G321" s="23">
        <v>0</v>
      </c>
      <c r="H321" s="23">
        <v>0</v>
      </c>
      <c r="I321" s="23">
        <v>2.86</v>
      </c>
      <c r="J321" s="23">
        <v>0</v>
      </c>
      <c r="K321" s="23">
        <v>0</v>
      </c>
    </row>
    <row r="322" spans="1:11" x14ac:dyDescent="0.25">
      <c r="A322">
        <v>321</v>
      </c>
      <c r="B322" s="23">
        <v>1638.403</v>
      </c>
      <c r="C322" s="23">
        <v>544.42999999999995</v>
      </c>
      <c r="D322" s="23">
        <v>2175.1779999999999</v>
      </c>
      <c r="E322" s="23">
        <v>1638.403</v>
      </c>
      <c r="F322" s="23">
        <v>-536.77499999999998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pans="1:11" x14ac:dyDescent="0.25">
      <c r="A323">
        <v>322</v>
      </c>
      <c r="B323" s="23">
        <v>1940.8620000000001</v>
      </c>
      <c r="C323" s="23">
        <v>730.38</v>
      </c>
      <c r="D323" s="23">
        <v>2774.328</v>
      </c>
      <c r="E323" s="23">
        <v>1940.8620000000001</v>
      </c>
      <c r="F323" s="23">
        <v>-833.46600000000001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pans="1:11" x14ac:dyDescent="0.25">
      <c r="A324">
        <v>323</v>
      </c>
      <c r="B324" s="23">
        <v>2188.5529999999999</v>
      </c>
      <c r="C324" s="23">
        <v>903.85</v>
      </c>
      <c r="D324" s="23">
        <v>3261.6350000000002</v>
      </c>
      <c r="E324" s="23">
        <v>2188.5529999999999</v>
      </c>
      <c r="F324" s="23">
        <v>-1073.0820000000001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pans="1:11" x14ac:dyDescent="0.25">
      <c r="A325">
        <v>324</v>
      </c>
      <c r="B325" s="23">
        <v>2025.6489999999999</v>
      </c>
      <c r="C325" s="23">
        <v>789.39</v>
      </c>
      <c r="D325" s="23">
        <v>2857.9259999999999</v>
      </c>
      <c r="E325" s="23">
        <v>2025.6489999999999</v>
      </c>
      <c r="F325" s="23">
        <v>-832.27700000000004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pans="1:11" x14ac:dyDescent="0.25">
      <c r="A326">
        <v>325</v>
      </c>
      <c r="B326" s="23">
        <v>1943.684</v>
      </c>
      <c r="C326" s="23">
        <v>665.04</v>
      </c>
      <c r="D326" s="23">
        <v>2432.4630000000002</v>
      </c>
      <c r="E326" s="23">
        <v>1943.684</v>
      </c>
      <c r="F326" s="23">
        <v>-488.779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pans="1:11" x14ac:dyDescent="0.25">
      <c r="A327">
        <v>326</v>
      </c>
      <c r="B327" s="23">
        <v>2335.268</v>
      </c>
      <c r="C327" s="23">
        <v>678.67</v>
      </c>
      <c r="D327" s="23">
        <v>2485.4119999999998</v>
      </c>
      <c r="E327" s="23">
        <v>2335.268</v>
      </c>
      <c r="F327" s="23">
        <v>-150.14400000000001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pans="1:11" x14ac:dyDescent="0.25">
      <c r="A328">
        <v>327</v>
      </c>
      <c r="B328" s="23">
        <v>2168.7449999999999</v>
      </c>
      <c r="C328" s="23">
        <v>433.48</v>
      </c>
      <c r="D328" s="23">
        <v>1632.835</v>
      </c>
      <c r="E328" s="23">
        <v>1632.835</v>
      </c>
      <c r="F328" s="23">
        <v>0</v>
      </c>
      <c r="G328" s="23">
        <v>0</v>
      </c>
      <c r="H328" s="23">
        <v>0</v>
      </c>
      <c r="I328" s="23">
        <v>535.91</v>
      </c>
      <c r="J328" s="23">
        <v>0</v>
      </c>
      <c r="K328" s="23">
        <v>0</v>
      </c>
    </row>
    <row r="329" spans="1:11" x14ac:dyDescent="0.25">
      <c r="A329">
        <v>328</v>
      </c>
      <c r="B329" s="23">
        <v>1973.6130000000001</v>
      </c>
      <c r="C329" s="23">
        <v>513.85</v>
      </c>
      <c r="D329" s="23">
        <v>1975.7429999999999</v>
      </c>
      <c r="E329" s="23">
        <v>1973.6130000000001</v>
      </c>
      <c r="F329" s="23">
        <v>-2.13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pans="1:11" x14ac:dyDescent="0.25">
      <c r="A330">
        <v>329</v>
      </c>
      <c r="B330" s="23">
        <v>2279.797</v>
      </c>
      <c r="C330" s="23">
        <v>303.55</v>
      </c>
      <c r="D330" s="23">
        <v>1139.7159999999999</v>
      </c>
      <c r="E330" s="23">
        <v>1139.7159999999999</v>
      </c>
      <c r="F330" s="23">
        <v>0</v>
      </c>
      <c r="G330" s="23">
        <v>0</v>
      </c>
      <c r="H330" s="23">
        <v>0</v>
      </c>
      <c r="I330" s="23">
        <v>1140.0809999999999</v>
      </c>
      <c r="J330" s="23">
        <v>0</v>
      </c>
      <c r="K330" s="23">
        <v>0</v>
      </c>
    </row>
    <row r="331" spans="1:11" x14ac:dyDescent="0.25">
      <c r="A331">
        <v>330</v>
      </c>
      <c r="B331" s="23">
        <v>1609.172</v>
      </c>
      <c r="C331" s="23">
        <v>63.35</v>
      </c>
      <c r="D331" s="23">
        <v>153.37700000000001</v>
      </c>
      <c r="E331" s="23">
        <v>153.37700000000001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1455.7950000000001</v>
      </c>
    </row>
    <row r="332" spans="1:11" x14ac:dyDescent="0.25">
      <c r="A332">
        <v>331</v>
      </c>
      <c r="B332" s="23">
        <v>2156.8119999999999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472.25299999999999</v>
      </c>
      <c r="J332" s="23">
        <v>0</v>
      </c>
      <c r="K332" s="23">
        <v>1684.559</v>
      </c>
    </row>
    <row r="333" spans="1:11" x14ac:dyDescent="0.25">
      <c r="A333">
        <v>332</v>
      </c>
      <c r="B333" s="23">
        <v>2172.8000000000002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488.24099999999999</v>
      </c>
      <c r="J333" s="23">
        <v>0</v>
      </c>
      <c r="K333" s="23">
        <v>1684.559</v>
      </c>
    </row>
    <row r="334" spans="1:11" x14ac:dyDescent="0.25">
      <c r="A334">
        <v>333</v>
      </c>
      <c r="B334" s="23">
        <v>2000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2000</v>
      </c>
      <c r="J334" s="23">
        <v>0</v>
      </c>
      <c r="K334" s="23">
        <v>0</v>
      </c>
    </row>
    <row r="335" spans="1:11" x14ac:dyDescent="0.25">
      <c r="A335">
        <v>334</v>
      </c>
      <c r="B335" s="23">
        <v>1667.2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1667.2</v>
      </c>
      <c r="J335" s="23">
        <v>0</v>
      </c>
      <c r="K335" s="23">
        <v>0</v>
      </c>
    </row>
    <row r="336" spans="1:11" x14ac:dyDescent="0.25">
      <c r="A336">
        <v>335</v>
      </c>
      <c r="B336" s="23">
        <v>2352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2352</v>
      </c>
      <c r="J336" s="23">
        <v>0</v>
      </c>
      <c r="K336" s="23">
        <v>0</v>
      </c>
    </row>
    <row r="337" spans="1:11" x14ac:dyDescent="0.25">
      <c r="A337">
        <v>336</v>
      </c>
      <c r="B337" s="23">
        <v>2075.1999999999998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2075.1999999999998</v>
      </c>
      <c r="J337" s="23">
        <v>0</v>
      </c>
      <c r="K337" s="23">
        <v>0</v>
      </c>
    </row>
    <row r="338" spans="1:11" x14ac:dyDescent="0.25">
      <c r="A338">
        <v>337</v>
      </c>
      <c r="B338" s="23">
        <v>1518.4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1518.4</v>
      </c>
      <c r="J338" s="23">
        <v>0</v>
      </c>
      <c r="K338" s="23">
        <v>0</v>
      </c>
    </row>
    <row r="339" spans="1:11" x14ac:dyDescent="0.25">
      <c r="A339">
        <v>338</v>
      </c>
      <c r="B339" s="23">
        <v>1494.4</v>
      </c>
      <c r="C339" s="23">
        <v>0</v>
      </c>
      <c r="D339" s="23">
        <v>0</v>
      </c>
      <c r="E339" s="23">
        <v>0</v>
      </c>
      <c r="F339" s="23">
        <v>0</v>
      </c>
      <c r="G339" s="23">
        <v>0</v>
      </c>
      <c r="H339" s="23">
        <v>0</v>
      </c>
      <c r="I339" s="23">
        <v>1494.4</v>
      </c>
      <c r="J339" s="23">
        <v>0</v>
      </c>
      <c r="K339" s="23">
        <v>0</v>
      </c>
    </row>
    <row r="340" spans="1:11" x14ac:dyDescent="0.25">
      <c r="A340">
        <v>339</v>
      </c>
      <c r="B340" s="23">
        <v>1260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1260</v>
      </c>
      <c r="J340" s="23">
        <v>0</v>
      </c>
      <c r="K340" s="23">
        <v>0</v>
      </c>
    </row>
    <row r="341" spans="1:11" x14ac:dyDescent="0.25">
      <c r="A341">
        <v>340</v>
      </c>
      <c r="B341" s="23">
        <v>1234.4000000000001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1234.4000000000001</v>
      </c>
      <c r="J341" s="23">
        <v>0</v>
      </c>
      <c r="K341" s="23">
        <v>0</v>
      </c>
    </row>
    <row r="342" spans="1:11" x14ac:dyDescent="0.25">
      <c r="A342">
        <v>341</v>
      </c>
      <c r="B342" s="23">
        <v>1272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1272</v>
      </c>
      <c r="J342" s="23">
        <v>0</v>
      </c>
      <c r="K342" s="23">
        <v>0</v>
      </c>
    </row>
    <row r="343" spans="1:11" x14ac:dyDescent="0.25">
      <c r="A343">
        <v>342</v>
      </c>
      <c r="B343" s="23">
        <v>1414.4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1414.4</v>
      </c>
      <c r="J343" s="23">
        <v>0</v>
      </c>
      <c r="K343" s="23">
        <v>0</v>
      </c>
    </row>
    <row r="344" spans="1:11" x14ac:dyDescent="0.25">
      <c r="A344">
        <v>343</v>
      </c>
      <c r="B344" s="23">
        <v>1373.6</v>
      </c>
      <c r="C344" s="23">
        <v>34.39</v>
      </c>
      <c r="D344" s="23">
        <v>59.540999999999997</v>
      </c>
      <c r="E344" s="23">
        <v>59.540999999999997</v>
      </c>
      <c r="F344" s="23">
        <v>0</v>
      </c>
      <c r="G344" s="23">
        <v>0</v>
      </c>
      <c r="H344" s="23">
        <v>0</v>
      </c>
      <c r="I344" s="23">
        <v>1314.059</v>
      </c>
      <c r="J344" s="23">
        <v>0</v>
      </c>
      <c r="K344" s="23">
        <v>0</v>
      </c>
    </row>
    <row r="345" spans="1:11" x14ac:dyDescent="0.25">
      <c r="A345">
        <v>344</v>
      </c>
      <c r="B345" s="23">
        <v>996.61199999999997</v>
      </c>
      <c r="C345" s="23">
        <v>237.33</v>
      </c>
      <c r="D345" s="23">
        <v>903.23299999999995</v>
      </c>
      <c r="E345" s="23">
        <v>903.23299999999995</v>
      </c>
      <c r="F345" s="23">
        <v>0</v>
      </c>
      <c r="G345" s="23">
        <v>0</v>
      </c>
      <c r="H345" s="23">
        <v>0</v>
      </c>
      <c r="I345" s="23">
        <v>93.379000000000005</v>
      </c>
      <c r="J345" s="23">
        <v>0</v>
      </c>
      <c r="K345" s="23">
        <v>0</v>
      </c>
    </row>
    <row r="346" spans="1:11" x14ac:dyDescent="0.25">
      <c r="A346">
        <v>345</v>
      </c>
      <c r="B346" s="23">
        <v>1176.8399999999999</v>
      </c>
      <c r="C346" s="23">
        <v>221.71</v>
      </c>
      <c r="D346" s="23">
        <v>856.42600000000004</v>
      </c>
      <c r="E346" s="23">
        <v>856.42600000000004</v>
      </c>
      <c r="F346" s="23">
        <v>0</v>
      </c>
      <c r="G346" s="23">
        <v>0</v>
      </c>
      <c r="H346" s="23">
        <v>0</v>
      </c>
      <c r="I346" s="23">
        <v>320.41399999999999</v>
      </c>
      <c r="J346" s="23">
        <v>0</v>
      </c>
      <c r="K346" s="23">
        <v>0</v>
      </c>
    </row>
    <row r="347" spans="1:11" x14ac:dyDescent="0.25">
      <c r="A347">
        <v>346</v>
      </c>
      <c r="B347" s="23">
        <v>1297.8800000000001</v>
      </c>
      <c r="C347" s="23">
        <v>399.42</v>
      </c>
      <c r="D347" s="23">
        <v>1514.3630000000001</v>
      </c>
      <c r="E347" s="23">
        <v>1297.8800000000001</v>
      </c>
      <c r="F347" s="23">
        <v>-216.483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</row>
    <row r="348" spans="1:11" x14ac:dyDescent="0.25">
      <c r="A348">
        <v>347</v>
      </c>
      <c r="B348" s="23">
        <v>1357.8440000000001</v>
      </c>
      <c r="C348" s="23">
        <v>537.12</v>
      </c>
      <c r="D348" s="23">
        <v>1991.8240000000001</v>
      </c>
      <c r="E348" s="23">
        <v>1357.8440000000001</v>
      </c>
      <c r="F348" s="23">
        <v>-633.98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</row>
    <row r="349" spans="1:11" x14ac:dyDescent="0.25">
      <c r="A349">
        <v>348</v>
      </c>
      <c r="B349" s="23">
        <v>1435.047</v>
      </c>
      <c r="C349" s="23">
        <v>662.41</v>
      </c>
      <c r="D349" s="23">
        <v>2416.2739999999999</v>
      </c>
      <c r="E349" s="23">
        <v>1435.047</v>
      </c>
      <c r="F349" s="23">
        <v>-981.22699999999998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pans="1:11" x14ac:dyDescent="0.25">
      <c r="A350">
        <v>349</v>
      </c>
      <c r="B350" s="23">
        <v>1435.0329999999999</v>
      </c>
      <c r="C350" s="23">
        <v>558.37</v>
      </c>
      <c r="D350" s="23">
        <v>2060.2959999999998</v>
      </c>
      <c r="E350" s="23">
        <v>1435.0329999999999</v>
      </c>
      <c r="F350" s="23">
        <v>-625.26300000000003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pans="1:11" x14ac:dyDescent="0.25">
      <c r="A351">
        <v>350</v>
      </c>
      <c r="B351" s="23">
        <v>1087.883</v>
      </c>
      <c r="C351" s="23">
        <v>609.01</v>
      </c>
      <c r="D351" s="23">
        <v>2267.7020000000002</v>
      </c>
      <c r="E351" s="23">
        <v>1087.883</v>
      </c>
      <c r="F351" s="23">
        <v>-1179.819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pans="1:11" x14ac:dyDescent="0.25">
      <c r="A352">
        <v>351</v>
      </c>
      <c r="B352" s="23">
        <v>1211.3920000000001</v>
      </c>
      <c r="C352" s="23">
        <v>398.02</v>
      </c>
      <c r="D352" s="23">
        <v>1521.8430000000001</v>
      </c>
      <c r="E352" s="23">
        <v>1211.3920000000001</v>
      </c>
      <c r="F352" s="23">
        <v>-310.45100000000002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pans="1:11" x14ac:dyDescent="0.25">
      <c r="A353">
        <v>352</v>
      </c>
      <c r="B353" s="23">
        <v>1440.6010000000001</v>
      </c>
      <c r="C353" s="23">
        <v>115.06</v>
      </c>
      <c r="D353" s="23">
        <v>425.18299999999999</v>
      </c>
      <c r="E353" s="23">
        <v>425.18299999999999</v>
      </c>
      <c r="F353" s="23">
        <v>0</v>
      </c>
      <c r="G353" s="23">
        <v>0</v>
      </c>
      <c r="H353" s="23">
        <v>0</v>
      </c>
      <c r="I353" s="23">
        <v>1015.418</v>
      </c>
      <c r="J353" s="23">
        <v>0</v>
      </c>
      <c r="K353" s="23">
        <v>0</v>
      </c>
    </row>
    <row r="354" spans="1:11" x14ac:dyDescent="0.25">
      <c r="A354">
        <v>353</v>
      </c>
      <c r="B354" s="23">
        <v>1275.894</v>
      </c>
      <c r="C354" s="23">
        <v>25.47</v>
      </c>
      <c r="D354" s="23">
        <v>73.942999999999998</v>
      </c>
      <c r="E354" s="23">
        <v>73.942999999999998</v>
      </c>
      <c r="F354" s="23">
        <v>0</v>
      </c>
      <c r="G354" s="23">
        <v>0</v>
      </c>
      <c r="H354" s="23">
        <v>0</v>
      </c>
      <c r="I354" s="23">
        <v>1201.951</v>
      </c>
      <c r="J354" s="23">
        <v>0</v>
      </c>
      <c r="K354" s="23">
        <v>0</v>
      </c>
    </row>
    <row r="355" spans="1:11" x14ac:dyDescent="0.25">
      <c r="A355">
        <v>354</v>
      </c>
      <c r="B355" s="23">
        <v>1244.1869999999999</v>
      </c>
      <c r="C355" s="23">
        <v>3.91</v>
      </c>
      <c r="D355" s="23">
        <v>0</v>
      </c>
      <c r="E355" s="23">
        <v>0</v>
      </c>
      <c r="F355" s="23">
        <v>0</v>
      </c>
      <c r="G355" s="23">
        <v>0</v>
      </c>
      <c r="H355" s="23">
        <v>0</v>
      </c>
      <c r="I355" s="23">
        <v>0</v>
      </c>
      <c r="J355" s="23">
        <v>0</v>
      </c>
      <c r="K355" s="23">
        <v>1244.1869999999999</v>
      </c>
    </row>
    <row r="356" spans="1:11" x14ac:dyDescent="0.25">
      <c r="A356">
        <v>355</v>
      </c>
      <c r="B356" s="23">
        <v>798.4</v>
      </c>
      <c r="C356" s="23">
        <v>0</v>
      </c>
      <c r="D356" s="23">
        <v>0</v>
      </c>
      <c r="E356" s="23">
        <v>0</v>
      </c>
      <c r="F356" s="23">
        <v>0</v>
      </c>
      <c r="G356" s="23">
        <v>0</v>
      </c>
      <c r="H356" s="23">
        <v>0</v>
      </c>
      <c r="I356" s="23">
        <v>0</v>
      </c>
      <c r="J356" s="23">
        <v>0</v>
      </c>
      <c r="K356" s="23">
        <v>798.4</v>
      </c>
    </row>
    <row r="357" spans="1:11" x14ac:dyDescent="0.25">
      <c r="A357">
        <v>356</v>
      </c>
      <c r="B357" s="23">
        <v>1210.4000000000001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1210.4000000000001</v>
      </c>
    </row>
    <row r="358" spans="1:11" x14ac:dyDescent="0.25">
      <c r="A358">
        <v>357</v>
      </c>
      <c r="B358" s="23">
        <v>1458.4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1458.4</v>
      </c>
      <c r="J358" s="23">
        <v>0</v>
      </c>
      <c r="K358" s="23">
        <v>0</v>
      </c>
    </row>
    <row r="359" spans="1:11" x14ac:dyDescent="0.25">
      <c r="A359">
        <v>358</v>
      </c>
      <c r="B359" s="23">
        <v>1131.2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1131.2</v>
      </c>
      <c r="J359" s="23">
        <v>0</v>
      </c>
      <c r="K359" s="23">
        <v>0</v>
      </c>
    </row>
    <row r="360" spans="1:11" x14ac:dyDescent="0.25">
      <c r="A360">
        <v>359</v>
      </c>
      <c r="B360" s="23">
        <v>1050.4000000000001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1050.4000000000001</v>
      </c>
      <c r="J360" s="23">
        <v>0</v>
      </c>
      <c r="K360" s="23">
        <v>0</v>
      </c>
    </row>
    <row r="361" spans="1:11" x14ac:dyDescent="0.25">
      <c r="A361">
        <v>360</v>
      </c>
      <c r="B361" s="23">
        <v>949.6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949.6</v>
      </c>
      <c r="J361" s="23">
        <v>0</v>
      </c>
      <c r="K361" s="23">
        <v>0</v>
      </c>
    </row>
    <row r="362" spans="1:11" x14ac:dyDescent="0.25">
      <c r="A362">
        <v>361</v>
      </c>
      <c r="B362" s="23">
        <v>1194.4000000000001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1194.4000000000001</v>
      </c>
      <c r="J362" s="23">
        <v>0</v>
      </c>
      <c r="K362" s="23">
        <v>0</v>
      </c>
    </row>
    <row r="363" spans="1:11" x14ac:dyDescent="0.25">
      <c r="A363">
        <v>362</v>
      </c>
      <c r="B363" s="23">
        <v>1084.8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1084.8</v>
      </c>
      <c r="J363" s="23">
        <v>0</v>
      </c>
      <c r="K363" s="23">
        <v>0</v>
      </c>
    </row>
    <row r="364" spans="1:11" x14ac:dyDescent="0.25">
      <c r="A364">
        <v>363</v>
      </c>
      <c r="B364" s="23">
        <v>1221.5999999999999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1221.5999999999999</v>
      </c>
      <c r="J364" s="23">
        <v>0</v>
      </c>
      <c r="K364" s="23">
        <v>0</v>
      </c>
    </row>
    <row r="365" spans="1:11" x14ac:dyDescent="0.25">
      <c r="A365">
        <v>364</v>
      </c>
      <c r="B365" s="23">
        <v>1077.5999999999999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1077.5999999999999</v>
      </c>
      <c r="J365" s="23">
        <v>0</v>
      </c>
      <c r="K365" s="23">
        <v>0</v>
      </c>
    </row>
    <row r="366" spans="1:11" x14ac:dyDescent="0.25">
      <c r="A366">
        <v>365</v>
      </c>
      <c r="B366" s="23">
        <v>1200.8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1200.8</v>
      </c>
      <c r="J366" s="23">
        <v>0</v>
      </c>
      <c r="K366" s="23">
        <v>0</v>
      </c>
    </row>
    <row r="367" spans="1:11" x14ac:dyDescent="0.25">
      <c r="A367">
        <v>366</v>
      </c>
      <c r="B367" s="23">
        <v>1140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1140</v>
      </c>
      <c r="J367" s="23">
        <v>0</v>
      </c>
      <c r="K367" s="23">
        <v>0</v>
      </c>
    </row>
    <row r="368" spans="1:11" x14ac:dyDescent="0.25">
      <c r="A368">
        <v>367</v>
      </c>
      <c r="B368" s="23">
        <v>1037.5999999999999</v>
      </c>
      <c r="C368" s="23">
        <v>11.89</v>
      </c>
      <c r="D368" s="23">
        <v>9.7370000000000001</v>
      </c>
      <c r="E368" s="23">
        <v>9.7370000000000001</v>
      </c>
      <c r="F368" s="23">
        <v>0</v>
      </c>
      <c r="G368" s="23">
        <v>0</v>
      </c>
      <c r="H368" s="23">
        <v>0</v>
      </c>
      <c r="I368" s="23">
        <v>1027.8630000000001</v>
      </c>
      <c r="J368" s="23">
        <v>0</v>
      </c>
      <c r="K368" s="23">
        <v>0</v>
      </c>
    </row>
    <row r="369" spans="1:11" x14ac:dyDescent="0.25">
      <c r="A369">
        <v>368</v>
      </c>
      <c r="B369" s="23">
        <v>866.89200000000005</v>
      </c>
      <c r="C369" s="23">
        <v>129.19999999999999</v>
      </c>
      <c r="D369" s="23">
        <v>491.39299999999997</v>
      </c>
      <c r="E369" s="23">
        <v>491.39299999999997</v>
      </c>
      <c r="F369" s="23">
        <v>0</v>
      </c>
      <c r="G369" s="23">
        <v>0</v>
      </c>
      <c r="H369" s="23">
        <v>0</v>
      </c>
      <c r="I369" s="23">
        <v>250.47399999999999</v>
      </c>
      <c r="J369" s="23">
        <v>0</v>
      </c>
      <c r="K369" s="23">
        <v>125.02500000000001</v>
      </c>
    </row>
    <row r="370" spans="1:11" x14ac:dyDescent="0.25">
      <c r="A370">
        <v>369</v>
      </c>
      <c r="B370" s="23">
        <v>1066.826</v>
      </c>
      <c r="C370" s="23">
        <v>340.25</v>
      </c>
      <c r="D370" s="23">
        <v>1351.213</v>
      </c>
      <c r="E370" s="23">
        <v>1066.826</v>
      </c>
      <c r="F370" s="23">
        <v>-284.387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pans="1:11" x14ac:dyDescent="0.25">
      <c r="A371">
        <v>370</v>
      </c>
      <c r="B371" s="23">
        <v>1366.0550000000001</v>
      </c>
      <c r="C371" s="23">
        <v>562.96</v>
      </c>
      <c r="D371" s="23">
        <v>2183.21</v>
      </c>
      <c r="E371" s="23">
        <v>1366.0550000000001</v>
      </c>
      <c r="F371" s="23">
        <v>-817.15499999999997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pans="1:11" x14ac:dyDescent="0.25">
      <c r="A372">
        <v>371</v>
      </c>
      <c r="B372" s="23">
        <v>1574.6130000000001</v>
      </c>
      <c r="C372" s="23">
        <v>770.93</v>
      </c>
      <c r="D372" s="23">
        <v>2904.2629999999999</v>
      </c>
      <c r="E372" s="23">
        <v>1574.6130000000001</v>
      </c>
      <c r="F372" s="23">
        <v>-1329.65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pans="1:11" x14ac:dyDescent="0.25">
      <c r="A373">
        <v>372</v>
      </c>
      <c r="B373" s="23">
        <v>1515.751</v>
      </c>
      <c r="C373" s="23">
        <v>699.2</v>
      </c>
      <c r="D373" s="23">
        <v>2615.7600000000002</v>
      </c>
      <c r="E373" s="23">
        <v>1515.751</v>
      </c>
      <c r="F373" s="23">
        <v>-1100.009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pans="1:11" x14ac:dyDescent="0.25">
      <c r="A374">
        <v>373</v>
      </c>
      <c r="B374" s="23">
        <v>1570.0419999999999</v>
      </c>
      <c r="C374" s="23">
        <v>422.53</v>
      </c>
      <c r="D374" s="23">
        <v>1595.7339999999999</v>
      </c>
      <c r="E374" s="23">
        <v>1570.0419999999999</v>
      </c>
      <c r="F374" s="23">
        <v>-25.692</v>
      </c>
      <c r="G374" s="23">
        <v>0</v>
      </c>
      <c r="H374" s="23">
        <v>0</v>
      </c>
      <c r="I374" s="23">
        <v>0</v>
      </c>
      <c r="J374" s="23">
        <v>0</v>
      </c>
      <c r="K374" s="23">
        <v>0</v>
      </c>
    </row>
    <row r="375" spans="1:11" x14ac:dyDescent="0.25">
      <c r="A375">
        <v>374</v>
      </c>
      <c r="B375" s="23">
        <v>1584.0139999999999</v>
      </c>
      <c r="C375" s="23">
        <v>793.05</v>
      </c>
      <c r="D375" s="23">
        <v>2969.1080000000002</v>
      </c>
      <c r="E375" s="23">
        <v>1584.0139999999999</v>
      </c>
      <c r="F375" s="23">
        <v>-1385.0940000000001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pans="1:11" x14ac:dyDescent="0.25">
      <c r="A376">
        <v>375</v>
      </c>
      <c r="B376" s="23">
        <v>1443.606</v>
      </c>
      <c r="C376" s="23">
        <v>481.16</v>
      </c>
      <c r="D376" s="23">
        <v>1851.7909999999999</v>
      </c>
      <c r="E376" s="23">
        <v>1443.606</v>
      </c>
      <c r="F376" s="23">
        <v>-408.185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pans="1:11" x14ac:dyDescent="0.25">
      <c r="A377">
        <v>376</v>
      </c>
      <c r="B377" s="23">
        <v>1857.1590000000001</v>
      </c>
      <c r="C377" s="23">
        <v>430.66</v>
      </c>
      <c r="D377" s="23">
        <v>1697.386</v>
      </c>
      <c r="E377" s="23">
        <v>1697.386</v>
      </c>
      <c r="F377" s="23">
        <v>0</v>
      </c>
      <c r="G377" s="23">
        <v>0</v>
      </c>
      <c r="H377" s="23">
        <v>0</v>
      </c>
      <c r="I377" s="23">
        <v>159.773</v>
      </c>
      <c r="J377" s="23">
        <v>0</v>
      </c>
      <c r="K377" s="23">
        <v>0</v>
      </c>
    </row>
    <row r="378" spans="1:11" x14ac:dyDescent="0.25">
      <c r="A378">
        <v>377</v>
      </c>
      <c r="B378" s="23">
        <v>2051.3539999999998</v>
      </c>
      <c r="C378" s="23">
        <v>144.93</v>
      </c>
      <c r="D378" s="23">
        <v>551.89400000000001</v>
      </c>
      <c r="E378" s="23">
        <v>551.89400000000001</v>
      </c>
      <c r="F378" s="23">
        <v>0</v>
      </c>
      <c r="G378" s="23">
        <v>0</v>
      </c>
      <c r="H378" s="23">
        <v>0</v>
      </c>
      <c r="I378" s="23">
        <v>1499.46</v>
      </c>
      <c r="J378" s="23">
        <v>0</v>
      </c>
      <c r="K378" s="23">
        <v>0</v>
      </c>
    </row>
    <row r="379" spans="1:11" x14ac:dyDescent="0.25">
      <c r="A379">
        <v>378</v>
      </c>
      <c r="B379" s="23">
        <v>1864.6679999999999</v>
      </c>
      <c r="C379" s="23">
        <v>26.75</v>
      </c>
      <c r="D379" s="23">
        <v>61.585999999999999</v>
      </c>
      <c r="E379" s="23">
        <v>61.585999999999999</v>
      </c>
      <c r="F379" s="23">
        <v>0</v>
      </c>
      <c r="G379" s="23">
        <v>0</v>
      </c>
      <c r="H379" s="23">
        <v>0</v>
      </c>
      <c r="I379" s="23">
        <v>118.52200000000001</v>
      </c>
      <c r="J379" s="23">
        <v>0</v>
      </c>
      <c r="K379" s="23">
        <v>1684.559</v>
      </c>
    </row>
    <row r="380" spans="1:11" x14ac:dyDescent="0.25">
      <c r="A380">
        <v>379</v>
      </c>
      <c r="B380" s="23">
        <v>1687.2</v>
      </c>
      <c r="C380" s="23">
        <v>0</v>
      </c>
      <c r="D380" s="23">
        <v>0</v>
      </c>
      <c r="E380" s="23">
        <v>0</v>
      </c>
      <c r="F380" s="23">
        <v>0</v>
      </c>
      <c r="G380" s="23">
        <v>0</v>
      </c>
      <c r="H380" s="23">
        <v>0</v>
      </c>
      <c r="I380" s="23">
        <v>2.641</v>
      </c>
      <c r="J380" s="23">
        <v>0</v>
      </c>
      <c r="K380" s="23">
        <v>1684.559</v>
      </c>
    </row>
    <row r="381" spans="1:11" x14ac:dyDescent="0.25">
      <c r="A381">
        <v>380</v>
      </c>
      <c r="B381" s="23">
        <v>1437.6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1437.6</v>
      </c>
    </row>
    <row r="382" spans="1:11" x14ac:dyDescent="0.25">
      <c r="A382">
        <v>381</v>
      </c>
      <c r="B382" s="23">
        <v>1798.4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1798.4</v>
      </c>
      <c r="J382" s="23">
        <v>0</v>
      </c>
      <c r="K382" s="23">
        <v>0</v>
      </c>
    </row>
    <row r="383" spans="1:11" x14ac:dyDescent="0.25">
      <c r="A383">
        <v>382</v>
      </c>
      <c r="B383" s="23">
        <v>1439.2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1439.2</v>
      </c>
      <c r="J383" s="23">
        <v>0</v>
      </c>
      <c r="K383" s="23">
        <v>0</v>
      </c>
    </row>
    <row r="384" spans="1:11" x14ac:dyDescent="0.25">
      <c r="A384">
        <v>383</v>
      </c>
      <c r="B384" s="23">
        <v>1318.4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1318.4</v>
      </c>
      <c r="J384" s="23">
        <v>0</v>
      </c>
      <c r="K384" s="23">
        <v>0</v>
      </c>
    </row>
    <row r="385" spans="1:11" x14ac:dyDescent="0.25">
      <c r="A385">
        <v>384</v>
      </c>
      <c r="B385" s="23">
        <v>1333.6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1333.6</v>
      </c>
      <c r="J385" s="23">
        <v>0</v>
      </c>
      <c r="K385" s="23">
        <v>0</v>
      </c>
    </row>
    <row r="386" spans="1:11" x14ac:dyDescent="0.25">
      <c r="A386">
        <v>385</v>
      </c>
      <c r="B386" s="23">
        <v>1427.2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1427.2</v>
      </c>
      <c r="J386" s="23">
        <v>0</v>
      </c>
      <c r="K386" s="23">
        <v>0</v>
      </c>
    </row>
    <row r="387" spans="1:11" x14ac:dyDescent="0.25">
      <c r="A387">
        <v>386</v>
      </c>
      <c r="B387" s="23">
        <v>1464.8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1464.8</v>
      </c>
      <c r="J387" s="23">
        <v>0</v>
      </c>
      <c r="K387" s="23">
        <v>0</v>
      </c>
    </row>
    <row r="388" spans="1:11" x14ac:dyDescent="0.25">
      <c r="A388">
        <v>387</v>
      </c>
      <c r="B388" s="23">
        <v>1109.5999999999999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1109.5999999999999</v>
      </c>
      <c r="J388" s="23">
        <v>0</v>
      </c>
      <c r="K388" s="23">
        <v>0</v>
      </c>
    </row>
    <row r="389" spans="1:11" x14ac:dyDescent="0.25">
      <c r="A389">
        <v>388</v>
      </c>
      <c r="B389" s="23">
        <v>1159.2</v>
      </c>
      <c r="C389" s="23">
        <v>0</v>
      </c>
      <c r="D389" s="23">
        <v>0</v>
      </c>
      <c r="E389" s="23">
        <v>0</v>
      </c>
      <c r="F389" s="23">
        <v>0</v>
      </c>
      <c r="G389" s="23">
        <v>0</v>
      </c>
      <c r="H389" s="23">
        <v>0</v>
      </c>
      <c r="I389" s="23">
        <v>1159.2</v>
      </c>
      <c r="J389" s="23">
        <v>0</v>
      </c>
      <c r="K389" s="23">
        <v>0</v>
      </c>
    </row>
    <row r="390" spans="1:11" x14ac:dyDescent="0.25">
      <c r="A390">
        <v>389</v>
      </c>
      <c r="B390" s="23">
        <v>1433.6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1433.6</v>
      </c>
      <c r="J390" s="23">
        <v>0</v>
      </c>
      <c r="K390" s="23">
        <v>0</v>
      </c>
    </row>
    <row r="391" spans="1:11" x14ac:dyDescent="0.25">
      <c r="A391">
        <v>390</v>
      </c>
      <c r="B391" s="23">
        <v>1189.5999999999999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1007.686</v>
      </c>
      <c r="J391" s="23">
        <v>0</v>
      </c>
      <c r="K391" s="23">
        <v>181.91399999999999</v>
      </c>
    </row>
    <row r="392" spans="1:11" x14ac:dyDescent="0.25">
      <c r="A392">
        <v>391</v>
      </c>
      <c r="B392" s="23">
        <v>1440</v>
      </c>
      <c r="C392" s="23">
        <v>34.43</v>
      </c>
      <c r="D392" s="23">
        <v>55.970999999999997</v>
      </c>
      <c r="E392" s="23">
        <v>55.970999999999997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1384.029</v>
      </c>
    </row>
    <row r="393" spans="1:11" x14ac:dyDescent="0.25">
      <c r="A393">
        <v>392</v>
      </c>
      <c r="B393" s="23">
        <v>1042.4939999999999</v>
      </c>
      <c r="C393" s="23">
        <v>226.37</v>
      </c>
      <c r="D393" s="23">
        <v>863.30700000000002</v>
      </c>
      <c r="E393" s="23">
        <v>863.30700000000002</v>
      </c>
      <c r="F393" s="23">
        <v>0</v>
      </c>
      <c r="G393" s="23">
        <v>0</v>
      </c>
      <c r="H393" s="23">
        <v>0</v>
      </c>
      <c r="I393" s="23">
        <v>0</v>
      </c>
      <c r="J393" s="23">
        <v>0</v>
      </c>
      <c r="K393" s="23">
        <v>179.18700000000001</v>
      </c>
    </row>
    <row r="394" spans="1:11" x14ac:dyDescent="0.25">
      <c r="A394">
        <v>393</v>
      </c>
      <c r="B394" s="23">
        <v>1260.412</v>
      </c>
      <c r="C394" s="23">
        <v>511.56</v>
      </c>
      <c r="D394" s="23">
        <v>2070.85</v>
      </c>
      <c r="E394" s="23">
        <v>1260.412</v>
      </c>
      <c r="F394" s="23">
        <v>-810.43799999999999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</row>
    <row r="395" spans="1:11" x14ac:dyDescent="0.25">
      <c r="A395">
        <v>394</v>
      </c>
      <c r="B395" s="23">
        <v>1528.29</v>
      </c>
      <c r="C395" s="23">
        <v>689.89</v>
      </c>
      <c r="D395" s="23">
        <v>2721.7310000000002</v>
      </c>
      <c r="E395" s="23">
        <v>1528.29</v>
      </c>
      <c r="F395" s="23">
        <v>-1193.441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pans="1:11" x14ac:dyDescent="0.25">
      <c r="A396">
        <v>395</v>
      </c>
      <c r="B396" s="23">
        <v>1634.0530000000001</v>
      </c>
      <c r="C396" s="23">
        <v>832.88</v>
      </c>
      <c r="D396" s="23">
        <v>3214.9160000000002</v>
      </c>
      <c r="E396" s="23">
        <v>1634.0530000000001</v>
      </c>
      <c r="F396" s="23">
        <v>-1580.8630000000001</v>
      </c>
      <c r="G396" s="23">
        <v>0</v>
      </c>
      <c r="H396" s="23">
        <v>0</v>
      </c>
      <c r="I396" s="23">
        <v>0</v>
      </c>
      <c r="J396" s="23">
        <v>0</v>
      </c>
      <c r="K396" s="23">
        <v>0</v>
      </c>
    </row>
    <row r="397" spans="1:11" x14ac:dyDescent="0.25">
      <c r="A397">
        <v>396</v>
      </c>
      <c r="B397" s="23">
        <v>1747.7639999999999</v>
      </c>
      <c r="C397" s="23">
        <v>947.37</v>
      </c>
      <c r="D397" s="23">
        <v>3603.877</v>
      </c>
      <c r="E397" s="23">
        <v>1747.7639999999999</v>
      </c>
      <c r="F397" s="23">
        <v>-1684.559</v>
      </c>
      <c r="G397" s="23">
        <v>0</v>
      </c>
      <c r="H397" s="23">
        <v>171.554</v>
      </c>
      <c r="I397" s="23">
        <v>0</v>
      </c>
      <c r="J397" s="23">
        <v>0</v>
      </c>
      <c r="K397" s="23">
        <v>0</v>
      </c>
    </row>
    <row r="398" spans="1:11" x14ac:dyDescent="0.25">
      <c r="A398">
        <v>397</v>
      </c>
      <c r="B398" s="23">
        <v>1461.828</v>
      </c>
      <c r="C398" s="23">
        <v>534.79999999999995</v>
      </c>
      <c r="D398" s="23">
        <v>2043.0940000000001</v>
      </c>
      <c r="E398" s="23">
        <v>1461.828</v>
      </c>
      <c r="F398" s="23">
        <v>-581.26599999999996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pans="1:11" x14ac:dyDescent="0.25">
      <c r="A399">
        <v>398</v>
      </c>
      <c r="B399" s="23">
        <v>1421.1869999999999</v>
      </c>
      <c r="C399" s="23">
        <v>618.70000000000005</v>
      </c>
      <c r="D399" s="23">
        <v>2374.5349999999999</v>
      </c>
      <c r="E399" s="23">
        <v>1421.1869999999999</v>
      </c>
      <c r="F399" s="23">
        <v>-953.34799999999996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pans="1:11" x14ac:dyDescent="0.25">
      <c r="A400">
        <v>399</v>
      </c>
      <c r="B400" s="23">
        <v>1580.373</v>
      </c>
      <c r="C400" s="23">
        <v>605.48</v>
      </c>
      <c r="D400" s="23">
        <v>2358.6239999999998</v>
      </c>
      <c r="E400" s="23">
        <v>1580.373</v>
      </c>
      <c r="F400" s="23">
        <v>-487.584</v>
      </c>
      <c r="G400" s="23">
        <v>0</v>
      </c>
      <c r="H400" s="23">
        <v>290.66699999999997</v>
      </c>
      <c r="I400" s="23">
        <v>0</v>
      </c>
      <c r="J400" s="23">
        <v>0</v>
      </c>
      <c r="K400" s="23">
        <v>0</v>
      </c>
    </row>
    <row r="401" spans="1:11" x14ac:dyDescent="0.25">
      <c r="A401">
        <v>400</v>
      </c>
      <c r="B401" s="23">
        <v>1462.36</v>
      </c>
      <c r="C401" s="23">
        <v>87.1</v>
      </c>
      <c r="D401" s="23">
        <v>315.416</v>
      </c>
      <c r="E401" s="23">
        <v>315.416</v>
      </c>
      <c r="F401" s="23">
        <v>0</v>
      </c>
      <c r="G401" s="23">
        <v>0</v>
      </c>
      <c r="H401" s="23">
        <v>0</v>
      </c>
      <c r="I401" s="23">
        <v>1146.944</v>
      </c>
      <c r="J401" s="23">
        <v>0</v>
      </c>
      <c r="K401" s="23">
        <v>0</v>
      </c>
    </row>
    <row r="402" spans="1:11" x14ac:dyDescent="0.25">
      <c r="A402">
        <v>401</v>
      </c>
      <c r="B402" s="23">
        <v>1717.2439999999999</v>
      </c>
      <c r="C402" s="23">
        <v>32.33</v>
      </c>
      <c r="D402" s="23">
        <v>101.084</v>
      </c>
      <c r="E402" s="23">
        <v>101.084</v>
      </c>
      <c r="F402" s="23">
        <v>0</v>
      </c>
      <c r="G402" s="23">
        <v>0</v>
      </c>
      <c r="H402" s="23">
        <v>0</v>
      </c>
      <c r="I402" s="23">
        <v>1616.16</v>
      </c>
      <c r="J402" s="23">
        <v>0</v>
      </c>
      <c r="K402" s="23">
        <v>0</v>
      </c>
    </row>
    <row r="403" spans="1:11" x14ac:dyDescent="0.25">
      <c r="A403">
        <v>402</v>
      </c>
      <c r="B403" s="23">
        <v>1611.558</v>
      </c>
      <c r="C403" s="23">
        <v>14.71</v>
      </c>
      <c r="D403" s="23">
        <v>25.044</v>
      </c>
      <c r="E403" s="23">
        <v>25.044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1586.5139999999999</v>
      </c>
    </row>
    <row r="404" spans="1:11" x14ac:dyDescent="0.25">
      <c r="A404">
        <v>403</v>
      </c>
      <c r="B404" s="23">
        <v>1616.357</v>
      </c>
      <c r="C404" s="23">
        <v>0</v>
      </c>
      <c r="D404" s="23">
        <v>0</v>
      </c>
      <c r="E404" s="23">
        <v>0</v>
      </c>
      <c r="F404" s="23">
        <v>0</v>
      </c>
      <c r="G404" s="23">
        <v>0</v>
      </c>
      <c r="H404" s="23">
        <v>0</v>
      </c>
      <c r="I404" s="23">
        <v>0</v>
      </c>
      <c r="J404" s="23">
        <v>0</v>
      </c>
      <c r="K404" s="23">
        <v>1616.357</v>
      </c>
    </row>
    <row r="405" spans="1:11" x14ac:dyDescent="0.25">
      <c r="A405">
        <v>404</v>
      </c>
      <c r="B405" s="23">
        <v>1480.8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1480.8</v>
      </c>
    </row>
    <row r="406" spans="1:11" x14ac:dyDescent="0.25">
      <c r="A406">
        <v>405</v>
      </c>
      <c r="B406" s="23">
        <v>1845.6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1845.6</v>
      </c>
      <c r="J406" s="23">
        <v>0</v>
      </c>
      <c r="K406" s="23">
        <v>0</v>
      </c>
    </row>
    <row r="407" spans="1:11" x14ac:dyDescent="0.25">
      <c r="A407">
        <v>406</v>
      </c>
      <c r="B407" s="23">
        <v>1497.6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1497.6</v>
      </c>
      <c r="J407" s="23">
        <v>0</v>
      </c>
      <c r="K407" s="23">
        <v>0</v>
      </c>
    </row>
    <row r="408" spans="1:11" x14ac:dyDescent="0.25">
      <c r="A408">
        <v>407</v>
      </c>
      <c r="B408" s="23">
        <v>1532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1532</v>
      </c>
      <c r="J408" s="23">
        <v>0</v>
      </c>
      <c r="K408" s="23">
        <v>0</v>
      </c>
    </row>
    <row r="409" spans="1:11" x14ac:dyDescent="0.25">
      <c r="A409">
        <v>408</v>
      </c>
      <c r="B409" s="23">
        <v>1503.2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1503.2</v>
      </c>
      <c r="J409" s="23">
        <v>0</v>
      </c>
      <c r="K409" s="23">
        <v>0</v>
      </c>
    </row>
    <row r="410" spans="1:11" x14ac:dyDescent="0.25">
      <c r="A410">
        <v>409</v>
      </c>
      <c r="B410" s="23">
        <v>1740.8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1740.8</v>
      </c>
      <c r="J410" s="23">
        <v>0</v>
      </c>
      <c r="K410" s="23">
        <v>0</v>
      </c>
    </row>
    <row r="411" spans="1:11" x14ac:dyDescent="0.25">
      <c r="A411">
        <v>410</v>
      </c>
      <c r="B411" s="23">
        <v>1453.6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1453.6</v>
      </c>
      <c r="J411" s="23">
        <v>0</v>
      </c>
      <c r="K411" s="23">
        <v>0</v>
      </c>
    </row>
    <row r="412" spans="1:11" x14ac:dyDescent="0.25">
      <c r="A412">
        <v>411</v>
      </c>
      <c r="B412" s="23">
        <v>1256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1256</v>
      </c>
      <c r="J412" s="23">
        <v>0</v>
      </c>
      <c r="K412" s="23">
        <v>0</v>
      </c>
    </row>
    <row r="413" spans="1:11" x14ac:dyDescent="0.25">
      <c r="A413">
        <v>412</v>
      </c>
      <c r="B413" s="23">
        <v>1274.4000000000001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1274.4000000000001</v>
      </c>
      <c r="J413" s="23">
        <v>0</v>
      </c>
      <c r="K413" s="23">
        <v>0</v>
      </c>
    </row>
    <row r="414" spans="1:11" x14ac:dyDescent="0.25">
      <c r="A414">
        <v>413</v>
      </c>
      <c r="B414" s="23">
        <v>1436.8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1436.8</v>
      </c>
      <c r="J414" s="23">
        <v>0</v>
      </c>
      <c r="K414" s="23">
        <v>0</v>
      </c>
    </row>
    <row r="415" spans="1:11" x14ac:dyDescent="0.25">
      <c r="A415">
        <v>414</v>
      </c>
      <c r="B415" s="23">
        <v>1512.8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1184.1220000000001</v>
      </c>
      <c r="J415" s="23">
        <v>0</v>
      </c>
      <c r="K415" s="23">
        <v>328.678</v>
      </c>
    </row>
    <row r="416" spans="1:11" x14ac:dyDescent="0.25">
      <c r="A416">
        <v>415</v>
      </c>
      <c r="B416" s="23">
        <v>1361.6</v>
      </c>
      <c r="C416" s="23">
        <v>31.79</v>
      </c>
      <c r="D416" s="23">
        <v>50.862000000000002</v>
      </c>
      <c r="E416" s="23">
        <v>50.862000000000002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1310.7380000000001</v>
      </c>
    </row>
    <row r="417" spans="1:11" x14ac:dyDescent="0.25">
      <c r="A417">
        <v>416</v>
      </c>
      <c r="B417" s="23">
        <v>1307.4760000000001</v>
      </c>
      <c r="C417" s="23">
        <v>282.57</v>
      </c>
      <c r="D417" s="23">
        <v>1078.7139999999999</v>
      </c>
      <c r="E417" s="23">
        <v>1078.7139999999999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228.762</v>
      </c>
    </row>
    <row r="418" spans="1:11" x14ac:dyDescent="0.25">
      <c r="A418">
        <v>417</v>
      </c>
      <c r="B418" s="23">
        <v>1117.404</v>
      </c>
      <c r="C418" s="23">
        <v>531.66</v>
      </c>
      <c r="D418" s="23">
        <v>2147.0970000000002</v>
      </c>
      <c r="E418" s="23">
        <v>1117.404</v>
      </c>
      <c r="F418" s="23">
        <v>-1029.693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pans="1:11" x14ac:dyDescent="0.25">
      <c r="A419">
        <v>418</v>
      </c>
      <c r="B419" s="23">
        <v>1558.3309999999999</v>
      </c>
      <c r="C419" s="23">
        <v>725.51</v>
      </c>
      <c r="D419" s="23">
        <v>2840.61</v>
      </c>
      <c r="E419" s="23">
        <v>1558.3309999999999</v>
      </c>
      <c r="F419" s="23">
        <v>-1282.279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pans="1:11" x14ac:dyDescent="0.25">
      <c r="A420">
        <v>419</v>
      </c>
      <c r="B420" s="23">
        <v>1635.5820000000001</v>
      </c>
      <c r="C420" s="23">
        <v>887.31</v>
      </c>
      <c r="D420" s="23">
        <v>3378.3240000000001</v>
      </c>
      <c r="E420" s="23">
        <v>1635.5820000000001</v>
      </c>
      <c r="F420" s="23">
        <v>-1684.559</v>
      </c>
      <c r="G420" s="23">
        <v>0</v>
      </c>
      <c r="H420" s="23">
        <v>58.183</v>
      </c>
      <c r="I420" s="23">
        <v>0</v>
      </c>
      <c r="J420" s="23">
        <v>0</v>
      </c>
      <c r="K420" s="23">
        <v>0</v>
      </c>
    </row>
    <row r="421" spans="1:11" x14ac:dyDescent="0.25">
      <c r="A421">
        <v>420</v>
      </c>
      <c r="B421" s="23">
        <v>1614.2360000000001</v>
      </c>
      <c r="C421" s="23">
        <v>972.14</v>
      </c>
      <c r="D421" s="23">
        <v>3641.04</v>
      </c>
      <c r="E421" s="23">
        <v>1614.2370000000001</v>
      </c>
      <c r="F421" s="23">
        <v>-1684.559</v>
      </c>
      <c r="G421" s="23">
        <v>0</v>
      </c>
      <c r="H421" s="23">
        <v>342.24400000000003</v>
      </c>
      <c r="I421" s="23">
        <v>0</v>
      </c>
      <c r="J421" s="23">
        <v>0</v>
      </c>
      <c r="K421" s="23">
        <v>0</v>
      </c>
    </row>
    <row r="422" spans="1:11" x14ac:dyDescent="0.25">
      <c r="A422">
        <v>421</v>
      </c>
      <c r="B422" s="23">
        <v>1599.883</v>
      </c>
      <c r="C422" s="23">
        <v>875.32</v>
      </c>
      <c r="D422" s="23">
        <v>3273.5990000000002</v>
      </c>
      <c r="E422" s="23">
        <v>1599.883</v>
      </c>
      <c r="F422" s="23">
        <v>-1610.4079999999999</v>
      </c>
      <c r="G422" s="23">
        <v>0</v>
      </c>
      <c r="H422" s="23">
        <v>63.308</v>
      </c>
      <c r="I422" s="23">
        <v>0</v>
      </c>
      <c r="J422" s="23">
        <v>0</v>
      </c>
      <c r="K422" s="23">
        <v>0</v>
      </c>
    </row>
    <row r="423" spans="1:11" x14ac:dyDescent="0.25">
      <c r="A423">
        <v>422</v>
      </c>
      <c r="B423" s="23">
        <v>1534.3209999999999</v>
      </c>
      <c r="C423" s="23">
        <v>821.25</v>
      </c>
      <c r="D423" s="23">
        <v>3095.68</v>
      </c>
      <c r="E423" s="23">
        <v>1534.3209999999999</v>
      </c>
      <c r="F423" s="23">
        <v>0</v>
      </c>
      <c r="G423" s="23">
        <v>0</v>
      </c>
      <c r="H423" s="23">
        <v>1561.3589999999999</v>
      </c>
      <c r="I423" s="23">
        <v>0</v>
      </c>
      <c r="J423" s="23">
        <v>0</v>
      </c>
      <c r="K423" s="23">
        <v>0</v>
      </c>
    </row>
    <row r="424" spans="1:11" x14ac:dyDescent="0.25">
      <c r="A424">
        <v>423</v>
      </c>
      <c r="B424" s="23">
        <v>1869.297</v>
      </c>
      <c r="C424" s="23">
        <v>702.38</v>
      </c>
      <c r="D424" s="23">
        <v>2705.0709999999999</v>
      </c>
      <c r="E424" s="23">
        <v>1869.297</v>
      </c>
      <c r="F424" s="23">
        <v>0</v>
      </c>
      <c r="G424" s="23">
        <v>0</v>
      </c>
      <c r="H424" s="23">
        <v>835.774</v>
      </c>
      <c r="I424" s="23">
        <v>0</v>
      </c>
      <c r="J424" s="23">
        <v>0</v>
      </c>
      <c r="K424" s="23">
        <v>0</v>
      </c>
    </row>
    <row r="425" spans="1:11" x14ac:dyDescent="0.25">
      <c r="A425">
        <v>424</v>
      </c>
      <c r="B425" s="23">
        <v>1731.41</v>
      </c>
      <c r="C425" s="23">
        <v>548.21</v>
      </c>
      <c r="D425" s="23">
        <v>2169.81</v>
      </c>
      <c r="E425" s="23">
        <v>1731.41</v>
      </c>
      <c r="F425" s="23">
        <v>0</v>
      </c>
      <c r="G425" s="23">
        <v>0</v>
      </c>
      <c r="H425" s="23">
        <v>438.4</v>
      </c>
      <c r="I425" s="23">
        <v>0</v>
      </c>
      <c r="J425" s="23">
        <v>0</v>
      </c>
      <c r="K425" s="23">
        <v>0</v>
      </c>
    </row>
    <row r="426" spans="1:11" x14ac:dyDescent="0.25">
      <c r="A426">
        <v>425</v>
      </c>
      <c r="B426" s="23">
        <v>1852.086</v>
      </c>
      <c r="C426" s="23">
        <v>301.42</v>
      </c>
      <c r="D426" s="23">
        <v>1155.7719999999999</v>
      </c>
      <c r="E426" s="23">
        <v>1155.7719999999999</v>
      </c>
      <c r="F426" s="23">
        <v>0</v>
      </c>
      <c r="G426" s="23">
        <v>0</v>
      </c>
      <c r="H426" s="23">
        <v>0</v>
      </c>
      <c r="I426" s="23">
        <v>696.31399999999996</v>
      </c>
      <c r="J426" s="23">
        <v>0</v>
      </c>
      <c r="K426" s="23">
        <v>0</v>
      </c>
    </row>
    <row r="427" spans="1:11" x14ac:dyDescent="0.25">
      <c r="A427">
        <v>426</v>
      </c>
      <c r="B427" s="23">
        <v>1824.7809999999999</v>
      </c>
      <c r="C427" s="23">
        <v>43.96</v>
      </c>
      <c r="D427" s="23">
        <v>109.53</v>
      </c>
      <c r="E427" s="23">
        <v>109.53</v>
      </c>
      <c r="F427" s="23">
        <v>0</v>
      </c>
      <c r="G427" s="23">
        <v>0</v>
      </c>
      <c r="H427" s="23">
        <v>0</v>
      </c>
      <c r="I427" s="23">
        <v>30.692</v>
      </c>
      <c r="J427" s="23">
        <v>0</v>
      </c>
      <c r="K427" s="23">
        <v>1684.559</v>
      </c>
    </row>
    <row r="428" spans="1:11" x14ac:dyDescent="0.25">
      <c r="A428">
        <v>427</v>
      </c>
      <c r="B428" s="23">
        <v>1772.8510000000001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88.292000000000002</v>
      </c>
      <c r="J428" s="23">
        <v>0</v>
      </c>
      <c r="K428" s="23">
        <v>1684.559</v>
      </c>
    </row>
    <row r="429" spans="1:11" x14ac:dyDescent="0.25">
      <c r="A429">
        <v>428</v>
      </c>
      <c r="B429" s="23">
        <v>1725.6</v>
      </c>
      <c r="C429" s="23">
        <v>0</v>
      </c>
      <c r="D429" s="23">
        <v>0</v>
      </c>
      <c r="E429" s="23">
        <v>0</v>
      </c>
      <c r="F429" s="23">
        <v>0</v>
      </c>
      <c r="G429" s="23">
        <v>0</v>
      </c>
      <c r="H429" s="23">
        <v>0</v>
      </c>
      <c r="I429" s="23">
        <v>41.040999999999997</v>
      </c>
      <c r="J429" s="23">
        <v>0</v>
      </c>
      <c r="K429" s="23">
        <v>1684.559</v>
      </c>
    </row>
    <row r="430" spans="1:11" x14ac:dyDescent="0.25">
      <c r="A430">
        <v>429</v>
      </c>
      <c r="B430" s="23">
        <v>1548.8</v>
      </c>
      <c r="C430" s="23">
        <v>0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3">
        <v>1548.8</v>
      </c>
      <c r="J430" s="23">
        <v>0</v>
      </c>
      <c r="K430" s="23">
        <v>0</v>
      </c>
    </row>
    <row r="431" spans="1:11" x14ac:dyDescent="0.25">
      <c r="A431">
        <v>430</v>
      </c>
      <c r="B431" s="23">
        <v>1660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1660</v>
      </c>
      <c r="J431" s="23">
        <v>0</v>
      </c>
      <c r="K431" s="23">
        <v>0</v>
      </c>
    </row>
    <row r="432" spans="1:11" x14ac:dyDescent="0.25">
      <c r="A432">
        <v>431</v>
      </c>
      <c r="B432" s="23">
        <v>1914.4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1914.4</v>
      </c>
      <c r="J432" s="23">
        <v>0</v>
      </c>
      <c r="K432" s="23">
        <v>0</v>
      </c>
    </row>
    <row r="433" spans="1:11" x14ac:dyDescent="0.25">
      <c r="A433">
        <v>432</v>
      </c>
      <c r="B433" s="23">
        <v>1842.4</v>
      </c>
      <c r="C433" s="23">
        <v>0</v>
      </c>
      <c r="D433" s="23">
        <v>0</v>
      </c>
      <c r="E433" s="23">
        <v>0</v>
      </c>
      <c r="F433" s="23">
        <v>0</v>
      </c>
      <c r="G433" s="23">
        <v>0</v>
      </c>
      <c r="H433" s="23">
        <v>0</v>
      </c>
      <c r="I433" s="23">
        <v>1842.4</v>
      </c>
      <c r="J433" s="23">
        <v>0</v>
      </c>
      <c r="K433" s="23">
        <v>0</v>
      </c>
    </row>
    <row r="434" spans="1:11" x14ac:dyDescent="0.25">
      <c r="A434">
        <v>433</v>
      </c>
      <c r="B434" s="23">
        <v>1708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1708</v>
      </c>
      <c r="J434" s="23">
        <v>0</v>
      </c>
      <c r="K434" s="23">
        <v>0</v>
      </c>
    </row>
    <row r="435" spans="1:11" x14ac:dyDescent="0.25">
      <c r="A435">
        <v>434</v>
      </c>
      <c r="B435" s="23">
        <v>1356.8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1356.8</v>
      </c>
      <c r="J435" s="23">
        <v>0</v>
      </c>
      <c r="K435" s="23">
        <v>0</v>
      </c>
    </row>
    <row r="436" spans="1:11" x14ac:dyDescent="0.25">
      <c r="A436">
        <v>435</v>
      </c>
      <c r="B436" s="23">
        <v>1073.5999999999999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1073.5999999999999</v>
      </c>
      <c r="J436" s="23">
        <v>0</v>
      </c>
      <c r="K436" s="23">
        <v>0</v>
      </c>
    </row>
    <row r="437" spans="1:11" x14ac:dyDescent="0.25">
      <c r="A437">
        <v>436</v>
      </c>
      <c r="B437" s="23">
        <v>1288.8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1288.8</v>
      </c>
      <c r="J437" s="23">
        <v>0</v>
      </c>
      <c r="K437" s="23">
        <v>0</v>
      </c>
    </row>
    <row r="438" spans="1:11" x14ac:dyDescent="0.25">
      <c r="A438">
        <v>437</v>
      </c>
      <c r="B438" s="23">
        <v>1396.8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1396.8</v>
      </c>
      <c r="J438" s="23">
        <v>0</v>
      </c>
      <c r="K438" s="23">
        <v>0</v>
      </c>
    </row>
    <row r="439" spans="1:11" x14ac:dyDescent="0.25">
      <c r="A439">
        <v>438</v>
      </c>
      <c r="B439" s="23">
        <v>1372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1239.848</v>
      </c>
      <c r="J439" s="23">
        <v>0</v>
      </c>
      <c r="K439" s="23">
        <v>132.15199999999999</v>
      </c>
    </row>
    <row r="440" spans="1:11" x14ac:dyDescent="0.25">
      <c r="A440">
        <v>439</v>
      </c>
      <c r="B440" s="23">
        <v>1415.2</v>
      </c>
      <c r="C440" s="23">
        <v>47.67</v>
      </c>
      <c r="D440" s="23">
        <v>79.212000000000003</v>
      </c>
      <c r="E440" s="23">
        <v>79.212000000000003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1335.9880000000001</v>
      </c>
    </row>
    <row r="441" spans="1:11" x14ac:dyDescent="0.25">
      <c r="A441">
        <v>440</v>
      </c>
      <c r="B441" s="23">
        <v>1131.076</v>
      </c>
      <c r="C441" s="23">
        <v>288.38</v>
      </c>
      <c r="D441" s="23">
        <v>1101.046</v>
      </c>
      <c r="E441" s="23">
        <v>1101.046</v>
      </c>
      <c r="F441" s="23">
        <v>0</v>
      </c>
      <c r="G441" s="23">
        <v>0</v>
      </c>
      <c r="H441" s="23">
        <v>0</v>
      </c>
      <c r="I441" s="23">
        <v>0</v>
      </c>
      <c r="J441" s="23">
        <v>0</v>
      </c>
      <c r="K441" s="23">
        <v>30.03</v>
      </c>
    </row>
    <row r="442" spans="1:11" x14ac:dyDescent="0.25">
      <c r="A442">
        <v>441</v>
      </c>
      <c r="B442" s="23">
        <v>1241.663</v>
      </c>
      <c r="C442" s="23">
        <v>537.33000000000004</v>
      </c>
      <c r="D442" s="23">
        <v>2164.681</v>
      </c>
      <c r="E442" s="23">
        <v>1241.663</v>
      </c>
      <c r="F442" s="23">
        <v>-923.01800000000003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pans="1:11" x14ac:dyDescent="0.25">
      <c r="A443">
        <v>442</v>
      </c>
      <c r="B443" s="23">
        <v>856.55499999999995</v>
      </c>
      <c r="C443" s="23">
        <v>749.24</v>
      </c>
      <c r="D443" s="23">
        <v>2898.9989999999998</v>
      </c>
      <c r="E443" s="23">
        <v>856.55600000000004</v>
      </c>
      <c r="F443" s="23">
        <v>-1684.559</v>
      </c>
      <c r="G443" s="23">
        <v>0</v>
      </c>
      <c r="H443" s="23">
        <v>357.88400000000001</v>
      </c>
      <c r="I443" s="23">
        <v>0</v>
      </c>
      <c r="J443" s="23">
        <v>0</v>
      </c>
      <c r="K443" s="23">
        <v>0</v>
      </c>
    </row>
    <row r="444" spans="1:11" x14ac:dyDescent="0.25">
      <c r="A444">
        <v>443</v>
      </c>
      <c r="B444" s="23">
        <v>1284.095</v>
      </c>
      <c r="C444" s="23">
        <v>904.69</v>
      </c>
      <c r="D444" s="23">
        <v>3374.3209999999999</v>
      </c>
      <c r="E444" s="23">
        <v>1284.095</v>
      </c>
      <c r="F444" s="23">
        <v>-1684.559</v>
      </c>
      <c r="G444" s="23">
        <v>0</v>
      </c>
      <c r="H444" s="23">
        <v>405.66699999999997</v>
      </c>
      <c r="I444" s="23">
        <v>0</v>
      </c>
      <c r="J444" s="23">
        <v>0</v>
      </c>
      <c r="K444" s="23">
        <v>0</v>
      </c>
    </row>
    <row r="445" spans="1:11" x14ac:dyDescent="0.25">
      <c r="A445">
        <v>444</v>
      </c>
      <c r="B445" s="23">
        <v>1493.4010000000001</v>
      </c>
      <c r="C445" s="23">
        <v>985.72</v>
      </c>
      <c r="D445" s="23">
        <v>3583.9110000000001</v>
      </c>
      <c r="E445" s="23">
        <v>1493.4010000000001</v>
      </c>
      <c r="F445" s="23">
        <v>-1684.559</v>
      </c>
      <c r="G445" s="23">
        <v>0</v>
      </c>
      <c r="H445" s="23">
        <v>405.95100000000002</v>
      </c>
      <c r="I445" s="23">
        <v>0</v>
      </c>
      <c r="J445" s="23">
        <v>0</v>
      </c>
      <c r="K445" s="23">
        <v>0</v>
      </c>
    </row>
    <row r="446" spans="1:11" x14ac:dyDescent="0.25">
      <c r="A446">
        <v>445</v>
      </c>
      <c r="B446" s="23">
        <v>1383.0329999999999</v>
      </c>
      <c r="C446" s="23">
        <v>972.52</v>
      </c>
      <c r="D446" s="23">
        <v>3508.8629999999998</v>
      </c>
      <c r="E446" s="23">
        <v>1383.0319999999999</v>
      </c>
      <c r="F446" s="23">
        <v>-1314.8030000000001</v>
      </c>
      <c r="G446" s="23">
        <v>0</v>
      </c>
      <c r="H446" s="23">
        <v>811.02800000000002</v>
      </c>
      <c r="I446" s="23">
        <v>0</v>
      </c>
      <c r="J446" s="23">
        <v>0</v>
      </c>
      <c r="K446" s="23">
        <v>0</v>
      </c>
    </row>
    <row r="447" spans="1:11" x14ac:dyDescent="0.25">
      <c r="A447">
        <v>446</v>
      </c>
      <c r="B447" s="23">
        <v>1395.1079999999999</v>
      </c>
      <c r="C447" s="23">
        <v>734.89</v>
      </c>
      <c r="D447" s="23">
        <v>2702.0129999999999</v>
      </c>
      <c r="E447" s="23">
        <v>1395.1079999999999</v>
      </c>
      <c r="F447" s="23">
        <v>0</v>
      </c>
      <c r="G447" s="23">
        <v>0</v>
      </c>
      <c r="H447" s="23">
        <v>1306.905</v>
      </c>
      <c r="I447" s="23">
        <v>0</v>
      </c>
      <c r="J447" s="23">
        <v>0</v>
      </c>
      <c r="K447" s="23">
        <v>0</v>
      </c>
    </row>
    <row r="448" spans="1:11" x14ac:dyDescent="0.25">
      <c r="A448">
        <v>447</v>
      </c>
      <c r="B448" s="23">
        <v>1147.0150000000001</v>
      </c>
      <c r="C448" s="23">
        <v>538.33000000000004</v>
      </c>
      <c r="D448" s="23">
        <v>2030.6089999999999</v>
      </c>
      <c r="E448" s="23">
        <v>1147.0150000000001</v>
      </c>
      <c r="F448" s="23">
        <v>0</v>
      </c>
      <c r="G448" s="23">
        <v>0</v>
      </c>
      <c r="H448" s="23">
        <v>883.59400000000005</v>
      </c>
      <c r="I448" s="23">
        <v>0</v>
      </c>
      <c r="J448" s="23">
        <v>0</v>
      </c>
      <c r="K448" s="23">
        <v>0</v>
      </c>
    </row>
    <row r="449" spans="1:11" x14ac:dyDescent="0.25">
      <c r="A449">
        <v>448</v>
      </c>
      <c r="B449" s="23">
        <v>1254.9929999999999</v>
      </c>
      <c r="C449" s="23">
        <v>336.97</v>
      </c>
      <c r="D449" s="23">
        <v>1303.6469999999999</v>
      </c>
      <c r="E449" s="23">
        <v>1254.9929999999999</v>
      </c>
      <c r="F449" s="23">
        <v>0</v>
      </c>
      <c r="G449" s="23">
        <v>0</v>
      </c>
      <c r="H449" s="23">
        <v>48.654000000000003</v>
      </c>
      <c r="I449" s="23">
        <v>0</v>
      </c>
      <c r="J449" s="23">
        <v>0</v>
      </c>
      <c r="K449" s="23">
        <v>0</v>
      </c>
    </row>
    <row r="450" spans="1:11" x14ac:dyDescent="0.25">
      <c r="A450">
        <v>449</v>
      </c>
      <c r="B450" s="23">
        <v>1593.6320000000001</v>
      </c>
      <c r="C450" s="23">
        <v>106.79</v>
      </c>
      <c r="D450" s="23">
        <v>396.56</v>
      </c>
      <c r="E450" s="23">
        <v>396.56</v>
      </c>
      <c r="F450" s="23">
        <v>0</v>
      </c>
      <c r="G450" s="23">
        <v>0</v>
      </c>
      <c r="H450" s="23">
        <v>0</v>
      </c>
      <c r="I450" s="23">
        <v>1197.0719999999999</v>
      </c>
      <c r="J450" s="23">
        <v>0</v>
      </c>
      <c r="K450" s="23">
        <v>0</v>
      </c>
    </row>
    <row r="451" spans="1:11" x14ac:dyDescent="0.25">
      <c r="A451">
        <v>450</v>
      </c>
      <c r="B451" s="23">
        <v>1540.0450000000001</v>
      </c>
      <c r="C451" s="23">
        <v>22.7</v>
      </c>
      <c r="D451" s="23">
        <v>54.234999999999999</v>
      </c>
      <c r="E451" s="23">
        <v>54.234999999999999</v>
      </c>
      <c r="F451" s="23">
        <v>0</v>
      </c>
      <c r="G451" s="23">
        <v>0</v>
      </c>
      <c r="H451" s="23">
        <v>0</v>
      </c>
      <c r="I451" s="23">
        <v>1485.81</v>
      </c>
      <c r="J451" s="23">
        <v>0</v>
      </c>
      <c r="K451" s="23">
        <v>0</v>
      </c>
    </row>
    <row r="452" spans="1:11" x14ac:dyDescent="0.25">
      <c r="A452">
        <v>451</v>
      </c>
      <c r="B452" s="23">
        <v>1594.4069999999999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1594.4069999999999</v>
      </c>
      <c r="J452" s="23">
        <v>0</v>
      </c>
      <c r="K452" s="23">
        <v>0</v>
      </c>
    </row>
    <row r="453" spans="1:11" x14ac:dyDescent="0.25">
      <c r="A453">
        <v>452</v>
      </c>
      <c r="B453" s="23">
        <v>1601.6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1601.6</v>
      </c>
      <c r="J453" s="23">
        <v>0</v>
      </c>
      <c r="K453" s="23">
        <v>0</v>
      </c>
    </row>
    <row r="454" spans="1:11" x14ac:dyDescent="0.25">
      <c r="A454">
        <v>453</v>
      </c>
      <c r="B454" s="23">
        <v>1628.8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1628.8</v>
      </c>
      <c r="J454" s="23">
        <v>0</v>
      </c>
      <c r="K454" s="23">
        <v>0</v>
      </c>
    </row>
    <row r="455" spans="1:11" x14ac:dyDescent="0.25">
      <c r="A455">
        <v>454</v>
      </c>
      <c r="B455" s="23">
        <v>1475.2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1475.2</v>
      </c>
      <c r="J455" s="23">
        <v>0</v>
      </c>
      <c r="K455" s="23">
        <v>0</v>
      </c>
    </row>
    <row r="456" spans="1:11" x14ac:dyDescent="0.25">
      <c r="A456">
        <v>455</v>
      </c>
      <c r="B456" s="23">
        <v>1756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1756</v>
      </c>
      <c r="J456" s="23">
        <v>0</v>
      </c>
      <c r="K456" s="23">
        <v>0</v>
      </c>
    </row>
    <row r="457" spans="1:11" x14ac:dyDescent="0.25">
      <c r="A457">
        <v>456</v>
      </c>
      <c r="B457" s="23">
        <v>1347.2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1096.201</v>
      </c>
      <c r="J457" s="23">
        <v>0</v>
      </c>
      <c r="K457" s="23">
        <v>250.999</v>
      </c>
    </row>
    <row r="458" spans="1:11" x14ac:dyDescent="0.25">
      <c r="A458">
        <v>457</v>
      </c>
      <c r="B458" s="23">
        <v>1464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1464</v>
      </c>
      <c r="J458" s="23">
        <v>0</v>
      </c>
      <c r="K458" s="23">
        <v>0</v>
      </c>
    </row>
    <row r="459" spans="1:11" x14ac:dyDescent="0.25">
      <c r="A459">
        <v>458</v>
      </c>
      <c r="B459" s="23">
        <v>1484</v>
      </c>
      <c r="C459" s="23">
        <v>0</v>
      </c>
      <c r="D459" s="23">
        <v>0</v>
      </c>
      <c r="E459" s="23">
        <v>0</v>
      </c>
      <c r="F459" s="23">
        <v>0</v>
      </c>
      <c r="G459" s="23">
        <v>0</v>
      </c>
      <c r="H459" s="23">
        <v>0</v>
      </c>
      <c r="I459" s="23">
        <v>1484</v>
      </c>
      <c r="J459" s="23">
        <v>0</v>
      </c>
      <c r="K459" s="23">
        <v>0</v>
      </c>
    </row>
    <row r="460" spans="1:11" x14ac:dyDescent="0.25">
      <c r="A460">
        <v>459</v>
      </c>
      <c r="B460" s="23">
        <v>1376.8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1376.8</v>
      </c>
      <c r="J460" s="23">
        <v>0</v>
      </c>
      <c r="K460" s="23">
        <v>0</v>
      </c>
    </row>
    <row r="461" spans="1:11" x14ac:dyDescent="0.25">
      <c r="A461">
        <v>460</v>
      </c>
      <c r="B461" s="23">
        <v>1298.4000000000001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1298.4000000000001</v>
      </c>
      <c r="J461" s="23">
        <v>0</v>
      </c>
      <c r="K461" s="23">
        <v>0</v>
      </c>
    </row>
    <row r="462" spans="1:11" x14ac:dyDescent="0.25">
      <c r="A462">
        <v>461</v>
      </c>
      <c r="B462" s="23">
        <v>1472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1472</v>
      </c>
    </row>
    <row r="463" spans="1:11" x14ac:dyDescent="0.25">
      <c r="A463">
        <v>462</v>
      </c>
      <c r="B463" s="23">
        <v>1540.8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1540.8</v>
      </c>
    </row>
    <row r="464" spans="1:11" x14ac:dyDescent="0.25">
      <c r="A464">
        <v>463</v>
      </c>
      <c r="B464" s="23">
        <v>1121.5999999999999</v>
      </c>
      <c r="C464" s="23">
        <v>41.47</v>
      </c>
      <c r="D464" s="23">
        <v>65.325999999999993</v>
      </c>
      <c r="E464" s="23">
        <v>65.325999999999993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1056.2739999999999</v>
      </c>
    </row>
    <row r="465" spans="1:11" x14ac:dyDescent="0.25">
      <c r="A465">
        <v>464</v>
      </c>
      <c r="B465" s="23">
        <v>1325.723</v>
      </c>
      <c r="C465" s="23">
        <v>277.07</v>
      </c>
      <c r="D465" s="23">
        <v>1051.191</v>
      </c>
      <c r="E465" s="23">
        <v>1051.191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274.53199999999998</v>
      </c>
    </row>
    <row r="466" spans="1:11" x14ac:dyDescent="0.25">
      <c r="A466">
        <v>465</v>
      </c>
      <c r="B466" s="23">
        <v>1431.8140000000001</v>
      </c>
      <c r="C466" s="23">
        <v>525.67999999999995</v>
      </c>
      <c r="D466" s="23">
        <v>2100.6460000000002</v>
      </c>
      <c r="E466" s="23">
        <v>1431.8140000000001</v>
      </c>
      <c r="F466" s="23">
        <v>-668.83199999999999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pans="1:11" x14ac:dyDescent="0.25">
      <c r="A467">
        <v>466</v>
      </c>
      <c r="B467" s="23">
        <v>1750.511</v>
      </c>
      <c r="C467" s="23">
        <v>729.16</v>
      </c>
      <c r="D467" s="23">
        <v>2790.4250000000002</v>
      </c>
      <c r="E467" s="23">
        <v>1750.511</v>
      </c>
      <c r="F467" s="23">
        <v>-1039.914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pans="1:11" x14ac:dyDescent="0.25">
      <c r="A468">
        <v>467</v>
      </c>
      <c r="B468" s="23">
        <v>1780.377</v>
      </c>
      <c r="C468" s="23">
        <v>626.87</v>
      </c>
      <c r="D468" s="23">
        <v>2341.9389999999999</v>
      </c>
      <c r="E468" s="23">
        <v>1780.377</v>
      </c>
      <c r="F468" s="23">
        <v>-561.56200000000001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pans="1:11" x14ac:dyDescent="0.25">
      <c r="A469">
        <v>468</v>
      </c>
      <c r="B469" s="23">
        <v>1557.127</v>
      </c>
      <c r="C469" s="23">
        <v>577.21</v>
      </c>
      <c r="D469" s="23">
        <v>2128.143</v>
      </c>
      <c r="E469" s="23">
        <v>1557.127</v>
      </c>
      <c r="F469" s="23">
        <v>-571.01599999999996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pans="1:11" x14ac:dyDescent="0.25">
      <c r="A470">
        <v>469</v>
      </c>
      <c r="B470" s="23">
        <v>1473.8869999999999</v>
      </c>
      <c r="C470" s="23">
        <v>578.17999999999995</v>
      </c>
      <c r="D470" s="23">
        <v>2120.1260000000002</v>
      </c>
      <c r="E470" s="23">
        <v>1473.8869999999999</v>
      </c>
      <c r="F470" s="23">
        <v>-646.23900000000003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pans="1:11" x14ac:dyDescent="0.25">
      <c r="A471">
        <v>470</v>
      </c>
      <c r="B471" s="23">
        <v>1373.5440000000001</v>
      </c>
      <c r="C471" s="23">
        <v>768.56</v>
      </c>
      <c r="D471" s="23">
        <v>2783.9470000000001</v>
      </c>
      <c r="E471" s="23">
        <v>1373.5440000000001</v>
      </c>
      <c r="F471" s="23">
        <v>-1410.403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pans="1:11" x14ac:dyDescent="0.25">
      <c r="A472">
        <v>471</v>
      </c>
      <c r="B472" s="23">
        <v>1430.954</v>
      </c>
      <c r="C472" s="23">
        <v>439.18</v>
      </c>
      <c r="D472" s="23">
        <v>1646.2860000000001</v>
      </c>
      <c r="E472" s="23">
        <v>1430.954</v>
      </c>
      <c r="F472" s="23">
        <v>-215.33199999999999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pans="1:11" x14ac:dyDescent="0.25">
      <c r="A473">
        <v>472</v>
      </c>
      <c r="B473" s="23">
        <v>1796.5450000000001</v>
      </c>
      <c r="C473" s="23">
        <v>398.27</v>
      </c>
      <c r="D473" s="23">
        <v>1536.338</v>
      </c>
      <c r="E473" s="23">
        <v>1536.338</v>
      </c>
      <c r="F473" s="23">
        <v>0</v>
      </c>
      <c r="G473" s="23">
        <v>0</v>
      </c>
      <c r="H473" s="23">
        <v>0</v>
      </c>
      <c r="I473" s="23">
        <v>260.20699999999999</v>
      </c>
      <c r="J473" s="23">
        <v>0</v>
      </c>
      <c r="K473" s="23">
        <v>0</v>
      </c>
    </row>
    <row r="474" spans="1:11" x14ac:dyDescent="0.25">
      <c r="A474">
        <v>473</v>
      </c>
      <c r="B474" s="23">
        <v>1678.3489999999999</v>
      </c>
      <c r="C474" s="23">
        <v>258.76</v>
      </c>
      <c r="D474" s="23">
        <v>987.98299999999995</v>
      </c>
      <c r="E474" s="23">
        <v>987.98299999999995</v>
      </c>
      <c r="F474" s="23">
        <v>0</v>
      </c>
      <c r="G474" s="23">
        <v>0</v>
      </c>
      <c r="H474" s="23">
        <v>0</v>
      </c>
      <c r="I474" s="23">
        <v>690.36599999999999</v>
      </c>
      <c r="J474" s="23">
        <v>0</v>
      </c>
      <c r="K474" s="23">
        <v>0</v>
      </c>
    </row>
    <row r="475" spans="1:11" x14ac:dyDescent="0.25">
      <c r="A475">
        <v>474</v>
      </c>
      <c r="B475" s="23">
        <v>1629.66</v>
      </c>
      <c r="C475" s="23">
        <v>50.79</v>
      </c>
      <c r="D475" s="23">
        <v>132.863</v>
      </c>
      <c r="E475" s="23">
        <v>132.863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1496.797</v>
      </c>
    </row>
    <row r="476" spans="1:11" x14ac:dyDescent="0.25">
      <c r="A476">
        <v>475</v>
      </c>
      <c r="B476" s="23">
        <v>1404.8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1404.8</v>
      </c>
    </row>
    <row r="477" spans="1:11" x14ac:dyDescent="0.25">
      <c r="A477">
        <v>476</v>
      </c>
      <c r="B477" s="23">
        <v>1388.8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1388.8</v>
      </c>
    </row>
    <row r="478" spans="1:11" x14ac:dyDescent="0.25">
      <c r="A478">
        <v>477</v>
      </c>
      <c r="B478" s="23">
        <v>1344.8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1344.8</v>
      </c>
      <c r="J478" s="23">
        <v>0</v>
      </c>
      <c r="K478" s="23">
        <v>0</v>
      </c>
    </row>
    <row r="479" spans="1:11" x14ac:dyDescent="0.25">
      <c r="A479">
        <v>478</v>
      </c>
      <c r="B479" s="23">
        <v>1680.8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1680.8</v>
      </c>
      <c r="J479" s="23">
        <v>0</v>
      </c>
      <c r="K479" s="23">
        <v>0</v>
      </c>
    </row>
    <row r="480" spans="1:11" x14ac:dyDescent="0.25">
      <c r="A480">
        <v>479</v>
      </c>
      <c r="B480" s="23">
        <v>1447.2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1447.2</v>
      </c>
      <c r="J480" s="23">
        <v>0</v>
      </c>
      <c r="K480" s="23">
        <v>0</v>
      </c>
    </row>
    <row r="481" spans="1:11" x14ac:dyDescent="0.25">
      <c r="A481">
        <v>480</v>
      </c>
      <c r="B481" s="23">
        <v>1506.4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1506.4</v>
      </c>
      <c r="J481" s="23">
        <v>0</v>
      </c>
      <c r="K481" s="23">
        <v>0</v>
      </c>
    </row>
    <row r="482" spans="1:11" x14ac:dyDescent="0.25">
      <c r="A482">
        <v>481</v>
      </c>
      <c r="B482" s="23">
        <v>1360.8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1360.8</v>
      </c>
      <c r="J482" s="23">
        <v>0</v>
      </c>
      <c r="K482" s="23">
        <v>0</v>
      </c>
    </row>
    <row r="483" spans="1:11" x14ac:dyDescent="0.25">
      <c r="A483">
        <v>482</v>
      </c>
      <c r="B483" s="23">
        <v>1408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1408</v>
      </c>
      <c r="J483" s="23">
        <v>0</v>
      </c>
      <c r="K483" s="23">
        <v>0</v>
      </c>
    </row>
    <row r="484" spans="1:11" x14ac:dyDescent="0.25">
      <c r="A484">
        <v>483</v>
      </c>
      <c r="B484" s="23">
        <v>1103.2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1103.2</v>
      </c>
      <c r="J484" s="23">
        <v>0</v>
      </c>
      <c r="K484" s="23">
        <v>0</v>
      </c>
    </row>
    <row r="485" spans="1:11" x14ac:dyDescent="0.25">
      <c r="A485">
        <v>484</v>
      </c>
      <c r="B485" s="23">
        <v>1368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1368</v>
      </c>
      <c r="J485" s="23">
        <v>0</v>
      </c>
      <c r="K485" s="23">
        <v>0</v>
      </c>
    </row>
    <row r="486" spans="1:11" x14ac:dyDescent="0.25">
      <c r="A486">
        <v>485</v>
      </c>
      <c r="B486" s="23">
        <v>1242.4000000000001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1242.4000000000001</v>
      </c>
      <c r="J486" s="23">
        <v>0</v>
      </c>
      <c r="K486" s="23">
        <v>0</v>
      </c>
    </row>
    <row r="487" spans="1:11" x14ac:dyDescent="0.25">
      <c r="A487">
        <v>486</v>
      </c>
      <c r="B487" s="23">
        <v>1268.8</v>
      </c>
      <c r="C487" s="23">
        <v>0</v>
      </c>
      <c r="D487" s="23">
        <v>0</v>
      </c>
      <c r="E487" s="23">
        <v>0</v>
      </c>
      <c r="F487" s="23">
        <v>0</v>
      </c>
      <c r="G487" s="23">
        <v>0</v>
      </c>
      <c r="H487" s="23">
        <v>0</v>
      </c>
      <c r="I487" s="23">
        <v>1268.8</v>
      </c>
      <c r="J487" s="23">
        <v>0</v>
      </c>
      <c r="K487" s="23">
        <v>0</v>
      </c>
    </row>
    <row r="488" spans="1:11" x14ac:dyDescent="0.25">
      <c r="A488">
        <v>487</v>
      </c>
      <c r="B488" s="23">
        <v>1385.6</v>
      </c>
      <c r="C488" s="23">
        <v>10.77</v>
      </c>
      <c r="D488" s="23">
        <v>5.2590000000000003</v>
      </c>
      <c r="E488" s="23">
        <v>5.2590000000000003</v>
      </c>
      <c r="F488" s="23">
        <v>0</v>
      </c>
      <c r="G488" s="23">
        <v>0</v>
      </c>
      <c r="H488" s="23">
        <v>0</v>
      </c>
      <c r="I488" s="23">
        <v>68.088999999999999</v>
      </c>
      <c r="J488" s="23">
        <v>0</v>
      </c>
      <c r="K488" s="23">
        <v>1312.252</v>
      </c>
    </row>
    <row r="489" spans="1:11" x14ac:dyDescent="0.25">
      <c r="A489">
        <v>488</v>
      </c>
      <c r="B489" s="23">
        <v>1391.6790000000001</v>
      </c>
      <c r="C489" s="23">
        <v>116.92</v>
      </c>
      <c r="D489" s="23">
        <v>442.47800000000001</v>
      </c>
      <c r="E489" s="23">
        <v>442.47800000000001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949.20100000000002</v>
      </c>
    </row>
    <row r="490" spans="1:11" x14ac:dyDescent="0.25">
      <c r="A490">
        <v>489</v>
      </c>
      <c r="B490" s="23">
        <v>1424.117</v>
      </c>
      <c r="C490" s="23">
        <v>406.32</v>
      </c>
      <c r="D490" s="23">
        <v>1610.069</v>
      </c>
      <c r="E490" s="23">
        <v>1424.117</v>
      </c>
      <c r="F490" s="23">
        <v>-185.952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pans="1:11" x14ac:dyDescent="0.25">
      <c r="A491">
        <v>490</v>
      </c>
      <c r="B491" s="23">
        <v>1612.7739999999999</v>
      </c>
      <c r="C491" s="23">
        <v>698.41</v>
      </c>
      <c r="D491" s="23">
        <v>2668.6320000000001</v>
      </c>
      <c r="E491" s="23">
        <v>1612.7739999999999</v>
      </c>
      <c r="F491" s="23">
        <v>-1055.8579999999999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pans="1:11" x14ac:dyDescent="0.25">
      <c r="A492">
        <v>491</v>
      </c>
      <c r="B492" s="23">
        <v>1401.019</v>
      </c>
      <c r="C492" s="23">
        <v>848.07</v>
      </c>
      <c r="D492" s="23">
        <v>3164.7049999999999</v>
      </c>
      <c r="E492" s="23">
        <v>1401.02</v>
      </c>
      <c r="F492" s="23">
        <v>-1684.559</v>
      </c>
      <c r="G492" s="23">
        <v>0</v>
      </c>
      <c r="H492" s="23">
        <v>79.126000000000005</v>
      </c>
      <c r="I492" s="23">
        <v>0</v>
      </c>
      <c r="J492" s="23">
        <v>0</v>
      </c>
      <c r="K492" s="23">
        <v>0</v>
      </c>
    </row>
    <row r="493" spans="1:11" x14ac:dyDescent="0.25">
      <c r="A493">
        <v>492</v>
      </c>
      <c r="B493" s="23">
        <v>1755.972</v>
      </c>
      <c r="C493" s="23">
        <v>956.11</v>
      </c>
      <c r="D493" s="23">
        <v>3528.1990000000001</v>
      </c>
      <c r="E493" s="23">
        <v>1755.973</v>
      </c>
      <c r="F493" s="23">
        <v>-1684.559</v>
      </c>
      <c r="G493" s="23">
        <v>0</v>
      </c>
      <c r="H493" s="23">
        <v>87.667000000000002</v>
      </c>
      <c r="I493" s="23">
        <v>0</v>
      </c>
      <c r="J493" s="23">
        <v>0</v>
      </c>
      <c r="K493" s="23">
        <v>0</v>
      </c>
    </row>
    <row r="494" spans="1:11" x14ac:dyDescent="0.25">
      <c r="A494">
        <v>493</v>
      </c>
      <c r="B494" s="23">
        <v>1074.33</v>
      </c>
      <c r="C494" s="23">
        <v>967.68</v>
      </c>
      <c r="D494" s="23">
        <v>3573.6779999999999</v>
      </c>
      <c r="E494" s="23">
        <v>1074.33</v>
      </c>
      <c r="F494" s="23">
        <v>-1684.559</v>
      </c>
      <c r="G494" s="23">
        <v>0</v>
      </c>
      <c r="H494" s="23">
        <v>814.78899999999999</v>
      </c>
      <c r="I494" s="23">
        <v>0</v>
      </c>
      <c r="J494" s="23">
        <v>0</v>
      </c>
      <c r="K494" s="23">
        <v>0</v>
      </c>
    </row>
    <row r="495" spans="1:11" x14ac:dyDescent="0.25">
      <c r="A495">
        <v>494</v>
      </c>
      <c r="B495" s="23">
        <v>1159.81</v>
      </c>
      <c r="C495" s="23">
        <v>896.44</v>
      </c>
      <c r="D495" s="23">
        <v>3350.3470000000002</v>
      </c>
      <c r="E495" s="23">
        <v>1159.8109999999999</v>
      </c>
      <c r="F495" s="23">
        <v>-996.01</v>
      </c>
      <c r="G495" s="23">
        <v>0</v>
      </c>
      <c r="H495" s="23">
        <v>1194.5260000000001</v>
      </c>
      <c r="I495" s="23">
        <v>0</v>
      </c>
      <c r="J495" s="23">
        <v>0</v>
      </c>
      <c r="K495" s="23">
        <v>0</v>
      </c>
    </row>
    <row r="496" spans="1:11" x14ac:dyDescent="0.25">
      <c r="A496">
        <v>495</v>
      </c>
      <c r="B496" s="23">
        <v>1567.9680000000001</v>
      </c>
      <c r="C496" s="23">
        <v>537.28</v>
      </c>
      <c r="D496" s="23">
        <v>2059.6869999999999</v>
      </c>
      <c r="E496" s="23">
        <v>1567.9680000000001</v>
      </c>
      <c r="F496" s="23">
        <v>0</v>
      </c>
      <c r="G496" s="23">
        <v>0</v>
      </c>
      <c r="H496" s="23">
        <v>491.71899999999999</v>
      </c>
      <c r="I496" s="23">
        <v>0</v>
      </c>
      <c r="J496" s="23">
        <v>0</v>
      </c>
      <c r="K496" s="23">
        <v>0</v>
      </c>
    </row>
    <row r="497" spans="1:11" x14ac:dyDescent="0.25">
      <c r="A497">
        <v>496</v>
      </c>
      <c r="B497" s="23">
        <v>1342.539</v>
      </c>
      <c r="C497" s="23">
        <v>456.45</v>
      </c>
      <c r="D497" s="23">
        <v>1791.894</v>
      </c>
      <c r="E497" s="23">
        <v>1342.539</v>
      </c>
      <c r="F497" s="23">
        <v>0</v>
      </c>
      <c r="G497" s="23">
        <v>0</v>
      </c>
      <c r="H497" s="23">
        <v>449.35500000000002</v>
      </c>
      <c r="I497" s="23">
        <v>0</v>
      </c>
      <c r="J497" s="23">
        <v>0</v>
      </c>
      <c r="K497" s="23">
        <v>0</v>
      </c>
    </row>
    <row r="498" spans="1:11" x14ac:dyDescent="0.25">
      <c r="A498">
        <v>497</v>
      </c>
      <c r="B498" s="23">
        <v>1562.1610000000001</v>
      </c>
      <c r="C498" s="23">
        <v>291.72000000000003</v>
      </c>
      <c r="D498" s="23">
        <v>1115.3699999999999</v>
      </c>
      <c r="E498" s="23">
        <v>1115.3699999999999</v>
      </c>
      <c r="F498" s="23">
        <v>0</v>
      </c>
      <c r="G498" s="23">
        <v>0</v>
      </c>
      <c r="H498" s="23">
        <v>0</v>
      </c>
      <c r="I498" s="23">
        <v>446.791</v>
      </c>
      <c r="J498" s="23">
        <v>0</v>
      </c>
      <c r="K498" s="23">
        <v>0</v>
      </c>
    </row>
    <row r="499" spans="1:11" x14ac:dyDescent="0.25">
      <c r="A499">
        <v>498</v>
      </c>
      <c r="B499" s="23">
        <v>1560.4090000000001</v>
      </c>
      <c r="C499" s="23">
        <v>64.28</v>
      </c>
      <c r="D499" s="23">
        <v>166.554</v>
      </c>
      <c r="E499" s="23">
        <v>166.554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1393.855</v>
      </c>
    </row>
    <row r="500" spans="1:11" x14ac:dyDescent="0.25">
      <c r="A500">
        <v>499</v>
      </c>
      <c r="B500" s="23">
        <v>918.41099999999994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918.41099999999994</v>
      </c>
    </row>
    <row r="501" spans="1:11" x14ac:dyDescent="0.25">
      <c r="A501">
        <v>500</v>
      </c>
      <c r="B501" s="23">
        <v>1270.4000000000001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1270.4000000000001</v>
      </c>
    </row>
    <row r="502" spans="1:11" x14ac:dyDescent="0.25">
      <c r="A502">
        <v>501</v>
      </c>
      <c r="B502" s="23">
        <v>1204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1204</v>
      </c>
      <c r="J502" s="23">
        <v>0</v>
      </c>
      <c r="K502" s="23">
        <v>0</v>
      </c>
    </row>
    <row r="503" spans="1:11" x14ac:dyDescent="0.25">
      <c r="A503">
        <v>502</v>
      </c>
      <c r="B503" s="23">
        <v>1369.6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1369.6</v>
      </c>
      <c r="J503" s="23">
        <v>0</v>
      </c>
      <c r="K503" s="23">
        <v>0</v>
      </c>
    </row>
    <row r="504" spans="1:11" x14ac:dyDescent="0.25">
      <c r="A504">
        <v>503</v>
      </c>
      <c r="B504" s="23">
        <v>1345.6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1345.6</v>
      </c>
      <c r="J504" s="23">
        <v>0</v>
      </c>
      <c r="K504" s="23">
        <v>0</v>
      </c>
    </row>
    <row r="505" spans="1:11" x14ac:dyDescent="0.25">
      <c r="A505">
        <v>504</v>
      </c>
      <c r="B505" s="23">
        <v>1280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1280</v>
      </c>
      <c r="J505" s="23">
        <v>0</v>
      </c>
      <c r="K505" s="23">
        <v>0</v>
      </c>
    </row>
    <row r="506" spans="1:11" x14ac:dyDescent="0.25">
      <c r="A506">
        <v>505</v>
      </c>
      <c r="B506" s="23">
        <v>2330.4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2330.4</v>
      </c>
      <c r="J506" s="23">
        <v>0</v>
      </c>
      <c r="K506" s="23">
        <v>0</v>
      </c>
    </row>
    <row r="507" spans="1:11" x14ac:dyDescent="0.25">
      <c r="A507">
        <v>506</v>
      </c>
      <c r="B507" s="23">
        <v>2057.6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2057.6</v>
      </c>
      <c r="J507" s="23">
        <v>0</v>
      </c>
      <c r="K507" s="23">
        <v>0</v>
      </c>
    </row>
    <row r="508" spans="1:11" x14ac:dyDescent="0.25">
      <c r="A508">
        <v>507</v>
      </c>
      <c r="B508" s="23">
        <v>2428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2428</v>
      </c>
      <c r="J508" s="23">
        <v>0</v>
      </c>
      <c r="K508" s="23">
        <v>0</v>
      </c>
    </row>
    <row r="509" spans="1:11" x14ac:dyDescent="0.25">
      <c r="A509">
        <v>508</v>
      </c>
      <c r="B509" s="23">
        <v>2208.8000000000002</v>
      </c>
      <c r="C509" s="23">
        <v>0</v>
      </c>
      <c r="D509" s="23">
        <v>0</v>
      </c>
      <c r="E509" s="23">
        <v>0</v>
      </c>
      <c r="F509" s="23">
        <v>0</v>
      </c>
      <c r="G509" s="23">
        <v>0</v>
      </c>
      <c r="H509" s="23">
        <v>0</v>
      </c>
      <c r="I509" s="23">
        <v>2208.8000000000002</v>
      </c>
      <c r="J509" s="23">
        <v>0</v>
      </c>
      <c r="K509" s="23">
        <v>0</v>
      </c>
    </row>
    <row r="510" spans="1:11" x14ac:dyDescent="0.25">
      <c r="A510">
        <v>509</v>
      </c>
      <c r="B510" s="23">
        <v>2004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2004</v>
      </c>
      <c r="J510" s="23">
        <v>0</v>
      </c>
      <c r="K510" s="23">
        <v>0</v>
      </c>
    </row>
    <row r="511" spans="1:11" x14ac:dyDescent="0.25">
      <c r="A511">
        <v>510</v>
      </c>
      <c r="B511" s="23">
        <v>2379.1999999999998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2379.1999999999998</v>
      </c>
      <c r="J511" s="23">
        <v>0</v>
      </c>
      <c r="K511" s="23">
        <v>0</v>
      </c>
    </row>
    <row r="512" spans="1:11" x14ac:dyDescent="0.25">
      <c r="A512">
        <v>511</v>
      </c>
      <c r="B512" s="23">
        <v>2040.8</v>
      </c>
      <c r="C512" s="23">
        <v>42.25</v>
      </c>
      <c r="D512" s="23">
        <v>64.825000000000003</v>
      </c>
      <c r="E512" s="23">
        <v>64.825000000000003</v>
      </c>
      <c r="F512" s="23">
        <v>0</v>
      </c>
      <c r="G512" s="23">
        <v>0</v>
      </c>
      <c r="H512" s="23">
        <v>0</v>
      </c>
      <c r="I512" s="23">
        <v>1975.9749999999999</v>
      </c>
      <c r="J512" s="23">
        <v>0</v>
      </c>
      <c r="K512" s="23">
        <v>0</v>
      </c>
    </row>
    <row r="513" spans="1:11" x14ac:dyDescent="0.25">
      <c r="A513">
        <v>512</v>
      </c>
      <c r="B513" s="23">
        <v>1723.7860000000001</v>
      </c>
      <c r="C513" s="23">
        <v>242.61</v>
      </c>
      <c r="D513" s="23">
        <v>927.14</v>
      </c>
      <c r="E513" s="23">
        <v>927.14</v>
      </c>
      <c r="F513" s="23">
        <v>0</v>
      </c>
      <c r="G513" s="23">
        <v>0</v>
      </c>
      <c r="H513" s="23">
        <v>0</v>
      </c>
      <c r="I513" s="23">
        <v>258.47000000000003</v>
      </c>
      <c r="J513" s="23">
        <v>0</v>
      </c>
      <c r="K513" s="23">
        <v>538.17600000000004</v>
      </c>
    </row>
    <row r="514" spans="1:11" x14ac:dyDescent="0.25">
      <c r="A514">
        <v>513</v>
      </c>
      <c r="B514" s="23">
        <v>1825.298</v>
      </c>
      <c r="C514" s="23">
        <v>475.76</v>
      </c>
      <c r="D514" s="23">
        <v>1908.4590000000001</v>
      </c>
      <c r="E514" s="23">
        <v>1825.298</v>
      </c>
      <c r="F514" s="23">
        <v>-83.161000000000001</v>
      </c>
      <c r="G514" s="23">
        <v>0</v>
      </c>
      <c r="H514" s="23">
        <v>0</v>
      </c>
      <c r="I514" s="23">
        <v>0</v>
      </c>
      <c r="J514" s="23">
        <v>0</v>
      </c>
      <c r="K514" s="23">
        <v>0</v>
      </c>
    </row>
    <row r="515" spans="1:11" x14ac:dyDescent="0.25">
      <c r="A515">
        <v>514</v>
      </c>
      <c r="B515" s="23">
        <v>2095.8049999999998</v>
      </c>
      <c r="C515" s="23">
        <v>733.6</v>
      </c>
      <c r="D515" s="23">
        <v>2831.9319999999998</v>
      </c>
      <c r="E515" s="23">
        <v>2095.8049999999998</v>
      </c>
      <c r="F515" s="23">
        <v>-736.12699999999995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pans="1:11" x14ac:dyDescent="0.25">
      <c r="A516">
        <v>515</v>
      </c>
      <c r="B516" s="23">
        <v>2297.3040000000001</v>
      </c>
      <c r="C516" s="23">
        <v>878.74</v>
      </c>
      <c r="D516" s="23">
        <v>3282.4119999999998</v>
      </c>
      <c r="E516" s="23">
        <v>2297.3040000000001</v>
      </c>
      <c r="F516" s="23">
        <v>-985.10799999999995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pans="1:11" x14ac:dyDescent="0.25">
      <c r="A517">
        <v>516</v>
      </c>
      <c r="B517" s="23">
        <v>2286.4520000000002</v>
      </c>
      <c r="C517" s="23">
        <v>952.14</v>
      </c>
      <c r="D517" s="23">
        <v>3492.2089999999998</v>
      </c>
      <c r="E517" s="23">
        <v>2286.4520000000002</v>
      </c>
      <c r="F517" s="23">
        <v>-1205.7570000000001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pans="1:11" x14ac:dyDescent="0.25">
      <c r="A518">
        <v>517</v>
      </c>
      <c r="B518" s="23">
        <v>2261.2979999999998</v>
      </c>
      <c r="C518" s="23">
        <v>941.52</v>
      </c>
      <c r="D518" s="23">
        <v>3449.4830000000002</v>
      </c>
      <c r="E518" s="23">
        <v>2261.2979999999998</v>
      </c>
      <c r="F518" s="23">
        <v>-1188.1849999999999</v>
      </c>
      <c r="G518" s="23">
        <v>0</v>
      </c>
      <c r="H518" s="23">
        <v>0</v>
      </c>
      <c r="I518" s="23">
        <v>0</v>
      </c>
      <c r="J518" s="23">
        <v>0</v>
      </c>
      <c r="K518" s="23">
        <v>0</v>
      </c>
    </row>
    <row r="519" spans="1:11" x14ac:dyDescent="0.25">
      <c r="A519">
        <v>518</v>
      </c>
      <c r="B519" s="23">
        <v>2390.3809999999999</v>
      </c>
      <c r="C519" s="23">
        <v>744.71</v>
      </c>
      <c r="D519" s="23">
        <v>2778.0940000000001</v>
      </c>
      <c r="E519" s="23">
        <v>2390.3809999999999</v>
      </c>
      <c r="F519" s="23">
        <v>-387.71300000000002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pans="1:11" x14ac:dyDescent="0.25">
      <c r="A520">
        <v>519</v>
      </c>
      <c r="B520" s="23">
        <v>2181.431</v>
      </c>
      <c r="C520" s="23">
        <v>512.33000000000004</v>
      </c>
      <c r="D520" s="23">
        <v>1955.8910000000001</v>
      </c>
      <c r="E520" s="23">
        <v>1955.8910000000001</v>
      </c>
      <c r="F520" s="23">
        <v>0</v>
      </c>
      <c r="G520" s="23">
        <v>0</v>
      </c>
      <c r="H520" s="23">
        <v>0</v>
      </c>
      <c r="I520" s="23">
        <v>70.484999999999999</v>
      </c>
      <c r="J520" s="23">
        <v>0</v>
      </c>
      <c r="K520" s="23">
        <v>155.05500000000001</v>
      </c>
    </row>
    <row r="521" spans="1:11" x14ac:dyDescent="0.25">
      <c r="A521">
        <v>520</v>
      </c>
      <c r="B521" s="23">
        <v>1853.049</v>
      </c>
      <c r="C521" s="23">
        <v>519.28</v>
      </c>
      <c r="D521" s="23">
        <v>2025.6079999999999</v>
      </c>
      <c r="E521" s="23">
        <v>1853.049</v>
      </c>
      <c r="F521" s="23">
        <v>-172.559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pans="1:11" x14ac:dyDescent="0.25">
      <c r="A522">
        <v>521</v>
      </c>
      <c r="B522" s="23">
        <v>2387.8440000000001</v>
      </c>
      <c r="C522" s="23">
        <v>237.65</v>
      </c>
      <c r="D522" s="23">
        <v>906.69399999999996</v>
      </c>
      <c r="E522" s="23">
        <v>906.69399999999996</v>
      </c>
      <c r="F522" s="23">
        <v>0</v>
      </c>
      <c r="G522" s="23">
        <v>0</v>
      </c>
      <c r="H522" s="23">
        <v>0</v>
      </c>
      <c r="I522" s="23">
        <v>1481.15</v>
      </c>
      <c r="J522" s="23">
        <v>0</v>
      </c>
      <c r="K522" s="23">
        <v>0</v>
      </c>
    </row>
    <row r="523" spans="1:11" x14ac:dyDescent="0.25">
      <c r="A523">
        <v>522</v>
      </c>
      <c r="B523" s="23">
        <v>2256.2550000000001</v>
      </c>
      <c r="C523" s="23">
        <v>55.79</v>
      </c>
      <c r="D523" s="23">
        <v>149.30600000000001</v>
      </c>
      <c r="E523" s="23">
        <v>149.30600000000001</v>
      </c>
      <c r="F523" s="23">
        <v>0</v>
      </c>
      <c r="G523" s="23">
        <v>0</v>
      </c>
      <c r="H523" s="23">
        <v>0</v>
      </c>
      <c r="I523" s="23">
        <v>422.39</v>
      </c>
      <c r="J523" s="23">
        <v>0</v>
      </c>
      <c r="K523" s="23">
        <v>1684.559</v>
      </c>
    </row>
    <row r="524" spans="1:11" x14ac:dyDescent="0.25">
      <c r="A524">
        <v>523</v>
      </c>
      <c r="B524" s="23">
        <v>2414.4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729.84100000000001</v>
      </c>
      <c r="J524" s="23">
        <v>0</v>
      </c>
      <c r="K524" s="23">
        <v>1684.559</v>
      </c>
    </row>
    <row r="525" spans="1:11" x14ac:dyDescent="0.25">
      <c r="A525">
        <v>524</v>
      </c>
      <c r="B525" s="23">
        <v>1896.8</v>
      </c>
      <c r="C525" s="23">
        <v>0</v>
      </c>
      <c r="D525" s="23">
        <v>0</v>
      </c>
      <c r="E525" s="23">
        <v>0</v>
      </c>
      <c r="F525" s="23">
        <v>0</v>
      </c>
      <c r="G525" s="23">
        <v>0</v>
      </c>
      <c r="H525" s="23">
        <v>0</v>
      </c>
      <c r="I525" s="23">
        <v>212.24100000000001</v>
      </c>
      <c r="J525" s="23">
        <v>0</v>
      </c>
      <c r="K525" s="23">
        <v>1684.559</v>
      </c>
    </row>
    <row r="526" spans="1:11" x14ac:dyDescent="0.25">
      <c r="A526">
        <v>525</v>
      </c>
      <c r="B526" s="23">
        <v>2389.6</v>
      </c>
      <c r="C526" s="23">
        <v>0</v>
      </c>
      <c r="D526" s="23">
        <v>0</v>
      </c>
      <c r="E526" s="23">
        <v>0</v>
      </c>
      <c r="F526" s="23">
        <v>0</v>
      </c>
      <c r="G526" s="23">
        <v>0</v>
      </c>
      <c r="H526" s="23">
        <v>0</v>
      </c>
      <c r="I526" s="23">
        <v>2389.6</v>
      </c>
      <c r="J526" s="23">
        <v>0</v>
      </c>
      <c r="K526" s="23">
        <v>0</v>
      </c>
    </row>
    <row r="527" spans="1:11" x14ac:dyDescent="0.25">
      <c r="A527">
        <v>526</v>
      </c>
      <c r="B527" s="23">
        <v>2215.1999999999998</v>
      </c>
      <c r="C527" s="23">
        <v>0</v>
      </c>
      <c r="D527" s="23">
        <v>0</v>
      </c>
      <c r="E527" s="23">
        <v>0</v>
      </c>
      <c r="F527" s="23">
        <v>0</v>
      </c>
      <c r="G527" s="23">
        <v>0</v>
      </c>
      <c r="H527" s="23">
        <v>0</v>
      </c>
      <c r="I527" s="23">
        <v>2215.1999999999998</v>
      </c>
      <c r="J527" s="23">
        <v>0</v>
      </c>
      <c r="K527" s="23">
        <v>0</v>
      </c>
    </row>
    <row r="528" spans="1:11" x14ac:dyDescent="0.25">
      <c r="A528">
        <v>527</v>
      </c>
      <c r="B528" s="23">
        <v>2295.1999999999998</v>
      </c>
      <c r="C528" s="23">
        <v>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2295.1999999999998</v>
      </c>
      <c r="J528" s="23">
        <v>0</v>
      </c>
      <c r="K528" s="23">
        <v>0</v>
      </c>
    </row>
    <row r="529" spans="1:11" x14ac:dyDescent="0.25">
      <c r="A529">
        <v>528</v>
      </c>
      <c r="B529" s="23">
        <v>1956</v>
      </c>
      <c r="C529" s="23">
        <v>0</v>
      </c>
      <c r="D529" s="23">
        <v>0</v>
      </c>
      <c r="E529" s="23">
        <v>0</v>
      </c>
      <c r="F529" s="23">
        <v>0</v>
      </c>
      <c r="G529" s="23">
        <v>0</v>
      </c>
      <c r="H529" s="23">
        <v>0</v>
      </c>
      <c r="I529" s="23">
        <v>1956</v>
      </c>
      <c r="J529" s="23">
        <v>0</v>
      </c>
      <c r="K529" s="23">
        <v>0</v>
      </c>
    </row>
    <row r="530" spans="1:11" x14ac:dyDescent="0.25">
      <c r="A530">
        <v>529</v>
      </c>
      <c r="B530" s="23">
        <v>1812</v>
      </c>
      <c r="C530" s="23">
        <v>0</v>
      </c>
      <c r="D530" s="23">
        <v>0</v>
      </c>
      <c r="E530" s="23">
        <v>0</v>
      </c>
      <c r="F530" s="23">
        <v>0</v>
      </c>
      <c r="G530" s="23">
        <v>0</v>
      </c>
      <c r="H530" s="23">
        <v>0</v>
      </c>
      <c r="I530" s="23">
        <v>1812</v>
      </c>
      <c r="J530" s="23">
        <v>0</v>
      </c>
      <c r="K530" s="23">
        <v>0</v>
      </c>
    </row>
    <row r="531" spans="1:11" x14ac:dyDescent="0.25">
      <c r="A531">
        <v>530</v>
      </c>
      <c r="B531" s="23">
        <v>1850.4</v>
      </c>
      <c r="C531" s="23">
        <v>0</v>
      </c>
      <c r="D531" s="23">
        <v>0</v>
      </c>
      <c r="E531" s="23">
        <v>0</v>
      </c>
      <c r="F531" s="23">
        <v>0</v>
      </c>
      <c r="G531" s="23">
        <v>0</v>
      </c>
      <c r="H531" s="23">
        <v>0</v>
      </c>
      <c r="I531" s="23">
        <v>1850.4</v>
      </c>
      <c r="J531" s="23">
        <v>0</v>
      </c>
      <c r="K531" s="23">
        <v>0</v>
      </c>
    </row>
    <row r="532" spans="1:11" x14ac:dyDescent="0.25">
      <c r="A532">
        <v>531</v>
      </c>
      <c r="B532" s="23">
        <v>1248.8</v>
      </c>
      <c r="C532" s="23">
        <v>0</v>
      </c>
      <c r="D532" s="23">
        <v>0</v>
      </c>
      <c r="E532" s="23">
        <v>0</v>
      </c>
      <c r="F532" s="23">
        <v>0</v>
      </c>
      <c r="G532" s="23">
        <v>0</v>
      </c>
      <c r="H532" s="23">
        <v>0</v>
      </c>
      <c r="I532" s="23">
        <v>1248.8</v>
      </c>
      <c r="J532" s="23">
        <v>0</v>
      </c>
      <c r="K532" s="23">
        <v>0</v>
      </c>
    </row>
    <row r="533" spans="1:11" x14ac:dyDescent="0.25">
      <c r="A533">
        <v>532</v>
      </c>
      <c r="B533" s="23">
        <v>1303.2</v>
      </c>
      <c r="C533" s="23">
        <v>0</v>
      </c>
      <c r="D533" s="23">
        <v>0</v>
      </c>
      <c r="E533" s="23">
        <v>0</v>
      </c>
      <c r="F533" s="23">
        <v>0</v>
      </c>
      <c r="G533" s="23">
        <v>0</v>
      </c>
      <c r="H533" s="23">
        <v>0</v>
      </c>
      <c r="I533" s="23">
        <v>1303.2</v>
      </c>
      <c r="J533" s="23">
        <v>0</v>
      </c>
      <c r="K533" s="23">
        <v>0</v>
      </c>
    </row>
    <row r="534" spans="1:11" x14ac:dyDescent="0.25">
      <c r="A534">
        <v>533</v>
      </c>
      <c r="B534" s="23">
        <v>1569.6</v>
      </c>
      <c r="C534" s="23">
        <v>0</v>
      </c>
      <c r="D534" s="23">
        <v>0</v>
      </c>
      <c r="E534" s="23">
        <v>0</v>
      </c>
      <c r="F534" s="23">
        <v>0</v>
      </c>
      <c r="G534" s="23">
        <v>0</v>
      </c>
      <c r="H534" s="23">
        <v>0</v>
      </c>
      <c r="I534" s="23">
        <v>1569.6</v>
      </c>
      <c r="J534" s="23">
        <v>0</v>
      </c>
      <c r="K534" s="23">
        <v>0</v>
      </c>
    </row>
    <row r="535" spans="1:11" x14ac:dyDescent="0.25">
      <c r="A535">
        <v>534</v>
      </c>
      <c r="B535" s="23">
        <v>1165.5999999999999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749.66600000000005</v>
      </c>
      <c r="J535" s="23">
        <v>0</v>
      </c>
      <c r="K535" s="23">
        <v>415.93400000000003</v>
      </c>
    </row>
    <row r="536" spans="1:11" x14ac:dyDescent="0.25">
      <c r="A536">
        <v>535</v>
      </c>
      <c r="B536" s="23">
        <v>1127.2</v>
      </c>
      <c r="C536" s="23">
        <v>30.2</v>
      </c>
      <c r="D536" s="23">
        <v>44.963000000000001</v>
      </c>
      <c r="E536" s="23">
        <v>44.963000000000001</v>
      </c>
      <c r="F536" s="23">
        <v>0</v>
      </c>
      <c r="G536" s="23">
        <v>0</v>
      </c>
      <c r="H536" s="23">
        <v>0</v>
      </c>
      <c r="I536" s="23">
        <v>0</v>
      </c>
      <c r="J536" s="23">
        <v>0</v>
      </c>
      <c r="K536" s="23">
        <v>1082.2370000000001</v>
      </c>
    </row>
    <row r="537" spans="1:11" x14ac:dyDescent="0.25">
      <c r="A537">
        <v>536</v>
      </c>
      <c r="B537" s="23">
        <v>845.36900000000003</v>
      </c>
      <c r="C537" s="23">
        <v>223.22</v>
      </c>
      <c r="D537" s="23">
        <v>859.95400000000006</v>
      </c>
      <c r="E537" s="23">
        <v>845.36900000000003</v>
      </c>
      <c r="F537" s="23">
        <v>-14.585000000000001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</row>
    <row r="538" spans="1:11" x14ac:dyDescent="0.25">
      <c r="A538">
        <v>537</v>
      </c>
      <c r="B538" s="23">
        <v>1178.3599999999999</v>
      </c>
      <c r="C538" s="23">
        <v>421.39</v>
      </c>
      <c r="D538" s="23">
        <v>1689.6120000000001</v>
      </c>
      <c r="E538" s="23">
        <v>1178.3599999999999</v>
      </c>
      <c r="F538" s="23">
        <v>-511.25200000000001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</row>
    <row r="539" spans="1:11" x14ac:dyDescent="0.25">
      <c r="A539">
        <v>538</v>
      </c>
      <c r="B539" s="23">
        <v>1572.1279999999999</v>
      </c>
      <c r="C539" s="23">
        <v>655.92</v>
      </c>
      <c r="D539" s="23">
        <v>2531.1660000000002</v>
      </c>
      <c r="E539" s="23">
        <v>1572.1279999999999</v>
      </c>
      <c r="F539" s="23">
        <v>-959.03800000000001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</row>
    <row r="540" spans="1:11" x14ac:dyDescent="0.25">
      <c r="A540">
        <v>539</v>
      </c>
      <c r="B540" s="23">
        <v>1408.4369999999999</v>
      </c>
      <c r="C540" s="23">
        <v>900.3</v>
      </c>
      <c r="D540" s="23">
        <v>3346.1680000000001</v>
      </c>
      <c r="E540" s="23">
        <v>1408.4380000000001</v>
      </c>
      <c r="F540" s="23">
        <v>-1684.559</v>
      </c>
      <c r="G540" s="23">
        <v>0</v>
      </c>
      <c r="H540" s="23">
        <v>253.17099999999999</v>
      </c>
      <c r="I540" s="23">
        <v>0</v>
      </c>
      <c r="J540" s="23">
        <v>0</v>
      </c>
      <c r="K540" s="23">
        <v>0</v>
      </c>
    </row>
    <row r="541" spans="1:11" x14ac:dyDescent="0.25">
      <c r="A541">
        <v>540</v>
      </c>
      <c r="B541" s="23">
        <v>1438.896</v>
      </c>
      <c r="C541" s="23">
        <v>988.28</v>
      </c>
      <c r="D541" s="23">
        <v>3591.0659999999998</v>
      </c>
      <c r="E541" s="23">
        <v>1438.8969999999999</v>
      </c>
      <c r="F541" s="23">
        <v>-1684.559</v>
      </c>
      <c r="G541" s="23">
        <v>0</v>
      </c>
      <c r="H541" s="23">
        <v>467.61</v>
      </c>
      <c r="I541" s="23">
        <v>0</v>
      </c>
      <c r="J541" s="23">
        <v>0</v>
      </c>
      <c r="K541" s="23">
        <v>0</v>
      </c>
    </row>
    <row r="542" spans="1:11" x14ac:dyDescent="0.25">
      <c r="A542">
        <v>541</v>
      </c>
      <c r="B542" s="23">
        <v>1516.32</v>
      </c>
      <c r="C542" s="23">
        <v>994.09</v>
      </c>
      <c r="D542" s="23">
        <v>3589.0050000000001</v>
      </c>
      <c r="E542" s="23">
        <v>1516.3209999999999</v>
      </c>
      <c r="F542" s="23">
        <v>-1684.559</v>
      </c>
      <c r="G542" s="23">
        <v>0</v>
      </c>
      <c r="H542" s="23">
        <v>388.125</v>
      </c>
      <c r="I542" s="23">
        <v>0</v>
      </c>
      <c r="J542" s="23">
        <v>0</v>
      </c>
      <c r="K542" s="23">
        <v>0</v>
      </c>
    </row>
    <row r="543" spans="1:11" x14ac:dyDescent="0.25">
      <c r="A543">
        <v>542</v>
      </c>
      <c r="B543" s="23">
        <v>1377.5940000000001</v>
      </c>
      <c r="C543" s="23">
        <v>550.04</v>
      </c>
      <c r="D543" s="23">
        <v>2057.3470000000002</v>
      </c>
      <c r="E543" s="23">
        <v>1377.5940000000001</v>
      </c>
      <c r="F543" s="23">
        <v>-679.75300000000004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pans="1:11" x14ac:dyDescent="0.25">
      <c r="A544">
        <v>543</v>
      </c>
      <c r="B544" s="23">
        <v>1550.943</v>
      </c>
      <c r="C544" s="23">
        <v>629.08000000000004</v>
      </c>
      <c r="D544" s="23">
        <v>2365.1590000000001</v>
      </c>
      <c r="E544" s="23">
        <v>1550.943</v>
      </c>
      <c r="F544" s="23">
        <v>-73.192999999999998</v>
      </c>
      <c r="G544" s="23">
        <v>0</v>
      </c>
      <c r="H544" s="23">
        <v>741.02300000000002</v>
      </c>
      <c r="I544" s="23">
        <v>0</v>
      </c>
      <c r="J544" s="23">
        <v>0</v>
      </c>
      <c r="K544" s="23">
        <v>0</v>
      </c>
    </row>
    <row r="545" spans="1:11" x14ac:dyDescent="0.25">
      <c r="A545">
        <v>544</v>
      </c>
      <c r="B545" s="23">
        <v>1543.5340000000001</v>
      </c>
      <c r="C545" s="23">
        <v>528.13</v>
      </c>
      <c r="D545" s="23">
        <v>2044.5820000000001</v>
      </c>
      <c r="E545" s="23">
        <v>1543.5340000000001</v>
      </c>
      <c r="F545" s="23">
        <v>0</v>
      </c>
      <c r="G545" s="23">
        <v>0</v>
      </c>
      <c r="H545" s="23">
        <v>501.048</v>
      </c>
      <c r="I545" s="23">
        <v>0</v>
      </c>
      <c r="J545" s="23">
        <v>0</v>
      </c>
      <c r="K545" s="23">
        <v>0</v>
      </c>
    </row>
    <row r="546" spans="1:11" x14ac:dyDescent="0.25">
      <c r="A546">
        <v>545</v>
      </c>
      <c r="B546" s="23">
        <v>1201.1400000000001</v>
      </c>
      <c r="C546" s="23">
        <v>290.26</v>
      </c>
      <c r="D546" s="23">
        <v>1113.8150000000001</v>
      </c>
      <c r="E546" s="23">
        <v>1113.8150000000001</v>
      </c>
      <c r="F546" s="23">
        <v>0</v>
      </c>
      <c r="G546" s="23">
        <v>0</v>
      </c>
      <c r="H546" s="23">
        <v>0</v>
      </c>
      <c r="I546" s="23">
        <v>87.325000000000003</v>
      </c>
      <c r="J546" s="23">
        <v>0</v>
      </c>
      <c r="K546" s="23">
        <v>0</v>
      </c>
    </row>
    <row r="547" spans="1:11" x14ac:dyDescent="0.25">
      <c r="A547">
        <v>546</v>
      </c>
      <c r="B547" s="23">
        <v>1293.095</v>
      </c>
      <c r="C547" s="23">
        <v>65.150000000000006</v>
      </c>
      <c r="D547" s="23">
        <v>181.46299999999999</v>
      </c>
      <c r="E547" s="23">
        <v>181.46299999999999</v>
      </c>
      <c r="F547" s="23">
        <v>0</v>
      </c>
      <c r="G547" s="23">
        <v>0</v>
      </c>
      <c r="H547" s="23">
        <v>0</v>
      </c>
      <c r="I547" s="23">
        <v>0</v>
      </c>
      <c r="J547" s="23">
        <v>0</v>
      </c>
      <c r="K547" s="23">
        <v>1111.6320000000001</v>
      </c>
    </row>
    <row r="548" spans="1:11" x14ac:dyDescent="0.25">
      <c r="A548">
        <v>547</v>
      </c>
      <c r="B548" s="23">
        <v>1413.61</v>
      </c>
      <c r="C548" s="23">
        <v>0</v>
      </c>
      <c r="D548" s="23">
        <v>0</v>
      </c>
      <c r="E548" s="23">
        <v>0</v>
      </c>
      <c r="F548" s="23">
        <v>0</v>
      </c>
      <c r="G548" s="23">
        <v>0</v>
      </c>
      <c r="H548" s="23">
        <v>0</v>
      </c>
      <c r="I548" s="23">
        <v>0</v>
      </c>
      <c r="J548" s="23">
        <v>0</v>
      </c>
      <c r="K548" s="23">
        <v>1413.61</v>
      </c>
    </row>
    <row r="549" spans="1:11" x14ac:dyDescent="0.25">
      <c r="A549">
        <v>548</v>
      </c>
      <c r="B549" s="23">
        <v>1265.5999999999999</v>
      </c>
      <c r="C549" s="23">
        <v>0</v>
      </c>
      <c r="D549" s="23">
        <v>0</v>
      </c>
      <c r="E549" s="23">
        <v>0</v>
      </c>
      <c r="F549" s="23">
        <v>0</v>
      </c>
      <c r="G549" s="23">
        <v>0</v>
      </c>
      <c r="H549" s="23">
        <v>0</v>
      </c>
      <c r="I549" s="23">
        <v>0</v>
      </c>
      <c r="J549" s="23">
        <v>0</v>
      </c>
      <c r="K549" s="23">
        <v>1265.5999999999999</v>
      </c>
    </row>
    <row r="550" spans="1:11" x14ac:dyDescent="0.25">
      <c r="A550">
        <v>549</v>
      </c>
      <c r="B550" s="23">
        <v>1180.8</v>
      </c>
      <c r="C550" s="23">
        <v>0</v>
      </c>
      <c r="D550" s="23">
        <v>0</v>
      </c>
      <c r="E550" s="23">
        <v>0</v>
      </c>
      <c r="F550" s="23">
        <v>0</v>
      </c>
      <c r="G550" s="23">
        <v>0</v>
      </c>
      <c r="H550" s="23">
        <v>0</v>
      </c>
      <c r="I550" s="23">
        <v>1180.8</v>
      </c>
      <c r="J550" s="23">
        <v>0</v>
      </c>
      <c r="K550" s="23">
        <v>0</v>
      </c>
    </row>
    <row r="551" spans="1:11" x14ac:dyDescent="0.25">
      <c r="A551">
        <v>550</v>
      </c>
      <c r="B551" s="23">
        <v>1695.2</v>
      </c>
      <c r="C551" s="23">
        <v>0</v>
      </c>
      <c r="D551" s="23">
        <v>0</v>
      </c>
      <c r="E551" s="23">
        <v>0</v>
      </c>
      <c r="F551" s="23">
        <v>0</v>
      </c>
      <c r="G551" s="23">
        <v>0</v>
      </c>
      <c r="H551" s="23">
        <v>0</v>
      </c>
      <c r="I551" s="23">
        <v>1695.2</v>
      </c>
      <c r="J551" s="23">
        <v>0</v>
      </c>
      <c r="K551" s="23">
        <v>0</v>
      </c>
    </row>
    <row r="552" spans="1:11" x14ac:dyDescent="0.25">
      <c r="A552">
        <v>551</v>
      </c>
      <c r="B552" s="23">
        <v>1346.4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1346.4</v>
      </c>
      <c r="J552" s="23">
        <v>0</v>
      </c>
      <c r="K552" s="23">
        <v>0</v>
      </c>
    </row>
    <row r="553" spans="1:11" x14ac:dyDescent="0.25">
      <c r="A553">
        <v>552</v>
      </c>
      <c r="B553" s="23">
        <v>1211.2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1211.2</v>
      </c>
      <c r="J553" s="23">
        <v>0</v>
      </c>
      <c r="K553" s="23">
        <v>0</v>
      </c>
    </row>
    <row r="554" spans="1:11" x14ac:dyDescent="0.25">
      <c r="A554">
        <v>553</v>
      </c>
      <c r="B554" s="23">
        <v>1408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1408</v>
      </c>
      <c r="J554" s="23">
        <v>0</v>
      </c>
      <c r="K554" s="23">
        <v>0</v>
      </c>
    </row>
    <row r="555" spans="1:11" x14ac:dyDescent="0.25">
      <c r="A555">
        <v>554</v>
      </c>
      <c r="B555" s="23">
        <v>1139.2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1139.2</v>
      </c>
      <c r="J555" s="23">
        <v>0</v>
      </c>
      <c r="K555" s="23">
        <v>0</v>
      </c>
    </row>
    <row r="556" spans="1:11" x14ac:dyDescent="0.25">
      <c r="A556">
        <v>555</v>
      </c>
      <c r="B556" s="23">
        <v>1446.4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1446.4</v>
      </c>
      <c r="J556" s="23">
        <v>0</v>
      </c>
      <c r="K556" s="23">
        <v>0</v>
      </c>
    </row>
    <row r="557" spans="1:11" x14ac:dyDescent="0.25">
      <c r="A557">
        <v>556</v>
      </c>
      <c r="B557" s="23">
        <v>1142.4000000000001</v>
      </c>
      <c r="C557" s="23">
        <v>0</v>
      </c>
      <c r="D557" s="23">
        <v>0</v>
      </c>
      <c r="E557" s="23">
        <v>0</v>
      </c>
      <c r="F557" s="23">
        <v>0</v>
      </c>
      <c r="G557" s="23">
        <v>0</v>
      </c>
      <c r="H557" s="23">
        <v>0</v>
      </c>
      <c r="I557" s="23">
        <v>1142.4000000000001</v>
      </c>
      <c r="J557" s="23">
        <v>0</v>
      </c>
      <c r="K557" s="23">
        <v>0</v>
      </c>
    </row>
    <row r="558" spans="1:11" x14ac:dyDescent="0.25">
      <c r="A558">
        <v>557</v>
      </c>
      <c r="B558" s="23">
        <v>880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543.26099999999997</v>
      </c>
      <c r="J558" s="23">
        <v>0</v>
      </c>
      <c r="K558" s="23">
        <v>336.73899999999998</v>
      </c>
    </row>
    <row r="559" spans="1:11" x14ac:dyDescent="0.25">
      <c r="A559">
        <v>558</v>
      </c>
      <c r="B559" s="23">
        <v>1145.5999999999999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1145.5999999999999</v>
      </c>
    </row>
    <row r="560" spans="1:11" x14ac:dyDescent="0.25">
      <c r="A560">
        <v>559</v>
      </c>
      <c r="B560" s="23">
        <v>943.2</v>
      </c>
      <c r="C560" s="23">
        <v>18.04</v>
      </c>
      <c r="D560" s="23">
        <v>21.236000000000001</v>
      </c>
      <c r="E560" s="23">
        <v>21.236000000000001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921.96400000000006</v>
      </c>
    </row>
    <row r="561" spans="1:11" x14ac:dyDescent="0.25">
      <c r="A561">
        <v>560</v>
      </c>
      <c r="B561" s="23">
        <v>1274.4380000000001</v>
      </c>
      <c r="C561" s="23">
        <v>236.93</v>
      </c>
      <c r="D561" s="23">
        <v>917.73299999999995</v>
      </c>
      <c r="E561" s="23">
        <v>917.73299999999995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356.70499999999998</v>
      </c>
    </row>
    <row r="562" spans="1:11" x14ac:dyDescent="0.25">
      <c r="A562">
        <v>561</v>
      </c>
      <c r="B562" s="23">
        <v>1429.443</v>
      </c>
      <c r="C562" s="23">
        <v>544.5</v>
      </c>
      <c r="D562" s="23">
        <v>2210.2429999999999</v>
      </c>
      <c r="E562" s="23">
        <v>1429.443</v>
      </c>
      <c r="F562" s="23">
        <v>-780.8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pans="1:11" x14ac:dyDescent="0.25">
      <c r="A563">
        <v>562</v>
      </c>
      <c r="B563" s="23">
        <v>1547.5219999999999</v>
      </c>
      <c r="C563" s="23">
        <v>765.42</v>
      </c>
      <c r="D563" s="23">
        <v>2971.9960000000001</v>
      </c>
      <c r="E563" s="23">
        <v>1547.5219999999999</v>
      </c>
      <c r="F563" s="23">
        <v>-1424.4739999999999</v>
      </c>
      <c r="G563" s="23">
        <v>0</v>
      </c>
      <c r="H563" s="23">
        <v>0</v>
      </c>
      <c r="I563" s="23">
        <v>0</v>
      </c>
      <c r="J563" s="23">
        <v>0</v>
      </c>
      <c r="K563" s="23">
        <v>0</v>
      </c>
    </row>
    <row r="564" spans="1:11" x14ac:dyDescent="0.25">
      <c r="A564">
        <v>563</v>
      </c>
      <c r="B564" s="23">
        <v>1405.7249999999999</v>
      </c>
      <c r="C564" s="23">
        <v>917.17</v>
      </c>
      <c r="D564" s="23">
        <v>3412.8270000000002</v>
      </c>
      <c r="E564" s="23">
        <v>1405.7260000000001</v>
      </c>
      <c r="F564" s="23">
        <v>-1684.559</v>
      </c>
      <c r="G564" s="23">
        <v>0</v>
      </c>
      <c r="H564" s="23">
        <v>322.54199999999997</v>
      </c>
      <c r="I564" s="23">
        <v>0</v>
      </c>
      <c r="J564" s="23">
        <v>0</v>
      </c>
      <c r="K564" s="23">
        <v>0</v>
      </c>
    </row>
    <row r="565" spans="1:11" x14ac:dyDescent="0.25">
      <c r="A565">
        <v>564</v>
      </c>
      <c r="B565" s="23">
        <v>1431.8520000000001</v>
      </c>
      <c r="C565" s="23">
        <v>1012.26</v>
      </c>
      <c r="D565" s="23">
        <v>3654.77</v>
      </c>
      <c r="E565" s="23">
        <v>1431.8520000000001</v>
      </c>
      <c r="F565" s="23">
        <v>-1684.559</v>
      </c>
      <c r="G565" s="23">
        <v>0</v>
      </c>
      <c r="H565" s="23">
        <v>538.35900000000004</v>
      </c>
      <c r="I565" s="23">
        <v>0</v>
      </c>
      <c r="J565" s="23">
        <v>0</v>
      </c>
      <c r="K565" s="23">
        <v>0</v>
      </c>
    </row>
    <row r="566" spans="1:11" x14ac:dyDescent="0.25">
      <c r="A566">
        <v>565</v>
      </c>
      <c r="B566" s="23">
        <v>1367.56</v>
      </c>
      <c r="C566" s="23">
        <v>1019.86</v>
      </c>
      <c r="D566" s="23">
        <v>3654.0160000000001</v>
      </c>
      <c r="E566" s="23">
        <v>1367.5609999999999</v>
      </c>
      <c r="F566" s="23">
        <v>-1684.559</v>
      </c>
      <c r="G566" s="23">
        <v>0</v>
      </c>
      <c r="H566" s="23">
        <v>601.89599999999996</v>
      </c>
      <c r="I566" s="23">
        <v>0</v>
      </c>
      <c r="J566" s="23">
        <v>0</v>
      </c>
      <c r="K566" s="23">
        <v>0</v>
      </c>
    </row>
    <row r="567" spans="1:11" x14ac:dyDescent="0.25">
      <c r="A567">
        <v>566</v>
      </c>
      <c r="B567" s="23">
        <v>1673.787</v>
      </c>
      <c r="C567" s="23">
        <v>943.36</v>
      </c>
      <c r="D567" s="23">
        <v>3424.1030000000001</v>
      </c>
      <c r="E567" s="23">
        <v>1673.7860000000001</v>
      </c>
      <c r="F567" s="23">
        <v>-32.546999999999997</v>
      </c>
      <c r="G567" s="23">
        <v>0</v>
      </c>
      <c r="H567" s="23">
        <v>1717.77</v>
      </c>
      <c r="I567" s="23">
        <v>0</v>
      </c>
      <c r="J567" s="23">
        <v>0</v>
      </c>
      <c r="K567" s="23">
        <v>0</v>
      </c>
    </row>
    <row r="568" spans="1:11" x14ac:dyDescent="0.25">
      <c r="A568">
        <v>567</v>
      </c>
      <c r="B568" s="23">
        <v>1642.84</v>
      </c>
      <c r="C568" s="23">
        <v>797.16</v>
      </c>
      <c r="D568" s="23">
        <v>2967.9050000000002</v>
      </c>
      <c r="E568" s="23">
        <v>1642.84</v>
      </c>
      <c r="F568" s="23">
        <v>0</v>
      </c>
      <c r="G568" s="23">
        <v>0</v>
      </c>
      <c r="H568" s="23">
        <v>1325.0650000000001</v>
      </c>
      <c r="I568" s="23">
        <v>0</v>
      </c>
      <c r="J568" s="23">
        <v>0</v>
      </c>
      <c r="K568" s="23">
        <v>0</v>
      </c>
    </row>
    <row r="569" spans="1:11" x14ac:dyDescent="0.25">
      <c r="A569">
        <v>568</v>
      </c>
      <c r="B569" s="23">
        <v>1902.4570000000001</v>
      </c>
      <c r="C569" s="23">
        <v>583.86</v>
      </c>
      <c r="D569" s="23">
        <v>2253.9090000000001</v>
      </c>
      <c r="E569" s="23">
        <v>1902.4570000000001</v>
      </c>
      <c r="F569" s="23">
        <v>0</v>
      </c>
      <c r="G569" s="23">
        <v>0</v>
      </c>
      <c r="H569" s="23">
        <v>351.452</v>
      </c>
      <c r="I569" s="23">
        <v>0</v>
      </c>
      <c r="J569" s="23">
        <v>0</v>
      </c>
      <c r="K569" s="23">
        <v>0</v>
      </c>
    </row>
    <row r="570" spans="1:11" x14ac:dyDescent="0.25">
      <c r="A570">
        <v>569</v>
      </c>
      <c r="B570" s="23">
        <v>1899.2670000000001</v>
      </c>
      <c r="C570" s="23">
        <v>327.08</v>
      </c>
      <c r="D570" s="23">
        <v>1253.0999999999999</v>
      </c>
      <c r="E570" s="23">
        <v>1253.0999999999999</v>
      </c>
      <c r="F570" s="23">
        <v>0</v>
      </c>
      <c r="G570" s="23">
        <v>0</v>
      </c>
      <c r="H570" s="23">
        <v>0</v>
      </c>
      <c r="I570" s="23">
        <v>646.16700000000003</v>
      </c>
      <c r="J570" s="23">
        <v>0</v>
      </c>
      <c r="K570" s="23">
        <v>0</v>
      </c>
    </row>
    <row r="571" spans="1:11" x14ac:dyDescent="0.25">
      <c r="A571">
        <v>570</v>
      </c>
      <c r="B571" s="23">
        <v>1621.58</v>
      </c>
      <c r="C571" s="23">
        <v>74.14</v>
      </c>
      <c r="D571" s="23">
        <v>200.08</v>
      </c>
      <c r="E571" s="23">
        <v>200.08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1421.5</v>
      </c>
    </row>
    <row r="572" spans="1:11" x14ac:dyDescent="0.25">
      <c r="A572">
        <v>571</v>
      </c>
      <c r="B572" s="23">
        <v>1806.403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121.84399999999999</v>
      </c>
      <c r="J572" s="23">
        <v>0</v>
      </c>
      <c r="K572" s="23">
        <v>1684.559</v>
      </c>
    </row>
    <row r="573" spans="1:11" x14ac:dyDescent="0.25">
      <c r="A573">
        <v>572</v>
      </c>
      <c r="B573" s="23">
        <v>1360.8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1360.8</v>
      </c>
    </row>
    <row r="574" spans="1:11" x14ac:dyDescent="0.25">
      <c r="A574">
        <v>573</v>
      </c>
      <c r="B574" s="23">
        <v>1477.6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1477.6</v>
      </c>
      <c r="J574" s="23">
        <v>0</v>
      </c>
      <c r="K574" s="23">
        <v>0</v>
      </c>
    </row>
    <row r="575" spans="1:11" x14ac:dyDescent="0.25">
      <c r="A575">
        <v>574</v>
      </c>
      <c r="B575" s="23">
        <v>1830.4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1830.4</v>
      </c>
      <c r="J575" s="23">
        <v>0</v>
      </c>
      <c r="K575" s="23">
        <v>0</v>
      </c>
    </row>
    <row r="576" spans="1:11" x14ac:dyDescent="0.25">
      <c r="A576">
        <v>575</v>
      </c>
      <c r="B576" s="23">
        <v>1500.8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1500.8</v>
      </c>
      <c r="J576" s="23">
        <v>0</v>
      </c>
      <c r="K576" s="23">
        <v>0</v>
      </c>
    </row>
    <row r="577" spans="1:11" x14ac:dyDescent="0.25">
      <c r="A577">
        <v>576</v>
      </c>
      <c r="B577" s="23">
        <v>1522.4</v>
      </c>
      <c r="C577" s="23">
        <v>0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3">
        <v>1522.4</v>
      </c>
      <c r="J577" s="23">
        <v>0</v>
      </c>
      <c r="K577" s="23">
        <v>0</v>
      </c>
    </row>
    <row r="578" spans="1:11" x14ac:dyDescent="0.25">
      <c r="A578">
        <v>577</v>
      </c>
      <c r="B578" s="23">
        <v>1083.2</v>
      </c>
      <c r="C578" s="23">
        <v>0</v>
      </c>
      <c r="D578" s="23">
        <v>0</v>
      </c>
      <c r="E578" s="23">
        <v>0</v>
      </c>
      <c r="F578" s="23">
        <v>0</v>
      </c>
      <c r="G578" s="23">
        <v>0</v>
      </c>
      <c r="H578" s="23">
        <v>0</v>
      </c>
      <c r="I578" s="23">
        <v>1083.2</v>
      </c>
      <c r="J578" s="23">
        <v>0</v>
      </c>
      <c r="K578" s="23">
        <v>0</v>
      </c>
    </row>
    <row r="579" spans="1:11" x14ac:dyDescent="0.25">
      <c r="A579">
        <v>578</v>
      </c>
      <c r="B579" s="23">
        <v>1204</v>
      </c>
      <c r="C579" s="23">
        <v>0</v>
      </c>
      <c r="D579" s="23">
        <v>0</v>
      </c>
      <c r="E579" s="23">
        <v>0</v>
      </c>
      <c r="F579" s="23">
        <v>0</v>
      </c>
      <c r="G579" s="23">
        <v>0</v>
      </c>
      <c r="H579" s="23">
        <v>0</v>
      </c>
      <c r="I579" s="23">
        <v>1204</v>
      </c>
      <c r="J579" s="23">
        <v>0</v>
      </c>
      <c r="K579" s="23">
        <v>0</v>
      </c>
    </row>
    <row r="580" spans="1:11" x14ac:dyDescent="0.25">
      <c r="A580">
        <v>579</v>
      </c>
      <c r="B580" s="23">
        <v>1488.8</v>
      </c>
      <c r="C580" s="23">
        <v>0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1488.8</v>
      </c>
      <c r="J580" s="23">
        <v>0</v>
      </c>
      <c r="K580" s="23">
        <v>0</v>
      </c>
    </row>
    <row r="581" spans="1:11" x14ac:dyDescent="0.25">
      <c r="A581">
        <v>580</v>
      </c>
      <c r="B581" s="23">
        <v>1076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1076</v>
      </c>
      <c r="J581" s="23">
        <v>0</v>
      </c>
      <c r="K581" s="23">
        <v>0</v>
      </c>
    </row>
    <row r="582" spans="1:11" x14ac:dyDescent="0.25">
      <c r="A582">
        <v>581</v>
      </c>
      <c r="B582" s="23">
        <v>1073.5999999999999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1015.152</v>
      </c>
      <c r="J582" s="23">
        <v>0</v>
      </c>
      <c r="K582" s="23">
        <v>58.448</v>
      </c>
    </row>
    <row r="583" spans="1:11" x14ac:dyDescent="0.25">
      <c r="A583">
        <v>582</v>
      </c>
      <c r="B583" s="23">
        <v>912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912</v>
      </c>
    </row>
    <row r="584" spans="1:11" x14ac:dyDescent="0.25">
      <c r="A584">
        <v>583</v>
      </c>
      <c r="B584" s="23">
        <v>964.8</v>
      </c>
      <c r="C584" s="23">
        <v>33.07</v>
      </c>
      <c r="D584" s="23">
        <v>50.444000000000003</v>
      </c>
      <c r="E584" s="23">
        <v>50.444000000000003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914.35599999999999</v>
      </c>
    </row>
    <row r="585" spans="1:11" x14ac:dyDescent="0.25">
      <c r="A585">
        <v>584</v>
      </c>
      <c r="B585" s="23">
        <v>1236.8920000000001</v>
      </c>
      <c r="C585" s="23">
        <v>270.68</v>
      </c>
      <c r="D585" s="23">
        <v>1036.7059999999999</v>
      </c>
      <c r="E585" s="23">
        <v>1036.7059999999999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200.18600000000001</v>
      </c>
    </row>
    <row r="586" spans="1:11" x14ac:dyDescent="0.25">
      <c r="A586">
        <v>585</v>
      </c>
      <c r="B586" s="23">
        <v>902.10199999999998</v>
      </c>
      <c r="C586" s="23">
        <v>530.08000000000004</v>
      </c>
      <c r="D586" s="23">
        <v>2099.2869999999998</v>
      </c>
      <c r="E586" s="23">
        <v>902.10199999999998</v>
      </c>
      <c r="F586" s="23">
        <v>-1197.1849999999999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</row>
    <row r="587" spans="1:11" x14ac:dyDescent="0.25">
      <c r="A587">
        <v>586</v>
      </c>
      <c r="B587" s="23">
        <v>1643.9770000000001</v>
      </c>
      <c r="C587" s="23">
        <v>748.13</v>
      </c>
      <c r="D587" s="23">
        <v>2832.701</v>
      </c>
      <c r="E587" s="23">
        <v>1643.9770000000001</v>
      </c>
      <c r="F587" s="23">
        <v>-1188.7239999999999</v>
      </c>
      <c r="G587" s="23">
        <v>0</v>
      </c>
      <c r="H587" s="23">
        <v>0</v>
      </c>
      <c r="I587" s="23">
        <v>0</v>
      </c>
      <c r="J587" s="23">
        <v>0</v>
      </c>
      <c r="K587" s="23">
        <v>0</v>
      </c>
    </row>
    <row r="588" spans="1:11" x14ac:dyDescent="0.25">
      <c r="A588">
        <v>587</v>
      </c>
      <c r="B588" s="23">
        <v>1404.9290000000001</v>
      </c>
      <c r="C588" s="23">
        <v>901.78</v>
      </c>
      <c r="D588" s="23">
        <v>3294.6080000000002</v>
      </c>
      <c r="E588" s="23">
        <v>1404.9290000000001</v>
      </c>
      <c r="F588" s="23">
        <v>-1684.559</v>
      </c>
      <c r="G588" s="23">
        <v>0</v>
      </c>
      <c r="H588" s="23">
        <v>205.12</v>
      </c>
      <c r="I588" s="23">
        <v>0</v>
      </c>
      <c r="J588" s="23">
        <v>0</v>
      </c>
      <c r="K588" s="23">
        <v>0</v>
      </c>
    </row>
    <row r="589" spans="1:11" x14ac:dyDescent="0.25">
      <c r="A589">
        <v>588</v>
      </c>
      <c r="B589" s="23">
        <v>1257.9770000000001</v>
      </c>
      <c r="C589" s="23">
        <v>993.06</v>
      </c>
      <c r="D589" s="23">
        <v>3538.4789999999998</v>
      </c>
      <c r="E589" s="23">
        <v>1257.9780000000001</v>
      </c>
      <c r="F589" s="23">
        <v>-1684.559</v>
      </c>
      <c r="G589" s="23">
        <v>0</v>
      </c>
      <c r="H589" s="23">
        <v>595.94200000000001</v>
      </c>
      <c r="I589" s="23">
        <v>0</v>
      </c>
      <c r="J589" s="23">
        <v>0</v>
      </c>
      <c r="K589" s="23">
        <v>0</v>
      </c>
    </row>
    <row r="590" spans="1:11" x14ac:dyDescent="0.25">
      <c r="A590">
        <v>589</v>
      </c>
      <c r="B590" s="23">
        <v>1143.9860000000001</v>
      </c>
      <c r="C590" s="23">
        <v>996.99</v>
      </c>
      <c r="D590" s="23">
        <v>3512.5410000000002</v>
      </c>
      <c r="E590" s="23">
        <v>1143.9860000000001</v>
      </c>
      <c r="F590" s="23">
        <v>-1536.47</v>
      </c>
      <c r="G590" s="23">
        <v>0</v>
      </c>
      <c r="H590" s="23">
        <v>832.08500000000004</v>
      </c>
      <c r="I590" s="23">
        <v>0</v>
      </c>
      <c r="J590" s="23">
        <v>0</v>
      </c>
      <c r="K590" s="23">
        <v>0</v>
      </c>
    </row>
    <row r="591" spans="1:11" x14ac:dyDescent="0.25">
      <c r="A591">
        <v>590</v>
      </c>
      <c r="B591" s="23">
        <v>1063.922</v>
      </c>
      <c r="C591" s="23">
        <v>911.29</v>
      </c>
      <c r="D591" s="23">
        <v>3248.462</v>
      </c>
      <c r="E591" s="23">
        <v>1063.922</v>
      </c>
      <c r="F591" s="23">
        <v>0</v>
      </c>
      <c r="G591" s="23">
        <v>0</v>
      </c>
      <c r="H591" s="23">
        <v>2184.54</v>
      </c>
      <c r="I591" s="23">
        <v>0</v>
      </c>
      <c r="J591" s="23">
        <v>0</v>
      </c>
      <c r="K591" s="23">
        <v>0</v>
      </c>
    </row>
    <row r="592" spans="1:11" x14ac:dyDescent="0.25">
      <c r="A592">
        <v>591</v>
      </c>
      <c r="B592" s="23">
        <v>1565.0319999999999</v>
      </c>
      <c r="C592" s="23">
        <v>765.44</v>
      </c>
      <c r="D592" s="23">
        <v>2804.4549999999999</v>
      </c>
      <c r="E592" s="23">
        <v>1565.0319999999999</v>
      </c>
      <c r="F592" s="23">
        <v>0</v>
      </c>
      <c r="G592" s="23">
        <v>0</v>
      </c>
      <c r="H592" s="23">
        <v>1239.423</v>
      </c>
      <c r="I592" s="23">
        <v>0</v>
      </c>
      <c r="J592" s="23">
        <v>0</v>
      </c>
      <c r="K592" s="23">
        <v>0</v>
      </c>
    </row>
    <row r="593" spans="1:11" x14ac:dyDescent="0.25">
      <c r="A593">
        <v>592</v>
      </c>
      <c r="B593" s="23">
        <v>1529.519</v>
      </c>
      <c r="C593" s="23">
        <v>554</v>
      </c>
      <c r="D593" s="23">
        <v>2114.2730000000001</v>
      </c>
      <c r="E593" s="23">
        <v>1529.519</v>
      </c>
      <c r="F593" s="23">
        <v>0</v>
      </c>
      <c r="G593" s="23">
        <v>0</v>
      </c>
      <c r="H593" s="23">
        <v>584.75400000000002</v>
      </c>
      <c r="I593" s="23">
        <v>0</v>
      </c>
      <c r="J593" s="23">
        <v>0</v>
      </c>
      <c r="K593" s="23">
        <v>0</v>
      </c>
    </row>
    <row r="594" spans="1:11" x14ac:dyDescent="0.25">
      <c r="A594">
        <v>593</v>
      </c>
      <c r="B594" s="23">
        <v>1548.768</v>
      </c>
      <c r="C594" s="23">
        <v>276.08</v>
      </c>
      <c r="D594" s="23">
        <v>1055.1990000000001</v>
      </c>
      <c r="E594" s="23">
        <v>1055.1990000000001</v>
      </c>
      <c r="F594" s="23">
        <v>0</v>
      </c>
      <c r="G594" s="23">
        <v>0</v>
      </c>
      <c r="H594" s="23">
        <v>0</v>
      </c>
      <c r="I594" s="23">
        <v>493.56900000000002</v>
      </c>
      <c r="J594" s="23">
        <v>0</v>
      </c>
      <c r="K594" s="23">
        <v>0</v>
      </c>
    </row>
    <row r="595" spans="1:11" x14ac:dyDescent="0.25">
      <c r="A595">
        <v>594</v>
      </c>
      <c r="B595" s="23">
        <v>954.79399999999998</v>
      </c>
      <c r="C595" s="23">
        <v>57.88</v>
      </c>
      <c r="D595" s="23">
        <v>158.05199999999999</v>
      </c>
      <c r="E595" s="23">
        <v>158.05199999999999</v>
      </c>
      <c r="F595" s="23">
        <v>0</v>
      </c>
      <c r="G595" s="23">
        <v>0</v>
      </c>
      <c r="H595" s="23">
        <v>0</v>
      </c>
      <c r="I595" s="23">
        <v>0</v>
      </c>
      <c r="J595" s="23">
        <v>0</v>
      </c>
      <c r="K595" s="23">
        <v>796.74199999999996</v>
      </c>
    </row>
    <row r="596" spans="1:11" x14ac:dyDescent="0.25">
      <c r="A596">
        <v>595</v>
      </c>
      <c r="B596" s="23">
        <v>979.93299999999999</v>
      </c>
      <c r="C596" s="23">
        <v>0</v>
      </c>
      <c r="D596" s="23">
        <v>0</v>
      </c>
      <c r="E596" s="23">
        <v>0</v>
      </c>
      <c r="F596" s="23">
        <v>0</v>
      </c>
      <c r="G596" s="23">
        <v>0</v>
      </c>
      <c r="H596" s="23">
        <v>0</v>
      </c>
      <c r="I596" s="23">
        <v>0</v>
      </c>
      <c r="J596" s="23">
        <v>0</v>
      </c>
      <c r="K596" s="23">
        <v>979.93299999999999</v>
      </c>
    </row>
    <row r="597" spans="1:11" x14ac:dyDescent="0.25">
      <c r="A597">
        <v>596</v>
      </c>
      <c r="B597" s="23">
        <v>1248.8</v>
      </c>
      <c r="C597" s="23">
        <v>0</v>
      </c>
      <c r="D597" s="23">
        <v>0</v>
      </c>
      <c r="E597" s="23">
        <v>0</v>
      </c>
      <c r="F597" s="23">
        <v>0</v>
      </c>
      <c r="G597" s="23">
        <v>0</v>
      </c>
      <c r="H597" s="23">
        <v>0</v>
      </c>
      <c r="I597" s="23">
        <v>0</v>
      </c>
      <c r="J597" s="23">
        <v>0</v>
      </c>
      <c r="K597" s="23">
        <v>1248.8</v>
      </c>
    </row>
    <row r="598" spans="1:11" x14ac:dyDescent="0.25">
      <c r="A598">
        <v>597</v>
      </c>
      <c r="B598" s="23">
        <v>1226.4000000000001</v>
      </c>
      <c r="C598" s="23">
        <v>0</v>
      </c>
      <c r="D598" s="23">
        <v>0</v>
      </c>
      <c r="E598" s="23">
        <v>0</v>
      </c>
      <c r="F598" s="23">
        <v>0</v>
      </c>
      <c r="G598" s="23">
        <v>0</v>
      </c>
      <c r="H598" s="23">
        <v>0</v>
      </c>
      <c r="I598" s="23">
        <v>1226.4000000000001</v>
      </c>
      <c r="J598" s="23">
        <v>0</v>
      </c>
      <c r="K598" s="23">
        <v>0</v>
      </c>
    </row>
    <row r="599" spans="1:11" x14ac:dyDescent="0.25">
      <c r="A599">
        <v>598</v>
      </c>
      <c r="B599" s="23">
        <v>1332</v>
      </c>
      <c r="C599" s="23">
        <v>0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3">
        <v>1332</v>
      </c>
      <c r="J599" s="23">
        <v>0</v>
      </c>
      <c r="K599" s="23">
        <v>0</v>
      </c>
    </row>
    <row r="600" spans="1:11" x14ac:dyDescent="0.25">
      <c r="A600">
        <v>599</v>
      </c>
      <c r="B600" s="23">
        <v>1236.8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1236.8</v>
      </c>
      <c r="J600" s="23">
        <v>0</v>
      </c>
      <c r="K600" s="23">
        <v>0</v>
      </c>
    </row>
    <row r="601" spans="1:11" x14ac:dyDescent="0.25">
      <c r="A601">
        <v>600</v>
      </c>
      <c r="B601" s="23">
        <v>1285.5999999999999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1285.5999999999999</v>
      </c>
      <c r="J601" s="23">
        <v>0</v>
      </c>
      <c r="K601" s="23">
        <v>0</v>
      </c>
    </row>
    <row r="602" spans="1:11" x14ac:dyDescent="0.25">
      <c r="A602">
        <v>601</v>
      </c>
      <c r="B602" s="23">
        <v>1532.8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1532.8</v>
      </c>
      <c r="J602" s="23">
        <v>0</v>
      </c>
      <c r="K602" s="23">
        <v>0</v>
      </c>
    </row>
    <row r="603" spans="1:11" x14ac:dyDescent="0.25">
      <c r="A603">
        <v>602</v>
      </c>
      <c r="B603" s="23">
        <v>1344.8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1344.8</v>
      </c>
      <c r="J603" s="23">
        <v>0</v>
      </c>
      <c r="K603" s="23">
        <v>0</v>
      </c>
    </row>
    <row r="604" spans="1:11" x14ac:dyDescent="0.25">
      <c r="A604">
        <v>603</v>
      </c>
      <c r="B604" s="23">
        <v>1204.8</v>
      </c>
      <c r="C604" s="23">
        <v>0</v>
      </c>
      <c r="D604" s="23">
        <v>0</v>
      </c>
      <c r="E604" s="23">
        <v>0</v>
      </c>
      <c r="F604" s="23">
        <v>0</v>
      </c>
      <c r="G604" s="23">
        <v>0</v>
      </c>
      <c r="H604" s="23">
        <v>0</v>
      </c>
      <c r="I604" s="23">
        <v>1204.8</v>
      </c>
      <c r="J604" s="23">
        <v>0</v>
      </c>
      <c r="K604" s="23">
        <v>0</v>
      </c>
    </row>
    <row r="605" spans="1:11" x14ac:dyDescent="0.25">
      <c r="A605">
        <v>604</v>
      </c>
      <c r="B605" s="23">
        <v>1120.8</v>
      </c>
      <c r="C605" s="23">
        <v>0</v>
      </c>
      <c r="D605" s="23">
        <v>0</v>
      </c>
      <c r="E605" s="23">
        <v>0</v>
      </c>
      <c r="F605" s="23">
        <v>0</v>
      </c>
      <c r="G605" s="23">
        <v>0</v>
      </c>
      <c r="H605" s="23">
        <v>0</v>
      </c>
      <c r="I605" s="23">
        <v>1120.8</v>
      </c>
      <c r="J605" s="23">
        <v>0</v>
      </c>
      <c r="K605" s="23">
        <v>0</v>
      </c>
    </row>
    <row r="606" spans="1:11" x14ac:dyDescent="0.25">
      <c r="A606">
        <v>605</v>
      </c>
      <c r="B606" s="23">
        <v>1085.5999999999999</v>
      </c>
      <c r="C606" s="23">
        <v>0</v>
      </c>
      <c r="D606" s="23">
        <v>0</v>
      </c>
      <c r="E606" s="23">
        <v>0</v>
      </c>
      <c r="F606" s="23">
        <v>0</v>
      </c>
      <c r="G606" s="23">
        <v>0</v>
      </c>
      <c r="H606" s="23">
        <v>0</v>
      </c>
      <c r="I606" s="23">
        <v>43.212000000000003</v>
      </c>
      <c r="J606" s="23">
        <v>0</v>
      </c>
      <c r="K606" s="23">
        <v>1042.3879999999999</v>
      </c>
    </row>
    <row r="607" spans="1:11" x14ac:dyDescent="0.25">
      <c r="A607">
        <v>606</v>
      </c>
      <c r="B607" s="23">
        <v>1070.4000000000001</v>
      </c>
      <c r="C607" s="23">
        <v>0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0</v>
      </c>
      <c r="K607" s="23">
        <v>1070.4000000000001</v>
      </c>
    </row>
    <row r="608" spans="1:11" x14ac:dyDescent="0.25">
      <c r="A608">
        <v>607</v>
      </c>
      <c r="B608" s="23">
        <v>1341.6</v>
      </c>
      <c r="C608" s="23">
        <v>24.56</v>
      </c>
      <c r="D608" s="23">
        <v>33.463999999999999</v>
      </c>
      <c r="E608" s="23">
        <v>33.463999999999999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1308.136</v>
      </c>
    </row>
    <row r="609" spans="1:11" x14ac:dyDescent="0.25">
      <c r="A609">
        <v>608</v>
      </c>
      <c r="B609" s="23">
        <v>915.255</v>
      </c>
      <c r="C609" s="23">
        <v>209.46</v>
      </c>
      <c r="D609" s="23">
        <v>809.80499999999995</v>
      </c>
      <c r="E609" s="23">
        <v>809.80499999999995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105.45</v>
      </c>
    </row>
    <row r="610" spans="1:11" x14ac:dyDescent="0.25">
      <c r="A610">
        <v>609</v>
      </c>
      <c r="B610" s="23">
        <v>1043.557</v>
      </c>
      <c r="C610" s="23">
        <v>285.87</v>
      </c>
      <c r="D610" s="23">
        <v>1129.8399999999999</v>
      </c>
      <c r="E610" s="23">
        <v>1043.557</v>
      </c>
      <c r="F610" s="23">
        <v>-86.283000000000001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pans="1:11" x14ac:dyDescent="0.25">
      <c r="A611">
        <v>610</v>
      </c>
      <c r="B611" s="23">
        <v>1135.797</v>
      </c>
      <c r="C611" s="23">
        <v>541.41999999999996</v>
      </c>
      <c r="D611" s="23">
        <v>2069.0059999999999</v>
      </c>
      <c r="E611" s="23">
        <v>1135.797</v>
      </c>
      <c r="F611" s="23">
        <v>-933.20899999999995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</row>
    <row r="612" spans="1:11" x14ac:dyDescent="0.25">
      <c r="A612">
        <v>611</v>
      </c>
      <c r="B612" s="23">
        <v>1052.3019999999999</v>
      </c>
      <c r="C612" s="23">
        <v>820.06</v>
      </c>
      <c r="D612" s="23">
        <v>2982.694</v>
      </c>
      <c r="E612" s="23">
        <v>1052.3019999999999</v>
      </c>
      <c r="F612" s="23">
        <v>-1684.559</v>
      </c>
      <c r="G612" s="23">
        <v>0</v>
      </c>
      <c r="H612" s="23">
        <v>245.833</v>
      </c>
      <c r="I612" s="23">
        <v>0</v>
      </c>
      <c r="J612" s="23">
        <v>0</v>
      </c>
      <c r="K612" s="23">
        <v>0</v>
      </c>
    </row>
    <row r="613" spans="1:11" x14ac:dyDescent="0.25">
      <c r="A613">
        <v>612</v>
      </c>
      <c r="B613" s="23">
        <v>1010.9109999999999</v>
      </c>
      <c r="C613" s="23">
        <v>838.81</v>
      </c>
      <c r="D613" s="23">
        <v>2988.8879999999999</v>
      </c>
      <c r="E613" s="23">
        <v>1010.9109999999999</v>
      </c>
      <c r="F613" s="23">
        <v>-1684.559</v>
      </c>
      <c r="G613" s="23">
        <v>0</v>
      </c>
      <c r="H613" s="23">
        <v>293.41800000000001</v>
      </c>
      <c r="I613" s="23">
        <v>0</v>
      </c>
      <c r="J613" s="23">
        <v>0</v>
      </c>
      <c r="K613" s="23">
        <v>0</v>
      </c>
    </row>
    <row r="614" spans="1:11" x14ac:dyDescent="0.25">
      <c r="A614">
        <v>613</v>
      </c>
      <c r="B614" s="23">
        <v>907.91499999999996</v>
      </c>
      <c r="C614" s="23">
        <v>864.12</v>
      </c>
      <c r="D614" s="23">
        <v>3045.7629999999999</v>
      </c>
      <c r="E614" s="23">
        <v>907.91499999999996</v>
      </c>
      <c r="F614" s="23">
        <v>-1684.559</v>
      </c>
      <c r="G614" s="23">
        <v>0</v>
      </c>
      <c r="H614" s="23">
        <v>453.28899999999999</v>
      </c>
      <c r="I614" s="23">
        <v>0</v>
      </c>
      <c r="J614" s="23">
        <v>0</v>
      </c>
      <c r="K614" s="23">
        <v>0</v>
      </c>
    </row>
    <row r="615" spans="1:11" x14ac:dyDescent="0.25">
      <c r="A615">
        <v>614</v>
      </c>
      <c r="B615" s="23">
        <v>1041.693</v>
      </c>
      <c r="C615" s="23">
        <v>730.19</v>
      </c>
      <c r="D615" s="23">
        <v>2631.8820000000001</v>
      </c>
      <c r="E615" s="23">
        <v>1041.693</v>
      </c>
      <c r="F615" s="23">
        <v>-1218.329</v>
      </c>
      <c r="G615" s="23">
        <v>0</v>
      </c>
      <c r="H615" s="23">
        <v>371.86</v>
      </c>
      <c r="I615" s="23">
        <v>0</v>
      </c>
      <c r="J615" s="23">
        <v>0</v>
      </c>
      <c r="K615" s="23">
        <v>0</v>
      </c>
    </row>
    <row r="616" spans="1:11" x14ac:dyDescent="0.25">
      <c r="A616">
        <v>615</v>
      </c>
      <c r="B616" s="23">
        <v>1029.9770000000001</v>
      </c>
      <c r="C616" s="23">
        <v>555.48</v>
      </c>
      <c r="D616" s="23">
        <v>2075.6129999999998</v>
      </c>
      <c r="E616" s="23">
        <v>1029.9770000000001</v>
      </c>
      <c r="F616" s="23">
        <v>0</v>
      </c>
      <c r="G616" s="23">
        <v>0</v>
      </c>
      <c r="H616" s="23">
        <v>1045.636</v>
      </c>
      <c r="I616" s="23">
        <v>0</v>
      </c>
      <c r="J616" s="23">
        <v>0</v>
      </c>
      <c r="K616" s="23">
        <v>0</v>
      </c>
    </row>
    <row r="617" spans="1:11" x14ac:dyDescent="0.25">
      <c r="A617">
        <v>616</v>
      </c>
      <c r="B617" s="23">
        <v>1033.4860000000001</v>
      </c>
      <c r="C617" s="23">
        <v>307.94</v>
      </c>
      <c r="D617" s="23">
        <v>1184.9010000000001</v>
      </c>
      <c r="E617" s="23">
        <v>1033.4860000000001</v>
      </c>
      <c r="F617" s="23">
        <v>0</v>
      </c>
      <c r="G617" s="23">
        <v>0</v>
      </c>
      <c r="H617" s="23">
        <v>151.41499999999999</v>
      </c>
      <c r="I617" s="23">
        <v>0</v>
      </c>
      <c r="J617" s="23">
        <v>0</v>
      </c>
      <c r="K617" s="23">
        <v>0</v>
      </c>
    </row>
    <row r="618" spans="1:11" x14ac:dyDescent="0.25">
      <c r="A618">
        <v>617</v>
      </c>
      <c r="B618" s="23">
        <v>1376.376</v>
      </c>
      <c r="C618" s="23">
        <v>275.51</v>
      </c>
      <c r="D618" s="23">
        <v>1057.2139999999999</v>
      </c>
      <c r="E618" s="23">
        <v>1057.2139999999999</v>
      </c>
      <c r="F618" s="23">
        <v>0</v>
      </c>
      <c r="G618" s="23">
        <v>0</v>
      </c>
      <c r="H618" s="23">
        <v>0</v>
      </c>
      <c r="I618" s="23">
        <v>319.16199999999998</v>
      </c>
      <c r="J618" s="23">
        <v>0</v>
      </c>
      <c r="K618" s="23">
        <v>0</v>
      </c>
    </row>
    <row r="619" spans="1:11" x14ac:dyDescent="0.25">
      <c r="A619">
        <v>618</v>
      </c>
      <c r="B619" s="23">
        <v>1168.4459999999999</v>
      </c>
      <c r="C619" s="23">
        <v>70.959999999999994</v>
      </c>
      <c r="D619" s="23">
        <v>195.488</v>
      </c>
      <c r="E619" s="23">
        <v>195.488</v>
      </c>
      <c r="F619" s="23">
        <v>0</v>
      </c>
      <c r="G619" s="23">
        <v>0</v>
      </c>
      <c r="H619" s="23">
        <v>0</v>
      </c>
      <c r="I619" s="23">
        <v>972.95799999999997</v>
      </c>
      <c r="J619" s="23">
        <v>0</v>
      </c>
      <c r="K619" s="23">
        <v>0</v>
      </c>
    </row>
    <row r="620" spans="1:11" x14ac:dyDescent="0.25">
      <c r="A620">
        <v>619</v>
      </c>
      <c r="B620" s="23">
        <v>1198.4000000000001</v>
      </c>
      <c r="C620" s="23">
        <v>0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3">
        <v>674.08399999999995</v>
      </c>
      <c r="J620" s="23">
        <v>0</v>
      </c>
      <c r="K620" s="23">
        <v>524.31600000000003</v>
      </c>
    </row>
    <row r="621" spans="1:11" x14ac:dyDescent="0.25">
      <c r="A621">
        <v>620</v>
      </c>
      <c r="B621" s="23">
        <v>1109.5999999999999</v>
      </c>
      <c r="C621" s="23">
        <v>0</v>
      </c>
      <c r="D621" s="23">
        <v>0</v>
      </c>
      <c r="E621" s="23">
        <v>0</v>
      </c>
      <c r="F621" s="23">
        <v>0</v>
      </c>
      <c r="G621" s="23">
        <v>0</v>
      </c>
      <c r="H621" s="23">
        <v>0</v>
      </c>
      <c r="I621" s="23">
        <v>0</v>
      </c>
      <c r="J621" s="23">
        <v>0</v>
      </c>
      <c r="K621" s="23">
        <v>1109.5999999999999</v>
      </c>
    </row>
    <row r="622" spans="1:11" x14ac:dyDescent="0.25">
      <c r="A622">
        <v>621</v>
      </c>
      <c r="B622" s="23">
        <v>1098.4000000000001</v>
      </c>
      <c r="C622" s="23">
        <v>0</v>
      </c>
      <c r="D622" s="23">
        <v>0</v>
      </c>
      <c r="E622" s="23">
        <v>0</v>
      </c>
      <c r="F622" s="23">
        <v>0</v>
      </c>
      <c r="G622" s="23">
        <v>0</v>
      </c>
      <c r="H622" s="23">
        <v>0</v>
      </c>
      <c r="I622" s="23">
        <v>0</v>
      </c>
      <c r="J622" s="23">
        <v>0</v>
      </c>
      <c r="K622" s="23">
        <v>1098.4000000000001</v>
      </c>
    </row>
    <row r="623" spans="1:11" x14ac:dyDescent="0.25">
      <c r="A623">
        <v>622</v>
      </c>
      <c r="B623" s="23">
        <v>1179.2</v>
      </c>
      <c r="C623" s="23">
        <v>0</v>
      </c>
      <c r="D623" s="23">
        <v>0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1179.2</v>
      </c>
    </row>
    <row r="624" spans="1:11" x14ac:dyDescent="0.25">
      <c r="A624">
        <v>623</v>
      </c>
      <c r="B624" s="23">
        <v>1169.5999999999999</v>
      </c>
      <c r="C624" s="23">
        <v>0</v>
      </c>
      <c r="D624" s="23">
        <v>0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1169.5999999999999</v>
      </c>
    </row>
    <row r="625" spans="1:11" x14ac:dyDescent="0.25">
      <c r="A625">
        <v>624</v>
      </c>
      <c r="B625" s="23">
        <v>497.6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497.6</v>
      </c>
    </row>
    <row r="626" spans="1:11" x14ac:dyDescent="0.25">
      <c r="A626">
        <v>625</v>
      </c>
      <c r="B626" s="23">
        <v>369.6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369.6</v>
      </c>
      <c r="J626" s="23">
        <v>0</v>
      </c>
      <c r="K626" s="23">
        <v>0</v>
      </c>
    </row>
    <row r="627" spans="1:11" x14ac:dyDescent="0.25">
      <c r="A627">
        <v>626</v>
      </c>
      <c r="B627" s="23">
        <v>342.4</v>
      </c>
      <c r="C627" s="23">
        <v>0</v>
      </c>
      <c r="D627" s="23">
        <v>0</v>
      </c>
      <c r="E627" s="23">
        <v>0</v>
      </c>
      <c r="F627" s="23">
        <v>0</v>
      </c>
      <c r="G627" s="23">
        <v>0</v>
      </c>
      <c r="H627" s="23">
        <v>0</v>
      </c>
      <c r="I627" s="23">
        <v>342.4</v>
      </c>
      <c r="J627" s="23">
        <v>0</v>
      </c>
      <c r="K627" s="23">
        <v>0</v>
      </c>
    </row>
    <row r="628" spans="1:11" x14ac:dyDescent="0.25">
      <c r="A628">
        <v>627</v>
      </c>
      <c r="B628" s="23">
        <v>378.4</v>
      </c>
      <c r="C628" s="23">
        <v>0</v>
      </c>
      <c r="D628" s="23">
        <v>0</v>
      </c>
      <c r="E628" s="23">
        <v>0</v>
      </c>
      <c r="F628" s="23">
        <v>0</v>
      </c>
      <c r="G628" s="23">
        <v>0</v>
      </c>
      <c r="H628" s="23">
        <v>0</v>
      </c>
      <c r="I628" s="23">
        <v>378.4</v>
      </c>
      <c r="J628" s="23">
        <v>0</v>
      </c>
      <c r="K628" s="23">
        <v>0</v>
      </c>
    </row>
    <row r="629" spans="1:11" x14ac:dyDescent="0.25">
      <c r="A629">
        <v>628</v>
      </c>
      <c r="B629" s="23">
        <v>387.2</v>
      </c>
      <c r="C629" s="23">
        <v>0</v>
      </c>
      <c r="D629" s="23">
        <v>0</v>
      </c>
      <c r="E629" s="23">
        <v>0</v>
      </c>
      <c r="F629" s="23">
        <v>0</v>
      </c>
      <c r="G629" s="23">
        <v>0</v>
      </c>
      <c r="H629" s="23">
        <v>0</v>
      </c>
      <c r="I629" s="23">
        <v>387.2</v>
      </c>
      <c r="J629" s="23">
        <v>0</v>
      </c>
      <c r="K629" s="23">
        <v>0</v>
      </c>
    </row>
    <row r="630" spans="1:11" x14ac:dyDescent="0.25">
      <c r="A630">
        <v>629</v>
      </c>
      <c r="B630" s="23">
        <v>368.8</v>
      </c>
      <c r="C630" s="23">
        <v>0</v>
      </c>
      <c r="D630" s="23">
        <v>0</v>
      </c>
      <c r="E630" s="23">
        <v>0</v>
      </c>
      <c r="F630" s="23">
        <v>0</v>
      </c>
      <c r="G630" s="23">
        <v>0</v>
      </c>
      <c r="H630" s="23">
        <v>0</v>
      </c>
      <c r="I630" s="23">
        <v>0</v>
      </c>
      <c r="J630" s="23">
        <v>0</v>
      </c>
      <c r="K630" s="23">
        <v>368.8</v>
      </c>
    </row>
    <row r="631" spans="1:11" x14ac:dyDescent="0.25">
      <c r="A631">
        <v>630</v>
      </c>
      <c r="B631" s="23">
        <v>325.60000000000002</v>
      </c>
      <c r="C631" s="23">
        <v>0</v>
      </c>
      <c r="D631" s="23">
        <v>0</v>
      </c>
      <c r="E631" s="23">
        <v>0</v>
      </c>
      <c r="F631" s="23">
        <v>0</v>
      </c>
      <c r="G631" s="23">
        <v>0</v>
      </c>
      <c r="H631" s="23">
        <v>0</v>
      </c>
      <c r="I631" s="23">
        <v>0</v>
      </c>
      <c r="J631" s="23">
        <v>0</v>
      </c>
      <c r="K631" s="23">
        <v>325.60000000000002</v>
      </c>
    </row>
    <row r="632" spans="1:11" x14ac:dyDescent="0.25">
      <c r="A632">
        <v>631</v>
      </c>
      <c r="B632" s="23">
        <v>335.2</v>
      </c>
      <c r="C632" s="23">
        <v>37.26</v>
      </c>
      <c r="D632" s="23">
        <v>56.466999999999999</v>
      </c>
      <c r="E632" s="23">
        <v>56.466999999999999</v>
      </c>
      <c r="F632" s="23">
        <v>0</v>
      </c>
      <c r="G632" s="23">
        <v>0</v>
      </c>
      <c r="H632" s="23">
        <v>0</v>
      </c>
      <c r="I632" s="23">
        <v>0</v>
      </c>
      <c r="J632" s="23">
        <v>0</v>
      </c>
      <c r="K632" s="23">
        <v>278.733</v>
      </c>
    </row>
    <row r="633" spans="1:11" x14ac:dyDescent="0.25">
      <c r="A633">
        <v>632</v>
      </c>
      <c r="B633" s="23">
        <v>281.27999999999997</v>
      </c>
      <c r="C633" s="23">
        <v>276.08</v>
      </c>
      <c r="D633" s="23">
        <v>1054.011</v>
      </c>
      <c r="E633" s="23">
        <v>281.27999999999997</v>
      </c>
      <c r="F633" s="23">
        <v>-772.73099999999999</v>
      </c>
      <c r="G633" s="23">
        <v>0</v>
      </c>
      <c r="H633" s="23">
        <v>0</v>
      </c>
      <c r="I633" s="23">
        <v>0</v>
      </c>
      <c r="J633" s="23">
        <v>0</v>
      </c>
      <c r="K633" s="23">
        <v>0</v>
      </c>
    </row>
    <row r="634" spans="1:11" x14ac:dyDescent="0.25">
      <c r="A634">
        <v>633</v>
      </c>
      <c r="B634" s="23">
        <v>812.40200000000004</v>
      </c>
      <c r="C634" s="23">
        <v>514.96</v>
      </c>
      <c r="D634" s="23">
        <v>2072.4250000000002</v>
      </c>
      <c r="E634" s="23">
        <v>812.40200000000004</v>
      </c>
      <c r="F634" s="23">
        <v>-1260.0229999999999</v>
      </c>
      <c r="G634" s="23">
        <v>0</v>
      </c>
      <c r="H634" s="23">
        <v>0</v>
      </c>
      <c r="I634" s="23">
        <v>0</v>
      </c>
      <c r="J634" s="23">
        <v>0</v>
      </c>
      <c r="K634" s="23">
        <v>0</v>
      </c>
    </row>
    <row r="635" spans="1:11" x14ac:dyDescent="0.25">
      <c r="A635">
        <v>634</v>
      </c>
      <c r="B635" s="23">
        <v>1193.029</v>
      </c>
      <c r="C635" s="23">
        <v>741.39</v>
      </c>
      <c r="D635" s="23">
        <v>2859.114</v>
      </c>
      <c r="E635" s="23">
        <v>1193.029</v>
      </c>
      <c r="F635" s="23">
        <v>-1666.085</v>
      </c>
      <c r="G635" s="23">
        <v>0</v>
      </c>
      <c r="H635" s="23">
        <v>0</v>
      </c>
      <c r="I635" s="23">
        <v>0</v>
      </c>
      <c r="J635" s="23">
        <v>0</v>
      </c>
      <c r="K635" s="23">
        <v>0</v>
      </c>
    </row>
    <row r="636" spans="1:11" x14ac:dyDescent="0.25">
      <c r="A636">
        <v>635</v>
      </c>
      <c r="B636" s="23">
        <v>997.38800000000003</v>
      </c>
      <c r="C636" s="23">
        <v>780.25</v>
      </c>
      <c r="D636" s="23">
        <v>2919.8009999999999</v>
      </c>
      <c r="E636" s="23">
        <v>997.38800000000003</v>
      </c>
      <c r="F636" s="23">
        <v>-1684.559</v>
      </c>
      <c r="G636" s="23">
        <v>0</v>
      </c>
      <c r="H636" s="23">
        <v>237.85400000000001</v>
      </c>
      <c r="I636" s="23">
        <v>0</v>
      </c>
      <c r="J636" s="23">
        <v>0</v>
      </c>
      <c r="K636" s="23">
        <v>0</v>
      </c>
    </row>
    <row r="637" spans="1:11" x14ac:dyDescent="0.25">
      <c r="A637">
        <v>636</v>
      </c>
      <c r="B637" s="23">
        <v>1238.6099999999999</v>
      </c>
      <c r="C637" s="23">
        <v>970.09</v>
      </c>
      <c r="D637" s="23">
        <v>3520.3420000000001</v>
      </c>
      <c r="E637" s="23">
        <v>1238.6110000000001</v>
      </c>
      <c r="F637" s="23">
        <v>-1684.559</v>
      </c>
      <c r="G637" s="23">
        <v>0</v>
      </c>
      <c r="H637" s="23">
        <v>597.17200000000003</v>
      </c>
      <c r="I637" s="23">
        <v>0</v>
      </c>
      <c r="J637" s="23">
        <v>0</v>
      </c>
      <c r="K637" s="23">
        <v>0</v>
      </c>
    </row>
    <row r="638" spans="1:11" x14ac:dyDescent="0.25">
      <c r="A638">
        <v>637</v>
      </c>
      <c r="B638" s="23">
        <v>1158.511</v>
      </c>
      <c r="C638" s="23">
        <v>963.97</v>
      </c>
      <c r="D638" s="23">
        <v>3486.32</v>
      </c>
      <c r="E638" s="23">
        <v>1158.511</v>
      </c>
      <c r="F638" s="23">
        <v>-223.54</v>
      </c>
      <c r="G638" s="23">
        <v>0</v>
      </c>
      <c r="H638" s="23">
        <v>2104.2689999999998</v>
      </c>
      <c r="I638" s="23">
        <v>0</v>
      </c>
      <c r="J638" s="23">
        <v>0</v>
      </c>
      <c r="K638" s="23">
        <v>0</v>
      </c>
    </row>
    <row r="639" spans="1:11" x14ac:dyDescent="0.25">
      <c r="A639">
        <v>638</v>
      </c>
      <c r="B639" s="23">
        <v>1234.8630000000001</v>
      </c>
      <c r="C639" s="23">
        <v>906.88</v>
      </c>
      <c r="D639" s="23">
        <v>3321.6559999999999</v>
      </c>
      <c r="E639" s="23">
        <v>1234.8630000000001</v>
      </c>
      <c r="F639" s="23">
        <v>0</v>
      </c>
      <c r="G639" s="23">
        <v>0</v>
      </c>
      <c r="H639" s="23">
        <v>2086.7930000000001</v>
      </c>
      <c r="I639" s="23">
        <v>0</v>
      </c>
      <c r="J639" s="23">
        <v>0</v>
      </c>
      <c r="K639" s="23">
        <v>0</v>
      </c>
    </row>
    <row r="640" spans="1:11" x14ac:dyDescent="0.25">
      <c r="A640">
        <v>639</v>
      </c>
      <c r="B640" s="23">
        <v>1047.104</v>
      </c>
      <c r="C640" s="23">
        <v>541.27</v>
      </c>
      <c r="D640" s="23">
        <v>2066.335</v>
      </c>
      <c r="E640" s="23">
        <v>1047.104</v>
      </c>
      <c r="F640" s="23">
        <v>0</v>
      </c>
      <c r="G640" s="23">
        <v>0</v>
      </c>
      <c r="H640" s="23">
        <v>1019.231</v>
      </c>
      <c r="I640" s="23">
        <v>0</v>
      </c>
      <c r="J640" s="23">
        <v>0</v>
      </c>
      <c r="K640" s="23">
        <v>0</v>
      </c>
    </row>
    <row r="641" spans="1:11" x14ac:dyDescent="0.25">
      <c r="A641">
        <v>640</v>
      </c>
      <c r="B641" s="23">
        <v>1281.6610000000001</v>
      </c>
      <c r="C641" s="23">
        <v>459.77</v>
      </c>
      <c r="D641" s="23">
        <v>1799.2139999999999</v>
      </c>
      <c r="E641" s="23">
        <v>1281.6610000000001</v>
      </c>
      <c r="F641" s="23">
        <v>0</v>
      </c>
      <c r="G641" s="23">
        <v>0</v>
      </c>
      <c r="H641" s="23">
        <v>517.553</v>
      </c>
      <c r="I641" s="23">
        <v>0</v>
      </c>
      <c r="J641" s="23">
        <v>0</v>
      </c>
      <c r="K641" s="23">
        <v>0</v>
      </c>
    </row>
    <row r="642" spans="1:11" x14ac:dyDescent="0.25">
      <c r="A642">
        <v>641</v>
      </c>
      <c r="B642" s="23">
        <v>1055.1690000000001</v>
      </c>
      <c r="C642" s="23">
        <v>280.95</v>
      </c>
      <c r="D642" s="23">
        <v>1080.672</v>
      </c>
      <c r="E642" s="23">
        <v>1055.1690000000001</v>
      </c>
      <c r="F642" s="23">
        <v>0</v>
      </c>
      <c r="G642" s="23">
        <v>0</v>
      </c>
      <c r="H642" s="23">
        <v>25.503</v>
      </c>
      <c r="I642" s="23">
        <v>0</v>
      </c>
      <c r="J642" s="23">
        <v>0</v>
      </c>
      <c r="K642" s="23">
        <v>0</v>
      </c>
    </row>
    <row r="643" spans="1:11" x14ac:dyDescent="0.25">
      <c r="A643">
        <v>642</v>
      </c>
      <c r="B643" s="23">
        <v>1044.0909999999999</v>
      </c>
      <c r="C643" s="23">
        <v>62.59</v>
      </c>
      <c r="D643" s="23">
        <v>175.93</v>
      </c>
      <c r="E643" s="23">
        <v>175.93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868.16099999999994</v>
      </c>
    </row>
    <row r="644" spans="1:11" x14ac:dyDescent="0.25">
      <c r="A644">
        <v>643</v>
      </c>
      <c r="B644" s="23">
        <v>1088.3230000000001</v>
      </c>
      <c r="C644" s="23">
        <v>0</v>
      </c>
      <c r="D644" s="23">
        <v>0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1088.3230000000001</v>
      </c>
    </row>
    <row r="645" spans="1:11" x14ac:dyDescent="0.25">
      <c r="A645">
        <v>644</v>
      </c>
      <c r="B645" s="23">
        <v>898.4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898.4</v>
      </c>
    </row>
    <row r="646" spans="1:11" x14ac:dyDescent="0.25">
      <c r="A646">
        <v>645</v>
      </c>
      <c r="B646" s="23">
        <v>270.39999999999998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270.39999999999998</v>
      </c>
    </row>
    <row r="647" spans="1:11" x14ac:dyDescent="0.25">
      <c r="A647">
        <v>646</v>
      </c>
      <c r="B647" s="23">
        <v>91.2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91.2</v>
      </c>
    </row>
    <row r="648" spans="1:11" x14ac:dyDescent="0.25">
      <c r="A648">
        <v>647</v>
      </c>
      <c r="B648" s="23">
        <v>94.4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94.4</v>
      </c>
    </row>
    <row r="649" spans="1:11" x14ac:dyDescent="0.25">
      <c r="A649">
        <v>648</v>
      </c>
      <c r="B649" s="23">
        <v>91.2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91.2</v>
      </c>
    </row>
    <row r="650" spans="1:11" x14ac:dyDescent="0.25">
      <c r="A650">
        <v>649</v>
      </c>
      <c r="B650" s="23">
        <v>96</v>
      </c>
      <c r="C650" s="23">
        <v>0</v>
      </c>
      <c r="D650" s="23">
        <v>0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0</v>
      </c>
      <c r="K650" s="23">
        <v>96</v>
      </c>
    </row>
    <row r="651" spans="1:11" x14ac:dyDescent="0.25">
      <c r="A651">
        <v>650</v>
      </c>
      <c r="B651" s="23">
        <v>88</v>
      </c>
      <c r="C651" s="23">
        <v>0</v>
      </c>
      <c r="D651" s="23">
        <v>0</v>
      </c>
      <c r="E651" s="23">
        <v>0</v>
      </c>
      <c r="F651" s="23">
        <v>0</v>
      </c>
      <c r="G651" s="23">
        <v>0</v>
      </c>
      <c r="H651" s="23">
        <v>0</v>
      </c>
      <c r="I651" s="23">
        <v>0</v>
      </c>
      <c r="J651" s="23">
        <v>0</v>
      </c>
      <c r="K651" s="23">
        <v>88</v>
      </c>
    </row>
    <row r="652" spans="1:11" x14ac:dyDescent="0.25">
      <c r="A652">
        <v>651</v>
      </c>
      <c r="B652" s="23">
        <v>94.4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94.4</v>
      </c>
    </row>
    <row r="653" spans="1:11" x14ac:dyDescent="0.25">
      <c r="A653">
        <v>652</v>
      </c>
      <c r="B653" s="23">
        <v>85.6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85.6</v>
      </c>
    </row>
    <row r="654" spans="1:11" x14ac:dyDescent="0.25">
      <c r="A654">
        <v>653</v>
      </c>
      <c r="B654" s="23">
        <v>95.2</v>
      </c>
      <c r="C654" s="23">
        <v>0</v>
      </c>
      <c r="D654" s="23">
        <v>0</v>
      </c>
      <c r="E654" s="23">
        <v>0</v>
      </c>
      <c r="F654" s="23">
        <v>0</v>
      </c>
      <c r="G654" s="23">
        <v>0</v>
      </c>
      <c r="H654" s="23">
        <v>0</v>
      </c>
      <c r="I654" s="23">
        <v>0</v>
      </c>
      <c r="J654" s="23">
        <v>0</v>
      </c>
      <c r="K654" s="23">
        <v>95.2</v>
      </c>
    </row>
    <row r="655" spans="1:11" x14ac:dyDescent="0.25">
      <c r="A655">
        <v>654</v>
      </c>
      <c r="B655" s="23">
        <v>88</v>
      </c>
      <c r="C655" s="23">
        <v>0</v>
      </c>
      <c r="D655" s="23">
        <v>0</v>
      </c>
      <c r="E655" s="23">
        <v>0</v>
      </c>
      <c r="F655" s="23">
        <v>0</v>
      </c>
      <c r="G655" s="23">
        <v>0</v>
      </c>
      <c r="H655" s="23">
        <v>0</v>
      </c>
      <c r="I655" s="23">
        <v>0</v>
      </c>
      <c r="J655" s="23">
        <v>0</v>
      </c>
      <c r="K655" s="23">
        <v>88</v>
      </c>
    </row>
    <row r="656" spans="1:11" x14ac:dyDescent="0.25">
      <c r="A656">
        <v>655</v>
      </c>
      <c r="B656" s="23">
        <v>93.6</v>
      </c>
      <c r="C656" s="23">
        <v>33.47</v>
      </c>
      <c r="D656" s="23">
        <v>50.051000000000002</v>
      </c>
      <c r="E656" s="23">
        <v>50.051000000000002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43.548999999999999</v>
      </c>
    </row>
    <row r="657" spans="1:11" x14ac:dyDescent="0.25">
      <c r="A657">
        <v>656</v>
      </c>
      <c r="B657" s="23">
        <v>77.075999999999993</v>
      </c>
      <c r="C657" s="23">
        <v>267.48</v>
      </c>
      <c r="D657" s="23">
        <v>1021.415</v>
      </c>
      <c r="E657" s="23">
        <v>77.075999999999993</v>
      </c>
      <c r="F657" s="23">
        <v>-944.33900000000006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pans="1:11" x14ac:dyDescent="0.25">
      <c r="A658">
        <v>657</v>
      </c>
      <c r="B658" s="23">
        <v>83.396000000000001</v>
      </c>
      <c r="C658" s="23">
        <v>374.02</v>
      </c>
      <c r="D658" s="23">
        <v>1481.664</v>
      </c>
      <c r="E658" s="23">
        <v>83.396000000000001</v>
      </c>
      <c r="F658" s="23">
        <v>-1398.268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pans="1:11" x14ac:dyDescent="0.25">
      <c r="A659">
        <v>658</v>
      </c>
      <c r="B659" s="23">
        <v>78.900999999999996</v>
      </c>
      <c r="C659" s="23">
        <v>737.64</v>
      </c>
      <c r="D659" s="23">
        <v>2778.4090000000001</v>
      </c>
      <c r="E659" s="23">
        <v>78.900999999999996</v>
      </c>
      <c r="F659" s="23">
        <v>-1684.559</v>
      </c>
      <c r="G659" s="23">
        <v>0</v>
      </c>
      <c r="H659" s="23">
        <v>1014.949</v>
      </c>
      <c r="I659" s="23">
        <v>0</v>
      </c>
      <c r="J659" s="23">
        <v>0</v>
      </c>
      <c r="K659" s="23">
        <v>0</v>
      </c>
    </row>
    <row r="660" spans="1:11" x14ac:dyDescent="0.25">
      <c r="A660">
        <v>659</v>
      </c>
      <c r="B660" s="23">
        <v>86.02</v>
      </c>
      <c r="C660" s="23">
        <v>892.64</v>
      </c>
      <c r="D660" s="23">
        <v>3217.99</v>
      </c>
      <c r="E660" s="23">
        <v>86.02</v>
      </c>
      <c r="F660" s="23">
        <v>-416.42399999999998</v>
      </c>
      <c r="G660" s="23">
        <v>0</v>
      </c>
      <c r="H660" s="23">
        <v>2715.5459999999998</v>
      </c>
      <c r="I660" s="23">
        <v>0</v>
      </c>
      <c r="J660" s="23">
        <v>0</v>
      </c>
      <c r="K660" s="23">
        <v>0</v>
      </c>
    </row>
    <row r="661" spans="1:11" x14ac:dyDescent="0.25">
      <c r="A661">
        <v>660</v>
      </c>
      <c r="B661" s="23">
        <v>80.474999999999994</v>
      </c>
      <c r="C661" s="23">
        <v>981.44</v>
      </c>
      <c r="D661" s="23">
        <v>3454.623</v>
      </c>
      <c r="E661" s="23">
        <v>80.474999999999994</v>
      </c>
      <c r="F661" s="23">
        <v>0</v>
      </c>
      <c r="G661" s="23">
        <v>0</v>
      </c>
      <c r="H661" s="23">
        <v>3374.1480000000001</v>
      </c>
      <c r="I661" s="23">
        <v>0</v>
      </c>
      <c r="J661" s="23">
        <v>0</v>
      </c>
      <c r="K661" s="23">
        <v>0</v>
      </c>
    </row>
    <row r="662" spans="1:11" x14ac:dyDescent="0.25">
      <c r="A662">
        <v>661</v>
      </c>
      <c r="B662" s="23">
        <v>88.61</v>
      </c>
      <c r="C662" s="23">
        <v>987.83</v>
      </c>
      <c r="D662" s="23">
        <v>3460.1190000000001</v>
      </c>
      <c r="E662" s="23">
        <v>88.61</v>
      </c>
      <c r="F662" s="23">
        <v>0</v>
      </c>
      <c r="G662" s="23">
        <v>0</v>
      </c>
      <c r="H662" s="23">
        <v>3371.509</v>
      </c>
      <c r="I662" s="23">
        <v>0</v>
      </c>
      <c r="J662" s="23">
        <v>0</v>
      </c>
      <c r="K662" s="23">
        <v>0</v>
      </c>
    </row>
    <row r="663" spans="1:11" x14ac:dyDescent="0.25">
      <c r="A663">
        <v>662</v>
      </c>
      <c r="B663" s="23">
        <v>80.760999999999996</v>
      </c>
      <c r="C663" s="23">
        <v>912.69</v>
      </c>
      <c r="D663" s="23">
        <v>3243.86</v>
      </c>
      <c r="E663" s="23">
        <v>80.760999999999996</v>
      </c>
      <c r="F663" s="23">
        <v>0</v>
      </c>
      <c r="G663" s="23">
        <v>0</v>
      </c>
      <c r="H663" s="23">
        <v>3163.0990000000002</v>
      </c>
      <c r="I663" s="23">
        <v>0</v>
      </c>
      <c r="J663" s="23">
        <v>0</v>
      </c>
      <c r="K663" s="23">
        <v>0</v>
      </c>
    </row>
    <row r="664" spans="1:11" x14ac:dyDescent="0.25">
      <c r="A664">
        <v>663</v>
      </c>
      <c r="B664" s="23">
        <v>95.361999999999995</v>
      </c>
      <c r="C664" s="23">
        <v>767.22</v>
      </c>
      <c r="D664" s="23">
        <v>2837.3090000000002</v>
      </c>
      <c r="E664" s="23">
        <v>95.361999999999995</v>
      </c>
      <c r="F664" s="23">
        <v>0</v>
      </c>
      <c r="G664" s="23">
        <v>0</v>
      </c>
      <c r="H664" s="23">
        <v>2741.9470000000001</v>
      </c>
      <c r="I664" s="23">
        <v>0</v>
      </c>
      <c r="J664" s="23">
        <v>0</v>
      </c>
      <c r="K664" s="23">
        <v>0</v>
      </c>
    </row>
    <row r="665" spans="1:11" x14ac:dyDescent="0.25">
      <c r="A665">
        <v>664</v>
      </c>
      <c r="B665" s="23">
        <v>84.557000000000002</v>
      </c>
      <c r="C665" s="23">
        <v>417.68</v>
      </c>
      <c r="D665" s="23">
        <v>1617.451</v>
      </c>
      <c r="E665" s="23">
        <v>84.557000000000002</v>
      </c>
      <c r="F665" s="23">
        <v>0</v>
      </c>
      <c r="G665" s="23">
        <v>0</v>
      </c>
      <c r="H665" s="23">
        <v>1532.894</v>
      </c>
      <c r="I665" s="23">
        <v>0</v>
      </c>
      <c r="J665" s="23">
        <v>0</v>
      </c>
      <c r="K665" s="23">
        <v>0</v>
      </c>
    </row>
    <row r="666" spans="1:11" x14ac:dyDescent="0.25">
      <c r="A666">
        <v>665</v>
      </c>
      <c r="B666" s="23">
        <v>90.093000000000004</v>
      </c>
      <c r="C666" s="23">
        <v>312.19</v>
      </c>
      <c r="D666" s="23">
        <v>1201.68</v>
      </c>
      <c r="E666" s="23">
        <v>90.093000000000004</v>
      </c>
      <c r="F666" s="23">
        <v>0</v>
      </c>
      <c r="G666" s="23">
        <v>0</v>
      </c>
      <c r="H666" s="23">
        <v>1111.587</v>
      </c>
      <c r="I666" s="23">
        <v>0</v>
      </c>
      <c r="J666" s="23">
        <v>0</v>
      </c>
      <c r="K666" s="23">
        <v>0</v>
      </c>
    </row>
    <row r="667" spans="1:11" x14ac:dyDescent="0.25">
      <c r="A667">
        <v>666</v>
      </c>
      <c r="B667" s="23">
        <v>80.774000000000001</v>
      </c>
      <c r="C667" s="23">
        <v>72.290000000000006</v>
      </c>
      <c r="D667" s="23">
        <v>203.00899999999999</v>
      </c>
      <c r="E667" s="23">
        <v>80.774000000000001</v>
      </c>
      <c r="F667" s="23">
        <v>0</v>
      </c>
      <c r="G667" s="23">
        <v>0</v>
      </c>
      <c r="H667" s="23">
        <v>122.235</v>
      </c>
      <c r="I667" s="23">
        <v>0</v>
      </c>
      <c r="J667" s="23">
        <v>0</v>
      </c>
      <c r="K667" s="23">
        <v>0</v>
      </c>
    </row>
    <row r="668" spans="1:11" x14ac:dyDescent="0.25">
      <c r="A668">
        <v>667</v>
      </c>
      <c r="B668" s="23">
        <v>96.805000000000007</v>
      </c>
      <c r="C668" s="23">
        <v>0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96.805000000000007</v>
      </c>
    </row>
    <row r="669" spans="1:11" x14ac:dyDescent="0.25">
      <c r="A669">
        <v>668</v>
      </c>
      <c r="B669" s="23">
        <v>86.4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86.4</v>
      </c>
    </row>
    <row r="670" spans="1:11" x14ac:dyDescent="0.25">
      <c r="A670">
        <v>669</v>
      </c>
      <c r="B670" s="23">
        <v>93.6</v>
      </c>
      <c r="C670" s="23">
        <v>0</v>
      </c>
      <c r="D670" s="23">
        <v>0</v>
      </c>
      <c r="E670" s="23">
        <v>0</v>
      </c>
      <c r="F670" s="23">
        <v>0</v>
      </c>
      <c r="G670" s="23">
        <v>0</v>
      </c>
      <c r="H670" s="23">
        <v>0</v>
      </c>
      <c r="I670" s="23">
        <v>0</v>
      </c>
      <c r="J670" s="23">
        <v>0</v>
      </c>
      <c r="K670" s="23">
        <v>93.6</v>
      </c>
    </row>
    <row r="671" spans="1:11" x14ac:dyDescent="0.25">
      <c r="A671">
        <v>670</v>
      </c>
      <c r="B671" s="23">
        <v>87.2</v>
      </c>
      <c r="C671" s="23">
        <v>0</v>
      </c>
      <c r="D671" s="23">
        <v>0</v>
      </c>
      <c r="E671" s="23">
        <v>0</v>
      </c>
      <c r="F671" s="23">
        <v>0</v>
      </c>
      <c r="G671" s="23">
        <v>0</v>
      </c>
      <c r="H671" s="23">
        <v>0</v>
      </c>
      <c r="I671" s="23">
        <v>0</v>
      </c>
      <c r="J671" s="23">
        <v>0</v>
      </c>
      <c r="K671" s="23">
        <v>87.2</v>
      </c>
    </row>
    <row r="672" spans="1:11" x14ac:dyDescent="0.25">
      <c r="A672">
        <v>671</v>
      </c>
      <c r="B672" s="23">
        <v>92.8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92.8</v>
      </c>
    </row>
    <row r="673" spans="1:11" x14ac:dyDescent="0.25">
      <c r="A673">
        <v>672</v>
      </c>
      <c r="B673" s="23">
        <v>87.2</v>
      </c>
      <c r="C673" s="23">
        <v>0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87.2</v>
      </c>
    </row>
    <row r="674" spans="1:11" x14ac:dyDescent="0.25">
      <c r="A674">
        <v>673</v>
      </c>
      <c r="B674" s="23">
        <v>93.6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93.6</v>
      </c>
    </row>
    <row r="675" spans="1:11" x14ac:dyDescent="0.25">
      <c r="A675">
        <v>674</v>
      </c>
      <c r="B675" s="23">
        <v>88</v>
      </c>
      <c r="C675" s="23">
        <v>0</v>
      </c>
      <c r="D675" s="23">
        <v>0</v>
      </c>
      <c r="E675" s="23">
        <v>0</v>
      </c>
      <c r="F675" s="23">
        <v>0</v>
      </c>
      <c r="G675" s="23">
        <v>0</v>
      </c>
      <c r="H675" s="23">
        <v>0</v>
      </c>
      <c r="I675" s="23">
        <v>0</v>
      </c>
      <c r="J675" s="23">
        <v>0</v>
      </c>
      <c r="K675" s="23">
        <v>88</v>
      </c>
    </row>
    <row r="676" spans="1:11" x14ac:dyDescent="0.25">
      <c r="A676">
        <v>675</v>
      </c>
      <c r="B676" s="23">
        <v>92.8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92.8</v>
      </c>
    </row>
    <row r="677" spans="1:11" x14ac:dyDescent="0.25">
      <c r="A677">
        <v>676</v>
      </c>
      <c r="B677" s="23">
        <v>87.2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87.2</v>
      </c>
    </row>
    <row r="678" spans="1:11" x14ac:dyDescent="0.25">
      <c r="A678">
        <v>677</v>
      </c>
      <c r="B678" s="23">
        <v>93.6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93.6</v>
      </c>
    </row>
    <row r="679" spans="1:11" x14ac:dyDescent="0.25">
      <c r="A679">
        <v>678</v>
      </c>
      <c r="B679" s="23">
        <v>83.2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83.2</v>
      </c>
    </row>
    <row r="680" spans="1:11" x14ac:dyDescent="0.25">
      <c r="A680">
        <v>679</v>
      </c>
      <c r="B680" s="23">
        <v>84.8</v>
      </c>
      <c r="C680" s="23">
        <v>30.91</v>
      </c>
      <c r="D680" s="23">
        <v>47.039000000000001</v>
      </c>
      <c r="E680" s="23">
        <v>47.039000000000001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37.761000000000003</v>
      </c>
    </row>
    <row r="681" spans="1:11" x14ac:dyDescent="0.25">
      <c r="A681">
        <v>680</v>
      </c>
      <c r="B681" s="23">
        <v>79.796000000000006</v>
      </c>
      <c r="C681" s="23">
        <v>261.14</v>
      </c>
      <c r="D681" s="23">
        <v>994.01100000000008</v>
      </c>
      <c r="E681" s="23">
        <v>79.796000000000006</v>
      </c>
      <c r="F681" s="23">
        <v>-914.21500000000003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pans="1:11" x14ac:dyDescent="0.25">
      <c r="A682">
        <v>681</v>
      </c>
      <c r="B682" s="23">
        <v>84.042000000000002</v>
      </c>
      <c r="C682" s="23">
        <v>514.37</v>
      </c>
      <c r="D682" s="23">
        <v>2043.559</v>
      </c>
      <c r="E682" s="23">
        <v>84.042000000000002</v>
      </c>
      <c r="F682" s="23">
        <v>-332.40800000000002</v>
      </c>
      <c r="G682" s="23">
        <v>0</v>
      </c>
      <c r="H682" s="23">
        <v>1627.1089999999999</v>
      </c>
      <c r="I682" s="23">
        <v>0</v>
      </c>
      <c r="J682" s="23">
        <v>0</v>
      </c>
      <c r="K682" s="23">
        <v>0</v>
      </c>
    </row>
    <row r="683" spans="1:11" x14ac:dyDescent="0.25">
      <c r="A683">
        <v>682</v>
      </c>
      <c r="B683" s="23">
        <v>80.506</v>
      </c>
      <c r="C683" s="23">
        <v>718.13</v>
      </c>
      <c r="D683" s="23">
        <v>2728.002</v>
      </c>
      <c r="E683" s="23">
        <v>80.506</v>
      </c>
      <c r="F683" s="23">
        <v>0</v>
      </c>
      <c r="G683" s="23">
        <v>0</v>
      </c>
      <c r="H683" s="23">
        <v>2647.4960000000001</v>
      </c>
      <c r="I683" s="23">
        <v>0</v>
      </c>
      <c r="J683" s="23">
        <v>0</v>
      </c>
      <c r="K683" s="23">
        <v>0</v>
      </c>
    </row>
    <row r="684" spans="1:11" x14ac:dyDescent="0.25">
      <c r="A684">
        <v>683</v>
      </c>
      <c r="B684" s="23">
        <v>81.183999999999997</v>
      </c>
      <c r="C684" s="23">
        <v>846.67</v>
      </c>
      <c r="D684" s="23">
        <v>3100.5360000000001</v>
      </c>
      <c r="E684" s="23">
        <v>81.183999999999997</v>
      </c>
      <c r="F684" s="23">
        <v>0</v>
      </c>
      <c r="G684" s="23">
        <v>0</v>
      </c>
      <c r="H684" s="23">
        <v>3019.3519999999999</v>
      </c>
      <c r="I684" s="23">
        <v>0</v>
      </c>
      <c r="J684" s="23">
        <v>0</v>
      </c>
      <c r="K684" s="23">
        <v>0</v>
      </c>
    </row>
    <row r="685" spans="1:11" x14ac:dyDescent="0.25">
      <c r="A685">
        <v>684</v>
      </c>
      <c r="B685" s="23">
        <v>80.078000000000003</v>
      </c>
      <c r="C685" s="23">
        <v>938.94</v>
      </c>
      <c r="D685" s="23">
        <v>3360.8589999999999</v>
      </c>
      <c r="E685" s="23">
        <v>80.078000000000003</v>
      </c>
      <c r="F685" s="23">
        <v>0</v>
      </c>
      <c r="G685" s="23">
        <v>0</v>
      </c>
      <c r="H685" s="23">
        <v>3280.7809999999999</v>
      </c>
      <c r="I685" s="23">
        <v>0</v>
      </c>
      <c r="J685" s="23">
        <v>0</v>
      </c>
      <c r="K685" s="23">
        <v>0</v>
      </c>
    </row>
    <row r="686" spans="1:11" x14ac:dyDescent="0.25">
      <c r="A686">
        <v>685</v>
      </c>
      <c r="B686" s="23">
        <v>81.515000000000001</v>
      </c>
      <c r="C686" s="23">
        <v>906.31</v>
      </c>
      <c r="D686" s="23">
        <v>3237.268</v>
      </c>
      <c r="E686" s="23">
        <v>81.515000000000001</v>
      </c>
      <c r="F686" s="23">
        <v>0</v>
      </c>
      <c r="G686" s="23">
        <v>0</v>
      </c>
      <c r="H686" s="23">
        <v>3155.7530000000002</v>
      </c>
      <c r="I686" s="23">
        <v>0</v>
      </c>
      <c r="J686" s="23">
        <v>0</v>
      </c>
      <c r="K686" s="23">
        <v>0</v>
      </c>
    </row>
    <row r="687" spans="1:11" x14ac:dyDescent="0.25">
      <c r="A687">
        <v>686</v>
      </c>
      <c r="B687" s="23">
        <v>74.649000000000001</v>
      </c>
      <c r="C687" s="23">
        <v>581.33000000000004</v>
      </c>
      <c r="D687" s="23">
        <v>2146.5540000000001</v>
      </c>
      <c r="E687" s="23">
        <v>74.649000000000001</v>
      </c>
      <c r="F687" s="23">
        <v>0</v>
      </c>
      <c r="G687" s="23">
        <v>0</v>
      </c>
      <c r="H687" s="23">
        <v>2071.9050000000002</v>
      </c>
      <c r="I687" s="23">
        <v>0</v>
      </c>
      <c r="J687" s="23">
        <v>0</v>
      </c>
      <c r="K687" s="23">
        <v>0</v>
      </c>
    </row>
    <row r="688" spans="1:11" x14ac:dyDescent="0.25">
      <c r="A688">
        <v>687</v>
      </c>
      <c r="B688" s="23">
        <v>88.307000000000002</v>
      </c>
      <c r="C688" s="23">
        <v>487.37</v>
      </c>
      <c r="D688" s="23">
        <v>1836.9649999999999</v>
      </c>
      <c r="E688" s="23">
        <v>88.307000000000002</v>
      </c>
      <c r="F688" s="23">
        <v>0</v>
      </c>
      <c r="G688" s="23">
        <v>0</v>
      </c>
      <c r="H688" s="23">
        <v>1748.6579999999999</v>
      </c>
      <c r="I688" s="23">
        <v>0</v>
      </c>
      <c r="J688" s="23">
        <v>0</v>
      </c>
      <c r="K688" s="23">
        <v>0</v>
      </c>
    </row>
    <row r="689" spans="1:11" x14ac:dyDescent="0.25">
      <c r="A689">
        <v>688</v>
      </c>
      <c r="B689" s="23">
        <v>79.066999999999993</v>
      </c>
      <c r="C689" s="23">
        <v>261.89</v>
      </c>
      <c r="D689" s="23">
        <v>1008.9349999999999</v>
      </c>
      <c r="E689" s="23">
        <v>79.066999999999993</v>
      </c>
      <c r="F689" s="23">
        <v>0</v>
      </c>
      <c r="G689" s="23">
        <v>0</v>
      </c>
      <c r="H689" s="23">
        <v>929.86800000000005</v>
      </c>
      <c r="I689" s="23">
        <v>0</v>
      </c>
      <c r="J689" s="23">
        <v>0</v>
      </c>
      <c r="K689" s="23">
        <v>0</v>
      </c>
    </row>
    <row r="690" spans="1:11" x14ac:dyDescent="0.25">
      <c r="A690">
        <v>689</v>
      </c>
      <c r="B690" s="23">
        <v>84.322999999999993</v>
      </c>
      <c r="C690" s="23">
        <v>61.57</v>
      </c>
      <c r="D690" s="23">
        <v>216.208</v>
      </c>
      <c r="E690" s="23">
        <v>84.322999999999993</v>
      </c>
      <c r="F690" s="23">
        <v>0</v>
      </c>
      <c r="G690" s="23">
        <v>0</v>
      </c>
      <c r="H690" s="23">
        <v>131.88499999999999</v>
      </c>
      <c r="I690" s="23">
        <v>0</v>
      </c>
      <c r="J690" s="23">
        <v>0</v>
      </c>
      <c r="K690" s="23">
        <v>0</v>
      </c>
    </row>
    <row r="691" spans="1:11" x14ac:dyDescent="0.25">
      <c r="A691">
        <v>690</v>
      </c>
      <c r="B691" s="23">
        <v>79.239999999999995</v>
      </c>
      <c r="C691" s="23">
        <v>53.16</v>
      </c>
      <c r="D691" s="23">
        <v>152.245</v>
      </c>
      <c r="E691" s="23">
        <v>79.239999999999995</v>
      </c>
      <c r="F691" s="23">
        <v>0</v>
      </c>
      <c r="G691" s="23">
        <v>0</v>
      </c>
      <c r="H691" s="23">
        <v>73.004999999999995</v>
      </c>
      <c r="I691" s="23">
        <v>0</v>
      </c>
      <c r="J691" s="23">
        <v>0</v>
      </c>
      <c r="K691" s="23">
        <v>0</v>
      </c>
    </row>
    <row r="692" spans="1:11" x14ac:dyDescent="0.25">
      <c r="A692">
        <v>691</v>
      </c>
      <c r="B692" s="23">
        <v>95.215000000000003</v>
      </c>
      <c r="C692" s="23">
        <v>0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95.215000000000003</v>
      </c>
    </row>
    <row r="693" spans="1:11" x14ac:dyDescent="0.25">
      <c r="A693">
        <v>692</v>
      </c>
      <c r="B693" s="23">
        <v>89.6</v>
      </c>
      <c r="C693" s="23">
        <v>0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89.6</v>
      </c>
    </row>
    <row r="694" spans="1:11" x14ac:dyDescent="0.25">
      <c r="A694">
        <v>693</v>
      </c>
      <c r="B694" s="23">
        <v>93.6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93.6</v>
      </c>
    </row>
    <row r="695" spans="1:11" x14ac:dyDescent="0.25">
      <c r="A695">
        <v>694</v>
      </c>
      <c r="B695" s="23">
        <v>87.2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87.2</v>
      </c>
    </row>
    <row r="696" spans="1:11" x14ac:dyDescent="0.25">
      <c r="A696">
        <v>695</v>
      </c>
      <c r="B696" s="23">
        <v>96.8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96.8</v>
      </c>
    </row>
    <row r="697" spans="1:11" x14ac:dyDescent="0.25">
      <c r="A697">
        <v>696</v>
      </c>
      <c r="B697" s="23">
        <v>87.2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3">
        <v>0</v>
      </c>
      <c r="J697" s="23">
        <v>0</v>
      </c>
      <c r="K697" s="23">
        <v>87.2</v>
      </c>
    </row>
    <row r="698" spans="1:11" x14ac:dyDescent="0.25">
      <c r="A698">
        <v>697</v>
      </c>
      <c r="B698" s="23">
        <v>93.6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93.6</v>
      </c>
    </row>
    <row r="699" spans="1:11" x14ac:dyDescent="0.25">
      <c r="A699">
        <v>698</v>
      </c>
      <c r="B699" s="23">
        <v>88.8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88.8</v>
      </c>
    </row>
    <row r="700" spans="1:11" x14ac:dyDescent="0.25">
      <c r="A700">
        <v>699</v>
      </c>
      <c r="B700" s="23">
        <v>87.2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87.2</v>
      </c>
    </row>
    <row r="701" spans="1:11" x14ac:dyDescent="0.25">
      <c r="A701">
        <v>700</v>
      </c>
      <c r="B701" s="23">
        <v>87.2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87.2</v>
      </c>
    </row>
    <row r="702" spans="1:11" x14ac:dyDescent="0.25">
      <c r="A702">
        <v>701</v>
      </c>
      <c r="B702" s="23">
        <v>93.6</v>
      </c>
      <c r="C702" s="23">
        <v>0</v>
      </c>
      <c r="D702" s="23">
        <v>0</v>
      </c>
      <c r="E702" s="23">
        <v>0</v>
      </c>
      <c r="F702" s="23">
        <v>0</v>
      </c>
      <c r="G702" s="23">
        <v>0</v>
      </c>
      <c r="H702" s="23">
        <v>0</v>
      </c>
      <c r="I702" s="23">
        <v>0</v>
      </c>
      <c r="J702" s="23">
        <v>0</v>
      </c>
      <c r="K702" s="23">
        <v>93.6</v>
      </c>
    </row>
    <row r="703" spans="1:11" x14ac:dyDescent="0.25">
      <c r="A703">
        <v>702</v>
      </c>
      <c r="B703" s="23">
        <v>84</v>
      </c>
      <c r="C703" s="23">
        <v>0</v>
      </c>
      <c r="D703" s="23">
        <v>0</v>
      </c>
      <c r="E703" s="23">
        <v>0</v>
      </c>
      <c r="F703" s="23">
        <v>0</v>
      </c>
      <c r="G703" s="23">
        <v>0</v>
      </c>
      <c r="H703" s="23">
        <v>0</v>
      </c>
      <c r="I703" s="23">
        <v>0</v>
      </c>
      <c r="J703" s="23">
        <v>0</v>
      </c>
      <c r="K703" s="23">
        <v>84</v>
      </c>
    </row>
    <row r="704" spans="1:11" x14ac:dyDescent="0.25">
      <c r="A704">
        <v>703</v>
      </c>
      <c r="B704" s="23">
        <v>87.2</v>
      </c>
      <c r="C704" s="23">
        <v>4.8899999999999997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87.2</v>
      </c>
    </row>
    <row r="705" spans="1:11" x14ac:dyDescent="0.25">
      <c r="A705">
        <v>704</v>
      </c>
      <c r="B705" s="23">
        <v>76.02</v>
      </c>
      <c r="C705" s="23">
        <v>61.95</v>
      </c>
      <c r="D705" s="23">
        <v>219.452</v>
      </c>
      <c r="E705" s="23">
        <v>76.02</v>
      </c>
      <c r="F705" s="23">
        <v>-143.43199999999999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pans="1:11" x14ac:dyDescent="0.25">
      <c r="A706">
        <v>705</v>
      </c>
      <c r="B706" s="23">
        <v>84.507000000000005</v>
      </c>
      <c r="C706" s="23">
        <v>452.81</v>
      </c>
      <c r="D706" s="23">
        <v>1827.7439999999999</v>
      </c>
      <c r="E706" s="23">
        <v>84.507000000000005</v>
      </c>
      <c r="F706" s="23">
        <v>-1160.0039999999999</v>
      </c>
      <c r="G706" s="23">
        <v>0</v>
      </c>
      <c r="H706" s="23">
        <v>583.23299999999995</v>
      </c>
      <c r="I706" s="23">
        <v>0</v>
      </c>
      <c r="J706" s="23">
        <v>0</v>
      </c>
      <c r="K706" s="23">
        <v>0</v>
      </c>
    </row>
    <row r="707" spans="1:11" x14ac:dyDescent="0.25">
      <c r="A707">
        <v>706</v>
      </c>
      <c r="B707" s="23">
        <v>72.771000000000001</v>
      </c>
      <c r="C707" s="23">
        <v>630.48</v>
      </c>
      <c r="D707" s="23">
        <v>2473.9549999999999</v>
      </c>
      <c r="E707" s="23">
        <v>72.771000000000001</v>
      </c>
      <c r="F707" s="23">
        <v>0</v>
      </c>
      <c r="G707" s="23">
        <v>0</v>
      </c>
      <c r="H707" s="23">
        <v>2401.1840000000002</v>
      </c>
      <c r="I707" s="23">
        <v>0</v>
      </c>
      <c r="J707" s="23">
        <v>0</v>
      </c>
      <c r="K707" s="23">
        <v>0</v>
      </c>
    </row>
    <row r="708" spans="1:11" x14ac:dyDescent="0.25">
      <c r="A708">
        <v>707</v>
      </c>
      <c r="B708" s="23">
        <v>81.102000000000004</v>
      </c>
      <c r="C708" s="23">
        <v>885.69</v>
      </c>
      <c r="D708" s="23">
        <v>3378.366</v>
      </c>
      <c r="E708" s="23">
        <v>81.102000000000004</v>
      </c>
      <c r="F708" s="23">
        <v>0</v>
      </c>
      <c r="G708" s="23">
        <v>0</v>
      </c>
      <c r="H708" s="23">
        <v>3297.2640000000001</v>
      </c>
      <c r="I708" s="23">
        <v>0</v>
      </c>
      <c r="J708" s="23">
        <v>0</v>
      </c>
      <c r="K708" s="23">
        <v>0</v>
      </c>
    </row>
    <row r="709" spans="1:11" x14ac:dyDescent="0.25">
      <c r="A709">
        <v>708</v>
      </c>
      <c r="B709" s="23">
        <v>75.162999999999997</v>
      </c>
      <c r="C709" s="23">
        <v>935.02</v>
      </c>
      <c r="D709" s="23">
        <v>3502.0129999999999</v>
      </c>
      <c r="E709" s="23">
        <v>75.162999999999997</v>
      </c>
      <c r="F709" s="23">
        <v>0</v>
      </c>
      <c r="G709" s="23">
        <v>0</v>
      </c>
      <c r="H709" s="23">
        <v>3426.85</v>
      </c>
      <c r="I709" s="23">
        <v>0</v>
      </c>
      <c r="J709" s="23">
        <v>0</v>
      </c>
      <c r="K709" s="23">
        <v>0</v>
      </c>
    </row>
    <row r="710" spans="1:11" x14ac:dyDescent="0.25">
      <c r="A710">
        <v>709</v>
      </c>
      <c r="B710" s="23">
        <v>86.617000000000004</v>
      </c>
      <c r="C710" s="23">
        <v>992.8</v>
      </c>
      <c r="D710" s="23">
        <v>3672.2559999999999</v>
      </c>
      <c r="E710" s="23">
        <v>86.617000000000004</v>
      </c>
      <c r="F710" s="23">
        <v>0</v>
      </c>
      <c r="G710" s="23">
        <v>0</v>
      </c>
      <c r="H710" s="23">
        <v>3585.6390000000001</v>
      </c>
      <c r="I710" s="23">
        <v>0</v>
      </c>
      <c r="J710" s="23">
        <v>0</v>
      </c>
      <c r="K710" s="23">
        <v>0</v>
      </c>
    </row>
    <row r="711" spans="1:11" x14ac:dyDescent="0.25">
      <c r="A711">
        <v>710</v>
      </c>
      <c r="B711" s="23">
        <v>78.42</v>
      </c>
      <c r="C711" s="23">
        <v>833.11</v>
      </c>
      <c r="D711" s="23">
        <v>3107.3960000000002</v>
      </c>
      <c r="E711" s="23">
        <v>78.42</v>
      </c>
      <c r="F711" s="23">
        <v>0</v>
      </c>
      <c r="G711" s="23">
        <v>0</v>
      </c>
      <c r="H711" s="23">
        <v>3028.9760000000001</v>
      </c>
      <c r="I711" s="23">
        <v>0</v>
      </c>
      <c r="J711" s="23">
        <v>0</v>
      </c>
      <c r="K711" s="23">
        <v>0</v>
      </c>
    </row>
    <row r="712" spans="1:11" x14ac:dyDescent="0.25">
      <c r="A712">
        <v>711</v>
      </c>
      <c r="B712" s="23">
        <v>78.852999999999994</v>
      </c>
      <c r="C712" s="23">
        <v>670.66</v>
      </c>
      <c r="D712" s="23">
        <v>2552.6089999999999</v>
      </c>
      <c r="E712" s="23">
        <v>78.852999999999994</v>
      </c>
      <c r="F712" s="23">
        <v>0</v>
      </c>
      <c r="G712" s="23">
        <v>0</v>
      </c>
      <c r="H712" s="23">
        <v>2473.7559999999999</v>
      </c>
      <c r="I712" s="23">
        <v>0</v>
      </c>
      <c r="J712" s="23">
        <v>0</v>
      </c>
      <c r="K712" s="23">
        <v>0</v>
      </c>
    </row>
    <row r="713" spans="1:11" x14ac:dyDescent="0.25">
      <c r="A713">
        <v>712</v>
      </c>
      <c r="B713" s="23">
        <v>79.653000000000006</v>
      </c>
      <c r="C713" s="23">
        <v>542.49</v>
      </c>
      <c r="D713" s="23">
        <v>2123.8820000000001</v>
      </c>
      <c r="E713" s="23">
        <v>79.653000000000006</v>
      </c>
      <c r="F713" s="23">
        <v>0</v>
      </c>
      <c r="G713" s="23">
        <v>0</v>
      </c>
      <c r="H713" s="23">
        <v>2044.229</v>
      </c>
      <c r="I713" s="23">
        <v>0</v>
      </c>
      <c r="J713" s="23">
        <v>0</v>
      </c>
      <c r="K713" s="23">
        <v>0</v>
      </c>
    </row>
    <row r="714" spans="1:11" x14ac:dyDescent="0.25">
      <c r="A714">
        <v>713</v>
      </c>
      <c r="B714" s="23">
        <v>88.652000000000001</v>
      </c>
      <c r="C714" s="23">
        <v>233.88</v>
      </c>
      <c r="D714" s="23">
        <v>902.11700000000008</v>
      </c>
      <c r="E714" s="23">
        <v>88.652000000000001</v>
      </c>
      <c r="F714" s="23">
        <v>0</v>
      </c>
      <c r="G714" s="23">
        <v>0</v>
      </c>
      <c r="H714" s="23">
        <v>813.46500000000003</v>
      </c>
      <c r="I714" s="23">
        <v>0</v>
      </c>
      <c r="J714" s="23">
        <v>0</v>
      </c>
      <c r="K714" s="23">
        <v>0</v>
      </c>
    </row>
    <row r="715" spans="1:11" x14ac:dyDescent="0.25">
      <c r="A715">
        <v>714</v>
      </c>
      <c r="B715" s="23">
        <v>82.665000000000006</v>
      </c>
      <c r="C715" s="23">
        <v>74.209999999999994</v>
      </c>
      <c r="D715" s="23">
        <v>210.20500000000001</v>
      </c>
      <c r="E715" s="23">
        <v>82.665000000000006</v>
      </c>
      <c r="F715" s="23">
        <v>0</v>
      </c>
      <c r="G715" s="23">
        <v>0</v>
      </c>
      <c r="H715" s="23">
        <v>127.54</v>
      </c>
      <c r="I715" s="23">
        <v>0</v>
      </c>
      <c r="J715" s="23">
        <v>0</v>
      </c>
      <c r="K715" s="23">
        <v>0</v>
      </c>
    </row>
    <row r="716" spans="1:11" x14ac:dyDescent="0.25">
      <c r="A716">
        <v>715</v>
      </c>
      <c r="B716" s="23">
        <v>97.635999999999996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97.635999999999996</v>
      </c>
    </row>
    <row r="717" spans="1:11" x14ac:dyDescent="0.25">
      <c r="A717">
        <v>716</v>
      </c>
      <c r="B717" s="23">
        <v>88.8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88.8</v>
      </c>
    </row>
    <row r="718" spans="1:11" x14ac:dyDescent="0.25">
      <c r="A718">
        <v>717</v>
      </c>
      <c r="B718" s="23">
        <v>94.4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94.4</v>
      </c>
    </row>
    <row r="719" spans="1:11" x14ac:dyDescent="0.25">
      <c r="A719">
        <v>718</v>
      </c>
      <c r="B719" s="23">
        <v>87.2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87.2</v>
      </c>
    </row>
    <row r="720" spans="1:11" x14ac:dyDescent="0.25">
      <c r="A720">
        <v>719</v>
      </c>
      <c r="B720" s="23">
        <v>91.2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91.2</v>
      </c>
    </row>
    <row r="721" spans="1:11" x14ac:dyDescent="0.25">
      <c r="A721">
        <v>720</v>
      </c>
      <c r="B721" s="23">
        <v>84.8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84.8</v>
      </c>
    </row>
    <row r="722" spans="1:11" x14ac:dyDescent="0.25">
      <c r="A722">
        <v>721</v>
      </c>
      <c r="B722" s="23">
        <v>93.6</v>
      </c>
      <c r="C722" s="23">
        <v>0</v>
      </c>
      <c r="D722" s="23">
        <v>0</v>
      </c>
      <c r="E722" s="23">
        <v>0</v>
      </c>
      <c r="F722" s="23">
        <v>0</v>
      </c>
      <c r="G722" s="23">
        <v>0</v>
      </c>
      <c r="H722" s="23">
        <v>0</v>
      </c>
      <c r="I722" s="23">
        <v>0</v>
      </c>
      <c r="J722" s="23">
        <v>0</v>
      </c>
      <c r="K722" s="23">
        <v>93.6</v>
      </c>
    </row>
    <row r="723" spans="1:11" x14ac:dyDescent="0.25">
      <c r="A723">
        <v>722</v>
      </c>
      <c r="B723" s="23">
        <v>81.599999999999994</v>
      </c>
      <c r="C723" s="23">
        <v>0</v>
      </c>
      <c r="D723" s="23">
        <v>0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0</v>
      </c>
      <c r="K723" s="23">
        <v>81.599999999999994</v>
      </c>
    </row>
    <row r="724" spans="1:11" x14ac:dyDescent="0.25">
      <c r="A724">
        <v>723</v>
      </c>
      <c r="B724" s="23">
        <v>92.8</v>
      </c>
      <c r="C724" s="23">
        <v>0</v>
      </c>
      <c r="D724" s="23">
        <v>0</v>
      </c>
      <c r="E724" s="23">
        <v>0</v>
      </c>
      <c r="F724" s="23">
        <v>0</v>
      </c>
      <c r="G724" s="23">
        <v>0</v>
      </c>
      <c r="H724" s="23">
        <v>0</v>
      </c>
      <c r="I724" s="23">
        <v>0</v>
      </c>
      <c r="J724" s="23">
        <v>0</v>
      </c>
      <c r="K724" s="23">
        <v>92.8</v>
      </c>
    </row>
    <row r="725" spans="1:11" x14ac:dyDescent="0.25">
      <c r="A725">
        <v>724</v>
      </c>
      <c r="B725" s="23">
        <v>80</v>
      </c>
      <c r="C725" s="23">
        <v>0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80</v>
      </c>
    </row>
    <row r="726" spans="1:11" x14ac:dyDescent="0.25">
      <c r="A726">
        <v>725</v>
      </c>
      <c r="B726" s="23">
        <v>90.4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90.4</v>
      </c>
    </row>
    <row r="727" spans="1:11" x14ac:dyDescent="0.25">
      <c r="A727">
        <v>726</v>
      </c>
      <c r="B727" s="23">
        <v>80</v>
      </c>
      <c r="C727" s="23">
        <v>0</v>
      </c>
      <c r="D727" s="23">
        <v>0</v>
      </c>
      <c r="E727" s="23">
        <v>0</v>
      </c>
      <c r="F727" s="23">
        <v>0</v>
      </c>
      <c r="G727" s="23">
        <v>0</v>
      </c>
      <c r="H727" s="23">
        <v>0</v>
      </c>
      <c r="I727" s="23">
        <v>0</v>
      </c>
      <c r="J727" s="23">
        <v>0</v>
      </c>
      <c r="K727" s="23">
        <v>80</v>
      </c>
    </row>
    <row r="728" spans="1:11" x14ac:dyDescent="0.25">
      <c r="A728">
        <v>727</v>
      </c>
      <c r="B728" s="23">
        <v>86.4</v>
      </c>
      <c r="C728" s="23">
        <v>13.11</v>
      </c>
      <c r="D728" s="23">
        <v>11.685</v>
      </c>
      <c r="E728" s="23">
        <v>11.685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74.715000000000003</v>
      </c>
    </row>
    <row r="729" spans="1:11" x14ac:dyDescent="0.25">
      <c r="A729">
        <v>728</v>
      </c>
      <c r="B729" s="23">
        <v>75.453000000000003</v>
      </c>
      <c r="C729" s="23">
        <v>138.53</v>
      </c>
      <c r="D729" s="23">
        <v>529.68700000000001</v>
      </c>
      <c r="E729" s="23">
        <v>75.453000000000003</v>
      </c>
      <c r="F729" s="23">
        <v>-454.23399999999998</v>
      </c>
      <c r="G729" s="23">
        <v>0</v>
      </c>
      <c r="H729" s="23">
        <v>0</v>
      </c>
      <c r="I729" s="23">
        <v>0</v>
      </c>
      <c r="J729" s="23">
        <v>0</v>
      </c>
      <c r="K729" s="23">
        <v>0</v>
      </c>
    </row>
    <row r="730" spans="1:11" x14ac:dyDescent="0.25">
      <c r="A730">
        <v>729</v>
      </c>
      <c r="B730" s="23">
        <v>85.466999999999999</v>
      </c>
      <c r="C730" s="23">
        <v>379.57</v>
      </c>
      <c r="D730" s="23">
        <v>1503.9960000000001</v>
      </c>
      <c r="E730" s="23">
        <v>85.468000000000004</v>
      </c>
      <c r="F730" s="23">
        <v>-811.29200000000003</v>
      </c>
      <c r="G730" s="23">
        <v>0</v>
      </c>
      <c r="H730" s="23">
        <v>607.23599999999999</v>
      </c>
      <c r="I730" s="23">
        <v>0</v>
      </c>
      <c r="J730" s="23">
        <v>0</v>
      </c>
      <c r="K730" s="23">
        <v>0</v>
      </c>
    </row>
    <row r="731" spans="1:11" x14ac:dyDescent="0.25">
      <c r="A731">
        <v>730</v>
      </c>
      <c r="B731" s="23">
        <v>74.453999999999994</v>
      </c>
      <c r="C731" s="23">
        <v>608.48</v>
      </c>
      <c r="D731" s="23">
        <v>2321.0590000000002</v>
      </c>
      <c r="E731" s="23">
        <v>74.453999999999994</v>
      </c>
      <c r="F731" s="23">
        <v>0</v>
      </c>
      <c r="G731" s="23">
        <v>0</v>
      </c>
      <c r="H731" s="23">
        <v>2246.605</v>
      </c>
      <c r="I731" s="23">
        <v>0</v>
      </c>
      <c r="J731" s="23">
        <v>0</v>
      </c>
      <c r="K731" s="23">
        <v>0</v>
      </c>
    </row>
    <row r="732" spans="1:11" x14ac:dyDescent="0.25">
      <c r="A732">
        <v>731</v>
      </c>
      <c r="B732" s="23">
        <v>80.578999999999994</v>
      </c>
      <c r="C732" s="23">
        <v>882.91</v>
      </c>
      <c r="D732" s="23">
        <v>3224.6640000000002</v>
      </c>
      <c r="E732" s="23">
        <v>80.578999999999994</v>
      </c>
      <c r="F732" s="23">
        <v>0</v>
      </c>
      <c r="G732" s="23">
        <v>0</v>
      </c>
      <c r="H732" s="23">
        <v>3144.085</v>
      </c>
      <c r="I732" s="23">
        <v>0</v>
      </c>
      <c r="J732" s="23">
        <v>0</v>
      </c>
      <c r="K732" s="23">
        <v>0</v>
      </c>
    </row>
    <row r="733" spans="1:11" x14ac:dyDescent="0.25">
      <c r="A733">
        <v>732</v>
      </c>
      <c r="B733" s="23">
        <v>73.28</v>
      </c>
      <c r="C733" s="23">
        <v>818.78</v>
      </c>
      <c r="D733" s="23">
        <v>2949.51</v>
      </c>
      <c r="E733" s="23">
        <v>73.28</v>
      </c>
      <c r="F733" s="23">
        <v>0</v>
      </c>
      <c r="G733" s="23">
        <v>0</v>
      </c>
      <c r="H733" s="23">
        <v>2876.23</v>
      </c>
      <c r="I733" s="23">
        <v>0</v>
      </c>
      <c r="J733" s="23">
        <v>0</v>
      </c>
      <c r="K733" s="23">
        <v>0</v>
      </c>
    </row>
    <row r="734" spans="1:11" x14ac:dyDescent="0.25">
      <c r="A734">
        <v>733</v>
      </c>
      <c r="B734" s="23">
        <v>82.653999999999996</v>
      </c>
      <c r="C734" s="23">
        <v>871.42</v>
      </c>
      <c r="D734" s="23">
        <v>3101.4290000000001</v>
      </c>
      <c r="E734" s="23">
        <v>82.653999999999996</v>
      </c>
      <c r="F734" s="23">
        <v>0</v>
      </c>
      <c r="G734" s="23">
        <v>0</v>
      </c>
      <c r="H734" s="23">
        <v>3018.7750000000001</v>
      </c>
      <c r="I734" s="23">
        <v>0</v>
      </c>
      <c r="J734" s="23">
        <v>0</v>
      </c>
      <c r="K734" s="23">
        <v>0</v>
      </c>
    </row>
    <row r="735" spans="1:11" x14ac:dyDescent="0.25">
      <c r="A735">
        <v>734</v>
      </c>
      <c r="B735" s="23">
        <v>74.960999999999999</v>
      </c>
      <c r="C735" s="23">
        <v>498.71</v>
      </c>
      <c r="D735" s="23">
        <v>1854.606</v>
      </c>
      <c r="E735" s="23">
        <v>74.960999999999999</v>
      </c>
      <c r="F735" s="23">
        <v>0</v>
      </c>
      <c r="G735" s="23">
        <v>0</v>
      </c>
      <c r="H735" s="23">
        <v>1779.645</v>
      </c>
      <c r="I735" s="23">
        <v>0</v>
      </c>
      <c r="J735" s="23">
        <v>0</v>
      </c>
      <c r="K735" s="23">
        <v>0</v>
      </c>
    </row>
    <row r="736" spans="1:11" x14ac:dyDescent="0.25">
      <c r="A736">
        <v>735</v>
      </c>
      <c r="B736" s="23">
        <v>86.787000000000006</v>
      </c>
      <c r="C736" s="23">
        <v>372.83</v>
      </c>
      <c r="D736" s="23">
        <v>1419.799</v>
      </c>
      <c r="E736" s="23">
        <v>86.787000000000006</v>
      </c>
      <c r="F736" s="23">
        <v>0</v>
      </c>
      <c r="G736" s="23">
        <v>0</v>
      </c>
      <c r="H736" s="23">
        <v>1333.0119999999999</v>
      </c>
      <c r="I736" s="23">
        <v>0</v>
      </c>
      <c r="J736" s="23">
        <v>0</v>
      </c>
      <c r="K736" s="23">
        <v>0</v>
      </c>
    </row>
    <row r="737" spans="1:11" x14ac:dyDescent="0.25">
      <c r="A737">
        <v>736</v>
      </c>
      <c r="B737" s="23">
        <v>81.253</v>
      </c>
      <c r="C737" s="23">
        <v>356.51</v>
      </c>
      <c r="D737" s="23">
        <v>1381.65</v>
      </c>
      <c r="E737" s="23">
        <v>81.253</v>
      </c>
      <c r="F737" s="23">
        <v>0</v>
      </c>
      <c r="G737" s="23">
        <v>0</v>
      </c>
      <c r="H737" s="23">
        <v>1300.3969999999999</v>
      </c>
      <c r="I737" s="23">
        <v>0</v>
      </c>
      <c r="J737" s="23">
        <v>0</v>
      </c>
      <c r="K737" s="23">
        <v>0</v>
      </c>
    </row>
    <row r="738" spans="1:11" x14ac:dyDescent="0.25">
      <c r="A738">
        <v>737</v>
      </c>
      <c r="B738" s="23">
        <v>87.088999999999999</v>
      </c>
      <c r="C738" s="23">
        <v>156.94</v>
      </c>
      <c r="D738" s="23">
        <v>594.66200000000003</v>
      </c>
      <c r="E738" s="23">
        <v>87.088999999999999</v>
      </c>
      <c r="F738" s="23">
        <v>0</v>
      </c>
      <c r="G738" s="23">
        <v>0</v>
      </c>
      <c r="H738" s="23">
        <v>507.57299999999998</v>
      </c>
      <c r="I738" s="23">
        <v>0</v>
      </c>
      <c r="J738" s="23">
        <v>0</v>
      </c>
      <c r="K738" s="23">
        <v>0</v>
      </c>
    </row>
    <row r="739" spans="1:11" x14ac:dyDescent="0.25">
      <c r="A739">
        <v>738</v>
      </c>
      <c r="B739" s="23">
        <v>79.66</v>
      </c>
      <c r="C739" s="23">
        <v>68.92</v>
      </c>
      <c r="D739" s="23">
        <v>195.82400000000001</v>
      </c>
      <c r="E739" s="23">
        <v>79.66</v>
      </c>
      <c r="F739" s="23">
        <v>0</v>
      </c>
      <c r="G739" s="23">
        <v>0</v>
      </c>
      <c r="H739" s="23">
        <v>116.164</v>
      </c>
      <c r="I739" s="23">
        <v>0</v>
      </c>
      <c r="J739" s="23">
        <v>0</v>
      </c>
      <c r="K739" s="23">
        <v>0</v>
      </c>
    </row>
    <row r="740" spans="1:11" x14ac:dyDescent="0.25">
      <c r="A740">
        <v>739</v>
      </c>
      <c r="B740" s="23">
        <v>96.820999999999998</v>
      </c>
      <c r="C740" s="23">
        <v>0</v>
      </c>
      <c r="D740" s="23">
        <v>0</v>
      </c>
      <c r="E740" s="23">
        <v>0</v>
      </c>
      <c r="F740" s="23">
        <v>0</v>
      </c>
      <c r="G740" s="23">
        <v>0</v>
      </c>
      <c r="H740" s="23">
        <v>0</v>
      </c>
      <c r="I740" s="23">
        <v>0</v>
      </c>
      <c r="J740" s="23">
        <v>0</v>
      </c>
      <c r="K740" s="23">
        <v>96.820999999999998</v>
      </c>
    </row>
    <row r="741" spans="1:11" x14ac:dyDescent="0.25">
      <c r="A741">
        <v>740</v>
      </c>
      <c r="B741" s="23">
        <v>88</v>
      </c>
      <c r="C741" s="23">
        <v>0</v>
      </c>
      <c r="D741" s="23">
        <v>0</v>
      </c>
      <c r="E741" s="23">
        <v>0</v>
      </c>
      <c r="F741" s="23">
        <v>0</v>
      </c>
      <c r="G741" s="23">
        <v>0</v>
      </c>
      <c r="H741" s="23">
        <v>0</v>
      </c>
      <c r="I741" s="23">
        <v>0</v>
      </c>
      <c r="J741" s="23">
        <v>0</v>
      </c>
      <c r="K741" s="23">
        <v>88</v>
      </c>
    </row>
    <row r="742" spans="1:11" x14ac:dyDescent="0.25">
      <c r="A742">
        <v>741</v>
      </c>
      <c r="B742" s="23">
        <v>91.2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91.2</v>
      </c>
    </row>
    <row r="743" spans="1:11" x14ac:dyDescent="0.25">
      <c r="A743">
        <v>742</v>
      </c>
      <c r="B743" s="23">
        <v>86.4</v>
      </c>
      <c r="C743" s="23">
        <v>0</v>
      </c>
      <c r="D743" s="23">
        <v>0</v>
      </c>
      <c r="E743" s="23">
        <v>0</v>
      </c>
      <c r="F743" s="23">
        <v>0</v>
      </c>
      <c r="G743" s="23">
        <v>0</v>
      </c>
      <c r="H743" s="23">
        <v>0</v>
      </c>
      <c r="I743" s="23">
        <v>0</v>
      </c>
      <c r="J743" s="23">
        <v>0</v>
      </c>
      <c r="K743" s="23">
        <v>86.4</v>
      </c>
    </row>
    <row r="744" spans="1:11" x14ac:dyDescent="0.25">
      <c r="A744">
        <v>743</v>
      </c>
      <c r="B744" s="23">
        <v>92.8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92.8</v>
      </c>
    </row>
    <row r="745" spans="1:11" x14ac:dyDescent="0.25">
      <c r="A745">
        <v>744</v>
      </c>
      <c r="B745" s="23">
        <v>88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88</v>
      </c>
    </row>
    <row r="746" spans="1:11" x14ac:dyDescent="0.25">
      <c r="A746">
        <v>745</v>
      </c>
      <c r="B746" s="23">
        <v>94.4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94.4</v>
      </c>
    </row>
    <row r="747" spans="1:11" x14ac:dyDescent="0.25">
      <c r="A747">
        <v>746</v>
      </c>
      <c r="B747" s="23">
        <v>87.2</v>
      </c>
      <c r="C747" s="23">
        <v>0</v>
      </c>
      <c r="D747" s="23">
        <v>0</v>
      </c>
      <c r="E747" s="23">
        <v>0</v>
      </c>
      <c r="F747" s="23">
        <v>0</v>
      </c>
      <c r="G747" s="23">
        <v>0</v>
      </c>
      <c r="H747" s="23">
        <v>0</v>
      </c>
      <c r="I747" s="23">
        <v>0</v>
      </c>
      <c r="J747" s="23">
        <v>0</v>
      </c>
      <c r="K747" s="23">
        <v>87.2</v>
      </c>
    </row>
    <row r="748" spans="1:11" x14ac:dyDescent="0.25">
      <c r="A748">
        <v>747</v>
      </c>
      <c r="B748" s="23">
        <v>93.6</v>
      </c>
      <c r="C748" s="23">
        <v>0</v>
      </c>
      <c r="D748" s="23">
        <v>0</v>
      </c>
      <c r="E748" s="23">
        <v>0</v>
      </c>
      <c r="F748" s="23">
        <v>0</v>
      </c>
      <c r="G748" s="23">
        <v>0</v>
      </c>
      <c r="H748" s="23">
        <v>0</v>
      </c>
      <c r="I748" s="23">
        <v>0</v>
      </c>
      <c r="J748" s="23">
        <v>0</v>
      </c>
      <c r="K748" s="23">
        <v>93.6</v>
      </c>
    </row>
    <row r="749" spans="1:11" x14ac:dyDescent="0.25">
      <c r="A749">
        <v>748</v>
      </c>
      <c r="B749" s="23">
        <v>80</v>
      </c>
      <c r="C749" s="23">
        <v>0</v>
      </c>
      <c r="D749" s="23">
        <v>0</v>
      </c>
      <c r="E749" s="23">
        <v>0</v>
      </c>
      <c r="F749" s="23">
        <v>0</v>
      </c>
      <c r="G749" s="23">
        <v>0</v>
      </c>
      <c r="H749" s="23">
        <v>0</v>
      </c>
      <c r="I749" s="23">
        <v>0</v>
      </c>
      <c r="J749" s="23">
        <v>0</v>
      </c>
      <c r="K749" s="23">
        <v>80</v>
      </c>
    </row>
    <row r="750" spans="1:11" x14ac:dyDescent="0.25">
      <c r="A750">
        <v>749</v>
      </c>
      <c r="B750" s="23">
        <v>88.8</v>
      </c>
      <c r="C750" s="23">
        <v>0</v>
      </c>
      <c r="D750" s="23">
        <v>0</v>
      </c>
      <c r="E750" s="23">
        <v>0</v>
      </c>
      <c r="F750" s="23">
        <v>0</v>
      </c>
      <c r="G750" s="23">
        <v>0</v>
      </c>
      <c r="H750" s="23">
        <v>0</v>
      </c>
      <c r="I750" s="23">
        <v>0</v>
      </c>
      <c r="J750" s="23">
        <v>0</v>
      </c>
      <c r="K750" s="23">
        <v>88.8</v>
      </c>
    </row>
    <row r="751" spans="1:11" x14ac:dyDescent="0.25">
      <c r="A751">
        <v>750</v>
      </c>
      <c r="B751" s="23">
        <v>86.4</v>
      </c>
      <c r="C751" s="23">
        <v>0</v>
      </c>
      <c r="D751" s="23">
        <v>0</v>
      </c>
      <c r="E751" s="23">
        <v>0</v>
      </c>
      <c r="F751" s="23">
        <v>0</v>
      </c>
      <c r="G751" s="23">
        <v>0</v>
      </c>
      <c r="H751" s="23">
        <v>0</v>
      </c>
      <c r="I751" s="23">
        <v>0</v>
      </c>
      <c r="J751" s="23">
        <v>0</v>
      </c>
      <c r="K751" s="23">
        <v>86.4</v>
      </c>
    </row>
    <row r="752" spans="1:11" x14ac:dyDescent="0.25">
      <c r="A752">
        <v>751</v>
      </c>
      <c r="B752" s="23">
        <v>88.8</v>
      </c>
      <c r="C752" s="23">
        <v>31.54</v>
      </c>
      <c r="D752" s="23">
        <v>48.567999999999998</v>
      </c>
      <c r="E752" s="23">
        <v>48.567999999999998</v>
      </c>
      <c r="F752" s="23">
        <v>0</v>
      </c>
      <c r="G752" s="23">
        <v>0</v>
      </c>
      <c r="H752" s="23">
        <v>0</v>
      </c>
      <c r="I752" s="23">
        <v>0</v>
      </c>
      <c r="J752" s="23">
        <v>0</v>
      </c>
      <c r="K752" s="23">
        <v>40.231999999999999</v>
      </c>
    </row>
    <row r="753" spans="1:11" x14ac:dyDescent="0.25">
      <c r="A753">
        <v>752</v>
      </c>
      <c r="B753" s="23">
        <v>79.281000000000006</v>
      </c>
      <c r="C753" s="23">
        <v>246.98</v>
      </c>
      <c r="D753" s="23">
        <v>937.92599999999993</v>
      </c>
      <c r="E753" s="23">
        <v>79.281000000000006</v>
      </c>
      <c r="F753" s="23">
        <v>-858.64499999999998</v>
      </c>
      <c r="G753" s="23">
        <v>0</v>
      </c>
      <c r="H753" s="23">
        <v>0</v>
      </c>
      <c r="I753" s="23">
        <v>0</v>
      </c>
      <c r="J753" s="23">
        <v>0</v>
      </c>
      <c r="K753" s="23">
        <v>0</v>
      </c>
    </row>
    <row r="754" spans="1:11" x14ac:dyDescent="0.25">
      <c r="A754">
        <v>753</v>
      </c>
      <c r="B754" s="23">
        <v>84.741</v>
      </c>
      <c r="C754" s="23">
        <v>499.19</v>
      </c>
      <c r="D754" s="23">
        <v>1977.4580000000001</v>
      </c>
      <c r="E754" s="23">
        <v>84.741</v>
      </c>
      <c r="F754" s="23">
        <v>-380.952</v>
      </c>
      <c r="G754" s="23">
        <v>0</v>
      </c>
      <c r="H754" s="23">
        <v>1511.7650000000001</v>
      </c>
      <c r="I754" s="23">
        <v>0</v>
      </c>
      <c r="J754" s="23">
        <v>0</v>
      </c>
      <c r="K754" s="23">
        <v>0</v>
      </c>
    </row>
    <row r="755" spans="1:11" x14ac:dyDescent="0.25">
      <c r="A755">
        <v>754</v>
      </c>
      <c r="B755" s="23">
        <v>75.611000000000004</v>
      </c>
      <c r="C755" s="23">
        <v>714.96</v>
      </c>
      <c r="D755" s="23">
        <v>2723.3319999999999</v>
      </c>
      <c r="E755" s="23">
        <v>75.611000000000004</v>
      </c>
      <c r="F755" s="23">
        <v>0</v>
      </c>
      <c r="G755" s="23">
        <v>0</v>
      </c>
      <c r="H755" s="23">
        <v>2647.721</v>
      </c>
      <c r="I755" s="23">
        <v>0</v>
      </c>
      <c r="J755" s="23">
        <v>0</v>
      </c>
      <c r="K755" s="23">
        <v>0</v>
      </c>
    </row>
    <row r="756" spans="1:11" x14ac:dyDescent="0.25">
      <c r="A756">
        <v>755</v>
      </c>
      <c r="B756" s="23">
        <v>86.655000000000001</v>
      </c>
      <c r="C756" s="23">
        <v>869.28</v>
      </c>
      <c r="D756" s="23">
        <v>3208.8049999999998</v>
      </c>
      <c r="E756" s="23">
        <v>86.655000000000001</v>
      </c>
      <c r="F756" s="23">
        <v>0</v>
      </c>
      <c r="G756" s="23">
        <v>0</v>
      </c>
      <c r="H756" s="23">
        <v>3122.15</v>
      </c>
      <c r="I756" s="23">
        <v>0</v>
      </c>
      <c r="J756" s="23">
        <v>0</v>
      </c>
      <c r="K756" s="23">
        <v>0</v>
      </c>
    </row>
    <row r="757" spans="1:11" x14ac:dyDescent="0.25">
      <c r="A757">
        <v>756</v>
      </c>
      <c r="B757" s="23">
        <v>74.903000000000006</v>
      </c>
      <c r="C757" s="23">
        <v>937.72</v>
      </c>
      <c r="D757" s="23">
        <v>3394.529</v>
      </c>
      <c r="E757" s="23">
        <v>74.903000000000006</v>
      </c>
      <c r="F757" s="23">
        <v>0</v>
      </c>
      <c r="G757" s="23">
        <v>0</v>
      </c>
      <c r="H757" s="23">
        <v>3319.6260000000002</v>
      </c>
      <c r="I757" s="23">
        <v>0</v>
      </c>
      <c r="J757" s="23">
        <v>0</v>
      </c>
      <c r="K757" s="23">
        <v>0</v>
      </c>
    </row>
    <row r="758" spans="1:11" x14ac:dyDescent="0.25">
      <c r="A758">
        <v>757</v>
      </c>
      <c r="B758" s="23">
        <v>87.641999999999996</v>
      </c>
      <c r="C758" s="23">
        <v>940.93</v>
      </c>
      <c r="D758" s="23">
        <v>3376.8110000000001</v>
      </c>
      <c r="E758" s="23">
        <v>87.641999999999996</v>
      </c>
      <c r="F758" s="23">
        <v>0</v>
      </c>
      <c r="G758" s="23">
        <v>0</v>
      </c>
      <c r="H758" s="23">
        <v>3289.1689999999999</v>
      </c>
      <c r="I758" s="23">
        <v>0</v>
      </c>
      <c r="J758" s="23">
        <v>0</v>
      </c>
      <c r="K758" s="23">
        <v>0</v>
      </c>
    </row>
    <row r="759" spans="1:11" x14ac:dyDescent="0.25">
      <c r="A759">
        <v>758</v>
      </c>
      <c r="B759" s="23">
        <v>82.638000000000005</v>
      </c>
      <c r="C759" s="23">
        <v>759.19</v>
      </c>
      <c r="D759" s="23">
        <v>2774.4059999999999</v>
      </c>
      <c r="E759" s="23">
        <v>82.638000000000005</v>
      </c>
      <c r="F759" s="23">
        <v>0</v>
      </c>
      <c r="G759" s="23">
        <v>0</v>
      </c>
      <c r="H759" s="23">
        <v>2691.768</v>
      </c>
      <c r="I759" s="23">
        <v>0</v>
      </c>
      <c r="J759" s="23">
        <v>0</v>
      </c>
      <c r="K759" s="23">
        <v>0</v>
      </c>
    </row>
    <row r="760" spans="1:11" x14ac:dyDescent="0.25">
      <c r="A760">
        <v>759</v>
      </c>
      <c r="B760" s="23">
        <v>89.331999999999994</v>
      </c>
      <c r="C760" s="23">
        <v>735.19</v>
      </c>
      <c r="D760" s="23">
        <v>2752.3319999999999</v>
      </c>
      <c r="E760" s="23">
        <v>89.331999999999994</v>
      </c>
      <c r="F760" s="23">
        <v>0</v>
      </c>
      <c r="G760" s="23">
        <v>0</v>
      </c>
      <c r="H760" s="23">
        <v>2663</v>
      </c>
      <c r="I760" s="23">
        <v>0</v>
      </c>
      <c r="J760" s="23">
        <v>0</v>
      </c>
      <c r="K760" s="23">
        <v>0</v>
      </c>
    </row>
    <row r="761" spans="1:11" x14ac:dyDescent="0.25">
      <c r="A761">
        <v>760</v>
      </c>
      <c r="B761" s="23">
        <v>81.435000000000002</v>
      </c>
      <c r="C761" s="23">
        <v>548.96</v>
      </c>
      <c r="D761" s="23">
        <v>2134.2289999999998</v>
      </c>
      <c r="E761" s="23">
        <v>81.435000000000002</v>
      </c>
      <c r="F761" s="23">
        <v>0</v>
      </c>
      <c r="G761" s="23">
        <v>0</v>
      </c>
      <c r="H761" s="23">
        <v>2052.7939999999999</v>
      </c>
      <c r="I761" s="23">
        <v>0</v>
      </c>
      <c r="J761" s="23">
        <v>0</v>
      </c>
      <c r="K761" s="23">
        <v>0</v>
      </c>
    </row>
    <row r="762" spans="1:11" x14ac:dyDescent="0.25">
      <c r="A762">
        <v>761</v>
      </c>
      <c r="B762" s="23">
        <v>83.254000000000005</v>
      </c>
      <c r="C762" s="23">
        <v>313.13</v>
      </c>
      <c r="D762" s="23">
        <v>1206.7729999999999</v>
      </c>
      <c r="E762" s="23">
        <v>83.254000000000005</v>
      </c>
      <c r="F762" s="23">
        <v>0</v>
      </c>
      <c r="G762" s="23">
        <v>0</v>
      </c>
      <c r="H762" s="23">
        <v>1123.519</v>
      </c>
      <c r="I762" s="23">
        <v>0</v>
      </c>
      <c r="J762" s="23">
        <v>0</v>
      </c>
      <c r="K762" s="23">
        <v>0</v>
      </c>
    </row>
    <row r="763" spans="1:11" x14ac:dyDescent="0.25">
      <c r="A763">
        <v>762</v>
      </c>
      <c r="B763" s="23">
        <v>82.933000000000007</v>
      </c>
      <c r="C763" s="23">
        <v>72.52</v>
      </c>
      <c r="D763" s="23">
        <v>207.31700000000001</v>
      </c>
      <c r="E763" s="23">
        <v>82.933000000000007</v>
      </c>
      <c r="F763" s="23">
        <v>0</v>
      </c>
      <c r="G763" s="23">
        <v>0</v>
      </c>
      <c r="H763" s="23">
        <v>124.384</v>
      </c>
      <c r="I763" s="23">
        <v>0</v>
      </c>
      <c r="J763" s="23">
        <v>0</v>
      </c>
      <c r="K763" s="23">
        <v>0</v>
      </c>
    </row>
    <row r="764" spans="1:11" x14ac:dyDescent="0.25">
      <c r="A764">
        <v>763</v>
      </c>
      <c r="B764" s="23">
        <v>96.007000000000005</v>
      </c>
      <c r="C764" s="23">
        <v>0</v>
      </c>
      <c r="D764" s="23">
        <v>0</v>
      </c>
      <c r="E764" s="23">
        <v>0</v>
      </c>
      <c r="F764" s="23">
        <v>0</v>
      </c>
      <c r="G764" s="23">
        <v>0</v>
      </c>
      <c r="H764" s="23">
        <v>0</v>
      </c>
      <c r="I764" s="23">
        <v>0</v>
      </c>
      <c r="J764" s="23">
        <v>0</v>
      </c>
      <c r="K764" s="23">
        <v>96.007000000000005</v>
      </c>
    </row>
    <row r="765" spans="1:11" x14ac:dyDescent="0.25">
      <c r="A765">
        <v>764</v>
      </c>
      <c r="B765" s="23">
        <v>91.2</v>
      </c>
      <c r="C765" s="23">
        <v>0</v>
      </c>
      <c r="D765" s="23">
        <v>0</v>
      </c>
      <c r="E765" s="23">
        <v>0</v>
      </c>
      <c r="F765" s="23">
        <v>0</v>
      </c>
      <c r="G765" s="23">
        <v>0</v>
      </c>
      <c r="H765" s="23">
        <v>0</v>
      </c>
      <c r="I765" s="23">
        <v>0</v>
      </c>
      <c r="J765" s="23">
        <v>0</v>
      </c>
      <c r="K765" s="23">
        <v>91.2</v>
      </c>
    </row>
    <row r="766" spans="1:11" x14ac:dyDescent="0.25">
      <c r="A766">
        <v>765</v>
      </c>
      <c r="B766" s="23">
        <v>93.6</v>
      </c>
      <c r="C766" s="23">
        <v>0</v>
      </c>
      <c r="D766" s="23">
        <v>0</v>
      </c>
      <c r="E766" s="23">
        <v>0</v>
      </c>
      <c r="F766" s="23">
        <v>0</v>
      </c>
      <c r="G766" s="23">
        <v>0</v>
      </c>
      <c r="H766" s="23">
        <v>0</v>
      </c>
      <c r="I766" s="23">
        <v>0</v>
      </c>
      <c r="J766" s="23">
        <v>0</v>
      </c>
      <c r="K766" s="23">
        <v>93.6</v>
      </c>
    </row>
    <row r="767" spans="1:11" x14ac:dyDescent="0.25">
      <c r="A767">
        <v>766</v>
      </c>
      <c r="B767" s="23">
        <v>88.8</v>
      </c>
      <c r="C767" s="23">
        <v>0</v>
      </c>
      <c r="D767" s="23">
        <v>0</v>
      </c>
      <c r="E767" s="23">
        <v>0</v>
      </c>
      <c r="F767" s="23">
        <v>0</v>
      </c>
      <c r="G767" s="23">
        <v>0</v>
      </c>
      <c r="H767" s="23">
        <v>0</v>
      </c>
      <c r="I767" s="23">
        <v>0</v>
      </c>
      <c r="J767" s="23">
        <v>0</v>
      </c>
      <c r="K767" s="23">
        <v>88.8</v>
      </c>
    </row>
    <row r="768" spans="1:11" x14ac:dyDescent="0.25">
      <c r="A768">
        <v>767</v>
      </c>
      <c r="B768" s="23">
        <v>97.6</v>
      </c>
      <c r="C768" s="23">
        <v>0</v>
      </c>
      <c r="D768" s="23">
        <v>0</v>
      </c>
      <c r="E768" s="23">
        <v>0</v>
      </c>
      <c r="F768" s="23">
        <v>0</v>
      </c>
      <c r="G768" s="23">
        <v>0</v>
      </c>
      <c r="H768" s="23">
        <v>0</v>
      </c>
      <c r="I768" s="23">
        <v>0</v>
      </c>
      <c r="J768" s="23">
        <v>0</v>
      </c>
      <c r="K768" s="23">
        <v>97.6</v>
      </c>
    </row>
    <row r="769" spans="1:11" x14ac:dyDescent="0.25">
      <c r="A769">
        <v>768</v>
      </c>
      <c r="B769" s="23">
        <v>90.4</v>
      </c>
      <c r="C769" s="23">
        <v>0</v>
      </c>
      <c r="D769" s="23">
        <v>0</v>
      </c>
      <c r="E769" s="23">
        <v>0</v>
      </c>
      <c r="F769" s="23">
        <v>0</v>
      </c>
      <c r="G769" s="23">
        <v>0</v>
      </c>
      <c r="H769" s="23">
        <v>0</v>
      </c>
      <c r="I769" s="23">
        <v>0</v>
      </c>
      <c r="J769" s="23">
        <v>0</v>
      </c>
      <c r="K769" s="23">
        <v>90.4</v>
      </c>
    </row>
    <row r="770" spans="1:11" x14ac:dyDescent="0.25">
      <c r="A770">
        <v>769</v>
      </c>
      <c r="B770" s="23">
        <v>92.8</v>
      </c>
      <c r="C770" s="23">
        <v>0</v>
      </c>
      <c r="D770" s="23">
        <v>0</v>
      </c>
      <c r="E770" s="23">
        <v>0</v>
      </c>
      <c r="F770" s="23">
        <v>0</v>
      </c>
      <c r="G770" s="23">
        <v>0</v>
      </c>
      <c r="H770" s="23">
        <v>0</v>
      </c>
      <c r="I770" s="23">
        <v>0</v>
      </c>
      <c r="J770" s="23">
        <v>0</v>
      </c>
      <c r="K770" s="23">
        <v>92.8</v>
      </c>
    </row>
    <row r="771" spans="1:11" x14ac:dyDescent="0.25">
      <c r="A771">
        <v>770</v>
      </c>
      <c r="B771" s="23">
        <v>86.4</v>
      </c>
      <c r="C771" s="23">
        <v>0</v>
      </c>
      <c r="D771" s="23">
        <v>0</v>
      </c>
      <c r="E771" s="23">
        <v>0</v>
      </c>
      <c r="F771" s="23">
        <v>0</v>
      </c>
      <c r="G771" s="23">
        <v>0</v>
      </c>
      <c r="H771" s="23">
        <v>0</v>
      </c>
      <c r="I771" s="23">
        <v>0</v>
      </c>
      <c r="J771" s="23">
        <v>0</v>
      </c>
      <c r="K771" s="23">
        <v>86.4</v>
      </c>
    </row>
    <row r="772" spans="1:11" x14ac:dyDescent="0.25">
      <c r="A772">
        <v>771</v>
      </c>
      <c r="B772" s="23">
        <v>91.2</v>
      </c>
      <c r="C772" s="23">
        <v>0</v>
      </c>
      <c r="D772" s="23">
        <v>0</v>
      </c>
      <c r="E772" s="23">
        <v>0</v>
      </c>
      <c r="F772" s="23">
        <v>0</v>
      </c>
      <c r="G772" s="23">
        <v>0</v>
      </c>
      <c r="H772" s="23">
        <v>0</v>
      </c>
      <c r="I772" s="23">
        <v>0</v>
      </c>
      <c r="J772" s="23">
        <v>0</v>
      </c>
      <c r="K772" s="23">
        <v>91.2</v>
      </c>
    </row>
    <row r="773" spans="1:11" x14ac:dyDescent="0.25">
      <c r="A773">
        <v>772</v>
      </c>
      <c r="B773" s="23">
        <v>87.2</v>
      </c>
      <c r="C773" s="23">
        <v>0</v>
      </c>
      <c r="D773" s="23">
        <v>0</v>
      </c>
      <c r="E773" s="23">
        <v>0</v>
      </c>
      <c r="F773" s="23">
        <v>0</v>
      </c>
      <c r="G773" s="23">
        <v>0</v>
      </c>
      <c r="H773" s="23">
        <v>0</v>
      </c>
      <c r="I773" s="23">
        <v>0</v>
      </c>
      <c r="J773" s="23">
        <v>0</v>
      </c>
      <c r="K773" s="23">
        <v>87.2</v>
      </c>
    </row>
    <row r="774" spans="1:11" x14ac:dyDescent="0.25">
      <c r="A774">
        <v>773</v>
      </c>
      <c r="B774" s="23">
        <v>92.8</v>
      </c>
      <c r="C774" s="23">
        <v>0</v>
      </c>
      <c r="D774" s="23">
        <v>0</v>
      </c>
      <c r="E774" s="23">
        <v>0</v>
      </c>
      <c r="F774" s="23">
        <v>0</v>
      </c>
      <c r="G774" s="23">
        <v>0</v>
      </c>
      <c r="H774" s="23">
        <v>0</v>
      </c>
      <c r="I774" s="23">
        <v>0</v>
      </c>
      <c r="J774" s="23">
        <v>0</v>
      </c>
      <c r="K774" s="23">
        <v>92.8</v>
      </c>
    </row>
    <row r="775" spans="1:11" x14ac:dyDescent="0.25">
      <c r="A775">
        <v>774</v>
      </c>
      <c r="B775" s="23">
        <v>85.6</v>
      </c>
      <c r="C775" s="23">
        <v>0</v>
      </c>
      <c r="D775" s="23">
        <v>0</v>
      </c>
      <c r="E775" s="23">
        <v>0</v>
      </c>
      <c r="F775" s="23">
        <v>0</v>
      </c>
      <c r="G775" s="23">
        <v>0</v>
      </c>
      <c r="H775" s="23">
        <v>0</v>
      </c>
      <c r="I775" s="23">
        <v>0</v>
      </c>
      <c r="J775" s="23">
        <v>0</v>
      </c>
      <c r="K775" s="23">
        <v>85.6</v>
      </c>
    </row>
    <row r="776" spans="1:11" x14ac:dyDescent="0.25">
      <c r="A776">
        <v>775</v>
      </c>
      <c r="B776" s="23">
        <v>76.8</v>
      </c>
      <c r="C776" s="23">
        <v>34.75</v>
      </c>
      <c r="D776" s="23">
        <v>55.387</v>
      </c>
      <c r="E776" s="23">
        <v>55.387</v>
      </c>
      <c r="F776" s="23">
        <v>0</v>
      </c>
      <c r="G776" s="23">
        <v>0</v>
      </c>
      <c r="H776" s="23">
        <v>0</v>
      </c>
      <c r="I776" s="23">
        <v>0</v>
      </c>
      <c r="J776" s="23">
        <v>0</v>
      </c>
      <c r="K776" s="23">
        <v>21.413</v>
      </c>
    </row>
    <row r="777" spans="1:11" x14ac:dyDescent="0.25">
      <c r="A777">
        <v>776</v>
      </c>
      <c r="B777" s="23">
        <v>82.775000000000006</v>
      </c>
      <c r="C777" s="23">
        <v>231</v>
      </c>
      <c r="D777" s="23">
        <v>875.67399999999998</v>
      </c>
      <c r="E777" s="23">
        <v>82.775000000000006</v>
      </c>
      <c r="F777" s="23">
        <v>-792.899</v>
      </c>
      <c r="G777" s="23">
        <v>0</v>
      </c>
      <c r="H777" s="23">
        <v>0</v>
      </c>
      <c r="I777" s="23">
        <v>0</v>
      </c>
      <c r="J777" s="23">
        <v>0</v>
      </c>
      <c r="K777" s="23">
        <v>0</v>
      </c>
    </row>
    <row r="778" spans="1:11" x14ac:dyDescent="0.25">
      <c r="A778">
        <v>777</v>
      </c>
      <c r="B778" s="23">
        <v>646.74800000000005</v>
      </c>
      <c r="C778" s="23">
        <v>469.86</v>
      </c>
      <c r="D778" s="23">
        <v>1863.78</v>
      </c>
      <c r="E778" s="23">
        <v>646.74800000000005</v>
      </c>
      <c r="F778" s="23">
        <v>-447.99700000000001</v>
      </c>
      <c r="G778" s="23">
        <v>0</v>
      </c>
      <c r="H778" s="23">
        <v>769.03499999999997</v>
      </c>
      <c r="I778" s="23">
        <v>0</v>
      </c>
      <c r="J778" s="23">
        <v>0</v>
      </c>
      <c r="K778" s="23">
        <v>0</v>
      </c>
    </row>
    <row r="779" spans="1:11" x14ac:dyDescent="0.25">
      <c r="A779">
        <v>778</v>
      </c>
      <c r="B779" s="23">
        <v>552.93399999999997</v>
      </c>
      <c r="C779" s="23">
        <v>745.6</v>
      </c>
      <c r="D779" s="23">
        <v>2833.28</v>
      </c>
      <c r="E779" s="23">
        <v>552.93399999999997</v>
      </c>
      <c r="F779" s="23">
        <v>0</v>
      </c>
      <c r="G779" s="23">
        <v>0</v>
      </c>
      <c r="H779" s="23">
        <v>2280.346</v>
      </c>
      <c r="I779" s="23">
        <v>0</v>
      </c>
      <c r="J779" s="23">
        <v>0</v>
      </c>
      <c r="K779" s="23">
        <v>0</v>
      </c>
    </row>
    <row r="780" spans="1:11" x14ac:dyDescent="0.25">
      <c r="A780">
        <v>779</v>
      </c>
      <c r="B780" s="23">
        <v>876.38300000000004</v>
      </c>
      <c r="C780" s="23">
        <v>715.32</v>
      </c>
      <c r="D780" s="23">
        <v>2630.576</v>
      </c>
      <c r="E780" s="23">
        <v>876.38300000000004</v>
      </c>
      <c r="F780" s="23">
        <v>0</v>
      </c>
      <c r="G780" s="23">
        <v>0</v>
      </c>
      <c r="H780" s="23">
        <v>1754.193</v>
      </c>
      <c r="I780" s="23">
        <v>0</v>
      </c>
      <c r="J780" s="23">
        <v>0</v>
      </c>
      <c r="K780" s="23">
        <v>0</v>
      </c>
    </row>
    <row r="781" spans="1:11" x14ac:dyDescent="0.25">
      <c r="A781">
        <v>780</v>
      </c>
      <c r="B781" s="23">
        <v>949.84100000000001</v>
      </c>
      <c r="C781" s="23">
        <v>819.63</v>
      </c>
      <c r="D781" s="23">
        <v>2932.085</v>
      </c>
      <c r="E781" s="23">
        <v>949.84100000000001</v>
      </c>
      <c r="F781" s="23">
        <v>0</v>
      </c>
      <c r="G781" s="23">
        <v>0</v>
      </c>
      <c r="H781" s="23">
        <v>1982.2439999999999</v>
      </c>
      <c r="I781" s="23">
        <v>0</v>
      </c>
      <c r="J781" s="23">
        <v>0</v>
      </c>
      <c r="K781" s="23">
        <v>0</v>
      </c>
    </row>
    <row r="782" spans="1:11" x14ac:dyDescent="0.25">
      <c r="A782">
        <v>781</v>
      </c>
      <c r="B782" s="23">
        <v>1244.374</v>
      </c>
      <c r="C782" s="23">
        <v>814.07</v>
      </c>
      <c r="D782" s="23">
        <v>2895.0059999999999</v>
      </c>
      <c r="E782" s="23">
        <v>1244.374</v>
      </c>
      <c r="F782" s="23">
        <v>0</v>
      </c>
      <c r="G782" s="23">
        <v>0</v>
      </c>
      <c r="H782" s="23">
        <v>1650.6320000000001</v>
      </c>
      <c r="I782" s="23">
        <v>0</v>
      </c>
      <c r="J782" s="23">
        <v>0</v>
      </c>
      <c r="K782" s="23">
        <v>0</v>
      </c>
    </row>
    <row r="783" spans="1:11" x14ac:dyDescent="0.25">
      <c r="A783">
        <v>782</v>
      </c>
      <c r="B783" s="23">
        <v>1169.848</v>
      </c>
      <c r="C783" s="23">
        <v>765.59</v>
      </c>
      <c r="D783" s="23">
        <v>2769.25</v>
      </c>
      <c r="E783" s="23">
        <v>1169.848</v>
      </c>
      <c r="F783" s="23">
        <v>0</v>
      </c>
      <c r="G783" s="23">
        <v>0</v>
      </c>
      <c r="H783" s="23">
        <v>1599.402</v>
      </c>
      <c r="I783" s="23">
        <v>0</v>
      </c>
      <c r="J783" s="23">
        <v>0</v>
      </c>
      <c r="K783" s="23">
        <v>0</v>
      </c>
    </row>
    <row r="784" spans="1:11" x14ac:dyDescent="0.25">
      <c r="A784">
        <v>783</v>
      </c>
      <c r="B784" s="23">
        <v>1381.741</v>
      </c>
      <c r="C784" s="23">
        <v>732.82</v>
      </c>
      <c r="D784" s="23">
        <v>2728.942</v>
      </c>
      <c r="E784" s="23">
        <v>1381.741</v>
      </c>
      <c r="F784" s="23">
        <v>0</v>
      </c>
      <c r="G784" s="23">
        <v>0</v>
      </c>
      <c r="H784" s="23">
        <v>1347.201</v>
      </c>
      <c r="I784" s="23">
        <v>0</v>
      </c>
      <c r="J784" s="23">
        <v>0</v>
      </c>
      <c r="K784" s="23">
        <v>0</v>
      </c>
    </row>
    <row r="785" spans="1:11" x14ac:dyDescent="0.25">
      <c r="A785">
        <v>784</v>
      </c>
      <c r="B785" s="23">
        <v>889.36800000000005</v>
      </c>
      <c r="C785" s="23">
        <v>464.44</v>
      </c>
      <c r="D785" s="23">
        <v>1796.29</v>
      </c>
      <c r="E785" s="23">
        <v>889.36800000000005</v>
      </c>
      <c r="F785" s="23">
        <v>0</v>
      </c>
      <c r="G785" s="23">
        <v>0</v>
      </c>
      <c r="H785" s="23">
        <v>906.92200000000003</v>
      </c>
      <c r="I785" s="23">
        <v>0</v>
      </c>
      <c r="J785" s="23">
        <v>0</v>
      </c>
      <c r="K785" s="23">
        <v>0</v>
      </c>
    </row>
    <row r="786" spans="1:11" x14ac:dyDescent="0.25">
      <c r="A786">
        <v>785</v>
      </c>
      <c r="B786" s="23">
        <v>1360.953</v>
      </c>
      <c r="C786" s="23">
        <v>225.64</v>
      </c>
      <c r="D786" s="23">
        <v>862.48599999999999</v>
      </c>
      <c r="E786" s="23">
        <v>862.48599999999999</v>
      </c>
      <c r="F786" s="23">
        <v>0</v>
      </c>
      <c r="G786" s="23">
        <v>0</v>
      </c>
      <c r="H786" s="23">
        <v>0</v>
      </c>
      <c r="I786" s="23">
        <v>498.46699999999998</v>
      </c>
      <c r="J786" s="23">
        <v>0</v>
      </c>
      <c r="K786" s="23">
        <v>0</v>
      </c>
    </row>
    <row r="787" spans="1:11" x14ac:dyDescent="0.25">
      <c r="A787">
        <v>786</v>
      </c>
      <c r="B787" s="23">
        <v>1095.1569999999999</v>
      </c>
      <c r="C787" s="23">
        <v>62.35</v>
      </c>
      <c r="D787" s="23">
        <v>182.88900000000001</v>
      </c>
      <c r="E787" s="23">
        <v>182.88900000000001</v>
      </c>
      <c r="F787" s="23">
        <v>0</v>
      </c>
      <c r="G787" s="23">
        <v>0</v>
      </c>
      <c r="H787" s="23">
        <v>0</v>
      </c>
      <c r="I787" s="23">
        <v>658.846</v>
      </c>
      <c r="J787" s="23">
        <v>0</v>
      </c>
      <c r="K787" s="23">
        <v>253.422</v>
      </c>
    </row>
    <row r="788" spans="1:11" x14ac:dyDescent="0.25">
      <c r="A788">
        <v>787</v>
      </c>
      <c r="B788" s="23">
        <v>1127.0150000000001</v>
      </c>
      <c r="C788" s="23">
        <v>0</v>
      </c>
      <c r="D788" s="23">
        <v>0</v>
      </c>
      <c r="E788" s="23">
        <v>0</v>
      </c>
      <c r="F788" s="23">
        <v>0</v>
      </c>
      <c r="G788" s="23">
        <v>0</v>
      </c>
      <c r="H788" s="23">
        <v>0</v>
      </c>
      <c r="I788" s="23">
        <v>0</v>
      </c>
      <c r="J788" s="23">
        <v>0</v>
      </c>
      <c r="K788" s="23">
        <v>1127.0150000000001</v>
      </c>
    </row>
    <row r="789" spans="1:11" x14ac:dyDescent="0.25">
      <c r="A789">
        <v>788</v>
      </c>
      <c r="B789" s="23">
        <v>1211.2</v>
      </c>
      <c r="C789" s="23">
        <v>0</v>
      </c>
      <c r="D789" s="23">
        <v>0</v>
      </c>
      <c r="E789" s="23">
        <v>0</v>
      </c>
      <c r="F789" s="23">
        <v>0</v>
      </c>
      <c r="G789" s="23">
        <v>0</v>
      </c>
      <c r="H789" s="23">
        <v>0</v>
      </c>
      <c r="I789" s="23">
        <v>0</v>
      </c>
      <c r="J789" s="23">
        <v>0</v>
      </c>
      <c r="K789" s="23">
        <v>1211.2</v>
      </c>
    </row>
    <row r="790" spans="1:11" x14ac:dyDescent="0.25">
      <c r="A790">
        <v>789</v>
      </c>
      <c r="B790" s="23">
        <v>1118.4000000000001</v>
      </c>
      <c r="C790" s="23">
        <v>0</v>
      </c>
      <c r="D790" s="23">
        <v>0</v>
      </c>
      <c r="E790" s="23">
        <v>0</v>
      </c>
      <c r="F790" s="23">
        <v>0</v>
      </c>
      <c r="G790" s="23">
        <v>0</v>
      </c>
      <c r="H790" s="23">
        <v>0</v>
      </c>
      <c r="I790" s="23">
        <v>0</v>
      </c>
      <c r="J790" s="23">
        <v>0</v>
      </c>
      <c r="K790" s="23">
        <v>1118.4000000000001</v>
      </c>
    </row>
    <row r="791" spans="1:11" x14ac:dyDescent="0.25">
      <c r="A791">
        <v>790</v>
      </c>
      <c r="B791" s="23">
        <v>1337.6</v>
      </c>
      <c r="C791" s="23">
        <v>0</v>
      </c>
      <c r="D791" s="23">
        <v>0</v>
      </c>
      <c r="E791" s="23">
        <v>0</v>
      </c>
      <c r="F791" s="23">
        <v>0</v>
      </c>
      <c r="G791" s="23">
        <v>0</v>
      </c>
      <c r="H791" s="23">
        <v>0</v>
      </c>
      <c r="I791" s="23">
        <v>0</v>
      </c>
      <c r="J791" s="23">
        <v>0</v>
      </c>
      <c r="K791" s="23">
        <v>1337.6</v>
      </c>
    </row>
    <row r="792" spans="1:11" x14ac:dyDescent="0.25">
      <c r="A792">
        <v>791</v>
      </c>
      <c r="B792" s="23">
        <v>1112</v>
      </c>
      <c r="C792" s="23">
        <v>0</v>
      </c>
      <c r="D792" s="23">
        <v>0</v>
      </c>
      <c r="E792" s="23">
        <v>0</v>
      </c>
      <c r="F792" s="23">
        <v>0</v>
      </c>
      <c r="G792" s="23">
        <v>0</v>
      </c>
      <c r="H792" s="23">
        <v>0</v>
      </c>
      <c r="I792" s="23">
        <v>0</v>
      </c>
      <c r="J792" s="23">
        <v>0</v>
      </c>
      <c r="K792" s="23">
        <v>1112</v>
      </c>
    </row>
    <row r="793" spans="1:11" x14ac:dyDescent="0.25">
      <c r="A793">
        <v>792</v>
      </c>
      <c r="B793" s="23">
        <v>163.19999999999999</v>
      </c>
      <c r="C793" s="23">
        <v>0</v>
      </c>
      <c r="D793" s="23">
        <v>0</v>
      </c>
      <c r="E793" s="23">
        <v>0</v>
      </c>
      <c r="F793" s="23">
        <v>0</v>
      </c>
      <c r="G793" s="23">
        <v>0</v>
      </c>
      <c r="H793" s="23">
        <v>0</v>
      </c>
      <c r="I793" s="23">
        <v>0</v>
      </c>
      <c r="J793" s="23">
        <v>0</v>
      </c>
      <c r="K793" s="23">
        <v>163.19999999999999</v>
      </c>
    </row>
    <row r="794" spans="1:11" x14ac:dyDescent="0.25">
      <c r="A794">
        <v>793</v>
      </c>
      <c r="B794" s="23">
        <v>108.8</v>
      </c>
      <c r="C794" s="23">
        <v>0</v>
      </c>
      <c r="D794" s="23">
        <v>0</v>
      </c>
      <c r="E794" s="23">
        <v>0</v>
      </c>
      <c r="F794" s="23">
        <v>0</v>
      </c>
      <c r="G794" s="23">
        <v>0</v>
      </c>
      <c r="H794" s="23">
        <v>0</v>
      </c>
      <c r="I794" s="23">
        <v>108.8</v>
      </c>
      <c r="J794" s="23">
        <v>0</v>
      </c>
      <c r="K794" s="23">
        <v>0</v>
      </c>
    </row>
    <row r="795" spans="1:11" x14ac:dyDescent="0.25">
      <c r="A795">
        <v>794</v>
      </c>
      <c r="B795" s="23">
        <v>94.4</v>
      </c>
      <c r="C795" s="23">
        <v>0</v>
      </c>
      <c r="D795" s="23">
        <v>0</v>
      </c>
      <c r="E795" s="23">
        <v>0</v>
      </c>
      <c r="F795" s="23">
        <v>0</v>
      </c>
      <c r="G795" s="23">
        <v>0</v>
      </c>
      <c r="H795" s="23">
        <v>0</v>
      </c>
      <c r="I795" s="23">
        <v>94.4</v>
      </c>
      <c r="J795" s="23">
        <v>0</v>
      </c>
      <c r="K795" s="23">
        <v>0</v>
      </c>
    </row>
    <row r="796" spans="1:11" x14ac:dyDescent="0.25">
      <c r="A796">
        <v>795</v>
      </c>
      <c r="B796" s="23">
        <v>105.6</v>
      </c>
      <c r="C796" s="23">
        <v>0</v>
      </c>
      <c r="D796" s="23">
        <v>0</v>
      </c>
      <c r="E796" s="23">
        <v>0</v>
      </c>
      <c r="F796" s="23">
        <v>0</v>
      </c>
      <c r="G796" s="23">
        <v>0</v>
      </c>
      <c r="H796" s="23">
        <v>0</v>
      </c>
      <c r="I796" s="23">
        <v>105.6</v>
      </c>
      <c r="J796" s="23">
        <v>0</v>
      </c>
      <c r="K796" s="23">
        <v>0</v>
      </c>
    </row>
    <row r="797" spans="1:11" x14ac:dyDescent="0.25">
      <c r="A797">
        <v>796</v>
      </c>
      <c r="B797" s="23">
        <v>101.6</v>
      </c>
      <c r="C797" s="23">
        <v>0</v>
      </c>
      <c r="D797" s="23">
        <v>0</v>
      </c>
      <c r="E797" s="23">
        <v>0</v>
      </c>
      <c r="F797" s="23">
        <v>0</v>
      </c>
      <c r="G797" s="23">
        <v>0</v>
      </c>
      <c r="H797" s="23">
        <v>0</v>
      </c>
      <c r="I797" s="23">
        <v>101.6</v>
      </c>
      <c r="J797" s="23">
        <v>0</v>
      </c>
      <c r="K797" s="23">
        <v>0</v>
      </c>
    </row>
    <row r="798" spans="1:11" x14ac:dyDescent="0.25">
      <c r="A798">
        <v>797</v>
      </c>
      <c r="B798" s="23">
        <v>105.6</v>
      </c>
      <c r="C798" s="23">
        <v>0</v>
      </c>
      <c r="D798" s="23">
        <v>0</v>
      </c>
      <c r="E798" s="23">
        <v>0</v>
      </c>
      <c r="F798" s="23">
        <v>0</v>
      </c>
      <c r="G798" s="23">
        <v>0</v>
      </c>
      <c r="H798" s="23">
        <v>0</v>
      </c>
      <c r="I798" s="23">
        <v>0</v>
      </c>
      <c r="J798" s="23">
        <v>0</v>
      </c>
      <c r="K798" s="23">
        <v>105.6</v>
      </c>
    </row>
    <row r="799" spans="1:11" x14ac:dyDescent="0.25">
      <c r="A799">
        <v>798</v>
      </c>
      <c r="B799" s="23">
        <v>95.2</v>
      </c>
      <c r="C799" s="23">
        <v>0</v>
      </c>
      <c r="D799" s="23">
        <v>0</v>
      </c>
      <c r="E799" s="23">
        <v>0</v>
      </c>
      <c r="F799" s="23">
        <v>0</v>
      </c>
      <c r="G799" s="23">
        <v>0</v>
      </c>
      <c r="H799" s="23">
        <v>0</v>
      </c>
      <c r="I799" s="23">
        <v>0</v>
      </c>
      <c r="J799" s="23">
        <v>0</v>
      </c>
      <c r="K799" s="23">
        <v>95.2</v>
      </c>
    </row>
    <row r="800" spans="1:11" x14ac:dyDescent="0.25">
      <c r="A800">
        <v>799</v>
      </c>
      <c r="B800" s="23">
        <v>87.2</v>
      </c>
      <c r="C800" s="23">
        <v>35.69</v>
      </c>
      <c r="D800" s="23">
        <v>58.988</v>
      </c>
      <c r="E800" s="23">
        <v>58.988</v>
      </c>
      <c r="F800" s="23">
        <v>0</v>
      </c>
      <c r="G800" s="23">
        <v>0</v>
      </c>
      <c r="H800" s="23">
        <v>0</v>
      </c>
      <c r="I800" s="23">
        <v>0</v>
      </c>
      <c r="J800" s="23">
        <v>0</v>
      </c>
      <c r="K800" s="23">
        <v>28.212</v>
      </c>
    </row>
    <row r="801" spans="1:11" x14ac:dyDescent="0.25">
      <c r="A801">
        <v>800</v>
      </c>
      <c r="B801" s="23">
        <v>82.403000000000006</v>
      </c>
      <c r="C801" s="23">
        <v>270.2</v>
      </c>
      <c r="D801" s="23">
        <v>1020.284</v>
      </c>
      <c r="E801" s="23">
        <v>82.403000000000006</v>
      </c>
      <c r="F801" s="23">
        <v>-937.88099999999997</v>
      </c>
      <c r="G801" s="23">
        <v>0</v>
      </c>
      <c r="H801" s="23">
        <v>0</v>
      </c>
      <c r="I801" s="23">
        <v>0</v>
      </c>
      <c r="J801" s="23">
        <v>0</v>
      </c>
      <c r="K801" s="23">
        <v>0</v>
      </c>
    </row>
    <row r="802" spans="1:11" x14ac:dyDescent="0.25">
      <c r="A802">
        <v>801</v>
      </c>
      <c r="B802" s="23">
        <v>835.51900000000001</v>
      </c>
      <c r="C802" s="23">
        <v>515.91</v>
      </c>
      <c r="D802" s="23">
        <v>2046.318</v>
      </c>
      <c r="E802" s="23">
        <v>835.51900000000001</v>
      </c>
      <c r="F802" s="23">
        <v>-1210.799</v>
      </c>
      <c r="G802" s="23">
        <v>0</v>
      </c>
      <c r="H802" s="23">
        <v>0</v>
      </c>
      <c r="I802" s="23">
        <v>0</v>
      </c>
      <c r="J802" s="23">
        <v>0</v>
      </c>
      <c r="K802" s="23">
        <v>0</v>
      </c>
    </row>
    <row r="803" spans="1:11" x14ac:dyDescent="0.25">
      <c r="A803">
        <v>802</v>
      </c>
      <c r="B803" s="23">
        <v>1039.674</v>
      </c>
      <c r="C803" s="23">
        <v>737.97</v>
      </c>
      <c r="D803" s="23">
        <v>2801.4589999999998</v>
      </c>
      <c r="E803" s="23">
        <v>1039.675</v>
      </c>
      <c r="F803" s="23">
        <v>-1684.559</v>
      </c>
      <c r="G803" s="23">
        <v>0</v>
      </c>
      <c r="H803" s="23">
        <v>77.224999999999994</v>
      </c>
      <c r="I803" s="23">
        <v>0</v>
      </c>
      <c r="J803" s="23">
        <v>0</v>
      </c>
      <c r="K803" s="23">
        <v>0</v>
      </c>
    </row>
    <row r="804" spans="1:11" x14ac:dyDescent="0.25">
      <c r="A804">
        <v>803</v>
      </c>
      <c r="B804" s="23">
        <v>891.524</v>
      </c>
      <c r="C804" s="23">
        <v>890.23</v>
      </c>
      <c r="D804" s="23">
        <v>3249</v>
      </c>
      <c r="E804" s="23">
        <v>891.52499999999998</v>
      </c>
      <c r="F804" s="23">
        <v>-1684.559</v>
      </c>
      <c r="G804" s="23">
        <v>0</v>
      </c>
      <c r="H804" s="23">
        <v>672.91600000000005</v>
      </c>
      <c r="I804" s="23">
        <v>0</v>
      </c>
      <c r="J804" s="23">
        <v>0</v>
      </c>
      <c r="K804" s="23">
        <v>0</v>
      </c>
    </row>
    <row r="805" spans="1:11" x14ac:dyDescent="0.25">
      <c r="A805">
        <v>804</v>
      </c>
      <c r="B805" s="23">
        <v>1352.422</v>
      </c>
      <c r="C805" s="23">
        <v>946.64</v>
      </c>
      <c r="D805" s="23">
        <v>3376.79</v>
      </c>
      <c r="E805" s="23">
        <v>1352.422</v>
      </c>
      <c r="F805" s="23">
        <v>-1684.559</v>
      </c>
      <c r="G805" s="23">
        <v>0</v>
      </c>
      <c r="H805" s="23">
        <v>339.80900000000003</v>
      </c>
      <c r="I805" s="23">
        <v>0</v>
      </c>
      <c r="J805" s="23">
        <v>0</v>
      </c>
      <c r="K805" s="23">
        <v>0</v>
      </c>
    </row>
    <row r="806" spans="1:11" x14ac:dyDescent="0.25">
      <c r="A806">
        <v>805</v>
      </c>
      <c r="B806" s="23">
        <v>1341.6669999999999</v>
      </c>
      <c r="C806" s="23">
        <v>968.5</v>
      </c>
      <c r="D806" s="23">
        <v>3444.431</v>
      </c>
      <c r="E806" s="23">
        <v>1341.6669999999999</v>
      </c>
      <c r="F806" s="23">
        <v>-89.141000000000005</v>
      </c>
      <c r="G806" s="23">
        <v>0</v>
      </c>
      <c r="H806" s="23">
        <v>2013.623</v>
      </c>
      <c r="I806" s="23">
        <v>0</v>
      </c>
      <c r="J806" s="23">
        <v>0</v>
      </c>
      <c r="K806" s="23">
        <v>0</v>
      </c>
    </row>
    <row r="807" spans="1:11" x14ac:dyDescent="0.25">
      <c r="A807">
        <v>806</v>
      </c>
      <c r="B807" s="23">
        <v>1194.461</v>
      </c>
      <c r="C807" s="23">
        <v>857.72</v>
      </c>
      <c r="D807" s="23">
        <v>3106.7759999999998</v>
      </c>
      <c r="E807" s="23">
        <v>1194.461</v>
      </c>
      <c r="F807" s="23">
        <v>0</v>
      </c>
      <c r="G807" s="23">
        <v>0</v>
      </c>
      <c r="H807" s="23">
        <v>1912.3150000000001</v>
      </c>
      <c r="I807" s="23">
        <v>0</v>
      </c>
      <c r="J807" s="23">
        <v>0</v>
      </c>
      <c r="K807" s="23">
        <v>0</v>
      </c>
    </row>
    <row r="808" spans="1:11" x14ac:dyDescent="0.25">
      <c r="A808">
        <v>807</v>
      </c>
      <c r="B808" s="23">
        <v>1481.3710000000001</v>
      </c>
      <c r="C808" s="23">
        <v>628.4</v>
      </c>
      <c r="D808" s="23">
        <v>2345.09</v>
      </c>
      <c r="E808" s="23">
        <v>1481.3710000000001</v>
      </c>
      <c r="F808" s="23">
        <v>0</v>
      </c>
      <c r="G808" s="23">
        <v>0</v>
      </c>
      <c r="H808" s="23">
        <v>863.71900000000005</v>
      </c>
      <c r="I808" s="23">
        <v>0</v>
      </c>
      <c r="J808" s="23">
        <v>0</v>
      </c>
      <c r="K808" s="23">
        <v>0</v>
      </c>
    </row>
    <row r="809" spans="1:11" x14ac:dyDescent="0.25">
      <c r="A809">
        <v>808</v>
      </c>
      <c r="B809" s="23">
        <v>1646.336</v>
      </c>
      <c r="C809" s="23">
        <v>167.53</v>
      </c>
      <c r="D809" s="23">
        <v>622.43299999999999</v>
      </c>
      <c r="E809" s="23">
        <v>622.43299999999999</v>
      </c>
      <c r="F809" s="23">
        <v>0</v>
      </c>
      <c r="G809" s="23">
        <v>0</v>
      </c>
      <c r="H809" s="23">
        <v>0</v>
      </c>
      <c r="I809" s="23">
        <v>1023.903</v>
      </c>
      <c r="J809" s="23">
        <v>0</v>
      </c>
      <c r="K809" s="23">
        <v>0</v>
      </c>
    </row>
    <row r="810" spans="1:11" x14ac:dyDescent="0.25">
      <c r="A810">
        <v>809</v>
      </c>
      <c r="B810" s="23">
        <v>1713.4880000000001</v>
      </c>
      <c r="C810" s="23">
        <v>165.47</v>
      </c>
      <c r="D810" s="23">
        <v>622.89800000000002</v>
      </c>
      <c r="E810" s="23">
        <v>622.89800000000002</v>
      </c>
      <c r="F810" s="23">
        <v>0</v>
      </c>
      <c r="G810" s="23">
        <v>0</v>
      </c>
      <c r="H810" s="23">
        <v>0</v>
      </c>
      <c r="I810" s="23">
        <v>1090.5899999999999</v>
      </c>
      <c r="J810" s="23">
        <v>0</v>
      </c>
      <c r="K810" s="23">
        <v>0</v>
      </c>
    </row>
    <row r="811" spans="1:11" x14ac:dyDescent="0.25">
      <c r="A811">
        <v>810</v>
      </c>
      <c r="B811" s="23">
        <v>1434.1010000000001</v>
      </c>
      <c r="C811" s="23">
        <v>39.270000000000003</v>
      </c>
      <c r="D811" s="23">
        <v>106.492</v>
      </c>
      <c r="E811" s="23">
        <v>106.492</v>
      </c>
      <c r="F811" s="23">
        <v>0</v>
      </c>
      <c r="G811" s="23">
        <v>0</v>
      </c>
      <c r="H811" s="23">
        <v>0</v>
      </c>
      <c r="I811" s="23">
        <v>0</v>
      </c>
      <c r="J811" s="23">
        <v>0</v>
      </c>
      <c r="K811" s="23">
        <v>1327.6089999999999</v>
      </c>
    </row>
    <row r="812" spans="1:11" x14ac:dyDescent="0.25">
      <c r="A812">
        <v>811</v>
      </c>
      <c r="B812" s="23">
        <v>1539.509</v>
      </c>
      <c r="C812" s="23">
        <v>0</v>
      </c>
      <c r="D812" s="23">
        <v>0</v>
      </c>
      <c r="E812" s="23">
        <v>0</v>
      </c>
      <c r="F812" s="23">
        <v>0</v>
      </c>
      <c r="G812" s="23">
        <v>0</v>
      </c>
      <c r="H812" s="23">
        <v>0</v>
      </c>
      <c r="I812" s="23">
        <v>0</v>
      </c>
      <c r="J812" s="23">
        <v>0</v>
      </c>
      <c r="K812" s="23">
        <v>1539.509</v>
      </c>
    </row>
    <row r="813" spans="1:11" x14ac:dyDescent="0.25">
      <c r="A813">
        <v>812</v>
      </c>
      <c r="B813" s="23">
        <v>1661.6</v>
      </c>
      <c r="C813" s="23">
        <v>0</v>
      </c>
      <c r="D813" s="23">
        <v>0</v>
      </c>
      <c r="E813" s="23">
        <v>0</v>
      </c>
      <c r="F813" s="23">
        <v>0</v>
      </c>
      <c r="G813" s="23">
        <v>0</v>
      </c>
      <c r="H813" s="23">
        <v>0</v>
      </c>
      <c r="I813" s="23">
        <v>0</v>
      </c>
      <c r="J813" s="23">
        <v>0</v>
      </c>
      <c r="K813" s="23">
        <v>1661.6</v>
      </c>
    </row>
    <row r="814" spans="1:11" x14ac:dyDescent="0.25">
      <c r="A814">
        <v>813</v>
      </c>
      <c r="B814" s="23">
        <v>1616</v>
      </c>
      <c r="C814" s="23">
        <v>0</v>
      </c>
      <c r="D814" s="23">
        <v>0</v>
      </c>
      <c r="E814" s="23">
        <v>0</v>
      </c>
      <c r="F814" s="23">
        <v>0</v>
      </c>
      <c r="G814" s="23">
        <v>0</v>
      </c>
      <c r="H814" s="23">
        <v>0</v>
      </c>
      <c r="I814" s="23">
        <v>1616</v>
      </c>
      <c r="J814" s="23">
        <v>0</v>
      </c>
      <c r="K814" s="23">
        <v>0</v>
      </c>
    </row>
    <row r="815" spans="1:11" x14ac:dyDescent="0.25">
      <c r="A815">
        <v>814</v>
      </c>
      <c r="B815" s="23">
        <v>1728.8</v>
      </c>
      <c r="C815" s="23">
        <v>0</v>
      </c>
      <c r="D815" s="23">
        <v>0</v>
      </c>
      <c r="E815" s="23">
        <v>0</v>
      </c>
      <c r="F815" s="23">
        <v>0</v>
      </c>
      <c r="G815" s="23">
        <v>0</v>
      </c>
      <c r="H815" s="23">
        <v>0</v>
      </c>
      <c r="I815" s="23">
        <v>1728.8</v>
      </c>
      <c r="J815" s="23">
        <v>0</v>
      </c>
      <c r="K815" s="23">
        <v>0</v>
      </c>
    </row>
    <row r="816" spans="1:11" x14ac:dyDescent="0.25">
      <c r="A816">
        <v>815</v>
      </c>
      <c r="B816" s="23">
        <v>1469.6</v>
      </c>
      <c r="C816" s="23">
        <v>0</v>
      </c>
      <c r="D816" s="23">
        <v>0</v>
      </c>
      <c r="E816" s="23">
        <v>0</v>
      </c>
      <c r="F816" s="23">
        <v>0</v>
      </c>
      <c r="G816" s="23">
        <v>0</v>
      </c>
      <c r="H816" s="23">
        <v>0</v>
      </c>
      <c r="I816" s="23">
        <v>1469.6</v>
      </c>
      <c r="J816" s="23">
        <v>0</v>
      </c>
      <c r="K816" s="23">
        <v>0</v>
      </c>
    </row>
    <row r="817" spans="1:11" x14ac:dyDescent="0.25">
      <c r="A817">
        <v>816</v>
      </c>
      <c r="B817" s="23">
        <v>1761.6</v>
      </c>
      <c r="C817" s="23">
        <v>0</v>
      </c>
      <c r="D817" s="23">
        <v>0</v>
      </c>
      <c r="E817" s="23">
        <v>0</v>
      </c>
      <c r="F817" s="23">
        <v>0</v>
      </c>
      <c r="G817" s="23">
        <v>0</v>
      </c>
      <c r="H817" s="23">
        <v>0</v>
      </c>
      <c r="I817" s="23">
        <v>1761.6</v>
      </c>
      <c r="J817" s="23">
        <v>0</v>
      </c>
      <c r="K817" s="23">
        <v>0</v>
      </c>
    </row>
    <row r="818" spans="1:11" x14ac:dyDescent="0.25">
      <c r="A818">
        <v>817</v>
      </c>
      <c r="B818" s="23">
        <v>1354.4</v>
      </c>
      <c r="C818" s="23">
        <v>0</v>
      </c>
      <c r="D818" s="23">
        <v>0</v>
      </c>
      <c r="E818" s="23">
        <v>0</v>
      </c>
      <c r="F818" s="23">
        <v>0</v>
      </c>
      <c r="G818" s="23">
        <v>0</v>
      </c>
      <c r="H818" s="23">
        <v>0</v>
      </c>
      <c r="I818" s="23">
        <v>1354.4</v>
      </c>
      <c r="J818" s="23">
        <v>0</v>
      </c>
      <c r="K818" s="23">
        <v>0</v>
      </c>
    </row>
    <row r="819" spans="1:11" x14ac:dyDescent="0.25">
      <c r="A819">
        <v>818</v>
      </c>
      <c r="B819" s="23">
        <v>1331.2</v>
      </c>
      <c r="C819" s="23">
        <v>0</v>
      </c>
      <c r="D819" s="23">
        <v>0</v>
      </c>
      <c r="E819" s="23">
        <v>0</v>
      </c>
      <c r="F819" s="23">
        <v>0</v>
      </c>
      <c r="G819" s="23">
        <v>0</v>
      </c>
      <c r="H819" s="23">
        <v>0</v>
      </c>
      <c r="I819" s="23">
        <v>1331.2</v>
      </c>
      <c r="J819" s="23">
        <v>0</v>
      </c>
      <c r="K819" s="23">
        <v>0</v>
      </c>
    </row>
    <row r="820" spans="1:11" x14ac:dyDescent="0.25">
      <c r="A820">
        <v>819</v>
      </c>
      <c r="B820" s="23">
        <v>1416.8</v>
      </c>
      <c r="C820" s="23">
        <v>0</v>
      </c>
      <c r="D820" s="23">
        <v>0</v>
      </c>
      <c r="E820" s="23">
        <v>0</v>
      </c>
      <c r="F820" s="23">
        <v>0</v>
      </c>
      <c r="G820" s="23">
        <v>0</v>
      </c>
      <c r="H820" s="23">
        <v>0</v>
      </c>
      <c r="I820" s="23">
        <v>1416.8</v>
      </c>
      <c r="J820" s="23">
        <v>0</v>
      </c>
      <c r="K820" s="23">
        <v>0</v>
      </c>
    </row>
    <row r="821" spans="1:11" x14ac:dyDescent="0.25">
      <c r="A821">
        <v>820</v>
      </c>
      <c r="B821" s="23">
        <v>1299.2</v>
      </c>
      <c r="C821" s="23">
        <v>0</v>
      </c>
      <c r="D821" s="23">
        <v>0</v>
      </c>
      <c r="E821" s="23">
        <v>0</v>
      </c>
      <c r="F821" s="23">
        <v>0</v>
      </c>
      <c r="G821" s="23">
        <v>0</v>
      </c>
      <c r="H821" s="23">
        <v>0</v>
      </c>
      <c r="I821" s="23">
        <v>1299.2</v>
      </c>
      <c r="J821" s="23">
        <v>0</v>
      </c>
      <c r="K821" s="23">
        <v>0</v>
      </c>
    </row>
    <row r="822" spans="1:11" x14ac:dyDescent="0.25">
      <c r="A822">
        <v>821</v>
      </c>
      <c r="B822" s="23">
        <v>1488</v>
      </c>
      <c r="C822" s="23">
        <v>0</v>
      </c>
      <c r="D822" s="23">
        <v>0</v>
      </c>
      <c r="E822" s="23">
        <v>0</v>
      </c>
      <c r="F822" s="23">
        <v>0</v>
      </c>
      <c r="G822" s="23">
        <v>0</v>
      </c>
      <c r="H822" s="23">
        <v>0</v>
      </c>
      <c r="I822" s="23">
        <v>1488</v>
      </c>
      <c r="J822" s="23">
        <v>0</v>
      </c>
      <c r="K822" s="23">
        <v>0</v>
      </c>
    </row>
    <row r="823" spans="1:11" x14ac:dyDescent="0.25">
      <c r="A823">
        <v>822</v>
      </c>
      <c r="B823" s="23">
        <v>1488.8</v>
      </c>
      <c r="C823" s="23">
        <v>0</v>
      </c>
      <c r="D823" s="23">
        <v>0</v>
      </c>
      <c r="E823" s="23">
        <v>0</v>
      </c>
      <c r="F823" s="23">
        <v>0</v>
      </c>
      <c r="G823" s="23">
        <v>0</v>
      </c>
      <c r="H823" s="23">
        <v>0</v>
      </c>
      <c r="I823" s="23">
        <v>1002.848</v>
      </c>
      <c r="J823" s="23">
        <v>0</v>
      </c>
      <c r="K823" s="23">
        <v>485.952</v>
      </c>
    </row>
    <row r="824" spans="1:11" x14ac:dyDescent="0.25">
      <c r="A824">
        <v>823</v>
      </c>
      <c r="B824" s="23">
        <v>1292.8</v>
      </c>
      <c r="C824" s="23">
        <v>34.28</v>
      </c>
      <c r="D824" s="23">
        <v>57.712000000000003</v>
      </c>
      <c r="E824" s="23">
        <v>57.712000000000003</v>
      </c>
      <c r="F824" s="23">
        <v>0</v>
      </c>
      <c r="G824" s="23">
        <v>0</v>
      </c>
      <c r="H824" s="23">
        <v>0</v>
      </c>
      <c r="I824" s="23">
        <v>0</v>
      </c>
      <c r="J824" s="23">
        <v>0</v>
      </c>
      <c r="K824" s="23">
        <v>1235.088</v>
      </c>
    </row>
    <row r="825" spans="1:11" x14ac:dyDescent="0.25">
      <c r="A825">
        <v>824</v>
      </c>
      <c r="B825" s="23">
        <v>1289.5060000000001</v>
      </c>
      <c r="C825" s="23">
        <v>263.66000000000003</v>
      </c>
      <c r="D825" s="23">
        <v>987.41399999999999</v>
      </c>
      <c r="E825" s="23">
        <v>987.41399999999999</v>
      </c>
      <c r="F825" s="23">
        <v>0</v>
      </c>
      <c r="G825" s="23">
        <v>0</v>
      </c>
      <c r="H825" s="23">
        <v>0</v>
      </c>
      <c r="I825" s="23">
        <v>0</v>
      </c>
      <c r="J825" s="23">
        <v>0</v>
      </c>
      <c r="K825" s="23">
        <v>302.09199999999998</v>
      </c>
    </row>
    <row r="826" spans="1:11" x14ac:dyDescent="0.25">
      <c r="A826">
        <v>825</v>
      </c>
      <c r="B826" s="23">
        <v>1526.73</v>
      </c>
      <c r="C826" s="23">
        <v>485.55</v>
      </c>
      <c r="D826" s="23">
        <v>1884.97</v>
      </c>
      <c r="E826" s="23">
        <v>1526.73</v>
      </c>
      <c r="F826" s="23">
        <v>-358.24</v>
      </c>
      <c r="G826" s="23">
        <v>0</v>
      </c>
      <c r="H826" s="23">
        <v>0</v>
      </c>
      <c r="I826" s="23">
        <v>0</v>
      </c>
      <c r="J826" s="23">
        <v>0</v>
      </c>
      <c r="K826" s="23">
        <v>0</v>
      </c>
    </row>
    <row r="827" spans="1:11" x14ac:dyDescent="0.25">
      <c r="A827">
        <v>826</v>
      </c>
      <c r="B827" s="23">
        <v>1083.9780000000001</v>
      </c>
      <c r="C827" s="23">
        <v>589.41999999999996</v>
      </c>
      <c r="D827" s="23">
        <v>2191.848</v>
      </c>
      <c r="E827" s="23">
        <v>1083.9780000000001</v>
      </c>
      <c r="F827" s="23">
        <v>-1107.8699999999999</v>
      </c>
      <c r="G827" s="23">
        <v>0</v>
      </c>
      <c r="H827" s="23">
        <v>0</v>
      </c>
      <c r="I827" s="23">
        <v>0</v>
      </c>
      <c r="J827" s="23">
        <v>0</v>
      </c>
      <c r="K827" s="23">
        <v>0</v>
      </c>
    </row>
    <row r="828" spans="1:11" x14ac:dyDescent="0.25">
      <c r="A828">
        <v>827</v>
      </c>
      <c r="B828" s="23">
        <v>1402.913</v>
      </c>
      <c r="C828" s="23">
        <v>650.37</v>
      </c>
      <c r="D828" s="23">
        <v>2363.4589999999998</v>
      </c>
      <c r="E828" s="23">
        <v>1402.913</v>
      </c>
      <c r="F828" s="23">
        <v>-960.54600000000005</v>
      </c>
      <c r="G828" s="23">
        <v>0</v>
      </c>
      <c r="H828" s="23">
        <v>0</v>
      </c>
      <c r="I828" s="23">
        <v>0</v>
      </c>
      <c r="J828" s="23">
        <v>0</v>
      </c>
      <c r="K828" s="23">
        <v>0</v>
      </c>
    </row>
    <row r="829" spans="1:11" x14ac:dyDescent="0.25">
      <c r="A829">
        <v>828</v>
      </c>
      <c r="B829" s="23">
        <v>1305.329</v>
      </c>
      <c r="C829" s="23">
        <v>872.38</v>
      </c>
      <c r="D829" s="23">
        <v>3083.174</v>
      </c>
      <c r="E829" s="23">
        <v>1305.33</v>
      </c>
      <c r="F829" s="23">
        <v>-1684.559</v>
      </c>
      <c r="G829" s="23">
        <v>0</v>
      </c>
      <c r="H829" s="23">
        <v>93.284999999999997</v>
      </c>
      <c r="I829" s="23">
        <v>0</v>
      </c>
      <c r="J829" s="23">
        <v>0</v>
      </c>
      <c r="K829" s="23">
        <v>0</v>
      </c>
    </row>
    <row r="830" spans="1:11" x14ac:dyDescent="0.25">
      <c r="A830">
        <v>829</v>
      </c>
      <c r="B830" s="23">
        <v>1517.9190000000001</v>
      </c>
      <c r="C830" s="23">
        <v>801.76</v>
      </c>
      <c r="D830" s="23">
        <v>2853.0129999999999</v>
      </c>
      <c r="E830" s="23">
        <v>1517.9190000000001</v>
      </c>
      <c r="F830" s="23">
        <v>-1335.0940000000001</v>
      </c>
      <c r="G830" s="23">
        <v>0</v>
      </c>
      <c r="H830" s="23">
        <v>0</v>
      </c>
      <c r="I830" s="23">
        <v>0</v>
      </c>
      <c r="J830" s="23">
        <v>0</v>
      </c>
      <c r="K830" s="23">
        <v>0</v>
      </c>
    </row>
    <row r="831" spans="1:11" x14ac:dyDescent="0.25">
      <c r="A831">
        <v>830</v>
      </c>
      <c r="B831" s="23">
        <v>1335.8779999999999</v>
      </c>
      <c r="C831" s="23">
        <v>748.45</v>
      </c>
      <c r="D831" s="23">
        <v>2703.0819999999999</v>
      </c>
      <c r="E831" s="23">
        <v>1335.8779999999999</v>
      </c>
      <c r="F831" s="23">
        <v>-1367.204</v>
      </c>
      <c r="G831" s="23">
        <v>0</v>
      </c>
      <c r="H831" s="23">
        <v>0</v>
      </c>
      <c r="I831" s="23">
        <v>0</v>
      </c>
      <c r="J831" s="23">
        <v>0</v>
      </c>
      <c r="K831" s="23">
        <v>0</v>
      </c>
    </row>
    <row r="832" spans="1:11" x14ac:dyDescent="0.25">
      <c r="A832">
        <v>831</v>
      </c>
      <c r="B832" s="23">
        <v>1360.865</v>
      </c>
      <c r="C832" s="23">
        <v>568.30999999999995</v>
      </c>
      <c r="D832" s="23">
        <v>2116.5149999999999</v>
      </c>
      <c r="E832" s="23">
        <v>1360.865</v>
      </c>
      <c r="F832" s="23">
        <v>-477.98500000000001</v>
      </c>
      <c r="G832" s="23">
        <v>0</v>
      </c>
      <c r="H832" s="23">
        <v>277.66500000000002</v>
      </c>
      <c r="I832" s="23">
        <v>0</v>
      </c>
      <c r="J832" s="23">
        <v>0</v>
      </c>
      <c r="K832" s="23">
        <v>0</v>
      </c>
    </row>
    <row r="833" spans="1:11" x14ac:dyDescent="0.25">
      <c r="A833">
        <v>832</v>
      </c>
      <c r="B833" s="23">
        <v>1604.627</v>
      </c>
      <c r="C833" s="23">
        <v>472.85</v>
      </c>
      <c r="D833" s="23">
        <v>1820.037</v>
      </c>
      <c r="E833" s="23">
        <v>1604.627</v>
      </c>
      <c r="F833" s="23">
        <v>0</v>
      </c>
      <c r="G833" s="23">
        <v>0</v>
      </c>
      <c r="H833" s="23">
        <v>215.41</v>
      </c>
      <c r="I833" s="23">
        <v>0</v>
      </c>
      <c r="J833" s="23">
        <v>0</v>
      </c>
      <c r="K833" s="23">
        <v>0</v>
      </c>
    </row>
    <row r="834" spans="1:11" x14ac:dyDescent="0.25">
      <c r="A834">
        <v>833</v>
      </c>
      <c r="B834" s="23">
        <v>1501.8019999999999</v>
      </c>
      <c r="C834" s="23">
        <v>272.93</v>
      </c>
      <c r="D834" s="23">
        <v>1044.5219999999999</v>
      </c>
      <c r="E834" s="23">
        <v>1044.5219999999999</v>
      </c>
      <c r="F834" s="23">
        <v>0</v>
      </c>
      <c r="G834" s="23">
        <v>0</v>
      </c>
      <c r="H834" s="23">
        <v>0</v>
      </c>
      <c r="I834" s="23">
        <v>457.28</v>
      </c>
      <c r="J834" s="23">
        <v>0</v>
      </c>
      <c r="K834" s="23">
        <v>0</v>
      </c>
    </row>
    <row r="835" spans="1:11" x14ac:dyDescent="0.25">
      <c r="A835">
        <v>834</v>
      </c>
      <c r="B835" s="23">
        <v>1303.8019999999999</v>
      </c>
      <c r="C835" s="23">
        <v>60.41</v>
      </c>
      <c r="D835" s="23">
        <v>174.18899999999999</v>
      </c>
      <c r="E835" s="23">
        <v>174.18899999999999</v>
      </c>
      <c r="F835" s="23">
        <v>0</v>
      </c>
      <c r="G835" s="23">
        <v>0</v>
      </c>
      <c r="H835" s="23">
        <v>0</v>
      </c>
      <c r="I835" s="23">
        <v>0</v>
      </c>
      <c r="J835" s="23">
        <v>0</v>
      </c>
      <c r="K835" s="23">
        <v>1129.6130000000001</v>
      </c>
    </row>
    <row r="836" spans="1:11" x14ac:dyDescent="0.25">
      <c r="A836">
        <v>835</v>
      </c>
      <c r="B836" s="23">
        <v>1407.7380000000001</v>
      </c>
      <c r="C836" s="23">
        <v>0</v>
      </c>
      <c r="D836" s="23">
        <v>0</v>
      </c>
      <c r="E836" s="23">
        <v>0</v>
      </c>
      <c r="F836" s="23">
        <v>0</v>
      </c>
      <c r="G836" s="23">
        <v>0</v>
      </c>
      <c r="H836" s="23">
        <v>0</v>
      </c>
      <c r="I836" s="23">
        <v>0</v>
      </c>
      <c r="J836" s="23">
        <v>0</v>
      </c>
      <c r="K836" s="23">
        <v>1407.7380000000001</v>
      </c>
    </row>
    <row r="837" spans="1:11" x14ac:dyDescent="0.25">
      <c r="A837">
        <v>836</v>
      </c>
      <c r="B837" s="23">
        <v>1397.6</v>
      </c>
      <c r="C837" s="23">
        <v>0</v>
      </c>
      <c r="D837" s="23">
        <v>0</v>
      </c>
      <c r="E837" s="23">
        <v>0</v>
      </c>
      <c r="F837" s="23">
        <v>0</v>
      </c>
      <c r="G837" s="23">
        <v>0</v>
      </c>
      <c r="H837" s="23">
        <v>0</v>
      </c>
      <c r="I837" s="23">
        <v>0</v>
      </c>
      <c r="J837" s="23">
        <v>0</v>
      </c>
      <c r="K837" s="23">
        <v>1397.6</v>
      </c>
    </row>
    <row r="838" spans="1:11" x14ac:dyDescent="0.25">
      <c r="A838">
        <v>837</v>
      </c>
      <c r="B838" s="23">
        <v>1207.2</v>
      </c>
      <c r="C838" s="23">
        <v>0</v>
      </c>
      <c r="D838" s="23">
        <v>0</v>
      </c>
      <c r="E838" s="23">
        <v>0</v>
      </c>
      <c r="F838" s="23">
        <v>0</v>
      </c>
      <c r="G838" s="23">
        <v>0</v>
      </c>
      <c r="H838" s="23">
        <v>0</v>
      </c>
      <c r="I838" s="23">
        <v>1207.2</v>
      </c>
      <c r="J838" s="23">
        <v>0</v>
      </c>
      <c r="K838" s="23">
        <v>0</v>
      </c>
    </row>
    <row r="839" spans="1:11" x14ac:dyDescent="0.25">
      <c r="A839">
        <v>838</v>
      </c>
      <c r="B839" s="23">
        <v>1357.6</v>
      </c>
      <c r="C839" s="23">
        <v>0</v>
      </c>
      <c r="D839" s="23">
        <v>0</v>
      </c>
      <c r="E839" s="23">
        <v>0</v>
      </c>
      <c r="F839" s="23">
        <v>0</v>
      </c>
      <c r="G839" s="23">
        <v>0</v>
      </c>
      <c r="H839" s="23">
        <v>0</v>
      </c>
      <c r="I839" s="23">
        <v>1357.6</v>
      </c>
      <c r="J839" s="23">
        <v>0</v>
      </c>
      <c r="K839" s="23">
        <v>0</v>
      </c>
    </row>
    <row r="840" spans="1:11" x14ac:dyDescent="0.25">
      <c r="A840">
        <v>839</v>
      </c>
      <c r="B840" s="23">
        <v>1300.8</v>
      </c>
      <c r="C840" s="23">
        <v>0</v>
      </c>
      <c r="D840" s="23">
        <v>0</v>
      </c>
      <c r="E840" s="23">
        <v>0</v>
      </c>
      <c r="F840" s="23">
        <v>0</v>
      </c>
      <c r="G840" s="23">
        <v>0</v>
      </c>
      <c r="H840" s="23">
        <v>0</v>
      </c>
      <c r="I840" s="23">
        <v>1300.8</v>
      </c>
      <c r="J840" s="23">
        <v>0</v>
      </c>
      <c r="K840" s="23">
        <v>0</v>
      </c>
    </row>
    <row r="841" spans="1:11" x14ac:dyDescent="0.25">
      <c r="A841">
        <v>840</v>
      </c>
      <c r="B841" s="23">
        <v>1248.8</v>
      </c>
      <c r="C841" s="23">
        <v>0</v>
      </c>
      <c r="D841" s="23">
        <v>0</v>
      </c>
      <c r="E841" s="23">
        <v>0</v>
      </c>
      <c r="F841" s="23">
        <v>0</v>
      </c>
      <c r="G841" s="23">
        <v>0</v>
      </c>
      <c r="H841" s="23">
        <v>0</v>
      </c>
      <c r="I841" s="23">
        <v>1248.8</v>
      </c>
      <c r="J841" s="23">
        <v>0</v>
      </c>
      <c r="K841" s="23">
        <v>0</v>
      </c>
    </row>
    <row r="842" spans="1:11" x14ac:dyDescent="0.25">
      <c r="A842">
        <v>841</v>
      </c>
      <c r="B842" s="23">
        <v>1178.4000000000001</v>
      </c>
      <c r="C842" s="23">
        <v>0</v>
      </c>
      <c r="D842" s="23">
        <v>0</v>
      </c>
      <c r="E842" s="23">
        <v>0</v>
      </c>
      <c r="F842" s="23">
        <v>0</v>
      </c>
      <c r="G842" s="23">
        <v>0</v>
      </c>
      <c r="H842" s="23">
        <v>0</v>
      </c>
      <c r="I842" s="23">
        <v>1178.4000000000001</v>
      </c>
      <c r="J842" s="23">
        <v>0</v>
      </c>
      <c r="K842" s="23">
        <v>0</v>
      </c>
    </row>
    <row r="843" spans="1:11" x14ac:dyDescent="0.25">
      <c r="A843">
        <v>842</v>
      </c>
      <c r="B843" s="23">
        <v>1225.5999999999999</v>
      </c>
      <c r="C843" s="23">
        <v>0</v>
      </c>
      <c r="D843" s="23">
        <v>0</v>
      </c>
      <c r="E843" s="23">
        <v>0</v>
      </c>
      <c r="F843" s="23">
        <v>0</v>
      </c>
      <c r="G843" s="23">
        <v>0</v>
      </c>
      <c r="H843" s="23">
        <v>0</v>
      </c>
      <c r="I843" s="23">
        <v>1225.5999999999999</v>
      </c>
      <c r="J843" s="23">
        <v>0</v>
      </c>
      <c r="K843" s="23">
        <v>0</v>
      </c>
    </row>
    <row r="844" spans="1:11" x14ac:dyDescent="0.25">
      <c r="A844">
        <v>843</v>
      </c>
      <c r="B844" s="23">
        <v>1224.8</v>
      </c>
      <c r="C844" s="23">
        <v>0</v>
      </c>
      <c r="D844" s="23">
        <v>0</v>
      </c>
      <c r="E844" s="23">
        <v>0</v>
      </c>
      <c r="F844" s="23">
        <v>0</v>
      </c>
      <c r="G844" s="23">
        <v>0</v>
      </c>
      <c r="H844" s="23">
        <v>0</v>
      </c>
      <c r="I844" s="23">
        <v>1224.8</v>
      </c>
      <c r="J844" s="23">
        <v>0</v>
      </c>
      <c r="K844" s="23">
        <v>0</v>
      </c>
    </row>
    <row r="845" spans="1:11" x14ac:dyDescent="0.25">
      <c r="A845">
        <v>844</v>
      </c>
      <c r="B845" s="23">
        <v>903.2</v>
      </c>
      <c r="C845" s="23">
        <v>0</v>
      </c>
      <c r="D845" s="23">
        <v>0</v>
      </c>
      <c r="E845" s="23">
        <v>0</v>
      </c>
      <c r="F845" s="23">
        <v>0</v>
      </c>
      <c r="G845" s="23">
        <v>0</v>
      </c>
      <c r="H845" s="23">
        <v>0</v>
      </c>
      <c r="I845" s="23">
        <v>903.2</v>
      </c>
      <c r="J845" s="23">
        <v>0</v>
      </c>
      <c r="K845" s="23">
        <v>0</v>
      </c>
    </row>
    <row r="846" spans="1:11" x14ac:dyDescent="0.25">
      <c r="A846">
        <v>845</v>
      </c>
      <c r="B846" s="23">
        <v>1121.5999999999999</v>
      </c>
      <c r="C846" s="23">
        <v>0</v>
      </c>
      <c r="D846" s="23">
        <v>0</v>
      </c>
      <c r="E846" s="23">
        <v>0</v>
      </c>
      <c r="F846" s="23">
        <v>0</v>
      </c>
      <c r="G846" s="23">
        <v>0</v>
      </c>
      <c r="H846" s="23">
        <v>0</v>
      </c>
      <c r="I846" s="23">
        <v>1121.5999999999999</v>
      </c>
      <c r="J846" s="23">
        <v>0</v>
      </c>
      <c r="K846" s="23">
        <v>0</v>
      </c>
    </row>
    <row r="847" spans="1:11" x14ac:dyDescent="0.25">
      <c r="A847">
        <v>846</v>
      </c>
      <c r="B847" s="23">
        <v>1310.4000000000001</v>
      </c>
      <c r="C847" s="23">
        <v>0</v>
      </c>
      <c r="D847" s="23">
        <v>0</v>
      </c>
      <c r="E847" s="23">
        <v>0</v>
      </c>
      <c r="F847" s="23">
        <v>0</v>
      </c>
      <c r="G847" s="23">
        <v>0</v>
      </c>
      <c r="H847" s="23">
        <v>0</v>
      </c>
      <c r="I847" s="23">
        <v>1310.4000000000001</v>
      </c>
      <c r="J847" s="23">
        <v>0</v>
      </c>
      <c r="K847" s="23">
        <v>0</v>
      </c>
    </row>
    <row r="848" spans="1:11" x14ac:dyDescent="0.25">
      <c r="A848">
        <v>847</v>
      </c>
      <c r="B848" s="23">
        <v>1152</v>
      </c>
      <c r="C848" s="23">
        <v>5.87</v>
      </c>
      <c r="D848" s="23">
        <v>0</v>
      </c>
      <c r="E848" s="23">
        <v>0</v>
      </c>
      <c r="F848" s="23">
        <v>0</v>
      </c>
      <c r="G848" s="23">
        <v>0</v>
      </c>
      <c r="H848" s="23">
        <v>0</v>
      </c>
      <c r="I848" s="23">
        <v>1152</v>
      </c>
      <c r="J848" s="23">
        <v>0</v>
      </c>
      <c r="K848" s="23">
        <v>0</v>
      </c>
    </row>
    <row r="849" spans="1:11" x14ac:dyDescent="0.25">
      <c r="A849">
        <v>848</v>
      </c>
      <c r="B849" s="23">
        <v>933.17</v>
      </c>
      <c r="C849" s="23">
        <v>57.87</v>
      </c>
      <c r="D849" s="23">
        <v>201.52699999999999</v>
      </c>
      <c r="E849" s="23">
        <v>201.52699999999999</v>
      </c>
      <c r="F849" s="23">
        <v>0</v>
      </c>
      <c r="G849" s="23">
        <v>0</v>
      </c>
      <c r="H849" s="23">
        <v>0</v>
      </c>
      <c r="I849" s="23">
        <v>305.31599999999997</v>
      </c>
      <c r="J849" s="23">
        <v>0</v>
      </c>
      <c r="K849" s="23">
        <v>426.327</v>
      </c>
    </row>
    <row r="850" spans="1:11" x14ac:dyDescent="0.25">
      <c r="A850">
        <v>849</v>
      </c>
      <c r="B850" s="23">
        <v>1215.6980000000001</v>
      </c>
      <c r="C850" s="23">
        <v>261.60000000000002</v>
      </c>
      <c r="D850" s="23">
        <v>1001.5069999999999</v>
      </c>
      <c r="E850" s="23">
        <v>1001.5069999999999</v>
      </c>
      <c r="F850" s="23">
        <v>0</v>
      </c>
      <c r="G850" s="23">
        <v>0</v>
      </c>
      <c r="H850" s="23">
        <v>0</v>
      </c>
      <c r="I850" s="23">
        <v>0</v>
      </c>
      <c r="J850" s="23">
        <v>0</v>
      </c>
      <c r="K850" s="23">
        <v>214.191</v>
      </c>
    </row>
    <row r="851" spans="1:11" x14ac:dyDescent="0.25">
      <c r="A851">
        <v>850</v>
      </c>
      <c r="B851" s="23">
        <v>1139.46</v>
      </c>
      <c r="C851" s="23">
        <v>373.8</v>
      </c>
      <c r="D851" s="23">
        <v>1398.2940000000001</v>
      </c>
      <c r="E851" s="23">
        <v>1139.46</v>
      </c>
      <c r="F851" s="23">
        <v>-258.834</v>
      </c>
      <c r="G851" s="23">
        <v>0</v>
      </c>
      <c r="H851" s="23">
        <v>0</v>
      </c>
      <c r="I851" s="23">
        <v>0</v>
      </c>
      <c r="J851" s="23">
        <v>0</v>
      </c>
      <c r="K851" s="23">
        <v>0</v>
      </c>
    </row>
    <row r="852" spans="1:11" x14ac:dyDescent="0.25">
      <c r="A852">
        <v>851</v>
      </c>
      <c r="B852" s="23">
        <v>1551.1410000000001</v>
      </c>
      <c r="C852" s="23">
        <v>486.79</v>
      </c>
      <c r="D852" s="23">
        <v>1782.249</v>
      </c>
      <c r="E852" s="23">
        <v>1551.1410000000001</v>
      </c>
      <c r="F852" s="23">
        <v>-231.108</v>
      </c>
      <c r="G852" s="23">
        <v>0</v>
      </c>
      <c r="H852" s="23">
        <v>0</v>
      </c>
      <c r="I852" s="23">
        <v>0</v>
      </c>
      <c r="J852" s="23">
        <v>0</v>
      </c>
      <c r="K852" s="23">
        <v>0</v>
      </c>
    </row>
    <row r="853" spans="1:11" x14ac:dyDescent="0.25">
      <c r="A853">
        <v>852</v>
      </c>
      <c r="B853" s="23">
        <v>1338.153</v>
      </c>
      <c r="C853" s="23">
        <v>591.12</v>
      </c>
      <c r="D853" s="23">
        <v>2128.3910000000001</v>
      </c>
      <c r="E853" s="23">
        <v>1338.153</v>
      </c>
      <c r="F853" s="23">
        <v>-790.23800000000006</v>
      </c>
      <c r="G853" s="23">
        <v>0</v>
      </c>
      <c r="H853" s="23">
        <v>0</v>
      </c>
      <c r="I853" s="23">
        <v>0</v>
      </c>
      <c r="J853" s="23">
        <v>0</v>
      </c>
      <c r="K853" s="23">
        <v>0</v>
      </c>
    </row>
    <row r="854" spans="1:11" x14ac:dyDescent="0.25">
      <c r="A854">
        <v>853</v>
      </c>
      <c r="B854" s="23">
        <v>1140.835</v>
      </c>
      <c r="C854" s="23">
        <v>976.35</v>
      </c>
      <c r="D854" s="23">
        <v>3383.7539999999999</v>
      </c>
      <c r="E854" s="23">
        <v>1140.836</v>
      </c>
      <c r="F854" s="23">
        <v>-1684.559</v>
      </c>
      <c r="G854" s="23">
        <v>0</v>
      </c>
      <c r="H854" s="23">
        <v>558.35900000000004</v>
      </c>
      <c r="I854" s="23">
        <v>0</v>
      </c>
      <c r="J854" s="23">
        <v>0</v>
      </c>
      <c r="K854" s="23">
        <v>0</v>
      </c>
    </row>
    <row r="855" spans="1:11" x14ac:dyDescent="0.25">
      <c r="A855">
        <v>854</v>
      </c>
      <c r="B855" s="23">
        <v>1315.2639999999999</v>
      </c>
      <c r="C855" s="23">
        <v>714.68</v>
      </c>
      <c r="D855" s="23">
        <v>2572.373</v>
      </c>
      <c r="E855" s="23">
        <v>1315.2639999999999</v>
      </c>
      <c r="F855" s="23">
        <v>-1257.1089999999999</v>
      </c>
      <c r="G855" s="23">
        <v>0</v>
      </c>
      <c r="H855" s="23">
        <v>0</v>
      </c>
      <c r="I855" s="23">
        <v>0</v>
      </c>
      <c r="J855" s="23">
        <v>0</v>
      </c>
      <c r="K855" s="23">
        <v>0</v>
      </c>
    </row>
    <row r="856" spans="1:11" x14ac:dyDescent="0.25">
      <c r="A856">
        <v>855</v>
      </c>
      <c r="B856" s="23">
        <v>1361.037</v>
      </c>
      <c r="C856" s="23">
        <v>555.04999999999995</v>
      </c>
      <c r="D856" s="23">
        <v>2057.558</v>
      </c>
      <c r="E856" s="23">
        <v>1361.037</v>
      </c>
      <c r="F856" s="23">
        <v>-696.52099999999996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</row>
    <row r="857" spans="1:11" x14ac:dyDescent="0.25">
      <c r="A857">
        <v>856</v>
      </c>
      <c r="B857" s="23">
        <v>1270.539</v>
      </c>
      <c r="C857" s="23">
        <v>377</v>
      </c>
      <c r="D857" s="23">
        <v>1444.171</v>
      </c>
      <c r="E857" s="23">
        <v>1270.539</v>
      </c>
      <c r="F857" s="23">
        <v>-173.63200000000001</v>
      </c>
      <c r="G857" s="23">
        <v>0</v>
      </c>
      <c r="H857" s="23">
        <v>0</v>
      </c>
      <c r="I857" s="23">
        <v>0</v>
      </c>
      <c r="J857" s="23">
        <v>0</v>
      </c>
      <c r="K857" s="23">
        <v>0</v>
      </c>
    </row>
    <row r="858" spans="1:11" x14ac:dyDescent="0.25">
      <c r="A858">
        <v>857</v>
      </c>
      <c r="B858" s="23">
        <v>1377.713</v>
      </c>
      <c r="C858" s="23">
        <v>246.62</v>
      </c>
      <c r="D858" s="23">
        <v>938.76800000000003</v>
      </c>
      <c r="E858" s="23">
        <v>938.76800000000003</v>
      </c>
      <c r="F858" s="23">
        <v>0</v>
      </c>
      <c r="G858" s="23">
        <v>0</v>
      </c>
      <c r="H858" s="23">
        <v>0</v>
      </c>
      <c r="I858" s="23">
        <v>438.94499999999999</v>
      </c>
      <c r="J858" s="23">
        <v>0</v>
      </c>
      <c r="K858" s="23">
        <v>0</v>
      </c>
    </row>
    <row r="859" spans="1:11" x14ac:dyDescent="0.25">
      <c r="A859">
        <v>858</v>
      </c>
      <c r="B859" s="23">
        <v>1430.203</v>
      </c>
      <c r="C859" s="23">
        <v>70.44</v>
      </c>
      <c r="D859" s="23">
        <v>202.43600000000001</v>
      </c>
      <c r="E859" s="23">
        <v>202.43600000000001</v>
      </c>
      <c r="F859" s="23">
        <v>0</v>
      </c>
      <c r="G859" s="23">
        <v>0</v>
      </c>
      <c r="H859" s="23">
        <v>0</v>
      </c>
      <c r="I859" s="23">
        <v>0</v>
      </c>
      <c r="J859" s="23">
        <v>0</v>
      </c>
      <c r="K859" s="23">
        <v>1227.7670000000001</v>
      </c>
    </row>
    <row r="860" spans="1:11" x14ac:dyDescent="0.25">
      <c r="A860">
        <v>859</v>
      </c>
      <c r="B860" s="23">
        <v>1135.9000000000001</v>
      </c>
      <c r="C860" s="23">
        <v>0</v>
      </c>
      <c r="D860" s="23">
        <v>0</v>
      </c>
      <c r="E860" s="23">
        <v>0</v>
      </c>
      <c r="F860" s="23">
        <v>0</v>
      </c>
      <c r="G860" s="23">
        <v>0</v>
      </c>
      <c r="H860" s="23">
        <v>0</v>
      </c>
      <c r="I860" s="23">
        <v>0</v>
      </c>
      <c r="J860" s="23">
        <v>0</v>
      </c>
      <c r="K860" s="23">
        <v>1135.9000000000001</v>
      </c>
    </row>
    <row r="861" spans="1:11" x14ac:dyDescent="0.25">
      <c r="A861">
        <v>860</v>
      </c>
      <c r="B861" s="23">
        <v>1324</v>
      </c>
      <c r="C861" s="23">
        <v>0</v>
      </c>
      <c r="D861" s="23">
        <v>0</v>
      </c>
      <c r="E861" s="23">
        <v>0</v>
      </c>
      <c r="F861" s="23">
        <v>0</v>
      </c>
      <c r="G861" s="23">
        <v>0</v>
      </c>
      <c r="H861" s="23">
        <v>0</v>
      </c>
      <c r="I861" s="23">
        <v>0</v>
      </c>
      <c r="J861" s="23">
        <v>0</v>
      </c>
      <c r="K861" s="23">
        <v>1324</v>
      </c>
    </row>
    <row r="862" spans="1:11" x14ac:dyDescent="0.25">
      <c r="A862">
        <v>861</v>
      </c>
      <c r="B862" s="23">
        <v>1216.8</v>
      </c>
      <c r="C862" s="23">
        <v>0</v>
      </c>
      <c r="D862" s="23">
        <v>0</v>
      </c>
      <c r="E862" s="23">
        <v>0</v>
      </c>
      <c r="F862" s="23">
        <v>0</v>
      </c>
      <c r="G862" s="23">
        <v>0</v>
      </c>
      <c r="H862" s="23">
        <v>0</v>
      </c>
      <c r="I862" s="23">
        <v>513.197</v>
      </c>
      <c r="J862" s="23">
        <v>0</v>
      </c>
      <c r="K862" s="23">
        <v>703.60299999999995</v>
      </c>
    </row>
    <row r="863" spans="1:11" x14ac:dyDescent="0.25">
      <c r="A863">
        <v>862</v>
      </c>
      <c r="B863" s="23">
        <v>1368.8</v>
      </c>
      <c r="C863" s="23">
        <v>0</v>
      </c>
      <c r="D863" s="23">
        <v>0</v>
      </c>
      <c r="E863" s="23">
        <v>0</v>
      </c>
      <c r="F863" s="23">
        <v>0</v>
      </c>
      <c r="G863" s="23">
        <v>0</v>
      </c>
      <c r="H863" s="23">
        <v>0</v>
      </c>
      <c r="I863" s="23">
        <v>0</v>
      </c>
      <c r="J863" s="23">
        <v>0</v>
      </c>
      <c r="K863" s="23">
        <v>1368.8</v>
      </c>
    </row>
    <row r="864" spans="1:11" x14ac:dyDescent="0.25">
      <c r="A864">
        <v>863</v>
      </c>
      <c r="B864" s="23">
        <v>1304</v>
      </c>
      <c r="C864" s="23">
        <v>0</v>
      </c>
      <c r="D864" s="23">
        <v>0</v>
      </c>
      <c r="E864" s="23">
        <v>0</v>
      </c>
      <c r="F864" s="23">
        <v>0</v>
      </c>
      <c r="G864" s="23">
        <v>0</v>
      </c>
      <c r="H864" s="23">
        <v>0</v>
      </c>
      <c r="I864" s="23">
        <v>1304</v>
      </c>
      <c r="J864" s="23">
        <v>0</v>
      </c>
      <c r="K864" s="23">
        <v>0</v>
      </c>
    </row>
    <row r="865" spans="1:11" x14ac:dyDescent="0.25">
      <c r="A865">
        <v>864</v>
      </c>
      <c r="B865" s="23">
        <v>504</v>
      </c>
      <c r="C865" s="23">
        <v>0</v>
      </c>
      <c r="D865" s="23">
        <v>0</v>
      </c>
      <c r="E865" s="23">
        <v>0</v>
      </c>
      <c r="F865" s="23">
        <v>0</v>
      </c>
      <c r="G865" s="23">
        <v>0</v>
      </c>
      <c r="H865" s="23">
        <v>0</v>
      </c>
      <c r="I865" s="23">
        <v>504</v>
      </c>
      <c r="J865" s="23">
        <v>0</v>
      </c>
      <c r="K865" s="23">
        <v>0</v>
      </c>
    </row>
    <row r="866" spans="1:11" x14ac:dyDescent="0.25">
      <c r="A866">
        <v>865</v>
      </c>
      <c r="B866" s="23">
        <v>308.8</v>
      </c>
      <c r="C866" s="23">
        <v>0</v>
      </c>
      <c r="D866" s="23">
        <v>0</v>
      </c>
      <c r="E866" s="23">
        <v>0</v>
      </c>
      <c r="F866" s="23">
        <v>0</v>
      </c>
      <c r="G866" s="23">
        <v>0</v>
      </c>
      <c r="H866" s="23">
        <v>0</v>
      </c>
      <c r="I866" s="23">
        <v>308.8</v>
      </c>
      <c r="J866" s="23">
        <v>0</v>
      </c>
      <c r="K866" s="23">
        <v>0</v>
      </c>
    </row>
    <row r="867" spans="1:11" x14ac:dyDescent="0.25">
      <c r="A867">
        <v>866</v>
      </c>
      <c r="B867" s="23">
        <v>223.2</v>
      </c>
      <c r="C867" s="23">
        <v>0</v>
      </c>
      <c r="D867" s="23">
        <v>0</v>
      </c>
      <c r="E867" s="23">
        <v>0</v>
      </c>
      <c r="F867" s="23">
        <v>0</v>
      </c>
      <c r="G867" s="23">
        <v>0</v>
      </c>
      <c r="H867" s="23">
        <v>0</v>
      </c>
      <c r="I867" s="23">
        <v>223.2</v>
      </c>
      <c r="J867" s="23">
        <v>0</v>
      </c>
      <c r="K867" s="23">
        <v>0</v>
      </c>
    </row>
    <row r="868" spans="1:11" x14ac:dyDescent="0.25">
      <c r="A868">
        <v>867</v>
      </c>
      <c r="B868" s="23">
        <v>305.60000000000002</v>
      </c>
      <c r="C868" s="23">
        <v>0</v>
      </c>
      <c r="D868" s="23">
        <v>0</v>
      </c>
      <c r="E868" s="23">
        <v>0</v>
      </c>
      <c r="F868" s="23">
        <v>0</v>
      </c>
      <c r="G868" s="23">
        <v>0</v>
      </c>
      <c r="H868" s="23">
        <v>0</v>
      </c>
      <c r="I868" s="23">
        <v>305.60000000000002</v>
      </c>
      <c r="J868" s="23">
        <v>0</v>
      </c>
      <c r="K868" s="23">
        <v>0</v>
      </c>
    </row>
    <row r="869" spans="1:11" x14ac:dyDescent="0.25">
      <c r="A869">
        <v>868</v>
      </c>
      <c r="B869" s="23">
        <v>234.4</v>
      </c>
      <c r="C869" s="23">
        <v>0</v>
      </c>
      <c r="D869" s="23">
        <v>0</v>
      </c>
      <c r="E869" s="23">
        <v>0</v>
      </c>
      <c r="F869" s="23">
        <v>0</v>
      </c>
      <c r="G869" s="23">
        <v>0</v>
      </c>
      <c r="H869" s="23">
        <v>0</v>
      </c>
      <c r="I869" s="23">
        <v>234.4</v>
      </c>
      <c r="J869" s="23">
        <v>0</v>
      </c>
      <c r="K869" s="23">
        <v>0</v>
      </c>
    </row>
    <row r="870" spans="1:11" x14ac:dyDescent="0.25">
      <c r="A870">
        <v>869</v>
      </c>
      <c r="B870" s="23">
        <v>284.8</v>
      </c>
      <c r="C870" s="23">
        <v>0</v>
      </c>
      <c r="D870" s="23">
        <v>0</v>
      </c>
      <c r="E870" s="23">
        <v>0</v>
      </c>
      <c r="F870" s="23">
        <v>0</v>
      </c>
      <c r="G870" s="23">
        <v>0</v>
      </c>
      <c r="H870" s="23">
        <v>0</v>
      </c>
      <c r="I870" s="23">
        <v>0</v>
      </c>
      <c r="J870" s="23">
        <v>0</v>
      </c>
      <c r="K870" s="23">
        <v>284.8</v>
      </c>
    </row>
    <row r="871" spans="1:11" x14ac:dyDescent="0.25">
      <c r="A871">
        <v>870</v>
      </c>
      <c r="B871" s="23">
        <v>280.8</v>
      </c>
      <c r="C871" s="23">
        <v>0</v>
      </c>
      <c r="D871" s="23">
        <v>0</v>
      </c>
      <c r="E871" s="23">
        <v>0</v>
      </c>
      <c r="F871" s="23">
        <v>0</v>
      </c>
      <c r="G871" s="23">
        <v>0</v>
      </c>
      <c r="H871" s="23">
        <v>0</v>
      </c>
      <c r="I871" s="23">
        <v>0</v>
      </c>
      <c r="J871" s="23">
        <v>0</v>
      </c>
      <c r="K871" s="23">
        <v>280.8</v>
      </c>
    </row>
    <row r="872" spans="1:11" x14ac:dyDescent="0.25">
      <c r="A872">
        <v>871</v>
      </c>
      <c r="B872" s="23">
        <v>279.2</v>
      </c>
      <c r="C872" s="23">
        <v>30.51</v>
      </c>
      <c r="D872" s="23">
        <v>53.021000000000001</v>
      </c>
      <c r="E872" s="23">
        <v>53.021000000000001</v>
      </c>
      <c r="F872" s="23">
        <v>0</v>
      </c>
      <c r="G872" s="23">
        <v>0</v>
      </c>
      <c r="H872" s="23">
        <v>0</v>
      </c>
      <c r="I872" s="23">
        <v>0</v>
      </c>
      <c r="J872" s="23">
        <v>0</v>
      </c>
      <c r="K872" s="23">
        <v>226.179</v>
      </c>
    </row>
    <row r="873" spans="1:11" x14ac:dyDescent="0.25">
      <c r="A873">
        <v>872</v>
      </c>
      <c r="B873" s="23">
        <v>207.88399999999999</v>
      </c>
      <c r="C873" s="23">
        <v>261.95999999999998</v>
      </c>
      <c r="D873" s="23">
        <v>996.48</v>
      </c>
      <c r="E873" s="23">
        <v>207.88399999999999</v>
      </c>
      <c r="F873" s="23">
        <v>-788.596</v>
      </c>
      <c r="G873" s="23">
        <v>0</v>
      </c>
      <c r="H873" s="23">
        <v>0</v>
      </c>
      <c r="I873" s="23">
        <v>0</v>
      </c>
      <c r="J873" s="23">
        <v>0</v>
      </c>
      <c r="K873" s="23">
        <v>0</v>
      </c>
    </row>
    <row r="874" spans="1:11" x14ac:dyDescent="0.25">
      <c r="A874">
        <v>873</v>
      </c>
      <c r="B874" s="23">
        <v>1383.4079999999999</v>
      </c>
      <c r="C874" s="23">
        <v>517.78</v>
      </c>
      <c r="D874" s="23">
        <v>2046.653</v>
      </c>
      <c r="E874" s="23">
        <v>1383.4079999999999</v>
      </c>
      <c r="F874" s="23">
        <v>-663.245</v>
      </c>
      <c r="G874" s="23">
        <v>0</v>
      </c>
      <c r="H874" s="23">
        <v>0</v>
      </c>
      <c r="I874" s="23">
        <v>0</v>
      </c>
      <c r="J874" s="23">
        <v>0</v>
      </c>
      <c r="K874" s="23">
        <v>0</v>
      </c>
    </row>
    <row r="875" spans="1:11" x14ac:dyDescent="0.25">
      <c r="A875">
        <v>874</v>
      </c>
      <c r="B875" s="23">
        <v>1305.53</v>
      </c>
      <c r="C875" s="23">
        <v>736.83</v>
      </c>
      <c r="D875" s="23">
        <v>2760.5250000000001</v>
      </c>
      <c r="E875" s="23">
        <v>1305.53</v>
      </c>
      <c r="F875" s="23">
        <v>-1454.9949999999999</v>
      </c>
      <c r="G875" s="23">
        <v>0</v>
      </c>
      <c r="H875" s="23">
        <v>0</v>
      </c>
      <c r="I875" s="23">
        <v>0</v>
      </c>
      <c r="J875" s="23">
        <v>0</v>
      </c>
      <c r="K875" s="23">
        <v>0</v>
      </c>
    </row>
    <row r="876" spans="1:11" x14ac:dyDescent="0.25">
      <c r="A876">
        <v>875</v>
      </c>
      <c r="B876" s="23">
        <v>1615.0409999999999</v>
      </c>
      <c r="C876" s="23">
        <v>829.29</v>
      </c>
      <c r="D876" s="23">
        <v>2995.5729999999999</v>
      </c>
      <c r="E876" s="23">
        <v>1615.0409999999999</v>
      </c>
      <c r="F876" s="23">
        <v>-1380.5319999999999</v>
      </c>
      <c r="G876" s="23">
        <v>0</v>
      </c>
      <c r="H876" s="23">
        <v>0</v>
      </c>
      <c r="I876" s="23">
        <v>0</v>
      </c>
      <c r="J876" s="23">
        <v>0</v>
      </c>
      <c r="K876" s="23">
        <v>0</v>
      </c>
    </row>
    <row r="877" spans="1:11" x14ac:dyDescent="0.25">
      <c r="A877">
        <v>876</v>
      </c>
      <c r="B877" s="23">
        <v>1779.002</v>
      </c>
      <c r="C877" s="23">
        <v>861.64</v>
      </c>
      <c r="D877" s="23">
        <v>3080.5439999999999</v>
      </c>
      <c r="E877" s="23">
        <v>1779.002</v>
      </c>
      <c r="F877" s="23">
        <v>-1301.5419999999999</v>
      </c>
      <c r="G877" s="23">
        <v>0</v>
      </c>
      <c r="H877" s="23">
        <v>0</v>
      </c>
      <c r="I877" s="23">
        <v>0</v>
      </c>
      <c r="J877" s="23">
        <v>0</v>
      </c>
      <c r="K877" s="23">
        <v>0</v>
      </c>
    </row>
    <row r="878" spans="1:11" x14ac:dyDescent="0.25">
      <c r="A878">
        <v>877</v>
      </c>
      <c r="B878" s="23">
        <v>1624.258</v>
      </c>
      <c r="C878" s="23">
        <v>831.04</v>
      </c>
      <c r="D878" s="23">
        <v>2991.8789999999999</v>
      </c>
      <c r="E878" s="23">
        <v>1624.258</v>
      </c>
      <c r="F878" s="23">
        <v>-1367.6210000000001</v>
      </c>
      <c r="G878" s="23">
        <v>0</v>
      </c>
      <c r="H878" s="23">
        <v>0</v>
      </c>
      <c r="I878" s="23">
        <v>0</v>
      </c>
      <c r="J878" s="23">
        <v>0</v>
      </c>
      <c r="K878" s="23">
        <v>0</v>
      </c>
    </row>
    <row r="879" spans="1:11" x14ac:dyDescent="0.25">
      <c r="A879">
        <v>878</v>
      </c>
      <c r="B879" s="23">
        <v>1539.01</v>
      </c>
      <c r="C879" s="23">
        <v>770.61</v>
      </c>
      <c r="D879" s="23">
        <v>2814.5230000000001</v>
      </c>
      <c r="E879" s="23">
        <v>1539.01</v>
      </c>
      <c r="F879" s="23">
        <v>-334.96699999999998</v>
      </c>
      <c r="G879" s="23">
        <v>0</v>
      </c>
      <c r="H879" s="23">
        <v>940.54600000000005</v>
      </c>
      <c r="I879" s="23">
        <v>0</v>
      </c>
      <c r="J879" s="23">
        <v>0</v>
      </c>
      <c r="K879" s="23">
        <v>0</v>
      </c>
    </row>
    <row r="880" spans="1:11" x14ac:dyDescent="0.25">
      <c r="A880">
        <v>879</v>
      </c>
      <c r="B880" s="23">
        <v>1787.6890000000001</v>
      </c>
      <c r="C880" s="23">
        <v>537.55999999999995</v>
      </c>
      <c r="D880" s="23">
        <v>2019.89</v>
      </c>
      <c r="E880" s="23">
        <v>1787.6890000000001</v>
      </c>
      <c r="F880" s="23">
        <v>0</v>
      </c>
      <c r="G880" s="23">
        <v>0</v>
      </c>
      <c r="H880" s="23">
        <v>232.20099999999999</v>
      </c>
      <c r="I880" s="23">
        <v>0</v>
      </c>
      <c r="J880" s="23">
        <v>0</v>
      </c>
      <c r="K880" s="23">
        <v>0</v>
      </c>
    </row>
    <row r="881" spans="1:11" x14ac:dyDescent="0.25">
      <c r="A881">
        <v>880</v>
      </c>
      <c r="B881" s="23">
        <v>1354.3040000000001</v>
      </c>
      <c r="C881" s="23">
        <v>407.35</v>
      </c>
      <c r="D881" s="23">
        <v>1568.2270000000001</v>
      </c>
      <c r="E881" s="23">
        <v>1354.3040000000001</v>
      </c>
      <c r="F881" s="23">
        <v>0</v>
      </c>
      <c r="G881" s="23">
        <v>0</v>
      </c>
      <c r="H881" s="23">
        <v>213.923</v>
      </c>
      <c r="I881" s="23">
        <v>0</v>
      </c>
      <c r="J881" s="23">
        <v>0</v>
      </c>
      <c r="K881" s="23">
        <v>0</v>
      </c>
    </row>
    <row r="882" spans="1:11" x14ac:dyDescent="0.25">
      <c r="A882">
        <v>881</v>
      </c>
      <c r="B882" s="23">
        <v>1620.241</v>
      </c>
      <c r="C882" s="23">
        <v>171.76</v>
      </c>
      <c r="D882" s="23">
        <v>647.91499999999996</v>
      </c>
      <c r="E882" s="23">
        <v>647.91499999999996</v>
      </c>
      <c r="F882" s="23">
        <v>0</v>
      </c>
      <c r="G882" s="23">
        <v>0</v>
      </c>
      <c r="H882" s="23">
        <v>0</v>
      </c>
      <c r="I882" s="23">
        <v>972.32600000000002</v>
      </c>
      <c r="J882" s="23">
        <v>0</v>
      </c>
      <c r="K882" s="23">
        <v>0</v>
      </c>
    </row>
    <row r="883" spans="1:11" x14ac:dyDescent="0.25">
      <c r="A883">
        <v>882</v>
      </c>
      <c r="B883" s="23">
        <v>1300.99</v>
      </c>
      <c r="C883" s="23">
        <v>56.77</v>
      </c>
      <c r="D883" s="23">
        <v>159.88</v>
      </c>
      <c r="E883" s="23">
        <v>159.88</v>
      </c>
      <c r="F883" s="23">
        <v>0</v>
      </c>
      <c r="G883" s="23">
        <v>0</v>
      </c>
      <c r="H883" s="23">
        <v>0</v>
      </c>
      <c r="I883" s="23">
        <v>0</v>
      </c>
      <c r="J883" s="23">
        <v>0</v>
      </c>
      <c r="K883" s="23">
        <v>1141.1099999999999</v>
      </c>
    </row>
    <row r="884" spans="1:11" x14ac:dyDescent="0.25">
      <c r="A884">
        <v>883</v>
      </c>
      <c r="B884" s="23">
        <v>1394.069</v>
      </c>
      <c r="C884" s="23">
        <v>0</v>
      </c>
      <c r="D884" s="23">
        <v>0</v>
      </c>
      <c r="E884" s="23">
        <v>0</v>
      </c>
      <c r="F884" s="23">
        <v>0</v>
      </c>
      <c r="G884" s="23">
        <v>0</v>
      </c>
      <c r="H884" s="23">
        <v>0</v>
      </c>
      <c r="I884" s="23">
        <v>0</v>
      </c>
      <c r="J884" s="23">
        <v>0</v>
      </c>
      <c r="K884" s="23">
        <v>1394.069</v>
      </c>
    </row>
    <row r="885" spans="1:11" x14ac:dyDescent="0.25">
      <c r="A885">
        <v>884</v>
      </c>
      <c r="B885" s="23">
        <v>1272</v>
      </c>
      <c r="C885" s="23">
        <v>0</v>
      </c>
      <c r="D885" s="23">
        <v>0</v>
      </c>
      <c r="E885" s="23">
        <v>0</v>
      </c>
      <c r="F885" s="23">
        <v>0</v>
      </c>
      <c r="G885" s="23">
        <v>0</v>
      </c>
      <c r="H885" s="23">
        <v>0</v>
      </c>
      <c r="I885" s="23">
        <v>0</v>
      </c>
      <c r="J885" s="23">
        <v>0</v>
      </c>
      <c r="K885" s="23">
        <v>1272</v>
      </c>
    </row>
    <row r="886" spans="1:11" x14ac:dyDescent="0.25">
      <c r="A886">
        <v>885</v>
      </c>
      <c r="B886" s="23">
        <v>1471.2</v>
      </c>
      <c r="C886" s="23">
        <v>0</v>
      </c>
      <c r="D886" s="23">
        <v>0</v>
      </c>
      <c r="E886" s="23">
        <v>0</v>
      </c>
      <c r="F886" s="23">
        <v>0</v>
      </c>
      <c r="G886" s="23">
        <v>0</v>
      </c>
      <c r="H886" s="23">
        <v>0</v>
      </c>
      <c r="I886" s="23">
        <v>1471.2</v>
      </c>
      <c r="J886" s="23">
        <v>0</v>
      </c>
      <c r="K886" s="23">
        <v>0</v>
      </c>
    </row>
    <row r="887" spans="1:11" x14ac:dyDescent="0.25">
      <c r="A887">
        <v>886</v>
      </c>
      <c r="B887" s="23">
        <v>1444</v>
      </c>
      <c r="C887" s="23">
        <v>0</v>
      </c>
      <c r="D887" s="23">
        <v>0</v>
      </c>
      <c r="E887" s="23">
        <v>0</v>
      </c>
      <c r="F887" s="23">
        <v>0</v>
      </c>
      <c r="G887" s="23">
        <v>0</v>
      </c>
      <c r="H887" s="23">
        <v>0</v>
      </c>
      <c r="I887" s="23">
        <v>70.891000000000005</v>
      </c>
      <c r="J887" s="23">
        <v>0</v>
      </c>
      <c r="K887" s="23">
        <v>1373.1089999999999</v>
      </c>
    </row>
    <row r="888" spans="1:11" x14ac:dyDescent="0.25">
      <c r="A888">
        <v>887</v>
      </c>
      <c r="B888" s="23">
        <v>1357.6</v>
      </c>
      <c r="C888" s="23">
        <v>0</v>
      </c>
      <c r="D888" s="23">
        <v>0</v>
      </c>
      <c r="E888" s="23">
        <v>0</v>
      </c>
      <c r="F888" s="23">
        <v>0</v>
      </c>
      <c r="G888" s="23">
        <v>0</v>
      </c>
      <c r="H888" s="23">
        <v>0</v>
      </c>
      <c r="I888" s="23">
        <v>1357.6</v>
      </c>
      <c r="J888" s="23">
        <v>0</v>
      </c>
      <c r="K888" s="23">
        <v>0</v>
      </c>
    </row>
    <row r="889" spans="1:11" x14ac:dyDescent="0.25">
      <c r="A889">
        <v>888</v>
      </c>
      <c r="B889" s="23">
        <v>576.79999999999995</v>
      </c>
      <c r="C889" s="23">
        <v>0</v>
      </c>
      <c r="D889" s="23">
        <v>0</v>
      </c>
      <c r="E889" s="23">
        <v>0</v>
      </c>
      <c r="F889" s="23">
        <v>0</v>
      </c>
      <c r="G889" s="23">
        <v>0</v>
      </c>
      <c r="H889" s="23">
        <v>0</v>
      </c>
      <c r="I889" s="23">
        <v>576.79999999999995</v>
      </c>
      <c r="J889" s="23">
        <v>0</v>
      </c>
      <c r="K889" s="23">
        <v>0</v>
      </c>
    </row>
    <row r="890" spans="1:11" x14ac:dyDescent="0.25">
      <c r="A890">
        <v>889</v>
      </c>
      <c r="B890" s="23">
        <v>498.4</v>
      </c>
      <c r="C890" s="23">
        <v>0</v>
      </c>
      <c r="D890" s="23">
        <v>0</v>
      </c>
      <c r="E890" s="23">
        <v>0</v>
      </c>
      <c r="F890" s="23">
        <v>0</v>
      </c>
      <c r="G890" s="23">
        <v>0</v>
      </c>
      <c r="H890" s="23">
        <v>0</v>
      </c>
      <c r="I890" s="23">
        <v>498.4</v>
      </c>
      <c r="J890" s="23">
        <v>0</v>
      </c>
      <c r="K890" s="23">
        <v>0</v>
      </c>
    </row>
    <row r="891" spans="1:11" x14ac:dyDescent="0.25">
      <c r="A891">
        <v>890</v>
      </c>
      <c r="B891" s="23">
        <v>498.4</v>
      </c>
      <c r="C891" s="23">
        <v>0</v>
      </c>
      <c r="D891" s="23">
        <v>0</v>
      </c>
      <c r="E891" s="23">
        <v>0</v>
      </c>
      <c r="F891" s="23">
        <v>0</v>
      </c>
      <c r="G891" s="23">
        <v>0</v>
      </c>
      <c r="H891" s="23">
        <v>0</v>
      </c>
      <c r="I891" s="23">
        <v>498.4</v>
      </c>
      <c r="J891" s="23">
        <v>0</v>
      </c>
      <c r="K891" s="23">
        <v>0</v>
      </c>
    </row>
    <row r="892" spans="1:11" x14ac:dyDescent="0.25">
      <c r="A892">
        <v>891</v>
      </c>
      <c r="B892" s="23">
        <v>504</v>
      </c>
      <c r="C892" s="23">
        <v>0</v>
      </c>
      <c r="D892" s="23">
        <v>0</v>
      </c>
      <c r="E892" s="23">
        <v>0</v>
      </c>
      <c r="F892" s="23">
        <v>0</v>
      </c>
      <c r="G892" s="23">
        <v>0</v>
      </c>
      <c r="H892" s="23">
        <v>0</v>
      </c>
      <c r="I892" s="23">
        <v>504</v>
      </c>
      <c r="J892" s="23">
        <v>0</v>
      </c>
      <c r="K892" s="23">
        <v>0</v>
      </c>
    </row>
    <row r="893" spans="1:11" x14ac:dyDescent="0.25">
      <c r="A893">
        <v>892</v>
      </c>
      <c r="B893" s="23">
        <v>421.6</v>
      </c>
      <c r="C893" s="23">
        <v>0</v>
      </c>
      <c r="D893" s="23">
        <v>0</v>
      </c>
      <c r="E893" s="23">
        <v>0</v>
      </c>
      <c r="F893" s="23">
        <v>0</v>
      </c>
      <c r="G893" s="23">
        <v>0</v>
      </c>
      <c r="H893" s="23">
        <v>0</v>
      </c>
      <c r="I893" s="23">
        <v>421.6</v>
      </c>
      <c r="J893" s="23">
        <v>0</v>
      </c>
      <c r="K893" s="23">
        <v>0</v>
      </c>
    </row>
    <row r="894" spans="1:11" x14ac:dyDescent="0.25">
      <c r="A894">
        <v>893</v>
      </c>
      <c r="B894" s="23">
        <v>485.6</v>
      </c>
      <c r="C894" s="23">
        <v>0</v>
      </c>
      <c r="D894" s="23">
        <v>0</v>
      </c>
      <c r="E894" s="23">
        <v>0</v>
      </c>
      <c r="F894" s="23">
        <v>0</v>
      </c>
      <c r="G894" s="23">
        <v>0</v>
      </c>
      <c r="H894" s="23">
        <v>0</v>
      </c>
      <c r="I894" s="23">
        <v>0</v>
      </c>
      <c r="J894" s="23">
        <v>0</v>
      </c>
      <c r="K894" s="23">
        <v>485.6</v>
      </c>
    </row>
    <row r="895" spans="1:11" x14ac:dyDescent="0.25">
      <c r="A895">
        <v>894</v>
      </c>
      <c r="B895" s="23">
        <v>467.2</v>
      </c>
      <c r="C895" s="23">
        <v>0</v>
      </c>
      <c r="D895" s="23">
        <v>0</v>
      </c>
      <c r="E895" s="23">
        <v>0</v>
      </c>
      <c r="F895" s="23">
        <v>0</v>
      </c>
      <c r="G895" s="23">
        <v>0</v>
      </c>
      <c r="H895" s="23">
        <v>0</v>
      </c>
      <c r="I895" s="23">
        <v>0</v>
      </c>
      <c r="J895" s="23">
        <v>0</v>
      </c>
      <c r="K895" s="23">
        <v>467.2</v>
      </c>
    </row>
    <row r="896" spans="1:11" x14ac:dyDescent="0.25">
      <c r="A896">
        <v>895</v>
      </c>
      <c r="B896" s="23">
        <v>472</v>
      </c>
      <c r="C896" s="23">
        <v>29.23</v>
      </c>
      <c r="D896" s="23">
        <v>53.238</v>
      </c>
      <c r="E896" s="23">
        <v>53.238</v>
      </c>
      <c r="F896" s="23">
        <v>0</v>
      </c>
      <c r="G896" s="23">
        <v>0</v>
      </c>
      <c r="H896" s="23">
        <v>0</v>
      </c>
      <c r="I896" s="23">
        <v>0</v>
      </c>
      <c r="J896" s="23">
        <v>0</v>
      </c>
      <c r="K896" s="23">
        <v>418.762</v>
      </c>
    </row>
    <row r="897" spans="1:11" x14ac:dyDescent="0.25">
      <c r="A897">
        <v>896</v>
      </c>
      <c r="B897" s="23">
        <v>385.52199999999999</v>
      </c>
      <c r="C897" s="23">
        <v>254.82</v>
      </c>
      <c r="D897" s="23">
        <v>992.51299999999992</v>
      </c>
      <c r="E897" s="23">
        <v>385.52199999999999</v>
      </c>
      <c r="F897" s="23">
        <v>-606.99099999999999</v>
      </c>
      <c r="G897" s="23">
        <v>0</v>
      </c>
      <c r="H897" s="23">
        <v>0</v>
      </c>
      <c r="I897" s="23">
        <v>0</v>
      </c>
      <c r="J897" s="23">
        <v>0</v>
      </c>
      <c r="K897" s="23">
        <v>0</v>
      </c>
    </row>
    <row r="898" spans="1:11" x14ac:dyDescent="0.25">
      <c r="A898">
        <v>897</v>
      </c>
      <c r="B898" s="23">
        <v>1044.8140000000001</v>
      </c>
      <c r="C898" s="23">
        <v>512.13</v>
      </c>
      <c r="D898" s="23">
        <v>2074.5740000000001</v>
      </c>
      <c r="E898" s="23">
        <v>1044.8140000000001</v>
      </c>
      <c r="F898" s="23">
        <v>-1029.76</v>
      </c>
      <c r="G898" s="23">
        <v>0</v>
      </c>
      <c r="H898" s="23">
        <v>0</v>
      </c>
      <c r="I898" s="23">
        <v>0</v>
      </c>
      <c r="J898" s="23">
        <v>0</v>
      </c>
      <c r="K898" s="23">
        <v>0</v>
      </c>
    </row>
    <row r="899" spans="1:11" x14ac:dyDescent="0.25">
      <c r="A899">
        <v>898</v>
      </c>
      <c r="B899" s="23">
        <v>1692.6489999999999</v>
      </c>
      <c r="C899" s="23">
        <v>738.73</v>
      </c>
      <c r="D899" s="23">
        <v>2864.5279999999998</v>
      </c>
      <c r="E899" s="23">
        <v>1692.6489999999999</v>
      </c>
      <c r="F899" s="23">
        <v>-1171.8789999999999</v>
      </c>
      <c r="G899" s="23">
        <v>0</v>
      </c>
      <c r="H899" s="23">
        <v>0</v>
      </c>
      <c r="I899" s="23">
        <v>0</v>
      </c>
      <c r="J899" s="23">
        <v>0</v>
      </c>
      <c r="K899" s="23">
        <v>0</v>
      </c>
    </row>
    <row r="900" spans="1:11" x14ac:dyDescent="0.25">
      <c r="A900">
        <v>899</v>
      </c>
      <c r="B900" s="23">
        <v>1873.143</v>
      </c>
      <c r="C900" s="23">
        <v>903.12</v>
      </c>
      <c r="D900" s="23">
        <v>3380.8870000000002</v>
      </c>
      <c r="E900" s="23">
        <v>1873.143</v>
      </c>
      <c r="F900" s="23">
        <v>-1507.7439999999999</v>
      </c>
      <c r="G900" s="23">
        <v>0</v>
      </c>
      <c r="H900" s="23">
        <v>0</v>
      </c>
      <c r="I900" s="23">
        <v>0</v>
      </c>
      <c r="J900" s="23">
        <v>0</v>
      </c>
      <c r="K900" s="23">
        <v>0</v>
      </c>
    </row>
    <row r="901" spans="1:11" x14ac:dyDescent="0.25">
      <c r="A901">
        <v>900</v>
      </c>
      <c r="B901" s="23">
        <v>1814.7529999999999</v>
      </c>
      <c r="C901" s="23">
        <v>999.36</v>
      </c>
      <c r="D901" s="23">
        <v>3666.6770000000001</v>
      </c>
      <c r="E901" s="23">
        <v>1814.7529999999999</v>
      </c>
      <c r="F901" s="23">
        <v>-1684.559</v>
      </c>
      <c r="G901" s="23">
        <v>0</v>
      </c>
      <c r="H901" s="23">
        <v>167.36500000000001</v>
      </c>
      <c r="I901" s="23">
        <v>0</v>
      </c>
      <c r="J901" s="23">
        <v>0</v>
      </c>
      <c r="K901" s="23">
        <v>0</v>
      </c>
    </row>
    <row r="902" spans="1:11" x14ac:dyDescent="0.25">
      <c r="A902">
        <v>901</v>
      </c>
      <c r="B902" s="23">
        <v>1605.7639999999999</v>
      </c>
      <c r="C902" s="23">
        <v>969.82</v>
      </c>
      <c r="D902" s="23">
        <v>3554.7710000000002</v>
      </c>
      <c r="E902" s="23">
        <v>1605.7629999999999</v>
      </c>
      <c r="F902" s="23">
        <v>-1290.566</v>
      </c>
      <c r="G902" s="23">
        <v>0</v>
      </c>
      <c r="H902" s="23">
        <v>658.44200000000001</v>
      </c>
      <c r="I902" s="23">
        <v>0</v>
      </c>
      <c r="J902" s="23">
        <v>0</v>
      </c>
      <c r="K902" s="23">
        <v>0</v>
      </c>
    </row>
    <row r="903" spans="1:11" x14ac:dyDescent="0.25">
      <c r="A903">
        <v>902</v>
      </c>
      <c r="B903" s="23">
        <v>1656.9290000000001</v>
      </c>
      <c r="C903" s="23">
        <v>939.51</v>
      </c>
      <c r="D903" s="23">
        <v>3470.8429999999998</v>
      </c>
      <c r="E903" s="23">
        <v>1656.9290000000001</v>
      </c>
      <c r="F903" s="23">
        <v>0</v>
      </c>
      <c r="G903" s="23">
        <v>0</v>
      </c>
      <c r="H903" s="23">
        <v>1813.914</v>
      </c>
      <c r="I903" s="23">
        <v>0</v>
      </c>
      <c r="J903" s="23">
        <v>0</v>
      </c>
      <c r="K903" s="23">
        <v>0</v>
      </c>
    </row>
    <row r="904" spans="1:11" x14ac:dyDescent="0.25">
      <c r="A904">
        <v>903</v>
      </c>
      <c r="B904" s="23">
        <v>1959.9659999999999</v>
      </c>
      <c r="C904" s="23">
        <v>789.59</v>
      </c>
      <c r="D904" s="23">
        <v>2982.7359999999999</v>
      </c>
      <c r="E904" s="23">
        <v>1959.9659999999999</v>
      </c>
      <c r="F904" s="23">
        <v>0</v>
      </c>
      <c r="G904" s="23">
        <v>0</v>
      </c>
      <c r="H904" s="23">
        <v>1022.77</v>
      </c>
      <c r="I904" s="23">
        <v>0</v>
      </c>
      <c r="J904" s="23">
        <v>0</v>
      </c>
      <c r="K904" s="23">
        <v>0</v>
      </c>
    </row>
    <row r="905" spans="1:11" x14ac:dyDescent="0.25">
      <c r="A905">
        <v>904</v>
      </c>
      <c r="B905" s="23">
        <v>1925.1279999999999</v>
      </c>
      <c r="C905" s="23">
        <v>572.86</v>
      </c>
      <c r="D905" s="23">
        <v>2232.7959999999998</v>
      </c>
      <c r="E905" s="23">
        <v>1925.1279999999999</v>
      </c>
      <c r="F905" s="23">
        <v>0</v>
      </c>
      <c r="G905" s="23">
        <v>0</v>
      </c>
      <c r="H905" s="23">
        <v>307.66800000000001</v>
      </c>
      <c r="I905" s="23">
        <v>0</v>
      </c>
      <c r="J905" s="23">
        <v>0</v>
      </c>
      <c r="K905" s="23">
        <v>0</v>
      </c>
    </row>
    <row r="906" spans="1:11" x14ac:dyDescent="0.25">
      <c r="A906">
        <v>905</v>
      </c>
      <c r="B906" s="23">
        <v>1644.797</v>
      </c>
      <c r="C906" s="23">
        <v>316.01</v>
      </c>
      <c r="D906" s="23">
        <v>1222.751</v>
      </c>
      <c r="E906" s="23">
        <v>1222.751</v>
      </c>
      <c r="F906" s="23">
        <v>0</v>
      </c>
      <c r="G906" s="23">
        <v>0</v>
      </c>
      <c r="H906" s="23">
        <v>0</v>
      </c>
      <c r="I906" s="23">
        <v>422.04599999999999</v>
      </c>
      <c r="J906" s="23">
        <v>0</v>
      </c>
      <c r="K906" s="23">
        <v>0</v>
      </c>
    </row>
    <row r="907" spans="1:11" x14ac:dyDescent="0.25">
      <c r="A907">
        <v>906</v>
      </c>
      <c r="B907" s="23">
        <v>1796.8320000000001</v>
      </c>
      <c r="C907" s="23">
        <v>69.430000000000007</v>
      </c>
      <c r="D907" s="23">
        <v>204.53800000000001</v>
      </c>
      <c r="E907" s="23">
        <v>204.53800000000001</v>
      </c>
      <c r="F907" s="23">
        <v>0</v>
      </c>
      <c r="G907" s="23">
        <v>0</v>
      </c>
      <c r="H907" s="23">
        <v>0</v>
      </c>
      <c r="I907" s="23">
        <v>0</v>
      </c>
      <c r="J907" s="23">
        <v>0</v>
      </c>
      <c r="K907" s="23">
        <v>1592.2940000000001</v>
      </c>
    </row>
    <row r="908" spans="1:11" x14ac:dyDescent="0.25">
      <c r="A908">
        <v>907</v>
      </c>
      <c r="B908" s="23">
        <v>1564.0050000000001</v>
      </c>
      <c r="C908" s="23">
        <v>0</v>
      </c>
      <c r="D908" s="23">
        <v>0</v>
      </c>
      <c r="E908" s="23">
        <v>0</v>
      </c>
      <c r="F908" s="23">
        <v>0</v>
      </c>
      <c r="G908" s="23">
        <v>0</v>
      </c>
      <c r="H908" s="23">
        <v>0</v>
      </c>
      <c r="I908" s="23">
        <v>0</v>
      </c>
      <c r="J908" s="23">
        <v>0</v>
      </c>
      <c r="K908" s="23">
        <v>1564.0050000000001</v>
      </c>
    </row>
    <row r="909" spans="1:11" x14ac:dyDescent="0.25">
      <c r="A909">
        <v>908</v>
      </c>
      <c r="B909" s="23">
        <v>1423.2</v>
      </c>
      <c r="C909" s="23">
        <v>0</v>
      </c>
      <c r="D909" s="23">
        <v>0</v>
      </c>
      <c r="E909" s="23">
        <v>0</v>
      </c>
      <c r="F909" s="23">
        <v>0</v>
      </c>
      <c r="G909" s="23">
        <v>0</v>
      </c>
      <c r="H909" s="23">
        <v>0</v>
      </c>
      <c r="I909" s="23">
        <v>0</v>
      </c>
      <c r="J909" s="23">
        <v>0</v>
      </c>
      <c r="K909" s="23">
        <v>1423.2</v>
      </c>
    </row>
    <row r="910" spans="1:11" x14ac:dyDescent="0.25">
      <c r="A910">
        <v>909</v>
      </c>
      <c r="B910" s="23">
        <v>1762.4</v>
      </c>
      <c r="C910" s="23">
        <v>0</v>
      </c>
      <c r="D910" s="23">
        <v>0</v>
      </c>
      <c r="E910" s="23">
        <v>0</v>
      </c>
      <c r="F910" s="23">
        <v>0</v>
      </c>
      <c r="G910" s="23">
        <v>0</v>
      </c>
      <c r="H910" s="23">
        <v>0</v>
      </c>
      <c r="I910" s="23">
        <v>1762.4</v>
      </c>
      <c r="J910" s="23">
        <v>0</v>
      </c>
      <c r="K910" s="23">
        <v>0</v>
      </c>
    </row>
    <row r="911" spans="1:11" x14ac:dyDescent="0.25">
      <c r="A911">
        <v>910</v>
      </c>
      <c r="B911" s="23">
        <v>1525.6</v>
      </c>
      <c r="C911" s="23">
        <v>0</v>
      </c>
      <c r="D911" s="23">
        <v>0</v>
      </c>
      <c r="E911" s="23">
        <v>0</v>
      </c>
      <c r="F911" s="23">
        <v>0</v>
      </c>
      <c r="G911" s="23">
        <v>0</v>
      </c>
      <c r="H911" s="23">
        <v>0</v>
      </c>
      <c r="I911" s="23">
        <v>920.83</v>
      </c>
      <c r="J911" s="23">
        <v>0</v>
      </c>
      <c r="K911" s="23">
        <v>604.77</v>
      </c>
    </row>
    <row r="912" spans="1:11" x14ac:dyDescent="0.25">
      <c r="A912">
        <v>911</v>
      </c>
      <c r="B912" s="23">
        <v>1706.4</v>
      </c>
      <c r="C912" s="23">
        <v>0</v>
      </c>
      <c r="D912" s="23">
        <v>0</v>
      </c>
      <c r="E912" s="23">
        <v>0</v>
      </c>
      <c r="F912" s="23">
        <v>0</v>
      </c>
      <c r="G912" s="23">
        <v>0</v>
      </c>
      <c r="H912" s="23">
        <v>0</v>
      </c>
      <c r="I912" s="23">
        <v>1706.4</v>
      </c>
      <c r="J912" s="23">
        <v>0</v>
      </c>
      <c r="K912" s="23">
        <v>0</v>
      </c>
    </row>
    <row r="913" spans="1:11" x14ac:dyDescent="0.25">
      <c r="A913">
        <v>912</v>
      </c>
      <c r="B913" s="23">
        <v>526.4</v>
      </c>
      <c r="C913" s="23">
        <v>0</v>
      </c>
      <c r="D913" s="23">
        <v>0</v>
      </c>
      <c r="E913" s="23">
        <v>0</v>
      </c>
      <c r="F913" s="23">
        <v>0</v>
      </c>
      <c r="G913" s="23">
        <v>0</v>
      </c>
      <c r="H913" s="23">
        <v>0</v>
      </c>
      <c r="I913" s="23">
        <v>526.4</v>
      </c>
      <c r="J913" s="23">
        <v>0</v>
      </c>
      <c r="K913" s="23">
        <v>0</v>
      </c>
    </row>
    <row r="914" spans="1:11" x14ac:dyDescent="0.25">
      <c r="A914">
        <v>913</v>
      </c>
      <c r="B914" s="23">
        <v>477.6</v>
      </c>
      <c r="C914" s="23">
        <v>0</v>
      </c>
      <c r="D914" s="23">
        <v>0</v>
      </c>
      <c r="E914" s="23">
        <v>0</v>
      </c>
      <c r="F914" s="23">
        <v>0</v>
      </c>
      <c r="G914" s="23">
        <v>0</v>
      </c>
      <c r="H914" s="23">
        <v>0</v>
      </c>
      <c r="I914" s="23">
        <v>477.6</v>
      </c>
      <c r="J914" s="23">
        <v>0</v>
      </c>
      <c r="K914" s="23">
        <v>0</v>
      </c>
    </row>
    <row r="915" spans="1:11" x14ac:dyDescent="0.25">
      <c r="A915">
        <v>914</v>
      </c>
      <c r="B915" s="23">
        <v>487.2</v>
      </c>
      <c r="C915" s="23">
        <v>0</v>
      </c>
      <c r="D915" s="23">
        <v>0</v>
      </c>
      <c r="E915" s="23">
        <v>0</v>
      </c>
      <c r="F915" s="23">
        <v>0</v>
      </c>
      <c r="G915" s="23">
        <v>0</v>
      </c>
      <c r="H915" s="23">
        <v>0</v>
      </c>
      <c r="I915" s="23">
        <v>487.2</v>
      </c>
      <c r="J915" s="23">
        <v>0</v>
      </c>
      <c r="K915" s="23">
        <v>0</v>
      </c>
    </row>
    <row r="916" spans="1:11" x14ac:dyDescent="0.25">
      <c r="A916">
        <v>915</v>
      </c>
      <c r="B916" s="23">
        <v>450.4</v>
      </c>
      <c r="C916" s="23">
        <v>0</v>
      </c>
      <c r="D916" s="23">
        <v>0</v>
      </c>
      <c r="E916" s="23">
        <v>0</v>
      </c>
      <c r="F916" s="23">
        <v>0</v>
      </c>
      <c r="G916" s="23">
        <v>0</v>
      </c>
      <c r="H916" s="23">
        <v>0</v>
      </c>
      <c r="I916" s="23">
        <v>450.4</v>
      </c>
      <c r="J916" s="23">
        <v>0</v>
      </c>
      <c r="K916" s="23">
        <v>0</v>
      </c>
    </row>
    <row r="917" spans="1:11" x14ac:dyDescent="0.25">
      <c r="A917">
        <v>916</v>
      </c>
      <c r="B917" s="23">
        <v>410.4</v>
      </c>
      <c r="C917" s="23">
        <v>0</v>
      </c>
      <c r="D917" s="23">
        <v>0</v>
      </c>
      <c r="E917" s="23">
        <v>0</v>
      </c>
      <c r="F917" s="23">
        <v>0</v>
      </c>
      <c r="G917" s="23">
        <v>0</v>
      </c>
      <c r="H917" s="23">
        <v>0</v>
      </c>
      <c r="I917" s="23">
        <v>410.4</v>
      </c>
      <c r="J917" s="23">
        <v>0</v>
      </c>
      <c r="K917" s="23">
        <v>0</v>
      </c>
    </row>
    <row r="918" spans="1:11" x14ac:dyDescent="0.25">
      <c r="A918">
        <v>917</v>
      </c>
      <c r="B918" s="23">
        <v>498.4</v>
      </c>
      <c r="C918" s="23">
        <v>0</v>
      </c>
      <c r="D918" s="23">
        <v>0</v>
      </c>
      <c r="E918" s="23">
        <v>0</v>
      </c>
      <c r="F918" s="23">
        <v>0</v>
      </c>
      <c r="G918" s="23">
        <v>0</v>
      </c>
      <c r="H918" s="23">
        <v>0</v>
      </c>
      <c r="I918" s="23">
        <v>0</v>
      </c>
      <c r="J918" s="23">
        <v>0</v>
      </c>
      <c r="K918" s="23">
        <v>498.4</v>
      </c>
    </row>
    <row r="919" spans="1:11" x14ac:dyDescent="0.25">
      <c r="A919">
        <v>918</v>
      </c>
      <c r="B919" s="23">
        <v>480.8</v>
      </c>
      <c r="C919" s="23">
        <v>0</v>
      </c>
      <c r="D919" s="23">
        <v>0</v>
      </c>
      <c r="E919" s="23">
        <v>0</v>
      </c>
      <c r="F919" s="23">
        <v>0</v>
      </c>
      <c r="G919" s="23">
        <v>0</v>
      </c>
      <c r="H919" s="23">
        <v>0</v>
      </c>
      <c r="I919" s="23">
        <v>0</v>
      </c>
      <c r="J919" s="23">
        <v>0</v>
      </c>
      <c r="K919" s="23">
        <v>480.8</v>
      </c>
    </row>
    <row r="920" spans="1:11" x14ac:dyDescent="0.25">
      <c r="A920">
        <v>919</v>
      </c>
      <c r="B920" s="23">
        <v>402.4</v>
      </c>
      <c r="C920" s="23">
        <v>12.68</v>
      </c>
      <c r="D920" s="23">
        <v>14.02</v>
      </c>
      <c r="E920" s="23">
        <v>14.02</v>
      </c>
      <c r="F920" s="23">
        <v>0</v>
      </c>
      <c r="G920" s="23">
        <v>0</v>
      </c>
      <c r="H920" s="23">
        <v>0</v>
      </c>
      <c r="I920" s="23">
        <v>0</v>
      </c>
      <c r="J920" s="23">
        <v>0</v>
      </c>
      <c r="K920" s="23">
        <v>388.38</v>
      </c>
    </row>
    <row r="921" spans="1:11" x14ac:dyDescent="0.25">
      <c r="A921">
        <v>920</v>
      </c>
      <c r="B921" s="23">
        <v>183.58199999999999</v>
      </c>
      <c r="C921" s="23">
        <v>260.62</v>
      </c>
      <c r="D921" s="23">
        <v>1018.884</v>
      </c>
      <c r="E921" s="23">
        <v>183.58199999999999</v>
      </c>
      <c r="F921" s="23">
        <v>-835.30200000000002</v>
      </c>
      <c r="G921" s="23">
        <v>0</v>
      </c>
      <c r="H921" s="23">
        <v>0</v>
      </c>
      <c r="I921" s="23">
        <v>0</v>
      </c>
      <c r="J921" s="23">
        <v>0</v>
      </c>
      <c r="K921" s="23">
        <v>0</v>
      </c>
    </row>
    <row r="922" spans="1:11" x14ac:dyDescent="0.25">
      <c r="A922">
        <v>921</v>
      </c>
      <c r="B922" s="23">
        <v>1361.4359999999999</v>
      </c>
      <c r="C922" s="23">
        <v>523.11</v>
      </c>
      <c r="D922" s="23">
        <v>2096.8130000000001</v>
      </c>
      <c r="E922" s="23">
        <v>1361.4359999999999</v>
      </c>
      <c r="F922" s="23">
        <v>-735.37699999999995</v>
      </c>
      <c r="G922" s="23">
        <v>0</v>
      </c>
      <c r="H922" s="23">
        <v>0</v>
      </c>
      <c r="I922" s="23">
        <v>0</v>
      </c>
      <c r="J922" s="23">
        <v>0</v>
      </c>
      <c r="K922" s="23">
        <v>0</v>
      </c>
    </row>
    <row r="923" spans="1:11" x14ac:dyDescent="0.25">
      <c r="A923">
        <v>922</v>
      </c>
      <c r="B923" s="23">
        <v>1498.8989999999999</v>
      </c>
      <c r="C923" s="23">
        <v>749.82</v>
      </c>
      <c r="D923" s="23">
        <v>2819.451</v>
      </c>
      <c r="E923" s="23">
        <v>1498.8989999999999</v>
      </c>
      <c r="F923" s="23">
        <v>-1320.5519999999999</v>
      </c>
      <c r="G923" s="23">
        <v>0</v>
      </c>
      <c r="H923" s="23">
        <v>0</v>
      </c>
      <c r="I923" s="23">
        <v>0</v>
      </c>
      <c r="J923" s="23">
        <v>0</v>
      </c>
      <c r="K923" s="23">
        <v>0</v>
      </c>
    </row>
    <row r="924" spans="1:11" x14ac:dyDescent="0.25">
      <c r="A924">
        <v>923</v>
      </c>
      <c r="B924" s="23">
        <v>1608.087</v>
      </c>
      <c r="C924" s="23">
        <v>919.71</v>
      </c>
      <c r="D924" s="23">
        <v>3270.009</v>
      </c>
      <c r="E924" s="23">
        <v>1608.087</v>
      </c>
      <c r="F924" s="23">
        <v>-1661.922</v>
      </c>
      <c r="G924" s="23">
        <v>0</v>
      </c>
      <c r="H924" s="23">
        <v>0</v>
      </c>
      <c r="I924" s="23">
        <v>0</v>
      </c>
      <c r="J924" s="23">
        <v>0</v>
      </c>
      <c r="K924" s="23">
        <v>0</v>
      </c>
    </row>
    <row r="925" spans="1:11" x14ac:dyDescent="0.25">
      <c r="A925">
        <v>924</v>
      </c>
      <c r="B925" s="23">
        <v>1399.808</v>
      </c>
      <c r="C925" s="23">
        <v>1018.64</v>
      </c>
      <c r="D925" s="23">
        <v>3518.7559999999999</v>
      </c>
      <c r="E925" s="23">
        <v>1399.809</v>
      </c>
      <c r="F925" s="23">
        <v>-1684.559</v>
      </c>
      <c r="G925" s="23">
        <v>0</v>
      </c>
      <c r="H925" s="23">
        <v>434.38799999999998</v>
      </c>
      <c r="I925" s="23">
        <v>0</v>
      </c>
      <c r="J925" s="23">
        <v>0</v>
      </c>
      <c r="K925" s="23">
        <v>0</v>
      </c>
    </row>
    <row r="926" spans="1:11" x14ac:dyDescent="0.25">
      <c r="A926">
        <v>925</v>
      </c>
      <c r="B926" s="23">
        <v>1724.0060000000001</v>
      </c>
      <c r="C926" s="23">
        <v>1031.69</v>
      </c>
      <c r="D926" s="23">
        <v>3553.5210000000011</v>
      </c>
      <c r="E926" s="23">
        <v>1724.0060000000001</v>
      </c>
      <c r="F926" s="23">
        <v>-1053.7860000000001</v>
      </c>
      <c r="G926" s="23">
        <v>0</v>
      </c>
      <c r="H926" s="23">
        <v>775.72900000000004</v>
      </c>
      <c r="I926" s="23">
        <v>0</v>
      </c>
      <c r="J926" s="23">
        <v>0</v>
      </c>
      <c r="K926" s="23">
        <v>0</v>
      </c>
    </row>
    <row r="927" spans="1:11" x14ac:dyDescent="0.25">
      <c r="A927">
        <v>926</v>
      </c>
      <c r="B927" s="23">
        <v>1255.2650000000001</v>
      </c>
      <c r="C927" s="23">
        <v>959.58</v>
      </c>
      <c r="D927" s="23">
        <v>3376.842000000001</v>
      </c>
      <c r="E927" s="23">
        <v>1255.2650000000001</v>
      </c>
      <c r="F927" s="23">
        <v>0</v>
      </c>
      <c r="G927" s="23">
        <v>0</v>
      </c>
      <c r="H927" s="23">
        <v>2121.5770000000002</v>
      </c>
      <c r="I927" s="23">
        <v>0</v>
      </c>
      <c r="J927" s="23">
        <v>0</v>
      </c>
      <c r="K927" s="23">
        <v>0</v>
      </c>
    </row>
    <row r="928" spans="1:11" x14ac:dyDescent="0.25">
      <c r="A928">
        <v>927</v>
      </c>
      <c r="B928" s="23">
        <v>1125.5</v>
      </c>
      <c r="C928" s="23">
        <v>808.74</v>
      </c>
      <c r="D928" s="23">
        <v>2963.0590000000002</v>
      </c>
      <c r="E928" s="23">
        <v>1125.5</v>
      </c>
      <c r="F928" s="23">
        <v>0</v>
      </c>
      <c r="G928" s="23">
        <v>0</v>
      </c>
      <c r="H928" s="23">
        <v>1837.559</v>
      </c>
      <c r="I928" s="23">
        <v>0</v>
      </c>
      <c r="J928" s="23">
        <v>0</v>
      </c>
      <c r="K928" s="23">
        <v>0</v>
      </c>
    </row>
    <row r="929" spans="1:11" x14ac:dyDescent="0.25">
      <c r="A929">
        <v>928</v>
      </c>
      <c r="B929" s="23">
        <v>1614.058</v>
      </c>
      <c r="C929" s="23">
        <v>596.08000000000004</v>
      </c>
      <c r="D929" s="23">
        <v>2288.1680000000001</v>
      </c>
      <c r="E929" s="23">
        <v>1614.058</v>
      </c>
      <c r="F929" s="23">
        <v>0</v>
      </c>
      <c r="G929" s="23">
        <v>0</v>
      </c>
      <c r="H929" s="23">
        <v>674.11</v>
      </c>
      <c r="I929" s="23">
        <v>0</v>
      </c>
      <c r="J929" s="23">
        <v>0</v>
      </c>
      <c r="K929" s="23">
        <v>0</v>
      </c>
    </row>
    <row r="930" spans="1:11" x14ac:dyDescent="0.25">
      <c r="A930">
        <v>929</v>
      </c>
      <c r="B930" s="23">
        <v>1453.8589999999999</v>
      </c>
      <c r="C930" s="23">
        <v>339.87</v>
      </c>
      <c r="D930" s="23">
        <v>1308.7760000000001</v>
      </c>
      <c r="E930" s="23">
        <v>1308.7760000000001</v>
      </c>
      <c r="F930" s="23">
        <v>0</v>
      </c>
      <c r="G930" s="23">
        <v>0</v>
      </c>
      <c r="H930" s="23">
        <v>0</v>
      </c>
      <c r="I930" s="23">
        <v>145.083</v>
      </c>
      <c r="J930" s="23">
        <v>0</v>
      </c>
      <c r="K930" s="23">
        <v>0</v>
      </c>
    </row>
    <row r="931" spans="1:11" x14ac:dyDescent="0.25">
      <c r="A931">
        <v>930</v>
      </c>
      <c r="B931" s="23">
        <v>1370.1089999999999</v>
      </c>
      <c r="C931" s="23">
        <v>67.819999999999993</v>
      </c>
      <c r="D931" s="23">
        <v>200.023</v>
      </c>
      <c r="E931" s="23">
        <v>200.023</v>
      </c>
      <c r="F931" s="23">
        <v>0</v>
      </c>
      <c r="G931" s="23">
        <v>0</v>
      </c>
      <c r="H931" s="23">
        <v>0</v>
      </c>
      <c r="I931" s="23">
        <v>0</v>
      </c>
      <c r="J931" s="23">
        <v>0</v>
      </c>
      <c r="K931" s="23">
        <v>1170.086</v>
      </c>
    </row>
    <row r="932" spans="1:11" x14ac:dyDescent="0.25">
      <c r="A932">
        <v>931</v>
      </c>
      <c r="B932" s="23">
        <v>1452.1690000000001</v>
      </c>
      <c r="C932" s="23">
        <v>0</v>
      </c>
      <c r="D932" s="23">
        <v>0</v>
      </c>
      <c r="E932" s="23">
        <v>0</v>
      </c>
      <c r="F932" s="23">
        <v>0</v>
      </c>
      <c r="G932" s="23">
        <v>0</v>
      </c>
      <c r="H932" s="23">
        <v>0</v>
      </c>
      <c r="I932" s="23">
        <v>0</v>
      </c>
      <c r="J932" s="23">
        <v>0</v>
      </c>
      <c r="K932" s="23">
        <v>1452.1690000000001</v>
      </c>
    </row>
    <row r="933" spans="1:11" x14ac:dyDescent="0.25">
      <c r="A933">
        <v>932</v>
      </c>
      <c r="B933" s="23">
        <v>1032</v>
      </c>
      <c r="C933" s="23">
        <v>0</v>
      </c>
      <c r="D933" s="23">
        <v>0</v>
      </c>
      <c r="E933" s="23">
        <v>0</v>
      </c>
      <c r="F933" s="23">
        <v>0</v>
      </c>
      <c r="G933" s="23">
        <v>0</v>
      </c>
      <c r="H933" s="23">
        <v>0</v>
      </c>
      <c r="I933" s="23">
        <v>0</v>
      </c>
      <c r="J933" s="23">
        <v>0</v>
      </c>
      <c r="K933" s="23">
        <v>1032</v>
      </c>
    </row>
    <row r="934" spans="1:11" x14ac:dyDescent="0.25">
      <c r="A934">
        <v>933</v>
      </c>
      <c r="B934" s="23">
        <v>1212.8</v>
      </c>
      <c r="C934" s="23">
        <v>0</v>
      </c>
      <c r="D934" s="23">
        <v>0</v>
      </c>
      <c r="E934" s="23">
        <v>0</v>
      </c>
      <c r="F934" s="23">
        <v>0</v>
      </c>
      <c r="G934" s="23">
        <v>0</v>
      </c>
      <c r="H934" s="23">
        <v>0</v>
      </c>
      <c r="I934" s="23">
        <v>1212.8</v>
      </c>
      <c r="J934" s="23">
        <v>0</v>
      </c>
      <c r="K934" s="23">
        <v>0</v>
      </c>
    </row>
    <row r="935" spans="1:11" x14ac:dyDescent="0.25">
      <c r="A935">
        <v>934</v>
      </c>
      <c r="B935" s="23">
        <v>1396.8</v>
      </c>
      <c r="C935" s="23">
        <v>0</v>
      </c>
      <c r="D935" s="23">
        <v>0</v>
      </c>
      <c r="E935" s="23">
        <v>0</v>
      </c>
      <c r="F935" s="23">
        <v>0</v>
      </c>
      <c r="G935" s="23">
        <v>0</v>
      </c>
      <c r="H935" s="23">
        <v>0</v>
      </c>
      <c r="I935" s="23">
        <v>1396.8</v>
      </c>
      <c r="J935" s="23">
        <v>0</v>
      </c>
      <c r="K935" s="23">
        <v>0</v>
      </c>
    </row>
    <row r="936" spans="1:11" x14ac:dyDescent="0.25">
      <c r="A936">
        <v>935</v>
      </c>
      <c r="B936" s="23">
        <v>964</v>
      </c>
      <c r="C936" s="23">
        <v>0</v>
      </c>
      <c r="D936" s="23">
        <v>0</v>
      </c>
      <c r="E936" s="23">
        <v>0</v>
      </c>
      <c r="F936" s="23">
        <v>0</v>
      </c>
      <c r="G936" s="23">
        <v>0</v>
      </c>
      <c r="H936" s="23">
        <v>0</v>
      </c>
      <c r="I936" s="23">
        <v>964</v>
      </c>
      <c r="J936" s="23">
        <v>0</v>
      </c>
      <c r="K936" s="23">
        <v>0</v>
      </c>
    </row>
    <row r="937" spans="1:11" x14ac:dyDescent="0.25">
      <c r="A937">
        <v>936</v>
      </c>
      <c r="B937" s="23">
        <v>1384.8</v>
      </c>
      <c r="C937" s="23">
        <v>0</v>
      </c>
      <c r="D937" s="23">
        <v>0</v>
      </c>
      <c r="E937" s="23">
        <v>0</v>
      </c>
      <c r="F937" s="23">
        <v>0</v>
      </c>
      <c r="G937" s="23">
        <v>0</v>
      </c>
      <c r="H937" s="23">
        <v>0</v>
      </c>
      <c r="I937" s="23">
        <v>1384.8</v>
      </c>
      <c r="J937" s="23">
        <v>0</v>
      </c>
      <c r="K937" s="23">
        <v>0</v>
      </c>
    </row>
    <row r="938" spans="1:11" x14ac:dyDescent="0.25">
      <c r="A938">
        <v>937</v>
      </c>
      <c r="B938" s="23">
        <v>1120</v>
      </c>
      <c r="C938" s="23">
        <v>0</v>
      </c>
      <c r="D938" s="23">
        <v>0</v>
      </c>
      <c r="E938" s="23">
        <v>0</v>
      </c>
      <c r="F938" s="23">
        <v>0</v>
      </c>
      <c r="G938" s="23">
        <v>0</v>
      </c>
      <c r="H938" s="23">
        <v>0</v>
      </c>
      <c r="I938" s="23">
        <v>1120</v>
      </c>
      <c r="J938" s="23">
        <v>0</v>
      </c>
      <c r="K938" s="23">
        <v>0</v>
      </c>
    </row>
    <row r="939" spans="1:11" x14ac:dyDescent="0.25">
      <c r="A939">
        <v>938</v>
      </c>
      <c r="B939" s="23">
        <v>1568.8</v>
      </c>
      <c r="C939" s="23">
        <v>0</v>
      </c>
      <c r="D939" s="23">
        <v>0</v>
      </c>
      <c r="E939" s="23">
        <v>0</v>
      </c>
      <c r="F939" s="23">
        <v>0</v>
      </c>
      <c r="G939" s="23">
        <v>0</v>
      </c>
      <c r="H939" s="23">
        <v>0</v>
      </c>
      <c r="I939" s="23">
        <v>1568.8</v>
      </c>
      <c r="J939" s="23">
        <v>0</v>
      </c>
      <c r="K939" s="23">
        <v>0</v>
      </c>
    </row>
    <row r="940" spans="1:11" x14ac:dyDescent="0.25">
      <c r="A940">
        <v>939</v>
      </c>
      <c r="B940" s="23">
        <v>1411.2</v>
      </c>
      <c r="C940" s="23">
        <v>0</v>
      </c>
      <c r="D940" s="23">
        <v>0</v>
      </c>
      <c r="E940" s="23">
        <v>0</v>
      </c>
      <c r="F940" s="23">
        <v>0</v>
      </c>
      <c r="G940" s="23">
        <v>0</v>
      </c>
      <c r="H940" s="23">
        <v>0</v>
      </c>
      <c r="I940" s="23">
        <v>1411.2</v>
      </c>
      <c r="J940" s="23">
        <v>0</v>
      </c>
      <c r="K940" s="23">
        <v>0</v>
      </c>
    </row>
    <row r="941" spans="1:11" x14ac:dyDescent="0.25">
      <c r="A941">
        <v>940</v>
      </c>
      <c r="B941" s="23">
        <v>1482.4</v>
      </c>
      <c r="C941" s="23">
        <v>0</v>
      </c>
      <c r="D941" s="23">
        <v>0</v>
      </c>
      <c r="E941" s="23">
        <v>0</v>
      </c>
      <c r="F941" s="23">
        <v>0</v>
      </c>
      <c r="G941" s="23">
        <v>0</v>
      </c>
      <c r="H941" s="23">
        <v>0</v>
      </c>
      <c r="I941" s="23">
        <v>1482.4</v>
      </c>
      <c r="J941" s="23">
        <v>0</v>
      </c>
      <c r="K941" s="23">
        <v>0</v>
      </c>
    </row>
    <row r="942" spans="1:11" x14ac:dyDescent="0.25">
      <c r="A942">
        <v>941</v>
      </c>
      <c r="B942" s="23">
        <v>1182.4000000000001</v>
      </c>
      <c r="C942" s="23">
        <v>0</v>
      </c>
      <c r="D942" s="23">
        <v>0</v>
      </c>
      <c r="E942" s="23">
        <v>0</v>
      </c>
      <c r="F942" s="23">
        <v>0</v>
      </c>
      <c r="G942" s="23">
        <v>0</v>
      </c>
      <c r="H942" s="23">
        <v>0</v>
      </c>
      <c r="I942" s="23">
        <v>523.75199999999995</v>
      </c>
      <c r="J942" s="23">
        <v>0</v>
      </c>
      <c r="K942" s="23">
        <v>658.64800000000002</v>
      </c>
    </row>
    <row r="943" spans="1:11" x14ac:dyDescent="0.25">
      <c r="A943">
        <v>942</v>
      </c>
      <c r="B943" s="23">
        <v>1132</v>
      </c>
      <c r="C943" s="23">
        <v>0</v>
      </c>
      <c r="D943" s="23">
        <v>0</v>
      </c>
      <c r="E943" s="23">
        <v>0</v>
      </c>
      <c r="F943" s="23">
        <v>0</v>
      </c>
      <c r="G943" s="23">
        <v>0</v>
      </c>
      <c r="H943" s="23">
        <v>0</v>
      </c>
      <c r="I943" s="23">
        <v>0</v>
      </c>
      <c r="J943" s="23">
        <v>0</v>
      </c>
      <c r="K943" s="23">
        <v>1132</v>
      </c>
    </row>
    <row r="944" spans="1:11" x14ac:dyDescent="0.25">
      <c r="A944">
        <v>943</v>
      </c>
      <c r="B944" s="23">
        <v>1137.5999999999999</v>
      </c>
      <c r="C944" s="23">
        <v>19.829999999999998</v>
      </c>
      <c r="D944" s="23">
        <v>30.654</v>
      </c>
      <c r="E944" s="23">
        <v>30.654</v>
      </c>
      <c r="F944" s="23">
        <v>0</v>
      </c>
      <c r="G944" s="23">
        <v>0</v>
      </c>
      <c r="H944" s="23">
        <v>0</v>
      </c>
      <c r="I944" s="23">
        <v>0</v>
      </c>
      <c r="J944" s="23">
        <v>0</v>
      </c>
      <c r="K944" s="23">
        <v>1106.9459999999999</v>
      </c>
    </row>
    <row r="945" spans="1:11" x14ac:dyDescent="0.25">
      <c r="A945">
        <v>944</v>
      </c>
      <c r="B945" s="23">
        <v>182.01</v>
      </c>
      <c r="C945" s="23">
        <v>204.43</v>
      </c>
      <c r="D945" s="23">
        <v>783.88300000000004</v>
      </c>
      <c r="E945" s="23">
        <v>182.01</v>
      </c>
      <c r="F945" s="23">
        <v>-601.87300000000005</v>
      </c>
      <c r="G945" s="23">
        <v>0</v>
      </c>
      <c r="H945" s="23">
        <v>0</v>
      </c>
      <c r="I945" s="23">
        <v>0</v>
      </c>
      <c r="J945" s="23">
        <v>0</v>
      </c>
      <c r="K945" s="23">
        <v>0</v>
      </c>
    </row>
    <row r="946" spans="1:11" x14ac:dyDescent="0.25">
      <c r="A946">
        <v>945</v>
      </c>
      <c r="B946" s="23">
        <v>481.14699999999999</v>
      </c>
      <c r="C946" s="23">
        <v>396.23</v>
      </c>
      <c r="D946" s="23">
        <v>1548.22</v>
      </c>
      <c r="E946" s="23">
        <v>481.14699999999999</v>
      </c>
      <c r="F946" s="23">
        <v>-1067.0730000000001</v>
      </c>
      <c r="G946" s="23">
        <v>0</v>
      </c>
      <c r="H946" s="23">
        <v>0</v>
      </c>
      <c r="I946" s="23">
        <v>0</v>
      </c>
      <c r="J946" s="23">
        <v>0</v>
      </c>
      <c r="K946" s="23">
        <v>0</v>
      </c>
    </row>
    <row r="947" spans="1:11" x14ac:dyDescent="0.25">
      <c r="A947">
        <v>946</v>
      </c>
      <c r="B947" s="23">
        <v>455.68700000000001</v>
      </c>
      <c r="C947" s="23">
        <v>596.65</v>
      </c>
      <c r="D947" s="23">
        <v>2234.6660000000002</v>
      </c>
      <c r="E947" s="23">
        <v>455.68700000000001</v>
      </c>
      <c r="F947" s="23">
        <v>-1684.559</v>
      </c>
      <c r="G947" s="23">
        <v>0</v>
      </c>
      <c r="H947" s="23">
        <v>94.42</v>
      </c>
      <c r="I947" s="23">
        <v>0</v>
      </c>
      <c r="J947" s="23">
        <v>0</v>
      </c>
      <c r="K947" s="23">
        <v>0</v>
      </c>
    </row>
    <row r="948" spans="1:11" x14ac:dyDescent="0.25">
      <c r="A948">
        <v>947</v>
      </c>
      <c r="B948" s="23">
        <v>498.73500000000001</v>
      </c>
      <c r="C948" s="23">
        <v>762.24</v>
      </c>
      <c r="D948" s="23">
        <v>2773.5219999999999</v>
      </c>
      <c r="E948" s="23">
        <v>498.73500000000001</v>
      </c>
      <c r="F948" s="23">
        <v>-1684.559</v>
      </c>
      <c r="G948" s="23">
        <v>0</v>
      </c>
      <c r="H948" s="23">
        <v>590.22799999999995</v>
      </c>
      <c r="I948" s="23">
        <v>0</v>
      </c>
      <c r="J948" s="23">
        <v>0</v>
      </c>
      <c r="K948" s="23">
        <v>0</v>
      </c>
    </row>
    <row r="949" spans="1:11" x14ac:dyDescent="0.25">
      <c r="A949">
        <v>948</v>
      </c>
      <c r="B949" s="23">
        <v>415.99</v>
      </c>
      <c r="C949" s="23">
        <v>892.34</v>
      </c>
      <c r="D949" s="23">
        <v>3178.4250000000002</v>
      </c>
      <c r="E949" s="23">
        <v>415.99</v>
      </c>
      <c r="F949" s="23">
        <v>-1684.559</v>
      </c>
      <c r="G949" s="23">
        <v>0</v>
      </c>
      <c r="H949" s="23">
        <v>1077.876</v>
      </c>
      <c r="I949" s="23">
        <v>0</v>
      </c>
      <c r="J949" s="23">
        <v>0</v>
      </c>
      <c r="K949" s="23">
        <v>0</v>
      </c>
    </row>
    <row r="950" spans="1:11" x14ac:dyDescent="0.25">
      <c r="A950">
        <v>949</v>
      </c>
      <c r="B950" s="23">
        <v>320.01799999999997</v>
      </c>
      <c r="C950" s="23">
        <v>906.97</v>
      </c>
      <c r="D950" s="23">
        <v>3238.9630000000002</v>
      </c>
      <c r="E950" s="23">
        <v>320.01900000000001</v>
      </c>
      <c r="F950" s="23">
        <v>-568.87400000000002</v>
      </c>
      <c r="G950" s="23">
        <v>0</v>
      </c>
      <c r="H950" s="23">
        <v>2350.0700000000002</v>
      </c>
      <c r="I950" s="23">
        <v>0</v>
      </c>
      <c r="J950" s="23">
        <v>0</v>
      </c>
      <c r="K950" s="23">
        <v>0</v>
      </c>
    </row>
    <row r="951" spans="1:11" x14ac:dyDescent="0.25">
      <c r="A951">
        <v>950</v>
      </c>
      <c r="B951" s="23">
        <v>335.666</v>
      </c>
      <c r="C951" s="23">
        <v>768.52</v>
      </c>
      <c r="D951" s="23">
        <v>2806.511</v>
      </c>
      <c r="E951" s="23">
        <v>335.666</v>
      </c>
      <c r="F951" s="23">
        <v>0</v>
      </c>
      <c r="G951" s="23">
        <v>0</v>
      </c>
      <c r="H951" s="23">
        <v>2470.8449999999998</v>
      </c>
      <c r="I951" s="23">
        <v>0</v>
      </c>
      <c r="J951" s="23">
        <v>0</v>
      </c>
      <c r="K951" s="23">
        <v>0</v>
      </c>
    </row>
    <row r="952" spans="1:11" x14ac:dyDescent="0.25">
      <c r="A952">
        <v>951</v>
      </c>
      <c r="B952" s="23">
        <v>408.03</v>
      </c>
      <c r="C952" s="23">
        <v>521.02</v>
      </c>
      <c r="D952" s="23">
        <v>1956.3409999999999</v>
      </c>
      <c r="E952" s="23">
        <v>408.03</v>
      </c>
      <c r="F952" s="23">
        <v>0</v>
      </c>
      <c r="G952" s="23">
        <v>0</v>
      </c>
      <c r="H952" s="23">
        <v>1548.3109999999999</v>
      </c>
      <c r="I952" s="23">
        <v>0</v>
      </c>
      <c r="J952" s="23">
        <v>0</v>
      </c>
      <c r="K952" s="23">
        <v>0</v>
      </c>
    </row>
    <row r="953" spans="1:11" x14ac:dyDescent="0.25">
      <c r="A953">
        <v>952</v>
      </c>
      <c r="B953" s="23">
        <v>329.48899999999998</v>
      </c>
      <c r="C953" s="23">
        <v>460.16</v>
      </c>
      <c r="D953" s="23">
        <v>1775.952</v>
      </c>
      <c r="E953" s="23">
        <v>329.48899999999998</v>
      </c>
      <c r="F953" s="23">
        <v>0</v>
      </c>
      <c r="G953" s="23">
        <v>0</v>
      </c>
      <c r="H953" s="23">
        <v>1446.463</v>
      </c>
      <c r="I953" s="23">
        <v>0</v>
      </c>
      <c r="J953" s="23">
        <v>0</v>
      </c>
      <c r="K953" s="23">
        <v>0</v>
      </c>
    </row>
    <row r="954" spans="1:11" x14ac:dyDescent="0.25">
      <c r="A954">
        <v>953</v>
      </c>
      <c r="B954" s="23">
        <v>413.60899999999998</v>
      </c>
      <c r="C954" s="23">
        <v>270.86</v>
      </c>
      <c r="D954" s="23">
        <v>1041.6389999999999</v>
      </c>
      <c r="E954" s="23">
        <v>413.60899999999998</v>
      </c>
      <c r="F954" s="23">
        <v>0</v>
      </c>
      <c r="G954" s="23">
        <v>0</v>
      </c>
      <c r="H954" s="23">
        <v>628.03</v>
      </c>
      <c r="I954" s="23">
        <v>0</v>
      </c>
      <c r="J954" s="23">
        <v>0</v>
      </c>
      <c r="K954" s="23">
        <v>0</v>
      </c>
    </row>
    <row r="955" spans="1:11" x14ac:dyDescent="0.25">
      <c r="A955">
        <v>954</v>
      </c>
      <c r="B955" s="23">
        <v>285.12200000000001</v>
      </c>
      <c r="C955" s="23">
        <v>82.77</v>
      </c>
      <c r="D955" s="23">
        <v>241.417</v>
      </c>
      <c r="E955" s="23">
        <v>241.417</v>
      </c>
      <c r="F955" s="23">
        <v>0</v>
      </c>
      <c r="G955" s="23">
        <v>0</v>
      </c>
      <c r="H955" s="23">
        <v>0</v>
      </c>
      <c r="I955" s="23">
        <v>0</v>
      </c>
      <c r="J955" s="23">
        <v>0</v>
      </c>
      <c r="K955" s="23">
        <v>43.704999999999998</v>
      </c>
    </row>
    <row r="956" spans="1:11" x14ac:dyDescent="0.25">
      <c r="A956">
        <v>955</v>
      </c>
      <c r="B956" s="23">
        <v>304.53899999999999</v>
      </c>
      <c r="C956" s="23">
        <v>0</v>
      </c>
      <c r="D956" s="23">
        <v>0</v>
      </c>
      <c r="E956" s="23">
        <v>0</v>
      </c>
      <c r="F956" s="23">
        <v>0</v>
      </c>
      <c r="G956" s="23">
        <v>0</v>
      </c>
      <c r="H956" s="23">
        <v>0</v>
      </c>
      <c r="I956" s="23">
        <v>0</v>
      </c>
      <c r="J956" s="23">
        <v>0</v>
      </c>
      <c r="K956" s="23">
        <v>304.53899999999999</v>
      </c>
    </row>
    <row r="957" spans="1:11" x14ac:dyDescent="0.25">
      <c r="A957">
        <v>956</v>
      </c>
      <c r="B957" s="23">
        <v>261.60000000000002</v>
      </c>
      <c r="C957" s="23">
        <v>0</v>
      </c>
      <c r="D957" s="23">
        <v>0</v>
      </c>
      <c r="E957" s="23">
        <v>0</v>
      </c>
      <c r="F957" s="23">
        <v>0</v>
      </c>
      <c r="G957" s="23">
        <v>0</v>
      </c>
      <c r="H957" s="23">
        <v>0</v>
      </c>
      <c r="I957" s="23">
        <v>0</v>
      </c>
      <c r="J957" s="23">
        <v>0</v>
      </c>
      <c r="K957" s="23">
        <v>261.60000000000002</v>
      </c>
    </row>
    <row r="958" spans="1:11" x14ac:dyDescent="0.25">
      <c r="A958">
        <v>957</v>
      </c>
      <c r="B958" s="23">
        <v>204</v>
      </c>
      <c r="C958" s="23">
        <v>0</v>
      </c>
      <c r="D958" s="23">
        <v>0</v>
      </c>
      <c r="E958" s="23">
        <v>0</v>
      </c>
      <c r="F958" s="23">
        <v>0</v>
      </c>
      <c r="G958" s="23">
        <v>0</v>
      </c>
      <c r="H958" s="23">
        <v>0</v>
      </c>
      <c r="I958" s="23">
        <v>0</v>
      </c>
      <c r="J958" s="23">
        <v>0</v>
      </c>
      <c r="K958" s="23">
        <v>204</v>
      </c>
    </row>
    <row r="959" spans="1:11" x14ac:dyDescent="0.25">
      <c r="A959">
        <v>958</v>
      </c>
      <c r="B959" s="23">
        <v>331.2</v>
      </c>
      <c r="C959" s="23">
        <v>0</v>
      </c>
      <c r="D959" s="23">
        <v>0</v>
      </c>
      <c r="E959" s="23">
        <v>0</v>
      </c>
      <c r="F959" s="23">
        <v>0</v>
      </c>
      <c r="G959" s="23">
        <v>0</v>
      </c>
      <c r="H959" s="23">
        <v>0</v>
      </c>
      <c r="I959" s="23">
        <v>0</v>
      </c>
      <c r="J959" s="23">
        <v>0</v>
      </c>
      <c r="K959" s="23">
        <v>331.2</v>
      </c>
    </row>
    <row r="960" spans="1:11" x14ac:dyDescent="0.25">
      <c r="A960">
        <v>959</v>
      </c>
      <c r="B960" s="23">
        <v>296.8</v>
      </c>
      <c r="C960" s="23">
        <v>0</v>
      </c>
      <c r="D960" s="23">
        <v>0</v>
      </c>
      <c r="E960" s="23">
        <v>0</v>
      </c>
      <c r="F960" s="23">
        <v>0</v>
      </c>
      <c r="G960" s="23">
        <v>0</v>
      </c>
      <c r="H960" s="23">
        <v>0</v>
      </c>
      <c r="I960" s="23">
        <v>0</v>
      </c>
      <c r="J960" s="23">
        <v>0</v>
      </c>
      <c r="K960" s="23">
        <v>296.8</v>
      </c>
    </row>
    <row r="961" spans="1:11" x14ac:dyDescent="0.25">
      <c r="A961">
        <v>960</v>
      </c>
      <c r="B961" s="23">
        <v>302.39999999999998</v>
      </c>
      <c r="C961" s="23">
        <v>0</v>
      </c>
      <c r="D961" s="23">
        <v>0</v>
      </c>
      <c r="E961" s="23">
        <v>0</v>
      </c>
      <c r="F961" s="23">
        <v>0</v>
      </c>
      <c r="G961" s="23">
        <v>0</v>
      </c>
      <c r="H961" s="23">
        <v>0</v>
      </c>
      <c r="I961" s="23">
        <v>0</v>
      </c>
      <c r="J961" s="23">
        <v>0</v>
      </c>
      <c r="K961" s="23">
        <v>302.39999999999998</v>
      </c>
    </row>
    <row r="962" spans="1:11" x14ac:dyDescent="0.25">
      <c r="A962">
        <v>961</v>
      </c>
      <c r="B962" s="23">
        <v>324.8</v>
      </c>
      <c r="C962" s="23">
        <v>0</v>
      </c>
      <c r="D962" s="23">
        <v>0</v>
      </c>
      <c r="E962" s="23">
        <v>0</v>
      </c>
      <c r="F962" s="23">
        <v>0</v>
      </c>
      <c r="G962" s="23">
        <v>0</v>
      </c>
      <c r="H962" s="23">
        <v>0</v>
      </c>
      <c r="I962" s="23">
        <v>0</v>
      </c>
      <c r="J962" s="23">
        <v>0</v>
      </c>
      <c r="K962" s="23">
        <v>324.8</v>
      </c>
    </row>
    <row r="963" spans="1:11" x14ac:dyDescent="0.25">
      <c r="A963">
        <v>962</v>
      </c>
      <c r="B963" s="23">
        <v>296.8</v>
      </c>
      <c r="C963" s="23">
        <v>0</v>
      </c>
      <c r="D963" s="23">
        <v>0</v>
      </c>
      <c r="E963" s="23">
        <v>0</v>
      </c>
      <c r="F963" s="23">
        <v>0</v>
      </c>
      <c r="G963" s="23">
        <v>0</v>
      </c>
      <c r="H963" s="23">
        <v>0</v>
      </c>
      <c r="I963" s="23">
        <v>0</v>
      </c>
      <c r="J963" s="23">
        <v>0</v>
      </c>
      <c r="K963" s="23">
        <v>296.8</v>
      </c>
    </row>
    <row r="964" spans="1:11" x14ac:dyDescent="0.25">
      <c r="A964">
        <v>963</v>
      </c>
      <c r="B964" s="23">
        <v>296.8</v>
      </c>
      <c r="C964" s="23">
        <v>0</v>
      </c>
      <c r="D964" s="23">
        <v>0</v>
      </c>
      <c r="E964" s="23">
        <v>0</v>
      </c>
      <c r="F964" s="23">
        <v>0</v>
      </c>
      <c r="G964" s="23">
        <v>0</v>
      </c>
      <c r="H964" s="23">
        <v>0</v>
      </c>
      <c r="I964" s="23">
        <v>0</v>
      </c>
      <c r="J964" s="23">
        <v>0</v>
      </c>
      <c r="K964" s="23">
        <v>296.8</v>
      </c>
    </row>
    <row r="965" spans="1:11" x14ac:dyDescent="0.25">
      <c r="A965">
        <v>964</v>
      </c>
      <c r="B965" s="23">
        <v>316</v>
      </c>
      <c r="C965" s="23">
        <v>0</v>
      </c>
      <c r="D965" s="23">
        <v>0</v>
      </c>
      <c r="E965" s="23">
        <v>0</v>
      </c>
      <c r="F965" s="23">
        <v>0</v>
      </c>
      <c r="G965" s="23">
        <v>0</v>
      </c>
      <c r="H965" s="23">
        <v>0</v>
      </c>
      <c r="I965" s="23">
        <v>0</v>
      </c>
      <c r="J965" s="23">
        <v>0</v>
      </c>
      <c r="K965" s="23">
        <v>316</v>
      </c>
    </row>
    <row r="966" spans="1:11" x14ac:dyDescent="0.25">
      <c r="A966">
        <v>965</v>
      </c>
      <c r="B966" s="23">
        <v>227.2</v>
      </c>
      <c r="C966" s="23">
        <v>0</v>
      </c>
      <c r="D966" s="23">
        <v>0</v>
      </c>
      <c r="E966" s="23">
        <v>0</v>
      </c>
      <c r="F966" s="23">
        <v>0</v>
      </c>
      <c r="G966" s="23">
        <v>0</v>
      </c>
      <c r="H966" s="23">
        <v>0</v>
      </c>
      <c r="I966" s="23">
        <v>0</v>
      </c>
      <c r="J966" s="23">
        <v>0</v>
      </c>
      <c r="K966" s="23">
        <v>227.2</v>
      </c>
    </row>
    <row r="967" spans="1:11" x14ac:dyDescent="0.25">
      <c r="A967">
        <v>966</v>
      </c>
      <c r="B967" s="23">
        <v>276</v>
      </c>
      <c r="C967" s="23">
        <v>0</v>
      </c>
      <c r="D967" s="23">
        <v>0</v>
      </c>
      <c r="E967" s="23">
        <v>0</v>
      </c>
      <c r="F967" s="23">
        <v>0</v>
      </c>
      <c r="G967" s="23">
        <v>0</v>
      </c>
      <c r="H967" s="23">
        <v>0</v>
      </c>
      <c r="I967" s="23">
        <v>0</v>
      </c>
      <c r="J967" s="23">
        <v>0</v>
      </c>
      <c r="K967" s="23">
        <v>276</v>
      </c>
    </row>
    <row r="968" spans="1:11" x14ac:dyDescent="0.25">
      <c r="A968">
        <v>967</v>
      </c>
      <c r="B968" s="23">
        <v>256.8</v>
      </c>
      <c r="C968" s="23">
        <v>29.15</v>
      </c>
      <c r="D968" s="23">
        <v>53.243000000000002</v>
      </c>
      <c r="E968" s="23">
        <v>53.243000000000002</v>
      </c>
      <c r="F968" s="23">
        <v>0</v>
      </c>
      <c r="G968" s="23">
        <v>0</v>
      </c>
      <c r="H968" s="23">
        <v>0</v>
      </c>
      <c r="I968" s="23">
        <v>0</v>
      </c>
      <c r="J968" s="23">
        <v>0</v>
      </c>
      <c r="K968" s="23">
        <v>203.55699999999999</v>
      </c>
    </row>
    <row r="969" spans="1:11" x14ac:dyDescent="0.25">
      <c r="A969">
        <v>968</v>
      </c>
      <c r="B969" s="23">
        <v>246.14599999999999</v>
      </c>
      <c r="C969" s="23">
        <v>259.02999999999997</v>
      </c>
      <c r="D969" s="23">
        <v>990.84399999999994</v>
      </c>
      <c r="E969" s="23">
        <v>246.14599999999999</v>
      </c>
      <c r="F969" s="23">
        <v>-744.69799999999998</v>
      </c>
      <c r="G969" s="23">
        <v>0</v>
      </c>
      <c r="H969" s="23">
        <v>0</v>
      </c>
      <c r="I969" s="23">
        <v>0</v>
      </c>
      <c r="J969" s="23">
        <v>0</v>
      </c>
      <c r="K969" s="23">
        <v>0</v>
      </c>
    </row>
    <row r="970" spans="1:11" x14ac:dyDescent="0.25">
      <c r="A970">
        <v>969</v>
      </c>
      <c r="B970" s="23">
        <v>460.31599999999997</v>
      </c>
      <c r="C970" s="23">
        <v>518.29999999999995</v>
      </c>
      <c r="D970" s="23">
        <v>2051.4209999999998</v>
      </c>
      <c r="E970" s="23">
        <v>460.31599999999997</v>
      </c>
      <c r="F970" s="23">
        <v>-1591.105</v>
      </c>
      <c r="G970" s="23">
        <v>0</v>
      </c>
      <c r="H970" s="23">
        <v>0</v>
      </c>
      <c r="I970" s="23">
        <v>0</v>
      </c>
      <c r="J970" s="23">
        <v>0</v>
      </c>
      <c r="K970" s="23">
        <v>0</v>
      </c>
    </row>
    <row r="971" spans="1:11" x14ac:dyDescent="0.25">
      <c r="A971">
        <v>970</v>
      </c>
      <c r="B971" s="23">
        <v>1172.8320000000001</v>
      </c>
      <c r="C971" s="23">
        <v>730.62</v>
      </c>
      <c r="D971" s="23">
        <v>2776.415</v>
      </c>
      <c r="E971" s="23">
        <v>1172.8320000000001</v>
      </c>
      <c r="F971" s="23">
        <v>-1603.5830000000001</v>
      </c>
      <c r="G971" s="23">
        <v>0</v>
      </c>
      <c r="H971" s="23">
        <v>0</v>
      </c>
      <c r="I971" s="23">
        <v>0</v>
      </c>
      <c r="J971" s="23">
        <v>0</v>
      </c>
      <c r="K971" s="23">
        <v>0</v>
      </c>
    </row>
    <row r="972" spans="1:11" x14ac:dyDescent="0.25">
      <c r="A972">
        <v>971</v>
      </c>
      <c r="B972" s="23">
        <v>1566.318</v>
      </c>
      <c r="C972" s="23">
        <v>874.27</v>
      </c>
      <c r="D972" s="23">
        <v>3195.596</v>
      </c>
      <c r="E972" s="23">
        <v>1566.318</v>
      </c>
      <c r="F972" s="23">
        <v>-162.065</v>
      </c>
      <c r="G972" s="23">
        <v>0</v>
      </c>
      <c r="H972" s="23">
        <v>1467.213</v>
      </c>
      <c r="I972" s="23">
        <v>0</v>
      </c>
      <c r="J972" s="23">
        <v>0</v>
      </c>
      <c r="K972" s="23">
        <v>0</v>
      </c>
    </row>
    <row r="973" spans="1:11" x14ac:dyDescent="0.25">
      <c r="A973">
        <v>972</v>
      </c>
      <c r="B973" s="23">
        <v>1214.229</v>
      </c>
      <c r="C973" s="23">
        <v>972.42</v>
      </c>
      <c r="D973" s="23">
        <v>3439.058</v>
      </c>
      <c r="E973" s="23">
        <v>1214.229</v>
      </c>
      <c r="F973" s="23">
        <v>0</v>
      </c>
      <c r="G973" s="23">
        <v>0</v>
      </c>
      <c r="H973" s="23">
        <v>2224.8290000000002</v>
      </c>
      <c r="I973" s="23">
        <v>0</v>
      </c>
      <c r="J973" s="23">
        <v>0</v>
      </c>
      <c r="K973" s="23">
        <v>0</v>
      </c>
    </row>
    <row r="974" spans="1:11" x14ac:dyDescent="0.25">
      <c r="A974">
        <v>973</v>
      </c>
      <c r="B974" s="23">
        <v>1567.117</v>
      </c>
      <c r="C974" s="23">
        <v>982.82</v>
      </c>
      <c r="D974" s="23">
        <v>3409.51</v>
      </c>
      <c r="E974" s="23">
        <v>1567.117</v>
      </c>
      <c r="F974" s="23">
        <v>0</v>
      </c>
      <c r="G974" s="23">
        <v>0</v>
      </c>
      <c r="H974" s="23">
        <v>1842.393</v>
      </c>
      <c r="I974" s="23">
        <v>0</v>
      </c>
      <c r="J974" s="23">
        <v>0</v>
      </c>
      <c r="K974" s="23">
        <v>0</v>
      </c>
    </row>
    <row r="975" spans="1:11" x14ac:dyDescent="0.25">
      <c r="A975">
        <v>974</v>
      </c>
      <c r="B975" s="23">
        <v>1509.3119999999999</v>
      </c>
      <c r="C975" s="23">
        <v>845.02</v>
      </c>
      <c r="D975" s="23">
        <v>2970.384</v>
      </c>
      <c r="E975" s="23">
        <v>1509.3119999999999</v>
      </c>
      <c r="F975" s="23">
        <v>0</v>
      </c>
      <c r="G975" s="23">
        <v>0</v>
      </c>
      <c r="H975" s="23">
        <v>1461.0719999999999</v>
      </c>
      <c r="I975" s="23">
        <v>0</v>
      </c>
      <c r="J975" s="23">
        <v>0</v>
      </c>
      <c r="K975" s="23">
        <v>0</v>
      </c>
    </row>
    <row r="976" spans="1:11" x14ac:dyDescent="0.25">
      <c r="A976">
        <v>975</v>
      </c>
      <c r="B976" s="23">
        <v>1604.8989999999999</v>
      </c>
      <c r="C976" s="23">
        <v>675.52</v>
      </c>
      <c r="D976" s="23">
        <v>2464.259</v>
      </c>
      <c r="E976" s="23">
        <v>1604.8989999999999</v>
      </c>
      <c r="F976" s="23">
        <v>0</v>
      </c>
      <c r="G976" s="23">
        <v>0</v>
      </c>
      <c r="H976" s="23">
        <v>859.36</v>
      </c>
      <c r="I976" s="23">
        <v>0</v>
      </c>
      <c r="J976" s="23">
        <v>0</v>
      </c>
      <c r="K976" s="23">
        <v>0</v>
      </c>
    </row>
    <row r="977" spans="1:11" x14ac:dyDescent="0.25">
      <c r="A977">
        <v>976</v>
      </c>
      <c r="B977" s="23">
        <v>1215.644</v>
      </c>
      <c r="C977" s="23">
        <v>487.04</v>
      </c>
      <c r="D977" s="23">
        <v>1852.979</v>
      </c>
      <c r="E977" s="23">
        <v>1215.644</v>
      </c>
      <c r="F977" s="23">
        <v>0</v>
      </c>
      <c r="G977" s="23">
        <v>0</v>
      </c>
      <c r="H977" s="23">
        <v>637.33500000000004</v>
      </c>
      <c r="I977" s="23">
        <v>0</v>
      </c>
      <c r="J977" s="23">
        <v>0</v>
      </c>
      <c r="K977" s="23">
        <v>0</v>
      </c>
    </row>
    <row r="978" spans="1:11" x14ac:dyDescent="0.25">
      <c r="A978">
        <v>977</v>
      </c>
      <c r="B978" s="23">
        <v>1300.307</v>
      </c>
      <c r="C978" s="23">
        <v>241.46</v>
      </c>
      <c r="D978" s="23">
        <v>921.91800000000001</v>
      </c>
      <c r="E978" s="23">
        <v>921.91800000000001</v>
      </c>
      <c r="F978" s="23">
        <v>0</v>
      </c>
      <c r="G978" s="23">
        <v>0</v>
      </c>
      <c r="H978" s="23">
        <v>0</v>
      </c>
      <c r="I978" s="23">
        <v>378.38900000000001</v>
      </c>
      <c r="J978" s="23">
        <v>0</v>
      </c>
      <c r="K978" s="23">
        <v>0</v>
      </c>
    </row>
    <row r="979" spans="1:11" x14ac:dyDescent="0.25">
      <c r="A979">
        <v>978</v>
      </c>
      <c r="B979" s="23">
        <v>1151.05</v>
      </c>
      <c r="C979" s="23">
        <v>63.09</v>
      </c>
      <c r="D979" s="23">
        <v>187.14</v>
      </c>
      <c r="E979" s="23">
        <v>187.14</v>
      </c>
      <c r="F979" s="23">
        <v>0</v>
      </c>
      <c r="G979" s="23">
        <v>0</v>
      </c>
      <c r="H979" s="23">
        <v>0</v>
      </c>
      <c r="I979" s="23">
        <v>0</v>
      </c>
      <c r="J979" s="23">
        <v>0</v>
      </c>
      <c r="K979" s="23">
        <v>963.91</v>
      </c>
    </row>
    <row r="980" spans="1:11" x14ac:dyDescent="0.25">
      <c r="A980">
        <v>979</v>
      </c>
      <c r="B980" s="23">
        <v>1456.6769999999999</v>
      </c>
      <c r="C980" s="23">
        <v>0</v>
      </c>
      <c r="D980" s="23">
        <v>0</v>
      </c>
      <c r="E980" s="23">
        <v>0</v>
      </c>
      <c r="F980" s="23">
        <v>0</v>
      </c>
      <c r="G980" s="23">
        <v>0</v>
      </c>
      <c r="H980" s="23">
        <v>0</v>
      </c>
      <c r="I980" s="23">
        <v>0</v>
      </c>
      <c r="J980" s="23">
        <v>0</v>
      </c>
      <c r="K980" s="23">
        <v>1456.6769999999999</v>
      </c>
    </row>
    <row r="981" spans="1:11" x14ac:dyDescent="0.25">
      <c r="A981">
        <v>980</v>
      </c>
      <c r="B981" s="23">
        <v>1494.4</v>
      </c>
      <c r="C981" s="23">
        <v>0</v>
      </c>
      <c r="D981" s="23">
        <v>0</v>
      </c>
      <c r="E981" s="23">
        <v>0</v>
      </c>
      <c r="F981" s="23">
        <v>0</v>
      </c>
      <c r="G981" s="23">
        <v>0</v>
      </c>
      <c r="H981" s="23">
        <v>0</v>
      </c>
      <c r="I981" s="23">
        <v>0</v>
      </c>
      <c r="J981" s="23">
        <v>0</v>
      </c>
      <c r="K981" s="23">
        <v>1494.4</v>
      </c>
    </row>
    <row r="982" spans="1:11" x14ac:dyDescent="0.25">
      <c r="A982">
        <v>981</v>
      </c>
      <c r="B982" s="23">
        <v>1808.8</v>
      </c>
      <c r="C982" s="23">
        <v>0</v>
      </c>
      <c r="D982" s="23">
        <v>0</v>
      </c>
      <c r="E982" s="23">
        <v>0</v>
      </c>
      <c r="F982" s="23">
        <v>0</v>
      </c>
      <c r="G982" s="23">
        <v>0</v>
      </c>
      <c r="H982" s="23">
        <v>0</v>
      </c>
      <c r="I982" s="23">
        <v>1808.8</v>
      </c>
      <c r="J982" s="23">
        <v>0</v>
      </c>
      <c r="K982" s="23">
        <v>0</v>
      </c>
    </row>
    <row r="983" spans="1:11" x14ac:dyDescent="0.25">
      <c r="A983">
        <v>982</v>
      </c>
      <c r="B983" s="23">
        <v>1650.4</v>
      </c>
      <c r="C983" s="23">
        <v>0</v>
      </c>
      <c r="D983" s="23">
        <v>0</v>
      </c>
      <c r="E983" s="23">
        <v>0</v>
      </c>
      <c r="F983" s="23">
        <v>0</v>
      </c>
      <c r="G983" s="23">
        <v>0</v>
      </c>
      <c r="H983" s="23">
        <v>0</v>
      </c>
      <c r="I983" s="23">
        <v>1650.4</v>
      </c>
      <c r="J983" s="23">
        <v>0</v>
      </c>
      <c r="K983" s="23">
        <v>0</v>
      </c>
    </row>
    <row r="984" spans="1:11" x14ac:dyDescent="0.25">
      <c r="A984">
        <v>983</v>
      </c>
      <c r="B984" s="23">
        <v>1209.5999999999999</v>
      </c>
      <c r="C984" s="23">
        <v>0</v>
      </c>
      <c r="D984" s="23">
        <v>0</v>
      </c>
      <c r="E984" s="23">
        <v>0</v>
      </c>
      <c r="F984" s="23">
        <v>0</v>
      </c>
      <c r="G984" s="23">
        <v>0</v>
      </c>
      <c r="H984" s="23">
        <v>0</v>
      </c>
      <c r="I984" s="23">
        <v>1209.5999999999999</v>
      </c>
      <c r="J984" s="23">
        <v>0</v>
      </c>
      <c r="K984" s="23">
        <v>0</v>
      </c>
    </row>
    <row r="985" spans="1:11" x14ac:dyDescent="0.25">
      <c r="A985">
        <v>984</v>
      </c>
      <c r="B985" s="23">
        <v>1028</v>
      </c>
      <c r="C985" s="23">
        <v>0</v>
      </c>
      <c r="D985" s="23">
        <v>0</v>
      </c>
      <c r="E985" s="23">
        <v>0</v>
      </c>
      <c r="F985" s="23">
        <v>0</v>
      </c>
      <c r="G985" s="23">
        <v>0</v>
      </c>
      <c r="H985" s="23">
        <v>0</v>
      </c>
      <c r="I985" s="23">
        <v>1028</v>
      </c>
      <c r="J985" s="23">
        <v>0</v>
      </c>
      <c r="K985" s="23">
        <v>0</v>
      </c>
    </row>
    <row r="986" spans="1:11" x14ac:dyDescent="0.25">
      <c r="A986">
        <v>985</v>
      </c>
      <c r="B986" s="23">
        <v>1335.2</v>
      </c>
      <c r="C986" s="23">
        <v>0</v>
      </c>
      <c r="D986" s="23">
        <v>0</v>
      </c>
      <c r="E986" s="23">
        <v>0</v>
      </c>
      <c r="F986" s="23">
        <v>0</v>
      </c>
      <c r="G986" s="23">
        <v>0</v>
      </c>
      <c r="H986" s="23">
        <v>0</v>
      </c>
      <c r="I986" s="23">
        <v>1335.2</v>
      </c>
      <c r="J986" s="23">
        <v>0</v>
      </c>
      <c r="K986" s="23">
        <v>0</v>
      </c>
    </row>
    <row r="987" spans="1:11" x14ac:dyDescent="0.25">
      <c r="A987">
        <v>986</v>
      </c>
      <c r="B987" s="23">
        <v>1325.6</v>
      </c>
      <c r="C987" s="23">
        <v>0</v>
      </c>
      <c r="D987" s="23">
        <v>0</v>
      </c>
      <c r="E987" s="23">
        <v>0</v>
      </c>
      <c r="F987" s="23">
        <v>0</v>
      </c>
      <c r="G987" s="23">
        <v>0</v>
      </c>
      <c r="H987" s="23">
        <v>0</v>
      </c>
      <c r="I987" s="23">
        <v>1325.6</v>
      </c>
      <c r="J987" s="23">
        <v>0</v>
      </c>
      <c r="K987" s="23">
        <v>0</v>
      </c>
    </row>
    <row r="988" spans="1:11" x14ac:dyDescent="0.25">
      <c r="A988">
        <v>987</v>
      </c>
      <c r="B988" s="23">
        <v>1358.4</v>
      </c>
      <c r="C988" s="23">
        <v>0</v>
      </c>
      <c r="D988" s="23">
        <v>0</v>
      </c>
      <c r="E988" s="23">
        <v>0</v>
      </c>
      <c r="F988" s="23">
        <v>0</v>
      </c>
      <c r="G988" s="23">
        <v>0</v>
      </c>
      <c r="H988" s="23">
        <v>0</v>
      </c>
      <c r="I988" s="23">
        <v>1358.4</v>
      </c>
      <c r="J988" s="23">
        <v>0</v>
      </c>
      <c r="K988" s="23">
        <v>0</v>
      </c>
    </row>
    <row r="989" spans="1:11" x14ac:dyDescent="0.25">
      <c r="A989">
        <v>988</v>
      </c>
      <c r="B989" s="23">
        <v>1510.4</v>
      </c>
      <c r="C989" s="23">
        <v>0</v>
      </c>
      <c r="D989" s="23">
        <v>0</v>
      </c>
      <c r="E989" s="23">
        <v>0</v>
      </c>
      <c r="F989" s="23">
        <v>0</v>
      </c>
      <c r="G989" s="23">
        <v>0</v>
      </c>
      <c r="H989" s="23">
        <v>0</v>
      </c>
      <c r="I989" s="23">
        <v>1510.4</v>
      </c>
      <c r="J989" s="23">
        <v>0</v>
      </c>
      <c r="K989" s="23">
        <v>0</v>
      </c>
    </row>
    <row r="990" spans="1:11" x14ac:dyDescent="0.25">
      <c r="A990">
        <v>989</v>
      </c>
      <c r="B990" s="23">
        <v>1220.8</v>
      </c>
      <c r="C990" s="23">
        <v>0</v>
      </c>
      <c r="D990" s="23">
        <v>0</v>
      </c>
      <c r="E990" s="23">
        <v>0</v>
      </c>
      <c r="F990" s="23">
        <v>0</v>
      </c>
      <c r="G990" s="23">
        <v>0</v>
      </c>
      <c r="H990" s="23">
        <v>0</v>
      </c>
      <c r="I990" s="23">
        <v>1220.8</v>
      </c>
      <c r="J990" s="23">
        <v>0</v>
      </c>
      <c r="K990" s="23">
        <v>0</v>
      </c>
    </row>
    <row r="991" spans="1:11" x14ac:dyDescent="0.25">
      <c r="A991">
        <v>990</v>
      </c>
      <c r="B991" s="23">
        <v>1460.8</v>
      </c>
      <c r="C991" s="23">
        <v>0</v>
      </c>
      <c r="D991" s="23">
        <v>0</v>
      </c>
      <c r="E991" s="23">
        <v>0</v>
      </c>
      <c r="F991" s="23">
        <v>0</v>
      </c>
      <c r="G991" s="23">
        <v>0</v>
      </c>
      <c r="H991" s="23">
        <v>0</v>
      </c>
      <c r="I991" s="23">
        <v>556.75099999999998</v>
      </c>
      <c r="J991" s="23">
        <v>0</v>
      </c>
      <c r="K991" s="23">
        <v>904.04899999999998</v>
      </c>
    </row>
    <row r="992" spans="1:11" x14ac:dyDescent="0.25">
      <c r="A992">
        <v>991</v>
      </c>
      <c r="B992" s="23">
        <v>1494.4</v>
      </c>
      <c r="C992" s="23">
        <v>24.35</v>
      </c>
      <c r="D992" s="23">
        <v>42.131999999999998</v>
      </c>
      <c r="E992" s="23">
        <v>42.131999999999998</v>
      </c>
      <c r="F992" s="23">
        <v>0</v>
      </c>
      <c r="G992" s="23">
        <v>0</v>
      </c>
      <c r="H992" s="23">
        <v>0</v>
      </c>
      <c r="I992" s="23">
        <v>0</v>
      </c>
      <c r="J992" s="23">
        <v>0</v>
      </c>
      <c r="K992" s="23">
        <v>1452.268</v>
      </c>
    </row>
    <row r="993" spans="1:11" x14ac:dyDescent="0.25">
      <c r="A993">
        <v>992</v>
      </c>
      <c r="B993" s="23">
        <v>1213.9100000000001</v>
      </c>
      <c r="C993" s="23">
        <v>244.21</v>
      </c>
      <c r="D993" s="23">
        <v>933.36500000000001</v>
      </c>
      <c r="E993" s="23">
        <v>933.36500000000001</v>
      </c>
      <c r="F993" s="23">
        <v>0</v>
      </c>
      <c r="G993" s="23">
        <v>0</v>
      </c>
      <c r="H993" s="23">
        <v>0</v>
      </c>
      <c r="I993" s="23">
        <v>0</v>
      </c>
      <c r="J993" s="23">
        <v>0</v>
      </c>
      <c r="K993" s="23">
        <v>280.54500000000002</v>
      </c>
    </row>
    <row r="994" spans="1:11" x14ac:dyDescent="0.25">
      <c r="A994">
        <v>993</v>
      </c>
      <c r="B994" s="23">
        <v>1285.355</v>
      </c>
      <c r="C994" s="23">
        <v>496.32</v>
      </c>
      <c r="D994" s="23">
        <v>1962.6690000000001</v>
      </c>
      <c r="E994" s="23">
        <v>1285.355</v>
      </c>
      <c r="F994" s="23">
        <v>-677.31399999999996</v>
      </c>
      <c r="G994" s="23">
        <v>0</v>
      </c>
      <c r="H994" s="23">
        <v>0</v>
      </c>
      <c r="I994" s="23">
        <v>0</v>
      </c>
      <c r="J994" s="23">
        <v>0</v>
      </c>
      <c r="K994" s="23">
        <v>0</v>
      </c>
    </row>
    <row r="995" spans="1:11" x14ac:dyDescent="0.25">
      <c r="A995">
        <v>994</v>
      </c>
      <c r="B995" s="23">
        <v>1854.4870000000001</v>
      </c>
      <c r="C995" s="23">
        <v>711.27</v>
      </c>
      <c r="D995" s="23">
        <v>2703.759</v>
      </c>
      <c r="E995" s="23">
        <v>1854.4870000000001</v>
      </c>
      <c r="F995" s="23">
        <v>-849.27200000000005</v>
      </c>
      <c r="G995" s="23">
        <v>0</v>
      </c>
      <c r="H995" s="23">
        <v>0</v>
      </c>
      <c r="I995" s="23">
        <v>0</v>
      </c>
      <c r="J995" s="23">
        <v>0</v>
      </c>
      <c r="K995" s="23">
        <v>0</v>
      </c>
    </row>
    <row r="996" spans="1:11" x14ac:dyDescent="0.25">
      <c r="A996">
        <v>995</v>
      </c>
      <c r="B996" s="23">
        <v>1700.4939999999999</v>
      </c>
      <c r="C996" s="23">
        <v>776.71</v>
      </c>
      <c r="D996" s="23">
        <v>2870.0450000000001</v>
      </c>
      <c r="E996" s="23">
        <v>1700.4939999999999</v>
      </c>
      <c r="F996" s="23">
        <v>-1169.5509999999999</v>
      </c>
      <c r="G996" s="23">
        <v>0</v>
      </c>
      <c r="H996" s="23">
        <v>0</v>
      </c>
      <c r="I996" s="23">
        <v>0</v>
      </c>
      <c r="J996" s="23">
        <v>0</v>
      </c>
      <c r="K996" s="23">
        <v>0</v>
      </c>
    </row>
    <row r="997" spans="1:11" x14ac:dyDescent="0.25">
      <c r="A997">
        <v>996</v>
      </c>
      <c r="B997" s="23">
        <v>1593.1659999999999</v>
      </c>
      <c r="C997" s="23">
        <v>875.74</v>
      </c>
      <c r="D997" s="23">
        <v>3155.1170000000002</v>
      </c>
      <c r="E997" s="23">
        <v>1593.1659999999999</v>
      </c>
      <c r="F997" s="23">
        <v>-1561.951</v>
      </c>
      <c r="G997" s="23">
        <v>0</v>
      </c>
      <c r="H997" s="23">
        <v>0</v>
      </c>
      <c r="I997" s="23">
        <v>0</v>
      </c>
      <c r="J997" s="23">
        <v>0</v>
      </c>
      <c r="K997" s="23">
        <v>0</v>
      </c>
    </row>
    <row r="998" spans="1:11" x14ac:dyDescent="0.25">
      <c r="A998">
        <v>997</v>
      </c>
      <c r="B998" s="23">
        <v>1302.8130000000001</v>
      </c>
      <c r="C998" s="23">
        <v>670.01</v>
      </c>
      <c r="D998" s="23">
        <v>2431.8539999999998</v>
      </c>
      <c r="E998" s="23">
        <v>1302.8130000000001</v>
      </c>
      <c r="F998" s="23">
        <v>-1129.0409999999999</v>
      </c>
      <c r="G998" s="23">
        <v>0</v>
      </c>
      <c r="H998" s="23">
        <v>0</v>
      </c>
      <c r="I998" s="23">
        <v>0</v>
      </c>
      <c r="J998" s="23">
        <v>0</v>
      </c>
      <c r="K998" s="23">
        <v>0</v>
      </c>
    </row>
    <row r="999" spans="1:11" x14ac:dyDescent="0.25">
      <c r="A999">
        <v>998</v>
      </c>
      <c r="B999" s="23">
        <v>1470.1489999999999</v>
      </c>
      <c r="C999" s="23">
        <v>726.56</v>
      </c>
      <c r="D999" s="23">
        <v>2616.5970000000002</v>
      </c>
      <c r="E999" s="23">
        <v>1470.1489999999999</v>
      </c>
      <c r="F999" s="23">
        <v>-1146.4480000000001</v>
      </c>
      <c r="G999" s="23">
        <v>0</v>
      </c>
      <c r="H999" s="23">
        <v>0</v>
      </c>
      <c r="I999" s="23">
        <v>0</v>
      </c>
      <c r="J999" s="23">
        <v>0</v>
      </c>
      <c r="K999" s="23">
        <v>0</v>
      </c>
    </row>
    <row r="1000" spans="1:11" x14ac:dyDescent="0.25">
      <c r="A1000">
        <v>999</v>
      </c>
      <c r="B1000" s="23">
        <v>1044.6679999999999</v>
      </c>
      <c r="C1000" s="23">
        <v>690.15</v>
      </c>
      <c r="D1000" s="23">
        <v>2527.6120000000001</v>
      </c>
      <c r="E1000" s="23">
        <v>1044.6679999999999</v>
      </c>
      <c r="F1000" s="23">
        <v>-757.923</v>
      </c>
      <c r="G1000" s="23">
        <v>0</v>
      </c>
      <c r="H1000" s="23">
        <v>725.02099999999996</v>
      </c>
      <c r="I1000" s="23">
        <v>0</v>
      </c>
      <c r="J1000" s="23">
        <v>0</v>
      </c>
      <c r="K1000" s="23">
        <v>0</v>
      </c>
    </row>
    <row r="1001" spans="1:11" x14ac:dyDescent="0.25">
      <c r="A1001">
        <v>1000</v>
      </c>
      <c r="B1001" s="23">
        <v>1161.0830000000001</v>
      </c>
      <c r="C1001" s="23">
        <v>495.27</v>
      </c>
      <c r="D1001" s="23">
        <v>1890.5340000000001</v>
      </c>
      <c r="E1001" s="23">
        <v>1161.0830000000001</v>
      </c>
      <c r="F1001" s="23">
        <v>0</v>
      </c>
      <c r="G1001" s="23">
        <v>0</v>
      </c>
      <c r="H1001" s="23">
        <v>729.45100000000002</v>
      </c>
      <c r="I1001" s="23">
        <v>0</v>
      </c>
      <c r="J1001" s="23">
        <v>0</v>
      </c>
      <c r="K1001" s="23">
        <v>0</v>
      </c>
    </row>
    <row r="1002" spans="1:11" x14ac:dyDescent="0.25">
      <c r="A1002">
        <v>1001</v>
      </c>
      <c r="B1002" s="23">
        <v>1434.037</v>
      </c>
      <c r="C1002" s="23">
        <v>265.81</v>
      </c>
      <c r="D1002" s="23">
        <v>1022.877</v>
      </c>
      <c r="E1002" s="23">
        <v>1022.877</v>
      </c>
      <c r="F1002" s="23">
        <v>0</v>
      </c>
      <c r="G1002" s="23">
        <v>0</v>
      </c>
      <c r="H1002" s="23">
        <v>0</v>
      </c>
      <c r="I1002" s="23">
        <v>411.16</v>
      </c>
      <c r="J1002" s="23">
        <v>0</v>
      </c>
      <c r="K1002" s="23">
        <v>0</v>
      </c>
    </row>
    <row r="1003" spans="1:11" x14ac:dyDescent="0.25">
      <c r="A1003">
        <v>1002</v>
      </c>
      <c r="B1003" s="23">
        <v>1519.1010000000001</v>
      </c>
      <c r="C1003" s="23">
        <v>47.93</v>
      </c>
      <c r="D1003" s="23">
        <v>138.566</v>
      </c>
      <c r="E1003" s="23">
        <v>138.566</v>
      </c>
      <c r="F1003" s="23">
        <v>0</v>
      </c>
      <c r="G1003" s="23">
        <v>0</v>
      </c>
      <c r="H1003" s="23">
        <v>0</v>
      </c>
      <c r="I1003" s="23">
        <v>0</v>
      </c>
      <c r="J1003" s="23">
        <v>0</v>
      </c>
      <c r="K1003" s="23">
        <v>1380.5350000000001</v>
      </c>
    </row>
    <row r="1004" spans="1:11" x14ac:dyDescent="0.25">
      <c r="A1004">
        <v>1003</v>
      </c>
      <c r="B1004" s="23">
        <v>1470.4</v>
      </c>
      <c r="C1004" s="23">
        <v>0</v>
      </c>
      <c r="D1004" s="23">
        <v>0</v>
      </c>
      <c r="E1004" s="23">
        <v>0</v>
      </c>
      <c r="F1004" s="23">
        <v>0</v>
      </c>
      <c r="G1004" s="23">
        <v>0</v>
      </c>
      <c r="H1004" s="23">
        <v>0</v>
      </c>
      <c r="I1004" s="23">
        <v>0</v>
      </c>
      <c r="J1004" s="23">
        <v>0</v>
      </c>
      <c r="K1004" s="23">
        <v>1470.4</v>
      </c>
    </row>
    <row r="1005" spans="1:11" x14ac:dyDescent="0.25">
      <c r="A1005">
        <v>1004</v>
      </c>
      <c r="B1005" s="23">
        <v>1118.4000000000001</v>
      </c>
      <c r="C1005" s="23">
        <v>0</v>
      </c>
      <c r="D1005" s="23">
        <v>0</v>
      </c>
      <c r="E1005" s="23">
        <v>0</v>
      </c>
      <c r="F1005" s="23">
        <v>0</v>
      </c>
      <c r="G1005" s="23">
        <v>0</v>
      </c>
      <c r="H1005" s="23">
        <v>0</v>
      </c>
      <c r="I1005" s="23">
        <v>0</v>
      </c>
      <c r="J1005" s="23">
        <v>0</v>
      </c>
      <c r="K1005" s="23">
        <v>1118.4000000000001</v>
      </c>
    </row>
    <row r="1006" spans="1:11" x14ac:dyDescent="0.25">
      <c r="A1006">
        <v>1005</v>
      </c>
      <c r="B1006" s="23">
        <v>1686.4</v>
      </c>
      <c r="C1006" s="23">
        <v>0</v>
      </c>
      <c r="D1006" s="23">
        <v>0</v>
      </c>
      <c r="E1006" s="23">
        <v>0</v>
      </c>
      <c r="F1006" s="23">
        <v>0</v>
      </c>
      <c r="G1006" s="23">
        <v>0</v>
      </c>
      <c r="H1006" s="23">
        <v>0</v>
      </c>
      <c r="I1006" s="23">
        <v>1686.4</v>
      </c>
      <c r="J1006" s="23">
        <v>0</v>
      </c>
      <c r="K1006" s="23">
        <v>0</v>
      </c>
    </row>
    <row r="1007" spans="1:11" x14ac:dyDescent="0.25">
      <c r="A1007">
        <v>1006</v>
      </c>
      <c r="B1007" s="23">
        <v>1632</v>
      </c>
      <c r="C1007" s="23">
        <v>0</v>
      </c>
      <c r="D1007" s="23">
        <v>0</v>
      </c>
      <c r="E1007" s="23">
        <v>0</v>
      </c>
      <c r="F1007" s="23">
        <v>0</v>
      </c>
      <c r="G1007" s="23">
        <v>0</v>
      </c>
      <c r="H1007" s="23">
        <v>0</v>
      </c>
      <c r="I1007" s="23">
        <v>1632</v>
      </c>
      <c r="J1007" s="23">
        <v>0</v>
      </c>
      <c r="K1007" s="23">
        <v>0</v>
      </c>
    </row>
    <row r="1008" spans="1:11" x14ac:dyDescent="0.25">
      <c r="A1008">
        <v>1007</v>
      </c>
      <c r="B1008" s="23">
        <v>1343.2</v>
      </c>
      <c r="C1008" s="23">
        <v>0</v>
      </c>
      <c r="D1008" s="23">
        <v>0</v>
      </c>
      <c r="E1008" s="23">
        <v>0</v>
      </c>
      <c r="F1008" s="23">
        <v>0</v>
      </c>
      <c r="G1008" s="23">
        <v>0</v>
      </c>
      <c r="H1008" s="23">
        <v>0</v>
      </c>
      <c r="I1008" s="23">
        <v>1343.2</v>
      </c>
      <c r="J1008" s="23">
        <v>0</v>
      </c>
      <c r="K1008" s="23">
        <v>0</v>
      </c>
    </row>
    <row r="1009" spans="1:11" x14ac:dyDescent="0.25">
      <c r="A1009">
        <v>1008</v>
      </c>
      <c r="B1009" s="23">
        <v>1206.4000000000001</v>
      </c>
      <c r="C1009" s="23">
        <v>0</v>
      </c>
      <c r="D1009" s="23">
        <v>0</v>
      </c>
      <c r="E1009" s="23">
        <v>0</v>
      </c>
      <c r="F1009" s="23">
        <v>0</v>
      </c>
      <c r="G1009" s="23">
        <v>0</v>
      </c>
      <c r="H1009" s="23">
        <v>0</v>
      </c>
      <c r="I1009" s="23">
        <v>1206.4000000000001</v>
      </c>
      <c r="J1009" s="23">
        <v>0</v>
      </c>
      <c r="K1009" s="23">
        <v>0</v>
      </c>
    </row>
    <row r="1010" spans="1:11" x14ac:dyDescent="0.25">
      <c r="A1010">
        <v>1009</v>
      </c>
      <c r="B1010" s="23">
        <v>1653.6</v>
      </c>
      <c r="C1010" s="23">
        <v>0</v>
      </c>
      <c r="D1010" s="23">
        <v>0</v>
      </c>
      <c r="E1010" s="23">
        <v>0</v>
      </c>
      <c r="F1010" s="23">
        <v>0</v>
      </c>
      <c r="G1010" s="23">
        <v>0</v>
      </c>
      <c r="H1010" s="23">
        <v>0</v>
      </c>
      <c r="I1010" s="23">
        <v>1653.6</v>
      </c>
      <c r="J1010" s="23">
        <v>0</v>
      </c>
      <c r="K1010" s="23">
        <v>0</v>
      </c>
    </row>
    <row r="1011" spans="1:11" x14ac:dyDescent="0.25">
      <c r="A1011">
        <v>1010</v>
      </c>
      <c r="B1011" s="23">
        <v>1780</v>
      </c>
      <c r="C1011" s="23">
        <v>0</v>
      </c>
      <c r="D1011" s="23">
        <v>0</v>
      </c>
      <c r="E1011" s="23">
        <v>0</v>
      </c>
      <c r="F1011" s="23">
        <v>0</v>
      </c>
      <c r="G1011" s="23">
        <v>0</v>
      </c>
      <c r="H1011" s="23">
        <v>0</v>
      </c>
      <c r="I1011" s="23">
        <v>1780</v>
      </c>
      <c r="J1011" s="23">
        <v>0</v>
      </c>
      <c r="K1011" s="23">
        <v>0</v>
      </c>
    </row>
    <row r="1012" spans="1:11" x14ac:dyDescent="0.25">
      <c r="A1012">
        <v>1011</v>
      </c>
      <c r="B1012" s="23">
        <v>1225.5999999999999</v>
      </c>
      <c r="C1012" s="23">
        <v>0</v>
      </c>
      <c r="D1012" s="23">
        <v>0</v>
      </c>
      <c r="E1012" s="23">
        <v>0</v>
      </c>
      <c r="F1012" s="23">
        <v>0</v>
      </c>
      <c r="G1012" s="23">
        <v>0</v>
      </c>
      <c r="H1012" s="23">
        <v>0</v>
      </c>
      <c r="I1012" s="23">
        <v>1225.5999999999999</v>
      </c>
      <c r="J1012" s="23">
        <v>0</v>
      </c>
      <c r="K1012" s="23">
        <v>0</v>
      </c>
    </row>
    <row r="1013" spans="1:11" x14ac:dyDescent="0.25">
      <c r="A1013">
        <v>1012</v>
      </c>
      <c r="B1013" s="23">
        <v>1333.6</v>
      </c>
      <c r="C1013" s="23">
        <v>0</v>
      </c>
      <c r="D1013" s="23">
        <v>0</v>
      </c>
      <c r="E1013" s="23">
        <v>0</v>
      </c>
      <c r="F1013" s="23">
        <v>0</v>
      </c>
      <c r="G1013" s="23">
        <v>0</v>
      </c>
      <c r="H1013" s="23">
        <v>0</v>
      </c>
      <c r="I1013" s="23">
        <v>1333.6</v>
      </c>
      <c r="J1013" s="23">
        <v>0</v>
      </c>
      <c r="K1013" s="23">
        <v>0</v>
      </c>
    </row>
    <row r="1014" spans="1:11" x14ac:dyDescent="0.25">
      <c r="A1014">
        <v>1013</v>
      </c>
      <c r="B1014" s="23">
        <v>1466.4</v>
      </c>
      <c r="C1014" s="23">
        <v>0</v>
      </c>
      <c r="D1014" s="23">
        <v>0</v>
      </c>
      <c r="E1014" s="23">
        <v>0</v>
      </c>
      <c r="F1014" s="23">
        <v>0</v>
      </c>
      <c r="G1014" s="23">
        <v>0</v>
      </c>
      <c r="H1014" s="23">
        <v>0</v>
      </c>
      <c r="I1014" s="23">
        <v>1466.4</v>
      </c>
      <c r="J1014" s="23">
        <v>0</v>
      </c>
      <c r="K1014" s="23">
        <v>0</v>
      </c>
    </row>
    <row r="1015" spans="1:11" x14ac:dyDescent="0.25">
      <c r="A1015">
        <v>1014</v>
      </c>
      <c r="B1015" s="23">
        <v>1376</v>
      </c>
      <c r="C1015" s="23">
        <v>0</v>
      </c>
      <c r="D1015" s="23">
        <v>0</v>
      </c>
      <c r="E1015" s="23">
        <v>0</v>
      </c>
      <c r="F1015" s="23">
        <v>0</v>
      </c>
      <c r="G1015" s="23">
        <v>0</v>
      </c>
      <c r="H1015" s="23">
        <v>0</v>
      </c>
      <c r="I1015" s="23">
        <v>302.43200000000002</v>
      </c>
      <c r="J1015" s="23">
        <v>0</v>
      </c>
      <c r="K1015" s="23">
        <v>1073.568</v>
      </c>
    </row>
    <row r="1016" spans="1:11" x14ac:dyDescent="0.25">
      <c r="A1016">
        <v>1015</v>
      </c>
      <c r="B1016" s="23">
        <v>1212</v>
      </c>
      <c r="C1016" s="23">
        <v>17.86</v>
      </c>
      <c r="D1016" s="23">
        <v>27.181999999999999</v>
      </c>
      <c r="E1016" s="23">
        <v>27.181999999999999</v>
      </c>
      <c r="F1016" s="23">
        <v>0</v>
      </c>
      <c r="G1016" s="23">
        <v>0</v>
      </c>
      <c r="H1016" s="23">
        <v>0</v>
      </c>
      <c r="I1016" s="23">
        <v>0</v>
      </c>
      <c r="J1016" s="23">
        <v>0</v>
      </c>
      <c r="K1016" s="23">
        <v>1184.818</v>
      </c>
    </row>
    <row r="1017" spans="1:11" x14ac:dyDescent="0.25">
      <c r="A1017">
        <v>1016</v>
      </c>
      <c r="B1017" s="23">
        <v>1119.4079999999999</v>
      </c>
      <c r="C1017" s="23">
        <v>206.28</v>
      </c>
      <c r="D1017" s="23">
        <v>795.279</v>
      </c>
      <c r="E1017" s="23">
        <v>795.279</v>
      </c>
      <c r="F1017" s="23">
        <v>0</v>
      </c>
      <c r="G1017" s="23">
        <v>0</v>
      </c>
      <c r="H1017" s="23">
        <v>0</v>
      </c>
      <c r="I1017" s="23">
        <v>0</v>
      </c>
      <c r="J1017" s="23">
        <v>0</v>
      </c>
      <c r="K1017" s="23">
        <v>324.12900000000002</v>
      </c>
    </row>
    <row r="1018" spans="1:11" x14ac:dyDescent="0.25">
      <c r="A1018">
        <v>1017</v>
      </c>
      <c r="B1018" s="23">
        <v>1135.2049999999999</v>
      </c>
      <c r="C1018" s="23">
        <v>424.03</v>
      </c>
      <c r="D1018" s="23">
        <v>1691.606</v>
      </c>
      <c r="E1018" s="23">
        <v>1135.2049999999999</v>
      </c>
      <c r="F1018" s="23">
        <v>-556.40099999999995</v>
      </c>
      <c r="G1018" s="23">
        <v>0</v>
      </c>
      <c r="H1018" s="23">
        <v>0</v>
      </c>
      <c r="I1018" s="23">
        <v>0</v>
      </c>
      <c r="J1018" s="23">
        <v>0</v>
      </c>
      <c r="K1018" s="23">
        <v>0</v>
      </c>
    </row>
    <row r="1019" spans="1:11" x14ac:dyDescent="0.25">
      <c r="A1019">
        <v>1018</v>
      </c>
      <c r="B1019" s="23">
        <v>1502.098</v>
      </c>
      <c r="C1019" s="23">
        <v>615.75</v>
      </c>
      <c r="D1019" s="23">
        <v>2369.4929999999999</v>
      </c>
      <c r="E1019" s="23">
        <v>1502.098</v>
      </c>
      <c r="F1019" s="23">
        <v>-867.39499999999998</v>
      </c>
      <c r="G1019" s="23">
        <v>0</v>
      </c>
      <c r="H1019" s="23">
        <v>0</v>
      </c>
      <c r="I1019" s="23">
        <v>0</v>
      </c>
      <c r="J1019" s="23">
        <v>0</v>
      </c>
      <c r="K1019" s="23">
        <v>0</v>
      </c>
    </row>
    <row r="1020" spans="1:11" x14ac:dyDescent="0.25">
      <c r="A1020">
        <v>1019</v>
      </c>
      <c r="B1020" s="23">
        <v>1740.14</v>
      </c>
      <c r="C1020" s="23">
        <v>688.35</v>
      </c>
      <c r="D1020" s="23">
        <v>2563.9989999999998</v>
      </c>
      <c r="E1020" s="23">
        <v>1740.14</v>
      </c>
      <c r="F1020" s="23">
        <v>-823.85900000000004</v>
      </c>
      <c r="G1020" s="23">
        <v>0</v>
      </c>
      <c r="H1020" s="23">
        <v>0</v>
      </c>
      <c r="I1020" s="23">
        <v>0</v>
      </c>
      <c r="J1020" s="23">
        <v>0</v>
      </c>
      <c r="K1020" s="23">
        <v>0</v>
      </c>
    </row>
    <row r="1021" spans="1:11" x14ac:dyDescent="0.25">
      <c r="A1021">
        <v>1020</v>
      </c>
      <c r="B1021" s="23">
        <v>1403.0409999999999</v>
      </c>
      <c r="C1021" s="23">
        <v>787.7</v>
      </c>
      <c r="D1021" s="23">
        <v>2855.674</v>
      </c>
      <c r="E1021" s="23">
        <v>1403.0409999999999</v>
      </c>
      <c r="F1021" s="23">
        <v>-1452.633</v>
      </c>
      <c r="G1021" s="23">
        <v>0</v>
      </c>
      <c r="H1021" s="23">
        <v>0</v>
      </c>
      <c r="I1021" s="23">
        <v>0</v>
      </c>
      <c r="J1021" s="23">
        <v>0</v>
      </c>
      <c r="K1021" s="23">
        <v>0</v>
      </c>
    </row>
    <row r="1022" spans="1:11" x14ac:dyDescent="0.25">
      <c r="A1022">
        <v>1021</v>
      </c>
      <c r="B1022" s="23">
        <v>1200.1949999999999</v>
      </c>
      <c r="C1022" s="23">
        <v>790.73</v>
      </c>
      <c r="D1022" s="23">
        <v>2835.4290000000001</v>
      </c>
      <c r="E1022" s="23">
        <v>1200.1949999999999</v>
      </c>
      <c r="F1022" s="23">
        <v>-1635.2339999999999</v>
      </c>
      <c r="G1022" s="23">
        <v>0</v>
      </c>
      <c r="H1022" s="23">
        <v>0</v>
      </c>
      <c r="I1022" s="23">
        <v>0</v>
      </c>
      <c r="J1022" s="23">
        <v>0</v>
      </c>
      <c r="K1022" s="23">
        <v>0</v>
      </c>
    </row>
    <row r="1023" spans="1:11" x14ac:dyDescent="0.25">
      <c r="A1023">
        <v>1022</v>
      </c>
      <c r="B1023" s="23">
        <v>1044.046</v>
      </c>
      <c r="C1023" s="23">
        <v>752.27</v>
      </c>
      <c r="D1023" s="23">
        <v>2718.4140000000002</v>
      </c>
      <c r="E1023" s="23">
        <v>1044.046</v>
      </c>
      <c r="F1023" s="23">
        <v>-1674.3679999999999</v>
      </c>
      <c r="G1023" s="23">
        <v>0</v>
      </c>
      <c r="H1023" s="23">
        <v>0</v>
      </c>
      <c r="I1023" s="23">
        <v>0</v>
      </c>
      <c r="J1023" s="23">
        <v>0</v>
      </c>
      <c r="K1023" s="23">
        <v>0</v>
      </c>
    </row>
    <row r="1024" spans="1:11" x14ac:dyDescent="0.25">
      <c r="A1024">
        <v>1023</v>
      </c>
      <c r="B1024" s="23">
        <v>1298.1880000000001</v>
      </c>
      <c r="C1024" s="23">
        <v>661.08</v>
      </c>
      <c r="D1024" s="23">
        <v>2460.2350000000001</v>
      </c>
      <c r="E1024" s="23">
        <v>1298.1880000000001</v>
      </c>
      <c r="F1024" s="23">
        <v>-281.61</v>
      </c>
      <c r="G1024" s="23">
        <v>0</v>
      </c>
      <c r="H1024" s="23">
        <v>880.43700000000001</v>
      </c>
      <c r="I1024" s="23">
        <v>0</v>
      </c>
      <c r="J1024" s="23">
        <v>0</v>
      </c>
      <c r="K1024" s="23">
        <v>0</v>
      </c>
    </row>
    <row r="1025" spans="1:11" x14ac:dyDescent="0.25">
      <c r="A1025">
        <v>1024</v>
      </c>
      <c r="B1025" s="23">
        <v>1559.0239999999999</v>
      </c>
      <c r="C1025" s="23">
        <v>461.17</v>
      </c>
      <c r="D1025" s="23">
        <v>1779.2380000000001</v>
      </c>
      <c r="E1025" s="23">
        <v>1559.0239999999999</v>
      </c>
      <c r="F1025" s="23">
        <v>0</v>
      </c>
      <c r="G1025" s="23">
        <v>0</v>
      </c>
      <c r="H1025" s="23">
        <v>220.214</v>
      </c>
      <c r="I1025" s="23">
        <v>0</v>
      </c>
      <c r="J1025" s="23">
        <v>0</v>
      </c>
      <c r="K1025" s="23">
        <v>0</v>
      </c>
    </row>
    <row r="1026" spans="1:11" x14ac:dyDescent="0.25">
      <c r="A1026">
        <v>1025</v>
      </c>
      <c r="B1026" s="23">
        <v>1238.191</v>
      </c>
      <c r="C1026" s="23">
        <v>245.1</v>
      </c>
      <c r="D1026" s="23">
        <v>944.048</v>
      </c>
      <c r="E1026" s="23">
        <v>944.048</v>
      </c>
      <c r="F1026" s="23">
        <v>0</v>
      </c>
      <c r="G1026" s="23">
        <v>0</v>
      </c>
      <c r="H1026" s="23">
        <v>0</v>
      </c>
      <c r="I1026" s="23">
        <v>0</v>
      </c>
      <c r="J1026" s="23">
        <v>0</v>
      </c>
      <c r="K1026" s="23">
        <v>294.14299999999997</v>
      </c>
    </row>
    <row r="1027" spans="1:11" x14ac:dyDescent="0.25">
      <c r="A1027">
        <v>1026</v>
      </c>
      <c r="B1027" s="23">
        <v>1380.3150000000001</v>
      </c>
      <c r="C1027" s="23">
        <v>57.47</v>
      </c>
      <c r="D1027" s="23">
        <v>170.124</v>
      </c>
      <c r="E1027" s="23">
        <v>170.124</v>
      </c>
      <c r="F1027" s="23">
        <v>0</v>
      </c>
      <c r="G1027" s="23">
        <v>0</v>
      </c>
      <c r="H1027" s="23">
        <v>0</v>
      </c>
      <c r="I1027" s="23">
        <v>0</v>
      </c>
      <c r="J1027" s="23">
        <v>0</v>
      </c>
      <c r="K1027" s="23">
        <v>1210.191</v>
      </c>
    </row>
    <row r="1028" spans="1:11" x14ac:dyDescent="0.25">
      <c r="A1028">
        <v>1027</v>
      </c>
      <c r="B1028" s="23">
        <v>886.36599999999999</v>
      </c>
      <c r="C1028" s="23">
        <v>0</v>
      </c>
      <c r="D1028" s="23">
        <v>0</v>
      </c>
      <c r="E1028" s="23">
        <v>0</v>
      </c>
      <c r="F1028" s="23">
        <v>0</v>
      </c>
      <c r="G1028" s="23">
        <v>0</v>
      </c>
      <c r="H1028" s="23">
        <v>0</v>
      </c>
      <c r="I1028" s="23">
        <v>0</v>
      </c>
      <c r="J1028" s="23">
        <v>0</v>
      </c>
      <c r="K1028" s="23">
        <v>886.36599999999999</v>
      </c>
    </row>
    <row r="1029" spans="1:11" x14ac:dyDescent="0.25">
      <c r="A1029">
        <v>1028</v>
      </c>
      <c r="B1029" s="23">
        <v>1113.5999999999999</v>
      </c>
      <c r="C1029" s="23">
        <v>0</v>
      </c>
      <c r="D1029" s="23">
        <v>0</v>
      </c>
      <c r="E1029" s="23">
        <v>0</v>
      </c>
      <c r="F1029" s="23">
        <v>0</v>
      </c>
      <c r="G1029" s="23">
        <v>0</v>
      </c>
      <c r="H1029" s="23">
        <v>0</v>
      </c>
      <c r="I1029" s="23">
        <v>0</v>
      </c>
      <c r="J1029" s="23">
        <v>0</v>
      </c>
      <c r="K1029" s="23">
        <v>1113.5999999999999</v>
      </c>
    </row>
    <row r="1030" spans="1:11" x14ac:dyDescent="0.25">
      <c r="A1030">
        <v>1029</v>
      </c>
      <c r="B1030" s="23">
        <v>1129.5999999999999</v>
      </c>
      <c r="C1030" s="23">
        <v>0</v>
      </c>
      <c r="D1030" s="23">
        <v>0</v>
      </c>
      <c r="E1030" s="23">
        <v>0</v>
      </c>
      <c r="F1030" s="23">
        <v>0</v>
      </c>
      <c r="G1030" s="23">
        <v>0</v>
      </c>
      <c r="H1030" s="23">
        <v>0</v>
      </c>
      <c r="I1030" s="23">
        <v>0</v>
      </c>
      <c r="J1030" s="23">
        <v>0</v>
      </c>
      <c r="K1030" s="23">
        <v>1129.5999999999999</v>
      </c>
    </row>
    <row r="1031" spans="1:11" x14ac:dyDescent="0.25">
      <c r="A1031">
        <v>1030</v>
      </c>
      <c r="B1031" s="23">
        <v>1440.8</v>
      </c>
      <c r="C1031" s="23">
        <v>0</v>
      </c>
      <c r="D1031" s="23">
        <v>0</v>
      </c>
      <c r="E1031" s="23">
        <v>0</v>
      </c>
      <c r="F1031" s="23">
        <v>0</v>
      </c>
      <c r="G1031" s="23">
        <v>0</v>
      </c>
      <c r="H1031" s="23">
        <v>0</v>
      </c>
      <c r="I1031" s="23">
        <v>0</v>
      </c>
      <c r="J1031" s="23">
        <v>0</v>
      </c>
      <c r="K1031" s="23">
        <v>1440.8</v>
      </c>
    </row>
    <row r="1032" spans="1:11" x14ac:dyDescent="0.25">
      <c r="A1032">
        <v>1031</v>
      </c>
      <c r="B1032" s="23">
        <v>1332.8</v>
      </c>
      <c r="C1032" s="23">
        <v>0</v>
      </c>
      <c r="D1032" s="23">
        <v>0</v>
      </c>
      <c r="E1032" s="23">
        <v>0</v>
      </c>
      <c r="F1032" s="23">
        <v>0</v>
      </c>
      <c r="G1032" s="23">
        <v>0</v>
      </c>
      <c r="H1032" s="23">
        <v>0</v>
      </c>
      <c r="I1032" s="23">
        <v>1332.8</v>
      </c>
      <c r="J1032" s="23">
        <v>0</v>
      </c>
      <c r="K1032" s="23">
        <v>0</v>
      </c>
    </row>
    <row r="1033" spans="1:11" x14ac:dyDescent="0.25">
      <c r="A1033">
        <v>1032</v>
      </c>
      <c r="B1033" s="23">
        <v>138.4</v>
      </c>
      <c r="C1033" s="23">
        <v>0</v>
      </c>
      <c r="D1033" s="23">
        <v>0</v>
      </c>
      <c r="E1033" s="23">
        <v>0</v>
      </c>
      <c r="F1033" s="23">
        <v>0</v>
      </c>
      <c r="G1033" s="23">
        <v>0</v>
      </c>
      <c r="H1033" s="23">
        <v>0</v>
      </c>
      <c r="I1033" s="23">
        <v>138.4</v>
      </c>
      <c r="J1033" s="23">
        <v>0</v>
      </c>
      <c r="K1033" s="23">
        <v>0</v>
      </c>
    </row>
    <row r="1034" spans="1:11" x14ac:dyDescent="0.25">
      <c r="A1034">
        <v>1033</v>
      </c>
      <c r="B1034" s="23">
        <v>97.6</v>
      </c>
      <c r="C1034" s="23">
        <v>0</v>
      </c>
      <c r="D1034" s="23">
        <v>0</v>
      </c>
      <c r="E1034" s="23">
        <v>0</v>
      </c>
      <c r="F1034" s="23">
        <v>0</v>
      </c>
      <c r="G1034" s="23">
        <v>0</v>
      </c>
      <c r="H1034" s="23">
        <v>0</v>
      </c>
      <c r="I1034" s="23">
        <v>97.6</v>
      </c>
      <c r="J1034" s="23">
        <v>0</v>
      </c>
      <c r="K1034" s="23">
        <v>0</v>
      </c>
    </row>
    <row r="1035" spans="1:11" x14ac:dyDescent="0.25">
      <c r="A1035">
        <v>1034</v>
      </c>
      <c r="B1035" s="23">
        <v>94.4</v>
      </c>
      <c r="C1035" s="23">
        <v>0</v>
      </c>
      <c r="D1035" s="23">
        <v>0</v>
      </c>
      <c r="E1035" s="23">
        <v>0</v>
      </c>
      <c r="F1035" s="23">
        <v>0</v>
      </c>
      <c r="G1035" s="23">
        <v>0</v>
      </c>
      <c r="H1035" s="23">
        <v>0</v>
      </c>
      <c r="I1035" s="23">
        <v>49.012</v>
      </c>
      <c r="J1035" s="23">
        <v>0</v>
      </c>
      <c r="K1035" s="23">
        <v>45.387999999999998</v>
      </c>
    </row>
    <row r="1036" spans="1:11" x14ac:dyDescent="0.25">
      <c r="A1036">
        <v>1035</v>
      </c>
      <c r="B1036" s="23">
        <v>103.2</v>
      </c>
      <c r="C1036" s="23">
        <v>0</v>
      </c>
      <c r="D1036" s="23">
        <v>0</v>
      </c>
      <c r="E1036" s="23">
        <v>0</v>
      </c>
      <c r="F1036" s="23">
        <v>0</v>
      </c>
      <c r="G1036" s="23">
        <v>0</v>
      </c>
      <c r="H1036" s="23">
        <v>0</v>
      </c>
      <c r="I1036" s="23">
        <v>0</v>
      </c>
      <c r="J1036" s="23">
        <v>0</v>
      </c>
      <c r="K1036" s="23">
        <v>103.2</v>
      </c>
    </row>
    <row r="1037" spans="1:11" x14ac:dyDescent="0.25">
      <c r="A1037">
        <v>1036</v>
      </c>
      <c r="B1037" s="23">
        <v>92.8</v>
      </c>
      <c r="C1037" s="23">
        <v>0</v>
      </c>
      <c r="D1037" s="23">
        <v>0</v>
      </c>
      <c r="E1037" s="23">
        <v>0</v>
      </c>
      <c r="F1037" s="23">
        <v>0</v>
      </c>
      <c r="G1037" s="23">
        <v>0</v>
      </c>
      <c r="H1037" s="23">
        <v>0</v>
      </c>
      <c r="I1037" s="23">
        <v>0</v>
      </c>
      <c r="J1037" s="23">
        <v>0</v>
      </c>
      <c r="K1037" s="23">
        <v>92.8</v>
      </c>
    </row>
    <row r="1038" spans="1:11" x14ac:dyDescent="0.25">
      <c r="A1038">
        <v>1037</v>
      </c>
      <c r="B1038" s="23">
        <v>98.4</v>
      </c>
      <c r="C1038" s="23">
        <v>0</v>
      </c>
      <c r="D1038" s="23">
        <v>0</v>
      </c>
      <c r="E1038" s="23">
        <v>0</v>
      </c>
      <c r="F1038" s="23">
        <v>0</v>
      </c>
      <c r="G1038" s="23">
        <v>0</v>
      </c>
      <c r="H1038" s="23">
        <v>0</v>
      </c>
      <c r="I1038" s="23">
        <v>0</v>
      </c>
      <c r="J1038" s="23">
        <v>0</v>
      </c>
      <c r="K1038" s="23">
        <v>98.4</v>
      </c>
    </row>
    <row r="1039" spans="1:11" x14ac:dyDescent="0.25">
      <c r="A1039">
        <v>1038</v>
      </c>
      <c r="B1039" s="23">
        <v>89.6</v>
      </c>
      <c r="C1039" s="23">
        <v>0</v>
      </c>
      <c r="D1039" s="23">
        <v>0</v>
      </c>
      <c r="E1039" s="23">
        <v>0</v>
      </c>
      <c r="F1039" s="23">
        <v>0</v>
      </c>
      <c r="G1039" s="23">
        <v>0</v>
      </c>
      <c r="H1039" s="23">
        <v>0</v>
      </c>
      <c r="I1039" s="23">
        <v>0</v>
      </c>
      <c r="J1039" s="23">
        <v>0</v>
      </c>
      <c r="K1039" s="23">
        <v>89.6</v>
      </c>
    </row>
    <row r="1040" spans="1:11" x14ac:dyDescent="0.25">
      <c r="A1040">
        <v>1039</v>
      </c>
      <c r="B1040" s="23">
        <v>84.8</v>
      </c>
      <c r="C1040" s="23">
        <v>21.63</v>
      </c>
      <c r="D1040" s="23">
        <v>37.037999999999997</v>
      </c>
      <c r="E1040" s="23">
        <v>37.037999999999997</v>
      </c>
      <c r="F1040" s="23">
        <v>0</v>
      </c>
      <c r="G1040" s="23">
        <v>0</v>
      </c>
      <c r="H1040" s="23">
        <v>0</v>
      </c>
      <c r="I1040" s="23">
        <v>0</v>
      </c>
      <c r="J1040" s="23">
        <v>0</v>
      </c>
      <c r="K1040" s="23">
        <v>47.762</v>
      </c>
    </row>
    <row r="1041" spans="1:11" x14ac:dyDescent="0.25">
      <c r="A1041">
        <v>1040</v>
      </c>
      <c r="B1041" s="23">
        <v>86.436999999999998</v>
      </c>
      <c r="C1041" s="23">
        <v>212.69</v>
      </c>
      <c r="D1041" s="23">
        <v>817.37300000000005</v>
      </c>
      <c r="E1041" s="23">
        <v>86.436999999999998</v>
      </c>
      <c r="F1041" s="23">
        <v>-730.93600000000004</v>
      </c>
      <c r="G1041" s="23">
        <v>0</v>
      </c>
      <c r="H1041" s="23">
        <v>0</v>
      </c>
      <c r="I1041" s="23">
        <v>0</v>
      </c>
      <c r="J1041" s="23">
        <v>0</v>
      </c>
      <c r="K1041" s="23">
        <v>0</v>
      </c>
    </row>
    <row r="1042" spans="1:11" x14ac:dyDescent="0.25">
      <c r="A1042">
        <v>1041</v>
      </c>
      <c r="B1042" s="23">
        <v>660.13699999999994</v>
      </c>
      <c r="C1042" s="23">
        <v>439.94</v>
      </c>
      <c r="D1042" s="23">
        <v>1752.6079999999999</v>
      </c>
      <c r="E1042" s="23">
        <v>660.13699999999994</v>
      </c>
      <c r="F1042" s="23">
        <v>-1092.471</v>
      </c>
      <c r="G1042" s="23">
        <v>0</v>
      </c>
      <c r="H1042" s="23">
        <v>0</v>
      </c>
      <c r="I1042" s="23">
        <v>0</v>
      </c>
      <c r="J1042" s="23">
        <v>0</v>
      </c>
      <c r="K1042" s="23">
        <v>0</v>
      </c>
    </row>
    <row r="1043" spans="1:11" x14ac:dyDescent="0.25">
      <c r="A1043">
        <v>1042</v>
      </c>
      <c r="B1043" s="23">
        <v>1046.0530000000001</v>
      </c>
      <c r="C1043" s="23">
        <v>652.88</v>
      </c>
      <c r="D1043" s="23">
        <v>2515.451</v>
      </c>
      <c r="E1043" s="23">
        <v>1046.0530000000001</v>
      </c>
      <c r="F1043" s="23">
        <v>-1469.3979999999999</v>
      </c>
      <c r="G1043" s="23">
        <v>0</v>
      </c>
      <c r="H1043" s="23">
        <v>0</v>
      </c>
      <c r="I1043" s="23">
        <v>0</v>
      </c>
      <c r="J1043" s="23">
        <v>0</v>
      </c>
      <c r="K1043" s="23">
        <v>0</v>
      </c>
    </row>
    <row r="1044" spans="1:11" x14ac:dyDescent="0.25">
      <c r="A1044">
        <v>1043</v>
      </c>
      <c r="B1044" s="23">
        <v>1011.485</v>
      </c>
      <c r="C1044" s="23">
        <v>762.49</v>
      </c>
      <c r="D1044" s="23">
        <v>2846.4470000000001</v>
      </c>
      <c r="E1044" s="23">
        <v>1011.485</v>
      </c>
      <c r="F1044" s="23">
        <v>-1684.559</v>
      </c>
      <c r="G1044" s="23">
        <v>0</v>
      </c>
      <c r="H1044" s="23">
        <v>150.40299999999999</v>
      </c>
      <c r="I1044" s="23">
        <v>0</v>
      </c>
      <c r="J1044" s="23">
        <v>0</v>
      </c>
      <c r="K1044" s="23">
        <v>0</v>
      </c>
    </row>
    <row r="1045" spans="1:11" x14ac:dyDescent="0.25">
      <c r="A1045">
        <v>1044</v>
      </c>
      <c r="B1045" s="23">
        <v>1077.866</v>
      </c>
      <c r="C1045" s="23">
        <v>855.52</v>
      </c>
      <c r="D1045" s="23">
        <v>3121.0639999999999</v>
      </c>
      <c r="E1045" s="23">
        <v>1077.866</v>
      </c>
      <c r="F1045" s="23">
        <v>-1684.559</v>
      </c>
      <c r="G1045" s="23">
        <v>0</v>
      </c>
      <c r="H1045" s="23">
        <v>358.63900000000001</v>
      </c>
      <c r="I1045" s="23">
        <v>0</v>
      </c>
      <c r="J1045" s="23">
        <v>0</v>
      </c>
      <c r="K1045" s="23">
        <v>0</v>
      </c>
    </row>
    <row r="1046" spans="1:11" x14ac:dyDescent="0.25">
      <c r="A1046">
        <v>1045</v>
      </c>
      <c r="B1046" s="23">
        <v>1280.894</v>
      </c>
      <c r="C1046" s="23">
        <v>824.72</v>
      </c>
      <c r="D1046" s="23">
        <v>3005.5059999999999</v>
      </c>
      <c r="E1046" s="23">
        <v>1280.894</v>
      </c>
      <c r="F1046" s="23">
        <v>-629.57399999999996</v>
      </c>
      <c r="G1046" s="23">
        <v>0</v>
      </c>
      <c r="H1046" s="23">
        <v>1095.038</v>
      </c>
      <c r="I1046" s="23">
        <v>0</v>
      </c>
      <c r="J1046" s="23">
        <v>0</v>
      </c>
      <c r="K1046" s="23">
        <v>0</v>
      </c>
    </row>
    <row r="1047" spans="1:11" x14ac:dyDescent="0.25">
      <c r="A1047">
        <v>1046</v>
      </c>
      <c r="B1047" s="23">
        <v>1305.4949999999999</v>
      </c>
      <c r="C1047" s="23">
        <v>796.25</v>
      </c>
      <c r="D1047" s="23">
        <v>2938.0360000000001</v>
      </c>
      <c r="E1047" s="23">
        <v>1305.4949999999999</v>
      </c>
      <c r="F1047" s="23">
        <v>0</v>
      </c>
      <c r="G1047" s="23">
        <v>0</v>
      </c>
      <c r="H1047" s="23">
        <v>1632.5409999999999</v>
      </c>
      <c r="I1047" s="23">
        <v>0</v>
      </c>
      <c r="J1047" s="23">
        <v>0</v>
      </c>
      <c r="K1047" s="23">
        <v>0</v>
      </c>
    </row>
    <row r="1048" spans="1:11" x14ac:dyDescent="0.25">
      <c r="A1048">
        <v>1047</v>
      </c>
      <c r="B1048" s="23">
        <v>1222.683</v>
      </c>
      <c r="C1048" s="23">
        <v>641.77</v>
      </c>
      <c r="D1048" s="23">
        <v>2430.991</v>
      </c>
      <c r="E1048" s="23">
        <v>1222.683</v>
      </c>
      <c r="F1048" s="23">
        <v>0</v>
      </c>
      <c r="G1048" s="23">
        <v>0</v>
      </c>
      <c r="H1048" s="23">
        <v>1208.308</v>
      </c>
      <c r="I1048" s="23">
        <v>0</v>
      </c>
      <c r="J1048" s="23">
        <v>0</v>
      </c>
      <c r="K1048" s="23">
        <v>0</v>
      </c>
    </row>
    <row r="1049" spans="1:11" x14ac:dyDescent="0.25">
      <c r="A1049">
        <v>1048</v>
      </c>
      <c r="B1049" s="23">
        <v>1378.71</v>
      </c>
      <c r="C1049" s="23">
        <v>516.09</v>
      </c>
      <c r="D1049" s="23">
        <v>2009.8530000000001</v>
      </c>
      <c r="E1049" s="23">
        <v>1378.71</v>
      </c>
      <c r="F1049" s="23">
        <v>0</v>
      </c>
      <c r="G1049" s="23">
        <v>0</v>
      </c>
      <c r="H1049" s="23">
        <v>631.14300000000003</v>
      </c>
      <c r="I1049" s="23">
        <v>0</v>
      </c>
      <c r="J1049" s="23">
        <v>0</v>
      </c>
      <c r="K1049" s="23">
        <v>0</v>
      </c>
    </row>
    <row r="1050" spans="1:11" x14ac:dyDescent="0.25">
      <c r="A1050">
        <v>1049</v>
      </c>
      <c r="B1050" s="23">
        <v>1442.884</v>
      </c>
      <c r="C1050" s="23">
        <v>291.87</v>
      </c>
      <c r="D1050" s="23">
        <v>1133.595</v>
      </c>
      <c r="E1050" s="23">
        <v>1133.595</v>
      </c>
      <c r="F1050" s="23">
        <v>0</v>
      </c>
      <c r="G1050" s="23">
        <v>0</v>
      </c>
      <c r="H1050" s="23">
        <v>0</v>
      </c>
      <c r="I1050" s="23">
        <v>309.28899999999999</v>
      </c>
      <c r="J1050" s="23">
        <v>0</v>
      </c>
      <c r="K1050" s="23">
        <v>0</v>
      </c>
    </row>
    <row r="1051" spans="1:11" x14ac:dyDescent="0.25">
      <c r="A1051">
        <v>1050</v>
      </c>
      <c r="B1051" s="23">
        <v>1317.7149999999999</v>
      </c>
      <c r="C1051" s="23">
        <v>64.92</v>
      </c>
      <c r="D1051" s="23">
        <v>194.821</v>
      </c>
      <c r="E1051" s="23">
        <v>194.821</v>
      </c>
      <c r="F1051" s="23">
        <v>0</v>
      </c>
      <c r="G1051" s="23">
        <v>0</v>
      </c>
      <c r="H1051" s="23">
        <v>0</v>
      </c>
      <c r="I1051" s="23">
        <v>0</v>
      </c>
      <c r="J1051" s="23">
        <v>0</v>
      </c>
      <c r="K1051" s="23">
        <v>1122.894</v>
      </c>
    </row>
    <row r="1052" spans="1:11" x14ac:dyDescent="0.25">
      <c r="A1052">
        <v>1051</v>
      </c>
      <c r="B1052" s="23">
        <v>1407.2</v>
      </c>
      <c r="C1052" s="23">
        <v>0</v>
      </c>
      <c r="D1052" s="23">
        <v>0</v>
      </c>
      <c r="E1052" s="23">
        <v>0</v>
      </c>
      <c r="F1052" s="23">
        <v>0</v>
      </c>
      <c r="G1052" s="23">
        <v>0</v>
      </c>
      <c r="H1052" s="23">
        <v>0</v>
      </c>
      <c r="I1052" s="23">
        <v>0</v>
      </c>
      <c r="J1052" s="23">
        <v>0</v>
      </c>
      <c r="K1052" s="23">
        <v>1407.2</v>
      </c>
    </row>
    <row r="1053" spans="1:11" x14ac:dyDescent="0.25">
      <c r="A1053">
        <v>1052</v>
      </c>
      <c r="B1053" s="23">
        <v>1616.8</v>
      </c>
      <c r="C1053" s="23">
        <v>0</v>
      </c>
      <c r="D1053" s="23">
        <v>0</v>
      </c>
      <c r="E1053" s="23">
        <v>0</v>
      </c>
      <c r="F1053" s="23">
        <v>0</v>
      </c>
      <c r="G1053" s="23">
        <v>0</v>
      </c>
      <c r="H1053" s="23">
        <v>0</v>
      </c>
      <c r="I1053" s="23">
        <v>0</v>
      </c>
      <c r="J1053" s="23">
        <v>0</v>
      </c>
      <c r="K1053" s="23">
        <v>1616.8</v>
      </c>
    </row>
    <row r="1054" spans="1:11" x14ac:dyDescent="0.25">
      <c r="A1054">
        <v>1053</v>
      </c>
      <c r="B1054" s="23">
        <v>1705.6</v>
      </c>
      <c r="C1054" s="23">
        <v>0</v>
      </c>
      <c r="D1054" s="23">
        <v>0</v>
      </c>
      <c r="E1054" s="23">
        <v>0</v>
      </c>
      <c r="F1054" s="23">
        <v>0</v>
      </c>
      <c r="G1054" s="23">
        <v>0</v>
      </c>
      <c r="H1054" s="23">
        <v>0</v>
      </c>
      <c r="I1054" s="23">
        <v>1180.114</v>
      </c>
      <c r="J1054" s="23">
        <v>0</v>
      </c>
      <c r="K1054" s="23">
        <v>525.48599999999999</v>
      </c>
    </row>
    <row r="1055" spans="1:11" x14ac:dyDescent="0.25">
      <c r="A1055">
        <v>1054</v>
      </c>
      <c r="B1055" s="23">
        <v>1624</v>
      </c>
      <c r="C1055" s="23">
        <v>0</v>
      </c>
      <c r="D1055" s="23">
        <v>0</v>
      </c>
      <c r="E1055" s="23">
        <v>0</v>
      </c>
      <c r="F1055" s="23">
        <v>0</v>
      </c>
      <c r="G1055" s="23">
        <v>0</v>
      </c>
      <c r="H1055" s="23">
        <v>0</v>
      </c>
      <c r="I1055" s="23">
        <v>0</v>
      </c>
      <c r="J1055" s="23">
        <v>0</v>
      </c>
      <c r="K1055" s="23">
        <v>1624</v>
      </c>
    </row>
    <row r="1056" spans="1:11" x14ac:dyDescent="0.25">
      <c r="A1056">
        <v>1055</v>
      </c>
      <c r="B1056" s="23">
        <v>1382.4</v>
      </c>
      <c r="C1056" s="23">
        <v>0</v>
      </c>
      <c r="D1056" s="23">
        <v>0</v>
      </c>
      <c r="E1056" s="23">
        <v>0</v>
      </c>
      <c r="F1056" s="23">
        <v>0</v>
      </c>
      <c r="G1056" s="23">
        <v>0</v>
      </c>
      <c r="H1056" s="23">
        <v>0</v>
      </c>
      <c r="I1056" s="23">
        <v>1382.4</v>
      </c>
      <c r="J1056" s="23">
        <v>0</v>
      </c>
      <c r="K1056" s="23">
        <v>0</v>
      </c>
    </row>
    <row r="1057" spans="1:11" x14ac:dyDescent="0.25">
      <c r="A1057">
        <v>1056</v>
      </c>
      <c r="B1057" s="23">
        <v>136.80000000000001</v>
      </c>
      <c r="C1057" s="23">
        <v>0</v>
      </c>
      <c r="D1057" s="23">
        <v>0</v>
      </c>
      <c r="E1057" s="23">
        <v>0</v>
      </c>
      <c r="F1057" s="23">
        <v>0</v>
      </c>
      <c r="G1057" s="23">
        <v>0</v>
      </c>
      <c r="H1057" s="23">
        <v>0</v>
      </c>
      <c r="I1057" s="23">
        <v>136.80000000000001</v>
      </c>
      <c r="J1057" s="23">
        <v>0</v>
      </c>
      <c r="K1057" s="23">
        <v>0</v>
      </c>
    </row>
    <row r="1058" spans="1:11" x14ac:dyDescent="0.25">
      <c r="A1058">
        <v>1057</v>
      </c>
      <c r="B1058" s="23">
        <v>104.8</v>
      </c>
      <c r="C1058" s="23">
        <v>0</v>
      </c>
      <c r="D1058" s="23">
        <v>0</v>
      </c>
      <c r="E1058" s="23">
        <v>0</v>
      </c>
      <c r="F1058" s="23">
        <v>0</v>
      </c>
      <c r="G1058" s="23">
        <v>0</v>
      </c>
      <c r="H1058" s="23">
        <v>0</v>
      </c>
      <c r="I1058" s="23">
        <v>104.8</v>
      </c>
      <c r="J1058" s="23">
        <v>0</v>
      </c>
      <c r="K1058" s="23">
        <v>0</v>
      </c>
    </row>
    <row r="1059" spans="1:11" x14ac:dyDescent="0.25">
      <c r="A1059">
        <v>1058</v>
      </c>
      <c r="B1059" s="23">
        <v>96.8</v>
      </c>
      <c r="C1059" s="23">
        <v>0</v>
      </c>
      <c r="D1059" s="23">
        <v>0</v>
      </c>
      <c r="E1059" s="23">
        <v>0</v>
      </c>
      <c r="F1059" s="23">
        <v>0</v>
      </c>
      <c r="G1059" s="23">
        <v>0</v>
      </c>
      <c r="H1059" s="23">
        <v>0</v>
      </c>
      <c r="I1059" s="23">
        <v>96.8</v>
      </c>
      <c r="J1059" s="23">
        <v>0</v>
      </c>
      <c r="K1059" s="23">
        <v>0</v>
      </c>
    </row>
    <row r="1060" spans="1:11" x14ac:dyDescent="0.25">
      <c r="A1060">
        <v>1059</v>
      </c>
      <c r="B1060" s="23">
        <v>100</v>
      </c>
      <c r="C1060" s="23">
        <v>0</v>
      </c>
      <c r="D1060" s="23">
        <v>0</v>
      </c>
      <c r="E1060" s="23">
        <v>0</v>
      </c>
      <c r="F1060" s="23">
        <v>0</v>
      </c>
      <c r="G1060" s="23">
        <v>0</v>
      </c>
      <c r="H1060" s="23">
        <v>0</v>
      </c>
      <c r="I1060" s="23">
        <v>100</v>
      </c>
      <c r="J1060" s="23">
        <v>0</v>
      </c>
      <c r="K1060" s="23">
        <v>0</v>
      </c>
    </row>
    <row r="1061" spans="1:11" x14ac:dyDescent="0.25">
      <c r="A1061">
        <v>1060</v>
      </c>
      <c r="B1061" s="23">
        <v>98.4</v>
      </c>
      <c r="C1061" s="23">
        <v>0</v>
      </c>
      <c r="D1061" s="23">
        <v>0</v>
      </c>
      <c r="E1061" s="23">
        <v>0</v>
      </c>
      <c r="F1061" s="23">
        <v>0</v>
      </c>
      <c r="G1061" s="23">
        <v>0</v>
      </c>
      <c r="H1061" s="23">
        <v>0</v>
      </c>
      <c r="I1061" s="23">
        <v>98.4</v>
      </c>
      <c r="J1061" s="23">
        <v>0</v>
      </c>
      <c r="K1061" s="23">
        <v>0</v>
      </c>
    </row>
    <row r="1062" spans="1:11" x14ac:dyDescent="0.25">
      <c r="A1062">
        <v>1061</v>
      </c>
      <c r="B1062" s="23">
        <v>101.6</v>
      </c>
      <c r="C1062" s="23">
        <v>0</v>
      </c>
      <c r="D1062" s="23">
        <v>0</v>
      </c>
      <c r="E1062" s="23">
        <v>0</v>
      </c>
      <c r="F1062" s="23">
        <v>0</v>
      </c>
      <c r="G1062" s="23">
        <v>0</v>
      </c>
      <c r="H1062" s="23">
        <v>0</v>
      </c>
      <c r="I1062" s="23">
        <v>0</v>
      </c>
      <c r="J1062" s="23">
        <v>0</v>
      </c>
      <c r="K1062" s="23">
        <v>101.6</v>
      </c>
    </row>
    <row r="1063" spans="1:11" x14ac:dyDescent="0.25">
      <c r="A1063">
        <v>1062</v>
      </c>
      <c r="B1063" s="23">
        <v>95.2</v>
      </c>
      <c r="C1063" s="23">
        <v>0</v>
      </c>
      <c r="D1063" s="23">
        <v>0</v>
      </c>
      <c r="E1063" s="23">
        <v>0</v>
      </c>
      <c r="F1063" s="23">
        <v>0</v>
      </c>
      <c r="G1063" s="23">
        <v>0</v>
      </c>
      <c r="H1063" s="23">
        <v>0</v>
      </c>
      <c r="I1063" s="23">
        <v>0</v>
      </c>
      <c r="J1063" s="23">
        <v>0</v>
      </c>
      <c r="K1063" s="23">
        <v>95.2</v>
      </c>
    </row>
    <row r="1064" spans="1:11" x14ac:dyDescent="0.25">
      <c r="A1064">
        <v>1063</v>
      </c>
      <c r="B1064" s="23">
        <v>92.8</v>
      </c>
      <c r="C1064" s="23">
        <v>20.2</v>
      </c>
      <c r="D1064" s="23">
        <v>34.130000000000003</v>
      </c>
      <c r="E1064" s="23">
        <v>34.130000000000003</v>
      </c>
      <c r="F1064" s="23">
        <v>0</v>
      </c>
      <c r="G1064" s="23">
        <v>0</v>
      </c>
      <c r="H1064" s="23">
        <v>0</v>
      </c>
      <c r="I1064" s="23">
        <v>0</v>
      </c>
      <c r="J1064" s="23">
        <v>0</v>
      </c>
      <c r="K1064" s="23">
        <v>58.67</v>
      </c>
    </row>
    <row r="1065" spans="1:11" x14ac:dyDescent="0.25">
      <c r="A1065">
        <v>1064</v>
      </c>
      <c r="B1065" s="23">
        <v>85.97</v>
      </c>
      <c r="C1065" s="23">
        <v>217.98</v>
      </c>
      <c r="D1065" s="23">
        <v>838.10300000000007</v>
      </c>
      <c r="E1065" s="23">
        <v>85.97</v>
      </c>
      <c r="F1065" s="23">
        <v>-752.13300000000004</v>
      </c>
      <c r="G1065" s="23">
        <v>0</v>
      </c>
      <c r="H1065" s="23">
        <v>0</v>
      </c>
      <c r="I1065" s="23">
        <v>0</v>
      </c>
      <c r="J1065" s="23">
        <v>0</v>
      </c>
      <c r="K1065" s="23">
        <v>0</v>
      </c>
    </row>
    <row r="1066" spans="1:11" x14ac:dyDescent="0.25">
      <c r="A1066">
        <v>1065</v>
      </c>
      <c r="B1066" s="23">
        <v>932.61599999999999</v>
      </c>
      <c r="C1066" s="23">
        <v>468.34</v>
      </c>
      <c r="D1066" s="23">
        <v>1861.0060000000001</v>
      </c>
      <c r="E1066" s="23">
        <v>932.61599999999999</v>
      </c>
      <c r="F1066" s="23">
        <v>-928.39</v>
      </c>
      <c r="G1066" s="23">
        <v>0</v>
      </c>
      <c r="H1066" s="23">
        <v>0</v>
      </c>
      <c r="I1066" s="23">
        <v>0</v>
      </c>
      <c r="J1066" s="23">
        <v>0</v>
      </c>
      <c r="K1066" s="23">
        <v>0</v>
      </c>
    </row>
    <row r="1067" spans="1:11" x14ac:dyDescent="0.25">
      <c r="A1067">
        <v>1066</v>
      </c>
      <c r="B1067" s="23">
        <v>1383.414</v>
      </c>
      <c r="C1067" s="23">
        <v>687.6</v>
      </c>
      <c r="D1067" s="23">
        <v>2647.55</v>
      </c>
      <c r="E1067" s="23">
        <v>1383.414</v>
      </c>
      <c r="F1067" s="23">
        <v>-1264.136</v>
      </c>
      <c r="G1067" s="23">
        <v>0</v>
      </c>
      <c r="H1067" s="23">
        <v>0</v>
      </c>
      <c r="I1067" s="23">
        <v>0</v>
      </c>
      <c r="J1067" s="23">
        <v>0</v>
      </c>
      <c r="K1067" s="23">
        <v>0</v>
      </c>
    </row>
    <row r="1068" spans="1:11" x14ac:dyDescent="0.25">
      <c r="A1068">
        <v>1067</v>
      </c>
      <c r="B1068" s="23">
        <v>1261.1110000000001</v>
      </c>
      <c r="C1068" s="23">
        <v>861.93</v>
      </c>
      <c r="D1068" s="23">
        <v>3224.989</v>
      </c>
      <c r="E1068" s="23">
        <v>1261.1110000000001</v>
      </c>
      <c r="F1068" s="23">
        <v>-1684.559</v>
      </c>
      <c r="G1068" s="23">
        <v>0</v>
      </c>
      <c r="H1068" s="23">
        <v>279.31900000000002</v>
      </c>
      <c r="I1068" s="23">
        <v>0</v>
      </c>
      <c r="J1068" s="23">
        <v>0</v>
      </c>
      <c r="K1068" s="23">
        <v>0</v>
      </c>
    </row>
    <row r="1069" spans="1:11" x14ac:dyDescent="0.25">
      <c r="A1069">
        <v>1068</v>
      </c>
      <c r="B1069" s="23">
        <v>1457.3050000000001</v>
      </c>
      <c r="C1069" s="23">
        <v>948.48</v>
      </c>
      <c r="D1069" s="23">
        <v>3491.8159999999998</v>
      </c>
      <c r="E1069" s="23">
        <v>1457.3050000000001</v>
      </c>
      <c r="F1069" s="23">
        <v>-1684.559</v>
      </c>
      <c r="G1069" s="23">
        <v>0</v>
      </c>
      <c r="H1069" s="23">
        <v>349.952</v>
      </c>
      <c r="I1069" s="23">
        <v>0</v>
      </c>
      <c r="J1069" s="23">
        <v>0</v>
      </c>
      <c r="K1069" s="23">
        <v>0</v>
      </c>
    </row>
    <row r="1070" spans="1:11" x14ac:dyDescent="0.25">
      <c r="A1070">
        <v>1069</v>
      </c>
      <c r="B1070" s="23">
        <v>1348.0640000000001</v>
      </c>
      <c r="C1070" s="23">
        <v>952.84</v>
      </c>
      <c r="D1070" s="23">
        <v>3507.1480000000001</v>
      </c>
      <c r="E1070" s="23">
        <v>1348.0640000000001</v>
      </c>
      <c r="F1070" s="23">
        <v>-977.72</v>
      </c>
      <c r="G1070" s="23">
        <v>0</v>
      </c>
      <c r="H1070" s="23">
        <v>1181.364</v>
      </c>
      <c r="I1070" s="23">
        <v>0</v>
      </c>
      <c r="J1070" s="23">
        <v>0</v>
      </c>
      <c r="K1070" s="23">
        <v>0</v>
      </c>
    </row>
    <row r="1071" spans="1:11" x14ac:dyDescent="0.25">
      <c r="A1071">
        <v>1070</v>
      </c>
      <c r="B1071" s="23">
        <v>1417.335</v>
      </c>
      <c r="C1071" s="23">
        <v>866.52</v>
      </c>
      <c r="D1071" s="23">
        <v>3231.741</v>
      </c>
      <c r="E1071" s="23">
        <v>1417.335</v>
      </c>
      <c r="F1071" s="23">
        <v>0</v>
      </c>
      <c r="G1071" s="23">
        <v>0</v>
      </c>
      <c r="H1071" s="23">
        <v>1814.4059999999999</v>
      </c>
      <c r="I1071" s="23">
        <v>0</v>
      </c>
      <c r="J1071" s="23">
        <v>0</v>
      </c>
      <c r="K1071" s="23">
        <v>0</v>
      </c>
    </row>
    <row r="1072" spans="1:11" x14ac:dyDescent="0.25">
      <c r="A1072">
        <v>1071</v>
      </c>
      <c r="B1072" s="23">
        <v>1553.989</v>
      </c>
      <c r="C1072" s="23">
        <v>726.8</v>
      </c>
      <c r="D1072" s="23">
        <v>2776.761</v>
      </c>
      <c r="E1072" s="23">
        <v>1553.989</v>
      </c>
      <c r="F1072" s="23">
        <v>0</v>
      </c>
      <c r="G1072" s="23">
        <v>0</v>
      </c>
      <c r="H1072" s="23">
        <v>1222.7719999999999</v>
      </c>
      <c r="I1072" s="23">
        <v>0</v>
      </c>
      <c r="J1072" s="23">
        <v>0</v>
      </c>
      <c r="K1072" s="23">
        <v>0</v>
      </c>
    </row>
    <row r="1073" spans="1:11" x14ac:dyDescent="0.25">
      <c r="A1073">
        <v>1072</v>
      </c>
      <c r="B1073" s="23">
        <v>1478.5540000000001</v>
      </c>
      <c r="C1073" s="23">
        <v>528.49</v>
      </c>
      <c r="D1073" s="23">
        <v>2077.2089999999998</v>
      </c>
      <c r="E1073" s="23">
        <v>1478.5540000000001</v>
      </c>
      <c r="F1073" s="23">
        <v>0</v>
      </c>
      <c r="G1073" s="23">
        <v>0</v>
      </c>
      <c r="H1073" s="23">
        <v>598.65499999999997</v>
      </c>
      <c r="I1073" s="23">
        <v>0</v>
      </c>
      <c r="J1073" s="23">
        <v>0</v>
      </c>
      <c r="K1073" s="23">
        <v>0</v>
      </c>
    </row>
    <row r="1074" spans="1:11" x14ac:dyDescent="0.25">
      <c r="A1074">
        <v>1073</v>
      </c>
      <c r="B1074" s="23">
        <v>1282.8389999999999</v>
      </c>
      <c r="C1074" s="23">
        <v>291.5</v>
      </c>
      <c r="D1074" s="23">
        <v>1139.556</v>
      </c>
      <c r="E1074" s="23">
        <v>1139.556</v>
      </c>
      <c r="F1074" s="23">
        <v>0</v>
      </c>
      <c r="G1074" s="23">
        <v>0</v>
      </c>
      <c r="H1074" s="23">
        <v>0</v>
      </c>
      <c r="I1074" s="23">
        <v>143.28299999999999</v>
      </c>
      <c r="J1074" s="23">
        <v>0</v>
      </c>
      <c r="K1074" s="23">
        <v>0</v>
      </c>
    </row>
    <row r="1075" spans="1:11" x14ac:dyDescent="0.25">
      <c r="A1075">
        <v>1074</v>
      </c>
      <c r="B1075" s="23">
        <v>1716.587</v>
      </c>
      <c r="C1075" s="23">
        <v>63.24</v>
      </c>
      <c r="D1075" s="23">
        <v>191.43299999999999</v>
      </c>
      <c r="E1075" s="23">
        <v>191.43299999999999</v>
      </c>
      <c r="F1075" s="23">
        <v>0</v>
      </c>
      <c r="G1075" s="23">
        <v>0</v>
      </c>
      <c r="H1075" s="23">
        <v>0</v>
      </c>
      <c r="I1075" s="23">
        <v>0</v>
      </c>
      <c r="J1075" s="23">
        <v>0</v>
      </c>
      <c r="K1075" s="23">
        <v>1525.154</v>
      </c>
    </row>
    <row r="1076" spans="1:11" x14ac:dyDescent="0.25">
      <c r="A1076">
        <v>1075</v>
      </c>
      <c r="B1076" s="23">
        <v>1229.933</v>
      </c>
      <c r="C1076" s="23">
        <v>0</v>
      </c>
      <c r="D1076" s="23">
        <v>0</v>
      </c>
      <c r="E1076" s="23">
        <v>0</v>
      </c>
      <c r="F1076" s="23">
        <v>0</v>
      </c>
      <c r="G1076" s="23">
        <v>0</v>
      </c>
      <c r="H1076" s="23">
        <v>0</v>
      </c>
      <c r="I1076" s="23">
        <v>0</v>
      </c>
      <c r="J1076" s="23">
        <v>0</v>
      </c>
      <c r="K1076" s="23">
        <v>1229.933</v>
      </c>
    </row>
    <row r="1077" spans="1:11" x14ac:dyDescent="0.25">
      <c r="A1077">
        <v>1076</v>
      </c>
      <c r="B1077" s="23">
        <v>828.8</v>
      </c>
      <c r="C1077" s="23">
        <v>0</v>
      </c>
      <c r="D1077" s="23">
        <v>0</v>
      </c>
      <c r="E1077" s="23">
        <v>0</v>
      </c>
      <c r="F1077" s="23">
        <v>0</v>
      </c>
      <c r="G1077" s="23">
        <v>0</v>
      </c>
      <c r="H1077" s="23">
        <v>0</v>
      </c>
      <c r="I1077" s="23">
        <v>0</v>
      </c>
      <c r="J1077" s="23">
        <v>0</v>
      </c>
      <c r="K1077" s="23">
        <v>828.8</v>
      </c>
    </row>
    <row r="1078" spans="1:11" x14ac:dyDescent="0.25">
      <c r="A1078">
        <v>1077</v>
      </c>
      <c r="B1078" s="23">
        <v>1254.4000000000001</v>
      </c>
      <c r="C1078" s="23">
        <v>0</v>
      </c>
      <c r="D1078" s="23">
        <v>0</v>
      </c>
      <c r="E1078" s="23">
        <v>0</v>
      </c>
      <c r="F1078" s="23">
        <v>0</v>
      </c>
      <c r="G1078" s="23">
        <v>0</v>
      </c>
      <c r="H1078" s="23">
        <v>0</v>
      </c>
      <c r="I1078" s="23">
        <v>1254.4000000000001</v>
      </c>
      <c r="J1078" s="23">
        <v>0</v>
      </c>
      <c r="K1078" s="23">
        <v>0</v>
      </c>
    </row>
    <row r="1079" spans="1:11" x14ac:dyDescent="0.25">
      <c r="A1079">
        <v>1078</v>
      </c>
      <c r="B1079" s="23">
        <v>1271.2</v>
      </c>
      <c r="C1079" s="23">
        <v>0</v>
      </c>
      <c r="D1079" s="23">
        <v>0</v>
      </c>
      <c r="E1079" s="23">
        <v>0</v>
      </c>
      <c r="F1079" s="23">
        <v>0</v>
      </c>
      <c r="G1079" s="23">
        <v>0</v>
      </c>
      <c r="H1079" s="23">
        <v>0</v>
      </c>
      <c r="I1079" s="23">
        <v>1271.2</v>
      </c>
      <c r="J1079" s="23">
        <v>0</v>
      </c>
      <c r="K1079" s="23">
        <v>0</v>
      </c>
    </row>
    <row r="1080" spans="1:11" x14ac:dyDescent="0.25">
      <c r="A1080">
        <v>1079</v>
      </c>
      <c r="B1080" s="23">
        <v>1333.6</v>
      </c>
      <c r="C1080" s="23">
        <v>0</v>
      </c>
      <c r="D1080" s="23">
        <v>0</v>
      </c>
      <c r="E1080" s="23">
        <v>0</v>
      </c>
      <c r="F1080" s="23">
        <v>0</v>
      </c>
      <c r="G1080" s="23">
        <v>0</v>
      </c>
      <c r="H1080" s="23">
        <v>0</v>
      </c>
      <c r="I1080" s="23">
        <v>1333.6</v>
      </c>
      <c r="J1080" s="23">
        <v>0</v>
      </c>
      <c r="K1080" s="23">
        <v>0</v>
      </c>
    </row>
    <row r="1081" spans="1:11" x14ac:dyDescent="0.25">
      <c r="A1081">
        <v>1080</v>
      </c>
      <c r="B1081" s="23">
        <v>1302.4000000000001</v>
      </c>
      <c r="C1081" s="23">
        <v>0</v>
      </c>
      <c r="D1081" s="23">
        <v>0</v>
      </c>
      <c r="E1081" s="23">
        <v>0</v>
      </c>
      <c r="F1081" s="23">
        <v>0</v>
      </c>
      <c r="G1081" s="23">
        <v>0</v>
      </c>
      <c r="H1081" s="23">
        <v>0</v>
      </c>
      <c r="I1081" s="23">
        <v>1302.4000000000001</v>
      </c>
      <c r="J1081" s="23">
        <v>0</v>
      </c>
      <c r="K1081" s="23">
        <v>0</v>
      </c>
    </row>
    <row r="1082" spans="1:11" x14ac:dyDescent="0.25">
      <c r="A1082">
        <v>1081</v>
      </c>
      <c r="B1082" s="23">
        <v>1362.4</v>
      </c>
      <c r="C1082" s="23">
        <v>0</v>
      </c>
      <c r="D1082" s="23">
        <v>0</v>
      </c>
      <c r="E1082" s="23">
        <v>0</v>
      </c>
      <c r="F1082" s="23">
        <v>0</v>
      </c>
      <c r="G1082" s="23">
        <v>0</v>
      </c>
      <c r="H1082" s="23">
        <v>0</v>
      </c>
      <c r="I1082" s="23">
        <v>1362.4</v>
      </c>
      <c r="J1082" s="23">
        <v>0</v>
      </c>
      <c r="K1082" s="23">
        <v>0</v>
      </c>
    </row>
    <row r="1083" spans="1:11" x14ac:dyDescent="0.25">
      <c r="A1083">
        <v>1082</v>
      </c>
      <c r="B1083" s="23">
        <v>933.6</v>
      </c>
      <c r="C1083" s="23">
        <v>0</v>
      </c>
      <c r="D1083" s="23">
        <v>0</v>
      </c>
      <c r="E1083" s="23">
        <v>0</v>
      </c>
      <c r="F1083" s="23">
        <v>0</v>
      </c>
      <c r="G1083" s="23">
        <v>0</v>
      </c>
      <c r="H1083" s="23">
        <v>0</v>
      </c>
      <c r="I1083" s="23">
        <v>933.6</v>
      </c>
      <c r="J1083" s="23">
        <v>0</v>
      </c>
      <c r="K1083" s="23">
        <v>0</v>
      </c>
    </row>
    <row r="1084" spans="1:11" x14ac:dyDescent="0.25">
      <c r="A1084">
        <v>1083</v>
      </c>
      <c r="B1084" s="23">
        <v>1361.6</v>
      </c>
      <c r="C1084" s="23">
        <v>0</v>
      </c>
      <c r="D1084" s="23">
        <v>0</v>
      </c>
      <c r="E1084" s="23">
        <v>0</v>
      </c>
      <c r="F1084" s="23">
        <v>0</v>
      </c>
      <c r="G1084" s="23">
        <v>0</v>
      </c>
      <c r="H1084" s="23">
        <v>0</v>
      </c>
      <c r="I1084" s="23">
        <v>1361.6</v>
      </c>
      <c r="J1084" s="23">
        <v>0</v>
      </c>
      <c r="K1084" s="23">
        <v>0</v>
      </c>
    </row>
    <row r="1085" spans="1:11" x14ac:dyDescent="0.25">
      <c r="A1085">
        <v>1084</v>
      </c>
      <c r="B1085" s="23">
        <v>1337.6</v>
      </c>
      <c r="C1085" s="23">
        <v>0</v>
      </c>
      <c r="D1085" s="23">
        <v>0</v>
      </c>
      <c r="E1085" s="23">
        <v>0</v>
      </c>
      <c r="F1085" s="23">
        <v>0</v>
      </c>
      <c r="G1085" s="23">
        <v>0</v>
      </c>
      <c r="H1085" s="23">
        <v>0</v>
      </c>
      <c r="I1085" s="23">
        <v>1337.6</v>
      </c>
      <c r="J1085" s="23">
        <v>0</v>
      </c>
      <c r="K1085" s="23">
        <v>0</v>
      </c>
    </row>
    <row r="1086" spans="1:11" x14ac:dyDescent="0.25">
      <c r="A1086">
        <v>1085</v>
      </c>
      <c r="B1086" s="23">
        <v>996</v>
      </c>
      <c r="C1086" s="23">
        <v>0</v>
      </c>
      <c r="D1086" s="23">
        <v>0</v>
      </c>
      <c r="E1086" s="23">
        <v>0</v>
      </c>
      <c r="F1086" s="23">
        <v>0</v>
      </c>
      <c r="G1086" s="23">
        <v>0</v>
      </c>
      <c r="H1086" s="23">
        <v>0</v>
      </c>
      <c r="I1086" s="23">
        <v>299.154</v>
      </c>
      <c r="J1086" s="23">
        <v>0</v>
      </c>
      <c r="K1086" s="23">
        <v>696.846</v>
      </c>
    </row>
    <row r="1087" spans="1:11" x14ac:dyDescent="0.25">
      <c r="A1087">
        <v>1086</v>
      </c>
      <c r="B1087" s="23">
        <v>1271.2</v>
      </c>
      <c r="C1087" s="23">
        <v>0</v>
      </c>
      <c r="D1087" s="23">
        <v>0</v>
      </c>
      <c r="E1087" s="23">
        <v>0</v>
      </c>
      <c r="F1087" s="23">
        <v>0</v>
      </c>
      <c r="G1087" s="23">
        <v>0</v>
      </c>
      <c r="H1087" s="23">
        <v>0</v>
      </c>
      <c r="I1087" s="23">
        <v>0</v>
      </c>
      <c r="J1087" s="23">
        <v>0</v>
      </c>
      <c r="K1087" s="23">
        <v>1271.2</v>
      </c>
    </row>
    <row r="1088" spans="1:11" x14ac:dyDescent="0.25">
      <c r="A1088">
        <v>1087</v>
      </c>
      <c r="B1088" s="23">
        <v>1043.2</v>
      </c>
      <c r="C1088" s="23">
        <v>22.88</v>
      </c>
      <c r="D1088" s="23">
        <v>43.283999999999999</v>
      </c>
      <c r="E1088" s="23">
        <v>43.283999999999999</v>
      </c>
      <c r="F1088" s="23">
        <v>0</v>
      </c>
      <c r="G1088" s="23">
        <v>0</v>
      </c>
      <c r="H1088" s="23">
        <v>0</v>
      </c>
      <c r="I1088" s="23">
        <v>0</v>
      </c>
      <c r="J1088" s="23">
        <v>0</v>
      </c>
      <c r="K1088" s="23">
        <v>999.91600000000005</v>
      </c>
    </row>
    <row r="1089" spans="1:11" x14ac:dyDescent="0.25">
      <c r="A1089">
        <v>1088</v>
      </c>
      <c r="B1089" s="23">
        <v>860.55100000000004</v>
      </c>
      <c r="C1089" s="23">
        <v>239.86</v>
      </c>
      <c r="D1089" s="23">
        <v>924.80500000000006</v>
      </c>
      <c r="E1089" s="23">
        <v>860.55100000000004</v>
      </c>
      <c r="F1089" s="23">
        <v>-64.254000000000005</v>
      </c>
      <c r="G1089" s="23">
        <v>0</v>
      </c>
      <c r="H1089" s="23">
        <v>0</v>
      </c>
      <c r="I1089" s="23">
        <v>0</v>
      </c>
      <c r="J1089" s="23">
        <v>0</v>
      </c>
      <c r="K1089" s="23">
        <v>0</v>
      </c>
    </row>
    <row r="1090" spans="1:11" x14ac:dyDescent="0.25">
      <c r="A1090">
        <v>1089</v>
      </c>
      <c r="B1090" s="23">
        <v>1094.3979999999999</v>
      </c>
      <c r="C1090" s="23">
        <v>492.38</v>
      </c>
      <c r="D1090" s="23">
        <v>1959.6880000000001</v>
      </c>
      <c r="E1090" s="23">
        <v>1094.3979999999999</v>
      </c>
      <c r="F1090" s="23">
        <v>-865.29</v>
      </c>
      <c r="G1090" s="23">
        <v>0</v>
      </c>
      <c r="H1090" s="23">
        <v>0</v>
      </c>
      <c r="I1090" s="23">
        <v>0</v>
      </c>
      <c r="J1090" s="23">
        <v>0</v>
      </c>
      <c r="K1090" s="23">
        <v>0</v>
      </c>
    </row>
    <row r="1091" spans="1:11" x14ac:dyDescent="0.25">
      <c r="A1091">
        <v>1090</v>
      </c>
      <c r="B1091" s="23">
        <v>1122.7750000000001</v>
      </c>
      <c r="C1091" s="23">
        <v>711.32</v>
      </c>
      <c r="D1091" s="23">
        <v>2729.944</v>
      </c>
      <c r="E1091" s="23">
        <v>1122.7750000000001</v>
      </c>
      <c r="F1091" s="23">
        <v>-1607.1690000000001</v>
      </c>
      <c r="G1091" s="23">
        <v>0</v>
      </c>
      <c r="H1091" s="23">
        <v>0</v>
      </c>
      <c r="I1091" s="23">
        <v>0</v>
      </c>
      <c r="J1091" s="23">
        <v>0</v>
      </c>
      <c r="K1091" s="23">
        <v>0</v>
      </c>
    </row>
    <row r="1092" spans="1:11" x14ac:dyDescent="0.25">
      <c r="A1092">
        <v>1091</v>
      </c>
      <c r="B1092" s="23">
        <v>1142.288</v>
      </c>
      <c r="C1092" s="23">
        <v>863.37</v>
      </c>
      <c r="D1092" s="23">
        <v>3207.5390000000002</v>
      </c>
      <c r="E1092" s="23">
        <v>1142.288</v>
      </c>
      <c r="F1092" s="23">
        <v>-1684.559</v>
      </c>
      <c r="G1092" s="23">
        <v>0</v>
      </c>
      <c r="H1092" s="23">
        <v>380.69200000000001</v>
      </c>
      <c r="I1092" s="23">
        <v>0</v>
      </c>
      <c r="J1092" s="23">
        <v>0</v>
      </c>
      <c r="K1092" s="23">
        <v>0</v>
      </c>
    </row>
    <row r="1093" spans="1:11" x14ac:dyDescent="0.25">
      <c r="A1093">
        <v>1092</v>
      </c>
      <c r="B1093" s="23">
        <v>987.83299999999997</v>
      </c>
      <c r="C1093" s="23">
        <v>954.13</v>
      </c>
      <c r="D1093" s="23">
        <v>3472.7959999999998</v>
      </c>
      <c r="E1093" s="23">
        <v>987.83399999999995</v>
      </c>
      <c r="F1093" s="23">
        <v>-1684.559</v>
      </c>
      <c r="G1093" s="23">
        <v>0</v>
      </c>
      <c r="H1093" s="23">
        <v>800.40300000000002</v>
      </c>
      <c r="I1093" s="23">
        <v>0</v>
      </c>
      <c r="J1093" s="23">
        <v>0</v>
      </c>
      <c r="K1093" s="23">
        <v>0</v>
      </c>
    </row>
    <row r="1094" spans="1:11" x14ac:dyDescent="0.25">
      <c r="A1094">
        <v>1093</v>
      </c>
      <c r="B1094" s="23">
        <v>1098.9970000000001</v>
      </c>
      <c r="C1094" s="23">
        <v>964.5</v>
      </c>
      <c r="D1094" s="23">
        <v>3503.904</v>
      </c>
      <c r="E1094" s="23">
        <v>1098.9960000000001</v>
      </c>
      <c r="F1094" s="23">
        <v>-1385.6669999999999</v>
      </c>
      <c r="G1094" s="23">
        <v>0</v>
      </c>
      <c r="H1094" s="23">
        <v>1019.241</v>
      </c>
      <c r="I1094" s="23">
        <v>0</v>
      </c>
      <c r="J1094" s="23">
        <v>0</v>
      </c>
      <c r="K1094" s="23">
        <v>0</v>
      </c>
    </row>
    <row r="1095" spans="1:11" x14ac:dyDescent="0.25">
      <c r="A1095">
        <v>1094</v>
      </c>
      <c r="B1095" s="23">
        <v>1323.29</v>
      </c>
      <c r="C1095" s="23">
        <v>891.46</v>
      </c>
      <c r="D1095" s="23">
        <v>3288.76</v>
      </c>
      <c r="E1095" s="23">
        <v>1323.29</v>
      </c>
      <c r="F1095" s="23">
        <v>0</v>
      </c>
      <c r="G1095" s="23">
        <v>0</v>
      </c>
      <c r="H1095" s="23">
        <v>1965.47</v>
      </c>
      <c r="I1095" s="23">
        <v>0</v>
      </c>
      <c r="J1095" s="23">
        <v>0</v>
      </c>
      <c r="K1095" s="23">
        <v>0</v>
      </c>
    </row>
    <row r="1096" spans="1:11" x14ac:dyDescent="0.25">
      <c r="A1096">
        <v>1095</v>
      </c>
      <c r="B1096" s="23">
        <v>1200.5889999999999</v>
      </c>
      <c r="C1096" s="23">
        <v>742.9</v>
      </c>
      <c r="D1096" s="23">
        <v>2821.5329999999999</v>
      </c>
      <c r="E1096" s="23">
        <v>1200.5889999999999</v>
      </c>
      <c r="F1096" s="23">
        <v>0</v>
      </c>
      <c r="G1096" s="23">
        <v>0</v>
      </c>
      <c r="H1096" s="23">
        <v>1620.944</v>
      </c>
      <c r="I1096" s="23">
        <v>0</v>
      </c>
      <c r="J1096" s="23">
        <v>0</v>
      </c>
      <c r="K1096" s="23">
        <v>0</v>
      </c>
    </row>
    <row r="1097" spans="1:11" x14ac:dyDescent="0.25">
      <c r="A1097">
        <v>1096</v>
      </c>
      <c r="B1097" s="23">
        <v>1175.229</v>
      </c>
      <c r="C1097" s="23">
        <v>443.57</v>
      </c>
      <c r="D1097" s="23">
        <v>1736.806</v>
      </c>
      <c r="E1097" s="23">
        <v>1175.229</v>
      </c>
      <c r="F1097" s="23">
        <v>0</v>
      </c>
      <c r="G1097" s="23">
        <v>0</v>
      </c>
      <c r="H1097" s="23">
        <v>561.577</v>
      </c>
      <c r="I1097" s="23">
        <v>0</v>
      </c>
      <c r="J1097" s="23">
        <v>0</v>
      </c>
      <c r="K1097" s="23">
        <v>0</v>
      </c>
    </row>
    <row r="1098" spans="1:11" x14ac:dyDescent="0.25">
      <c r="A1098">
        <v>1097</v>
      </c>
      <c r="B1098" s="23">
        <v>1183.22</v>
      </c>
      <c r="C1098" s="23">
        <v>290.77999999999997</v>
      </c>
      <c r="D1098" s="23">
        <v>1138.193</v>
      </c>
      <c r="E1098" s="23">
        <v>1138.193</v>
      </c>
      <c r="F1098" s="23">
        <v>0</v>
      </c>
      <c r="G1098" s="23">
        <v>0</v>
      </c>
      <c r="H1098" s="23">
        <v>0</v>
      </c>
      <c r="I1098" s="23">
        <v>45.027000000000001</v>
      </c>
      <c r="J1098" s="23">
        <v>0</v>
      </c>
      <c r="K1098" s="23">
        <v>0</v>
      </c>
    </row>
    <row r="1099" spans="1:11" x14ac:dyDescent="0.25">
      <c r="A1099">
        <v>1098</v>
      </c>
      <c r="B1099" s="23">
        <v>1286.45</v>
      </c>
      <c r="C1099" s="23">
        <v>58.84</v>
      </c>
      <c r="D1099" s="23">
        <v>181.37</v>
      </c>
      <c r="E1099" s="23">
        <v>181.37</v>
      </c>
      <c r="F1099" s="23">
        <v>0</v>
      </c>
      <c r="G1099" s="23">
        <v>0</v>
      </c>
      <c r="H1099" s="23">
        <v>0</v>
      </c>
      <c r="I1099" s="23">
        <v>0</v>
      </c>
      <c r="J1099" s="23">
        <v>0</v>
      </c>
      <c r="K1099" s="23">
        <v>1105.08</v>
      </c>
    </row>
    <row r="1100" spans="1:11" x14ac:dyDescent="0.25">
      <c r="A1100">
        <v>1099</v>
      </c>
      <c r="B1100" s="23">
        <v>1205.5409999999999</v>
      </c>
      <c r="C1100" s="23">
        <v>0</v>
      </c>
      <c r="D1100" s="23">
        <v>0</v>
      </c>
      <c r="E1100" s="23">
        <v>0</v>
      </c>
      <c r="F1100" s="23">
        <v>0</v>
      </c>
      <c r="G1100" s="23">
        <v>0</v>
      </c>
      <c r="H1100" s="23">
        <v>0</v>
      </c>
      <c r="I1100" s="23">
        <v>0</v>
      </c>
      <c r="J1100" s="23">
        <v>0</v>
      </c>
      <c r="K1100" s="23">
        <v>1205.5409999999999</v>
      </c>
    </row>
    <row r="1101" spans="1:11" x14ac:dyDescent="0.25">
      <c r="A1101">
        <v>1100</v>
      </c>
      <c r="B1101" s="23">
        <v>1044</v>
      </c>
      <c r="C1101" s="23">
        <v>0</v>
      </c>
      <c r="D1101" s="23">
        <v>0</v>
      </c>
      <c r="E1101" s="23">
        <v>0</v>
      </c>
      <c r="F1101" s="23">
        <v>0</v>
      </c>
      <c r="G1101" s="23">
        <v>0</v>
      </c>
      <c r="H1101" s="23">
        <v>0</v>
      </c>
      <c r="I1101" s="23">
        <v>0</v>
      </c>
      <c r="J1101" s="23">
        <v>0</v>
      </c>
      <c r="K1101" s="23">
        <v>1044</v>
      </c>
    </row>
    <row r="1102" spans="1:11" x14ac:dyDescent="0.25">
      <c r="A1102">
        <v>1101</v>
      </c>
      <c r="B1102" s="23">
        <v>1465.6</v>
      </c>
      <c r="C1102" s="23">
        <v>0</v>
      </c>
      <c r="D1102" s="23">
        <v>0</v>
      </c>
      <c r="E1102" s="23">
        <v>0</v>
      </c>
      <c r="F1102" s="23">
        <v>0</v>
      </c>
      <c r="G1102" s="23">
        <v>0</v>
      </c>
      <c r="H1102" s="23">
        <v>0</v>
      </c>
      <c r="I1102" s="23">
        <v>1465.6</v>
      </c>
      <c r="J1102" s="23">
        <v>0</v>
      </c>
      <c r="K1102" s="23">
        <v>0</v>
      </c>
    </row>
    <row r="1103" spans="1:11" x14ac:dyDescent="0.25">
      <c r="A1103">
        <v>1102</v>
      </c>
      <c r="B1103" s="23">
        <v>1054.4000000000001</v>
      </c>
      <c r="C1103" s="23">
        <v>0</v>
      </c>
      <c r="D1103" s="23">
        <v>0</v>
      </c>
      <c r="E1103" s="23">
        <v>0</v>
      </c>
      <c r="F1103" s="23">
        <v>0</v>
      </c>
      <c r="G1103" s="23">
        <v>0</v>
      </c>
      <c r="H1103" s="23">
        <v>0</v>
      </c>
      <c r="I1103" s="23">
        <v>1054.4000000000001</v>
      </c>
      <c r="J1103" s="23">
        <v>0</v>
      </c>
      <c r="K1103" s="23">
        <v>0</v>
      </c>
    </row>
    <row r="1104" spans="1:11" x14ac:dyDescent="0.25">
      <c r="A1104">
        <v>1103</v>
      </c>
      <c r="B1104" s="23">
        <v>1262.4000000000001</v>
      </c>
      <c r="C1104" s="23">
        <v>0</v>
      </c>
      <c r="D1104" s="23">
        <v>0</v>
      </c>
      <c r="E1104" s="23">
        <v>0</v>
      </c>
      <c r="F1104" s="23">
        <v>0</v>
      </c>
      <c r="G1104" s="23">
        <v>0</v>
      </c>
      <c r="H1104" s="23">
        <v>0</v>
      </c>
      <c r="I1104" s="23">
        <v>1262.4000000000001</v>
      </c>
      <c r="J1104" s="23">
        <v>0</v>
      </c>
      <c r="K1104" s="23">
        <v>0</v>
      </c>
    </row>
    <row r="1105" spans="1:11" x14ac:dyDescent="0.25">
      <c r="A1105">
        <v>1104</v>
      </c>
      <c r="B1105" s="23">
        <v>936</v>
      </c>
      <c r="C1105" s="23">
        <v>0</v>
      </c>
      <c r="D1105" s="23">
        <v>0</v>
      </c>
      <c r="E1105" s="23">
        <v>0</v>
      </c>
      <c r="F1105" s="23">
        <v>0</v>
      </c>
      <c r="G1105" s="23">
        <v>0</v>
      </c>
      <c r="H1105" s="23">
        <v>0</v>
      </c>
      <c r="I1105" s="23">
        <v>936</v>
      </c>
      <c r="J1105" s="23">
        <v>0</v>
      </c>
      <c r="K1105" s="23">
        <v>0</v>
      </c>
    </row>
    <row r="1106" spans="1:11" x14ac:dyDescent="0.25">
      <c r="A1106">
        <v>1105</v>
      </c>
      <c r="B1106" s="23">
        <v>1169.5999999999999</v>
      </c>
      <c r="C1106" s="23">
        <v>0</v>
      </c>
      <c r="D1106" s="23">
        <v>0</v>
      </c>
      <c r="E1106" s="23">
        <v>0</v>
      </c>
      <c r="F1106" s="23">
        <v>0</v>
      </c>
      <c r="G1106" s="23">
        <v>0</v>
      </c>
      <c r="H1106" s="23">
        <v>0</v>
      </c>
      <c r="I1106" s="23">
        <v>1169.5999999999999</v>
      </c>
      <c r="J1106" s="23">
        <v>0</v>
      </c>
      <c r="K1106" s="23">
        <v>0</v>
      </c>
    </row>
    <row r="1107" spans="1:11" x14ac:dyDescent="0.25">
      <c r="A1107">
        <v>1106</v>
      </c>
      <c r="B1107" s="23">
        <v>1276</v>
      </c>
      <c r="C1107" s="23">
        <v>0</v>
      </c>
      <c r="D1107" s="23">
        <v>0</v>
      </c>
      <c r="E1107" s="23">
        <v>0</v>
      </c>
      <c r="F1107" s="23">
        <v>0</v>
      </c>
      <c r="G1107" s="23">
        <v>0</v>
      </c>
      <c r="H1107" s="23">
        <v>0</v>
      </c>
      <c r="I1107" s="23">
        <v>1276</v>
      </c>
      <c r="J1107" s="23">
        <v>0</v>
      </c>
      <c r="K1107" s="23">
        <v>0</v>
      </c>
    </row>
    <row r="1108" spans="1:11" x14ac:dyDescent="0.25">
      <c r="A1108">
        <v>1107</v>
      </c>
      <c r="B1108" s="23">
        <v>1006.4</v>
      </c>
      <c r="C1108" s="23">
        <v>0</v>
      </c>
      <c r="D1108" s="23">
        <v>0</v>
      </c>
      <c r="E1108" s="23">
        <v>0</v>
      </c>
      <c r="F1108" s="23">
        <v>0</v>
      </c>
      <c r="G1108" s="23">
        <v>0</v>
      </c>
      <c r="H1108" s="23">
        <v>0</v>
      </c>
      <c r="I1108" s="23">
        <v>1006.4</v>
      </c>
      <c r="J1108" s="23">
        <v>0</v>
      </c>
      <c r="K1108" s="23">
        <v>0</v>
      </c>
    </row>
    <row r="1109" spans="1:11" x14ac:dyDescent="0.25">
      <c r="A1109">
        <v>1108</v>
      </c>
      <c r="B1109" s="23">
        <v>1429.6</v>
      </c>
      <c r="C1109" s="23">
        <v>0</v>
      </c>
      <c r="D1109" s="23">
        <v>0</v>
      </c>
      <c r="E1109" s="23">
        <v>0</v>
      </c>
      <c r="F1109" s="23">
        <v>0</v>
      </c>
      <c r="G1109" s="23">
        <v>0</v>
      </c>
      <c r="H1109" s="23">
        <v>0</v>
      </c>
      <c r="I1109" s="23">
        <v>1429.6</v>
      </c>
      <c r="J1109" s="23">
        <v>0</v>
      </c>
      <c r="K1109" s="23">
        <v>0</v>
      </c>
    </row>
    <row r="1110" spans="1:11" x14ac:dyDescent="0.25">
      <c r="A1110">
        <v>1109</v>
      </c>
      <c r="B1110" s="23">
        <v>1362.4</v>
      </c>
      <c r="C1110" s="23">
        <v>0</v>
      </c>
      <c r="D1110" s="23">
        <v>0</v>
      </c>
      <c r="E1110" s="23">
        <v>0</v>
      </c>
      <c r="F1110" s="23">
        <v>0</v>
      </c>
      <c r="G1110" s="23">
        <v>0</v>
      </c>
      <c r="H1110" s="23">
        <v>0</v>
      </c>
      <c r="I1110" s="23">
        <v>449.18700000000001</v>
      </c>
      <c r="J1110" s="23">
        <v>0</v>
      </c>
      <c r="K1110" s="23">
        <v>913.21299999999997</v>
      </c>
    </row>
    <row r="1111" spans="1:11" x14ac:dyDescent="0.25">
      <c r="A1111">
        <v>1110</v>
      </c>
      <c r="B1111" s="23">
        <v>1094.4000000000001</v>
      </c>
      <c r="C1111" s="23">
        <v>0</v>
      </c>
      <c r="D1111" s="23">
        <v>0</v>
      </c>
      <c r="E1111" s="23">
        <v>0</v>
      </c>
      <c r="F1111" s="23">
        <v>0</v>
      </c>
      <c r="G1111" s="23">
        <v>0</v>
      </c>
      <c r="H1111" s="23">
        <v>0</v>
      </c>
      <c r="I1111" s="23">
        <v>0</v>
      </c>
      <c r="J1111" s="23">
        <v>0</v>
      </c>
      <c r="K1111" s="23">
        <v>1094.4000000000001</v>
      </c>
    </row>
    <row r="1112" spans="1:11" x14ac:dyDescent="0.25">
      <c r="A1112">
        <v>1111</v>
      </c>
      <c r="B1112" s="23">
        <v>1244</v>
      </c>
      <c r="C1112" s="23">
        <v>28.46</v>
      </c>
      <c r="D1112" s="23">
        <v>54.384999999999998</v>
      </c>
      <c r="E1112" s="23">
        <v>54.384999999999998</v>
      </c>
      <c r="F1112" s="23">
        <v>0</v>
      </c>
      <c r="G1112" s="23">
        <v>0</v>
      </c>
      <c r="H1112" s="23">
        <v>0</v>
      </c>
      <c r="I1112" s="23">
        <v>0</v>
      </c>
      <c r="J1112" s="23">
        <v>0</v>
      </c>
      <c r="K1112" s="23">
        <v>1189.615</v>
      </c>
    </row>
    <row r="1113" spans="1:11" x14ac:dyDescent="0.25">
      <c r="A1113">
        <v>1112</v>
      </c>
      <c r="B1113" s="23">
        <v>182.02600000000001</v>
      </c>
      <c r="C1113" s="23">
        <v>249.35</v>
      </c>
      <c r="D1113" s="23">
        <v>953.02099999999996</v>
      </c>
      <c r="E1113" s="23">
        <v>182.02600000000001</v>
      </c>
      <c r="F1113" s="23">
        <v>-770.995</v>
      </c>
      <c r="G1113" s="23">
        <v>0</v>
      </c>
      <c r="H1113" s="23">
        <v>0</v>
      </c>
      <c r="I1113" s="23">
        <v>0</v>
      </c>
      <c r="J1113" s="23">
        <v>0</v>
      </c>
      <c r="K1113" s="23">
        <v>0</v>
      </c>
    </row>
    <row r="1114" spans="1:11" x14ac:dyDescent="0.25">
      <c r="A1114">
        <v>1113</v>
      </c>
      <c r="B1114" s="23">
        <v>152.29</v>
      </c>
      <c r="C1114" s="23">
        <v>505.37</v>
      </c>
      <c r="D1114" s="23">
        <v>1997.3620000000001</v>
      </c>
      <c r="E1114" s="23">
        <v>152.291</v>
      </c>
      <c r="F1114" s="23">
        <v>-1684.559</v>
      </c>
      <c r="G1114" s="23">
        <v>0</v>
      </c>
      <c r="H1114" s="23">
        <v>160.512</v>
      </c>
      <c r="I1114" s="23">
        <v>0</v>
      </c>
      <c r="J1114" s="23">
        <v>0</v>
      </c>
      <c r="K1114" s="23">
        <v>0</v>
      </c>
    </row>
    <row r="1115" spans="1:11" x14ac:dyDescent="0.25">
      <c r="A1115">
        <v>1114</v>
      </c>
      <c r="B1115" s="23">
        <v>181.16499999999999</v>
      </c>
      <c r="C1115" s="23">
        <v>723.41</v>
      </c>
      <c r="D1115" s="23">
        <v>2742.2539999999999</v>
      </c>
      <c r="E1115" s="23">
        <v>181.16499999999999</v>
      </c>
      <c r="F1115" s="23">
        <v>-1684.559</v>
      </c>
      <c r="G1115" s="23">
        <v>0</v>
      </c>
      <c r="H1115" s="23">
        <v>876.53</v>
      </c>
      <c r="I1115" s="23">
        <v>0</v>
      </c>
      <c r="J1115" s="23">
        <v>0</v>
      </c>
      <c r="K1115" s="23">
        <v>0</v>
      </c>
    </row>
    <row r="1116" spans="1:11" x14ac:dyDescent="0.25">
      <c r="A1116">
        <v>1115</v>
      </c>
      <c r="B1116" s="23">
        <v>170.60499999999999</v>
      </c>
      <c r="C1116" s="23">
        <v>878.59</v>
      </c>
      <c r="D1116" s="23">
        <v>3207.0590000000002</v>
      </c>
      <c r="E1116" s="23">
        <v>170.60599999999999</v>
      </c>
      <c r="F1116" s="23">
        <v>-1684.559</v>
      </c>
      <c r="G1116" s="23">
        <v>0</v>
      </c>
      <c r="H1116" s="23">
        <v>1351.894</v>
      </c>
      <c r="I1116" s="23">
        <v>0</v>
      </c>
      <c r="J1116" s="23">
        <v>0</v>
      </c>
      <c r="K1116" s="23">
        <v>0</v>
      </c>
    </row>
    <row r="1117" spans="1:11" x14ac:dyDescent="0.25">
      <c r="A1117">
        <v>1116</v>
      </c>
      <c r="B1117" s="23">
        <v>185.42</v>
      </c>
      <c r="C1117" s="23">
        <v>971.68</v>
      </c>
      <c r="D1117" s="23">
        <v>3456.3069999999998</v>
      </c>
      <c r="E1117" s="23">
        <v>185.42</v>
      </c>
      <c r="F1117" s="23">
        <v>-1466.826</v>
      </c>
      <c r="G1117" s="23">
        <v>0</v>
      </c>
      <c r="H1117" s="23">
        <v>1804.0609999999999</v>
      </c>
      <c r="I1117" s="23">
        <v>0</v>
      </c>
      <c r="J1117" s="23">
        <v>0</v>
      </c>
      <c r="K1117" s="23">
        <v>0</v>
      </c>
    </row>
    <row r="1118" spans="1:11" x14ac:dyDescent="0.25">
      <c r="A1118">
        <v>1117</v>
      </c>
      <c r="B1118" s="23">
        <v>195.46299999999999</v>
      </c>
      <c r="C1118" s="23">
        <v>985.06</v>
      </c>
      <c r="D1118" s="23">
        <v>3482.3420000000001</v>
      </c>
      <c r="E1118" s="23">
        <v>195.46299999999999</v>
      </c>
      <c r="F1118" s="23">
        <v>0</v>
      </c>
      <c r="G1118" s="23">
        <v>0</v>
      </c>
      <c r="H1118" s="23">
        <v>3286.8789999999999</v>
      </c>
      <c r="I1118" s="23">
        <v>0</v>
      </c>
      <c r="J1118" s="23">
        <v>0</v>
      </c>
      <c r="K1118" s="23">
        <v>0</v>
      </c>
    </row>
    <row r="1119" spans="1:11" x14ac:dyDescent="0.25">
      <c r="A1119">
        <v>1118</v>
      </c>
      <c r="B1119" s="23">
        <v>197.05799999999999</v>
      </c>
      <c r="C1119" s="23">
        <v>912.62</v>
      </c>
      <c r="D1119" s="23">
        <v>3293.5340000000001</v>
      </c>
      <c r="E1119" s="23">
        <v>197.05799999999999</v>
      </c>
      <c r="F1119" s="23">
        <v>0</v>
      </c>
      <c r="G1119" s="23">
        <v>0</v>
      </c>
      <c r="H1119" s="23">
        <v>3096.4760000000001</v>
      </c>
      <c r="I1119" s="23">
        <v>0</v>
      </c>
      <c r="J1119" s="23">
        <v>0</v>
      </c>
      <c r="K1119" s="23">
        <v>0</v>
      </c>
    </row>
    <row r="1120" spans="1:11" x14ac:dyDescent="0.25">
      <c r="A1120">
        <v>1119</v>
      </c>
      <c r="B1120" s="23">
        <v>129.53700000000001</v>
      </c>
      <c r="C1120" s="23">
        <v>690.53</v>
      </c>
      <c r="D1120" s="23">
        <v>2587.0540000000001</v>
      </c>
      <c r="E1120" s="23">
        <v>129.53700000000001</v>
      </c>
      <c r="F1120" s="23">
        <v>0</v>
      </c>
      <c r="G1120" s="23">
        <v>0</v>
      </c>
      <c r="H1120" s="23">
        <v>2457.5169999999998</v>
      </c>
      <c r="I1120" s="23">
        <v>0</v>
      </c>
      <c r="J1120" s="23">
        <v>0</v>
      </c>
      <c r="K1120" s="23">
        <v>0</v>
      </c>
    </row>
    <row r="1121" spans="1:11" x14ac:dyDescent="0.25">
      <c r="A1121">
        <v>1120</v>
      </c>
      <c r="B1121" s="23">
        <v>177.79599999999999</v>
      </c>
      <c r="C1121" s="23">
        <v>504.78</v>
      </c>
      <c r="D1121" s="23">
        <v>1960.566</v>
      </c>
      <c r="E1121" s="23">
        <v>177.79599999999999</v>
      </c>
      <c r="F1121" s="23">
        <v>0</v>
      </c>
      <c r="G1121" s="23">
        <v>0</v>
      </c>
      <c r="H1121" s="23">
        <v>1782.77</v>
      </c>
      <c r="I1121" s="23">
        <v>0</v>
      </c>
      <c r="J1121" s="23">
        <v>0</v>
      </c>
      <c r="K1121" s="23">
        <v>0</v>
      </c>
    </row>
    <row r="1122" spans="1:11" x14ac:dyDescent="0.25">
      <c r="A1122">
        <v>1121</v>
      </c>
      <c r="B1122" s="23">
        <v>117.348</v>
      </c>
      <c r="C1122" s="23">
        <v>307.43</v>
      </c>
      <c r="D1122" s="23">
        <v>1196.008</v>
      </c>
      <c r="E1122" s="23">
        <v>117.348</v>
      </c>
      <c r="F1122" s="23">
        <v>0</v>
      </c>
      <c r="G1122" s="23">
        <v>0</v>
      </c>
      <c r="H1122" s="23">
        <v>1078.6600000000001</v>
      </c>
      <c r="I1122" s="23">
        <v>0</v>
      </c>
      <c r="J1122" s="23">
        <v>0</v>
      </c>
      <c r="K1122" s="23">
        <v>0</v>
      </c>
    </row>
    <row r="1123" spans="1:11" x14ac:dyDescent="0.25">
      <c r="A1123">
        <v>1122</v>
      </c>
      <c r="B1123" s="23">
        <v>99.260999999999996</v>
      </c>
      <c r="C1123" s="23">
        <v>72.69</v>
      </c>
      <c r="D1123" s="23">
        <v>224.90199999999999</v>
      </c>
      <c r="E1123" s="23">
        <v>99.260999999999996</v>
      </c>
      <c r="F1123" s="23">
        <v>0</v>
      </c>
      <c r="G1123" s="23">
        <v>0</v>
      </c>
      <c r="H1123" s="23">
        <v>125.64100000000001</v>
      </c>
      <c r="I1123" s="23">
        <v>0</v>
      </c>
      <c r="J1123" s="23">
        <v>0</v>
      </c>
      <c r="K1123" s="23">
        <v>0</v>
      </c>
    </row>
    <row r="1124" spans="1:11" x14ac:dyDescent="0.25">
      <c r="A1124">
        <v>1123</v>
      </c>
      <c r="B1124" s="23">
        <v>110.145</v>
      </c>
      <c r="C1124" s="23">
        <v>0</v>
      </c>
      <c r="D1124" s="23">
        <v>0</v>
      </c>
      <c r="E1124" s="23">
        <v>0</v>
      </c>
      <c r="F1124" s="23">
        <v>0</v>
      </c>
      <c r="G1124" s="23">
        <v>0</v>
      </c>
      <c r="H1124" s="23">
        <v>0</v>
      </c>
      <c r="I1124" s="23">
        <v>0</v>
      </c>
      <c r="J1124" s="23">
        <v>0</v>
      </c>
      <c r="K1124" s="23">
        <v>110.145</v>
      </c>
    </row>
    <row r="1125" spans="1:11" x14ac:dyDescent="0.25">
      <c r="A1125">
        <v>1124</v>
      </c>
      <c r="B1125" s="23">
        <v>108</v>
      </c>
      <c r="C1125" s="23">
        <v>0</v>
      </c>
      <c r="D1125" s="23">
        <v>0</v>
      </c>
      <c r="E1125" s="23">
        <v>0</v>
      </c>
      <c r="F1125" s="23">
        <v>0</v>
      </c>
      <c r="G1125" s="23">
        <v>0</v>
      </c>
      <c r="H1125" s="23">
        <v>0</v>
      </c>
      <c r="I1125" s="23">
        <v>0</v>
      </c>
      <c r="J1125" s="23">
        <v>0</v>
      </c>
      <c r="K1125" s="23">
        <v>108</v>
      </c>
    </row>
    <row r="1126" spans="1:11" x14ac:dyDescent="0.25">
      <c r="A1126">
        <v>1125</v>
      </c>
      <c r="B1126" s="23">
        <v>100</v>
      </c>
      <c r="C1126" s="23">
        <v>0</v>
      </c>
      <c r="D1126" s="23">
        <v>0</v>
      </c>
      <c r="E1126" s="23">
        <v>0</v>
      </c>
      <c r="F1126" s="23">
        <v>0</v>
      </c>
      <c r="G1126" s="23">
        <v>0</v>
      </c>
      <c r="H1126" s="23">
        <v>0</v>
      </c>
      <c r="I1126" s="23">
        <v>0</v>
      </c>
      <c r="J1126" s="23">
        <v>0</v>
      </c>
      <c r="K1126" s="23">
        <v>100</v>
      </c>
    </row>
    <row r="1127" spans="1:11" x14ac:dyDescent="0.25">
      <c r="A1127">
        <v>1126</v>
      </c>
      <c r="B1127" s="23">
        <v>91.2</v>
      </c>
      <c r="C1127" s="23">
        <v>0</v>
      </c>
      <c r="D1127" s="23">
        <v>0</v>
      </c>
      <c r="E1127" s="23">
        <v>0</v>
      </c>
      <c r="F1127" s="23">
        <v>0</v>
      </c>
      <c r="G1127" s="23">
        <v>0</v>
      </c>
      <c r="H1127" s="23">
        <v>0</v>
      </c>
      <c r="I1127" s="23">
        <v>0</v>
      </c>
      <c r="J1127" s="23">
        <v>0</v>
      </c>
      <c r="K1127" s="23">
        <v>91.2</v>
      </c>
    </row>
    <row r="1128" spans="1:11" x14ac:dyDescent="0.25">
      <c r="A1128">
        <v>1127</v>
      </c>
      <c r="B1128" s="23">
        <v>100</v>
      </c>
      <c r="C1128" s="23">
        <v>0</v>
      </c>
      <c r="D1128" s="23">
        <v>0</v>
      </c>
      <c r="E1128" s="23">
        <v>0</v>
      </c>
      <c r="F1128" s="23">
        <v>0</v>
      </c>
      <c r="G1128" s="23">
        <v>0</v>
      </c>
      <c r="H1128" s="23">
        <v>0</v>
      </c>
      <c r="I1128" s="23">
        <v>0</v>
      </c>
      <c r="J1128" s="23">
        <v>0</v>
      </c>
      <c r="K1128" s="23">
        <v>100</v>
      </c>
    </row>
    <row r="1129" spans="1:11" x14ac:dyDescent="0.25">
      <c r="A1129">
        <v>1128</v>
      </c>
      <c r="B1129" s="23">
        <v>93.6</v>
      </c>
      <c r="C1129" s="23">
        <v>0</v>
      </c>
      <c r="D1129" s="23">
        <v>0</v>
      </c>
      <c r="E1129" s="23">
        <v>0</v>
      </c>
      <c r="F1129" s="23">
        <v>0</v>
      </c>
      <c r="G1129" s="23">
        <v>0</v>
      </c>
      <c r="H1129" s="23">
        <v>0</v>
      </c>
      <c r="I1129" s="23">
        <v>0</v>
      </c>
      <c r="J1129" s="23">
        <v>0</v>
      </c>
      <c r="K1129" s="23">
        <v>93.6</v>
      </c>
    </row>
    <row r="1130" spans="1:11" x14ac:dyDescent="0.25">
      <c r="A1130">
        <v>1129</v>
      </c>
      <c r="B1130" s="23">
        <v>98.4</v>
      </c>
      <c r="C1130" s="23">
        <v>0</v>
      </c>
      <c r="D1130" s="23">
        <v>0</v>
      </c>
      <c r="E1130" s="23">
        <v>0</v>
      </c>
      <c r="F1130" s="23">
        <v>0</v>
      </c>
      <c r="G1130" s="23">
        <v>0</v>
      </c>
      <c r="H1130" s="23">
        <v>0</v>
      </c>
      <c r="I1130" s="23">
        <v>0</v>
      </c>
      <c r="J1130" s="23">
        <v>0</v>
      </c>
      <c r="K1130" s="23">
        <v>98.4</v>
      </c>
    </row>
    <row r="1131" spans="1:11" x14ac:dyDescent="0.25">
      <c r="A1131">
        <v>1130</v>
      </c>
      <c r="B1131" s="23">
        <v>90.4</v>
      </c>
      <c r="C1131" s="23">
        <v>0</v>
      </c>
      <c r="D1131" s="23">
        <v>0</v>
      </c>
      <c r="E1131" s="23">
        <v>0</v>
      </c>
      <c r="F1131" s="23">
        <v>0</v>
      </c>
      <c r="G1131" s="23">
        <v>0</v>
      </c>
      <c r="H1131" s="23">
        <v>0</v>
      </c>
      <c r="I1131" s="23">
        <v>0</v>
      </c>
      <c r="J1131" s="23">
        <v>0</v>
      </c>
      <c r="K1131" s="23">
        <v>90.4</v>
      </c>
    </row>
    <row r="1132" spans="1:11" x14ac:dyDescent="0.25">
      <c r="A1132">
        <v>1131</v>
      </c>
      <c r="B1132" s="23">
        <v>96.8</v>
      </c>
      <c r="C1132" s="23">
        <v>0</v>
      </c>
      <c r="D1132" s="23">
        <v>0</v>
      </c>
      <c r="E1132" s="23">
        <v>0</v>
      </c>
      <c r="F1132" s="23">
        <v>0</v>
      </c>
      <c r="G1132" s="23">
        <v>0</v>
      </c>
      <c r="H1132" s="23">
        <v>0</v>
      </c>
      <c r="I1132" s="23">
        <v>0</v>
      </c>
      <c r="J1132" s="23">
        <v>0</v>
      </c>
      <c r="K1132" s="23">
        <v>96.8</v>
      </c>
    </row>
    <row r="1133" spans="1:11" x14ac:dyDescent="0.25">
      <c r="A1133">
        <v>1132</v>
      </c>
      <c r="B1133" s="23">
        <v>91.2</v>
      </c>
      <c r="C1133" s="23">
        <v>0</v>
      </c>
      <c r="D1133" s="23">
        <v>0</v>
      </c>
      <c r="E1133" s="23">
        <v>0</v>
      </c>
      <c r="F1133" s="23">
        <v>0</v>
      </c>
      <c r="G1133" s="23">
        <v>0</v>
      </c>
      <c r="H1133" s="23">
        <v>0</v>
      </c>
      <c r="I1133" s="23">
        <v>0</v>
      </c>
      <c r="J1133" s="23">
        <v>0</v>
      </c>
      <c r="K1133" s="23">
        <v>91.2</v>
      </c>
    </row>
    <row r="1134" spans="1:11" x14ac:dyDescent="0.25">
      <c r="A1134">
        <v>1133</v>
      </c>
      <c r="B1134" s="23">
        <v>96.8</v>
      </c>
      <c r="C1134" s="23">
        <v>0</v>
      </c>
      <c r="D1134" s="23">
        <v>0</v>
      </c>
      <c r="E1134" s="23">
        <v>0</v>
      </c>
      <c r="F1134" s="23">
        <v>0</v>
      </c>
      <c r="G1134" s="23">
        <v>0</v>
      </c>
      <c r="H1134" s="23">
        <v>0</v>
      </c>
      <c r="I1134" s="23">
        <v>0</v>
      </c>
      <c r="J1134" s="23">
        <v>0</v>
      </c>
      <c r="K1134" s="23">
        <v>96.8</v>
      </c>
    </row>
    <row r="1135" spans="1:11" x14ac:dyDescent="0.25">
      <c r="A1135">
        <v>1134</v>
      </c>
      <c r="B1135" s="23">
        <v>89.6</v>
      </c>
      <c r="C1135" s="23">
        <v>0</v>
      </c>
      <c r="D1135" s="23">
        <v>0</v>
      </c>
      <c r="E1135" s="23">
        <v>0</v>
      </c>
      <c r="F1135" s="23">
        <v>0</v>
      </c>
      <c r="G1135" s="23">
        <v>0</v>
      </c>
      <c r="H1135" s="23">
        <v>0</v>
      </c>
      <c r="I1135" s="23">
        <v>0</v>
      </c>
      <c r="J1135" s="23">
        <v>0</v>
      </c>
      <c r="K1135" s="23">
        <v>89.6</v>
      </c>
    </row>
    <row r="1136" spans="1:11" x14ac:dyDescent="0.25">
      <c r="A1136">
        <v>1135</v>
      </c>
      <c r="B1136" s="23">
        <v>92.8</v>
      </c>
      <c r="C1136" s="23">
        <v>52.38</v>
      </c>
      <c r="D1136" s="23">
        <v>108.22799999999999</v>
      </c>
      <c r="E1136" s="23">
        <v>92.8</v>
      </c>
      <c r="F1136" s="23">
        <v>-15.428000000000001</v>
      </c>
      <c r="G1136" s="23">
        <v>0</v>
      </c>
      <c r="H1136" s="23">
        <v>0</v>
      </c>
      <c r="I1136" s="23">
        <v>0</v>
      </c>
      <c r="J1136" s="23">
        <v>0</v>
      </c>
      <c r="K1136" s="23">
        <v>0</v>
      </c>
    </row>
    <row r="1137" spans="1:11" x14ac:dyDescent="0.25">
      <c r="A1137">
        <v>1136</v>
      </c>
      <c r="B1137" s="23">
        <v>86.74</v>
      </c>
      <c r="C1137" s="23">
        <v>296.87</v>
      </c>
      <c r="D1137" s="23">
        <v>1130.47</v>
      </c>
      <c r="E1137" s="23">
        <v>86.74</v>
      </c>
      <c r="F1137" s="23">
        <v>-1043.73</v>
      </c>
      <c r="G1137" s="23">
        <v>0</v>
      </c>
      <c r="H1137" s="23">
        <v>0</v>
      </c>
      <c r="I1137" s="23">
        <v>0</v>
      </c>
      <c r="J1137" s="23">
        <v>0</v>
      </c>
      <c r="K1137" s="23">
        <v>0</v>
      </c>
    </row>
    <row r="1138" spans="1:11" x14ac:dyDescent="0.25">
      <c r="A1138">
        <v>1137</v>
      </c>
      <c r="B1138" s="23">
        <v>858.24699999999996</v>
      </c>
      <c r="C1138" s="23">
        <v>562.20000000000005</v>
      </c>
      <c r="D1138" s="23">
        <v>2234.078</v>
      </c>
      <c r="E1138" s="23">
        <v>858.24699999999996</v>
      </c>
      <c r="F1138" s="23">
        <v>-238.636</v>
      </c>
      <c r="G1138" s="23">
        <v>0</v>
      </c>
      <c r="H1138" s="23">
        <v>1137.1949999999999</v>
      </c>
      <c r="I1138" s="23">
        <v>0</v>
      </c>
      <c r="J1138" s="23">
        <v>0</v>
      </c>
      <c r="K1138" s="23">
        <v>0</v>
      </c>
    </row>
    <row r="1139" spans="1:11" x14ac:dyDescent="0.25">
      <c r="A1139">
        <v>1138</v>
      </c>
      <c r="B1139" s="23">
        <v>1207.1420000000001</v>
      </c>
      <c r="C1139" s="23">
        <v>781.64</v>
      </c>
      <c r="D1139" s="23">
        <v>2973.36</v>
      </c>
      <c r="E1139" s="23">
        <v>1207.1420000000001</v>
      </c>
      <c r="F1139" s="23">
        <v>0</v>
      </c>
      <c r="G1139" s="23">
        <v>0</v>
      </c>
      <c r="H1139" s="23">
        <v>1766.2180000000001</v>
      </c>
      <c r="I1139" s="23">
        <v>0</v>
      </c>
      <c r="J1139" s="23">
        <v>0</v>
      </c>
      <c r="K1139" s="23">
        <v>0</v>
      </c>
    </row>
    <row r="1140" spans="1:11" x14ac:dyDescent="0.25">
      <c r="A1140">
        <v>1139</v>
      </c>
      <c r="B1140" s="23">
        <v>1636.944</v>
      </c>
      <c r="C1140" s="23">
        <v>937.76</v>
      </c>
      <c r="D1140" s="23">
        <v>3442.029</v>
      </c>
      <c r="E1140" s="23">
        <v>1636.944</v>
      </c>
      <c r="F1140" s="23">
        <v>0</v>
      </c>
      <c r="G1140" s="23">
        <v>0</v>
      </c>
      <c r="H1140" s="23">
        <v>1805.085</v>
      </c>
      <c r="I1140" s="23">
        <v>0</v>
      </c>
      <c r="J1140" s="23">
        <v>0</v>
      </c>
      <c r="K1140" s="23">
        <v>0</v>
      </c>
    </row>
    <row r="1141" spans="1:11" x14ac:dyDescent="0.25">
      <c r="A1141">
        <v>1140</v>
      </c>
      <c r="B1141" s="23">
        <v>1392.6389999999999</v>
      </c>
      <c r="C1141" s="23">
        <v>1032.72</v>
      </c>
      <c r="D1141" s="23">
        <v>3710.916999999999</v>
      </c>
      <c r="E1141" s="23">
        <v>1392.6389999999999</v>
      </c>
      <c r="F1141" s="23">
        <v>0</v>
      </c>
      <c r="G1141" s="23">
        <v>0</v>
      </c>
      <c r="H1141" s="23">
        <v>2318.2779999999998</v>
      </c>
      <c r="I1141" s="23">
        <v>0</v>
      </c>
      <c r="J1141" s="23">
        <v>0</v>
      </c>
      <c r="K1141" s="23">
        <v>0</v>
      </c>
    </row>
    <row r="1142" spans="1:11" x14ac:dyDescent="0.25">
      <c r="A1142">
        <v>1141</v>
      </c>
      <c r="B1142" s="23">
        <v>1733.6179999999999</v>
      </c>
      <c r="C1142" s="23">
        <v>1041.05</v>
      </c>
      <c r="D1142" s="23">
        <v>3729.328</v>
      </c>
      <c r="E1142" s="23">
        <v>1733.6179999999999</v>
      </c>
      <c r="F1142" s="23">
        <v>0</v>
      </c>
      <c r="G1142" s="23">
        <v>0</v>
      </c>
      <c r="H1142" s="23">
        <v>1995.71</v>
      </c>
      <c r="I1142" s="23">
        <v>0</v>
      </c>
      <c r="J1142" s="23">
        <v>0</v>
      </c>
      <c r="K1142" s="23">
        <v>0</v>
      </c>
    </row>
    <row r="1143" spans="1:11" x14ac:dyDescent="0.25">
      <c r="A1143">
        <v>1142</v>
      </c>
      <c r="B1143" s="23">
        <v>1461.298</v>
      </c>
      <c r="C1143" s="23">
        <v>683.26</v>
      </c>
      <c r="D1143" s="23">
        <v>2527.1880000000001</v>
      </c>
      <c r="E1143" s="23">
        <v>1461.298</v>
      </c>
      <c r="F1143" s="23">
        <v>0</v>
      </c>
      <c r="G1143" s="23">
        <v>0</v>
      </c>
      <c r="H1143" s="23">
        <v>1065.8900000000001</v>
      </c>
      <c r="I1143" s="23">
        <v>0</v>
      </c>
      <c r="J1143" s="23">
        <v>0</v>
      </c>
      <c r="K1143" s="23">
        <v>0</v>
      </c>
    </row>
    <row r="1144" spans="1:11" x14ac:dyDescent="0.25">
      <c r="A1144">
        <v>1143</v>
      </c>
      <c r="B1144" s="23">
        <v>1523.6949999999999</v>
      </c>
      <c r="C1144" s="23">
        <v>400.31</v>
      </c>
      <c r="D1144" s="23">
        <v>1506.212</v>
      </c>
      <c r="E1144" s="23">
        <v>1506.212</v>
      </c>
      <c r="F1144" s="23">
        <v>0</v>
      </c>
      <c r="G1144" s="23">
        <v>0</v>
      </c>
      <c r="H1144" s="23">
        <v>0</v>
      </c>
      <c r="I1144" s="23">
        <v>0</v>
      </c>
      <c r="J1144" s="23">
        <v>0</v>
      </c>
      <c r="K1144" s="23">
        <v>17.483000000000001</v>
      </c>
    </row>
    <row r="1145" spans="1:11" x14ac:dyDescent="0.25">
      <c r="A1145">
        <v>1144</v>
      </c>
      <c r="B1145" s="23">
        <v>1550.4159999999999</v>
      </c>
      <c r="C1145" s="23">
        <v>521.12</v>
      </c>
      <c r="D1145" s="23">
        <v>2024.88</v>
      </c>
      <c r="E1145" s="23">
        <v>1550.4159999999999</v>
      </c>
      <c r="F1145" s="23">
        <v>-19.457000000000001</v>
      </c>
      <c r="G1145" s="23">
        <v>0</v>
      </c>
      <c r="H1145" s="23">
        <v>455.00700000000001</v>
      </c>
      <c r="I1145" s="23">
        <v>0</v>
      </c>
      <c r="J1145" s="23">
        <v>0</v>
      </c>
      <c r="K1145" s="23">
        <v>0</v>
      </c>
    </row>
    <row r="1146" spans="1:11" x14ac:dyDescent="0.25">
      <c r="A1146">
        <v>1145</v>
      </c>
      <c r="B1146" s="23">
        <v>1733.837</v>
      </c>
      <c r="C1146" s="23">
        <v>332.61</v>
      </c>
      <c r="D1146" s="23">
        <v>1286.2950000000001</v>
      </c>
      <c r="E1146" s="23">
        <v>1286.2950000000001</v>
      </c>
      <c r="F1146" s="23">
        <v>0</v>
      </c>
      <c r="G1146" s="23">
        <v>0</v>
      </c>
      <c r="H1146" s="23">
        <v>0</v>
      </c>
      <c r="I1146" s="23">
        <v>447.54199999999997</v>
      </c>
      <c r="J1146" s="23">
        <v>0</v>
      </c>
      <c r="K1146" s="23">
        <v>0</v>
      </c>
    </row>
    <row r="1147" spans="1:11" x14ac:dyDescent="0.25">
      <c r="A1147">
        <v>1146</v>
      </c>
      <c r="B1147" s="23">
        <v>1717.4269999999999</v>
      </c>
      <c r="C1147" s="23">
        <v>87.99</v>
      </c>
      <c r="D1147" s="23">
        <v>259.77600000000001</v>
      </c>
      <c r="E1147" s="23">
        <v>259.77600000000001</v>
      </c>
      <c r="F1147" s="23">
        <v>0</v>
      </c>
      <c r="G1147" s="23">
        <v>0</v>
      </c>
      <c r="H1147" s="23">
        <v>0</v>
      </c>
      <c r="I1147" s="23">
        <v>0</v>
      </c>
      <c r="J1147" s="23">
        <v>0</v>
      </c>
      <c r="K1147" s="23">
        <v>1457.6510000000001</v>
      </c>
    </row>
    <row r="1148" spans="1:11" x14ac:dyDescent="0.25">
      <c r="A1148">
        <v>1147</v>
      </c>
      <c r="B1148" s="23">
        <v>1575.9590000000001</v>
      </c>
      <c r="C1148" s="23">
        <v>0</v>
      </c>
      <c r="D1148" s="23">
        <v>0</v>
      </c>
      <c r="E1148" s="23">
        <v>0</v>
      </c>
      <c r="F1148" s="23">
        <v>0</v>
      </c>
      <c r="G1148" s="23">
        <v>0</v>
      </c>
      <c r="H1148" s="23">
        <v>0</v>
      </c>
      <c r="I1148" s="23">
        <v>0</v>
      </c>
      <c r="J1148" s="23">
        <v>0</v>
      </c>
      <c r="K1148" s="23">
        <v>1575.9590000000001</v>
      </c>
    </row>
    <row r="1149" spans="1:11" x14ac:dyDescent="0.25">
      <c r="A1149">
        <v>1148</v>
      </c>
      <c r="B1149" s="23">
        <v>1707.2</v>
      </c>
      <c r="C1149" s="23">
        <v>0</v>
      </c>
      <c r="D1149" s="23">
        <v>0</v>
      </c>
      <c r="E1149" s="23">
        <v>0</v>
      </c>
      <c r="F1149" s="23">
        <v>0</v>
      </c>
      <c r="G1149" s="23">
        <v>0</v>
      </c>
      <c r="H1149" s="23">
        <v>0</v>
      </c>
      <c r="I1149" s="23">
        <v>22.640999999999998</v>
      </c>
      <c r="J1149" s="23">
        <v>0</v>
      </c>
      <c r="K1149" s="23">
        <v>1684.559</v>
      </c>
    </row>
    <row r="1150" spans="1:11" x14ac:dyDescent="0.25">
      <c r="A1150">
        <v>1149</v>
      </c>
      <c r="B1150" s="23">
        <v>1400</v>
      </c>
      <c r="C1150" s="23">
        <v>0</v>
      </c>
      <c r="D1150" s="23">
        <v>0</v>
      </c>
      <c r="E1150" s="23">
        <v>0</v>
      </c>
      <c r="F1150" s="23">
        <v>0</v>
      </c>
      <c r="G1150" s="23">
        <v>0</v>
      </c>
      <c r="H1150" s="23">
        <v>0</v>
      </c>
      <c r="I1150" s="23">
        <v>1400</v>
      </c>
      <c r="J1150" s="23">
        <v>0</v>
      </c>
      <c r="K1150" s="23">
        <v>0</v>
      </c>
    </row>
    <row r="1151" spans="1:11" x14ac:dyDescent="0.25">
      <c r="A1151">
        <v>1150</v>
      </c>
      <c r="B1151" s="23">
        <v>1287.2</v>
      </c>
      <c r="C1151" s="23">
        <v>0</v>
      </c>
      <c r="D1151" s="23">
        <v>0</v>
      </c>
      <c r="E1151" s="23">
        <v>0</v>
      </c>
      <c r="F1151" s="23">
        <v>0</v>
      </c>
      <c r="G1151" s="23">
        <v>0</v>
      </c>
      <c r="H1151" s="23">
        <v>0</v>
      </c>
      <c r="I1151" s="23">
        <v>1287.2</v>
      </c>
      <c r="J1151" s="23">
        <v>0</v>
      </c>
      <c r="K1151" s="23">
        <v>0</v>
      </c>
    </row>
    <row r="1152" spans="1:11" x14ac:dyDescent="0.25">
      <c r="A1152">
        <v>1151</v>
      </c>
      <c r="B1152" s="23">
        <v>1057.5999999999999</v>
      </c>
      <c r="C1152" s="23">
        <v>0</v>
      </c>
      <c r="D1152" s="23">
        <v>0</v>
      </c>
      <c r="E1152" s="23">
        <v>0</v>
      </c>
      <c r="F1152" s="23">
        <v>0</v>
      </c>
      <c r="G1152" s="23">
        <v>0</v>
      </c>
      <c r="H1152" s="23">
        <v>0</v>
      </c>
      <c r="I1152" s="23">
        <v>1057.5999999999999</v>
      </c>
      <c r="J1152" s="23">
        <v>0</v>
      </c>
      <c r="K1152" s="23">
        <v>0</v>
      </c>
    </row>
    <row r="1153" spans="1:11" x14ac:dyDescent="0.25">
      <c r="A1153">
        <v>1152</v>
      </c>
      <c r="B1153" s="23">
        <v>1536.8</v>
      </c>
      <c r="C1153" s="23">
        <v>0</v>
      </c>
      <c r="D1153" s="23">
        <v>0</v>
      </c>
      <c r="E1153" s="23">
        <v>0</v>
      </c>
      <c r="F1153" s="23">
        <v>0</v>
      </c>
      <c r="G1153" s="23">
        <v>0</v>
      </c>
      <c r="H1153" s="23">
        <v>0</v>
      </c>
      <c r="I1153" s="23">
        <v>1536.8</v>
      </c>
      <c r="J1153" s="23">
        <v>0</v>
      </c>
      <c r="K1153" s="23">
        <v>0</v>
      </c>
    </row>
    <row r="1154" spans="1:11" x14ac:dyDescent="0.25">
      <c r="A1154">
        <v>1153</v>
      </c>
      <c r="B1154" s="23">
        <v>997.6</v>
      </c>
      <c r="C1154" s="23">
        <v>0</v>
      </c>
      <c r="D1154" s="23">
        <v>0</v>
      </c>
      <c r="E1154" s="23">
        <v>0</v>
      </c>
      <c r="F1154" s="23">
        <v>0</v>
      </c>
      <c r="G1154" s="23">
        <v>0</v>
      </c>
      <c r="H1154" s="23">
        <v>0</v>
      </c>
      <c r="I1154" s="23">
        <v>997.6</v>
      </c>
      <c r="J1154" s="23">
        <v>0</v>
      </c>
      <c r="K1154" s="23">
        <v>0</v>
      </c>
    </row>
    <row r="1155" spans="1:11" x14ac:dyDescent="0.25">
      <c r="A1155">
        <v>1154</v>
      </c>
      <c r="B1155" s="23">
        <v>1274.4000000000001</v>
      </c>
      <c r="C1155" s="23">
        <v>0</v>
      </c>
      <c r="D1155" s="23">
        <v>0</v>
      </c>
      <c r="E1155" s="23">
        <v>0</v>
      </c>
      <c r="F1155" s="23">
        <v>0</v>
      </c>
      <c r="G1155" s="23">
        <v>0</v>
      </c>
      <c r="H1155" s="23">
        <v>0</v>
      </c>
      <c r="I1155" s="23">
        <v>1274.4000000000001</v>
      </c>
      <c r="J1155" s="23">
        <v>0</v>
      </c>
      <c r="K1155" s="23">
        <v>0</v>
      </c>
    </row>
    <row r="1156" spans="1:11" x14ac:dyDescent="0.25">
      <c r="A1156">
        <v>1155</v>
      </c>
      <c r="B1156" s="23">
        <v>1188.8</v>
      </c>
      <c r="C1156" s="23">
        <v>0</v>
      </c>
      <c r="D1156" s="23">
        <v>0</v>
      </c>
      <c r="E1156" s="23">
        <v>0</v>
      </c>
      <c r="F1156" s="23">
        <v>0</v>
      </c>
      <c r="G1156" s="23">
        <v>0</v>
      </c>
      <c r="H1156" s="23">
        <v>0</v>
      </c>
      <c r="I1156" s="23">
        <v>1188.8</v>
      </c>
      <c r="J1156" s="23">
        <v>0</v>
      </c>
      <c r="K1156" s="23">
        <v>0</v>
      </c>
    </row>
    <row r="1157" spans="1:11" x14ac:dyDescent="0.25">
      <c r="A1157">
        <v>1156</v>
      </c>
      <c r="B1157" s="23">
        <v>1111.2</v>
      </c>
      <c r="C1157" s="23">
        <v>0</v>
      </c>
      <c r="D1157" s="23">
        <v>0</v>
      </c>
      <c r="E1157" s="23">
        <v>0</v>
      </c>
      <c r="F1157" s="23">
        <v>0</v>
      </c>
      <c r="G1157" s="23">
        <v>0</v>
      </c>
      <c r="H1157" s="23">
        <v>0</v>
      </c>
      <c r="I1157" s="23">
        <v>1111.2</v>
      </c>
      <c r="J1157" s="23">
        <v>0</v>
      </c>
      <c r="K1157" s="23">
        <v>0</v>
      </c>
    </row>
    <row r="1158" spans="1:11" x14ac:dyDescent="0.25">
      <c r="A1158">
        <v>1157</v>
      </c>
      <c r="B1158" s="23">
        <v>1072.8</v>
      </c>
      <c r="C1158" s="23">
        <v>0</v>
      </c>
      <c r="D1158" s="23">
        <v>0</v>
      </c>
      <c r="E1158" s="23">
        <v>0</v>
      </c>
      <c r="F1158" s="23">
        <v>0</v>
      </c>
      <c r="G1158" s="23">
        <v>0</v>
      </c>
      <c r="H1158" s="23">
        <v>0</v>
      </c>
      <c r="I1158" s="23">
        <v>1072.8</v>
      </c>
      <c r="J1158" s="23">
        <v>0</v>
      </c>
      <c r="K1158" s="23">
        <v>0</v>
      </c>
    </row>
    <row r="1159" spans="1:11" x14ac:dyDescent="0.25">
      <c r="A1159">
        <v>1158</v>
      </c>
      <c r="B1159" s="23">
        <v>1068.8</v>
      </c>
      <c r="C1159" s="23">
        <v>0</v>
      </c>
      <c r="D1159" s="23">
        <v>0</v>
      </c>
      <c r="E1159" s="23">
        <v>0</v>
      </c>
      <c r="F1159" s="23">
        <v>0</v>
      </c>
      <c r="G1159" s="23">
        <v>0</v>
      </c>
      <c r="H1159" s="23">
        <v>0</v>
      </c>
      <c r="I1159" s="23">
        <v>425.78800000000001</v>
      </c>
      <c r="J1159" s="23">
        <v>0</v>
      </c>
      <c r="K1159" s="23">
        <v>643.01199999999994</v>
      </c>
    </row>
    <row r="1160" spans="1:11" x14ac:dyDescent="0.25">
      <c r="A1160">
        <v>1159</v>
      </c>
      <c r="B1160" s="23">
        <v>1287.2</v>
      </c>
      <c r="C1160" s="23">
        <v>44.08</v>
      </c>
      <c r="D1160" s="23">
        <v>96.533000000000001</v>
      </c>
      <c r="E1160" s="23">
        <v>96.533000000000001</v>
      </c>
      <c r="F1160" s="23">
        <v>0</v>
      </c>
      <c r="G1160" s="23">
        <v>0</v>
      </c>
      <c r="H1160" s="23">
        <v>0</v>
      </c>
      <c r="I1160" s="23">
        <v>0</v>
      </c>
      <c r="J1160" s="23">
        <v>0</v>
      </c>
      <c r="K1160" s="23">
        <v>1190.6669999999999</v>
      </c>
    </row>
    <row r="1161" spans="1:11" x14ac:dyDescent="0.25">
      <c r="A1161">
        <v>1160</v>
      </c>
      <c r="B1161" s="23">
        <v>1071.05</v>
      </c>
      <c r="C1161" s="23">
        <v>280.99</v>
      </c>
      <c r="D1161" s="23">
        <v>1074.7829999999999</v>
      </c>
      <c r="E1161" s="23">
        <v>1071.05</v>
      </c>
      <c r="F1161" s="23">
        <v>-3.7330000000000001</v>
      </c>
      <c r="G1161" s="23">
        <v>0</v>
      </c>
      <c r="H1161" s="23">
        <v>0</v>
      </c>
      <c r="I1161" s="23">
        <v>0</v>
      </c>
      <c r="J1161" s="23">
        <v>0</v>
      </c>
      <c r="K1161" s="23">
        <v>0</v>
      </c>
    </row>
    <row r="1162" spans="1:11" x14ac:dyDescent="0.25">
      <c r="A1162">
        <v>1161</v>
      </c>
      <c r="B1162" s="23">
        <v>1356.9590000000001</v>
      </c>
      <c r="C1162" s="23">
        <v>545.73</v>
      </c>
      <c r="D1162" s="23">
        <v>2159.0859999999998</v>
      </c>
      <c r="E1162" s="23">
        <v>1356.9590000000001</v>
      </c>
      <c r="F1162" s="23">
        <v>-802.12699999999995</v>
      </c>
      <c r="G1162" s="23">
        <v>0</v>
      </c>
      <c r="H1162" s="23">
        <v>0</v>
      </c>
      <c r="I1162" s="23">
        <v>0</v>
      </c>
      <c r="J1162" s="23">
        <v>0</v>
      </c>
      <c r="K1162" s="23">
        <v>0</v>
      </c>
    </row>
    <row r="1163" spans="1:11" x14ac:dyDescent="0.25">
      <c r="A1163">
        <v>1162</v>
      </c>
      <c r="B1163" s="23">
        <v>1375.0119999999999</v>
      </c>
      <c r="C1163" s="23">
        <v>770.57</v>
      </c>
      <c r="D1163" s="23">
        <v>2917.0219999999999</v>
      </c>
      <c r="E1163" s="23">
        <v>1375.0119999999999</v>
      </c>
      <c r="F1163" s="23">
        <v>-1542.01</v>
      </c>
      <c r="G1163" s="23">
        <v>0</v>
      </c>
      <c r="H1163" s="23">
        <v>0</v>
      </c>
      <c r="I1163" s="23">
        <v>0</v>
      </c>
      <c r="J1163" s="23">
        <v>0</v>
      </c>
      <c r="K1163" s="23">
        <v>0</v>
      </c>
    </row>
    <row r="1164" spans="1:11" x14ac:dyDescent="0.25">
      <c r="A1164">
        <v>1163</v>
      </c>
      <c r="B1164" s="23">
        <v>1335.4839999999999</v>
      </c>
      <c r="C1164" s="23">
        <v>933.17</v>
      </c>
      <c r="D1164" s="23">
        <v>3415.4870000000001</v>
      </c>
      <c r="E1164" s="23">
        <v>1335.4849999999999</v>
      </c>
      <c r="F1164" s="23">
        <v>-1684.559</v>
      </c>
      <c r="G1164" s="23">
        <v>0</v>
      </c>
      <c r="H1164" s="23">
        <v>395.44299999999998</v>
      </c>
      <c r="I1164" s="23">
        <v>0</v>
      </c>
      <c r="J1164" s="23">
        <v>0</v>
      </c>
      <c r="K1164" s="23">
        <v>0</v>
      </c>
    </row>
    <row r="1165" spans="1:11" x14ac:dyDescent="0.25">
      <c r="A1165">
        <v>1164</v>
      </c>
      <c r="B1165" s="23">
        <v>1194.7439999999999</v>
      </c>
      <c r="C1165" s="23">
        <v>955.48</v>
      </c>
      <c r="D1165" s="23">
        <v>3461.1210000000001</v>
      </c>
      <c r="E1165" s="23">
        <v>1194.7439999999999</v>
      </c>
      <c r="F1165" s="23">
        <v>-1684.559</v>
      </c>
      <c r="G1165" s="23">
        <v>0</v>
      </c>
      <c r="H1165" s="23">
        <v>581.81799999999998</v>
      </c>
      <c r="I1165" s="23">
        <v>0</v>
      </c>
      <c r="J1165" s="23">
        <v>0</v>
      </c>
      <c r="K1165" s="23">
        <v>0</v>
      </c>
    </row>
    <row r="1166" spans="1:11" x14ac:dyDescent="0.25">
      <c r="A1166">
        <v>1165</v>
      </c>
      <c r="B1166" s="23">
        <v>1239.472</v>
      </c>
      <c r="C1166" s="23">
        <v>597.13</v>
      </c>
      <c r="D1166" s="23">
        <v>2206.0329999999999</v>
      </c>
      <c r="E1166" s="23">
        <v>1239.472</v>
      </c>
      <c r="F1166" s="23">
        <v>-966.56100000000004</v>
      </c>
      <c r="G1166" s="23">
        <v>0</v>
      </c>
      <c r="H1166" s="23">
        <v>0</v>
      </c>
      <c r="I1166" s="23">
        <v>0</v>
      </c>
      <c r="J1166" s="23">
        <v>0</v>
      </c>
      <c r="K1166" s="23">
        <v>0</v>
      </c>
    </row>
    <row r="1167" spans="1:11" x14ac:dyDescent="0.25">
      <c r="A1167">
        <v>1166</v>
      </c>
      <c r="B1167" s="23">
        <v>1494.7819999999999</v>
      </c>
      <c r="C1167" s="23">
        <v>626.66</v>
      </c>
      <c r="D1167" s="23">
        <v>2335.7040000000002</v>
      </c>
      <c r="E1167" s="23">
        <v>1494.7819999999999</v>
      </c>
      <c r="F1167" s="23">
        <v>-607.94899999999996</v>
      </c>
      <c r="G1167" s="23">
        <v>0</v>
      </c>
      <c r="H1167" s="23">
        <v>232.97300000000001</v>
      </c>
      <c r="I1167" s="23">
        <v>0</v>
      </c>
      <c r="J1167" s="23">
        <v>0</v>
      </c>
      <c r="K1167" s="23">
        <v>0</v>
      </c>
    </row>
    <row r="1168" spans="1:11" x14ac:dyDescent="0.25">
      <c r="A1168">
        <v>1167</v>
      </c>
      <c r="B1168" s="23">
        <v>1663.5360000000001</v>
      </c>
      <c r="C1168" s="23">
        <v>575.80999999999995</v>
      </c>
      <c r="D1168" s="23">
        <v>2190.1170000000002</v>
      </c>
      <c r="E1168" s="23">
        <v>1663.5360000000001</v>
      </c>
      <c r="F1168" s="23">
        <v>0</v>
      </c>
      <c r="G1168" s="23">
        <v>0</v>
      </c>
      <c r="H1168" s="23">
        <v>526.58100000000002</v>
      </c>
      <c r="I1168" s="23">
        <v>0</v>
      </c>
      <c r="J1168" s="23">
        <v>0</v>
      </c>
      <c r="K1168" s="23">
        <v>0</v>
      </c>
    </row>
    <row r="1169" spans="1:11" x14ac:dyDescent="0.25">
      <c r="A1169">
        <v>1168</v>
      </c>
      <c r="B1169" s="23">
        <v>1380.2760000000001</v>
      </c>
      <c r="C1169" s="23">
        <v>413.86</v>
      </c>
      <c r="D1169" s="23">
        <v>1614.1189999999999</v>
      </c>
      <c r="E1169" s="23">
        <v>1380.2760000000001</v>
      </c>
      <c r="F1169" s="23">
        <v>0</v>
      </c>
      <c r="G1169" s="23">
        <v>0</v>
      </c>
      <c r="H1169" s="23">
        <v>233.84299999999999</v>
      </c>
      <c r="I1169" s="23">
        <v>0</v>
      </c>
      <c r="J1169" s="23">
        <v>0</v>
      </c>
      <c r="K1169" s="23">
        <v>0</v>
      </c>
    </row>
    <row r="1170" spans="1:11" x14ac:dyDescent="0.25">
      <c r="A1170">
        <v>1169</v>
      </c>
      <c r="B1170" s="23">
        <v>1448.549</v>
      </c>
      <c r="C1170" s="23">
        <v>340.36</v>
      </c>
      <c r="D1170" s="23">
        <v>1327.3520000000001</v>
      </c>
      <c r="E1170" s="23">
        <v>1327.3520000000001</v>
      </c>
      <c r="F1170" s="23">
        <v>0</v>
      </c>
      <c r="G1170" s="23">
        <v>0</v>
      </c>
      <c r="H1170" s="23">
        <v>0</v>
      </c>
      <c r="I1170" s="23">
        <v>121.197</v>
      </c>
      <c r="J1170" s="23">
        <v>0</v>
      </c>
      <c r="K1170" s="23">
        <v>0</v>
      </c>
    </row>
    <row r="1171" spans="1:11" x14ac:dyDescent="0.25">
      <c r="A1171">
        <v>1170</v>
      </c>
      <c r="B1171" s="23">
        <v>1689.979</v>
      </c>
      <c r="C1171" s="23">
        <v>87.15</v>
      </c>
      <c r="D1171" s="23">
        <v>262.81799999999998</v>
      </c>
      <c r="E1171" s="23">
        <v>262.81799999999998</v>
      </c>
      <c r="F1171" s="23">
        <v>0</v>
      </c>
      <c r="G1171" s="23">
        <v>0</v>
      </c>
      <c r="H1171" s="23">
        <v>0</v>
      </c>
      <c r="I1171" s="23">
        <v>0</v>
      </c>
      <c r="J1171" s="23">
        <v>0</v>
      </c>
      <c r="K1171" s="23">
        <v>1427.1610000000001</v>
      </c>
    </row>
    <row r="1172" spans="1:11" x14ac:dyDescent="0.25">
      <c r="A1172">
        <v>1171</v>
      </c>
      <c r="B1172" s="23">
        <v>1823.2049999999999</v>
      </c>
      <c r="C1172" s="23">
        <v>0</v>
      </c>
      <c r="D1172" s="23">
        <v>0</v>
      </c>
      <c r="E1172" s="23">
        <v>0</v>
      </c>
      <c r="F1172" s="23">
        <v>0</v>
      </c>
      <c r="G1172" s="23">
        <v>0</v>
      </c>
      <c r="H1172" s="23">
        <v>0</v>
      </c>
      <c r="I1172" s="23">
        <v>138.64599999999999</v>
      </c>
      <c r="J1172" s="23">
        <v>0</v>
      </c>
      <c r="K1172" s="23">
        <v>1684.559</v>
      </c>
    </row>
    <row r="1173" spans="1:11" x14ac:dyDescent="0.25">
      <c r="A1173">
        <v>1172</v>
      </c>
      <c r="B1173" s="23">
        <v>855.2</v>
      </c>
      <c r="C1173" s="23">
        <v>0</v>
      </c>
      <c r="D1173" s="23">
        <v>0</v>
      </c>
      <c r="E1173" s="23">
        <v>0</v>
      </c>
      <c r="F1173" s="23">
        <v>0</v>
      </c>
      <c r="G1173" s="23">
        <v>0</v>
      </c>
      <c r="H1173" s="23">
        <v>0</v>
      </c>
      <c r="I1173" s="23">
        <v>0</v>
      </c>
      <c r="J1173" s="23">
        <v>0</v>
      </c>
      <c r="K1173" s="23">
        <v>855.2</v>
      </c>
    </row>
    <row r="1174" spans="1:11" x14ac:dyDescent="0.25">
      <c r="A1174">
        <v>1173</v>
      </c>
      <c r="B1174" s="23">
        <v>1082.4000000000001</v>
      </c>
      <c r="C1174" s="23">
        <v>0</v>
      </c>
      <c r="D1174" s="23">
        <v>0</v>
      </c>
      <c r="E1174" s="23">
        <v>0</v>
      </c>
      <c r="F1174" s="23">
        <v>0</v>
      </c>
      <c r="G1174" s="23">
        <v>0</v>
      </c>
      <c r="H1174" s="23">
        <v>0</v>
      </c>
      <c r="I1174" s="23">
        <v>1082.4000000000001</v>
      </c>
      <c r="J1174" s="23">
        <v>0</v>
      </c>
      <c r="K1174" s="23">
        <v>0</v>
      </c>
    </row>
    <row r="1175" spans="1:11" x14ac:dyDescent="0.25">
      <c r="A1175">
        <v>1174</v>
      </c>
      <c r="B1175" s="23">
        <v>1165.5999999999999</v>
      </c>
      <c r="C1175" s="23">
        <v>0</v>
      </c>
      <c r="D1175" s="23">
        <v>0</v>
      </c>
      <c r="E1175" s="23">
        <v>0</v>
      </c>
      <c r="F1175" s="23">
        <v>0</v>
      </c>
      <c r="G1175" s="23">
        <v>0</v>
      </c>
      <c r="H1175" s="23">
        <v>0</v>
      </c>
      <c r="I1175" s="23">
        <v>401.99200000000002</v>
      </c>
      <c r="J1175" s="23">
        <v>0</v>
      </c>
      <c r="K1175" s="23">
        <v>763.60799999999995</v>
      </c>
    </row>
    <row r="1176" spans="1:11" x14ac:dyDescent="0.25">
      <c r="A1176">
        <v>1175</v>
      </c>
      <c r="B1176" s="23">
        <v>1396.8</v>
      </c>
      <c r="C1176" s="23">
        <v>0</v>
      </c>
      <c r="D1176" s="23">
        <v>0</v>
      </c>
      <c r="E1176" s="23">
        <v>0</v>
      </c>
      <c r="F1176" s="23">
        <v>0</v>
      </c>
      <c r="G1176" s="23">
        <v>0</v>
      </c>
      <c r="H1176" s="23">
        <v>0</v>
      </c>
      <c r="I1176" s="23">
        <v>1396.8</v>
      </c>
      <c r="J1176" s="23">
        <v>0</v>
      </c>
      <c r="K1176" s="23">
        <v>0</v>
      </c>
    </row>
    <row r="1177" spans="1:11" x14ac:dyDescent="0.25">
      <c r="A1177">
        <v>1176</v>
      </c>
      <c r="B1177" s="23">
        <v>754.4</v>
      </c>
      <c r="C1177" s="23">
        <v>0</v>
      </c>
      <c r="D1177" s="23">
        <v>0</v>
      </c>
      <c r="E1177" s="23">
        <v>0</v>
      </c>
      <c r="F1177" s="23">
        <v>0</v>
      </c>
      <c r="G1177" s="23">
        <v>0</v>
      </c>
      <c r="H1177" s="23">
        <v>0</v>
      </c>
      <c r="I1177" s="23">
        <v>754.4</v>
      </c>
      <c r="J1177" s="23">
        <v>0</v>
      </c>
      <c r="K1177" s="23">
        <v>0</v>
      </c>
    </row>
    <row r="1178" spans="1:11" x14ac:dyDescent="0.25">
      <c r="A1178">
        <v>1177</v>
      </c>
      <c r="B1178" s="23">
        <v>602.4</v>
      </c>
      <c r="C1178" s="23">
        <v>0</v>
      </c>
      <c r="D1178" s="23">
        <v>0</v>
      </c>
      <c r="E1178" s="23">
        <v>0</v>
      </c>
      <c r="F1178" s="23">
        <v>0</v>
      </c>
      <c r="G1178" s="23">
        <v>0</v>
      </c>
      <c r="H1178" s="23">
        <v>0</v>
      </c>
      <c r="I1178" s="23">
        <v>602.4</v>
      </c>
      <c r="J1178" s="23">
        <v>0</v>
      </c>
      <c r="K1178" s="23">
        <v>0</v>
      </c>
    </row>
    <row r="1179" spans="1:11" x14ac:dyDescent="0.25">
      <c r="A1179">
        <v>1178</v>
      </c>
      <c r="B1179" s="23">
        <v>580.79999999999995</v>
      </c>
      <c r="C1179" s="23">
        <v>0</v>
      </c>
      <c r="D1179" s="23">
        <v>0</v>
      </c>
      <c r="E1179" s="23">
        <v>0</v>
      </c>
      <c r="F1179" s="23">
        <v>0</v>
      </c>
      <c r="G1179" s="23">
        <v>0</v>
      </c>
      <c r="H1179" s="23">
        <v>0</v>
      </c>
      <c r="I1179" s="23">
        <v>580.79999999999995</v>
      </c>
      <c r="J1179" s="23">
        <v>0</v>
      </c>
      <c r="K1179" s="23">
        <v>0</v>
      </c>
    </row>
    <row r="1180" spans="1:11" x14ac:dyDescent="0.25">
      <c r="A1180">
        <v>1179</v>
      </c>
      <c r="B1180" s="23">
        <v>700.8</v>
      </c>
      <c r="C1180" s="23">
        <v>0</v>
      </c>
      <c r="D1180" s="23">
        <v>0</v>
      </c>
      <c r="E1180" s="23">
        <v>0</v>
      </c>
      <c r="F1180" s="23">
        <v>0</v>
      </c>
      <c r="G1180" s="23">
        <v>0</v>
      </c>
      <c r="H1180" s="23">
        <v>0</v>
      </c>
      <c r="I1180" s="23">
        <v>700.8</v>
      </c>
      <c r="J1180" s="23">
        <v>0</v>
      </c>
      <c r="K1180" s="23">
        <v>0</v>
      </c>
    </row>
    <row r="1181" spans="1:11" x14ac:dyDescent="0.25">
      <c r="A1181">
        <v>1180</v>
      </c>
      <c r="B1181" s="23">
        <v>725.6</v>
      </c>
      <c r="C1181" s="23">
        <v>0</v>
      </c>
      <c r="D1181" s="23">
        <v>0</v>
      </c>
      <c r="E1181" s="23">
        <v>0</v>
      </c>
      <c r="F1181" s="23">
        <v>0</v>
      </c>
      <c r="G1181" s="23">
        <v>0</v>
      </c>
      <c r="H1181" s="23">
        <v>0</v>
      </c>
      <c r="I1181" s="23">
        <v>725.6</v>
      </c>
      <c r="J1181" s="23">
        <v>0</v>
      </c>
      <c r="K1181" s="23">
        <v>0</v>
      </c>
    </row>
    <row r="1182" spans="1:11" x14ac:dyDescent="0.25">
      <c r="A1182">
        <v>1181</v>
      </c>
      <c r="B1182" s="23">
        <v>505.6</v>
      </c>
      <c r="C1182" s="23">
        <v>0</v>
      </c>
      <c r="D1182" s="23">
        <v>0</v>
      </c>
      <c r="E1182" s="23">
        <v>0</v>
      </c>
      <c r="F1182" s="23">
        <v>0</v>
      </c>
      <c r="G1182" s="23">
        <v>0</v>
      </c>
      <c r="H1182" s="23">
        <v>0</v>
      </c>
      <c r="I1182" s="23">
        <v>0</v>
      </c>
      <c r="J1182" s="23">
        <v>0</v>
      </c>
      <c r="K1182" s="23">
        <v>505.6</v>
      </c>
    </row>
    <row r="1183" spans="1:11" x14ac:dyDescent="0.25">
      <c r="A1183">
        <v>1182</v>
      </c>
      <c r="B1183" s="23">
        <v>723.2</v>
      </c>
      <c r="C1183" s="23">
        <v>0</v>
      </c>
      <c r="D1183" s="23">
        <v>0</v>
      </c>
      <c r="E1183" s="23">
        <v>0</v>
      </c>
      <c r="F1183" s="23">
        <v>0</v>
      </c>
      <c r="G1183" s="23">
        <v>0</v>
      </c>
      <c r="H1183" s="23">
        <v>0</v>
      </c>
      <c r="I1183" s="23">
        <v>0</v>
      </c>
      <c r="J1183" s="23">
        <v>0</v>
      </c>
      <c r="K1183" s="23">
        <v>723.2</v>
      </c>
    </row>
    <row r="1184" spans="1:11" x14ac:dyDescent="0.25">
      <c r="A1184">
        <v>1183</v>
      </c>
      <c r="B1184" s="23">
        <v>676.8</v>
      </c>
      <c r="C1184" s="23">
        <v>37.51</v>
      </c>
      <c r="D1184" s="23">
        <v>84.278999999999996</v>
      </c>
      <c r="E1184" s="23">
        <v>84.278999999999996</v>
      </c>
      <c r="F1184" s="23">
        <v>0</v>
      </c>
      <c r="G1184" s="23">
        <v>0</v>
      </c>
      <c r="H1184" s="23">
        <v>0</v>
      </c>
      <c r="I1184" s="23">
        <v>0</v>
      </c>
      <c r="J1184" s="23">
        <v>0</v>
      </c>
      <c r="K1184" s="23">
        <v>592.52099999999996</v>
      </c>
    </row>
    <row r="1185" spans="1:11" x14ac:dyDescent="0.25">
      <c r="A1185">
        <v>1184</v>
      </c>
      <c r="B1185" s="23">
        <v>771.60400000000004</v>
      </c>
      <c r="C1185" s="23">
        <v>266.87</v>
      </c>
      <c r="D1185" s="23">
        <v>1021.545</v>
      </c>
      <c r="E1185" s="23">
        <v>771.60400000000004</v>
      </c>
      <c r="F1185" s="23">
        <v>-249.941</v>
      </c>
      <c r="G1185" s="23">
        <v>0</v>
      </c>
      <c r="H1185" s="23">
        <v>0</v>
      </c>
      <c r="I1185" s="23">
        <v>0</v>
      </c>
      <c r="J1185" s="23">
        <v>0</v>
      </c>
      <c r="K1185" s="23">
        <v>0</v>
      </c>
    </row>
    <row r="1186" spans="1:11" x14ac:dyDescent="0.25">
      <c r="A1186">
        <v>1185</v>
      </c>
      <c r="B1186" s="23">
        <v>658.29600000000005</v>
      </c>
      <c r="C1186" s="23">
        <v>529.04</v>
      </c>
      <c r="D1186" s="23">
        <v>2080.9949999999999</v>
      </c>
      <c r="E1186" s="23">
        <v>658.29600000000005</v>
      </c>
      <c r="F1186" s="23">
        <v>-1422.6990000000001</v>
      </c>
      <c r="G1186" s="23">
        <v>0</v>
      </c>
      <c r="H1186" s="23">
        <v>0</v>
      </c>
      <c r="I1186" s="23">
        <v>0</v>
      </c>
      <c r="J1186" s="23">
        <v>0</v>
      </c>
      <c r="K1186" s="23">
        <v>0</v>
      </c>
    </row>
    <row r="1187" spans="1:11" x14ac:dyDescent="0.25">
      <c r="A1187">
        <v>1186</v>
      </c>
      <c r="B1187" s="23">
        <v>829.98599999999999</v>
      </c>
      <c r="C1187" s="23">
        <v>755.16</v>
      </c>
      <c r="D1187" s="23">
        <v>2841.9270000000001</v>
      </c>
      <c r="E1187" s="23">
        <v>829.98599999999999</v>
      </c>
      <c r="F1187" s="23">
        <v>-1684.559</v>
      </c>
      <c r="G1187" s="23">
        <v>0</v>
      </c>
      <c r="H1187" s="23">
        <v>327.38200000000001</v>
      </c>
      <c r="I1187" s="23">
        <v>0</v>
      </c>
      <c r="J1187" s="23">
        <v>0</v>
      </c>
      <c r="K1187" s="23">
        <v>0</v>
      </c>
    </row>
    <row r="1188" spans="1:11" x14ac:dyDescent="0.25">
      <c r="A1188">
        <v>1187</v>
      </c>
      <c r="B1188" s="23">
        <v>571.13</v>
      </c>
      <c r="C1188" s="23">
        <v>921.88</v>
      </c>
      <c r="D1188" s="23">
        <v>3331.616</v>
      </c>
      <c r="E1188" s="23">
        <v>571.13099999999997</v>
      </c>
      <c r="F1188" s="23">
        <v>-1684.559</v>
      </c>
      <c r="G1188" s="23">
        <v>0</v>
      </c>
      <c r="H1188" s="23">
        <v>1075.9259999999999</v>
      </c>
      <c r="I1188" s="23">
        <v>0</v>
      </c>
      <c r="J1188" s="23">
        <v>0</v>
      </c>
      <c r="K1188" s="23">
        <v>0</v>
      </c>
    </row>
    <row r="1189" spans="1:11" x14ac:dyDescent="0.25">
      <c r="A1189">
        <v>1188</v>
      </c>
      <c r="B1189" s="23">
        <v>704.87800000000004</v>
      </c>
      <c r="C1189" s="23">
        <v>1017.48</v>
      </c>
      <c r="D1189" s="23">
        <v>3574.7730000000001</v>
      </c>
      <c r="E1189" s="23">
        <v>704.87800000000004</v>
      </c>
      <c r="F1189" s="23">
        <v>-1684.559</v>
      </c>
      <c r="G1189" s="23">
        <v>0</v>
      </c>
      <c r="H1189" s="23">
        <v>1185.336</v>
      </c>
      <c r="I1189" s="23">
        <v>0</v>
      </c>
      <c r="J1189" s="23">
        <v>0</v>
      </c>
      <c r="K1189" s="23">
        <v>0</v>
      </c>
    </row>
    <row r="1190" spans="1:11" x14ac:dyDescent="0.25">
      <c r="A1190">
        <v>1189</v>
      </c>
      <c r="B1190" s="23">
        <v>802.62199999999996</v>
      </c>
      <c r="C1190" s="23">
        <v>1020.79</v>
      </c>
      <c r="D1190" s="23">
        <v>3580.7759999999998</v>
      </c>
      <c r="E1190" s="23">
        <v>802.62300000000005</v>
      </c>
      <c r="F1190" s="23">
        <v>-565.17999999999995</v>
      </c>
      <c r="G1190" s="23">
        <v>0</v>
      </c>
      <c r="H1190" s="23">
        <v>2212.973</v>
      </c>
      <c r="I1190" s="23">
        <v>0</v>
      </c>
      <c r="J1190" s="23">
        <v>0</v>
      </c>
      <c r="K1190" s="23">
        <v>0</v>
      </c>
    </row>
    <row r="1191" spans="1:11" x14ac:dyDescent="0.25">
      <c r="A1191">
        <v>1190</v>
      </c>
      <c r="B1191" s="23">
        <v>845.33299999999997</v>
      </c>
      <c r="C1191" s="23">
        <v>932.84</v>
      </c>
      <c r="D1191" s="23">
        <v>3347.4540000000002</v>
      </c>
      <c r="E1191" s="23">
        <v>845.33299999999997</v>
      </c>
      <c r="F1191" s="23">
        <v>0</v>
      </c>
      <c r="G1191" s="23">
        <v>0</v>
      </c>
      <c r="H1191" s="23">
        <v>2502.1210000000001</v>
      </c>
      <c r="I1191" s="23">
        <v>0</v>
      </c>
      <c r="J1191" s="23">
        <v>0</v>
      </c>
      <c r="K1191" s="23">
        <v>0</v>
      </c>
    </row>
    <row r="1192" spans="1:11" x14ac:dyDescent="0.25">
      <c r="A1192">
        <v>1191</v>
      </c>
      <c r="B1192" s="23">
        <v>810.39700000000005</v>
      </c>
      <c r="C1192" s="23">
        <v>782.15</v>
      </c>
      <c r="D1192" s="23">
        <v>2911.3449999999998</v>
      </c>
      <c r="E1192" s="23">
        <v>810.39700000000005</v>
      </c>
      <c r="F1192" s="23">
        <v>0</v>
      </c>
      <c r="G1192" s="23">
        <v>0</v>
      </c>
      <c r="H1192" s="23">
        <v>2100.9479999999999</v>
      </c>
      <c r="I1192" s="23">
        <v>0</v>
      </c>
      <c r="J1192" s="23">
        <v>0</v>
      </c>
      <c r="K1192" s="23">
        <v>0</v>
      </c>
    </row>
    <row r="1193" spans="1:11" x14ac:dyDescent="0.25">
      <c r="A1193">
        <v>1192</v>
      </c>
      <c r="B1193" s="23">
        <v>948.63099999999997</v>
      </c>
      <c r="C1193" s="23">
        <v>570.42999999999995</v>
      </c>
      <c r="D1193" s="23">
        <v>2212.6759999999999</v>
      </c>
      <c r="E1193" s="23">
        <v>948.63099999999997</v>
      </c>
      <c r="F1193" s="23">
        <v>0</v>
      </c>
      <c r="G1193" s="23">
        <v>0</v>
      </c>
      <c r="H1193" s="23">
        <v>1264.0450000000001</v>
      </c>
      <c r="I1193" s="23">
        <v>0</v>
      </c>
      <c r="J1193" s="23">
        <v>0</v>
      </c>
      <c r="K1193" s="23">
        <v>0</v>
      </c>
    </row>
    <row r="1194" spans="1:11" x14ac:dyDescent="0.25">
      <c r="A1194">
        <v>1193</v>
      </c>
      <c r="B1194" s="23">
        <v>863.60500000000002</v>
      </c>
      <c r="C1194" s="23">
        <v>290.05</v>
      </c>
      <c r="D1194" s="23">
        <v>1125.877</v>
      </c>
      <c r="E1194" s="23">
        <v>863.60500000000002</v>
      </c>
      <c r="F1194" s="23">
        <v>0</v>
      </c>
      <c r="G1194" s="23">
        <v>0</v>
      </c>
      <c r="H1194" s="23">
        <v>262.27199999999999</v>
      </c>
      <c r="I1194" s="23">
        <v>0</v>
      </c>
      <c r="J1194" s="23">
        <v>0</v>
      </c>
      <c r="K1194" s="23">
        <v>0</v>
      </c>
    </row>
    <row r="1195" spans="1:11" x14ac:dyDescent="0.25">
      <c r="A1195">
        <v>1194</v>
      </c>
      <c r="B1195" s="23">
        <v>870.30399999999997</v>
      </c>
      <c r="C1195" s="23">
        <v>75.83</v>
      </c>
      <c r="D1195" s="23">
        <v>230.124</v>
      </c>
      <c r="E1195" s="23">
        <v>230.124</v>
      </c>
      <c r="F1195" s="23">
        <v>0</v>
      </c>
      <c r="G1195" s="23">
        <v>0</v>
      </c>
      <c r="H1195" s="23">
        <v>0</v>
      </c>
      <c r="I1195" s="23">
        <v>0</v>
      </c>
      <c r="J1195" s="23">
        <v>0</v>
      </c>
      <c r="K1195" s="23">
        <v>640.17999999999995</v>
      </c>
    </row>
    <row r="1196" spans="1:11" x14ac:dyDescent="0.25">
      <c r="A1196">
        <v>1195</v>
      </c>
      <c r="B1196" s="23">
        <v>797.6</v>
      </c>
      <c r="C1196" s="23">
        <v>0</v>
      </c>
      <c r="D1196" s="23">
        <v>0</v>
      </c>
      <c r="E1196" s="23">
        <v>0</v>
      </c>
      <c r="F1196" s="23">
        <v>0</v>
      </c>
      <c r="G1196" s="23">
        <v>0</v>
      </c>
      <c r="H1196" s="23">
        <v>0</v>
      </c>
      <c r="I1196" s="23">
        <v>0</v>
      </c>
      <c r="J1196" s="23">
        <v>0</v>
      </c>
      <c r="K1196" s="23">
        <v>797.6</v>
      </c>
    </row>
    <row r="1197" spans="1:11" x14ac:dyDescent="0.25">
      <c r="A1197">
        <v>1196</v>
      </c>
      <c r="B1197" s="23">
        <v>838.4</v>
      </c>
      <c r="C1197" s="23">
        <v>0</v>
      </c>
      <c r="D1197" s="23">
        <v>0</v>
      </c>
      <c r="E1197" s="23">
        <v>0</v>
      </c>
      <c r="F1197" s="23">
        <v>0</v>
      </c>
      <c r="G1197" s="23">
        <v>0</v>
      </c>
      <c r="H1197" s="23">
        <v>0</v>
      </c>
      <c r="I1197" s="23">
        <v>0</v>
      </c>
      <c r="J1197" s="23">
        <v>0</v>
      </c>
      <c r="K1197" s="23">
        <v>838.4</v>
      </c>
    </row>
    <row r="1198" spans="1:11" x14ac:dyDescent="0.25">
      <c r="A1198">
        <v>1197</v>
      </c>
      <c r="B1198" s="23">
        <v>759.2</v>
      </c>
      <c r="C1198" s="23">
        <v>0</v>
      </c>
      <c r="D1198" s="23">
        <v>0</v>
      </c>
      <c r="E1198" s="23">
        <v>0</v>
      </c>
      <c r="F1198" s="23">
        <v>0</v>
      </c>
      <c r="G1198" s="23">
        <v>0</v>
      </c>
      <c r="H1198" s="23">
        <v>0</v>
      </c>
      <c r="I1198" s="23">
        <v>0</v>
      </c>
      <c r="J1198" s="23">
        <v>0</v>
      </c>
      <c r="K1198" s="23">
        <v>759.2</v>
      </c>
    </row>
    <row r="1199" spans="1:11" x14ac:dyDescent="0.25">
      <c r="A1199">
        <v>1198</v>
      </c>
      <c r="B1199" s="23">
        <v>689.6</v>
      </c>
      <c r="C1199" s="23">
        <v>0</v>
      </c>
      <c r="D1199" s="23">
        <v>0</v>
      </c>
      <c r="E1199" s="23">
        <v>0</v>
      </c>
      <c r="F1199" s="23">
        <v>0</v>
      </c>
      <c r="G1199" s="23">
        <v>0</v>
      </c>
      <c r="H1199" s="23">
        <v>0</v>
      </c>
      <c r="I1199" s="23">
        <v>0</v>
      </c>
      <c r="J1199" s="23">
        <v>0</v>
      </c>
      <c r="K1199" s="23">
        <v>689.6</v>
      </c>
    </row>
    <row r="1200" spans="1:11" x14ac:dyDescent="0.25">
      <c r="A1200">
        <v>1199</v>
      </c>
      <c r="B1200" s="23">
        <v>551.20000000000005</v>
      </c>
      <c r="C1200" s="23">
        <v>0</v>
      </c>
      <c r="D1200" s="23">
        <v>0</v>
      </c>
      <c r="E1200" s="23">
        <v>0</v>
      </c>
      <c r="F1200" s="23">
        <v>0</v>
      </c>
      <c r="G1200" s="23">
        <v>0</v>
      </c>
      <c r="H1200" s="23">
        <v>0</v>
      </c>
      <c r="I1200" s="23">
        <v>551.20000000000005</v>
      </c>
      <c r="J1200" s="23">
        <v>0</v>
      </c>
      <c r="K1200" s="23">
        <v>0</v>
      </c>
    </row>
    <row r="1201" spans="1:11" x14ac:dyDescent="0.25">
      <c r="A1201">
        <v>1200</v>
      </c>
      <c r="B1201" s="23">
        <v>689.6</v>
      </c>
      <c r="C1201" s="23">
        <v>0</v>
      </c>
      <c r="D1201" s="23">
        <v>0</v>
      </c>
      <c r="E1201" s="23">
        <v>0</v>
      </c>
      <c r="F1201" s="23">
        <v>0</v>
      </c>
      <c r="G1201" s="23">
        <v>0</v>
      </c>
      <c r="H1201" s="23">
        <v>0</v>
      </c>
      <c r="I1201" s="23">
        <v>689.6</v>
      </c>
      <c r="J1201" s="23">
        <v>0</v>
      </c>
      <c r="K1201" s="23">
        <v>0</v>
      </c>
    </row>
    <row r="1202" spans="1:11" x14ac:dyDescent="0.25">
      <c r="A1202">
        <v>1201</v>
      </c>
      <c r="B1202" s="23">
        <v>1026.4000000000001</v>
      </c>
      <c r="C1202" s="23">
        <v>0</v>
      </c>
      <c r="D1202" s="23">
        <v>0</v>
      </c>
      <c r="E1202" s="23">
        <v>0</v>
      </c>
      <c r="F1202" s="23">
        <v>0</v>
      </c>
      <c r="G1202" s="23">
        <v>0</v>
      </c>
      <c r="H1202" s="23">
        <v>0</v>
      </c>
      <c r="I1202" s="23">
        <v>1026.4000000000001</v>
      </c>
      <c r="J1202" s="23">
        <v>0</v>
      </c>
      <c r="K1202" s="23">
        <v>0</v>
      </c>
    </row>
    <row r="1203" spans="1:11" x14ac:dyDescent="0.25">
      <c r="A1203">
        <v>1202</v>
      </c>
      <c r="B1203" s="23">
        <v>1103.2</v>
      </c>
      <c r="C1203" s="23">
        <v>0</v>
      </c>
      <c r="D1203" s="23">
        <v>0</v>
      </c>
      <c r="E1203" s="23">
        <v>0</v>
      </c>
      <c r="F1203" s="23">
        <v>0</v>
      </c>
      <c r="G1203" s="23">
        <v>0</v>
      </c>
      <c r="H1203" s="23">
        <v>0</v>
      </c>
      <c r="I1203" s="23">
        <v>1103.2</v>
      </c>
      <c r="J1203" s="23">
        <v>0</v>
      </c>
      <c r="K1203" s="23">
        <v>0</v>
      </c>
    </row>
    <row r="1204" spans="1:11" x14ac:dyDescent="0.25">
      <c r="A1204">
        <v>1203</v>
      </c>
      <c r="B1204" s="23">
        <v>797.6</v>
      </c>
      <c r="C1204" s="23">
        <v>0</v>
      </c>
      <c r="D1204" s="23">
        <v>0</v>
      </c>
      <c r="E1204" s="23">
        <v>0</v>
      </c>
      <c r="F1204" s="23">
        <v>0</v>
      </c>
      <c r="G1204" s="23">
        <v>0</v>
      </c>
      <c r="H1204" s="23">
        <v>0</v>
      </c>
      <c r="I1204" s="23">
        <v>797.6</v>
      </c>
      <c r="J1204" s="23">
        <v>0</v>
      </c>
      <c r="K1204" s="23">
        <v>0</v>
      </c>
    </row>
    <row r="1205" spans="1:11" x14ac:dyDescent="0.25">
      <c r="A1205">
        <v>1204</v>
      </c>
      <c r="B1205" s="23">
        <v>818.4</v>
      </c>
      <c r="C1205" s="23">
        <v>0</v>
      </c>
      <c r="D1205" s="23">
        <v>0</v>
      </c>
      <c r="E1205" s="23">
        <v>0</v>
      </c>
      <c r="F1205" s="23">
        <v>0</v>
      </c>
      <c r="G1205" s="23">
        <v>0</v>
      </c>
      <c r="H1205" s="23">
        <v>0</v>
      </c>
      <c r="I1205" s="23">
        <v>255.44399999999999</v>
      </c>
      <c r="J1205" s="23">
        <v>0</v>
      </c>
      <c r="K1205" s="23">
        <v>562.95600000000002</v>
      </c>
    </row>
    <row r="1206" spans="1:11" x14ac:dyDescent="0.25">
      <c r="A1206">
        <v>1205</v>
      </c>
      <c r="B1206" s="23">
        <v>779.2</v>
      </c>
      <c r="C1206" s="23">
        <v>0</v>
      </c>
      <c r="D1206" s="23">
        <v>0</v>
      </c>
      <c r="E1206" s="23">
        <v>0</v>
      </c>
      <c r="F1206" s="23">
        <v>0</v>
      </c>
      <c r="G1206" s="23">
        <v>0</v>
      </c>
      <c r="H1206" s="23">
        <v>0</v>
      </c>
      <c r="I1206" s="23">
        <v>0</v>
      </c>
      <c r="J1206" s="23">
        <v>0</v>
      </c>
      <c r="K1206" s="23">
        <v>779.2</v>
      </c>
    </row>
    <row r="1207" spans="1:11" x14ac:dyDescent="0.25">
      <c r="A1207">
        <v>1206</v>
      </c>
      <c r="B1207" s="23">
        <v>741.6</v>
      </c>
      <c r="C1207" s="23">
        <v>0</v>
      </c>
      <c r="D1207" s="23">
        <v>0</v>
      </c>
      <c r="E1207" s="23">
        <v>0</v>
      </c>
      <c r="F1207" s="23">
        <v>0</v>
      </c>
      <c r="G1207" s="23">
        <v>0</v>
      </c>
      <c r="H1207" s="23">
        <v>0</v>
      </c>
      <c r="I1207" s="23">
        <v>0</v>
      </c>
      <c r="J1207" s="23">
        <v>0</v>
      </c>
      <c r="K1207" s="23">
        <v>741.6</v>
      </c>
    </row>
    <row r="1208" spans="1:11" x14ac:dyDescent="0.25">
      <c r="A1208">
        <v>1207</v>
      </c>
      <c r="B1208" s="23">
        <v>836.8</v>
      </c>
      <c r="C1208" s="23">
        <v>40.5</v>
      </c>
      <c r="D1208" s="23">
        <v>93.686000000000007</v>
      </c>
      <c r="E1208" s="23">
        <v>93.686000000000007</v>
      </c>
      <c r="F1208" s="23">
        <v>0</v>
      </c>
      <c r="G1208" s="23">
        <v>0</v>
      </c>
      <c r="H1208" s="23">
        <v>0</v>
      </c>
      <c r="I1208" s="23">
        <v>0</v>
      </c>
      <c r="J1208" s="23">
        <v>0</v>
      </c>
      <c r="K1208" s="23">
        <v>743.11400000000003</v>
      </c>
    </row>
    <row r="1209" spans="1:11" x14ac:dyDescent="0.25">
      <c r="A1209">
        <v>1208</v>
      </c>
      <c r="B1209" s="23">
        <v>625.81600000000003</v>
      </c>
      <c r="C1209" s="23">
        <v>271.67</v>
      </c>
      <c r="D1209" s="23">
        <v>1042.4449999999999</v>
      </c>
      <c r="E1209" s="23">
        <v>625.81600000000003</v>
      </c>
      <c r="F1209" s="23">
        <v>-416.62900000000002</v>
      </c>
      <c r="G1209" s="23">
        <v>0</v>
      </c>
      <c r="H1209" s="23">
        <v>0</v>
      </c>
      <c r="I1209" s="23">
        <v>0</v>
      </c>
      <c r="J1209" s="23">
        <v>0</v>
      </c>
      <c r="K1209" s="23">
        <v>0</v>
      </c>
    </row>
    <row r="1210" spans="1:11" x14ac:dyDescent="0.25">
      <c r="A1210">
        <v>1209</v>
      </c>
      <c r="B1210" s="23">
        <v>296.10399999999998</v>
      </c>
      <c r="C1210" s="23">
        <v>533.79999999999995</v>
      </c>
      <c r="D1210" s="23">
        <v>2109.7739999999999</v>
      </c>
      <c r="E1210" s="23">
        <v>296.10500000000002</v>
      </c>
      <c r="F1210" s="23">
        <v>-1684.559</v>
      </c>
      <c r="G1210" s="23">
        <v>0</v>
      </c>
      <c r="H1210" s="23">
        <v>129.11000000000001</v>
      </c>
      <c r="I1210" s="23">
        <v>0</v>
      </c>
      <c r="J1210" s="23">
        <v>0</v>
      </c>
      <c r="K1210" s="23">
        <v>0</v>
      </c>
    </row>
    <row r="1211" spans="1:11" x14ac:dyDescent="0.25">
      <c r="A1211">
        <v>1210</v>
      </c>
      <c r="B1211" s="23">
        <v>281.16800000000001</v>
      </c>
      <c r="C1211" s="23">
        <v>761.17</v>
      </c>
      <c r="D1211" s="23">
        <v>2874.518</v>
      </c>
      <c r="E1211" s="23">
        <v>281.16800000000001</v>
      </c>
      <c r="F1211" s="23">
        <v>-1684.559</v>
      </c>
      <c r="G1211" s="23">
        <v>0</v>
      </c>
      <c r="H1211" s="23">
        <v>908.79100000000005</v>
      </c>
      <c r="I1211" s="23">
        <v>0</v>
      </c>
      <c r="J1211" s="23">
        <v>0</v>
      </c>
      <c r="K1211" s="23">
        <v>0</v>
      </c>
    </row>
    <row r="1212" spans="1:11" x14ac:dyDescent="0.25">
      <c r="A1212">
        <v>1211</v>
      </c>
      <c r="B1212" s="23">
        <v>221.19</v>
      </c>
      <c r="C1212" s="23">
        <v>931.04</v>
      </c>
      <c r="D1212" s="23">
        <v>3379.91</v>
      </c>
      <c r="E1212" s="23">
        <v>221.19</v>
      </c>
      <c r="F1212" s="23">
        <v>-1684.559</v>
      </c>
      <c r="G1212" s="23">
        <v>0</v>
      </c>
      <c r="H1212" s="23">
        <v>1474.1610000000001</v>
      </c>
      <c r="I1212" s="23">
        <v>0</v>
      </c>
      <c r="J1212" s="23">
        <v>0</v>
      </c>
      <c r="K1212" s="23">
        <v>0</v>
      </c>
    </row>
    <row r="1213" spans="1:11" x14ac:dyDescent="0.25">
      <c r="A1213">
        <v>1212</v>
      </c>
      <c r="B1213" s="23">
        <v>299.59199999999998</v>
      </c>
      <c r="C1213" s="23">
        <v>1025.95</v>
      </c>
      <c r="D1213" s="23">
        <v>3652.7710000000002</v>
      </c>
      <c r="E1213" s="23">
        <v>299.59300000000002</v>
      </c>
      <c r="F1213" s="23">
        <v>-1684.559</v>
      </c>
      <c r="G1213" s="23">
        <v>0</v>
      </c>
      <c r="H1213" s="23">
        <v>1668.6189999999999</v>
      </c>
      <c r="I1213" s="23">
        <v>0</v>
      </c>
      <c r="J1213" s="23">
        <v>0</v>
      </c>
      <c r="K1213" s="23">
        <v>0</v>
      </c>
    </row>
    <row r="1214" spans="1:11" x14ac:dyDescent="0.25">
      <c r="A1214">
        <v>1213</v>
      </c>
      <c r="B1214" s="23">
        <v>888.25199999999995</v>
      </c>
      <c r="C1214" s="23">
        <v>1032.8</v>
      </c>
      <c r="D1214" s="23">
        <v>3677.3649999999998</v>
      </c>
      <c r="E1214" s="23">
        <v>888.25199999999995</v>
      </c>
      <c r="F1214" s="23">
        <v>-136.63200000000001</v>
      </c>
      <c r="G1214" s="23">
        <v>0</v>
      </c>
      <c r="H1214" s="23">
        <v>2652.4810000000002</v>
      </c>
      <c r="I1214" s="23">
        <v>0</v>
      </c>
      <c r="J1214" s="23">
        <v>0</v>
      </c>
      <c r="K1214" s="23">
        <v>0</v>
      </c>
    </row>
    <row r="1215" spans="1:11" x14ac:dyDescent="0.25">
      <c r="A1215">
        <v>1214</v>
      </c>
      <c r="B1215" s="23">
        <v>1121.586</v>
      </c>
      <c r="C1215" s="23">
        <v>950.77</v>
      </c>
      <c r="D1215" s="23">
        <v>3460.76</v>
      </c>
      <c r="E1215" s="23">
        <v>1121.586</v>
      </c>
      <c r="F1215" s="23">
        <v>0</v>
      </c>
      <c r="G1215" s="23">
        <v>0</v>
      </c>
      <c r="H1215" s="23">
        <v>2339.174</v>
      </c>
      <c r="I1215" s="23">
        <v>0</v>
      </c>
      <c r="J1215" s="23">
        <v>0</v>
      </c>
      <c r="K1215" s="23">
        <v>0</v>
      </c>
    </row>
    <row r="1216" spans="1:11" x14ac:dyDescent="0.25">
      <c r="A1216">
        <v>1215</v>
      </c>
      <c r="B1216" s="23">
        <v>839.55499999999995</v>
      </c>
      <c r="C1216" s="23">
        <v>803.08</v>
      </c>
      <c r="D1216" s="23">
        <v>3020.1930000000002</v>
      </c>
      <c r="E1216" s="23">
        <v>839.55499999999995</v>
      </c>
      <c r="F1216" s="23">
        <v>0</v>
      </c>
      <c r="G1216" s="23">
        <v>0</v>
      </c>
      <c r="H1216" s="23">
        <v>2180.6379999999999</v>
      </c>
      <c r="I1216" s="23">
        <v>0</v>
      </c>
      <c r="J1216" s="23">
        <v>0</v>
      </c>
      <c r="K1216" s="23">
        <v>0</v>
      </c>
    </row>
    <row r="1217" spans="1:11" x14ac:dyDescent="0.25">
      <c r="A1217">
        <v>1216</v>
      </c>
      <c r="B1217" s="23">
        <v>1363.9690000000001</v>
      </c>
      <c r="C1217" s="23">
        <v>588.21</v>
      </c>
      <c r="D1217" s="23">
        <v>2297.3119999999999</v>
      </c>
      <c r="E1217" s="23">
        <v>1363.9690000000001</v>
      </c>
      <c r="F1217" s="23">
        <v>0</v>
      </c>
      <c r="G1217" s="23">
        <v>0</v>
      </c>
      <c r="H1217" s="23">
        <v>933.34299999999996</v>
      </c>
      <c r="I1217" s="23">
        <v>0</v>
      </c>
      <c r="J1217" s="23">
        <v>0</v>
      </c>
      <c r="K1217" s="23">
        <v>0</v>
      </c>
    </row>
    <row r="1218" spans="1:11" x14ac:dyDescent="0.25">
      <c r="A1218">
        <v>1217</v>
      </c>
      <c r="B1218" s="23">
        <v>1384.49</v>
      </c>
      <c r="C1218" s="23">
        <v>331.72</v>
      </c>
      <c r="D1218" s="23">
        <v>1293.9760000000001</v>
      </c>
      <c r="E1218" s="23">
        <v>1293.9760000000001</v>
      </c>
      <c r="F1218" s="23">
        <v>0</v>
      </c>
      <c r="G1218" s="23">
        <v>0</v>
      </c>
      <c r="H1218" s="23">
        <v>0</v>
      </c>
      <c r="I1218" s="23">
        <v>90.513999999999996</v>
      </c>
      <c r="J1218" s="23">
        <v>0</v>
      </c>
      <c r="K1218" s="23">
        <v>0</v>
      </c>
    </row>
    <row r="1219" spans="1:11" x14ac:dyDescent="0.25">
      <c r="A1219">
        <v>1218</v>
      </c>
      <c r="B1219" s="23">
        <v>1247.0340000000001</v>
      </c>
      <c r="C1219" s="23">
        <v>81.709999999999994</v>
      </c>
      <c r="D1219" s="23">
        <v>247.512</v>
      </c>
      <c r="E1219" s="23">
        <v>247.512</v>
      </c>
      <c r="F1219" s="23">
        <v>0</v>
      </c>
      <c r="G1219" s="23">
        <v>0</v>
      </c>
      <c r="H1219" s="23">
        <v>0</v>
      </c>
      <c r="I1219" s="23">
        <v>0</v>
      </c>
      <c r="J1219" s="23">
        <v>0</v>
      </c>
      <c r="K1219" s="23">
        <v>999.52200000000005</v>
      </c>
    </row>
    <row r="1220" spans="1:11" x14ac:dyDescent="0.25">
      <c r="A1220">
        <v>1219</v>
      </c>
      <c r="B1220" s="23">
        <v>1191.1579999999999</v>
      </c>
      <c r="C1220" s="23">
        <v>0</v>
      </c>
      <c r="D1220" s="23">
        <v>0</v>
      </c>
      <c r="E1220" s="23">
        <v>0</v>
      </c>
      <c r="F1220" s="23">
        <v>0</v>
      </c>
      <c r="G1220" s="23">
        <v>0</v>
      </c>
      <c r="H1220" s="23">
        <v>0</v>
      </c>
      <c r="I1220" s="23">
        <v>0</v>
      </c>
      <c r="J1220" s="23">
        <v>0</v>
      </c>
      <c r="K1220" s="23">
        <v>1191.1579999999999</v>
      </c>
    </row>
    <row r="1221" spans="1:11" x14ac:dyDescent="0.25">
      <c r="A1221">
        <v>1220</v>
      </c>
      <c r="B1221" s="23">
        <v>1089.5999999999999</v>
      </c>
      <c r="C1221" s="23">
        <v>0</v>
      </c>
      <c r="D1221" s="23">
        <v>0</v>
      </c>
      <c r="E1221" s="23">
        <v>0</v>
      </c>
      <c r="F1221" s="23">
        <v>0</v>
      </c>
      <c r="G1221" s="23">
        <v>0</v>
      </c>
      <c r="H1221" s="23">
        <v>0</v>
      </c>
      <c r="I1221" s="23">
        <v>0</v>
      </c>
      <c r="J1221" s="23">
        <v>0</v>
      </c>
      <c r="K1221" s="23">
        <v>1089.5999999999999</v>
      </c>
    </row>
    <row r="1222" spans="1:11" x14ac:dyDescent="0.25">
      <c r="A1222">
        <v>1221</v>
      </c>
      <c r="B1222" s="23">
        <v>1178.4000000000001</v>
      </c>
      <c r="C1222" s="23">
        <v>0</v>
      </c>
      <c r="D1222" s="23">
        <v>0</v>
      </c>
      <c r="E1222" s="23">
        <v>0</v>
      </c>
      <c r="F1222" s="23">
        <v>0</v>
      </c>
      <c r="G1222" s="23">
        <v>0</v>
      </c>
      <c r="H1222" s="23">
        <v>0</v>
      </c>
      <c r="I1222" s="23">
        <v>1178.4000000000001</v>
      </c>
      <c r="J1222" s="23">
        <v>0</v>
      </c>
      <c r="K1222" s="23">
        <v>0</v>
      </c>
    </row>
    <row r="1223" spans="1:11" x14ac:dyDescent="0.25">
      <c r="A1223">
        <v>1222</v>
      </c>
      <c r="B1223" s="23">
        <v>1048</v>
      </c>
      <c r="C1223" s="23">
        <v>0</v>
      </c>
      <c r="D1223" s="23">
        <v>0</v>
      </c>
      <c r="E1223" s="23">
        <v>0</v>
      </c>
      <c r="F1223" s="23">
        <v>0</v>
      </c>
      <c r="G1223" s="23">
        <v>0</v>
      </c>
      <c r="H1223" s="23">
        <v>0</v>
      </c>
      <c r="I1223" s="23">
        <v>963.74699999999996</v>
      </c>
      <c r="J1223" s="23">
        <v>0</v>
      </c>
      <c r="K1223" s="23">
        <v>84.253</v>
      </c>
    </row>
    <row r="1224" spans="1:11" x14ac:dyDescent="0.25">
      <c r="A1224">
        <v>1223</v>
      </c>
      <c r="B1224" s="23">
        <v>1239.2</v>
      </c>
      <c r="C1224" s="23">
        <v>0</v>
      </c>
      <c r="D1224" s="23">
        <v>0</v>
      </c>
      <c r="E1224" s="23">
        <v>0</v>
      </c>
      <c r="F1224" s="23">
        <v>0</v>
      </c>
      <c r="G1224" s="23">
        <v>0</v>
      </c>
      <c r="H1224" s="23">
        <v>0</v>
      </c>
      <c r="I1224" s="23">
        <v>1239.2</v>
      </c>
      <c r="J1224" s="23">
        <v>0</v>
      </c>
      <c r="K1224" s="23">
        <v>0</v>
      </c>
    </row>
    <row r="1225" spans="1:11" x14ac:dyDescent="0.25">
      <c r="A1225">
        <v>1224</v>
      </c>
      <c r="B1225" s="23">
        <v>1102.4000000000001</v>
      </c>
      <c r="C1225" s="23">
        <v>0</v>
      </c>
      <c r="D1225" s="23">
        <v>0</v>
      </c>
      <c r="E1225" s="23">
        <v>0</v>
      </c>
      <c r="F1225" s="23">
        <v>0</v>
      </c>
      <c r="G1225" s="23">
        <v>0</v>
      </c>
      <c r="H1225" s="23">
        <v>0</v>
      </c>
      <c r="I1225" s="23">
        <v>1102.4000000000001</v>
      </c>
      <c r="J1225" s="23">
        <v>0</v>
      </c>
      <c r="K1225" s="23">
        <v>0</v>
      </c>
    </row>
    <row r="1226" spans="1:11" x14ac:dyDescent="0.25">
      <c r="A1226">
        <v>1225</v>
      </c>
      <c r="B1226" s="23">
        <v>1004</v>
      </c>
      <c r="C1226" s="23">
        <v>0</v>
      </c>
      <c r="D1226" s="23">
        <v>0</v>
      </c>
      <c r="E1226" s="23">
        <v>0</v>
      </c>
      <c r="F1226" s="23">
        <v>0</v>
      </c>
      <c r="G1226" s="23">
        <v>0</v>
      </c>
      <c r="H1226" s="23">
        <v>0</v>
      </c>
      <c r="I1226" s="23">
        <v>1004</v>
      </c>
      <c r="J1226" s="23">
        <v>0</v>
      </c>
      <c r="K1226" s="23">
        <v>0</v>
      </c>
    </row>
    <row r="1227" spans="1:11" x14ac:dyDescent="0.25">
      <c r="A1227">
        <v>1226</v>
      </c>
      <c r="B1227" s="23">
        <v>894.4</v>
      </c>
      <c r="C1227" s="23">
        <v>0</v>
      </c>
      <c r="D1227" s="23">
        <v>0</v>
      </c>
      <c r="E1227" s="23">
        <v>0</v>
      </c>
      <c r="F1227" s="23">
        <v>0</v>
      </c>
      <c r="G1227" s="23">
        <v>0</v>
      </c>
      <c r="H1227" s="23">
        <v>0</v>
      </c>
      <c r="I1227" s="23">
        <v>894.4</v>
      </c>
      <c r="J1227" s="23">
        <v>0</v>
      </c>
      <c r="K1227" s="23">
        <v>0</v>
      </c>
    </row>
    <row r="1228" spans="1:11" x14ac:dyDescent="0.25">
      <c r="A1228">
        <v>1227</v>
      </c>
      <c r="B1228" s="23">
        <v>741.6</v>
      </c>
      <c r="C1228" s="23">
        <v>0</v>
      </c>
      <c r="D1228" s="23">
        <v>0</v>
      </c>
      <c r="E1228" s="23">
        <v>0</v>
      </c>
      <c r="F1228" s="23">
        <v>0</v>
      </c>
      <c r="G1228" s="23">
        <v>0</v>
      </c>
      <c r="H1228" s="23">
        <v>0</v>
      </c>
      <c r="I1228" s="23">
        <v>741.6</v>
      </c>
      <c r="J1228" s="23">
        <v>0</v>
      </c>
      <c r="K1228" s="23">
        <v>0</v>
      </c>
    </row>
    <row r="1229" spans="1:11" x14ac:dyDescent="0.25">
      <c r="A1229">
        <v>1228</v>
      </c>
      <c r="B1229" s="23">
        <v>812</v>
      </c>
      <c r="C1229" s="23">
        <v>0</v>
      </c>
      <c r="D1229" s="23">
        <v>0</v>
      </c>
      <c r="E1229" s="23">
        <v>0</v>
      </c>
      <c r="F1229" s="23">
        <v>0</v>
      </c>
      <c r="G1229" s="23">
        <v>0</v>
      </c>
      <c r="H1229" s="23">
        <v>0</v>
      </c>
      <c r="I1229" s="23">
        <v>812</v>
      </c>
      <c r="J1229" s="23">
        <v>0</v>
      </c>
      <c r="K1229" s="23">
        <v>0</v>
      </c>
    </row>
    <row r="1230" spans="1:11" x14ac:dyDescent="0.25">
      <c r="A1230">
        <v>1229</v>
      </c>
      <c r="B1230" s="23">
        <v>906.4</v>
      </c>
      <c r="C1230" s="23">
        <v>0</v>
      </c>
      <c r="D1230" s="23">
        <v>0</v>
      </c>
      <c r="E1230" s="23">
        <v>0</v>
      </c>
      <c r="F1230" s="23">
        <v>0</v>
      </c>
      <c r="G1230" s="23">
        <v>0</v>
      </c>
      <c r="H1230" s="23">
        <v>0</v>
      </c>
      <c r="I1230" s="23">
        <v>0</v>
      </c>
      <c r="J1230" s="23">
        <v>0</v>
      </c>
      <c r="K1230" s="23">
        <v>906.4</v>
      </c>
    </row>
    <row r="1231" spans="1:11" x14ac:dyDescent="0.25">
      <c r="A1231">
        <v>1230</v>
      </c>
      <c r="B1231" s="23">
        <v>1295.2</v>
      </c>
      <c r="C1231" s="23">
        <v>0</v>
      </c>
      <c r="D1231" s="23">
        <v>0</v>
      </c>
      <c r="E1231" s="23">
        <v>0</v>
      </c>
      <c r="F1231" s="23">
        <v>0</v>
      </c>
      <c r="G1231" s="23">
        <v>0</v>
      </c>
      <c r="H1231" s="23">
        <v>0</v>
      </c>
      <c r="I1231" s="23">
        <v>0</v>
      </c>
      <c r="J1231" s="23">
        <v>0</v>
      </c>
      <c r="K1231" s="23">
        <v>1295.2</v>
      </c>
    </row>
    <row r="1232" spans="1:11" x14ac:dyDescent="0.25">
      <c r="A1232">
        <v>1231</v>
      </c>
      <c r="B1232" s="23">
        <v>1083.2</v>
      </c>
      <c r="C1232" s="23">
        <v>43.49</v>
      </c>
      <c r="D1232" s="23">
        <v>97.483000000000004</v>
      </c>
      <c r="E1232" s="23">
        <v>97.483000000000004</v>
      </c>
      <c r="F1232" s="23">
        <v>0</v>
      </c>
      <c r="G1232" s="23">
        <v>0</v>
      </c>
      <c r="H1232" s="23">
        <v>0</v>
      </c>
      <c r="I1232" s="23">
        <v>0</v>
      </c>
      <c r="J1232" s="23">
        <v>0</v>
      </c>
      <c r="K1232" s="23">
        <v>985.71699999999998</v>
      </c>
    </row>
    <row r="1233" spans="1:11" x14ac:dyDescent="0.25">
      <c r="A1233">
        <v>1232</v>
      </c>
      <c r="B1233" s="23">
        <v>928.89</v>
      </c>
      <c r="C1233" s="23">
        <v>280.31</v>
      </c>
      <c r="D1233" s="23">
        <v>1078.3579999999999</v>
      </c>
      <c r="E1233" s="23">
        <v>928.89</v>
      </c>
      <c r="F1233" s="23">
        <v>-149.46799999999999</v>
      </c>
      <c r="G1233" s="23">
        <v>0</v>
      </c>
      <c r="H1233" s="23">
        <v>0</v>
      </c>
      <c r="I1233" s="23">
        <v>0</v>
      </c>
      <c r="J1233" s="23">
        <v>0</v>
      </c>
      <c r="K1233" s="23">
        <v>0</v>
      </c>
    </row>
    <row r="1234" spans="1:11" x14ac:dyDescent="0.25">
      <c r="A1234">
        <v>1233</v>
      </c>
      <c r="B1234" s="23">
        <v>1047.146</v>
      </c>
      <c r="C1234" s="23">
        <v>542.80999999999995</v>
      </c>
      <c r="D1234" s="23">
        <v>2162.511</v>
      </c>
      <c r="E1234" s="23">
        <v>1047.146</v>
      </c>
      <c r="F1234" s="23">
        <v>-1115.365</v>
      </c>
      <c r="G1234" s="23">
        <v>0</v>
      </c>
      <c r="H1234" s="23">
        <v>0</v>
      </c>
      <c r="I1234" s="23">
        <v>0</v>
      </c>
      <c r="J1234" s="23">
        <v>0</v>
      </c>
      <c r="K1234" s="23">
        <v>0</v>
      </c>
    </row>
    <row r="1235" spans="1:11" x14ac:dyDescent="0.25">
      <c r="A1235">
        <v>1234</v>
      </c>
      <c r="B1235" s="23">
        <v>1458.4860000000001</v>
      </c>
      <c r="C1235" s="23">
        <v>770.57</v>
      </c>
      <c r="D1235" s="23">
        <v>2949.7060000000001</v>
      </c>
      <c r="E1235" s="23">
        <v>1458.4860000000001</v>
      </c>
      <c r="F1235" s="23">
        <v>-1491.22</v>
      </c>
      <c r="G1235" s="23">
        <v>0</v>
      </c>
      <c r="H1235" s="23">
        <v>0</v>
      </c>
      <c r="I1235" s="23">
        <v>0</v>
      </c>
      <c r="J1235" s="23">
        <v>0</v>
      </c>
      <c r="K1235" s="23">
        <v>0</v>
      </c>
    </row>
    <row r="1236" spans="1:11" x14ac:dyDescent="0.25">
      <c r="A1236">
        <v>1235</v>
      </c>
      <c r="B1236" s="23">
        <v>1341.8720000000001</v>
      </c>
      <c r="C1236" s="23">
        <v>940.15</v>
      </c>
      <c r="D1236" s="23">
        <v>3476.076</v>
      </c>
      <c r="E1236" s="23">
        <v>1341.8720000000001</v>
      </c>
      <c r="F1236" s="23">
        <v>-1684.559</v>
      </c>
      <c r="G1236" s="23">
        <v>0</v>
      </c>
      <c r="H1236" s="23">
        <v>449.64499999999998</v>
      </c>
      <c r="I1236" s="23">
        <v>0</v>
      </c>
      <c r="J1236" s="23">
        <v>0</v>
      </c>
      <c r="K1236" s="23">
        <v>0</v>
      </c>
    </row>
    <row r="1237" spans="1:11" x14ac:dyDescent="0.25">
      <c r="A1237">
        <v>1236</v>
      </c>
      <c r="B1237" s="23">
        <v>1455.6780000000001</v>
      </c>
      <c r="C1237" s="23">
        <v>1030.73</v>
      </c>
      <c r="D1237" s="23">
        <v>3737.4740000000002</v>
      </c>
      <c r="E1237" s="23">
        <v>1455.6790000000001</v>
      </c>
      <c r="F1237" s="23">
        <v>-1684.559</v>
      </c>
      <c r="G1237" s="23">
        <v>0</v>
      </c>
      <c r="H1237" s="23">
        <v>597.23599999999999</v>
      </c>
      <c r="I1237" s="23">
        <v>0</v>
      </c>
      <c r="J1237" s="23">
        <v>0</v>
      </c>
      <c r="K1237" s="23">
        <v>0</v>
      </c>
    </row>
    <row r="1238" spans="1:11" x14ac:dyDescent="0.25">
      <c r="A1238">
        <v>1237</v>
      </c>
      <c r="B1238" s="23">
        <v>1622.4</v>
      </c>
      <c r="C1238" s="23">
        <v>1037.56</v>
      </c>
      <c r="D1238" s="23">
        <v>3758.6689999999999</v>
      </c>
      <c r="E1238" s="23">
        <v>1622.4</v>
      </c>
      <c r="F1238" s="23">
        <v>-1166.327</v>
      </c>
      <c r="G1238" s="23">
        <v>0</v>
      </c>
      <c r="H1238" s="23">
        <v>969.94200000000001</v>
      </c>
      <c r="I1238" s="23">
        <v>0</v>
      </c>
      <c r="J1238" s="23">
        <v>0</v>
      </c>
      <c r="K1238" s="23">
        <v>0</v>
      </c>
    </row>
    <row r="1239" spans="1:11" x14ac:dyDescent="0.25">
      <c r="A1239">
        <v>1238</v>
      </c>
      <c r="B1239" s="23">
        <v>1434.1469999999999</v>
      </c>
      <c r="C1239" s="23">
        <v>957.32</v>
      </c>
      <c r="D1239" s="23">
        <v>3527.357</v>
      </c>
      <c r="E1239" s="23">
        <v>1434.1469999999999</v>
      </c>
      <c r="F1239" s="23">
        <v>0</v>
      </c>
      <c r="G1239" s="23">
        <v>0</v>
      </c>
      <c r="H1239" s="23">
        <v>2093.21</v>
      </c>
      <c r="I1239" s="23">
        <v>0</v>
      </c>
      <c r="J1239" s="23">
        <v>0</v>
      </c>
      <c r="K1239" s="23">
        <v>0</v>
      </c>
    </row>
    <row r="1240" spans="1:11" x14ac:dyDescent="0.25">
      <c r="A1240">
        <v>1239</v>
      </c>
      <c r="B1240" s="23">
        <v>1627.3789999999999</v>
      </c>
      <c r="C1240" s="23">
        <v>773.32</v>
      </c>
      <c r="D1240" s="23">
        <v>2936.74</v>
      </c>
      <c r="E1240" s="23">
        <v>1627.3789999999999</v>
      </c>
      <c r="F1240" s="23">
        <v>0</v>
      </c>
      <c r="G1240" s="23">
        <v>0</v>
      </c>
      <c r="H1240" s="23">
        <v>1309.3610000000001</v>
      </c>
      <c r="I1240" s="23">
        <v>0</v>
      </c>
      <c r="J1240" s="23">
        <v>0</v>
      </c>
      <c r="K1240" s="23">
        <v>0</v>
      </c>
    </row>
    <row r="1241" spans="1:11" x14ac:dyDescent="0.25">
      <c r="A1241">
        <v>1240</v>
      </c>
      <c r="B1241" s="23">
        <v>1212.806</v>
      </c>
      <c r="C1241" s="23">
        <v>589.47</v>
      </c>
      <c r="D1241" s="23">
        <v>2316.8180000000002</v>
      </c>
      <c r="E1241" s="23">
        <v>1212.806</v>
      </c>
      <c r="F1241" s="23">
        <v>0</v>
      </c>
      <c r="G1241" s="23">
        <v>0</v>
      </c>
      <c r="H1241" s="23">
        <v>1104.0119999999999</v>
      </c>
      <c r="I1241" s="23">
        <v>0</v>
      </c>
      <c r="J1241" s="23">
        <v>0</v>
      </c>
      <c r="K1241" s="23">
        <v>0</v>
      </c>
    </row>
    <row r="1242" spans="1:11" x14ac:dyDescent="0.25">
      <c r="A1242">
        <v>1241</v>
      </c>
      <c r="B1242" s="23">
        <v>1458.8230000000001</v>
      </c>
      <c r="C1242" s="23">
        <v>334.13</v>
      </c>
      <c r="D1242" s="23">
        <v>1308.8589999999999</v>
      </c>
      <c r="E1242" s="23">
        <v>1308.8589999999999</v>
      </c>
      <c r="F1242" s="23">
        <v>0</v>
      </c>
      <c r="G1242" s="23">
        <v>0</v>
      </c>
      <c r="H1242" s="23">
        <v>0</v>
      </c>
      <c r="I1242" s="23">
        <v>149.964</v>
      </c>
      <c r="J1242" s="23">
        <v>0</v>
      </c>
      <c r="K1242" s="23">
        <v>0</v>
      </c>
    </row>
    <row r="1243" spans="1:11" x14ac:dyDescent="0.25">
      <c r="A1243">
        <v>1242</v>
      </c>
      <c r="B1243" s="23">
        <v>1503.1210000000001</v>
      </c>
      <c r="C1243" s="23">
        <v>82.8</v>
      </c>
      <c r="D1243" s="23">
        <v>252.54400000000001</v>
      </c>
      <c r="E1243" s="23">
        <v>252.54400000000001</v>
      </c>
      <c r="F1243" s="23">
        <v>0</v>
      </c>
      <c r="G1243" s="23">
        <v>0</v>
      </c>
      <c r="H1243" s="23">
        <v>0</v>
      </c>
      <c r="I1243" s="23">
        <v>0</v>
      </c>
      <c r="J1243" s="23">
        <v>0</v>
      </c>
      <c r="K1243" s="23">
        <v>1250.577</v>
      </c>
    </row>
    <row r="1244" spans="1:11" x14ac:dyDescent="0.25">
      <c r="A1244">
        <v>1243</v>
      </c>
      <c r="B1244" s="23">
        <v>1519.2349999999999</v>
      </c>
      <c r="C1244" s="23">
        <v>0</v>
      </c>
      <c r="D1244" s="23">
        <v>0</v>
      </c>
      <c r="E1244" s="23">
        <v>0</v>
      </c>
      <c r="F1244" s="23">
        <v>0</v>
      </c>
      <c r="G1244" s="23">
        <v>0</v>
      </c>
      <c r="H1244" s="23">
        <v>0</v>
      </c>
      <c r="I1244" s="23">
        <v>0</v>
      </c>
      <c r="J1244" s="23">
        <v>0</v>
      </c>
      <c r="K1244" s="23">
        <v>1519.2349999999999</v>
      </c>
    </row>
    <row r="1245" spans="1:11" x14ac:dyDescent="0.25">
      <c r="A1245">
        <v>1244</v>
      </c>
      <c r="B1245" s="23">
        <v>1223.2</v>
      </c>
      <c r="C1245" s="23">
        <v>0</v>
      </c>
      <c r="D1245" s="23">
        <v>0</v>
      </c>
      <c r="E1245" s="23">
        <v>0</v>
      </c>
      <c r="F1245" s="23">
        <v>0</v>
      </c>
      <c r="G1245" s="23">
        <v>0</v>
      </c>
      <c r="H1245" s="23">
        <v>0</v>
      </c>
      <c r="I1245" s="23">
        <v>0</v>
      </c>
      <c r="J1245" s="23">
        <v>0</v>
      </c>
      <c r="K1245" s="23">
        <v>1223.2</v>
      </c>
    </row>
    <row r="1246" spans="1:11" x14ac:dyDescent="0.25">
      <c r="A1246">
        <v>1245</v>
      </c>
      <c r="B1246" s="23">
        <v>1371.2</v>
      </c>
      <c r="C1246" s="23">
        <v>0</v>
      </c>
      <c r="D1246" s="23">
        <v>0</v>
      </c>
      <c r="E1246" s="23">
        <v>0</v>
      </c>
      <c r="F1246" s="23">
        <v>0</v>
      </c>
      <c r="G1246" s="23">
        <v>0</v>
      </c>
      <c r="H1246" s="23">
        <v>0</v>
      </c>
      <c r="I1246" s="23">
        <v>1371.2</v>
      </c>
      <c r="J1246" s="23">
        <v>0</v>
      </c>
      <c r="K1246" s="23">
        <v>0</v>
      </c>
    </row>
    <row r="1247" spans="1:11" x14ac:dyDescent="0.25">
      <c r="A1247">
        <v>1246</v>
      </c>
      <c r="B1247" s="23">
        <v>1432.8</v>
      </c>
      <c r="C1247" s="23">
        <v>0</v>
      </c>
      <c r="D1247" s="23">
        <v>0</v>
      </c>
      <c r="E1247" s="23">
        <v>0</v>
      </c>
      <c r="F1247" s="23">
        <v>0</v>
      </c>
      <c r="G1247" s="23">
        <v>0</v>
      </c>
      <c r="H1247" s="23">
        <v>0</v>
      </c>
      <c r="I1247" s="23">
        <v>1432.8</v>
      </c>
      <c r="J1247" s="23">
        <v>0</v>
      </c>
      <c r="K1247" s="23">
        <v>0</v>
      </c>
    </row>
    <row r="1248" spans="1:11" x14ac:dyDescent="0.25">
      <c r="A1248">
        <v>1247</v>
      </c>
      <c r="B1248" s="23">
        <v>1228</v>
      </c>
      <c r="C1248" s="23">
        <v>0</v>
      </c>
      <c r="D1248" s="23">
        <v>0</v>
      </c>
      <c r="E1248" s="23">
        <v>0</v>
      </c>
      <c r="F1248" s="23">
        <v>0</v>
      </c>
      <c r="G1248" s="23">
        <v>0</v>
      </c>
      <c r="H1248" s="23">
        <v>0</v>
      </c>
      <c r="I1248" s="23">
        <v>1228</v>
      </c>
      <c r="J1248" s="23">
        <v>0</v>
      </c>
      <c r="K1248" s="23">
        <v>0</v>
      </c>
    </row>
    <row r="1249" spans="1:11" x14ac:dyDescent="0.25">
      <c r="A1249">
        <v>1248</v>
      </c>
      <c r="B1249" s="23">
        <v>1250.4000000000001</v>
      </c>
      <c r="C1249" s="23">
        <v>0</v>
      </c>
      <c r="D1249" s="23">
        <v>0</v>
      </c>
      <c r="E1249" s="23">
        <v>0</v>
      </c>
      <c r="F1249" s="23">
        <v>0</v>
      </c>
      <c r="G1249" s="23">
        <v>0</v>
      </c>
      <c r="H1249" s="23">
        <v>0</v>
      </c>
      <c r="I1249" s="23">
        <v>1250.4000000000001</v>
      </c>
      <c r="J1249" s="23">
        <v>0</v>
      </c>
      <c r="K1249" s="23">
        <v>0</v>
      </c>
    </row>
    <row r="1250" spans="1:11" x14ac:dyDescent="0.25">
      <c r="A1250">
        <v>1249</v>
      </c>
      <c r="B1250" s="23">
        <v>1195.2</v>
      </c>
      <c r="C1250" s="23">
        <v>0</v>
      </c>
      <c r="D1250" s="23">
        <v>0</v>
      </c>
      <c r="E1250" s="23">
        <v>0</v>
      </c>
      <c r="F1250" s="23">
        <v>0</v>
      </c>
      <c r="G1250" s="23">
        <v>0</v>
      </c>
      <c r="H1250" s="23">
        <v>0</v>
      </c>
      <c r="I1250" s="23">
        <v>1195.2</v>
      </c>
      <c r="J1250" s="23">
        <v>0</v>
      </c>
      <c r="K1250" s="23">
        <v>0</v>
      </c>
    </row>
    <row r="1251" spans="1:11" x14ac:dyDescent="0.25">
      <c r="A1251">
        <v>1250</v>
      </c>
      <c r="B1251" s="23">
        <v>1082.4000000000001</v>
      </c>
      <c r="C1251" s="23">
        <v>0</v>
      </c>
      <c r="D1251" s="23">
        <v>0</v>
      </c>
      <c r="E1251" s="23">
        <v>0</v>
      </c>
      <c r="F1251" s="23">
        <v>0</v>
      </c>
      <c r="G1251" s="23">
        <v>0</v>
      </c>
      <c r="H1251" s="23">
        <v>0</v>
      </c>
      <c r="I1251" s="23">
        <v>1082.4000000000001</v>
      </c>
      <c r="J1251" s="23">
        <v>0</v>
      </c>
      <c r="K1251" s="23">
        <v>0</v>
      </c>
    </row>
    <row r="1252" spans="1:11" x14ac:dyDescent="0.25">
      <c r="A1252">
        <v>1251</v>
      </c>
      <c r="B1252" s="23">
        <v>1088.8</v>
      </c>
      <c r="C1252" s="23">
        <v>0</v>
      </c>
      <c r="D1252" s="23">
        <v>0</v>
      </c>
      <c r="E1252" s="23">
        <v>0</v>
      </c>
      <c r="F1252" s="23">
        <v>0</v>
      </c>
      <c r="G1252" s="23">
        <v>0</v>
      </c>
      <c r="H1252" s="23">
        <v>0</v>
      </c>
      <c r="I1252" s="23">
        <v>1088.8</v>
      </c>
      <c r="J1252" s="23">
        <v>0</v>
      </c>
      <c r="K1252" s="23">
        <v>0</v>
      </c>
    </row>
    <row r="1253" spans="1:11" x14ac:dyDescent="0.25">
      <c r="A1253">
        <v>1252</v>
      </c>
      <c r="B1253" s="23">
        <v>1428</v>
      </c>
      <c r="C1253" s="23">
        <v>0</v>
      </c>
      <c r="D1253" s="23">
        <v>0</v>
      </c>
      <c r="E1253" s="23">
        <v>0</v>
      </c>
      <c r="F1253" s="23">
        <v>0</v>
      </c>
      <c r="G1253" s="23">
        <v>0</v>
      </c>
      <c r="H1253" s="23">
        <v>0</v>
      </c>
      <c r="I1253" s="23">
        <v>1428</v>
      </c>
      <c r="J1253" s="23">
        <v>0</v>
      </c>
      <c r="K1253" s="23">
        <v>0</v>
      </c>
    </row>
    <row r="1254" spans="1:11" x14ac:dyDescent="0.25">
      <c r="A1254">
        <v>1253</v>
      </c>
      <c r="B1254" s="23">
        <v>942.4</v>
      </c>
      <c r="C1254" s="23">
        <v>0</v>
      </c>
      <c r="D1254" s="23">
        <v>0</v>
      </c>
      <c r="E1254" s="23">
        <v>0</v>
      </c>
      <c r="F1254" s="23">
        <v>0</v>
      </c>
      <c r="G1254" s="23">
        <v>0</v>
      </c>
      <c r="H1254" s="23">
        <v>0</v>
      </c>
      <c r="I1254" s="23">
        <v>775.55700000000002</v>
      </c>
      <c r="J1254" s="23">
        <v>0</v>
      </c>
      <c r="K1254" s="23">
        <v>166.84299999999999</v>
      </c>
    </row>
    <row r="1255" spans="1:11" x14ac:dyDescent="0.25">
      <c r="A1255">
        <v>1254</v>
      </c>
      <c r="B1255" s="23">
        <v>957.6</v>
      </c>
      <c r="C1255" s="23">
        <v>0</v>
      </c>
      <c r="D1255" s="23">
        <v>0</v>
      </c>
      <c r="E1255" s="23">
        <v>0</v>
      </c>
      <c r="F1255" s="23">
        <v>0</v>
      </c>
      <c r="G1255" s="23">
        <v>0</v>
      </c>
      <c r="H1255" s="23">
        <v>0</v>
      </c>
      <c r="I1255" s="23">
        <v>0</v>
      </c>
      <c r="J1255" s="23">
        <v>0</v>
      </c>
      <c r="K1255" s="23">
        <v>957.6</v>
      </c>
    </row>
    <row r="1256" spans="1:11" x14ac:dyDescent="0.25">
      <c r="A1256">
        <v>1255</v>
      </c>
      <c r="B1256" s="23">
        <v>1361.6</v>
      </c>
      <c r="C1256" s="23">
        <v>40.54</v>
      </c>
      <c r="D1256" s="23">
        <v>93.933999999999997</v>
      </c>
      <c r="E1256" s="23">
        <v>93.933999999999997</v>
      </c>
      <c r="F1256" s="23">
        <v>0</v>
      </c>
      <c r="G1256" s="23">
        <v>0</v>
      </c>
      <c r="H1256" s="23">
        <v>0</v>
      </c>
      <c r="I1256" s="23">
        <v>0</v>
      </c>
      <c r="J1256" s="23">
        <v>0</v>
      </c>
      <c r="K1256" s="23">
        <v>1267.6659999999999</v>
      </c>
    </row>
    <row r="1257" spans="1:11" x14ac:dyDescent="0.25">
      <c r="A1257">
        <v>1256</v>
      </c>
      <c r="B1257" s="23">
        <v>1216.4359999999999</v>
      </c>
      <c r="C1257" s="23">
        <v>273.08999999999997</v>
      </c>
      <c r="D1257" s="23">
        <v>1049.7080000000001</v>
      </c>
      <c r="E1257" s="23">
        <v>1049.7080000000001</v>
      </c>
      <c r="F1257" s="23">
        <v>0</v>
      </c>
      <c r="G1257" s="23">
        <v>0</v>
      </c>
      <c r="H1257" s="23">
        <v>0</v>
      </c>
      <c r="I1257" s="23">
        <v>0</v>
      </c>
      <c r="J1257" s="23">
        <v>0</v>
      </c>
      <c r="K1257" s="23">
        <v>166.72800000000001</v>
      </c>
    </row>
    <row r="1258" spans="1:11" x14ac:dyDescent="0.25">
      <c r="A1258">
        <v>1257</v>
      </c>
      <c r="B1258" s="23">
        <v>1066.076</v>
      </c>
      <c r="C1258" s="23">
        <v>534.16</v>
      </c>
      <c r="D1258" s="23">
        <v>2111.5250000000001</v>
      </c>
      <c r="E1258" s="23">
        <v>1066.076</v>
      </c>
      <c r="F1258" s="23">
        <v>-1045.4490000000001</v>
      </c>
      <c r="G1258" s="23">
        <v>0</v>
      </c>
      <c r="H1258" s="23">
        <v>0</v>
      </c>
      <c r="I1258" s="23">
        <v>0</v>
      </c>
      <c r="J1258" s="23">
        <v>0</v>
      </c>
      <c r="K1258" s="23">
        <v>0</v>
      </c>
    </row>
    <row r="1259" spans="1:11" x14ac:dyDescent="0.25">
      <c r="A1259">
        <v>1258</v>
      </c>
      <c r="B1259" s="23">
        <v>1100.807</v>
      </c>
      <c r="C1259" s="23">
        <v>759.98</v>
      </c>
      <c r="D1259" s="23">
        <v>2869.8380000000002</v>
      </c>
      <c r="E1259" s="23">
        <v>1100.807</v>
      </c>
      <c r="F1259" s="23">
        <v>-1684.559</v>
      </c>
      <c r="G1259" s="23">
        <v>0</v>
      </c>
      <c r="H1259" s="23">
        <v>84.471999999999994</v>
      </c>
      <c r="I1259" s="23">
        <v>0</v>
      </c>
      <c r="J1259" s="23">
        <v>0</v>
      </c>
      <c r="K1259" s="23">
        <v>0</v>
      </c>
    </row>
    <row r="1260" spans="1:11" x14ac:dyDescent="0.25">
      <c r="A1260">
        <v>1259</v>
      </c>
      <c r="B1260" s="23">
        <v>1411.6110000000001</v>
      </c>
      <c r="C1260" s="23">
        <v>926.82</v>
      </c>
      <c r="D1260" s="23">
        <v>3370.7049999999999</v>
      </c>
      <c r="E1260" s="23">
        <v>1411.6120000000001</v>
      </c>
      <c r="F1260" s="23">
        <v>-1684.559</v>
      </c>
      <c r="G1260" s="23">
        <v>0</v>
      </c>
      <c r="H1260" s="23">
        <v>274.53399999999999</v>
      </c>
      <c r="I1260" s="23">
        <v>0</v>
      </c>
      <c r="J1260" s="23">
        <v>0</v>
      </c>
      <c r="K1260" s="23">
        <v>0</v>
      </c>
    </row>
    <row r="1261" spans="1:11" x14ac:dyDescent="0.25">
      <c r="A1261">
        <v>1260</v>
      </c>
      <c r="B1261" s="23">
        <v>1365.056</v>
      </c>
      <c r="C1261" s="23">
        <v>1016.5</v>
      </c>
      <c r="D1261" s="23">
        <v>3579.8049999999998</v>
      </c>
      <c r="E1261" s="23">
        <v>1365.057</v>
      </c>
      <c r="F1261" s="23">
        <v>-1684.559</v>
      </c>
      <c r="G1261" s="23">
        <v>0</v>
      </c>
      <c r="H1261" s="23">
        <v>530.18899999999996</v>
      </c>
      <c r="I1261" s="23">
        <v>0</v>
      </c>
      <c r="J1261" s="23">
        <v>0</v>
      </c>
      <c r="K1261" s="23">
        <v>0</v>
      </c>
    </row>
    <row r="1262" spans="1:11" x14ac:dyDescent="0.25">
      <c r="A1262">
        <v>1261</v>
      </c>
      <c r="B1262" s="23">
        <v>1239.7670000000001</v>
      </c>
      <c r="C1262" s="23">
        <v>1022.1</v>
      </c>
      <c r="D1262" s="23">
        <v>3534.212</v>
      </c>
      <c r="E1262" s="23">
        <v>1239.768</v>
      </c>
      <c r="F1262" s="23">
        <v>-1192.3710000000001</v>
      </c>
      <c r="G1262" s="23">
        <v>0</v>
      </c>
      <c r="H1262" s="23">
        <v>1102.0730000000001</v>
      </c>
      <c r="I1262" s="23">
        <v>0</v>
      </c>
      <c r="J1262" s="23">
        <v>0</v>
      </c>
      <c r="K1262" s="23">
        <v>0</v>
      </c>
    </row>
    <row r="1263" spans="1:11" x14ac:dyDescent="0.25">
      <c r="A1263">
        <v>1262</v>
      </c>
      <c r="B1263" s="23">
        <v>1146.1469999999999</v>
      </c>
      <c r="C1263" s="23">
        <v>880.6</v>
      </c>
      <c r="D1263" s="23">
        <v>3131.732</v>
      </c>
      <c r="E1263" s="23">
        <v>1146.1469999999999</v>
      </c>
      <c r="F1263" s="23">
        <v>0</v>
      </c>
      <c r="G1263" s="23">
        <v>0</v>
      </c>
      <c r="H1263" s="23">
        <v>1985.585</v>
      </c>
      <c r="I1263" s="23">
        <v>0</v>
      </c>
      <c r="J1263" s="23">
        <v>0</v>
      </c>
      <c r="K1263" s="23">
        <v>0</v>
      </c>
    </row>
    <row r="1264" spans="1:11" x14ac:dyDescent="0.25">
      <c r="A1264">
        <v>1263</v>
      </c>
      <c r="B1264" s="23">
        <v>1181.115</v>
      </c>
      <c r="C1264" s="23">
        <v>595.4</v>
      </c>
      <c r="D1264" s="23">
        <v>2227.558</v>
      </c>
      <c r="E1264" s="23">
        <v>1181.115</v>
      </c>
      <c r="F1264" s="23">
        <v>0</v>
      </c>
      <c r="G1264" s="23">
        <v>0</v>
      </c>
      <c r="H1264" s="23">
        <v>1046.443</v>
      </c>
      <c r="I1264" s="23">
        <v>0</v>
      </c>
      <c r="J1264" s="23">
        <v>0</v>
      </c>
      <c r="K1264" s="23">
        <v>0</v>
      </c>
    </row>
    <row r="1265" spans="1:11" x14ac:dyDescent="0.25">
      <c r="A1265">
        <v>1264</v>
      </c>
      <c r="B1265" s="23">
        <v>1267.883</v>
      </c>
      <c r="C1265" s="23">
        <v>450.46</v>
      </c>
      <c r="D1265" s="23">
        <v>1743.0509999999999</v>
      </c>
      <c r="E1265" s="23">
        <v>1267.883</v>
      </c>
      <c r="F1265" s="23">
        <v>0</v>
      </c>
      <c r="G1265" s="23">
        <v>0</v>
      </c>
      <c r="H1265" s="23">
        <v>475.16800000000001</v>
      </c>
      <c r="I1265" s="23">
        <v>0</v>
      </c>
      <c r="J1265" s="23">
        <v>0</v>
      </c>
      <c r="K1265" s="23">
        <v>0</v>
      </c>
    </row>
    <row r="1266" spans="1:11" x14ac:dyDescent="0.25">
      <c r="A1266">
        <v>1265</v>
      </c>
      <c r="B1266" s="23">
        <v>1187.4639999999999</v>
      </c>
      <c r="C1266" s="23">
        <v>319.27999999999997</v>
      </c>
      <c r="D1266" s="23">
        <v>1240.6969999999999</v>
      </c>
      <c r="E1266" s="23">
        <v>1187.4639999999999</v>
      </c>
      <c r="F1266" s="23">
        <v>0</v>
      </c>
      <c r="G1266" s="23">
        <v>0</v>
      </c>
      <c r="H1266" s="23">
        <v>53.232999999999997</v>
      </c>
      <c r="I1266" s="23">
        <v>0</v>
      </c>
      <c r="J1266" s="23">
        <v>0</v>
      </c>
      <c r="K1266" s="23">
        <v>0</v>
      </c>
    </row>
    <row r="1267" spans="1:11" x14ac:dyDescent="0.25">
      <c r="A1267">
        <v>1266</v>
      </c>
      <c r="B1267" s="23">
        <v>1008.407</v>
      </c>
      <c r="C1267" s="23">
        <v>76.930000000000007</v>
      </c>
      <c r="D1267" s="23">
        <v>236.00299999999999</v>
      </c>
      <c r="E1267" s="23">
        <v>236.00299999999999</v>
      </c>
      <c r="F1267" s="23">
        <v>0</v>
      </c>
      <c r="G1267" s="23">
        <v>0</v>
      </c>
      <c r="H1267" s="23">
        <v>0</v>
      </c>
      <c r="I1267" s="23">
        <v>0</v>
      </c>
      <c r="J1267" s="23">
        <v>0</v>
      </c>
      <c r="K1267" s="23">
        <v>772.404</v>
      </c>
    </row>
    <row r="1268" spans="1:11" x14ac:dyDescent="0.25">
      <c r="A1268">
        <v>1267</v>
      </c>
      <c r="B1268" s="23">
        <v>1409.6020000000001</v>
      </c>
      <c r="C1268" s="23">
        <v>0</v>
      </c>
      <c r="D1268" s="23">
        <v>0</v>
      </c>
      <c r="E1268" s="23">
        <v>0</v>
      </c>
      <c r="F1268" s="23">
        <v>0</v>
      </c>
      <c r="G1268" s="23">
        <v>0</v>
      </c>
      <c r="H1268" s="23">
        <v>0</v>
      </c>
      <c r="I1268" s="23">
        <v>0</v>
      </c>
      <c r="J1268" s="23">
        <v>0</v>
      </c>
      <c r="K1268" s="23">
        <v>1409.6020000000001</v>
      </c>
    </row>
    <row r="1269" spans="1:11" x14ac:dyDescent="0.25">
      <c r="A1269">
        <v>1268</v>
      </c>
      <c r="B1269" s="23">
        <v>946.4</v>
      </c>
      <c r="C1269" s="23">
        <v>0</v>
      </c>
      <c r="D1269" s="23">
        <v>0</v>
      </c>
      <c r="E1269" s="23">
        <v>0</v>
      </c>
      <c r="F1269" s="23">
        <v>0</v>
      </c>
      <c r="G1269" s="23">
        <v>0</v>
      </c>
      <c r="H1269" s="23">
        <v>0</v>
      </c>
      <c r="I1269" s="23">
        <v>0</v>
      </c>
      <c r="J1269" s="23">
        <v>0</v>
      </c>
      <c r="K1269" s="23">
        <v>946.4</v>
      </c>
    </row>
    <row r="1270" spans="1:11" x14ac:dyDescent="0.25">
      <c r="A1270">
        <v>1269</v>
      </c>
      <c r="B1270" s="23">
        <v>1150.4000000000001</v>
      </c>
      <c r="C1270" s="23">
        <v>0</v>
      </c>
      <c r="D1270" s="23">
        <v>0</v>
      </c>
      <c r="E1270" s="23">
        <v>0</v>
      </c>
      <c r="F1270" s="23">
        <v>0</v>
      </c>
      <c r="G1270" s="23">
        <v>0</v>
      </c>
      <c r="H1270" s="23">
        <v>0</v>
      </c>
      <c r="I1270" s="23">
        <v>1150.4000000000001</v>
      </c>
      <c r="J1270" s="23">
        <v>0</v>
      </c>
      <c r="K1270" s="23">
        <v>0</v>
      </c>
    </row>
    <row r="1271" spans="1:11" x14ac:dyDescent="0.25">
      <c r="A1271">
        <v>1270</v>
      </c>
      <c r="B1271" s="23">
        <v>1396</v>
      </c>
      <c r="C1271" s="23">
        <v>0</v>
      </c>
      <c r="D1271" s="23">
        <v>0</v>
      </c>
      <c r="E1271" s="23">
        <v>0</v>
      </c>
      <c r="F1271" s="23">
        <v>0</v>
      </c>
      <c r="G1271" s="23">
        <v>0</v>
      </c>
      <c r="H1271" s="23">
        <v>0</v>
      </c>
      <c r="I1271" s="23">
        <v>1396</v>
      </c>
      <c r="J1271" s="23">
        <v>0</v>
      </c>
      <c r="K1271" s="23">
        <v>0</v>
      </c>
    </row>
    <row r="1272" spans="1:11" x14ac:dyDescent="0.25">
      <c r="A1272">
        <v>1271</v>
      </c>
      <c r="B1272" s="23">
        <v>1171.2</v>
      </c>
      <c r="C1272" s="23">
        <v>0</v>
      </c>
      <c r="D1272" s="23">
        <v>0</v>
      </c>
      <c r="E1272" s="23">
        <v>0</v>
      </c>
      <c r="F1272" s="23">
        <v>0</v>
      </c>
      <c r="G1272" s="23">
        <v>0</v>
      </c>
      <c r="H1272" s="23">
        <v>0</v>
      </c>
      <c r="I1272" s="23">
        <v>1171.2</v>
      </c>
      <c r="J1272" s="23">
        <v>0</v>
      </c>
      <c r="K1272" s="23">
        <v>0</v>
      </c>
    </row>
    <row r="1273" spans="1:11" x14ac:dyDescent="0.25">
      <c r="A1273">
        <v>1272</v>
      </c>
      <c r="B1273" s="23">
        <v>1109.5999999999999</v>
      </c>
      <c r="C1273" s="23">
        <v>0</v>
      </c>
      <c r="D1273" s="23">
        <v>0</v>
      </c>
      <c r="E1273" s="23">
        <v>0</v>
      </c>
      <c r="F1273" s="23">
        <v>0</v>
      </c>
      <c r="G1273" s="23">
        <v>0</v>
      </c>
      <c r="H1273" s="23">
        <v>0</v>
      </c>
      <c r="I1273" s="23">
        <v>1109.5999999999999</v>
      </c>
      <c r="J1273" s="23">
        <v>0</v>
      </c>
      <c r="K1273" s="23">
        <v>0</v>
      </c>
    </row>
    <row r="1274" spans="1:11" x14ac:dyDescent="0.25">
      <c r="A1274">
        <v>1273</v>
      </c>
      <c r="B1274" s="23">
        <v>1380.8</v>
      </c>
      <c r="C1274" s="23">
        <v>0</v>
      </c>
      <c r="D1274" s="23">
        <v>0</v>
      </c>
      <c r="E1274" s="23">
        <v>0</v>
      </c>
      <c r="F1274" s="23">
        <v>0</v>
      </c>
      <c r="G1274" s="23">
        <v>0</v>
      </c>
      <c r="H1274" s="23">
        <v>0</v>
      </c>
      <c r="I1274" s="23">
        <v>1380.8</v>
      </c>
      <c r="J1274" s="23">
        <v>0</v>
      </c>
      <c r="K1274" s="23">
        <v>0</v>
      </c>
    </row>
    <row r="1275" spans="1:11" x14ac:dyDescent="0.25">
      <c r="A1275">
        <v>1274</v>
      </c>
      <c r="B1275" s="23">
        <v>1206.4000000000001</v>
      </c>
      <c r="C1275" s="23">
        <v>0</v>
      </c>
      <c r="D1275" s="23">
        <v>0</v>
      </c>
      <c r="E1275" s="23">
        <v>0</v>
      </c>
      <c r="F1275" s="23">
        <v>0</v>
      </c>
      <c r="G1275" s="23">
        <v>0</v>
      </c>
      <c r="H1275" s="23">
        <v>0</v>
      </c>
      <c r="I1275" s="23">
        <v>1206.4000000000001</v>
      </c>
      <c r="J1275" s="23">
        <v>0</v>
      </c>
      <c r="K1275" s="23">
        <v>0</v>
      </c>
    </row>
    <row r="1276" spans="1:11" x14ac:dyDescent="0.25">
      <c r="A1276">
        <v>1275</v>
      </c>
      <c r="B1276" s="23">
        <v>1380.8</v>
      </c>
      <c r="C1276" s="23">
        <v>0</v>
      </c>
      <c r="D1276" s="23">
        <v>0</v>
      </c>
      <c r="E1276" s="23">
        <v>0</v>
      </c>
      <c r="F1276" s="23">
        <v>0</v>
      </c>
      <c r="G1276" s="23">
        <v>0</v>
      </c>
      <c r="H1276" s="23">
        <v>0</v>
      </c>
      <c r="I1276" s="23">
        <v>1380.8</v>
      </c>
      <c r="J1276" s="23">
        <v>0</v>
      </c>
      <c r="K1276" s="23">
        <v>0</v>
      </c>
    </row>
    <row r="1277" spans="1:11" x14ac:dyDescent="0.25">
      <c r="A1277">
        <v>1276</v>
      </c>
      <c r="B1277" s="23">
        <v>1010.4</v>
      </c>
      <c r="C1277" s="23">
        <v>0</v>
      </c>
      <c r="D1277" s="23">
        <v>0</v>
      </c>
      <c r="E1277" s="23">
        <v>0</v>
      </c>
      <c r="F1277" s="23">
        <v>0</v>
      </c>
      <c r="G1277" s="23">
        <v>0</v>
      </c>
      <c r="H1277" s="23">
        <v>0</v>
      </c>
      <c r="I1277" s="23">
        <v>478.04700000000003</v>
      </c>
      <c r="J1277" s="23">
        <v>0</v>
      </c>
      <c r="K1277" s="23">
        <v>532.35299999999995</v>
      </c>
    </row>
    <row r="1278" spans="1:11" x14ac:dyDescent="0.25">
      <c r="A1278">
        <v>1277</v>
      </c>
      <c r="B1278" s="23">
        <v>960</v>
      </c>
      <c r="C1278" s="23">
        <v>0</v>
      </c>
      <c r="D1278" s="23">
        <v>0</v>
      </c>
      <c r="E1278" s="23">
        <v>0</v>
      </c>
      <c r="F1278" s="23">
        <v>0</v>
      </c>
      <c r="G1278" s="23">
        <v>0</v>
      </c>
      <c r="H1278" s="23">
        <v>0</v>
      </c>
      <c r="I1278" s="23">
        <v>0</v>
      </c>
      <c r="J1278" s="23">
        <v>0</v>
      </c>
      <c r="K1278" s="23">
        <v>960</v>
      </c>
    </row>
    <row r="1279" spans="1:11" x14ac:dyDescent="0.25">
      <c r="A1279">
        <v>1278</v>
      </c>
      <c r="B1279" s="23">
        <v>1000</v>
      </c>
      <c r="C1279" s="23">
        <v>0</v>
      </c>
      <c r="D1279" s="23">
        <v>0</v>
      </c>
      <c r="E1279" s="23">
        <v>0</v>
      </c>
      <c r="F1279" s="23">
        <v>0</v>
      </c>
      <c r="G1279" s="23">
        <v>0</v>
      </c>
      <c r="H1279" s="23">
        <v>0</v>
      </c>
      <c r="I1279" s="23">
        <v>0</v>
      </c>
      <c r="J1279" s="23">
        <v>0</v>
      </c>
      <c r="K1279" s="23">
        <v>1000</v>
      </c>
    </row>
    <row r="1280" spans="1:11" x14ac:dyDescent="0.25">
      <c r="A1280">
        <v>1279</v>
      </c>
      <c r="B1280" s="23">
        <v>1016</v>
      </c>
      <c r="C1280" s="23">
        <v>35.869999999999997</v>
      </c>
      <c r="D1280" s="23">
        <v>84.91</v>
      </c>
      <c r="E1280" s="23">
        <v>84.91</v>
      </c>
      <c r="F1280" s="23">
        <v>0</v>
      </c>
      <c r="G1280" s="23">
        <v>0</v>
      </c>
      <c r="H1280" s="23">
        <v>0</v>
      </c>
      <c r="I1280" s="23">
        <v>0</v>
      </c>
      <c r="J1280" s="23">
        <v>0</v>
      </c>
      <c r="K1280" s="23">
        <v>931.09</v>
      </c>
    </row>
    <row r="1281" spans="1:11" x14ac:dyDescent="0.25">
      <c r="A1281">
        <v>1280</v>
      </c>
      <c r="B1281" s="23">
        <v>231.095</v>
      </c>
      <c r="C1281" s="23">
        <v>263.88</v>
      </c>
      <c r="D1281" s="23">
        <v>1013.558</v>
      </c>
      <c r="E1281" s="23">
        <v>231.095</v>
      </c>
      <c r="F1281" s="23">
        <v>-782.46299999999997</v>
      </c>
      <c r="G1281" s="23">
        <v>0</v>
      </c>
      <c r="H1281" s="23">
        <v>0</v>
      </c>
      <c r="I1281" s="23">
        <v>0</v>
      </c>
      <c r="J1281" s="23">
        <v>0</v>
      </c>
      <c r="K1281" s="23">
        <v>0</v>
      </c>
    </row>
    <row r="1282" spans="1:11" x14ac:dyDescent="0.25">
      <c r="A1282">
        <v>1281</v>
      </c>
      <c r="B1282" s="23">
        <v>181.35499999999999</v>
      </c>
      <c r="C1282" s="23">
        <v>523.62</v>
      </c>
      <c r="D1282" s="23">
        <v>2057.8939999999998</v>
      </c>
      <c r="E1282" s="23">
        <v>181.35499999999999</v>
      </c>
      <c r="F1282" s="23">
        <v>-1684.559</v>
      </c>
      <c r="G1282" s="23">
        <v>0</v>
      </c>
      <c r="H1282" s="23">
        <v>191.98</v>
      </c>
      <c r="I1282" s="23">
        <v>0</v>
      </c>
      <c r="J1282" s="23">
        <v>0</v>
      </c>
      <c r="K1282" s="23">
        <v>0</v>
      </c>
    </row>
    <row r="1283" spans="1:11" x14ac:dyDescent="0.25">
      <c r="A1283">
        <v>1282</v>
      </c>
      <c r="B1283" s="23">
        <v>156.89699999999999</v>
      </c>
      <c r="C1283" s="23">
        <v>750.6</v>
      </c>
      <c r="D1283" s="23">
        <v>2821.5120000000002</v>
      </c>
      <c r="E1283" s="23">
        <v>156.89699999999999</v>
      </c>
      <c r="F1283" s="23">
        <v>-1684.559</v>
      </c>
      <c r="G1283" s="23">
        <v>0</v>
      </c>
      <c r="H1283" s="23">
        <v>980.05600000000004</v>
      </c>
      <c r="I1283" s="23">
        <v>0</v>
      </c>
      <c r="J1283" s="23">
        <v>0</v>
      </c>
      <c r="K1283" s="23">
        <v>0</v>
      </c>
    </row>
    <row r="1284" spans="1:11" x14ac:dyDescent="0.25">
      <c r="A1284">
        <v>1283</v>
      </c>
      <c r="B1284" s="23">
        <v>202.71299999999999</v>
      </c>
      <c r="C1284" s="23">
        <v>918</v>
      </c>
      <c r="D1284" s="23">
        <v>3329.7820000000002</v>
      </c>
      <c r="E1284" s="23">
        <v>202.714</v>
      </c>
      <c r="F1284" s="23">
        <v>-1684.559</v>
      </c>
      <c r="G1284" s="23">
        <v>0</v>
      </c>
      <c r="H1284" s="23">
        <v>1442.509</v>
      </c>
      <c r="I1284" s="23">
        <v>0</v>
      </c>
      <c r="J1284" s="23">
        <v>0</v>
      </c>
      <c r="K1284" s="23">
        <v>0</v>
      </c>
    </row>
    <row r="1285" spans="1:11" x14ac:dyDescent="0.25">
      <c r="A1285">
        <v>1284</v>
      </c>
      <c r="B1285" s="23">
        <v>193.83099999999999</v>
      </c>
      <c r="C1285" s="23">
        <v>1012.53</v>
      </c>
      <c r="D1285" s="23">
        <v>3610.1120000000001</v>
      </c>
      <c r="E1285" s="23">
        <v>193.83099999999999</v>
      </c>
      <c r="F1285" s="23">
        <v>-1455.357</v>
      </c>
      <c r="G1285" s="23">
        <v>0</v>
      </c>
      <c r="H1285" s="23">
        <v>1960.924</v>
      </c>
      <c r="I1285" s="23">
        <v>0</v>
      </c>
      <c r="J1285" s="23">
        <v>0</v>
      </c>
      <c r="K1285" s="23">
        <v>0</v>
      </c>
    </row>
    <row r="1286" spans="1:11" x14ac:dyDescent="0.25">
      <c r="A1286">
        <v>1285</v>
      </c>
      <c r="B1286" s="23">
        <v>194.696</v>
      </c>
      <c r="C1286" s="23">
        <v>682.43</v>
      </c>
      <c r="D1286" s="23">
        <v>2497.2159999999999</v>
      </c>
      <c r="E1286" s="23">
        <v>194.696</v>
      </c>
      <c r="F1286" s="23">
        <v>0</v>
      </c>
      <c r="G1286" s="23">
        <v>0</v>
      </c>
      <c r="H1286" s="23">
        <v>2302.52</v>
      </c>
      <c r="I1286" s="23">
        <v>0</v>
      </c>
      <c r="J1286" s="23">
        <v>0</v>
      </c>
      <c r="K1286" s="23">
        <v>0</v>
      </c>
    </row>
    <row r="1287" spans="1:11" x14ac:dyDescent="0.25">
      <c r="A1287">
        <v>1286</v>
      </c>
      <c r="B1287" s="23">
        <v>147.249</v>
      </c>
      <c r="C1287" s="23">
        <v>677.73</v>
      </c>
      <c r="D1287" s="23">
        <v>2512.3470000000002</v>
      </c>
      <c r="E1287" s="23">
        <v>147.249</v>
      </c>
      <c r="F1287" s="23">
        <v>0</v>
      </c>
      <c r="G1287" s="23">
        <v>0</v>
      </c>
      <c r="H1287" s="23">
        <v>2365.098</v>
      </c>
      <c r="I1287" s="23">
        <v>0</v>
      </c>
      <c r="J1287" s="23">
        <v>0</v>
      </c>
      <c r="K1287" s="23">
        <v>0</v>
      </c>
    </row>
    <row r="1288" spans="1:11" x14ac:dyDescent="0.25">
      <c r="A1288">
        <v>1287</v>
      </c>
      <c r="B1288" s="23">
        <v>149.36199999999999</v>
      </c>
      <c r="C1288" s="23">
        <v>733.89</v>
      </c>
      <c r="D1288" s="23">
        <v>2785.915</v>
      </c>
      <c r="E1288" s="23">
        <v>149.36199999999999</v>
      </c>
      <c r="F1288" s="23">
        <v>0</v>
      </c>
      <c r="G1288" s="23">
        <v>0</v>
      </c>
      <c r="H1288" s="23">
        <v>2636.5529999999999</v>
      </c>
      <c r="I1288" s="23">
        <v>0</v>
      </c>
      <c r="J1288" s="23">
        <v>0</v>
      </c>
      <c r="K1288" s="23">
        <v>0</v>
      </c>
    </row>
    <row r="1289" spans="1:11" x14ac:dyDescent="0.25">
      <c r="A1289">
        <v>1288</v>
      </c>
      <c r="B1289" s="23">
        <v>167.04599999999999</v>
      </c>
      <c r="C1289" s="23">
        <v>495.68</v>
      </c>
      <c r="D1289" s="23">
        <v>1945.2239999999999</v>
      </c>
      <c r="E1289" s="23">
        <v>167.04599999999999</v>
      </c>
      <c r="F1289" s="23">
        <v>0</v>
      </c>
      <c r="G1289" s="23">
        <v>0</v>
      </c>
      <c r="H1289" s="23">
        <v>1778.1780000000001</v>
      </c>
      <c r="I1289" s="23">
        <v>0</v>
      </c>
      <c r="J1289" s="23">
        <v>0</v>
      </c>
      <c r="K1289" s="23">
        <v>0</v>
      </c>
    </row>
    <row r="1290" spans="1:11" x14ac:dyDescent="0.25">
      <c r="A1290">
        <v>1289</v>
      </c>
      <c r="B1290" s="23">
        <v>135.46</v>
      </c>
      <c r="C1290" s="23">
        <v>325.79000000000002</v>
      </c>
      <c r="D1290" s="23">
        <v>1277.895</v>
      </c>
      <c r="E1290" s="23">
        <v>135.46</v>
      </c>
      <c r="F1290" s="23">
        <v>0</v>
      </c>
      <c r="G1290" s="23">
        <v>0</v>
      </c>
      <c r="H1290" s="23">
        <v>1142.4349999999999</v>
      </c>
      <c r="I1290" s="23">
        <v>0</v>
      </c>
      <c r="J1290" s="23">
        <v>0</v>
      </c>
      <c r="K1290" s="23">
        <v>0</v>
      </c>
    </row>
    <row r="1291" spans="1:11" x14ac:dyDescent="0.25">
      <c r="A1291">
        <v>1290</v>
      </c>
      <c r="B1291" s="23">
        <v>134.63800000000001</v>
      </c>
      <c r="C1291" s="23">
        <v>81.02</v>
      </c>
      <c r="D1291" s="23">
        <v>249.44399999999999</v>
      </c>
      <c r="E1291" s="23">
        <v>134.63800000000001</v>
      </c>
      <c r="F1291" s="23">
        <v>0</v>
      </c>
      <c r="G1291" s="23">
        <v>0</v>
      </c>
      <c r="H1291" s="23">
        <v>114.806</v>
      </c>
      <c r="I1291" s="23">
        <v>0</v>
      </c>
      <c r="J1291" s="23">
        <v>0</v>
      </c>
      <c r="K1291" s="23">
        <v>0</v>
      </c>
    </row>
    <row r="1292" spans="1:11" x14ac:dyDescent="0.25">
      <c r="A1292">
        <v>1291</v>
      </c>
      <c r="B1292" s="23">
        <v>106.102</v>
      </c>
      <c r="C1292" s="23">
        <v>0</v>
      </c>
      <c r="D1292" s="23">
        <v>0</v>
      </c>
      <c r="E1292" s="23">
        <v>0</v>
      </c>
      <c r="F1292" s="23">
        <v>0</v>
      </c>
      <c r="G1292" s="23">
        <v>0</v>
      </c>
      <c r="H1292" s="23">
        <v>0</v>
      </c>
      <c r="I1292" s="23">
        <v>0</v>
      </c>
      <c r="J1292" s="23">
        <v>0</v>
      </c>
      <c r="K1292" s="23">
        <v>106.102</v>
      </c>
    </row>
    <row r="1293" spans="1:11" x14ac:dyDescent="0.25">
      <c r="A1293">
        <v>1292</v>
      </c>
      <c r="B1293" s="23">
        <v>0</v>
      </c>
      <c r="C1293" s="23">
        <v>0</v>
      </c>
      <c r="D1293" s="23">
        <v>0</v>
      </c>
      <c r="E1293" s="23">
        <v>0</v>
      </c>
      <c r="F1293" s="23">
        <v>0</v>
      </c>
      <c r="G1293" s="23">
        <v>0</v>
      </c>
      <c r="H1293" s="23">
        <v>0</v>
      </c>
      <c r="I1293" s="23">
        <v>0</v>
      </c>
      <c r="J1293" s="23">
        <v>0</v>
      </c>
      <c r="K1293" s="23">
        <v>0</v>
      </c>
    </row>
    <row r="1294" spans="1:11" x14ac:dyDescent="0.25">
      <c r="A1294">
        <v>1293</v>
      </c>
      <c r="B1294" s="23">
        <v>0</v>
      </c>
      <c r="C1294" s="23">
        <v>0</v>
      </c>
      <c r="D1294" s="23">
        <v>0</v>
      </c>
      <c r="E1294" s="23">
        <v>0</v>
      </c>
      <c r="F1294" s="23">
        <v>0</v>
      </c>
      <c r="G1294" s="23">
        <v>0</v>
      </c>
      <c r="H1294" s="23">
        <v>0</v>
      </c>
      <c r="I1294" s="23">
        <v>0</v>
      </c>
      <c r="J1294" s="23">
        <v>0</v>
      </c>
      <c r="K1294" s="23">
        <v>0</v>
      </c>
    </row>
    <row r="1295" spans="1:11" x14ac:dyDescent="0.25">
      <c r="A1295">
        <v>1294</v>
      </c>
      <c r="B1295" s="23">
        <v>85.6</v>
      </c>
      <c r="C1295" s="23">
        <v>0</v>
      </c>
      <c r="D1295" s="23">
        <v>0</v>
      </c>
      <c r="E1295" s="23">
        <v>0</v>
      </c>
      <c r="F1295" s="23">
        <v>0</v>
      </c>
      <c r="G1295" s="23">
        <v>0</v>
      </c>
      <c r="H1295" s="23">
        <v>0</v>
      </c>
      <c r="I1295" s="23">
        <v>0</v>
      </c>
      <c r="J1295" s="23">
        <v>0</v>
      </c>
      <c r="K1295" s="23">
        <v>85.6</v>
      </c>
    </row>
    <row r="1296" spans="1:11" x14ac:dyDescent="0.25">
      <c r="A1296">
        <v>1295</v>
      </c>
      <c r="B1296" s="23">
        <v>87.2</v>
      </c>
      <c r="C1296" s="23">
        <v>0</v>
      </c>
      <c r="D1296" s="23">
        <v>0</v>
      </c>
      <c r="E1296" s="23">
        <v>0</v>
      </c>
      <c r="F1296" s="23">
        <v>0</v>
      </c>
      <c r="G1296" s="23">
        <v>0</v>
      </c>
      <c r="H1296" s="23">
        <v>0</v>
      </c>
      <c r="I1296" s="23">
        <v>0</v>
      </c>
      <c r="J1296" s="23">
        <v>0</v>
      </c>
      <c r="K1296" s="23">
        <v>87.2</v>
      </c>
    </row>
    <row r="1297" spans="1:11" x14ac:dyDescent="0.25">
      <c r="A1297">
        <v>1296</v>
      </c>
      <c r="B1297" s="23">
        <v>90.4</v>
      </c>
      <c r="C1297" s="23">
        <v>0</v>
      </c>
      <c r="D1297" s="23">
        <v>0</v>
      </c>
      <c r="E1297" s="23">
        <v>0</v>
      </c>
      <c r="F1297" s="23">
        <v>0</v>
      </c>
      <c r="G1297" s="23">
        <v>0</v>
      </c>
      <c r="H1297" s="23">
        <v>0</v>
      </c>
      <c r="I1297" s="23">
        <v>0</v>
      </c>
      <c r="J1297" s="23">
        <v>0</v>
      </c>
      <c r="K1297" s="23">
        <v>90.4</v>
      </c>
    </row>
    <row r="1298" spans="1:11" x14ac:dyDescent="0.25">
      <c r="A1298">
        <v>1297</v>
      </c>
      <c r="B1298" s="23">
        <v>84.8</v>
      </c>
      <c r="C1298" s="23">
        <v>0</v>
      </c>
      <c r="D1298" s="23">
        <v>0</v>
      </c>
      <c r="E1298" s="23">
        <v>0</v>
      </c>
      <c r="F1298" s="23">
        <v>0</v>
      </c>
      <c r="G1298" s="23">
        <v>0</v>
      </c>
      <c r="H1298" s="23">
        <v>0</v>
      </c>
      <c r="I1298" s="23">
        <v>0</v>
      </c>
      <c r="J1298" s="23">
        <v>0</v>
      </c>
      <c r="K1298" s="23">
        <v>84.8</v>
      </c>
    </row>
    <row r="1299" spans="1:11" x14ac:dyDescent="0.25">
      <c r="A1299">
        <v>1298</v>
      </c>
      <c r="B1299" s="23">
        <v>87.2</v>
      </c>
      <c r="C1299" s="23">
        <v>0</v>
      </c>
      <c r="D1299" s="23">
        <v>0</v>
      </c>
      <c r="E1299" s="23">
        <v>0</v>
      </c>
      <c r="F1299" s="23">
        <v>0</v>
      </c>
      <c r="G1299" s="23">
        <v>0</v>
      </c>
      <c r="H1299" s="23">
        <v>0</v>
      </c>
      <c r="I1299" s="23">
        <v>0</v>
      </c>
      <c r="J1299" s="23">
        <v>0</v>
      </c>
      <c r="K1299" s="23">
        <v>87.2</v>
      </c>
    </row>
    <row r="1300" spans="1:11" x14ac:dyDescent="0.25">
      <c r="A1300">
        <v>1299</v>
      </c>
      <c r="B1300" s="23">
        <v>80.8</v>
      </c>
      <c r="C1300" s="23">
        <v>0</v>
      </c>
      <c r="D1300" s="23">
        <v>0</v>
      </c>
      <c r="E1300" s="23">
        <v>0</v>
      </c>
      <c r="F1300" s="23">
        <v>0</v>
      </c>
      <c r="G1300" s="23">
        <v>0</v>
      </c>
      <c r="H1300" s="23">
        <v>0</v>
      </c>
      <c r="I1300" s="23">
        <v>0</v>
      </c>
      <c r="J1300" s="23">
        <v>0</v>
      </c>
      <c r="K1300" s="23">
        <v>80.8</v>
      </c>
    </row>
    <row r="1301" spans="1:11" x14ac:dyDescent="0.25">
      <c r="A1301">
        <v>1300</v>
      </c>
      <c r="B1301" s="23">
        <v>86.4</v>
      </c>
      <c r="C1301" s="23">
        <v>0</v>
      </c>
      <c r="D1301" s="23">
        <v>0</v>
      </c>
      <c r="E1301" s="23">
        <v>0</v>
      </c>
      <c r="F1301" s="23">
        <v>0</v>
      </c>
      <c r="G1301" s="23">
        <v>0</v>
      </c>
      <c r="H1301" s="23">
        <v>0</v>
      </c>
      <c r="I1301" s="23">
        <v>0</v>
      </c>
      <c r="J1301" s="23">
        <v>0</v>
      </c>
      <c r="K1301" s="23">
        <v>86.4</v>
      </c>
    </row>
    <row r="1302" spans="1:11" x14ac:dyDescent="0.25">
      <c r="A1302">
        <v>1301</v>
      </c>
      <c r="B1302" s="23">
        <v>81.599999999999994</v>
      </c>
      <c r="C1302" s="23">
        <v>0</v>
      </c>
      <c r="D1302" s="23">
        <v>0</v>
      </c>
      <c r="E1302" s="23">
        <v>0</v>
      </c>
      <c r="F1302" s="23">
        <v>0</v>
      </c>
      <c r="G1302" s="23">
        <v>0</v>
      </c>
      <c r="H1302" s="23">
        <v>0</v>
      </c>
      <c r="I1302" s="23">
        <v>0</v>
      </c>
      <c r="J1302" s="23">
        <v>0</v>
      </c>
      <c r="K1302" s="23">
        <v>81.599999999999994</v>
      </c>
    </row>
    <row r="1303" spans="1:11" x14ac:dyDescent="0.25">
      <c r="A1303">
        <v>1302</v>
      </c>
      <c r="B1303" s="23">
        <v>86.4</v>
      </c>
      <c r="C1303" s="23">
        <v>0</v>
      </c>
      <c r="D1303" s="23">
        <v>0</v>
      </c>
      <c r="E1303" s="23">
        <v>0</v>
      </c>
      <c r="F1303" s="23">
        <v>0</v>
      </c>
      <c r="G1303" s="23">
        <v>0</v>
      </c>
      <c r="H1303" s="23">
        <v>0</v>
      </c>
      <c r="I1303" s="23">
        <v>0</v>
      </c>
      <c r="J1303" s="23">
        <v>0</v>
      </c>
      <c r="K1303" s="23">
        <v>86.4</v>
      </c>
    </row>
    <row r="1304" spans="1:11" x14ac:dyDescent="0.25">
      <c r="A1304">
        <v>1303</v>
      </c>
      <c r="B1304" s="23">
        <v>68.8</v>
      </c>
      <c r="C1304" s="23">
        <v>46.8</v>
      </c>
      <c r="D1304" s="23">
        <v>113.09399999999999</v>
      </c>
      <c r="E1304" s="23">
        <v>68.8</v>
      </c>
      <c r="F1304" s="23">
        <v>-44.293999999999997</v>
      </c>
      <c r="G1304" s="23">
        <v>0</v>
      </c>
      <c r="H1304" s="23">
        <v>0</v>
      </c>
      <c r="I1304" s="23">
        <v>0</v>
      </c>
      <c r="J1304" s="23">
        <v>0</v>
      </c>
      <c r="K1304" s="23">
        <v>0</v>
      </c>
    </row>
    <row r="1305" spans="1:11" x14ac:dyDescent="0.25">
      <c r="A1305">
        <v>1304</v>
      </c>
      <c r="B1305" s="23">
        <v>94.436000000000007</v>
      </c>
      <c r="C1305" s="23">
        <v>281.42</v>
      </c>
      <c r="D1305" s="23">
        <v>1074.4570000000001</v>
      </c>
      <c r="E1305" s="23">
        <v>94.435000000000002</v>
      </c>
      <c r="F1305" s="23">
        <v>-931.15800000000002</v>
      </c>
      <c r="G1305" s="23">
        <v>0</v>
      </c>
      <c r="H1305" s="23">
        <v>48.863999999999997</v>
      </c>
      <c r="I1305" s="23">
        <v>0</v>
      </c>
      <c r="J1305" s="23">
        <v>0</v>
      </c>
      <c r="K1305" s="23">
        <v>0</v>
      </c>
    </row>
    <row r="1306" spans="1:11" x14ac:dyDescent="0.25">
      <c r="A1306">
        <v>1305</v>
      </c>
      <c r="B1306" s="23">
        <v>767.60199999999998</v>
      </c>
      <c r="C1306" s="23">
        <v>543.57000000000005</v>
      </c>
      <c r="D1306" s="23">
        <v>2137.1469999999999</v>
      </c>
      <c r="E1306" s="23">
        <v>767.60199999999998</v>
      </c>
      <c r="F1306" s="23">
        <v>0</v>
      </c>
      <c r="G1306" s="23">
        <v>0</v>
      </c>
      <c r="H1306" s="23">
        <v>1369.5450000000001</v>
      </c>
      <c r="I1306" s="23">
        <v>0</v>
      </c>
      <c r="J1306" s="23">
        <v>0</v>
      </c>
      <c r="K1306" s="23">
        <v>0</v>
      </c>
    </row>
    <row r="1307" spans="1:11" x14ac:dyDescent="0.25">
      <c r="A1307">
        <v>1306</v>
      </c>
      <c r="B1307" s="23">
        <v>1311.4949999999999</v>
      </c>
      <c r="C1307" s="23">
        <v>769.07</v>
      </c>
      <c r="D1307" s="23">
        <v>2897.5259999999998</v>
      </c>
      <c r="E1307" s="23">
        <v>1311.4949999999999</v>
      </c>
      <c r="F1307" s="23">
        <v>0</v>
      </c>
      <c r="G1307" s="23">
        <v>0</v>
      </c>
      <c r="H1307" s="23">
        <v>1586.0309999999999</v>
      </c>
      <c r="I1307" s="23">
        <v>0</v>
      </c>
      <c r="J1307" s="23">
        <v>0</v>
      </c>
      <c r="K1307" s="23">
        <v>0</v>
      </c>
    </row>
    <row r="1308" spans="1:11" x14ac:dyDescent="0.25">
      <c r="A1308">
        <v>1307</v>
      </c>
      <c r="B1308" s="23">
        <v>1454.3119999999999</v>
      </c>
      <c r="C1308" s="23">
        <v>934.48</v>
      </c>
      <c r="D1308" s="23">
        <v>3406.2710000000002</v>
      </c>
      <c r="E1308" s="23">
        <v>1454.3119999999999</v>
      </c>
      <c r="F1308" s="23">
        <v>0</v>
      </c>
      <c r="G1308" s="23">
        <v>0</v>
      </c>
      <c r="H1308" s="23">
        <v>1951.9590000000001</v>
      </c>
      <c r="I1308" s="23">
        <v>0</v>
      </c>
      <c r="J1308" s="23">
        <v>0</v>
      </c>
      <c r="K1308" s="23">
        <v>0</v>
      </c>
    </row>
    <row r="1309" spans="1:11" x14ac:dyDescent="0.25">
      <c r="A1309">
        <v>1308</v>
      </c>
      <c r="B1309" s="23">
        <v>1278.2370000000001</v>
      </c>
      <c r="C1309" s="23">
        <v>1025.82</v>
      </c>
      <c r="D1309" s="23">
        <v>3670.3910000000001</v>
      </c>
      <c r="E1309" s="23">
        <v>1278.2370000000001</v>
      </c>
      <c r="F1309" s="23">
        <v>0</v>
      </c>
      <c r="G1309" s="23">
        <v>0</v>
      </c>
      <c r="H1309" s="23">
        <v>2392.154</v>
      </c>
      <c r="I1309" s="23">
        <v>0</v>
      </c>
      <c r="J1309" s="23">
        <v>0</v>
      </c>
      <c r="K1309" s="23">
        <v>0</v>
      </c>
    </row>
    <row r="1310" spans="1:11" x14ac:dyDescent="0.25">
      <c r="A1310">
        <v>1309</v>
      </c>
      <c r="B1310" s="23">
        <v>1477.846</v>
      </c>
      <c r="C1310" s="23">
        <v>1030.3</v>
      </c>
      <c r="D1310" s="23">
        <v>3684.07</v>
      </c>
      <c r="E1310" s="23">
        <v>1477.846</v>
      </c>
      <c r="F1310" s="23">
        <v>0</v>
      </c>
      <c r="G1310" s="23">
        <v>0</v>
      </c>
      <c r="H1310" s="23">
        <v>2206.2240000000002</v>
      </c>
      <c r="I1310" s="23">
        <v>0</v>
      </c>
      <c r="J1310" s="23">
        <v>0</v>
      </c>
      <c r="K1310" s="23">
        <v>0</v>
      </c>
    </row>
    <row r="1311" spans="1:11" x14ac:dyDescent="0.25">
      <c r="A1311">
        <v>1310</v>
      </c>
      <c r="B1311" s="23">
        <v>1606.5070000000001</v>
      </c>
      <c r="C1311" s="23">
        <v>952.25</v>
      </c>
      <c r="D1311" s="23">
        <v>3466.23</v>
      </c>
      <c r="E1311" s="23">
        <v>1606.5070000000001</v>
      </c>
      <c r="F1311" s="23">
        <v>0</v>
      </c>
      <c r="G1311" s="23">
        <v>0</v>
      </c>
      <c r="H1311" s="23">
        <v>1859.723</v>
      </c>
      <c r="I1311" s="23">
        <v>0</v>
      </c>
      <c r="J1311" s="23">
        <v>0</v>
      </c>
      <c r="K1311" s="23">
        <v>0</v>
      </c>
    </row>
    <row r="1312" spans="1:11" x14ac:dyDescent="0.25">
      <c r="A1312">
        <v>1311</v>
      </c>
      <c r="B1312" s="23">
        <v>1514.242</v>
      </c>
      <c r="C1312" s="23">
        <v>760.91</v>
      </c>
      <c r="D1312" s="23">
        <v>2866.9560000000001</v>
      </c>
      <c r="E1312" s="23">
        <v>1514.242</v>
      </c>
      <c r="F1312" s="23">
        <v>0</v>
      </c>
      <c r="G1312" s="23">
        <v>0</v>
      </c>
      <c r="H1312" s="23">
        <v>1352.7139999999999</v>
      </c>
      <c r="I1312" s="23">
        <v>0</v>
      </c>
      <c r="J1312" s="23">
        <v>0</v>
      </c>
      <c r="K1312" s="23">
        <v>0</v>
      </c>
    </row>
    <row r="1313" spans="1:11" x14ac:dyDescent="0.25">
      <c r="A1313">
        <v>1312</v>
      </c>
      <c r="B1313" s="23">
        <v>1656.625</v>
      </c>
      <c r="C1313" s="23">
        <v>559.99</v>
      </c>
      <c r="D1313" s="23">
        <v>2183.2719999999999</v>
      </c>
      <c r="E1313" s="23">
        <v>1656.625</v>
      </c>
      <c r="F1313" s="23">
        <v>0</v>
      </c>
      <c r="G1313" s="23">
        <v>0</v>
      </c>
      <c r="H1313" s="23">
        <v>526.64700000000005</v>
      </c>
      <c r="I1313" s="23">
        <v>0</v>
      </c>
      <c r="J1313" s="23">
        <v>0</v>
      </c>
      <c r="K1313" s="23">
        <v>0</v>
      </c>
    </row>
    <row r="1314" spans="1:11" x14ac:dyDescent="0.25">
      <c r="A1314">
        <v>1313</v>
      </c>
      <c r="B1314" s="23">
        <v>1550.847</v>
      </c>
      <c r="C1314" s="23">
        <v>323.88</v>
      </c>
      <c r="D1314" s="23">
        <v>1257.0519999999999</v>
      </c>
      <c r="E1314" s="23">
        <v>1257.0519999999999</v>
      </c>
      <c r="F1314" s="23">
        <v>0</v>
      </c>
      <c r="G1314" s="23">
        <v>0</v>
      </c>
      <c r="H1314" s="23">
        <v>0</v>
      </c>
      <c r="I1314" s="23">
        <v>293.79500000000002</v>
      </c>
      <c r="J1314" s="23">
        <v>0</v>
      </c>
      <c r="K1314" s="23">
        <v>0</v>
      </c>
    </row>
    <row r="1315" spans="1:11" x14ac:dyDescent="0.25">
      <c r="A1315">
        <v>1314</v>
      </c>
      <c r="B1315" s="23">
        <v>1602.8810000000001</v>
      </c>
      <c r="C1315" s="23">
        <v>77.23</v>
      </c>
      <c r="D1315" s="23">
        <v>240.136</v>
      </c>
      <c r="E1315" s="23">
        <v>240.136</v>
      </c>
      <c r="F1315" s="23">
        <v>0</v>
      </c>
      <c r="G1315" s="23">
        <v>0</v>
      </c>
      <c r="H1315" s="23">
        <v>0</v>
      </c>
      <c r="I1315" s="23">
        <v>0</v>
      </c>
      <c r="J1315" s="23">
        <v>0</v>
      </c>
      <c r="K1315" s="23">
        <v>1362.7449999999999</v>
      </c>
    </row>
    <row r="1316" spans="1:11" x14ac:dyDescent="0.25">
      <c r="A1316">
        <v>1315</v>
      </c>
      <c r="B1316" s="23">
        <v>1592.239</v>
      </c>
      <c r="C1316" s="23">
        <v>0</v>
      </c>
      <c r="D1316" s="23">
        <v>0</v>
      </c>
      <c r="E1316" s="23">
        <v>0</v>
      </c>
      <c r="F1316" s="23">
        <v>0</v>
      </c>
      <c r="G1316" s="23">
        <v>0</v>
      </c>
      <c r="H1316" s="23">
        <v>0</v>
      </c>
      <c r="I1316" s="23">
        <v>0</v>
      </c>
      <c r="J1316" s="23">
        <v>0</v>
      </c>
      <c r="K1316" s="23">
        <v>1592.239</v>
      </c>
    </row>
    <row r="1317" spans="1:11" x14ac:dyDescent="0.25">
      <c r="A1317">
        <v>1316</v>
      </c>
      <c r="B1317" s="23">
        <v>1521.6</v>
      </c>
      <c r="C1317" s="23">
        <v>0</v>
      </c>
      <c r="D1317" s="23">
        <v>0</v>
      </c>
      <c r="E1317" s="23">
        <v>0</v>
      </c>
      <c r="F1317" s="23">
        <v>0</v>
      </c>
      <c r="G1317" s="23">
        <v>0</v>
      </c>
      <c r="H1317" s="23">
        <v>0</v>
      </c>
      <c r="I1317" s="23">
        <v>0</v>
      </c>
      <c r="J1317" s="23">
        <v>0</v>
      </c>
      <c r="K1317" s="23">
        <v>1521.6</v>
      </c>
    </row>
    <row r="1318" spans="1:11" x14ac:dyDescent="0.25">
      <c r="A1318">
        <v>1317</v>
      </c>
      <c r="B1318" s="23">
        <v>1444</v>
      </c>
      <c r="C1318" s="23">
        <v>0</v>
      </c>
      <c r="D1318" s="23">
        <v>0</v>
      </c>
      <c r="E1318" s="23">
        <v>0</v>
      </c>
      <c r="F1318" s="23">
        <v>0</v>
      </c>
      <c r="G1318" s="23">
        <v>0</v>
      </c>
      <c r="H1318" s="23">
        <v>0</v>
      </c>
      <c r="I1318" s="23">
        <v>1444</v>
      </c>
      <c r="J1318" s="23">
        <v>0</v>
      </c>
      <c r="K1318" s="23">
        <v>0</v>
      </c>
    </row>
    <row r="1319" spans="1:11" x14ac:dyDescent="0.25">
      <c r="A1319">
        <v>1318</v>
      </c>
      <c r="B1319" s="23">
        <v>1625.6</v>
      </c>
      <c r="C1319" s="23">
        <v>0</v>
      </c>
      <c r="D1319" s="23">
        <v>0</v>
      </c>
      <c r="E1319" s="23">
        <v>0</v>
      </c>
      <c r="F1319" s="23">
        <v>0</v>
      </c>
      <c r="G1319" s="23">
        <v>0</v>
      </c>
      <c r="H1319" s="23">
        <v>0</v>
      </c>
      <c r="I1319" s="23">
        <v>1625.6</v>
      </c>
      <c r="J1319" s="23">
        <v>0</v>
      </c>
      <c r="K1319" s="23">
        <v>0</v>
      </c>
    </row>
    <row r="1320" spans="1:11" x14ac:dyDescent="0.25">
      <c r="A1320">
        <v>1319</v>
      </c>
      <c r="B1320" s="23">
        <v>1578.4</v>
      </c>
      <c r="C1320" s="23">
        <v>0</v>
      </c>
      <c r="D1320" s="23">
        <v>0</v>
      </c>
      <c r="E1320" s="23">
        <v>0</v>
      </c>
      <c r="F1320" s="23">
        <v>0</v>
      </c>
      <c r="G1320" s="23">
        <v>0</v>
      </c>
      <c r="H1320" s="23">
        <v>0</v>
      </c>
      <c r="I1320" s="23">
        <v>1578.4</v>
      </c>
      <c r="J1320" s="23">
        <v>0</v>
      </c>
      <c r="K1320" s="23">
        <v>0</v>
      </c>
    </row>
    <row r="1321" spans="1:11" x14ac:dyDescent="0.25">
      <c r="A1321">
        <v>1320</v>
      </c>
      <c r="B1321" s="23">
        <v>1232.8</v>
      </c>
      <c r="C1321" s="23">
        <v>0</v>
      </c>
      <c r="D1321" s="23">
        <v>0</v>
      </c>
      <c r="E1321" s="23">
        <v>0</v>
      </c>
      <c r="F1321" s="23">
        <v>0</v>
      </c>
      <c r="G1321" s="23">
        <v>0</v>
      </c>
      <c r="H1321" s="23">
        <v>0</v>
      </c>
      <c r="I1321" s="23">
        <v>1232.8</v>
      </c>
      <c r="J1321" s="23">
        <v>0</v>
      </c>
      <c r="K1321" s="23">
        <v>0</v>
      </c>
    </row>
    <row r="1322" spans="1:11" x14ac:dyDescent="0.25">
      <c r="A1322">
        <v>1321</v>
      </c>
      <c r="B1322" s="23">
        <v>1146.4000000000001</v>
      </c>
      <c r="C1322" s="23">
        <v>0</v>
      </c>
      <c r="D1322" s="23">
        <v>0</v>
      </c>
      <c r="E1322" s="23">
        <v>0</v>
      </c>
      <c r="F1322" s="23">
        <v>0</v>
      </c>
      <c r="G1322" s="23">
        <v>0</v>
      </c>
      <c r="H1322" s="23">
        <v>0</v>
      </c>
      <c r="I1322" s="23">
        <v>1146.4000000000001</v>
      </c>
      <c r="J1322" s="23">
        <v>0</v>
      </c>
      <c r="K1322" s="23">
        <v>0</v>
      </c>
    </row>
    <row r="1323" spans="1:11" x14ac:dyDescent="0.25">
      <c r="A1323">
        <v>1322</v>
      </c>
      <c r="B1323" s="23">
        <v>1488</v>
      </c>
      <c r="C1323" s="23">
        <v>0</v>
      </c>
      <c r="D1323" s="23">
        <v>0</v>
      </c>
      <c r="E1323" s="23">
        <v>0</v>
      </c>
      <c r="F1323" s="23">
        <v>0</v>
      </c>
      <c r="G1323" s="23">
        <v>0</v>
      </c>
      <c r="H1323" s="23">
        <v>0</v>
      </c>
      <c r="I1323" s="23">
        <v>1488</v>
      </c>
      <c r="J1323" s="23">
        <v>0</v>
      </c>
      <c r="K1323" s="23">
        <v>0</v>
      </c>
    </row>
    <row r="1324" spans="1:11" x14ac:dyDescent="0.25">
      <c r="A1324">
        <v>1323</v>
      </c>
      <c r="B1324" s="23">
        <v>1347.2</v>
      </c>
      <c r="C1324" s="23">
        <v>0</v>
      </c>
      <c r="D1324" s="23">
        <v>0</v>
      </c>
      <c r="E1324" s="23">
        <v>0</v>
      </c>
      <c r="F1324" s="23">
        <v>0</v>
      </c>
      <c r="G1324" s="23">
        <v>0</v>
      </c>
      <c r="H1324" s="23">
        <v>0</v>
      </c>
      <c r="I1324" s="23">
        <v>1347.2</v>
      </c>
      <c r="J1324" s="23">
        <v>0</v>
      </c>
      <c r="K1324" s="23">
        <v>0</v>
      </c>
    </row>
    <row r="1325" spans="1:11" x14ac:dyDescent="0.25">
      <c r="A1325">
        <v>1324</v>
      </c>
      <c r="B1325" s="23">
        <v>1243.2</v>
      </c>
      <c r="C1325" s="23">
        <v>0</v>
      </c>
      <c r="D1325" s="23">
        <v>0</v>
      </c>
      <c r="E1325" s="23">
        <v>0</v>
      </c>
      <c r="F1325" s="23">
        <v>0</v>
      </c>
      <c r="G1325" s="23">
        <v>0</v>
      </c>
      <c r="H1325" s="23">
        <v>0</v>
      </c>
      <c r="I1325" s="23">
        <v>1243.2</v>
      </c>
      <c r="J1325" s="23">
        <v>0</v>
      </c>
      <c r="K1325" s="23">
        <v>0</v>
      </c>
    </row>
    <row r="1326" spans="1:11" x14ac:dyDescent="0.25">
      <c r="A1326">
        <v>1325</v>
      </c>
      <c r="B1326" s="23">
        <v>1531.2</v>
      </c>
      <c r="C1326" s="23">
        <v>0</v>
      </c>
      <c r="D1326" s="23">
        <v>0</v>
      </c>
      <c r="E1326" s="23">
        <v>0</v>
      </c>
      <c r="F1326" s="23">
        <v>0</v>
      </c>
      <c r="G1326" s="23">
        <v>0</v>
      </c>
      <c r="H1326" s="23">
        <v>0</v>
      </c>
      <c r="I1326" s="23">
        <v>1531.2</v>
      </c>
      <c r="J1326" s="23">
        <v>0</v>
      </c>
      <c r="K1326" s="23">
        <v>0</v>
      </c>
    </row>
    <row r="1327" spans="1:11" x14ac:dyDescent="0.25">
      <c r="A1327">
        <v>1326</v>
      </c>
      <c r="B1327" s="23">
        <v>1331.2</v>
      </c>
      <c r="C1327" s="23">
        <v>0</v>
      </c>
      <c r="D1327" s="23">
        <v>0</v>
      </c>
      <c r="E1327" s="23">
        <v>0</v>
      </c>
      <c r="F1327" s="23">
        <v>0</v>
      </c>
      <c r="G1327" s="23">
        <v>0</v>
      </c>
      <c r="H1327" s="23">
        <v>0</v>
      </c>
      <c r="I1327" s="23">
        <v>1331.2</v>
      </c>
      <c r="J1327" s="23">
        <v>0</v>
      </c>
      <c r="K1327" s="23">
        <v>0</v>
      </c>
    </row>
    <row r="1328" spans="1:11" x14ac:dyDescent="0.25">
      <c r="A1328">
        <v>1327</v>
      </c>
      <c r="B1328" s="23">
        <v>1144.8</v>
      </c>
      <c r="C1328" s="23">
        <v>61.03</v>
      </c>
      <c r="D1328" s="23">
        <v>139.41399999999999</v>
      </c>
      <c r="E1328" s="23">
        <v>139.41399999999999</v>
      </c>
      <c r="F1328" s="23">
        <v>0</v>
      </c>
      <c r="G1328" s="23">
        <v>0</v>
      </c>
      <c r="H1328" s="23">
        <v>0</v>
      </c>
      <c r="I1328" s="23">
        <v>1005.386</v>
      </c>
      <c r="J1328" s="23">
        <v>0</v>
      </c>
      <c r="K1328" s="23">
        <v>0</v>
      </c>
    </row>
    <row r="1329" spans="1:11" x14ac:dyDescent="0.25">
      <c r="A1329">
        <v>1328</v>
      </c>
      <c r="B1329" s="23">
        <v>1010.871</v>
      </c>
      <c r="C1329" s="23">
        <v>305.62</v>
      </c>
      <c r="D1329" s="23">
        <v>1167.71</v>
      </c>
      <c r="E1329" s="23">
        <v>1010.871</v>
      </c>
      <c r="F1329" s="23">
        <v>-156.839</v>
      </c>
      <c r="G1329" s="23">
        <v>0</v>
      </c>
      <c r="H1329" s="23">
        <v>0</v>
      </c>
      <c r="I1329" s="23">
        <v>0</v>
      </c>
      <c r="J1329" s="23">
        <v>0</v>
      </c>
      <c r="K1329" s="23">
        <v>0</v>
      </c>
    </row>
    <row r="1330" spans="1:11" x14ac:dyDescent="0.25">
      <c r="A1330">
        <v>1329</v>
      </c>
      <c r="B1330" s="23">
        <v>1203.9159999999999</v>
      </c>
      <c r="C1330" s="23">
        <v>566.07000000000005</v>
      </c>
      <c r="D1330" s="23">
        <v>2258.1909999999998</v>
      </c>
      <c r="E1330" s="23">
        <v>1203.9159999999999</v>
      </c>
      <c r="F1330" s="23">
        <v>-1054.2750000000001</v>
      </c>
      <c r="G1330" s="23">
        <v>0</v>
      </c>
      <c r="H1330" s="23">
        <v>0</v>
      </c>
      <c r="I1330" s="23">
        <v>0</v>
      </c>
      <c r="J1330" s="23">
        <v>0</v>
      </c>
      <c r="K1330" s="23">
        <v>0</v>
      </c>
    </row>
    <row r="1331" spans="1:11" x14ac:dyDescent="0.25">
      <c r="A1331">
        <v>1330</v>
      </c>
      <c r="B1331" s="23">
        <v>1503.5419999999999</v>
      </c>
      <c r="C1331" s="23">
        <v>789.79</v>
      </c>
      <c r="D1331" s="23">
        <v>3044.7089999999998</v>
      </c>
      <c r="E1331" s="23">
        <v>1503.5419999999999</v>
      </c>
      <c r="F1331" s="23">
        <v>-1541.1669999999999</v>
      </c>
      <c r="G1331" s="23">
        <v>0</v>
      </c>
      <c r="H1331" s="23">
        <v>0</v>
      </c>
      <c r="I1331" s="23">
        <v>0</v>
      </c>
      <c r="J1331" s="23">
        <v>0</v>
      </c>
      <c r="K1331" s="23">
        <v>0</v>
      </c>
    </row>
    <row r="1332" spans="1:11" x14ac:dyDescent="0.25">
      <c r="A1332">
        <v>1331</v>
      </c>
      <c r="B1332" s="23">
        <v>1515.135</v>
      </c>
      <c r="C1332" s="23">
        <v>748.89</v>
      </c>
      <c r="D1332" s="23">
        <v>2849.9859999999999</v>
      </c>
      <c r="E1332" s="23">
        <v>1515.135</v>
      </c>
      <c r="F1332" s="23">
        <v>-1334.8510000000001</v>
      </c>
      <c r="G1332" s="23">
        <v>0</v>
      </c>
      <c r="H1332" s="23">
        <v>0</v>
      </c>
      <c r="I1332" s="23">
        <v>0</v>
      </c>
      <c r="J1332" s="23">
        <v>0</v>
      </c>
      <c r="K1332" s="23">
        <v>0</v>
      </c>
    </row>
    <row r="1333" spans="1:11" x14ac:dyDescent="0.25">
      <c r="A1333">
        <v>1332</v>
      </c>
      <c r="B1333" s="23">
        <v>1556.164</v>
      </c>
      <c r="C1333" s="23">
        <v>111.22</v>
      </c>
      <c r="D1333" s="23">
        <v>389.46199999999999</v>
      </c>
      <c r="E1333" s="23">
        <v>389.46199999999999</v>
      </c>
      <c r="F1333" s="23">
        <v>0</v>
      </c>
      <c r="G1333" s="23">
        <v>0</v>
      </c>
      <c r="H1333" s="23">
        <v>0</v>
      </c>
      <c r="I1333" s="23">
        <v>0</v>
      </c>
      <c r="J1333" s="23">
        <v>0</v>
      </c>
      <c r="K1333" s="23">
        <v>1166.702</v>
      </c>
    </row>
    <row r="1334" spans="1:11" x14ac:dyDescent="0.25">
      <c r="A1334">
        <v>1333</v>
      </c>
      <c r="B1334" s="23">
        <v>1211.0640000000001</v>
      </c>
      <c r="C1334" s="23">
        <v>299.42</v>
      </c>
      <c r="D1334" s="23">
        <v>1113.0509999999999</v>
      </c>
      <c r="E1334" s="23">
        <v>1113.0509999999999</v>
      </c>
      <c r="F1334" s="23">
        <v>0</v>
      </c>
      <c r="G1334" s="23">
        <v>0</v>
      </c>
      <c r="H1334" s="23">
        <v>0</v>
      </c>
      <c r="I1334" s="23">
        <v>98.013000000000005</v>
      </c>
      <c r="J1334" s="23">
        <v>0</v>
      </c>
      <c r="K1334" s="23">
        <v>0</v>
      </c>
    </row>
    <row r="1335" spans="1:11" x14ac:dyDescent="0.25">
      <c r="A1335">
        <v>1334</v>
      </c>
      <c r="B1335" s="23">
        <v>1410.0989999999999</v>
      </c>
      <c r="C1335" s="23">
        <v>270.48</v>
      </c>
      <c r="D1335" s="23">
        <v>1007.292</v>
      </c>
      <c r="E1335" s="23">
        <v>1007.292</v>
      </c>
      <c r="F1335" s="23">
        <v>0</v>
      </c>
      <c r="G1335" s="23">
        <v>0</v>
      </c>
      <c r="H1335" s="23">
        <v>0</v>
      </c>
      <c r="I1335" s="23">
        <v>402.80700000000002</v>
      </c>
      <c r="J1335" s="23">
        <v>0</v>
      </c>
      <c r="K1335" s="23">
        <v>0</v>
      </c>
    </row>
    <row r="1336" spans="1:11" x14ac:dyDescent="0.25">
      <c r="A1336">
        <v>1335</v>
      </c>
      <c r="B1336" s="23">
        <v>1317.5070000000001</v>
      </c>
      <c r="C1336" s="23">
        <v>185.89</v>
      </c>
      <c r="D1336" s="23">
        <v>687.26300000000003</v>
      </c>
      <c r="E1336" s="23">
        <v>687.26300000000003</v>
      </c>
      <c r="F1336" s="23">
        <v>0</v>
      </c>
      <c r="G1336" s="23">
        <v>0</v>
      </c>
      <c r="H1336" s="23">
        <v>0</v>
      </c>
      <c r="I1336" s="23">
        <v>630.24400000000003</v>
      </c>
      <c r="J1336" s="23">
        <v>0</v>
      </c>
      <c r="K1336" s="23">
        <v>0</v>
      </c>
    </row>
    <row r="1337" spans="1:11" x14ac:dyDescent="0.25">
      <c r="A1337">
        <v>1336</v>
      </c>
      <c r="B1337" s="23">
        <v>1520.1420000000001</v>
      </c>
      <c r="C1337" s="23">
        <v>111.94</v>
      </c>
      <c r="D1337" s="23">
        <v>406.34399999999999</v>
      </c>
      <c r="E1337" s="23">
        <v>406.34399999999999</v>
      </c>
      <c r="F1337" s="23">
        <v>0</v>
      </c>
      <c r="G1337" s="23">
        <v>0</v>
      </c>
      <c r="H1337" s="23">
        <v>0</v>
      </c>
      <c r="I1337" s="23">
        <v>1113.798</v>
      </c>
      <c r="J1337" s="23">
        <v>0</v>
      </c>
      <c r="K1337" s="23">
        <v>0</v>
      </c>
    </row>
    <row r="1338" spans="1:11" x14ac:dyDescent="0.25">
      <c r="A1338">
        <v>1337</v>
      </c>
      <c r="B1338" s="23">
        <v>1602.9960000000001</v>
      </c>
      <c r="C1338" s="23">
        <v>37.24</v>
      </c>
      <c r="D1338" s="23">
        <v>117.92400000000001</v>
      </c>
      <c r="E1338" s="23">
        <v>117.92400000000001</v>
      </c>
      <c r="F1338" s="23">
        <v>0</v>
      </c>
      <c r="G1338" s="23">
        <v>0</v>
      </c>
      <c r="H1338" s="23">
        <v>0</v>
      </c>
      <c r="I1338" s="23">
        <v>1485.0719999999999</v>
      </c>
      <c r="J1338" s="23">
        <v>0</v>
      </c>
      <c r="K1338" s="23">
        <v>0</v>
      </c>
    </row>
    <row r="1339" spans="1:11" x14ac:dyDescent="0.25">
      <c r="A1339">
        <v>1338</v>
      </c>
      <c r="B1339" s="23">
        <v>1509.998</v>
      </c>
      <c r="C1339" s="23">
        <v>4.8899999999999997</v>
      </c>
      <c r="D1339" s="23">
        <v>0</v>
      </c>
      <c r="E1339" s="23">
        <v>0</v>
      </c>
      <c r="F1339" s="23">
        <v>0</v>
      </c>
      <c r="G1339" s="23">
        <v>0</v>
      </c>
      <c r="H1339" s="23">
        <v>0</v>
      </c>
      <c r="I1339" s="23">
        <v>0</v>
      </c>
      <c r="J1339" s="23">
        <v>0</v>
      </c>
      <c r="K1339" s="23">
        <v>1509.998</v>
      </c>
    </row>
    <row r="1340" spans="1:11" x14ac:dyDescent="0.25">
      <c r="A1340">
        <v>1339</v>
      </c>
      <c r="B1340" s="23">
        <v>1268.1569999999999</v>
      </c>
      <c r="C1340" s="23">
        <v>0</v>
      </c>
      <c r="D1340" s="23">
        <v>0</v>
      </c>
      <c r="E1340" s="23">
        <v>0</v>
      </c>
      <c r="F1340" s="23">
        <v>0</v>
      </c>
      <c r="G1340" s="23">
        <v>0</v>
      </c>
      <c r="H1340" s="23">
        <v>0</v>
      </c>
      <c r="I1340" s="23">
        <v>0</v>
      </c>
      <c r="J1340" s="23">
        <v>0</v>
      </c>
      <c r="K1340" s="23">
        <v>1268.1569999999999</v>
      </c>
    </row>
    <row r="1341" spans="1:11" x14ac:dyDescent="0.25">
      <c r="A1341">
        <v>1340</v>
      </c>
      <c r="B1341" s="23">
        <v>1219.2</v>
      </c>
      <c r="C1341" s="23">
        <v>0</v>
      </c>
      <c r="D1341" s="23">
        <v>0</v>
      </c>
      <c r="E1341" s="23">
        <v>0</v>
      </c>
      <c r="F1341" s="23">
        <v>0</v>
      </c>
      <c r="G1341" s="23">
        <v>0</v>
      </c>
      <c r="H1341" s="23">
        <v>0</v>
      </c>
      <c r="I1341" s="23">
        <v>0</v>
      </c>
      <c r="J1341" s="23">
        <v>0</v>
      </c>
      <c r="K1341" s="23">
        <v>1219.2</v>
      </c>
    </row>
    <row r="1342" spans="1:11" x14ac:dyDescent="0.25">
      <c r="A1342">
        <v>1341</v>
      </c>
      <c r="B1342" s="23">
        <v>1537.6</v>
      </c>
      <c r="C1342" s="23">
        <v>0</v>
      </c>
      <c r="D1342" s="23">
        <v>0</v>
      </c>
      <c r="E1342" s="23">
        <v>0</v>
      </c>
      <c r="F1342" s="23">
        <v>0</v>
      </c>
      <c r="G1342" s="23">
        <v>0</v>
      </c>
      <c r="H1342" s="23">
        <v>0</v>
      </c>
      <c r="I1342" s="23">
        <v>1537.6</v>
      </c>
      <c r="J1342" s="23">
        <v>0</v>
      </c>
      <c r="K1342" s="23">
        <v>0</v>
      </c>
    </row>
    <row r="1343" spans="1:11" x14ac:dyDescent="0.25">
      <c r="A1343">
        <v>1342</v>
      </c>
      <c r="B1343" s="23">
        <v>1788</v>
      </c>
      <c r="C1343" s="23">
        <v>0</v>
      </c>
      <c r="D1343" s="23">
        <v>0</v>
      </c>
      <c r="E1343" s="23">
        <v>0</v>
      </c>
      <c r="F1343" s="23">
        <v>0</v>
      </c>
      <c r="G1343" s="23">
        <v>0</v>
      </c>
      <c r="H1343" s="23">
        <v>0</v>
      </c>
      <c r="I1343" s="23">
        <v>1788</v>
      </c>
      <c r="J1343" s="23">
        <v>0</v>
      </c>
      <c r="K1343" s="23">
        <v>0</v>
      </c>
    </row>
    <row r="1344" spans="1:11" x14ac:dyDescent="0.25">
      <c r="A1344">
        <v>1343</v>
      </c>
      <c r="B1344" s="23">
        <v>1920</v>
      </c>
      <c r="C1344" s="23">
        <v>0</v>
      </c>
      <c r="D1344" s="23">
        <v>0</v>
      </c>
      <c r="E1344" s="23">
        <v>0</v>
      </c>
      <c r="F1344" s="23">
        <v>0</v>
      </c>
      <c r="G1344" s="23">
        <v>0</v>
      </c>
      <c r="H1344" s="23">
        <v>0</v>
      </c>
      <c r="I1344" s="23">
        <v>1920</v>
      </c>
      <c r="J1344" s="23">
        <v>0</v>
      </c>
      <c r="K1344" s="23">
        <v>0</v>
      </c>
    </row>
    <row r="1345" spans="1:11" x14ac:dyDescent="0.25">
      <c r="A1345">
        <v>1344</v>
      </c>
      <c r="B1345" s="23">
        <v>1416</v>
      </c>
      <c r="C1345" s="23">
        <v>0</v>
      </c>
      <c r="D1345" s="23">
        <v>0</v>
      </c>
      <c r="E1345" s="23">
        <v>0</v>
      </c>
      <c r="F1345" s="23">
        <v>0</v>
      </c>
      <c r="G1345" s="23">
        <v>0</v>
      </c>
      <c r="H1345" s="23">
        <v>0</v>
      </c>
      <c r="I1345" s="23">
        <v>1416</v>
      </c>
      <c r="J1345" s="23">
        <v>0</v>
      </c>
      <c r="K1345" s="23">
        <v>0</v>
      </c>
    </row>
    <row r="1346" spans="1:11" x14ac:dyDescent="0.25">
      <c r="A1346">
        <v>1345</v>
      </c>
      <c r="B1346" s="23">
        <v>1318.4</v>
      </c>
      <c r="C1346" s="23">
        <v>0</v>
      </c>
      <c r="D1346" s="23">
        <v>0</v>
      </c>
      <c r="E1346" s="23">
        <v>0</v>
      </c>
      <c r="F1346" s="23">
        <v>0</v>
      </c>
      <c r="G1346" s="23">
        <v>0</v>
      </c>
      <c r="H1346" s="23">
        <v>0</v>
      </c>
      <c r="I1346" s="23">
        <v>1318.4</v>
      </c>
      <c r="J1346" s="23">
        <v>0</v>
      </c>
      <c r="K1346" s="23">
        <v>0</v>
      </c>
    </row>
    <row r="1347" spans="1:11" x14ac:dyDescent="0.25">
      <c r="A1347">
        <v>1346</v>
      </c>
      <c r="B1347" s="23">
        <v>1386.4</v>
      </c>
      <c r="C1347" s="23">
        <v>0</v>
      </c>
      <c r="D1347" s="23">
        <v>0</v>
      </c>
      <c r="E1347" s="23">
        <v>0</v>
      </c>
      <c r="F1347" s="23">
        <v>0</v>
      </c>
      <c r="G1347" s="23">
        <v>0</v>
      </c>
      <c r="H1347" s="23">
        <v>0</v>
      </c>
      <c r="I1347" s="23">
        <v>1386.4</v>
      </c>
      <c r="J1347" s="23">
        <v>0</v>
      </c>
      <c r="K1347" s="23">
        <v>0</v>
      </c>
    </row>
    <row r="1348" spans="1:11" x14ac:dyDescent="0.25">
      <c r="A1348">
        <v>1347</v>
      </c>
      <c r="B1348" s="23">
        <v>1447.2</v>
      </c>
      <c r="C1348" s="23">
        <v>0</v>
      </c>
      <c r="D1348" s="23">
        <v>0</v>
      </c>
      <c r="E1348" s="23">
        <v>0</v>
      </c>
      <c r="F1348" s="23">
        <v>0</v>
      </c>
      <c r="G1348" s="23">
        <v>0</v>
      </c>
      <c r="H1348" s="23">
        <v>0</v>
      </c>
      <c r="I1348" s="23">
        <v>1447.2</v>
      </c>
      <c r="J1348" s="23">
        <v>0</v>
      </c>
      <c r="K1348" s="23">
        <v>0</v>
      </c>
    </row>
    <row r="1349" spans="1:11" x14ac:dyDescent="0.25">
      <c r="A1349">
        <v>1348</v>
      </c>
      <c r="B1349" s="23">
        <v>1560.8</v>
      </c>
      <c r="C1349" s="23">
        <v>0</v>
      </c>
      <c r="D1349" s="23">
        <v>0</v>
      </c>
      <c r="E1349" s="23">
        <v>0</v>
      </c>
      <c r="F1349" s="23">
        <v>0</v>
      </c>
      <c r="G1349" s="23">
        <v>0</v>
      </c>
      <c r="H1349" s="23">
        <v>0</v>
      </c>
      <c r="I1349" s="23">
        <v>1560.8</v>
      </c>
      <c r="J1349" s="23">
        <v>0</v>
      </c>
      <c r="K1349" s="23">
        <v>0</v>
      </c>
    </row>
    <row r="1350" spans="1:11" x14ac:dyDescent="0.25">
      <c r="A1350">
        <v>1349</v>
      </c>
      <c r="B1350" s="23">
        <v>1575.2</v>
      </c>
      <c r="C1350" s="23">
        <v>0</v>
      </c>
      <c r="D1350" s="23">
        <v>0</v>
      </c>
      <c r="E1350" s="23">
        <v>0</v>
      </c>
      <c r="F1350" s="23">
        <v>0</v>
      </c>
      <c r="G1350" s="23">
        <v>0</v>
      </c>
      <c r="H1350" s="23">
        <v>0</v>
      </c>
      <c r="I1350" s="23">
        <v>1575.2</v>
      </c>
      <c r="J1350" s="23">
        <v>0</v>
      </c>
      <c r="K1350" s="23">
        <v>0</v>
      </c>
    </row>
    <row r="1351" spans="1:11" x14ac:dyDescent="0.25">
      <c r="A1351">
        <v>1350</v>
      </c>
      <c r="B1351" s="23">
        <v>1132</v>
      </c>
      <c r="C1351" s="23">
        <v>0</v>
      </c>
      <c r="D1351" s="23">
        <v>0</v>
      </c>
      <c r="E1351" s="23">
        <v>0</v>
      </c>
      <c r="F1351" s="23">
        <v>0</v>
      </c>
      <c r="G1351" s="23">
        <v>0</v>
      </c>
      <c r="H1351" s="23">
        <v>0</v>
      </c>
      <c r="I1351" s="23">
        <v>1132</v>
      </c>
      <c r="J1351" s="23">
        <v>0</v>
      </c>
      <c r="K1351" s="23">
        <v>0</v>
      </c>
    </row>
    <row r="1352" spans="1:11" x14ac:dyDescent="0.25">
      <c r="A1352">
        <v>1351</v>
      </c>
      <c r="B1352" s="23">
        <v>1085.5999999999999</v>
      </c>
      <c r="C1352" s="23">
        <v>59.12</v>
      </c>
      <c r="D1352" s="23">
        <v>134.857</v>
      </c>
      <c r="E1352" s="23">
        <v>134.857</v>
      </c>
      <c r="F1352" s="23">
        <v>0</v>
      </c>
      <c r="G1352" s="23">
        <v>0</v>
      </c>
      <c r="H1352" s="23">
        <v>0</v>
      </c>
      <c r="I1352" s="23">
        <v>367.00099999999998</v>
      </c>
      <c r="J1352" s="23">
        <v>0</v>
      </c>
      <c r="K1352" s="23">
        <v>583.74199999999996</v>
      </c>
    </row>
    <row r="1353" spans="1:11" x14ac:dyDescent="0.25">
      <c r="A1353">
        <v>1352</v>
      </c>
      <c r="B1353" s="23">
        <v>972.73699999999997</v>
      </c>
      <c r="C1353" s="23">
        <v>299.7</v>
      </c>
      <c r="D1353" s="23">
        <v>1145.559</v>
      </c>
      <c r="E1353" s="23">
        <v>972.73699999999997</v>
      </c>
      <c r="F1353" s="23">
        <v>-172.822</v>
      </c>
      <c r="G1353" s="23">
        <v>0</v>
      </c>
      <c r="H1353" s="23">
        <v>0</v>
      </c>
      <c r="I1353" s="23">
        <v>0</v>
      </c>
      <c r="J1353" s="23">
        <v>0</v>
      </c>
      <c r="K1353" s="23">
        <v>0</v>
      </c>
    </row>
    <row r="1354" spans="1:11" x14ac:dyDescent="0.25">
      <c r="A1354">
        <v>1353</v>
      </c>
      <c r="B1354" s="23">
        <v>1002.649</v>
      </c>
      <c r="C1354" s="23">
        <v>542.28</v>
      </c>
      <c r="D1354" s="23">
        <v>2158.0479999999998</v>
      </c>
      <c r="E1354" s="23">
        <v>1002.649</v>
      </c>
      <c r="F1354" s="23">
        <v>-1155.3989999999999</v>
      </c>
      <c r="G1354" s="23">
        <v>0</v>
      </c>
      <c r="H1354" s="23">
        <v>0</v>
      </c>
      <c r="I1354" s="23">
        <v>0</v>
      </c>
      <c r="J1354" s="23">
        <v>0</v>
      </c>
      <c r="K1354" s="23">
        <v>0</v>
      </c>
    </row>
    <row r="1355" spans="1:11" x14ac:dyDescent="0.25">
      <c r="A1355">
        <v>1354</v>
      </c>
      <c r="B1355" s="23">
        <v>1224.9459999999999</v>
      </c>
      <c r="C1355" s="23">
        <v>777.35</v>
      </c>
      <c r="D1355" s="23">
        <v>2990.8609999999999</v>
      </c>
      <c r="E1355" s="23">
        <v>1224.9459999999999</v>
      </c>
      <c r="F1355" s="23">
        <v>-1684.559</v>
      </c>
      <c r="G1355" s="23">
        <v>0</v>
      </c>
      <c r="H1355" s="23">
        <v>81.355999999999995</v>
      </c>
      <c r="I1355" s="23">
        <v>0</v>
      </c>
      <c r="J1355" s="23">
        <v>0</v>
      </c>
      <c r="K1355" s="23">
        <v>0</v>
      </c>
    </row>
    <row r="1356" spans="1:11" x14ac:dyDescent="0.25">
      <c r="A1356">
        <v>1355</v>
      </c>
      <c r="B1356" s="23">
        <v>1629.8510000000001</v>
      </c>
      <c r="C1356" s="23">
        <v>939.11</v>
      </c>
      <c r="D1356" s="23">
        <v>3521.643</v>
      </c>
      <c r="E1356" s="23">
        <v>1629.8510000000001</v>
      </c>
      <c r="F1356" s="23">
        <v>-1684.559</v>
      </c>
      <c r="G1356" s="23">
        <v>0</v>
      </c>
      <c r="H1356" s="23">
        <v>207.233</v>
      </c>
      <c r="I1356" s="23">
        <v>0</v>
      </c>
      <c r="J1356" s="23">
        <v>0</v>
      </c>
      <c r="K1356" s="23">
        <v>0</v>
      </c>
    </row>
    <row r="1357" spans="1:11" x14ac:dyDescent="0.25">
      <c r="A1357">
        <v>1356</v>
      </c>
      <c r="B1357" s="23">
        <v>1267.6510000000001</v>
      </c>
      <c r="C1357" s="23">
        <v>827.52</v>
      </c>
      <c r="D1357" s="23">
        <v>3093.9650000000001</v>
      </c>
      <c r="E1357" s="23">
        <v>1267.652</v>
      </c>
      <c r="F1357" s="23">
        <v>-1684.559</v>
      </c>
      <c r="G1357" s="23">
        <v>0</v>
      </c>
      <c r="H1357" s="23">
        <v>141.75399999999999</v>
      </c>
      <c r="I1357" s="23">
        <v>0</v>
      </c>
      <c r="J1357" s="23">
        <v>0</v>
      </c>
      <c r="K1357" s="23">
        <v>0</v>
      </c>
    </row>
    <row r="1358" spans="1:11" x14ac:dyDescent="0.25">
      <c r="A1358">
        <v>1357</v>
      </c>
      <c r="B1358" s="23">
        <v>1387.7239999999999</v>
      </c>
      <c r="C1358" s="23">
        <v>634.65</v>
      </c>
      <c r="D1358" s="23">
        <v>2366.0990000000002</v>
      </c>
      <c r="E1358" s="23">
        <v>1387.7239999999999</v>
      </c>
      <c r="F1358" s="23">
        <v>-909.6</v>
      </c>
      <c r="G1358" s="23">
        <v>0</v>
      </c>
      <c r="H1358" s="23">
        <v>68.775000000000006</v>
      </c>
      <c r="I1358" s="23">
        <v>0</v>
      </c>
      <c r="J1358" s="23">
        <v>0</v>
      </c>
      <c r="K1358" s="23">
        <v>0</v>
      </c>
    </row>
    <row r="1359" spans="1:11" x14ac:dyDescent="0.25">
      <c r="A1359">
        <v>1358</v>
      </c>
      <c r="B1359" s="23">
        <v>1508.577</v>
      </c>
      <c r="C1359" s="23">
        <v>538.5</v>
      </c>
      <c r="D1359" s="23">
        <v>2028.098</v>
      </c>
      <c r="E1359" s="23">
        <v>1508.577</v>
      </c>
      <c r="F1359" s="23">
        <v>0</v>
      </c>
      <c r="G1359" s="23">
        <v>0</v>
      </c>
      <c r="H1359" s="23">
        <v>519.52099999999996</v>
      </c>
      <c r="I1359" s="23">
        <v>0</v>
      </c>
      <c r="J1359" s="23">
        <v>0</v>
      </c>
      <c r="K1359" s="23">
        <v>0</v>
      </c>
    </row>
    <row r="1360" spans="1:11" x14ac:dyDescent="0.25">
      <c r="A1360">
        <v>1359</v>
      </c>
      <c r="B1360" s="23">
        <v>1492.2049999999999</v>
      </c>
      <c r="C1360" s="23">
        <v>379.76</v>
      </c>
      <c r="D1360" s="23">
        <v>1445.075</v>
      </c>
      <c r="E1360" s="23">
        <v>1445.075</v>
      </c>
      <c r="F1360" s="23">
        <v>0</v>
      </c>
      <c r="G1360" s="23">
        <v>0</v>
      </c>
      <c r="H1360" s="23">
        <v>0</v>
      </c>
      <c r="I1360" s="23">
        <v>47.13</v>
      </c>
      <c r="J1360" s="23">
        <v>0</v>
      </c>
      <c r="K1360" s="23">
        <v>0</v>
      </c>
    </row>
    <row r="1361" spans="1:11" x14ac:dyDescent="0.25">
      <c r="A1361">
        <v>1360</v>
      </c>
      <c r="B1361" s="23">
        <v>1115.5060000000001</v>
      </c>
      <c r="C1361" s="23">
        <v>190.58</v>
      </c>
      <c r="D1361" s="23">
        <v>717.49800000000005</v>
      </c>
      <c r="E1361" s="23">
        <v>717.49800000000005</v>
      </c>
      <c r="F1361" s="23">
        <v>0</v>
      </c>
      <c r="G1361" s="23">
        <v>0</v>
      </c>
      <c r="H1361" s="23">
        <v>0</v>
      </c>
      <c r="I1361" s="23">
        <v>398.00799999999998</v>
      </c>
      <c r="J1361" s="23">
        <v>0</v>
      </c>
      <c r="K1361" s="23">
        <v>0</v>
      </c>
    </row>
    <row r="1362" spans="1:11" x14ac:dyDescent="0.25">
      <c r="A1362">
        <v>1361</v>
      </c>
      <c r="B1362" s="23">
        <v>1715.058</v>
      </c>
      <c r="C1362" s="23">
        <v>309.52</v>
      </c>
      <c r="D1362" s="23">
        <v>1197.1030000000001</v>
      </c>
      <c r="E1362" s="23">
        <v>1197.1030000000001</v>
      </c>
      <c r="F1362" s="23">
        <v>0</v>
      </c>
      <c r="G1362" s="23">
        <v>0</v>
      </c>
      <c r="H1362" s="23">
        <v>0</v>
      </c>
      <c r="I1362" s="23">
        <v>517.95500000000004</v>
      </c>
      <c r="J1362" s="23">
        <v>0</v>
      </c>
      <c r="K1362" s="23">
        <v>0</v>
      </c>
    </row>
    <row r="1363" spans="1:11" x14ac:dyDescent="0.25">
      <c r="A1363">
        <v>1362</v>
      </c>
      <c r="B1363" s="23">
        <v>1580.662</v>
      </c>
      <c r="C1363" s="23">
        <v>50.54</v>
      </c>
      <c r="D1363" s="23">
        <v>150.251</v>
      </c>
      <c r="E1363" s="23">
        <v>150.251</v>
      </c>
      <c r="F1363" s="23">
        <v>0</v>
      </c>
      <c r="G1363" s="23">
        <v>0</v>
      </c>
      <c r="H1363" s="23">
        <v>0</v>
      </c>
      <c r="I1363" s="23">
        <v>0</v>
      </c>
      <c r="J1363" s="23">
        <v>0</v>
      </c>
      <c r="K1363" s="23">
        <v>1430.4110000000001</v>
      </c>
    </row>
    <row r="1364" spans="1:11" x14ac:dyDescent="0.25">
      <c r="A1364">
        <v>1363</v>
      </c>
      <c r="B1364" s="23">
        <v>1152.8</v>
      </c>
      <c r="C1364" s="23">
        <v>0</v>
      </c>
      <c r="D1364" s="23">
        <v>0</v>
      </c>
      <c r="E1364" s="23">
        <v>0</v>
      </c>
      <c r="F1364" s="23">
        <v>0</v>
      </c>
      <c r="G1364" s="23">
        <v>0</v>
      </c>
      <c r="H1364" s="23">
        <v>0</v>
      </c>
      <c r="I1364" s="23">
        <v>0</v>
      </c>
      <c r="J1364" s="23">
        <v>0</v>
      </c>
      <c r="K1364" s="23">
        <v>1152.8</v>
      </c>
    </row>
    <row r="1365" spans="1:11" x14ac:dyDescent="0.25">
      <c r="A1365">
        <v>1364</v>
      </c>
      <c r="B1365" s="23">
        <v>1612</v>
      </c>
      <c r="C1365" s="23">
        <v>0</v>
      </c>
      <c r="D1365" s="23">
        <v>0</v>
      </c>
      <c r="E1365" s="23">
        <v>0</v>
      </c>
      <c r="F1365" s="23">
        <v>0</v>
      </c>
      <c r="G1365" s="23">
        <v>0</v>
      </c>
      <c r="H1365" s="23">
        <v>0</v>
      </c>
      <c r="I1365" s="23">
        <v>0</v>
      </c>
      <c r="J1365" s="23">
        <v>0</v>
      </c>
      <c r="K1365" s="23">
        <v>1612</v>
      </c>
    </row>
    <row r="1366" spans="1:11" x14ac:dyDescent="0.25">
      <c r="A1366">
        <v>1365</v>
      </c>
      <c r="B1366" s="23">
        <v>1400.8</v>
      </c>
      <c r="C1366" s="23">
        <v>0</v>
      </c>
      <c r="D1366" s="23">
        <v>0</v>
      </c>
      <c r="E1366" s="23">
        <v>0</v>
      </c>
      <c r="F1366" s="23">
        <v>0</v>
      </c>
      <c r="G1366" s="23">
        <v>0</v>
      </c>
      <c r="H1366" s="23">
        <v>0</v>
      </c>
      <c r="I1366" s="23">
        <v>1400.8</v>
      </c>
      <c r="J1366" s="23">
        <v>0</v>
      </c>
      <c r="K1366" s="23">
        <v>0</v>
      </c>
    </row>
    <row r="1367" spans="1:11" x14ac:dyDescent="0.25">
      <c r="A1367">
        <v>1366</v>
      </c>
      <c r="B1367" s="23">
        <v>1607.2</v>
      </c>
      <c r="C1367" s="23">
        <v>0</v>
      </c>
      <c r="D1367" s="23">
        <v>0</v>
      </c>
      <c r="E1367" s="23">
        <v>0</v>
      </c>
      <c r="F1367" s="23">
        <v>0</v>
      </c>
      <c r="G1367" s="23">
        <v>0</v>
      </c>
      <c r="H1367" s="23">
        <v>0</v>
      </c>
      <c r="I1367" s="23">
        <v>1607.2</v>
      </c>
      <c r="J1367" s="23">
        <v>0</v>
      </c>
      <c r="K1367" s="23">
        <v>0</v>
      </c>
    </row>
    <row r="1368" spans="1:11" x14ac:dyDescent="0.25">
      <c r="A1368">
        <v>1367</v>
      </c>
      <c r="B1368" s="23">
        <v>1369.6</v>
      </c>
      <c r="C1368" s="23">
        <v>0</v>
      </c>
      <c r="D1368" s="23">
        <v>0</v>
      </c>
      <c r="E1368" s="23">
        <v>0</v>
      </c>
      <c r="F1368" s="23">
        <v>0</v>
      </c>
      <c r="G1368" s="23">
        <v>0</v>
      </c>
      <c r="H1368" s="23">
        <v>0</v>
      </c>
      <c r="I1368" s="23">
        <v>1369.6</v>
      </c>
      <c r="J1368" s="23">
        <v>0</v>
      </c>
      <c r="K1368" s="23">
        <v>0</v>
      </c>
    </row>
    <row r="1369" spans="1:11" x14ac:dyDescent="0.25">
      <c r="A1369">
        <v>1368</v>
      </c>
      <c r="B1369" s="23">
        <v>1172</v>
      </c>
      <c r="C1369" s="23">
        <v>0</v>
      </c>
      <c r="D1369" s="23">
        <v>0</v>
      </c>
      <c r="E1369" s="23">
        <v>0</v>
      </c>
      <c r="F1369" s="23">
        <v>0</v>
      </c>
      <c r="G1369" s="23">
        <v>0</v>
      </c>
      <c r="H1369" s="23">
        <v>0</v>
      </c>
      <c r="I1369" s="23">
        <v>1172</v>
      </c>
      <c r="J1369" s="23">
        <v>0</v>
      </c>
      <c r="K1369" s="23">
        <v>0</v>
      </c>
    </row>
    <row r="1370" spans="1:11" x14ac:dyDescent="0.25">
      <c r="A1370">
        <v>1369</v>
      </c>
      <c r="B1370" s="23">
        <v>1296.8</v>
      </c>
      <c r="C1370" s="23">
        <v>0</v>
      </c>
      <c r="D1370" s="23">
        <v>0</v>
      </c>
      <c r="E1370" s="23">
        <v>0</v>
      </c>
      <c r="F1370" s="23">
        <v>0</v>
      </c>
      <c r="G1370" s="23">
        <v>0</v>
      </c>
      <c r="H1370" s="23">
        <v>0</v>
      </c>
      <c r="I1370" s="23">
        <v>1296.8</v>
      </c>
      <c r="J1370" s="23">
        <v>0</v>
      </c>
      <c r="K1370" s="23">
        <v>0</v>
      </c>
    </row>
    <row r="1371" spans="1:11" x14ac:dyDescent="0.25">
      <c r="A1371">
        <v>1370</v>
      </c>
      <c r="B1371" s="23">
        <v>1394.4</v>
      </c>
      <c r="C1371" s="23">
        <v>0</v>
      </c>
      <c r="D1371" s="23">
        <v>0</v>
      </c>
      <c r="E1371" s="23">
        <v>0</v>
      </c>
      <c r="F1371" s="23">
        <v>0</v>
      </c>
      <c r="G1371" s="23">
        <v>0</v>
      </c>
      <c r="H1371" s="23">
        <v>0</v>
      </c>
      <c r="I1371" s="23">
        <v>1394.4</v>
      </c>
      <c r="J1371" s="23">
        <v>0</v>
      </c>
      <c r="K1371" s="23">
        <v>0</v>
      </c>
    </row>
    <row r="1372" spans="1:11" x14ac:dyDescent="0.25">
      <c r="A1372">
        <v>1371</v>
      </c>
      <c r="B1372" s="23">
        <v>1192</v>
      </c>
      <c r="C1372" s="23">
        <v>0</v>
      </c>
      <c r="D1372" s="23">
        <v>0</v>
      </c>
      <c r="E1372" s="23">
        <v>0</v>
      </c>
      <c r="F1372" s="23">
        <v>0</v>
      </c>
      <c r="G1372" s="23">
        <v>0</v>
      </c>
      <c r="H1372" s="23">
        <v>0</v>
      </c>
      <c r="I1372" s="23">
        <v>1192</v>
      </c>
      <c r="J1372" s="23">
        <v>0</v>
      </c>
      <c r="K1372" s="23">
        <v>0</v>
      </c>
    </row>
    <row r="1373" spans="1:11" x14ac:dyDescent="0.25">
      <c r="A1373">
        <v>1372</v>
      </c>
      <c r="B1373" s="23">
        <v>1368.8</v>
      </c>
      <c r="C1373" s="23">
        <v>0</v>
      </c>
      <c r="D1373" s="23">
        <v>0</v>
      </c>
      <c r="E1373" s="23">
        <v>0</v>
      </c>
      <c r="F1373" s="23">
        <v>0</v>
      </c>
      <c r="G1373" s="23">
        <v>0</v>
      </c>
      <c r="H1373" s="23">
        <v>0</v>
      </c>
      <c r="I1373" s="23">
        <v>1368.8</v>
      </c>
      <c r="J1373" s="23">
        <v>0</v>
      </c>
      <c r="K1373" s="23">
        <v>0</v>
      </c>
    </row>
    <row r="1374" spans="1:11" x14ac:dyDescent="0.25">
      <c r="A1374">
        <v>1373</v>
      </c>
      <c r="B1374" s="23">
        <v>1286.4000000000001</v>
      </c>
      <c r="C1374" s="23">
        <v>0</v>
      </c>
      <c r="D1374" s="23">
        <v>0</v>
      </c>
      <c r="E1374" s="23">
        <v>0</v>
      </c>
      <c r="F1374" s="23">
        <v>0</v>
      </c>
      <c r="G1374" s="23">
        <v>0</v>
      </c>
      <c r="H1374" s="23">
        <v>0</v>
      </c>
      <c r="I1374" s="23">
        <v>468.78899999999999</v>
      </c>
      <c r="J1374" s="23">
        <v>0</v>
      </c>
      <c r="K1374" s="23">
        <v>817.61099999999999</v>
      </c>
    </row>
    <row r="1375" spans="1:11" x14ac:dyDescent="0.25">
      <c r="A1375">
        <v>1374</v>
      </c>
      <c r="B1375" s="23">
        <v>717.6</v>
      </c>
      <c r="C1375" s="23">
        <v>0</v>
      </c>
      <c r="D1375" s="23">
        <v>0</v>
      </c>
      <c r="E1375" s="23">
        <v>0</v>
      </c>
      <c r="F1375" s="23">
        <v>0</v>
      </c>
      <c r="G1375" s="23">
        <v>0</v>
      </c>
      <c r="H1375" s="23">
        <v>0</v>
      </c>
      <c r="I1375" s="23">
        <v>0</v>
      </c>
      <c r="J1375" s="23">
        <v>0</v>
      </c>
      <c r="K1375" s="23">
        <v>717.6</v>
      </c>
    </row>
    <row r="1376" spans="1:11" x14ac:dyDescent="0.25">
      <c r="A1376">
        <v>1375</v>
      </c>
      <c r="B1376" s="23">
        <v>961.6</v>
      </c>
      <c r="C1376" s="23">
        <v>60.56</v>
      </c>
      <c r="D1376" s="23">
        <v>140.173</v>
      </c>
      <c r="E1376" s="23">
        <v>140.173</v>
      </c>
      <c r="F1376" s="23">
        <v>0</v>
      </c>
      <c r="G1376" s="23">
        <v>0</v>
      </c>
      <c r="H1376" s="23">
        <v>0</v>
      </c>
      <c r="I1376" s="23">
        <v>0</v>
      </c>
      <c r="J1376" s="23">
        <v>0</v>
      </c>
      <c r="K1376" s="23">
        <v>821.42700000000002</v>
      </c>
    </row>
    <row r="1377" spans="1:11" x14ac:dyDescent="0.25">
      <c r="A1377">
        <v>1376</v>
      </c>
      <c r="B1377" s="23">
        <v>858.74199999999996</v>
      </c>
      <c r="C1377" s="23">
        <v>300.98</v>
      </c>
      <c r="D1377" s="23">
        <v>1151.2260000000001</v>
      </c>
      <c r="E1377" s="23">
        <v>858.74199999999996</v>
      </c>
      <c r="F1377" s="23">
        <v>-292.48399999999998</v>
      </c>
      <c r="G1377" s="23">
        <v>0</v>
      </c>
      <c r="H1377" s="23">
        <v>0</v>
      </c>
      <c r="I1377" s="23">
        <v>0</v>
      </c>
      <c r="J1377" s="23">
        <v>0</v>
      </c>
      <c r="K1377" s="23">
        <v>0</v>
      </c>
    </row>
    <row r="1378" spans="1:11" x14ac:dyDescent="0.25">
      <c r="A1378">
        <v>1377</v>
      </c>
      <c r="B1378" s="23">
        <v>924.64700000000005</v>
      </c>
      <c r="C1378" s="23">
        <v>560.52</v>
      </c>
      <c r="D1378" s="23">
        <v>2220.0630000000001</v>
      </c>
      <c r="E1378" s="23">
        <v>924.64700000000005</v>
      </c>
      <c r="F1378" s="23">
        <v>-1295.4159999999999</v>
      </c>
      <c r="G1378" s="23">
        <v>0</v>
      </c>
      <c r="H1378" s="23">
        <v>0</v>
      </c>
      <c r="I1378" s="23">
        <v>0</v>
      </c>
      <c r="J1378" s="23">
        <v>0</v>
      </c>
      <c r="K1378" s="23">
        <v>0</v>
      </c>
    </row>
    <row r="1379" spans="1:11" x14ac:dyDescent="0.25">
      <c r="A1379">
        <v>1378</v>
      </c>
      <c r="B1379" s="23">
        <v>1261.3219999999999</v>
      </c>
      <c r="C1379" s="23">
        <v>780.12</v>
      </c>
      <c r="D1379" s="23">
        <v>2948.7089999999998</v>
      </c>
      <c r="E1379" s="23">
        <v>1261.3230000000001</v>
      </c>
      <c r="F1379" s="23">
        <v>-1684.559</v>
      </c>
      <c r="G1379" s="23">
        <v>0</v>
      </c>
      <c r="H1379" s="23">
        <v>2.827</v>
      </c>
      <c r="I1379" s="23">
        <v>0</v>
      </c>
      <c r="J1379" s="23">
        <v>0</v>
      </c>
      <c r="K1379" s="23">
        <v>0</v>
      </c>
    </row>
    <row r="1380" spans="1:11" x14ac:dyDescent="0.25">
      <c r="A1380">
        <v>1379</v>
      </c>
      <c r="B1380" s="23">
        <v>921.625</v>
      </c>
      <c r="C1380" s="23">
        <v>942.29</v>
      </c>
      <c r="D1380" s="23">
        <v>3411.9479999999999</v>
      </c>
      <c r="E1380" s="23">
        <v>921.625</v>
      </c>
      <c r="F1380" s="23">
        <v>-1684.559</v>
      </c>
      <c r="G1380" s="23">
        <v>0</v>
      </c>
      <c r="H1380" s="23">
        <v>805.76400000000001</v>
      </c>
      <c r="I1380" s="23">
        <v>0</v>
      </c>
      <c r="J1380" s="23">
        <v>0</v>
      </c>
      <c r="K1380" s="23">
        <v>0</v>
      </c>
    </row>
    <row r="1381" spans="1:11" x14ac:dyDescent="0.25">
      <c r="A1381">
        <v>1380</v>
      </c>
      <c r="B1381" s="23">
        <v>1166.42</v>
      </c>
      <c r="C1381" s="23">
        <v>1030.25</v>
      </c>
      <c r="D1381" s="23">
        <v>3634.2</v>
      </c>
      <c r="E1381" s="23">
        <v>1166.42</v>
      </c>
      <c r="F1381" s="23">
        <v>-1684.559</v>
      </c>
      <c r="G1381" s="23">
        <v>0</v>
      </c>
      <c r="H1381" s="23">
        <v>783.221</v>
      </c>
      <c r="I1381" s="23">
        <v>0</v>
      </c>
      <c r="J1381" s="23">
        <v>0</v>
      </c>
      <c r="K1381" s="23">
        <v>0</v>
      </c>
    </row>
    <row r="1382" spans="1:11" x14ac:dyDescent="0.25">
      <c r="A1382">
        <v>1381</v>
      </c>
      <c r="B1382" s="23">
        <v>1425.732</v>
      </c>
      <c r="C1382" s="23">
        <v>1007.97</v>
      </c>
      <c r="D1382" s="23">
        <v>3545.1579999999999</v>
      </c>
      <c r="E1382" s="23">
        <v>1425.732</v>
      </c>
      <c r="F1382" s="23">
        <v>-649.92100000000005</v>
      </c>
      <c r="G1382" s="23">
        <v>0</v>
      </c>
      <c r="H1382" s="23">
        <v>1469.5050000000001</v>
      </c>
      <c r="I1382" s="23">
        <v>0</v>
      </c>
      <c r="J1382" s="23">
        <v>0</v>
      </c>
      <c r="K1382" s="23">
        <v>0</v>
      </c>
    </row>
    <row r="1383" spans="1:11" x14ac:dyDescent="0.25">
      <c r="A1383">
        <v>1382</v>
      </c>
      <c r="B1383" s="23">
        <v>1270.075</v>
      </c>
      <c r="C1383" s="23">
        <v>642.08000000000004</v>
      </c>
      <c r="D1383" s="23">
        <v>2342.6979999999999</v>
      </c>
      <c r="E1383" s="23">
        <v>1270.075</v>
      </c>
      <c r="F1383" s="23">
        <v>0</v>
      </c>
      <c r="G1383" s="23">
        <v>0</v>
      </c>
      <c r="H1383" s="23">
        <v>1072.623</v>
      </c>
      <c r="I1383" s="23">
        <v>0</v>
      </c>
      <c r="J1383" s="23">
        <v>0</v>
      </c>
      <c r="K1383" s="23">
        <v>0</v>
      </c>
    </row>
    <row r="1384" spans="1:11" x14ac:dyDescent="0.25">
      <c r="A1384">
        <v>1383</v>
      </c>
      <c r="B1384" s="23">
        <v>1409.846</v>
      </c>
      <c r="C1384" s="23">
        <v>397.26</v>
      </c>
      <c r="D1384" s="23">
        <v>1482.924</v>
      </c>
      <c r="E1384" s="23">
        <v>1409.846</v>
      </c>
      <c r="F1384" s="23">
        <v>0</v>
      </c>
      <c r="G1384" s="23">
        <v>0</v>
      </c>
      <c r="H1384" s="23">
        <v>73.078000000000003</v>
      </c>
      <c r="I1384" s="23">
        <v>0</v>
      </c>
      <c r="J1384" s="23">
        <v>0</v>
      </c>
      <c r="K1384" s="23">
        <v>0</v>
      </c>
    </row>
    <row r="1385" spans="1:11" x14ac:dyDescent="0.25">
      <c r="A1385">
        <v>1384</v>
      </c>
      <c r="B1385" s="23">
        <v>1503.3030000000001</v>
      </c>
      <c r="C1385" s="23">
        <v>198.31</v>
      </c>
      <c r="D1385" s="23">
        <v>740.88900000000001</v>
      </c>
      <c r="E1385" s="23">
        <v>740.88900000000001</v>
      </c>
      <c r="F1385" s="23">
        <v>0</v>
      </c>
      <c r="G1385" s="23">
        <v>0</v>
      </c>
      <c r="H1385" s="23">
        <v>0</v>
      </c>
      <c r="I1385" s="23">
        <v>762.41399999999999</v>
      </c>
      <c r="J1385" s="23">
        <v>0</v>
      </c>
      <c r="K1385" s="23">
        <v>0</v>
      </c>
    </row>
    <row r="1386" spans="1:11" x14ac:dyDescent="0.25">
      <c r="A1386">
        <v>1385</v>
      </c>
      <c r="B1386" s="23">
        <v>1426.6510000000001</v>
      </c>
      <c r="C1386" s="23">
        <v>150.75</v>
      </c>
      <c r="D1386" s="23">
        <v>565.31500000000005</v>
      </c>
      <c r="E1386" s="23">
        <v>565.31500000000005</v>
      </c>
      <c r="F1386" s="23">
        <v>0</v>
      </c>
      <c r="G1386" s="23">
        <v>0</v>
      </c>
      <c r="H1386" s="23">
        <v>0</v>
      </c>
      <c r="I1386" s="23">
        <v>861.33600000000001</v>
      </c>
      <c r="J1386" s="23">
        <v>0</v>
      </c>
      <c r="K1386" s="23">
        <v>0</v>
      </c>
    </row>
    <row r="1387" spans="1:11" x14ac:dyDescent="0.25">
      <c r="A1387">
        <v>1386</v>
      </c>
      <c r="B1387" s="23">
        <v>1530.7180000000001</v>
      </c>
      <c r="C1387" s="23">
        <v>72</v>
      </c>
      <c r="D1387" s="23">
        <v>217.21</v>
      </c>
      <c r="E1387" s="23">
        <v>217.21</v>
      </c>
      <c r="F1387" s="23">
        <v>0</v>
      </c>
      <c r="G1387" s="23">
        <v>0</v>
      </c>
      <c r="H1387" s="23">
        <v>0</v>
      </c>
      <c r="I1387" s="23">
        <v>0</v>
      </c>
      <c r="J1387" s="23">
        <v>0</v>
      </c>
      <c r="K1387" s="23">
        <v>1313.508</v>
      </c>
    </row>
    <row r="1388" spans="1:11" x14ac:dyDescent="0.25">
      <c r="A1388">
        <v>1387</v>
      </c>
      <c r="B1388" s="23">
        <v>1079.5909999999999</v>
      </c>
      <c r="C1388" s="23">
        <v>0</v>
      </c>
      <c r="D1388" s="23">
        <v>0</v>
      </c>
      <c r="E1388" s="23">
        <v>0</v>
      </c>
      <c r="F1388" s="23">
        <v>0</v>
      </c>
      <c r="G1388" s="23">
        <v>0</v>
      </c>
      <c r="H1388" s="23">
        <v>0</v>
      </c>
      <c r="I1388" s="23">
        <v>0</v>
      </c>
      <c r="J1388" s="23">
        <v>0</v>
      </c>
      <c r="K1388" s="23">
        <v>1079.5909999999999</v>
      </c>
    </row>
    <row r="1389" spans="1:11" x14ac:dyDescent="0.25">
      <c r="A1389">
        <v>1388</v>
      </c>
      <c r="B1389" s="23">
        <v>1292</v>
      </c>
      <c r="C1389" s="23">
        <v>0</v>
      </c>
      <c r="D1389" s="23">
        <v>0</v>
      </c>
      <c r="E1389" s="23">
        <v>0</v>
      </c>
      <c r="F1389" s="23">
        <v>0</v>
      </c>
      <c r="G1389" s="23">
        <v>0</v>
      </c>
      <c r="H1389" s="23">
        <v>0</v>
      </c>
      <c r="I1389" s="23">
        <v>0</v>
      </c>
      <c r="J1389" s="23">
        <v>0</v>
      </c>
      <c r="K1389" s="23">
        <v>1292</v>
      </c>
    </row>
    <row r="1390" spans="1:11" x14ac:dyDescent="0.25">
      <c r="A1390">
        <v>1389</v>
      </c>
      <c r="B1390" s="23">
        <v>1392.8</v>
      </c>
      <c r="C1390" s="23">
        <v>0</v>
      </c>
      <c r="D1390" s="23">
        <v>0</v>
      </c>
      <c r="E1390" s="23">
        <v>0</v>
      </c>
      <c r="F1390" s="23">
        <v>0</v>
      </c>
      <c r="G1390" s="23">
        <v>0</v>
      </c>
      <c r="H1390" s="23">
        <v>0</v>
      </c>
      <c r="I1390" s="23">
        <v>1392.8</v>
      </c>
      <c r="J1390" s="23">
        <v>0</v>
      </c>
      <c r="K1390" s="23">
        <v>0</v>
      </c>
    </row>
    <row r="1391" spans="1:11" x14ac:dyDescent="0.25">
      <c r="A1391">
        <v>1390</v>
      </c>
      <c r="B1391" s="23">
        <v>1493.6</v>
      </c>
      <c r="C1391" s="23">
        <v>0</v>
      </c>
      <c r="D1391" s="23">
        <v>0</v>
      </c>
      <c r="E1391" s="23">
        <v>0</v>
      </c>
      <c r="F1391" s="23">
        <v>0</v>
      </c>
      <c r="G1391" s="23">
        <v>0</v>
      </c>
      <c r="H1391" s="23">
        <v>0</v>
      </c>
      <c r="I1391" s="23">
        <v>1493.6</v>
      </c>
      <c r="J1391" s="23">
        <v>0</v>
      </c>
      <c r="K1391" s="23">
        <v>0</v>
      </c>
    </row>
    <row r="1392" spans="1:11" x14ac:dyDescent="0.25">
      <c r="A1392">
        <v>1391</v>
      </c>
      <c r="B1392" s="23">
        <v>1524</v>
      </c>
      <c r="C1392" s="23">
        <v>0</v>
      </c>
      <c r="D1392" s="23">
        <v>0</v>
      </c>
      <c r="E1392" s="23">
        <v>0</v>
      </c>
      <c r="F1392" s="23">
        <v>0</v>
      </c>
      <c r="G1392" s="23">
        <v>0</v>
      </c>
      <c r="H1392" s="23">
        <v>0</v>
      </c>
      <c r="I1392" s="23">
        <v>1524</v>
      </c>
      <c r="J1392" s="23">
        <v>0</v>
      </c>
      <c r="K1392" s="23">
        <v>0</v>
      </c>
    </row>
    <row r="1393" spans="1:11" x14ac:dyDescent="0.25">
      <c r="A1393">
        <v>1392</v>
      </c>
      <c r="B1393" s="23">
        <v>1385.6</v>
      </c>
      <c r="C1393" s="23">
        <v>0</v>
      </c>
      <c r="D1393" s="23">
        <v>0</v>
      </c>
      <c r="E1393" s="23">
        <v>0</v>
      </c>
      <c r="F1393" s="23">
        <v>0</v>
      </c>
      <c r="G1393" s="23">
        <v>0</v>
      </c>
      <c r="H1393" s="23">
        <v>0</v>
      </c>
      <c r="I1393" s="23">
        <v>1385.6</v>
      </c>
      <c r="J1393" s="23">
        <v>0</v>
      </c>
      <c r="K1393" s="23">
        <v>0</v>
      </c>
    </row>
    <row r="1394" spans="1:11" x14ac:dyDescent="0.25">
      <c r="A1394">
        <v>1393</v>
      </c>
      <c r="B1394" s="23">
        <v>1531.2</v>
      </c>
      <c r="C1394" s="23">
        <v>0</v>
      </c>
      <c r="D1394" s="23">
        <v>0</v>
      </c>
      <c r="E1394" s="23">
        <v>0</v>
      </c>
      <c r="F1394" s="23">
        <v>0</v>
      </c>
      <c r="G1394" s="23">
        <v>0</v>
      </c>
      <c r="H1394" s="23">
        <v>0</v>
      </c>
      <c r="I1394" s="23">
        <v>1531.2</v>
      </c>
      <c r="J1394" s="23">
        <v>0</v>
      </c>
      <c r="K1394" s="23">
        <v>0</v>
      </c>
    </row>
    <row r="1395" spans="1:11" x14ac:dyDescent="0.25">
      <c r="A1395">
        <v>1394</v>
      </c>
      <c r="B1395" s="23">
        <v>1497.6</v>
      </c>
      <c r="C1395" s="23">
        <v>0</v>
      </c>
      <c r="D1395" s="23">
        <v>0</v>
      </c>
      <c r="E1395" s="23">
        <v>0</v>
      </c>
      <c r="F1395" s="23">
        <v>0</v>
      </c>
      <c r="G1395" s="23">
        <v>0</v>
      </c>
      <c r="H1395" s="23">
        <v>0</v>
      </c>
      <c r="I1395" s="23">
        <v>1497.6</v>
      </c>
      <c r="J1395" s="23">
        <v>0</v>
      </c>
      <c r="K1395" s="23">
        <v>0</v>
      </c>
    </row>
    <row r="1396" spans="1:11" x14ac:dyDescent="0.25">
      <c r="A1396">
        <v>1395</v>
      </c>
      <c r="B1396" s="23">
        <v>1485.6</v>
      </c>
      <c r="C1396" s="23">
        <v>0</v>
      </c>
      <c r="D1396" s="23">
        <v>0</v>
      </c>
      <c r="E1396" s="23">
        <v>0</v>
      </c>
      <c r="F1396" s="23">
        <v>0</v>
      </c>
      <c r="G1396" s="23">
        <v>0</v>
      </c>
      <c r="H1396" s="23">
        <v>0</v>
      </c>
      <c r="I1396" s="23">
        <v>1485.6</v>
      </c>
      <c r="J1396" s="23">
        <v>0</v>
      </c>
      <c r="K1396" s="23">
        <v>0</v>
      </c>
    </row>
    <row r="1397" spans="1:11" x14ac:dyDescent="0.25">
      <c r="A1397">
        <v>1396</v>
      </c>
      <c r="B1397" s="23">
        <v>1413.6</v>
      </c>
      <c r="C1397" s="23">
        <v>0</v>
      </c>
      <c r="D1397" s="23">
        <v>0</v>
      </c>
      <c r="E1397" s="23">
        <v>0</v>
      </c>
      <c r="F1397" s="23">
        <v>0</v>
      </c>
      <c r="G1397" s="23">
        <v>0</v>
      </c>
      <c r="H1397" s="23">
        <v>0</v>
      </c>
      <c r="I1397" s="23">
        <v>1413.6</v>
      </c>
      <c r="J1397" s="23">
        <v>0</v>
      </c>
      <c r="K1397" s="23">
        <v>0</v>
      </c>
    </row>
    <row r="1398" spans="1:11" x14ac:dyDescent="0.25">
      <c r="A1398">
        <v>1397</v>
      </c>
      <c r="B1398" s="23">
        <v>1488.8</v>
      </c>
      <c r="C1398" s="23">
        <v>0</v>
      </c>
      <c r="D1398" s="23">
        <v>0</v>
      </c>
      <c r="E1398" s="23">
        <v>0</v>
      </c>
      <c r="F1398" s="23">
        <v>0</v>
      </c>
      <c r="G1398" s="23">
        <v>0</v>
      </c>
      <c r="H1398" s="23">
        <v>0</v>
      </c>
      <c r="I1398" s="23">
        <v>1488.8</v>
      </c>
      <c r="J1398" s="23">
        <v>0</v>
      </c>
      <c r="K1398" s="23">
        <v>0</v>
      </c>
    </row>
    <row r="1399" spans="1:11" x14ac:dyDescent="0.25">
      <c r="A1399">
        <v>1398</v>
      </c>
      <c r="B1399" s="23">
        <v>1299.2</v>
      </c>
      <c r="C1399" s="23">
        <v>0</v>
      </c>
      <c r="D1399" s="23">
        <v>0</v>
      </c>
      <c r="E1399" s="23">
        <v>0</v>
      </c>
      <c r="F1399" s="23">
        <v>0</v>
      </c>
      <c r="G1399" s="23">
        <v>0</v>
      </c>
      <c r="H1399" s="23">
        <v>0</v>
      </c>
      <c r="I1399" s="23">
        <v>365.13099999999997</v>
      </c>
      <c r="J1399" s="23">
        <v>0</v>
      </c>
      <c r="K1399" s="23">
        <v>934.06899999999996</v>
      </c>
    </row>
    <row r="1400" spans="1:11" x14ac:dyDescent="0.25">
      <c r="A1400">
        <v>1399</v>
      </c>
      <c r="B1400" s="23">
        <v>1104</v>
      </c>
      <c r="C1400" s="23">
        <v>23.73</v>
      </c>
      <c r="D1400" s="23">
        <v>51.41</v>
      </c>
      <c r="E1400" s="23">
        <v>51.41</v>
      </c>
      <c r="F1400" s="23">
        <v>0</v>
      </c>
      <c r="G1400" s="23">
        <v>0</v>
      </c>
      <c r="H1400" s="23">
        <v>0</v>
      </c>
      <c r="I1400" s="23">
        <v>0</v>
      </c>
      <c r="J1400" s="23">
        <v>0</v>
      </c>
      <c r="K1400" s="23">
        <v>1052.5899999999999</v>
      </c>
    </row>
    <row r="1401" spans="1:11" x14ac:dyDescent="0.25">
      <c r="A1401">
        <v>1400</v>
      </c>
      <c r="B1401" s="23">
        <v>1358.0709999999999</v>
      </c>
      <c r="C1401" s="23">
        <v>291.95999999999998</v>
      </c>
      <c r="D1401" s="23">
        <v>1111.4490000000001</v>
      </c>
      <c r="E1401" s="23">
        <v>1111.4490000000001</v>
      </c>
      <c r="F1401" s="23">
        <v>0</v>
      </c>
      <c r="G1401" s="23">
        <v>0</v>
      </c>
      <c r="H1401" s="23">
        <v>0</v>
      </c>
      <c r="I1401" s="23">
        <v>0</v>
      </c>
      <c r="J1401" s="23">
        <v>0</v>
      </c>
      <c r="K1401" s="23">
        <v>246.62200000000001</v>
      </c>
    </row>
    <row r="1402" spans="1:11" x14ac:dyDescent="0.25">
      <c r="A1402">
        <v>1401</v>
      </c>
      <c r="B1402" s="23">
        <v>1671.6569999999999</v>
      </c>
      <c r="C1402" s="23">
        <v>271.18</v>
      </c>
      <c r="D1402" s="23">
        <v>1044.3409999999999</v>
      </c>
      <c r="E1402" s="23">
        <v>1044.3409999999999</v>
      </c>
      <c r="F1402" s="23">
        <v>0</v>
      </c>
      <c r="G1402" s="23">
        <v>0</v>
      </c>
      <c r="H1402" s="23">
        <v>0</v>
      </c>
      <c r="I1402" s="23">
        <v>0</v>
      </c>
      <c r="J1402" s="23">
        <v>0</v>
      </c>
      <c r="K1402" s="23">
        <v>627.31600000000003</v>
      </c>
    </row>
    <row r="1403" spans="1:11" x14ac:dyDescent="0.25">
      <c r="A1403">
        <v>1402</v>
      </c>
      <c r="B1403" s="23">
        <v>1400.192</v>
      </c>
      <c r="C1403" s="23">
        <v>774.18</v>
      </c>
      <c r="D1403" s="23">
        <v>2859.837</v>
      </c>
      <c r="E1403" s="23">
        <v>1400.192</v>
      </c>
      <c r="F1403" s="23">
        <v>-1459.645</v>
      </c>
      <c r="G1403" s="23">
        <v>0</v>
      </c>
      <c r="H1403" s="23">
        <v>0</v>
      </c>
      <c r="I1403" s="23">
        <v>0</v>
      </c>
      <c r="J1403" s="23">
        <v>0</v>
      </c>
      <c r="K1403" s="23">
        <v>0</v>
      </c>
    </row>
    <row r="1404" spans="1:11" x14ac:dyDescent="0.25">
      <c r="A1404">
        <v>1403</v>
      </c>
      <c r="B1404" s="23">
        <v>1499.7329999999999</v>
      </c>
      <c r="C1404" s="23">
        <v>938.68</v>
      </c>
      <c r="D1404" s="23">
        <v>3322.9110000000001</v>
      </c>
      <c r="E1404" s="23">
        <v>1499.7329999999999</v>
      </c>
      <c r="F1404" s="23">
        <v>-1684.559</v>
      </c>
      <c r="G1404" s="23">
        <v>0</v>
      </c>
      <c r="H1404" s="23">
        <v>138.619</v>
      </c>
      <c r="I1404" s="23">
        <v>0</v>
      </c>
      <c r="J1404" s="23">
        <v>0</v>
      </c>
      <c r="K1404" s="23">
        <v>0</v>
      </c>
    </row>
    <row r="1405" spans="1:11" x14ac:dyDescent="0.25">
      <c r="A1405">
        <v>1404</v>
      </c>
      <c r="B1405" s="23">
        <v>1335.797</v>
      </c>
      <c r="C1405" s="23">
        <v>766.33</v>
      </c>
      <c r="D1405" s="23">
        <v>2742.2750000000001</v>
      </c>
      <c r="E1405" s="23">
        <v>1335.797</v>
      </c>
      <c r="F1405" s="23">
        <v>-1406.4780000000001</v>
      </c>
      <c r="G1405" s="23">
        <v>0</v>
      </c>
      <c r="H1405" s="23">
        <v>0</v>
      </c>
      <c r="I1405" s="23">
        <v>0</v>
      </c>
      <c r="J1405" s="23">
        <v>0</v>
      </c>
      <c r="K1405" s="23">
        <v>0</v>
      </c>
    </row>
    <row r="1406" spans="1:11" x14ac:dyDescent="0.25">
      <c r="A1406">
        <v>1405</v>
      </c>
      <c r="B1406" s="23">
        <v>1593.2360000000001</v>
      </c>
      <c r="C1406" s="23">
        <v>693.17</v>
      </c>
      <c r="D1406" s="23">
        <v>2494.5709999999999</v>
      </c>
      <c r="E1406" s="23">
        <v>1593.2360000000001</v>
      </c>
      <c r="F1406" s="23">
        <v>-901.33500000000004</v>
      </c>
      <c r="G1406" s="23">
        <v>0</v>
      </c>
      <c r="H1406" s="23">
        <v>0</v>
      </c>
      <c r="I1406" s="23">
        <v>0</v>
      </c>
      <c r="J1406" s="23">
        <v>0</v>
      </c>
      <c r="K1406" s="23">
        <v>0</v>
      </c>
    </row>
    <row r="1407" spans="1:11" x14ac:dyDescent="0.25">
      <c r="A1407">
        <v>1406</v>
      </c>
      <c r="B1407" s="23">
        <v>1620.6759999999999</v>
      </c>
      <c r="C1407" s="23">
        <v>772.16</v>
      </c>
      <c r="D1407" s="23">
        <v>2760.68</v>
      </c>
      <c r="E1407" s="23">
        <v>1620.6759999999999</v>
      </c>
      <c r="F1407" s="23">
        <v>-1140.0039999999999</v>
      </c>
      <c r="G1407" s="23">
        <v>0</v>
      </c>
      <c r="H1407" s="23">
        <v>0</v>
      </c>
      <c r="I1407" s="23">
        <v>0</v>
      </c>
      <c r="J1407" s="23">
        <v>0</v>
      </c>
      <c r="K1407" s="23">
        <v>0</v>
      </c>
    </row>
    <row r="1408" spans="1:11" x14ac:dyDescent="0.25">
      <c r="A1408">
        <v>1407</v>
      </c>
      <c r="B1408" s="23">
        <v>1525.559</v>
      </c>
      <c r="C1408" s="23">
        <v>604.12</v>
      </c>
      <c r="D1408" s="23">
        <v>2218.1880000000001</v>
      </c>
      <c r="E1408" s="23">
        <v>1525.559</v>
      </c>
      <c r="F1408" s="23">
        <v>-692.62900000000002</v>
      </c>
      <c r="G1408" s="23">
        <v>0</v>
      </c>
      <c r="H1408" s="23">
        <v>0</v>
      </c>
      <c r="I1408" s="23">
        <v>0</v>
      </c>
      <c r="J1408" s="23">
        <v>0</v>
      </c>
      <c r="K1408" s="23">
        <v>0</v>
      </c>
    </row>
    <row r="1409" spans="1:11" x14ac:dyDescent="0.25">
      <c r="A1409">
        <v>1408</v>
      </c>
      <c r="B1409" s="23">
        <v>1514.83</v>
      </c>
      <c r="C1409" s="23">
        <v>319.48</v>
      </c>
      <c r="D1409" s="23">
        <v>1204.345</v>
      </c>
      <c r="E1409" s="23">
        <v>1204.345</v>
      </c>
      <c r="F1409" s="23">
        <v>0</v>
      </c>
      <c r="G1409" s="23">
        <v>0</v>
      </c>
      <c r="H1409" s="23">
        <v>0</v>
      </c>
      <c r="I1409" s="23">
        <v>310.48500000000001</v>
      </c>
      <c r="J1409" s="23">
        <v>0</v>
      </c>
      <c r="K1409" s="23">
        <v>0</v>
      </c>
    </row>
    <row r="1410" spans="1:11" x14ac:dyDescent="0.25">
      <c r="A1410">
        <v>1409</v>
      </c>
      <c r="B1410" s="23">
        <v>1822.3040000000001</v>
      </c>
      <c r="C1410" s="23">
        <v>230.12</v>
      </c>
      <c r="D1410" s="23">
        <v>872.78099999999995</v>
      </c>
      <c r="E1410" s="23">
        <v>872.78099999999995</v>
      </c>
      <c r="F1410" s="23">
        <v>0</v>
      </c>
      <c r="G1410" s="23">
        <v>0</v>
      </c>
      <c r="H1410" s="23">
        <v>0</v>
      </c>
      <c r="I1410" s="23">
        <v>949.52300000000002</v>
      </c>
      <c r="J1410" s="23">
        <v>0</v>
      </c>
      <c r="K1410" s="23">
        <v>0</v>
      </c>
    </row>
    <row r="1411" spans="1:11" x14ac:dyDescent="0.25">
      <c r="A1411">
        <v>1410</v>
      </c>
      <c r="B1411" s="23">
        <v>1605.867</v>
      </c>
      <c r="C1411" s="23">
        <v>80.83</v>
      </c>
      <c r="D1411" s="23">
        <v>239.32400000000001</v>
      </c>
      <c r="E1411" s="23">
        <v>239.32400000000001</v>
      </c>
      <c r="F1411" s="23">
        <v>0</v>
      </c>
      <c r="G1411" s="23">
        <v>0</v>
      </c>
      <c r="H1411" s="23">
        <v>0</v>
      </c>
      <c r="I1411" s="23">
        <v>0</v>
      </c>
      <c r="J1411" s="23">
        <v>0</v>
      </c>
      <c r="K1411" s="23">
        <v>1366.5429999999999</v>
      </c>
    </row>
    <row r="1412" spans="1:11" x14ac:dyDescent="0.25">
      <c r="A1412">
        <v>1411</v>
      </c>
      <c r="B1412" s="23">
        <v>1954.45</v>
      </c>
      <c r="C1412" s="23">
        <v>0</v>
      </c>
      <c r="D1412" s="23">
        <v>0</v>
      </c>
      <c r="E1412" s="23">
        <v>0</v>
      </c>
      <c r="F1412" s="23">
        <v>0</v>
      </c>
      <c r="G1412" s="23">
        <v>0</v>
      </c>
      <c r="H1412" s="23">
        <v>0</v>
      </c>
      <c r="I1412" s="23">
        <v>269.89100000000002</v>
      </c>
      <c r="J1412" s="23">
        <v>0</v>
      </c>
      <c r="K1412" s="23">
        <v>1684.559</v>
      </c>
    </row>
    <row r="1413" spans="1:11" x14ac:dyDescent="0.25">
      <c r="A1413">
        <v>1412</v>
      </c>
      <c r="B1413" s="23">
        <v>1688.8</v>
      </c>
      <c r="C1413" s="23">
        <v>0</v>
      </c>
      <c r="D1413" s="23">
        <v>0</v>
      </c>
      <c r="E1413" s="23">
        <v>0</v>
      </c>
      <c r="F1413" s="23">
        <v>0</v>
      </c>
      <c r="G1413" s="23">
        <v>0</v>
      </c>
      <c r="H1413" s="23">
        <v>0</v>
      </c>
      <c r="I1413" s="23">
        <v>4.2409999999999997</v>
      </c>
      <c r="J1413" s="23">
        <v>0</v>
      </c>
      <c r="K1413" s="23">
        <v>1684.559</v>
      </c>
    </row>
    <row r="1414" spans="1:11" x14ac:dyDescent="0.25">
      <c r="A1414">
        <v>1413</v>
      </c>
      <c r="B1414" s="23">
        <v>1488.8</v>
      </c>
      <c r="C1414" s="23">
        <v>0</v>
      </c>
      <c r="D1414" s="23">
        <v>0</v>
      </c>
      <c r="E1414" s="23">
        <v>0</v>
      </c>
      <c r="F1414" s="23">
        <v>0</v>
      </c>
      <c r="G1414" s="23">
        <v>0</v>
      </c>
      <c r="H1414" s="23">
        <v>0</v>
      </c>
      <c r="I1414" s="23">
        <v>1488.8</v>
      </c>
      <c r="J1414" s="23">
        <v>0</v>
      </c>
      <c r="K1414" s="23">
        <v>0</v>
      </c>
    </row>
    <row r="1415" spans="1:11" x14ac:dyDescent="0.25">
      <c r="A1415">
        <v>1414</v>
      </c>
      <c r="B1415" s="23">
        <v>1700</v>
      </c>
      <c r="C1415" s="23">
        <v>0</v>
      </c>
      <c r="D1415" s="23">
        <v>0</v>
      </c>
      <c r="E1415" s="23">
        <v>0</v>
      </c>
      <c r="F1415" s="23">
        <v>0</v>
      </c>
      <c r="G1415" s="23">
        <v>0</v>
      </c>
      <c r="H1415" s="23">
        <v>0</v>
      </c>
      <c r="I1415" s="23">
        <v>1700</v>
      </c>
      <c r="J1415" s="23">
        <v>0</v>
      </c>
      <c r="K1415" s="23">
        <v>0</v>
      </c>
    </row>
    <row r="1416" spans="1:11" x14ac:dyDescent="0.25">
      <c r="A1416">
        <v>1415</v>
      </c>
      <c r="B1416" s="23">
        <v>1531.2</v>
      </c>
      <c r="C1416" s="23">
        <v>0</v>
      </c>
      <c r="D1416" s="23">
        <v>0</v>
      </c>
      <c r="E1416" s="23">
        <v>0</v>
      </c>
      <c r="F1416" s="23">
        <v>0</v>
      </c>
      <c r="G1416" s="23">
        <v>0</v>
      </c>
      <c r="H1416" s="23">
        <v>0</v>
      </c>
      <c r="I1416" s="23">
        <v>1531.2</v>
      </c>
      <c r="J1416" s="23">
        <v>0</v>
      </c>
      <c r="K1416" s="23">
        <v>0</v>
      </c>
    </row>
    <row r="1417" spans="1:11" x14ac:dyDescent="0.25">
      <c r="A1417">
        <v>1416</v>
      </c>
      <c r="B1417" s="23">
        <v>1661.6</v>
      </c>
      <c r="C1417" s="23">
        <v>0</v>
      </c>
      <c r="D1417" s="23">
        <v>0</v>
      </c>
      <c r="E1417" s="23">
        <v>0</v>
      </c>
      <c r="F1417" s="23">
        <v>0</v>
      </c>
      <c r="G1417" s="23">
        <v>0</v>
      </c>
      <c r="H1417" s="23">
        <v>0</v>
      </c>
      <c r="I1417" s="23">
        <v>1661.6</v>
      </c>
      <c r="J1417" s="23">
        <v>0</v>
      </c>
      <c r="K1417" s="23">
        <v>0</v>
      </c>
    </row>
    <row r="1418" spans="1:11" x14ac:dyDescent="0.25">
      <c r="A1418">
        <v>1417</v>
      </c>
      <c r="B1418" s="23">
        <v>677.6</v>
      </c>
      <c r="C1418" s="23">
        <v>0</v>
      </c>
      <c r="D1418" s="23">
        <v>0</v>
      </c>
      <c r="E1418" s="23">
        <v>0</v>
      </c>
      <c r="F1418" s="23">
        <v>0</v>
      </c>
      <c r="G1418" s="23">
        <v>0</v>
      </c>
      <c r="H1418" s="23">
        <v>0</v>
      </c>
      <c r="I1418" s="23">
        <v>677.6</v>
      </c>
      <c r="J1418" s="23">
        <v>0</v>
      </c>
      <c r="K1418" s="23">
        <v>0</v>
      </c>
    </row>
    <row r="1419" spans="1:11" x14ac:dyDescent="0.25">
      <c r="A1419">
        <v>1418</v>
      </c>
      <c r="B1419" s="23">
        <v>501.6</v>
      </c>
      <c r="C1419" s="23">
        <v>0</v>
      </c>
      <c r="D1419" s="23">
        <v>0</v>
      </c>
      <c r="E1419" s="23">
        <v>0</v>
      </c>
      <c r="F1419" s="23">
        <v>0</v>
      </c>
      <c r="G1419" s="23">
        <v>0</v>
      </c>
      <c r="H1419" s="23">
        <v>0</v>
      </c>
      <c r="I1419" s="23">
        <v>501.6</v>
      </c>
      <c r="J1419" s="23">
        <v>0</v>
      </c>
      <c r="K1419" s="23">
        <v>0</v>
      </c>
    </row>
    <row r="1420" spans="1:11" x14ac:dyDescent="0.25">
      <c r="A1420">
        <v>1419</v>
      </c>
      <c r="B1420" s="23">
        <v>592.79999999999995</v>
      </c>
      <c r="C1420" s="23">
        <v>0</v>
      </c>
      <c r="D1420" s="23">
        <v>0</v>
      </c>
      <c r="E1420" s="23">
        <v>0</v>
      </c>
      <c r="F1420" s="23">
        <v>0</v>
      </c>
      <c r="G1420" s="23">
        <v>0</v>
      </c>
      <c r="H1420" s="23">
        <v>0</v>
      </c>
      <c r="I1420" s="23">
        <v>592.79999999999995</v>
      </c>
      <c r="J1420" s="23">
        <v>0</v>
      </c>
      <c r="K1420" s="23">
        <v>0</v>
      </c>
    </row>
    <row r="1421" spans="1:11" x14ac:dyDescent="0.25">
      <c r="A1421">
        <v>1420</v>
      </c>
      <c r="B1421" s="23">
        <v>738.4</v>
      </c>
      <c r="C1421" s="23">
        <v>0</v>
      </c>
      <c r="D1421" s="23">
        <v>0</v>
      </c>
      <c r="E1421" s="23">
        <v>0</v>
      </c>
      <c r="F1421" s="23">
        <v>0</v>
      </c>
      <c r="G1421" s="23">
        <v>0</v>
      </c>
      <c r="H1421" s="23">
        <v>0</v>
      </c>
      <c r="I1421" s="23">
        <v>738.4</v>
      </c>
      <c r="J1421" s="23">
        <v>0</v>
      </c>
      <c r="K1421" s="23">
        <v>0</v>
      </c>
    </row>
    <row r="1422" spans="1:11" x14ac:dyDescent="0.25">
      <c r="A1422">
        <v>1421</v>
      </c>
      <c r="B1422" s="23">
        <v>784.8</v>
      </c>
      <c r="C1422" s="23">
        <v>0</v>
      </c>
      <c r="D1422" s="23">
        <v>0</v>
      </c>
      <c r="E1422" s="23">
        <v>0</v>
      </c>
      <c r="F1422" s="23">
        <v>0</v>
      </c>
      <c r="G1422" s="23">
        <v>0</v>
      </c>
      <c r="H1422" s="23">
        <v>0</v>
      </c>
      <c r="I1422" s="23">
        <v>89.710999999999999</v>
      </c>
      <c r="J1422" s="23">
        <v>0</v>
      </c>
      <c r="K1422" s="23">
        <v>695.08900000000006</v>
      </c>
    </row>
    <row r="1423" spans="1:11" x14ac:dyDescent="0.25">
      <c r="A1423">
        <v>1422</v>
      </c>
      <c r="B1423" s="23">
        <v>656.8</v>
      </c>
      <c r="C1423" s="23">
        <v>0</v>
      </c>
      <c r="D1423" s="23">
        <v>0</v>
      </c>
      <c r="E1423" s="23">
        <v>0</v>
      </c>
      <c r="F1423" s="23">
        <v>0</v>
      </c>
      <c r="G1423" s="23">
        <v>0</v>
      </c>
      <c r="H1423" s="23">
        <v>0</v>
      </c>
      <c r="I1423" s="23">
        <v>0</v>
      </c>
      <c r="J1423" s="23">
        <v>0</v>
      </c>
      <c r="K1423" s="23">
        <v>656.8</v>
      </c>
    </row>
    <row r="1424" spans="1:11" x14ac:dyDescent="0.25">
      <c r="A1424">
        <v>1423</v>
      </c>
      <c r="B1424" s="23">
        <v>596</v>
      </c>
      <c r="C1424" s="23">
        <v>52.01</v>
      </c>
      <c r="D1424" s="23">
        <v>131.70099999999999</v>
      </c>
      <c r="E1424" s="23">
        <v>131.70099999999999</v>
      </c>
      <c r="F1424" s="23">
        <v>0</v>
      </c>
      <c r="G1424" s="23">
        <v>0</v>
      </c>
      <c r="H1424" s="23">
        <v>0</v>
      </c>
      <c r="I1424" s="23">
        <v>0</v>
      </c>
      <c r="J1424" s="23">
        <v>0</v>
      </c>
      <c r="K1424" s="23">
        <v>464.29899999999998</v>
      </c>
    </row>
    <row r="1425" spans="1:11" x14ac:dyDescent="0.25">
      <c r="A1425">
        <v>1424</v>
      </c>
      <c r="B1425" s="23">
        <v>458.959</v>
      </c>
      <c r="C1425" s="23">
        <v>273.92</v>
      </c>
      <c r="D1425" s="23">
        <v>1054.7139999999999</v>
      </c>
      <c r="E1425" s="23">
        <v>458.959</v>
      </c>
      <c r="F1425" s="23">
        <v>-595.755</v>
      </c>
      <c r="G1425" s="23">
        <v>0</v>
      </c>
      <c r="H1425" s="23">
        <v>0</v>
      </c>
      <c r="I1425" s="23">
        <v>0</v>
      </c>
      <c r="J1425" s="23">
        <v>0</v>
      </c>
      <c r="K1425" s="23">
        <v>0</v>
      </c>
    </row>
    <row r="1426" spans="1:11" x14ac:dyDescent="0.25">
      <c r="A1426">
        <v>1425</v>
      </c>
      <c r="B1426" s="23">
        <v>545.50699999999995</v>
      </c>
      <c r="C1426" s="23">
        <v>530.28</v>
      </c>
      <c r="D1426" s="23">
        <v>2093.491</v>
      </c>
      <c r="E1426" s="23">
        <v>545.50699999999995</v>
      </c>
      <c r="F1426" s="23">
        <v>-1547.9839999999999</v>
      </c>
      <c r="G1426" s="23">
        <v>0</v>
      </c>
      <c r="H1426" s="23">
        <v>0</v>
      </c>
      <c r="I1426" s="23">
        <v>0</v>
      </c>
      <c r="J1426" s="23">
        <v>0</v>
      </c>
      <c r="K1426" s="23">
        <v>0</v>
      </c>
    </row>
    <row r="1427" spans="1:11" x14ac:dyDescent="0.25">
      <c r="A1427">
        <v>1426</v>
      </c>
      <c r="B1427" s="23">
        <v>657.35699999999997</v>
      </c>
      <c r="C1427" s="23">
        <v>702.67</v>
      </c>
      <c r="D1427" s="23">
        <v>2663.3780000000002</v>
      </c>
      <c r="E1427" s="23">
        <v>657.35699999999997</v>
      </c>
      <c r="F1427" s="23">
        <v>-1684.559</v>
      </c>
      <c r="G1427" s="23">
        <v>0</v>
      </c>
      <c r="H1427" s="23">
        <v>321.46199999999999</v>
      </c>
      <c r="I1427" s="23">
        <v>0</v>
      </c>
      <c r="J1427" s="23">
        <v>0</v>
      </c>
      <c r="K1427" s="23">
        <v>0</v>
      </c>
    </row>
    <row r="1428" spans="1:11" x14ac:dyDescent="0.25">
      <c r="A1428">
        <v>1427</v>
      </c>
      <c r="B1428" s="23">
        <v>784.74699999999996</v>
      </c>
      <c r="C1428" s="23">
        <v>903.07</v>
      </c>
      <c r="D1428" s="23">
        <v>3279.9059999999999</v>
      </c>
      <c r="E1428" s="23">
        <v>784.74699999999996</v>
      </c>
      <c r="F1428" s="23">
        <v>-1684.559</v>
      </c>
      <c r="G1428" s="23">
        <v>0</v>
      </c>
      <c r="H1428" s="23">
        <v>810.6</v>
      </c>
      <c r="I1428" s="23">
        <v>0</v>
      </c>
      <c r="J1428" s="23">
        <v>0</v>
      </c>
      <c r="K1428" s="23">
        <v>0</v>
      </c>
    </row>
    <row r="1429" spans="1:11" x14ac:dyDescent="0.25">
      <c r="A1429">
        <v>1428</v>
      </c>
      <c r="B1429" s="23">
        <v>756.62699999999995</v>
      </c>
      <c r="C1429" s="23">
        <v>968.22</v>
      </c>
      <c r="D1429" s="23">
        <v>3422.0630000000001</v>
      </c>
      <c r="E1429" s="23">
        <v>756.62800000000004</v>
      </c>
      <c r="F1429" s="23">
        <v>-1684.559</v>
      </c>
      <c r="G1429" s="23">
        <v>0</v>
      </c>
      <c r="H1429" s="23">
        <v>980.87599999999998</v>
      </c>
      <c r="I1429" s="23">
        <v>0</v>
      </c>
      <c r="J1429" s="23">
        <v>0</v>
      </c>
      <c r="K1429" s="23">
        <v>0</v>
      </c>
    </row>
    <row r="1430" spans="1:11" x14ac:dyDescent="0.25">
      <c r="A1430">
        <v>1429</v>
      </c>
      <c r="B1430" s="23">
        <v>915.60299999999995</v>
      </c>
      <c r="C1430" s="23">
        <v>830.53</v>
      </c>
      <c r="D1430" s="23">
        <v>2935.846</v>
      </c>
      <c r="E1430" s="23">
        <v>915.60299999999995</v>
      </c>
      <c r="F1430" s="23">
        <v>-94.081000000000003</v>
      </c>
      <c r="G1430" s="23">
        <v>0</v>
      </c>
      <c r="H1430" s="23">
        <v>1926.162</v>
      </c>
      <c r="I1430" s="23">
        <v>0</v>
      </c>
      <c r="J1430" s="23">
        <v>0</v>
      </c>
      <c r="K1430" s="23">
        <v>0</v>
      </c>
    </row>
    <row r="1431" spans="1:11" x14ac:dyDescent="0.25">
      <c r="A1431">
        <v>1430</v>
      </c>
      <c r="B1431" s="23">
        <v>833.36300000000006</v>
      </c>
      <c r="C1431" s="23">
        <v>724.63</v>
      </c>
      <c r="D1431" s="23">
        <v>2603.8690000000001</v>
      </c>
      <c r="E1431" s="23">
        <v>833.36300000000006</v>
      </c>
      <c r="F1431" s="23">
        <v>0</v>
      </c>
      <c r="G1431" s="23">
        <v>0</v>
      </c>
      <c r="H1431" s="23">
        <v>1770.5060000000001</v>
      </c>
      <c r="I1431" s="23">
        <v>0</v>
      </c>
      <c r="J1431" s="23">
        <v>0</v>
      </c>
      <c r="K1431" s="23">
        <v>0</v>
      </c>
    </row>
    <row r="1432" spans="1:11" x14ac:dyDescent="0.25">
      <c r="A1432">
        <v>1431</v>
      </c>
      <c r="B1432" s="23">
        <v>642.91899999999998</v>
      </c>
      <c r="C1432" s="23">
        <v>523.75</v>
      </c>
      <c r="D1432" s="23">
        <v>1942</v>
      </c>
      <c r="E1432" s="23">
        <v>642.91899999999998</v>
      </c>
      <c r="F1432" s="23">
        <v>0</v>
      </c>
      <c r="G1432" s="23">
        <v>0</v>
      </c>
      <c r="H1432" s="23">
        <v>1299.0809999999999</v>
      </c>
      <c r="I1432" s="23">
        <v>0</v>
      </c>
      <c r="J1432" s="23">
        <v>0</v>
      </c>
      <c r="K1432" s="23">
        <v>0</v>
      </c>
    </row>
    <row r="1433" spans="1:11" x14ac:dyDescent="0.25">
      <c r="A1433">
        <v>1432</v>
      </c>
      <c r="B1433" s="23">
        <v>667.76599999999996</v>
      </c>
      <c r="C1433" s="23">
        <v>449.28</v>
      </c>
      <c r="D1433" s="23">
        <v>1717.558</v>
      </c>
      <c r="E1433" s="23">
        <v>667.76599999999996</v>
      </c>
      <c r="F1433" s="23">
        <v>0</v>
      </c>
      <c r="G1433" s="23">
        <v>0</v>
      </c>
      <c r="H1433" s="23">
        <v>1049.7919999999999</v>
      </c>
      <c r="I1433" s="23">
        <v>0</v>
      </c>
      <c r="J1433" s="23">
        <v>0</v>
      </c>
      <c r="K1433" s="23">
        <v>0</v>
      </c>
    </row>
    <row r="1434" spans="1:11" x14ac:dyDescent="0.25">
      <c r="A1434">
        <v>1433</v>
      </c>
      <c r="B1434" s="23">
        <v>671.56</v>
      </c>
      <c r="C1434" s="23">
        <v>258.69</v>
      </c>
      <c r="D1434" s="23">
        <v>991.19599999999991</v>
      </c>
      <c r="E1434" s="23">
        <v>671.56</v>
      </c>
      <c r="F1434" s="23">
        <v>0</v>
      </c>
      <c r="G1434" s="23">
        <v>0</v>
      </c>
      <c r="H1434" s="23">
        <v>319.63600000000002</v>
      </c>
      <c r="I1434" s="23">
        <v>0</v>
      </c>
      <c r="J1434" s="23">
        <v>0</v>
      </c>
      <c r="K1434" s="23">
        <v>0</v>
      </c>
    </row>
    <row r="1435" spans="1:11" x14ac:dyDescent="0.25">
      <c r="A1435">
        <v>1434</v>
      </c>
      <c r="B1435" s="23">
        <v>759.47500000000002</v>
      </c>
      <c r="C1435" s="23">
        <v>61.27</v>
      </c>
      <c r="D1435" s="23">
        <v>187.38800000000001</v>
      </c>
      <c r="E1435" s="23">
        <v>187.38800000000001</v>
      </c>
      <c r="F1435" s="23">
        <v>0</v>
      </c>
      <c r="G1435" s="23">
        <v>0</v>
      </c>
      <c r="H1435" s="23">
        <v>0</v>
      </c>
      <c r="I1435" s="23">
        <v>0</v>
      </c>
      <c r="J1435" s="23">
        <v>0</v>
      </c>
      <c r="K1435" s="23">
        <v>572.08699999999999</v>
      </c>
    </row>
    <row r="1436" spans="1:11" x14ac:dyDescent="0.25">
      <c r="A1436">
        <v>1435</v>
      </c>
      <c r="B1436" s="23">
        <v>768.029</v>
      </c>
      <c r="C1436" s="23">
        <v>0</v>
      </c>
      <c r="D1436" s="23">
        <v>0</v>
      </c>
      <c r="E1436" s="23">
        <v>0</v>
      </c>
      <c r="F1436" s="23">
        <v>0</v>
      </c>
      <c r="G1436" s="23">
        <v>0</v>
      </c>
      <c r="H1436" s="23">
        <v>0</v>
      </c>
      <c r="I1436" s="23">
        <v>0</v>
      </c>
      <c r="J1436" s="23">
        <v>0</v>
      </c>
      <c r="K1436" s="23">
        <v>768.029</v>
      </c>
    </row>
    <row r="1437" spans="1:11" x14ac:dyDescent="0.25">
      <c r="A1437">
        <v>1436</v>
      </c>
      <c r="B1437" s="23">
        <v>534.4</v>
      </c>
      <c r="C1437" s="23">
        <v>0</v>
      </c>
      <c r="D1437" s="23">
        <v>0</v>
      </c>
      <c r="E1437" s="23">
        <v>0</v>
      </c>
      <c r="F1437" s="23">
        <v>0</v>
      </c>
      <c r="G1437" s="23">
        <v>0</v>
      </c>
      <c r="H1437" s="23">
        <v>0</v>
      </c>
      <c r="I1437" s="23">
        <v>0</v>
      </c>
      <c r="J1437" s="23">
        <v>0</v>
      </c>
      <c r="K1437" s="23">
        <v>534.4</v>
      </c>
    </row>
    <row r="1438" spans="1:11" x14ac:dyDescent="0.25">
      <c r="A1438">
        <v>1437</v>
      </c>
      <c r="B1438" s="23">
        <v>708.8</v>
      </c>
      <c r="C1438" s="23">
        <v>0</v>
      </c>
      <c r="D1438" s="23">
        <v>0</v>
      </c>
      <c r="E1438" s="23">
        <v>0</v>
      </c>
      <c r="F1438" s="23">
        <v>0</v>
      </c>
      <c r="G1438" s="23">
        <v>0</v>
      </c>
      <c r="H1438" s="23">
        <v>0</v>
      </c>
      <c r="I1438" s="23">
        <v>708.8</v>
      </c>
      <c r="J1438" s="23">
        <v>0</v>
      </c>
      <c r="K1438" s="23">
        <v>0</v>
      </c>
    </row>
    <row r="1439" spans="1:11" x14ac:dyDescent="0.25">
      <c r="A1439">
        <v>1438</v>
      </c>
      <c r="B1439" s="23">
        <v>805.6</v>
      </c>
      <c r="C1439" s="23">
        <v>0</v>
      </c>
      <c r="D1439" s="23">
        <v>0</v>
      </c>
      <c r="E1439" s="23">
        <v>0</v>
      </c>
      <c r="F1439" s="23">
        <v>0</v>
      </c>
      <c r="G1439" s="23">
        <v>0</v>
      </c>
      <c r="H1439" s="23">
        <v>0</v>
      </c>
      <c r="I1439" s="23">
        <v>805.6</v>
      </c>
      <c r="J1439" s="23">
        <v>0</v>
      </c>
      <c r="K1439" s="23">
        <v>0</v>
      </c>
    </row>
    <row r="1440" spans="1:11" x14ac:dyDescent="0.25">
      <c r="A1440">
        <v>1439</v>
      </c>
      <c r="B1440" s="23">
        <v>713.6</v>
      </c>
      <c r="C1440" s="23">
        <v>0</v>
      </c>
      <c r="D1440" s="23">
        <v>0</v>
      </c>
      <c r="E1440" s="23">
        <v>0</v>
      </c>
      <c r="F1440" s="23">
        <v>0</v>
      </c>
      <c r="G1440" s="23">
        <v>0</v>
      </c>
      <c r="H1440" s="23">
        <v>0</v>
      </c>
      <c r="I1440" s="23">
        <v>713.6</v>
      </c>
      <c r="J1440" s="23">
        <v>0</v>
      </c>
      <c r="K1440" s="23">
        <v>0</v>
      </c>
    </row>
    <row r="1441" spans="1:11" x14ac:dyDescent="0.25">
      <c r="A1441">
        <v>1440</v>
      </c>
      <c r="B1441" s="23">
        <v>728.8</v>
      </c>
      <c r="C1441" s="23">
        <v>0</v>
      </c>
      <c r="D1441" s="23">
        <v>0</v>
      </c>
      <c r="E1441" s="23">
        <v>0</v>
      </c>
      <c r="F1441" s="23">
        <v>0</v>
      </c>
      <c r="G1441" s="23">
        <v>0</v>
      </c>
      <c r="H1441" s="23">
        <v>0</v>
      </c>
      <c r="I1441" s="23">
        <v>728.8</v>
      </c>
      <c r="J1441" s="23">
        <v>0</v>
      </c>
      <c r="K1441" s="23">
        <v>0</v>
      </c>
    </row>
    <row r="1442" spans="1:11" x14ac:dyDescent="0.25">
      <c r="A1442">
        <v>1441</v>
      </c>
      <c r="B1442" s="23">
        <v>1704</v>
      </c>
      <c r="C1442" s="23">
        <v>0</v>
      </c>
      <c r="D1442" s="23">
        <v>0</v>
      </c>
      <c r="E1442" s="23">
        <v>0</v>
      </c>
      <c r="F1442" s="23">
        <v>0</v>
      </c>
      <c r="G1442" s="23">
        <v>0</v>
      </c>
      <c r="H1442" s="23">
        <v>0</v>
      </c>
      <c r="I1442" s="23">
        <v>1704</v>
      </c>
      <c r="J1442" s="23">
        <v>0</v>
      </c>
      <c r="K1442" s="23">
        <v>0</v>
      </c>
    </row>
    <row r="1443" spans="1:11" x14ac:dyDescent="0.25">
      <c r="A1443">
        <v>1442</v>
      </c>
      <c r="B1443" s="23">
        <v>1666.4</v>
      </c>
      <c r="C1443" s="23">
        <v>0</v>
      </c>
      <c r="D1443" s="23">
        <v>0</v>
      </c>
      <c r="E1443" s="23">
        <v>0</v>
      </c>
      <c r="F1443" s="23">
        <v>0</v>
      </c>
      <c r="G1443" s="23">
        <v>0</v>
      </c>
      <c r="H1443" s="23">
        <v>0</v>
      </c>
      <c r="I1443" s="23">
        <v>1666.4</v>
      </c>
      <c r="J1443" s="23">
        <v>0</v>
      </c>
      <c r="K1443" s="23">
        <v>0</v>
      </c>
    </row>
    <row r="1444" spans="1:11" x14ac:dyDescent="0.25">
      <c r="A1444">
        <v>1443</v>
      </c>
      <c r="B1444" s="23">
        <v>1551.2</v>
      </c>
      <c r="C1444" s="23">
        <v>0</v>
      </c>
      <c r="D1444" s="23">
        <v>0</v>
      </c>
      <c r="E1444" s="23">
        <v>0</v>
      </c>
      <c r="F1444" s="23">
        <v>0</v>
      </c>
      <c r="G1444" s="23">
        <v>0</v>
      </c>
      <c r="H1444" s="23">
        <v>0</v>
      </c>
      <c r="I1444" s="23">
        <v>1551.2</v>
      </c>
      <c r="J1444" s="23">
        <v>0</v>
      </c>
      <c r="K1444" s="23">
        <v>0</v>
      </c>
    </row>
    <row r="1445" spans="1:11" x14ac:dyDescent="0.25">
      <c r="A1445">
        <v>1444</v>
      </c>
      <c r="B1445" s="23">
        <v>1624</v>
      </c>
      <c r="C1445" s="23">
        <v>0</v>
      </c>
      <c r="D1445" s="23">
        <v>0</v>
      </c>
      <c r="E1445" s="23">
        <v>0</v>
      </c>
      <c r="F1445" s="23">
        <v>0</v>
      </c>
      <c r="G1445" s="23">
        <v>0</v>
      </c>
      <c r="H1445" s="23">
        <v>0</v>
      </c>
      <c r="I1445" s="23">
        <v>1382.7159999999999</v>
      </c>
      <c r="J1445" s="23">
        <v>0</v>
      </c>
      <c r="K1445" s="23">
        <v>241.28399999999999</v>
      </c>
    </row>
    <row r="1446" spans="1:11" x14ac:dyDescent="0.25">
      <c r="A1446">
        <v>1445</v>
      </c>
      <c r="B1446" s="23">
        <v>1580.8</v>
      </c>
      <c r="C1446" s="23">
        <v>0</v>
      </c>
      <c r="D1446" s="23">
        <v>0</v>
      </c>
      <c r="E1446" s="23">
        <v>0</v>
      </c>
      <c r="F1446" s="23">
        <v>0</v>
      </c>
      <c r="G1446" s="23">
        <v>0</v>
      </c>
      <c r="H1446" s="23">
        <v>0</v>
      </c>
      <c r="I1446" s="23">
        <v>0</v>
      </c>
      <c r="J1446" s="23">
        <v>0</v>
      </c>
      <c r="K1446" s="23">
        <v>1580.8</v>
      </c>
    </row>
    <row r="1447" spans="1:11" x14ac:dyDescent="0.25">
      <c r="A1447">
        <v>1446</v>
      </c>
      <c r="B1447" s="23">
        <v>1460</v>
      </c>
      <c r="C1447" s="23">
        <v>0</v>
      </c>
      <c r="D1447" s="23">
        <v>0</v>
      </c>
      <c r="E1447" s="23">
        <v>0</v>
      </c>
      <c r="F1447" s="23">
        <v>0</v>
      </c>
      <c r="G1447" s="23">
        <v>0</v>
      </c>
      <c r="H1447" s="23">
        <v>0</v>
      </c>
      <c r="I1447" s="23">
        <v>0</v>
      </c>
      <c r="J1447" s="23">
        <v>0</v>
      </c>
      <c r="K1447" s="23">
        <v>1460</v>
      </c>
    </row>
    <row r="1448" spans="1:11" x14ac:dyDescent="0.25">
      <c r="A1448">
        <v>1447</v>
      </c>
      <c r="B1448" s="23">
        <v>1464</v>
      </c>
      <c r="C1448" s="23">
        <v>27.5</v>
      </c>
      <c r="D1448" s="23">
        <v>68.751000000000005</v>
      </c>
      <c r="E1448" s="23">
        <v>68.751000000000005</v>
      </c>
      <c r="F1448" s="23">
        <v>0</v>
      </c>
      <c r="G1448" s="23">
        <v>0</v>
      </c>
      <c r="H1448" s="23">
        <v>0</v>
      </c>
      <c r="I1448" s="23">
        <v>0</v>
      </c>
      <c r="J1448" s="23">
        <v>0</v>
      </c>
      <c r="K1448" s="23">
        <v>1395.249</v>
      </c>
    </row>
    <row r="1449" spans="1:11" x14ac:dyDescent="0.25">
      <c r="A1449">
        <v>1448</v>
      </c>
      <c r="B1449" s="23">
        <v>110.259</v>
      </c>
      <c r="C1449" s="23">
        <v>184.92</v>
      </c>
      <c r="D1449" s="23">
        <v>712.51800000000003</v>
      </c>
      <c r="E1449" s="23">
        <v>110.259</v>
      </c>
      <c r="F1449" s="23">
        <v>-602.25900000000001</v>
      </c>
      <c r="G1449" s="23">
        <v>0</v>
      </c>
      <c r="H1449" s="23">
        <v>0</v>
      </c>
      <c r="I1449" s="23">
        <v>0</v>
      </c>
      <c r="J1449" s="23">
        <v>0</v>
      </c>
      <c r="K1449" s="23">
        <v>0</v>
      </c>
    </row>
    <row r="1450" spans="1:11" x14ac:dyDescent="0.25">
      <c r="A1450">
        <v>1449</v>
      </c>
      <c r="B1450" s="23">
        <v>89.69</v>
      </c>
      <c r="C1450" s="23">
        <v>441.59</v>
      </c>
      <c r="D1450" s="23">
        <v>1740.51</v>
      </c>
      <c r="E1450" s="23">
        <v>89.69</v>
      </c>
      <c r="F1450" s="23">
        <v>-1650.82</v>
      </c>
      <c r="G1450" s="23">
        <v>0</v>
      </c>
      <c r="H1450" s="23">
        <v>0</v>
      </c>
      <c r="I1450" s="23">
        <v>0</v>
      </c>
      <c r="J1450" s="23">
        <v>0</v>
      </c>
      <c r="K1450" s="23">
        <v>0</v>
      </c>
    </row>
    <row r="1451" spans="1:11" x14ac:dyDescent="0.25">
      <c r="A1451">
        <v>1450</v>
      </c>
      <c r="B1451" s="23">
        <v>0</v>
      </c>
      <c r="C1451" s="23">
        <v>604.12</v>
      </c>
      <c r="D1451" s="23">
        <v>2307.752</v>
      </c>
      <c r="E1451" s="23">
        <v>1E-3</v>
      </c>
      <c r="F1451" s="23">
        <v>-1684.559</v>
      </c>
      <c r="G1451" s="23">
        <v>0</v>
      </c>
      <c r="H1451" s="23">
        <v>623.19200000000001</v>
      </c>
      <c r="I1451" s="23">
        <v>0</v>
      </c>
      <c r="J1451" s="23">
        <v>0</v>
      </c>
      <c r="K1451" s="23">
        <v>0</v>
      </c>
    </row>
    <row r="1452" spans="1:11" x14ac:dyDescent="0.25">
      <c r="A1452">
        <v>1451</v>
      </c>
      <c r="B1452" s="23">
        <v>0</v>
      </c>
      <c r="C1452" s="23">
        <v>806.34</v>
      </c>
      <c r="D1452" s="23">
        <v>2991.4189999999999</v>
      </c>
      <c r="E1452" s="23">
        <v>0</v>
      </c>
      <c r="F1452" s="23">
        <v>-1684.559</v>
      </c>
      <c r="G1452" s="23">
        <v>0</v>
      </c>
      <c r="H1452" s="23">
        <v>1306.8599999999999</v>
      </c>
      <c r="I1452" s="23">
        <v>0</v>
      </c>
      <c r="J1452" s="23">
        <v>0</v>
      </c>
      <c r="K1452" s="23">
        <v>0</v>
      </c>
    </row>
    <row r="1453" spans="1:11" x14ac:dyDescent="0.25">
      <c r="A1453">
        <v>1452</v>
      </c>
      <c r="B1453" s="23">
        <v>0</v>
      </c>
      <c r="C1453" s="23">
        <v>807.44</v>
      </c>
      <c r="D1453" s="23">
        <v>2956.0129999999999</v>
      </c>
      <c r="E1453" s="23">
        <v>-1E-3</v>
      </c>
      <c r="F1453" s="23">
        <v>-1669.3009999999999</v>
      </c>
      <c r="G1453" s="23">
        <v>0</v>
      </c>
      <c r="H1453" s="23">
        <v>1286.713</v>
      </c>
      <c r="I1453" s="23">
        <v>0</v>
      </c>
      <c r="J1453" s="23">
        <v>0</v>
      </c>
      <c r="K1453" s="23">
        <v>0</v>
      </c>
    </row>
    <row r="1454" spans="1:11" x14ac:dyDescent="0.25">
      <c r="A1454">
        <v>1453</v>
      </c>
      <c r="B1454" s="23">
        <v>0</v>
      </c>
      <c r="C1454" s="23">
        <v>619.36</v>
      </c>
      <c r="D1454" s="23">
        <v>2279.123</v>
      </c>
      <c r="E1454" s="23">
        <v>0</v>
      </c>
      <c r="F1454" s="23">
        <v>0</v>
      </c>
      <c r="G1454" s="23">
        <v>0</v>
      </c>
      <c r="H1454" s="23">
        <v>2279.123</v>
      </c>
      <c r="I1454" s="23">
        <v>0</v>
      </c>
      <c r="J1454" s="23">
        <v>0</v>
      </c>
      <c r="K1454" s="23">
        <v>0</v>
      </c>
    </row>
    <row r="1455" spans="1:11" x14ac:dyDescent="0.25">
      <c r="A1455">
        <v>1454</v>
      </c>
      <c r="B1455" s="23">
        <v>87.813999999999993</v>
      </c>
      <c r="C1455" s="23">
        <v>646.51</v>
      </c>
      <c r="D1455" s="23">
        <v>2393.7869999999998</v>
      </c>
      <c r="E1455" s="23">
        <v>87.813999999999993</v>
      </c>
      <c r="F1455" s="23">
        <v>0</v>
      </c>
      <c r="G1455" s="23">
        <v>0</v>
      </c>
      <c r="H1455" s="23">
        <v>2305.973</v>
      </c>
      <c r="I1455" s="23">
        <v>0</v>
      </c>
      <c r="J1455" s="23">
        <v>0</v>
      </c>
      <c r="K1455" s="23">
        <v>0</v>
      </c>
    </row>
    <row r="1456" spans="1:11" x14ac:dyDescent="0.25">
      <c r="A1456">
        <v>1455</v>
      </c>
      <c r="B1456" s="23">
        <v>71.433000000000007</v>
      </c>
      <c r="C1456" s="23">
        <v>478.07</v>
      </c>
      <c r="D1456" s="23">
        <v>1804.684</v>
      </c>
      <c r="E1456" s="23">
        <v>71.433000000000007</v>
      </c>
      <c r="F1456" s="23">
        <v>0</v>
      </c>
      <c r="G1456" s="23">
        <v>0</v>
      </c>
      <c r="H1456" s="23">
        <v>1733.251</v>
      </c>
      <c r="I1456" s="23">
        <v>0</v>
      </c>
      <c r="J1456" s="23">
        <v>0</v>
      </c>
      <c r="K1456" s="23">
        <v>0</v>
      </c>
    </row>
    <row r="1457" spans="1:11" x14ac:dyDescent="0.25">
      <c r="A1457">
        <v>1456</v>
      </c>
      <c r="B1457" s="23">
        <v>76.614000000000004</v>
      </c>
      <c r="C1457" s="23">
        <v>549.13</v>
      </c>
      <c r="D1457" s="23">
        <v>2133.1849999999999</v>
      </c>
      <c r="E1457" s="23">
        <v>76.614000000000004</v>
      </c>
      <c r="F1457" s="23">
        <v>0</v>
      </c>
      <c r="G1457" s="23">
        <v>0</v>
      </c>
      <c r="H1457" s="23">
        <v>2056.5709999999999</v>
      </c>
      <c r="I1457" s="23">
        <v>0</v>
      </c>
      <c r="J1457" s="23">
        <v>0</v>
      </c>
      <c r="K1457" s="23">
        <v>0</v>
      </c>
    </row>
    <row r="1458" spans="1:11" x14ac:dyDescent="0.25">
      <c r="A1458">
        <v>1457</v>
      </c>
      <c r="B1458" s="23">
        <v>71.47</v>
      </c>
      <c r="C1458" s="23">
        <v>308.58999999999997</v>
      </c>
      <c r="D1458" s="23">
        <v>1195.8679999999999</v>
      </c>
      <c r="E1458" s="23">
        <v>71.47</v>
      </c>
      <c r="F1458" s="23">
        <v>0</v>
      </c>
      <c r="G1458" s="23">
        <v>0</v>
      </c>
      <c r="H1458" s="23">
        <v>1124.3979999999999</v>
      </c>
      <c r="I1458" s="23">
        <v>0</v>
      </c>
      <c r="J1458" s="23">
        <v>0</v>
      </c>
      <c r="K1458" s="23">
        <v>0</v>
      </c>
    </row>
    <row r="1459" spans="1:11" x14ac:dyDescent="0.25">
      <c r="A1459">
        <v>1458</v>
      </c>
      <c r="B1459" s="23">
        <v>83.418999999999997</v>
      </c>
      <c r="C1459" s="23">
        <v>75.39</v>
      </c>
      <c r="D1459" s="23">
        <v>236.35400000000001</v>
      </c>
      <c r="E1459" s="23">
        <v>83.418999999999997</v>
      </c>
      <c r="F1459" s="23">
        <v>0</v>
      </c>
      <c r="G1459" s="23">
        <v>0</v>
      </c>
      <c r="H1459" s="23">
        <v>152.935</v>
      </c>
      <c r="I1459" s="23">
        <v>0</v>
      </c>
      <c r="J1459" s="23">
        <v>0</v>
      </c>
      <c r="K1459" s="23">
        <v>0</v>
      </c>
    </row>
    <row r="1460" spans="1:11" x14ac:dyDescent="0.25">
      <c r="A1460">
        <v>1459</v>
      </c>
      <c r="B1460" s="23">
        <v>77.625</v>
      </c>
      <c r="C1460" s="23">
        <v>0</v>
      </c>
      <c r="D1460" s="23">
        <v>0</v>
      </c>
      <c r="E1460" s="23">
        <v>0</v>
      </c>
      <c r="F1460" s="23">
        <v>0</v>
      </c>
      <c r="G1460" s="23">
        <v>0</v>
      </c>
      <c r="H1460" s="23">
        <v>0</v>
      </c>
      <c r="I1460" s="23">
        <v>0</v>
      </c>
      <c r="J1460" s="23">
        <v>0</v>
      </c>
      <c r="K1460" s="23">
        <v>77.625</v>
      </c>
    </row>
    <row r="1461" spans="1:11" x14ac:dyDescent="0.25">
      <c r="A1461">
        <v>1460</v>
      </c>
      <c r="B1461" s="23">
        <v>86.4</v>
      </c>
      <c r="C1461" s="23">
        <v>0</v>
      </c>
      <c r="D1461" s="23">
        <v>0</v>
      </c>
      <c r="E1461" s="23">
        <v>0</v>
      </c>
      <c r="F1461" s="23">
        <v>0</v>
      </c>
      <c r="G1461" s="23">
        <v>0</v>
      </c>
      <c r="H1461" s="23">
        <v>0</v>
      </c>
      <c r="I1461" s="23">
        <v>0</v>
      </c>
      <c r="J1461" s="23">
        <v>0</v>
      </c>
      <c r="K1461" s="23">
        <v>86.4</v>
      </c>
    </row>
    <row r="1462" spans="1:11" x14ac:dyDescent="0.25">
      <c r="A1462">
        <v>1461</v>
      </c>
      <c r="B1462" s="23">
        <v>79.2</v>
      </c>
      <c r="C1462" s="23">
        <v>0</v>
      </c>
      <c r="D1462" s="23">
        <v>0</v>
      </c>
      <c r="E1462" s="23">
        <v>0</v>
      </c>
      <c r="F1462" s="23">
        <v>0</v>
      </c>
      <c r="G1462" s="23">
        <v>0</v>
      </c>
      <c r="H1462" s="23">
        <v>0</v>
      </c>
      <c r="I1462" s="23">
        <v>0</v>
      </c>
      <c r="J1462" s="23">
        <v>0</v>
      </c>
      <c r="K1462" s="23">
        <v>79.2</v>
      </c>
    </row>
    <row r="1463" spans="1:11" x14ac:dyDescent="0.25">
      <c r="A1463">
        <v>1462</v>
      </c>
      <c r="B1463" s="23">
        <v>86.4</v>
      </c>
      <c r="C1463" s="23">
        <v>0</v>
      </c>
      <c r="D1463" s="23">
        <v>0</v>
      </c>
      <c r="E1463" s="23">
        <v>0</v>
      </c>
      <c r="F1463" s="23">
        <v>0</v>
      </c>
      <c r="G1463" s="23">
        <v>0</v>
      </c>
      <c r="H1463" s="23">
        <v>0</v>
      </c>
      <c r="I1463" s="23">
        <v>0</v>
      </c>
      <c r="J1463" s="23">
        <v>0</v>
      </c>
      <c r="K1463" s="23">
        <v>86.4</v>
      </c>
    </row>
    <row r="1464" spans="1:11" x14ac:dyDescent="0.25">
      <c r="A1464">
        <v>1463</v>
      </c>
      <c r="B1464" s="23">
        <v>79.2</v>
      </c>
      <c r="C1464" s="23">
        <v>0</v>
      </c>
      <c r="D1464" s="23">
        <v>0</v>
      </c>
      <c r="E1464" s="23">
        <v>0</v>
      </c>
      <c r="F1464" s="23">
        <v>0</v>
      </c>
      <c r="G1464" s="23">
        <v>0</v>
      </c>
      <c r="H1464" s="23">
        <v>0</v>
      </c>
      <c r="I1464" s="23">
        <v>0</v>
      </c>
      <c r="J1464" s="23">
        <v>0</v>
      </c>
      <c r="K1464" s="23">
        <v>79.2</v>
      </c>
    </row>
    <row r="1465" spans="1:11" x14ac:dyDescent="0.25">
      <c r="A1465">
        <v>1464</v>
      </c>
      <c r="B1465" s="23">
        <v>84</v>
      </c>
      <c r="C1465" s="23">
        <v>0</v>
      </c>
      <c r="D1465" s="23">
        <v>0</v>
      </c>
      <c r="E1465" s="23">
        <v>0</v>
      </c>
      <c r="F1465" s="23">
        <v>0</v>
      </c>
      <c r="G1465" s="23">
        <v>0</v>
      </c>
      <c r="H1465" s="23">
        <v>0</v>
      </c>
      <c r="I1465" s="23">
        <v>0</v>
      </c>
      <c r="J1465" s="23">
        <v>0</v>
      </c>
      <c r="K1465" s="23">
        <v>84</v>
      </c>
    </row>
    <row r="1466" spans="1:11" x14ac:dyDescent="0.25">
      <c r="A1466">
        <v>1465</v>
      </c>
      <c r="B1466" s="23">
        <v>75.2</v>
      </c>
      <c r="C1466" s="23">
        <v>0</v>
      </c>
      <c r="D1466" s="23">
        <v>0</v>
      </c>
      <c r="E1466" s="23">
        <v>0</v>
      </c>
      <c r="F1466" s="23">
        <v>0</v>
      </c>
      <c r="G1466" s="23">
        <v>0</v>
      </c>
      <c r="H1466" s="23">
        <v>0</v>
      </c>
      <c r="I1466" s="23">
        <v>0</v>
      </c>
      <c r="J1466" s="23">
        <v>0</v>
      </c>
      <c r="K1466" s="23">
        <v>75.2</v>
      </c>
    </row>
    <row r="1467" spans="1:11" x14ac:dyDescent="0.25">
      <c r="A1467">
        <v>1466</v>
      </c>
      <c r="B1467" s="23">
        <v>81.599999999999994</v>
      </c>
      <c r="C1467" s="23">
        <v>0</v>
      </c>
      <c r="D1467" s="23">
        <v>0</v>
      </c>
      <c r="E1467" s="23">
        <v>0</v>
      </c>
      <c r="F1467" s="23">
        <v>0</v>
      </c>
      <c r="G1467" s="23">
        <v>0</v>
      </c>
      <c r="H1467" s="23">
        <v>0</v>
      </c>
      <c r="I1467" s="23">
        <v>0</v>
      </c>
      <c r="J1467" s="23">
        <v>0</v>
      </c>
      <c r="K1467" s="23">
        <v>81.599999999999994</v>
      </c>
    </row>
    <row r="1468" spans="1:11" x14ac:dyDescent="0.25">
      <c r="A1468">
        <v>1467</v>
      </c>
      <c r="B1468" s="23">
        <v>76</v>
      </c>
      <c r="C1468" s="23">
        <v>0</v>
      </c>
      <c r="D1468" s="23">
        <v>0</v>
      </c>
      <c r="E1468" s="23">
        <v>0</v>
      </c>
      <c r="F1468" s="23">
        <v>0</v>
      </c>
      <c r="G1468" s="23">
        <v>0</v>
      </c>
      <c r="H1468" s="23">
        <v>0</v>
      </c>
      <c r="I1468" s="23">
        <v>0</v>
      </c>
      <c r="J1468" s="23">
        <v>0</v>
      </c>
      <c r="K1468" s="23">
        <v>76</v>
      </c>
    </row>
    <row r="1469" spans="1:11" x14ac:dyDescent="0.25">
      <c r="A1469">
        <v>1468</v>
      </c>
      <c r="B1469" s="23">
        <v>80</v>
      </c>
      <c r="C1469" s="23">
        <v>0</v>
      </c>
      <c r="D1469" s="23">
        <v>0</v>
      </c>
      <c r="E1469" s="23">
        <v>0</v>
      </c>
      <c r="F1469" s="23">
        <v>0</v>
      </c>
      <c r="G1469" s="23">
        <v>0</v>
      </c>
      <c r="H1469" s="23">
        <v>0</v>
      </c>
      <c r="I1469" s="23">
        <v>0</v>
      </c>
      <c r="J1469" s="23">
        <v>0</v>
      </c>
      <c r="K1469" s="23">
        <v>80</v>
      </c>
    </row>
    <row r="1470" spans="1:11" x14ac:dyDescent="0.25">
      <c r="A1470">
        <v>1469</v>
      </c>
      <c r="B1470" s="23">
        <v>76.8</v>
      </c>
      <c r="C1470" s="23">
        <v>0</v>
      </c>
      <c r="D1470" s="23">
        <v>0</v>
      </c>
      <c r="E1470" s="23">
        <v>0</v>
      </c>
      <c r="F1470" s="23">
        <v>0</v>
      </c>
      <c r="G1470" s="23">
        <v>0</v>
      </c>
      <c r="H1470" s="23">
        <v>0</v>
      </c>
      <c r="I1470" s="23">
        <v>0</v>
      </c>
      <c r="J1470" s="23">
        <v>0</v>
      </c>
      <c r="K1470" s="23">
        <v>76.8</v>
      </c>
    </row>
    <row r="1471" spans="1:11" x14ac:dyDescent="0.25">
      <c r="A1471">
        <v>1470</v>
      </c>
      <c r="B1471" s="23">
        <v>81.599999999999994</v>
      </c>
      <c r="C1471" s="23">
        <v>0</v>
      </c>
      <c r="D1471" s="23">
        <v>0</v>
      </c>
      <c r="E1471" s="23">
        <v>0</v>
      </c>
      <c r="F1471" s="23">
        <v>0</v>
      </c>
      <c r="G1471" s="23">
        <v>0</v>
      </c>
      <c r="H1471" s="23">
        <v>0</v>
      </c>
      <c r="I1471" s="23">
        <v>0</v>
      </c>
      <c r="J1471" s="23">
        <v>0</v>
      </c>
      <c r="K1471" s="23">
        <v>81.599999999999994</v>
      </c>
    </row>
    <row r="1472" spans="1:11" x14ac:dyDescent="0.25">
      <c r="A1472">
        <v>1471</v>
      </c>
      <c r="B1472" s="23">
        <v>67.2</v>
      </c>
      <c r="C1472" s="23">
        <v>24.11</v>
      </c>
      <c r="D1472" s="23">
        <v>59.313000000000002</v>
      </c>
      <c r="E1472" s="23">
        <v>59.313000000000002</v>
      </c>
      <c r="F1472" s="23">
        <v>0</v>
      </c>
      <c r="G1472" s="23">
        <v>0</v>
      </c>
      <c r="H1472" s="23">
        <v>0</v>
      </c>
      <c r="I1472" s="23">
        <v>0</v>
      </c>
      <c r="J1472" s="23">
        <v>0</v>
      </c>
      <c r="K1472" s="23">
        <v>7.8869999999999996</v>
      </c>
    </row>
    <row r="1473" spans="1:11" x14ac:dyDescent="0.25">
      <c r="A1473">
        <v>1472</v>
      </c>
      <c r="B1473" s="23">
        <v>79.057000000000002</v>
      </c>
      <c r="C1473" s="23">
        <v>122.97</v>
      </c>
      <c r="D1473" s="23">
        <v>465.822</v>
      </c>
      <c r="E1473" s="23">
        <v>79.057000000000002</v>
      </c>
      <c r="F1473" s="23">
        <v>-386.76499999999999</v>
      </c>
      <c r="G1473" s="23">
        <v>0</v>
      </c>
      <c r="H1473" s="23">
        <v>0</v>
      </c>
      <c r="I1473" s="23">
        <v>0</v>
      </c>
      <c r="J1473" s="23">
        <v>0</v>
      </c>
      <c r="K1473" s="23">
        <v>0</v>
      </c>
    </row>
    <row r="1474" spans="1:11" x14ac:dyDescent="0.25">
      <c r="A1474">
        <v>1473</v>
      </c>
      <c r="B1474" s="23">
        <v>544.57399999999996</v>
      </c>
      <c r="C1474" s="23">
        <v>314.68</v>
      </c>
      <c r="D1474" s="23">
        <v>1223.18</v>
      </c>
      <c r="E1474" s="23">
        <v>544.57399999999996</v>
      </c>
      <c r="F1474" s="23">
        <v>-678.60599999999999</v>
      </c>
      <c r="G1474" s="23">
        <v>0</v>
      </c>
      <c r="H1474" s="23">
        <v>0</v>
      </c>
      <c r="I1474" s="23">
        <v>0</v>
      </c>
      <c r="J1474" s="23">
        <v>0</v>
      </c>
      <c r="K1474" s="23">
        <v>0</v>
      </c>
    </row>
    <row r="1475" spans="1:11" x14ac:dyDescent="0.25">
      <c r="A1475">
        <v>1474</v>
      </c>
      <c r="B1475" s="23">
        <v>1505.096</v>
      </c>
      <c r="C1475" s="23">
        <v>457.58</v>
      </c>
      <c r="D1475" s="23">
        <v>1738.97</v>
      </c>
      <c r="E1475" s="23">
        <v>1505.096</v>
      </c>
      <c r="F1475" s="23">
        <v>-16.260999999999999</v>
      </c>
      <c r="G1475" s="23">
        <v>0</v>
      </c>
      <c r="H1475" s="23">
        <v>217.613</v>
      </c>
      <c r="I1475" s="23">
        <v>0</v>
      </c>
      <c r="J1475" s="23">
        <v>0</v>
      </c>
      <c r="K1475" s="23">
        <v>0</v>
      </c>
    </row>
    <row r="1476" spans="1:11" x14ac:dyDescent="0.25">
      <c r="A1476">
        <v>1475</v>
      </c>
      <c r="B1476" s="23">
        <v>1673.221</v>
      </c>
      <c r="C1476" s="23">
        <v>716.95</v>
      </c>
      <c r="D1476" s="23">
        <v>2644.7919999999999</v>
      </c>
      <c r="E1476" s="23">
        <v>1673.221</v>
      </c>
      <c r="F1476" s="23">
        <v>0</v>
      </c>
      <c r="G1476" s="23">
        <v>0</v>
      </c>
      <c r="H1476" s="23">
        <v>971.57100000000003</v>
      </c>
      <c r="I1476" s="23">
        <v>0</v>
      </c>
      <c r="J1476" s="23">
        <v>0</v>
      </c>
      <c r="K1476" s="23">
        <v>0</v>
      </c>
    </row>
    <row r="1477" spans="1:11" x14ac:dyDescent="0.25">
      <c r="A1477">
        <v>1476</v>
      </c>
      <c r="B1477" s="23">
        <v>1557.38</v>
      </c>
      <c r="C1477" s="23">
        <v>969.39</v>
      </c>
      <c r="D1477" s="23">
        <v>3470.6990000000001</v>
      </c>
      <c r="E1477" s="23">
        <v>1557.38</v>
      </c>
      <c r="F1477" s="23">
        <v>0</v>
      </c>
      <c r="G1477" s="23">
        <v>0</v>
      </c>
      <c r="H1477" s="23">
        <v>1913.319</v>
      </c>
      <c r="I1477" s="23">
        <v>0</v>
      </c>
      <c r="J1477" s="23">
        <v>0</v>
      </c>
      <c r="K1477" s="23">
        <v>0</v>
      </c>
    </row>
    <row r="1478" spans="1:11" x14ac:dyDescent="0.25">
      <c r="A1478">
        <v>1477</v>
      </c>
      <c r="B1478" s="23">
        <v>1552.097</v>
      </c>
      <c r="C1478" s="23">
        <v>986.59</v>
      </c>
      <c r="D1478" s="23">
        <v>3517.5569999999998</v>
      </c>
      <c r="E1478" s="23">
        <v>1552.097</v>
      </c>
      <c r="F1478" s="23">
        <v>0</v>
      </c>
      <c r="G1478" s="23">
        <v>0</v>
      </c>
      <c r="H1478" s="23">
        <v>1965.46</v>
      </c>
      <c r="I1478" s="23">
        <v>0</v>
      </c>
      <c r="J1478" s="23">
        <v>0</v>
      </c>
      <c r="K1478" s="23">
        <v>0</v>
      </c>
    </row>
    <row r="1479" spans="1:11" x14ac:dyDescent="0.25">
      <c r="A1479">
        <v>1478</v>
      </c>
      <c r="B1479" s="23">
        <v>1601.4670000000001</v>
      </c>
      <c r="C1479" s="23">
        <v>904.05</v>
      </c>
      <c r="D1479" s="23">
        <v>3279.0390000000002</v>
      </c>
      <c r="E1479" s="23">
        <v>1601.4670000000001</v>
      </c>
      <c r="F1479" s="23">
        <v>0</v>
      </c>
      <c r="G1479" s="23">
        <v>0</v>
      </c>
      <c r="H1479" s="23">
        <v>1677.5719999999999</v>
      </c>
      <c r="I1479" s="23">
        <v>0</v>
      </c>
      <c r="J1479" s="23">
        <v>0</v>
      </c>
      <c r="K1479" s="23">
        <v>0</v>
      </c>
    </row>
    <row r="1480" spans="1:11" x14ac:dyDescent="0.25">
      <c r="A1480">
        <v>1479</v>
      </c>
      <c r="B1480" s="23">
        <v>1699.22</v>
      </c>
      <c r="C1480" s="23">
        <v>754.19</v>
      </c>
      <c r="D1480" s="23">
        <v>2821.2539999999999</v>
      </c>
      <c r="E1480" s="23">
        <v>1699.22</v>
      </c>
      <c r="F1480" s="23">
        <v>0</v>
      </c>
      <c r="G1480" s="23">
        <v>0</v>
      </c>
      <c r="H1480" s="23">
        <v>1122.0340000000001</v>
      </c>
      <c r="I1480" s="23">
        <v>0</v>
      </c>
      <c r="J1480" s="23">
        <v>0</v>
      </c>
      <c r="K1480" s="23">
        <v>0</v>
      </c>
    </row>
    <row r="1481" spans="1:11" x14ac:dyDescent="0.25">
      <c r="A1481">
        <v>1480</v>
      </c>
      <c r="B1481" s="23">
        <v>1209.0329999999999</v>
      </c>
      <c r="C1481" s="23">
        <v>409.02</v>
      </c>
      <c r="D1481" s="23">
        <v>1581.751</v>
      </c>
      <c r="E1481" s="23">
        <v>1209.0329999999999</v>
      </c>
      <c r="F1481" s="23">
        <v>0</v>
      </c>
      <c r="G1481" s="23">
        <v>0</v>
      </c>
      <c r="H1481" s="23">
        <v>372.71800000000002</v>
      </c>
      <c r="I1481" s="23">
        <v>0</v>
      </c>
      <c r="J1481" s="23">
        <v>0</v>
      </c>
      <c r="K1481" s="23">
        <v>0</v>
      </c>
    </row>
    <row r="1482" spans="1:11" x14ac:dyDescent="0.25">
      <c r="A1482">
        <v>1481</v>
      </c>
      <c r="B1482" s="23">
        <v>1602.2650000000001</v>
      </c>
      <c r="C1482" s="23">
        <v>304.39</v>
      </c>
      <c r="D1482" s="23">
        <v>1181.2650000000001</v>
      </c>
      <c r="E1482" s="23">
        <v>1181.2650000000001</v>
      </c>
      <c r="F1482" s="23">
        <v>0</v>
      </c>
      <c r="G1482" s="23">
        <v>0</v>
      </c>
      <c r="H1482" s="23">
        <v>0</v>
      </c>
      <c r="I1482" s="23">
        <v>421</v>
      </c>
      <c r="J1482" s="23">
        <v>0</v>
      </c>
      <c r="K1482" s="23">
        <v>0</v>
      </c>
    </row>
    <row r="1483" spans="1:11" x14ac:dyDescent="0.25">
      <c r="A1483">
        <v>1482</v>
      </c>
      <c r="B1483" s="23">
        <v>1255.7829999999999</v>
      </c>
      <c r="C1483" s="23">
        <v>72.03</v>
      </c>
      <c r="D1483" s="23">
        <v>225.398</v>
      </c>
      <c r="E1483" s="23">
        <v>225.398</v>
      </c>
      <c r="F1483" s="23">
        <v>0</v>
      </c>
      <c r="G1483" s="23">
        <v>0</v>
      </c>
      <c r="H1483" s="23">
        <v>0</v>
      </c>
      <c r="I1483" s="23">
        <v>0</v>
      </c>
      <c r="J1483" s="23">
        <v>0</v>
      </c>
      <c r="K1483" s="23">
        <v>1030.385</v>
      </c>
    </row>
    <row r="1484" spans="1:11" x14ac:dyDescent="0.25">
      <c r="A1484">
        <v>1483</v>
      </c>
      <c r="B1484" s="23">
        <v>1313.251</v>
      </c>
      <c r="C1484" s="23">
        <v>0</v>
      </c>
      <c r="D1484" s="23">
        <v>0</v>
      </c>
      <c r="E1484" s="23">
        <v>0</v>
      </c>
      <c r="F1484" s="23">
        <v>0</v>
      </c>
      <c r="G1484" s="23">
        <v>0</v>
      </c>
      <c r="H1484" s="23">
        <v>0</v>
      </c>
      <c r="I1484" s="23">
        <v>0</v>
      </c>
      <c r="J1484" s="23">
        <v>0</v>
      </c>
      <c r="K1484" s="23">
        <v>1313.251</v>
      </c>
    </row>
    <row r="1485" spans="1:11" x14ac:dyDescent="0.25">
      <c r="A1485">
        <v>1484</v>
      </c>
      <c r="B1485" s="23">
        <v>1345.6</v>
      </c>
      <c r="C1485" s="23">
        <v>0</v>
      </c>
      <c r="D1485" s="23">
        <v>0</v>
      </c>
      <c r="E1485" s="23">
        <v>0</v>
      </c>
      <c r="F1485" s="23">
        <v>0</v>
      </c>
      <c r="G1485" s="23">
        <v>0</v>
      </c>
      <c r="H1485" s="23">
        <v>0</v>
      </c>
      <c r="I1485" s="23">
        <v>0</v>
      </c>
      <c r="J1485" s="23">
        <v>0</v>
      </c>
      <c r="K1485" s="23">
        <v>1345.6</v>
      </c>
    </row>
    <row r="1486" spans="1:11" x14ac:dyDescent="0.25">
      <c r="A1486">
        <v>1485</v>
      </c>
      <c r="B1486" s="23">
        <v>1182.4000000000001</v>
      </c>
      <c r="C1486" s="23">
        <v>0</v>
      </c>
      <c r="D1486" s="23">
        <v>0</v>
      </c>
      <c r="E1486" s="23">
        <v>0</v>
      </c>
      <c r="F1486" s="23">
        <v>0</v>
      </c>
      <c r="G1486" s="23">
        <v>0</v>
      </c>
      <c r="H1486" s="23">
        <v>0</v>
      </c>
      <c r="I1486" s="23">
        <v>1182.4000000000001</v>
      </c>
      <c r="J1486" s="23">
        <v>0</v>
      </c>
      <c r="K1486" s="23">
        <v>0</v>
      </c>
    </row>
    <row r="1487" spans="1:11" x14ac:dyDescent="0.25">
      <c r="A1487">
        <v>1486</v>
      </c>
      <c r="B1487" s="23">
        <v>1305.5999999999999</v>
      </c>
      <c r="C1487" s="23">
        <v>0</v>
      </c>
      <c r="D1487" s="23">
        <v>0</v>
      </c>
      <c r="E1487" s="23">
        <v>0</v>
      </c>
      <c r="F1487" s="23">
        <v>0</v>
      </c>
      <c r="G1487" s="23">
        <v>0</v>
      </c>
      <c r="H1487" s="23">
        <v>0</v>
      </c>
      <c r="I1487" s="23">
        <v>1305.5999999999999</v>
      </c>
      <c r="J1487" s="23">
        <v>0</v>
      </c>
      <c r="K1487" s="23">
        <v>0</v>
      </c>
    </row>
    <row r="1488" spans="1:11" x14ac:dyDescent="0.25">
      <c r="A1488">
        <v>1487</v>
      </c>
      <c r="B1488" s="23">
        <v>1395.2</v>
      </c>
      <c r="C1488" s="23">
        <v>0</v>
      </c>
      <c r="D1488" s="23">
        <v>0</v>
      </c>
      <c r="E1488" s="23">
        <v>0</v>
      </c>
      <c r="F1488" s="23">
        <v>0</v>
      </c>
      <c r="G1488" s="23">
        <v>0</v>
      </c>
      <c r="H1488" s="23">
        <v>0</v>
      </c>
      <c r="I1488" s="23">
        <v>1395.2</v>
      </c>
      <c r="J1488" s="23">
        <v>0</v>
      </c>
      <c r="K1488" s="23">
        <v>0</v>
      </c>
    </row>
    <row r="1489" spans="1:11" x14ac:dyDescent="0.25">
      <c r="A1489">
        <v>1488</v>
      </c>
      <c r="B1489" s="23">
        <v>1414.4</v>
      </c>
      <c r="C1489" s="23">
        <v>0</v>
      </c>
      <c r="D1489" s="23">
        <v>0</v>
      </c>
      <c r="E1489" s="23">
        <v>0</v>
      </c>
      <c r="F1489" s="23">
        <v>0</v>
      </c>
      <c r="G1489" s="23">
        <v>0</v>
      </c>
      <c r="H1489" s="23">
        <v>0</v>
      </c>
      <c r="I1489" s="23">
        <v>1414.4</v>
      </c>
      <c r="J1489" s="23">
        <v>0</v>
      </c>
      <c r="K1489" s="23">
        <v>0</v>
      </c>
    </row>
    <row r="1490" spans="1:11" x14ac:dyDescent="0.25">
      <c r="A1490">
        <v>1489</v>
      </c>
      <c r="B1490" s="23">
        <v>1534.4</v>
      </c>
      <c r="C1490" s="23">
        <v>0</v>
      </c>
      <c r="D1490" s="23">
        <v>0</v>
      </c>
      <c r="E1490" s="23">
        <v>0</v>
      </c>
      <c r="F1490" s="23">
        <v>0</v>
      </c>
      <c r="G1490" s="23">
        <v>0</v>
      </c>
      <c r="H1490" s="23">
        <v>0</v>
      </c>
      <c r="I1490" s="23">
        <v>1534.4</v>
      </c>
      <c r="J1490" s="23">
        <v>0</v>
      </c>
      <c r="K1490" s="23">
        <v>0</v>
      </c>
    </row>
    <row r="1491" spans="1:11" x14ac:dyDescent="0.25">
      <c r="A1491">
        <v>1490</v>
      </c>
      <c r="B1491" s="23">
        <v>1493.6</v>
      </c>
      <c r="C1491" s="23">
        <v>0</v>
      </c>
      <c r="D1491" s="23">
        <v>0</v>
      </c>
      <c r="E1491" s="23">
        <v>0</v>
      </c>
      <c r="F1491" s="23">
        <v>0</v>
      </c>
      <c r="G1491" s="23">
        <v>0</v>
      </c>
      <c r="H1491" s="23">
        <v>0</v>
      </c>
      <c r="I1491" s="23">
        <v>1493.6</v>
      </c>
      <c r="J1491" s="23">
        <v>0</v>
      </c>
      <c r="K1491" s="23">
        <v>0</v>
      </c>
    </row>
    <row r="1492" spans="1:11" x14ac:dyDescent="0.25">
      <c r="A1492">
        <v>1491</v>
      </c>
      <c r="B1492" s="23">
        <v>1685.6</v>
      </c>
      <c r="C1492" s="23">
        <v>0</v>
      </c>
      <c r="D1492" s="23">
        <v>0</v>
      </c>
      <c r="E1492" s="23">
        <v>0</v>
      </c>
      <c r="F1492" s="23">
        <v>0</v>
      </c>
      <c r="G1492" s="23">
        <v>0</v>
      </c>
      <c r="H1492" s="23">
        <v>0</v>
      </c>
      <c r="I1492" s="23">
        <v>1685.6</v>
      </c>
      <c r="J1492" s="23">
        <v>0</v>
      </c>
      <c r="K1492" s="23">
        <v>0</v>
      </c>
    </row>
    <row r="1493" spans="1:11" x14ac:dyDescent="0.25">
      <c r="A1493">
        <v>1492</v>
      </c>
      <c r="B1493" s="23">
        <v>1434.4</v>
      </c>
      <c r="C1493" s="23">
        <v>0</v>
      </c>
      <c r="D1493" s="23">
        <v>0</v>
      </c>
      <c r="E1493" s="23">
        <v>0</v>
      </c>
      <c r="F1493" s="23">
        <v>0</v>
      </c>
      <c r="G1493" s="23">
        <v>0</v>
      </c>
      <c r="H1493" s="23">
        <v>0</v>
      </c>
      <c r="I1493" s="23">
        <v>1434.4</v>
      </c>
      <c r="J1493" s="23">
        <v>0</v>
      </c>
      <c r="K1493" s="23">
        <v>0</v>
      </c>
    </row>
    <row r="1494" spans="1:11" x14ac:dyDescent="0.25">
      <c r="A1494">
        <v>1493</v>
      </c>
      <c r="B1494" s="23">
        <v>1459.2</v>
      </c>
      <c r="C1494" s="23">
        <v>0</v>
      </c>
      <c r="D1494" s="23">
        <v>0</v>
      </c>
      <c r="E1494" s="23">
        <v>0</v>
      </c>
      <c r="F1494" s="23">
        <v>0</v>
      </c>
      <c r="G1494" s="23">
        <v>0</v>
      </c>
      <c r="H1494" s="23">
        <v>0</v>
      </c>
      <c r="I1494" s="23">
        <v>1459.2</v>
      </c>
      <c r="J1494" s="23">
        <v>0</v>
      </c>
      <c r="K1494" s="23">
        <v>0</v>
      </c>
    </row>
    <row r="1495" spans="1:11" x14ac:dyDescent="0.25">
      <c r="A1495">
        <v>1494</v>
      </c>
      <c r="B1495" s="23">
        <v>1717.6</v>
      </c>
      <c r="C1495" s="23">
        <v>0</v>
      </c>
      <c r="D1495" s="23">
        <v>0</v>
      </c>
      <c r="E1495" s="23">
        <v>0</v>
      </c>
      <c r="F1495" s="23">
        <v>0</v>
      </c>
      <c r="G1495" s="23">
        <v>0</v>
      </c>
      <c r="H1495" s="23">
        <v>0</v>
      </c>
      <c r="I1495" s="23">
        <v>1717.6</v>
      </c>
      <c r="J1495" s="23">
        <v>0</v>
      </c>
      <c r="K1495" s="23">
        <v>0</v>
      </c>
    </row>
    <row r="1496" spans="1:11" x14ac:dyDescent="0.25">
      <c r="A1496">
        <v>1495</v>
      </c>
      <c r="B1496" s="23">
        <v>1190.4000000000001</v>
      </c>
      <c r="C1496" s="23">
        <v>37.119999999999997</v>
      </c>
      <c r="D1496" s="23">
        <v>99.052999999999997</v>
      </c>
      <c r="E1496" s="23">
        <v>99.052999999999997</v>
      </c>
      <c r="F1496" s="23">
        <v>0</v>
      </c>
      <c r="G1496" s="23">
        <v>0</v>
      </c>
      <c r="H1496" s="23">
        <v>0</v>
      </c>
      <c r="I1496" s="23">
        <v>904.06399999999996</v>
      </c>
      <c r="J1496" s="23">
        <v>0</v>
      </c>
      <c r="K1496" s="23">
        <v>187.28200000000001</v>
      </c>
    </row>
    <row r="1497" spans="1:11" x14ac:dyDescent="0.25">
      <c r="A1497">
        <v>1496</v>
      </c>
      <c r="B1497" s="23">
        <v>1580.0429999999999</v>
      </c>
      <c r="C1497" s="23">
        <v>237.98</v>
      </c>
      <c r="D1497" s="23">
        <v>918.74599999999998</v>
      </c>
      <c r="E1497" s="23">
        <v>918.74599999999998</v>
      </c>
      <c r="F1497" s="23">
        <v>0</v>
      </c>
      <c r="G1497" s="23">
        <v>0</v>
      </c>
      <c r="H1497" s="23">
        <v>0</v>
      </c>
      <c r="I1497" s="23">
        <v>0</v>
      </c>
      <c r="J1497" s="23">
        <v>0</v>
      </c>
      <c r="K1497" s="23">
        <v>661.29700000000003</v>
      </c>
    </row>
    <row r="1498" spans="1:11" x14ac:dyDescent="0.25">
      <c r="A1498">
        <v>1497</v>
      </c>
      <c r="B1498" s="23">
        <v>1502.0360000000001</v>
      </c>
      <c r="C1498" s="23">
        <v>441.96</v>
      </c>
      <c r="D1498" s="23">
        <v>1727.0889999999999</v>
      </c>
      <c r="E1498" s="23">
        <v>1502.0360000000001</v>
      </c>
      <c r="F1498" s="23">
        <v>-225.053</v>
      </c>
      <c r="G1498" s="23">
        <v>0</v>
      </c>
      <c r="H1498" s="23">
        <v>0</v>
      </c>
      <c r="I1498" s="23">
        <v>0</v>
      </c>
      <c r="J1498" s="23">
        <v>0</v>
      </c>
      <c r="K1498" s="23">
        <v>0</v>
      </c>
    </row>
    <row r="1499" spans="1:11" x14ac:dyDescent="0.25">
      <c r="A1499">
        <v>1498</v>
      </c>
      <c r="B1499" s="23">
        <v>1441.807</v>
      </c>
      <c r="C1499" s="23">
        <v>603.63</v>
      </c>
      <c r="D1499" s="23">
        <v>2285.3789999999999</v>
      </c>
      <c r="E1499" s="23">
        <v>1441.807</v>
      </c>
      <c r="F1499" s="23">
        <v>-843.572</v>
      </c>
      <c r="G1499" s="23">
        <v>0</v>
      </c>
      <c r="H1499" s="23">
        <v>0</v>
      </c>
      <c r="I1499" s="23">
        <v>0</v>
      </c>
      <c r="J1499" s="23">
        <v>0</v>
      </c>
      <c r="K1499" s="23">
        <v>0</v>
      </c>
    </row>
    <row r="1500" spans="1:11" x14ac:dyDescent="0.25">
      <c r="A1500">
        <v>1499</v>
      </c>
      <c r="B1500" s="23">
        <v>1867.076</v>
      </c>
      <c r="C1500" s="23">
        <v>856.76</v>
      </c>
      <c r="D1500" s="23">
        <v>3125.9459999999999</v>
      </c>
      <c r="E1500" s="23">
        <v>1867.076</v>
      </c>
      <c r="F1500" s="23">
        <v>-1258.8699999999999</v>
      </c>
      <c r="G1500" s="23">
        <v>0</v>
      </c>
      <c r="H1500" s="23">
        <v>0</v>
      </c>
      <c r="I1500" s="23">
        <v>0</v>
      </c>
      <c r="J1500" s="23">
        <v>0</v>
      </c>
      <c r="K1500" s="23">
        <v>0</v>
      </c>
    </row>
    <row r="1501" spans="1:11" x14ac:dyDescent="0.25">
      <c r="A1501">
        <v>1500</v>
      </c>
      <c r="B1501" s="23">
        <v>1969.5630000000001</v>
      </c>
      <c r="C1501" s="23">
        <v>978.72</v>
      </c>
      <c r="D1501" s="23">
        <v>3507.8150000000001</v>
      </c>
      <c r="E1501" s="23">
        <v>1969.5630000000001</v>
      </c>
      <c r="F1501" s="23">
        <v>-1538.252</v>
      </c>
      <c r="G1501" s="23">
        <v>0</v>
      </c>
      <c r="H1501" s="23">
        <v>0</v>
      </c>
      <c r="I1501" s="23">
        <v>0</v>
      </c>
      <c r="J1501" s="23">
        <v>0</v>
      </c>
      <c r="K1501" s="23">
        <v>0</v>
      </c>
    </row>
    <row r="1502" spans="1:11" x14ac:dyDescent="0.25">
      <c r="A1502">
        <v>1501</v>
      </c>
      <c r="B1502" s="23">
        <v>1991.36</v>
      </c>
      <c r="C1502" s="23">
        <v>600.79</v>
      </c>
      <c r="D1502" s="23">
        <v>2216.3490000000002</v>
      </c>
      <c r="E1502" s="23">
        <v>1991.36</v>
      </c>
      <c r="F1502" s="23">
        <v>-224.989</v>
      </c>
      <c r="G1502" s="23">
        <v>0</v>
      </c>
      <c r="H1502" s="23">
        <v>0</v>
      </c>
      <c r="I1502" s="23">
        <v>0</v>
      </c>
      <c r="J1502" s="23">
        <v>0</v>
      </c>
      <c r="K1502" s="23">
        <v>0</v>
      </c>
    </row>
    <row r="1503" spans="1:11" x14ac:dyDescent="0.25">
      <c r="A1503">
        <v>1502</v>
      </c>
      <c r="B1503" s="23">
        <v>1801.825</v>
      </c>
      <c r="C1503" s="23">
        <v>264.04000000000002</v>
      </c>
      <c r="D1503" s="23">
        <v>972.78499999999997</v>
      </c>
      <c r="E1503" s="23">
        <v>972.78499999999997</v>
      </c>
      <c r="F1503" s="23">
        <v>0</v>
      </c>
      <c r="G1503" s="23">
        <v>0</v>
      </c>
      <c r="H1503" s="23">
        <v>0</v>
      </c>
      <c r="I1503" s="23">
        <v>0</v>
      </c>
      <c r="J1503" s="23">
        <v>0</v>
      </c>
      <c r="K1503" s="23">
        <v>829.04</v>
      </c>
    </row>
    <row r="1504" spans="1:11" x14ac:dyDescent="0.25">
      <c r="A1504">
        <v>1503</v>
      </c>
      <c r="B1504" s="23">
        <v>1593.2819999999999</v>
      </c>
      <c r="C1504" s="23">
        <v>705.82</v>
      </c>
      <c r="D1504" s="23">
        <v>2664.5509999999999</v>
      </c>
      <c r="E1504" s="23">
        <v>1593.2819999999999</v>
      </c>
      <c r="F1504" s="23">
        <v>-1071.269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</row>
    <row r="1505" spans="1:11" x14ac:dyDescent="0.25">
      <c r="A1505">
        <v>1504</v>
      </c>
      <c r="B1505" s="23">
        <v>1359.1780000000001</v>
      </c>
      <c r="C1505" s="23">
        <v>556.71</v>
      </c>
      <c r="D1505" s="23">
        <v>2169.9029999999998</v>
      </c>
      <c r="E1505" s="23">
        <v>1359.1780000000001</v>
      </c>
      <c r="F1505" s="23">
        <v>-810.72500000000002</v>
      </c>
      <c r="G1505" s="23">
        <v>0</v>
      </c>
      <c r="H1505" s="23">
        <v>0</v>
      </c>
      <c r="I1505" s="23">
        <v>0</v>
      </c>
      <c r="J1505" s="23">
        <v>0</v>
      </c>
      <c r="K1505" s="23">
        <v>0</v>
      </c>
    </row>
    <row r="1506" spans="1:11" x14ac:dyDescent="0.25">
      <c r="A1506">
        <v>1505</v>
      </c>
      <c r="B1506" s="23">
        <v>1889.8389999999999</v>
      </c>
      <c r="C1506" s="23">
        <v>309.29000000000002</v>
      </c>
      <c r="D1506" s="23">
        <v>1203.7360000000001</v>
      </c>
      <c r="E1506" s="23">
        <v>1203.7360000000001</v>
      </c>
      <c r="F1506" s="23">
        <v>0</v>
      </c>
      <c r="G1506" s="23">
        <v>0</v>
      </c>
      <c r="H1506" s="23">
        <v>0</v>
      </c>
      <c r="I1506" s="23">
        <v>686.10299999999995</v>
      </c>
      <c r="J1506" s="23">
        <v>0</v>
      </c>
      <c r="K1506" s="23">
        <v>0</v>
      </c>
    </row>
    <row r="1507" spans="1:11" x14ac:dyDescent="0.25">
      <c r="A1507">
        <v>1506</v>
      </c>
      <c r="B1507" s="23">
        <v>1338.0139999999999</v>
      </c>
      <c r="C1507" s="23">
        <v>73.959999999999994</v>
      </c>
      <c r="D1507" s="23">
        <v>233.50299999999999</v>
      </c>
      <c r="E1507" s="23">
        <v>233.50299999999999</v>
      </c>
      <c r="F1507" s="23">
        <v>0</v>
      </c>
      <c r="G1507" s="23">
        <v>0</v>
      </c>
      <c r="H1507" s="23">
        <v>0</v>
      </c>
      <c r="I1507" s="23">
        <v>0</v>
      </c>
      <c r="J1507" s="23">
        <v>0</v>
      </c>
      <c r="K1507" s="23">
        <v>1104.511</v>
      </c>
    </row>
    <row r="1508" spans="1:11" x14ac:dyDescent="0.25">
      <c r="A1508">
        <v>1507</v>
      </c>
      <c r="B1508" s="23">
        <v>1353.885</v>
      </c>
      <c r="C1508" s="23">
        <v>0</v>
      </c>
      <c r="D1508" s="23">
        <v>0</v>
      </c>
      <c r="E1508" s="23">
        <v>0</v>
      </c>
      <c r="F1508" s="23">
        <v>0</v>
      </c>
      <c r="G1508" s="23">
        <v>0</v>
      </c>
      <c r="H1508" s="23">
        <v>0</v>
      </c>
      <c r="I1508" s="23">
        <v>0</v>
      </c>
      <c r="J1508" s="23">
        <v>0</v>
      </c>
      <c r="K1508" s="23">
        <v>1353.885</v>
      </c>
    </row>
    <row r="1509" spans="1:11" x14ac:dyDescent="0.25">
      <c r="A1509">
        <v>1508</v>
      </c>
      <c r="B1509" s="23">
        <v>1158.4000000000001</v>
      </c>
      <c r="C1509" s="23">
        <v>0</v>
      </c>
      <c r="D1509" s="23">
        <v>0</v>
      </c>
      <c r="E1509" s="23">
        <v>0</v>
      </c>
      <c r="F1509" s="23">
        <v>0</v>
      </c>
      <c r="G1509" s="23">
        <v>0</v>
      </c>
      <c r="H1509" s="23">
        <v>0</v>
      </c>
      <c r="I1509" s="23">
        <v>0</v>
      </c>
      <c r="J1509" s="23">
        <v>0</v>
      </c>
      <c r="K1509" s="23">
        <v>1158.4000000000001</v>
      </c>
    </row>
    <row r="1510" spans="1:11" x14ac:dyDescent="0.25">
      <c r="A1510">
        <v>1509</v>
      </c>
      <c r="B1510" s="23">
        <v>1659.2</v>
      </c>
      <c r="C1510" s="23">
        <v>0</v>
      </c>
      <c r="D1510" s="23">
        <v>0</v>
      </c>
      <c r="E1510" s="23">
        <v>0</v>
      </c>
      <c r="F1510" s="23">
        <v>0</v>
      </c>
      <c r="G1510" s="23">
        <v>0</v>
      </c>
      <c r="H1510" s="23">
        <v>0</v>
      </c>
      <c r="I1510" s="23">
        <v>1659.2</v>
      </c>
      <c r="J1510" s="23">
        <v>0</v>
      </c>
      <c r="K1510" s="23">
        <v>0</v>
      </c>
    </row>
    <row r="1511" spans="1:11" x14ac:dyDescent="0.25">
      <c r="A1511">
        <v>1510</v>
      </c>
      <c r="B1511" s="23">
        <v>1568</v>
      </c>
      <c r="C1511" s="23">
        <v>0</v>
      </c>
      <c r="D1511" s="23">
        <v>0</v>
      </c>
      <c r="E1511" s="23">
        <v>0</v>
      </c>
      <c r="F1511" s="23">
        <v>0</v>
      </c>
      <c r="G1511" s="23">
        <v>0</v>
      </c>
      <c r="H1511" s="23">
        <v>0</v>
      </c>
      <c r="I1511" s="23">
        <v>1568</v>
      </c>
      <c r="J1511" s="23">
        <v>0</v>
      </c>
      <c r="K1511" s="23">
        <v>0</v>
      </c>
    </row>
    <row r="1512" spans="1:11" x14ac:dyDescent="0.25">
      <c r="A1512">
        <v>1511</v>
      </c>
      <c r="B1512" s="23">
        <v>1603.2</v>
      </c>
      <c r="C1512" s="23">
        <v>0</v>
      </c>
      <c r="D1512" s="23">
        <v>0</v>
      </c>
      <c r="E1512" s="23">
        <v>0</v>
      </c>
      <c r="F1512" s="23">
        <v>0</v>
      </c>
      <c r="G1512" s="23">
        <v>0</v>
      </c>
      <c r="H1512" s="23">
        <v>0</v>
      </c>
      <c r="I1512" s="23">
        <v>1603.2</v>
      </c>
      <c r="J1512" s="23">
        <v>0</v>
      </c>
      <c r="K1512" s="23">
        <v>0</v>
      </c>
    </row>
    <row r="1513" spans="1:11" x14ac:dyDescent="0.25">
      <c r="A1513">
        <v>1512</v>
      </c>
      <c r="B1513" s="23">
        <v>1517.6</v>
      </c>
      <c r="C1513" s="23">
        <v>0</v>
      </c>
      <c r="D1513" s="23">
        <v>0</v>
      </c>
      <c r="E1513" s="23">
        <v>0</v>
      </c>
      <c r="F1513" s="23">
        <v>0</v>
      </c>
      <c r="G1513" s="23">
        <v>0</v>
      </c>
      <c r="H1513" s="23">
        <v>0</v>
      </c>
      <c r="I1513" s="23">
        <v>1517.6</v>
      </c>
      <c r="J1513" s="23">
        <v>0</v>
      </c>
      <c r="K1513" s="23">
        <v>0</v>
      </c>
    </row>
    <row r="1514" spans="1:11" x14ac:dyDescent="0.25">
      <c r="A1514">
        <v>1513</v>
      </c>
      <c r="B1514" s="23">
        <v>1664</v>
      </c>
      <c r="C1514" s="23">
        <v>0</v>
      </c>
      <c r="D1514" s="23">
        <v>0</v>
      </c>
      <c r="E1514" s="23">
        <v>0</v>
      </c>
      <c r="F1514" s="23">
        <v>0</v>
      </c>
      <c r="G1514" s="23">
        <v>0</v>
      </c>
      <c r="H1514" s="23">
        <v>0</v>
      </c>
      <c r="I1514" s="23">
        <v>1664</v>
      </c>
      <c r="J1514" s="23">
        <v>0</v>
      </c>
      <c r="K1514" s="23">
        <v>0</v>
      </c>
    </row>
    <row r="1515" spans="1:11" x14ac:dyDescent="0.25">
      <c r="A1515">
        <v>1514</v>
      </c>
      <c r="B1515" s="23">
        <v>1617.6</v>
      </c>
      <c r="C1515" s="23">
        <v>0</v>
      </c>
      <c r="D1515" s="23">
        <v>0</v>
      </c>
      <c r="E1515" s="23">
        <v>0</v>
      </c>
      <c r="F1515" s="23">
        <v>0</v>
      </c>
      <c r="G1515" s="23">
        <v>0</v>
      </c>
      <c r="H1515" s="23">
        <v>0</v>
      </c>
      <c r="I1515" s="23">
        <v>1617.6</v>
      </c>
      <c r="J1515" s="23">
        <v>0</v>
      </c>
      <c r="K1515" s="23">
        <v>0</v>
      </c>
    </row>
    <row r="1516" spans="1:11" x14ac:dyDescent="0.25">
      <c r="A1516">
        <v>1515</v>
      </c>
      <c r="B1516" s="23">
        <v>1648</v>
      </c>
      <c r="C1516" s="23">
        <v>0</v>
      </c>
      <c r="D1516" s="23">
        <v>0</v>
      </c>
      <c r="E1516" s="23">
        <v>0</v>
      </c>
      <c r="F1516" s="23">
        <v>0</v>
      </c>
      <c r="G1516" s="23">
        <v>0</v>
      </c>
      <c r="H1516" s="23">
        <v>0</v>
      </c>
      <c r="I1516" s="23">
        <v>1648</v>
      </c>
      <c r="J1516" s="23">
        <v>0</v>
      </c>
      <c r="K1516" s="23">
        <v>0</v>
      </c>
    </row>
    <row r="1517" spans="1:11" x14ac:dyDescent="0.25">
      <c r="A1517">
        <v>1516</v>
      </c>
      <c r="B1517" s="23">
        <v>1176.8</v>
      </c>
      <c r="C1517" s="23">
        <v>0</v>
      </c>
      <c r="D1517" s="23">
        <v>0</v>
      </c>
      <c r="E1517" s="23">
        <v>0</v>
      </c>
      <c r="F1517" s="23">
        <v>0</v>
      </c>
      <c r="G1517" s="23">
        <v>0</v>
      </c>
      <c r="H1517" s="23">
        <v>0</v>
      </c>
      <c r="I1517" s="23">
        <v>1176.8</v>
      </c>
      <c r="J1517" s="23">
        <v>0</v>
      </c>
      <c r="K1517" s="23">
        <v>0</v>
      </c>
    </row>
    <row r="1518" spans="1:11" x14ac:dyDescent="0.25">
      <c r="A1518">
        <v>1517</v>
      </c>
      <c r="B1518" s="23">
        <v>1515.2</v>
      </c>
      <c r="C1518" s="23">
        <v>0</v>
      </c>
      <c r="D1518" s="23">
        <v>0</v>
      </c>
      <c r="E1518" s="23">
        <v>0</v>
      </c>
      <c r="F1518" s="23">
        <v>0</v>
      </c>
      <c r="G1518" s="23">
        <v>0</v>
      </c>
      <c r="H1518" s="23">
        <v>0</v>
      </c>
      <c r="I1518" s="23">
        <v>1515.2</v>
      </c>
      <c r="J1518" s="23">
        <v>0</v>
      </c>
      <c r="K1518" s="23">
        <v>0</v>
      </c>
    </row>
    <row r="1519" spans="1:11" x14ac:dyDescent="0.25">
      <c r="A1519">
        <v>1518</v>
      </c>
      <c r="B1519" s="23">
        <v>1512.8</v>
      </c>
      <c r="C1519" s="23">
        <v>0</v>
      </c>
      <c r="D1519" s="23">
        <v>0</v>
      </c>
      <c r="E1519" s="23">
        <v>0</v>
      </c>
      <c r="F1519" s="23">
        <v>0</v>
      </c>
      <c r="G1519" s="23">
        <v>0</v>
      </c>
      <c r="H1519" s="23">
        <v>0</v>
      </c>
      <c r="I1519" s="23">
        <v>949.57500000000005</v>
      </c>
      <c r="J1519" s="23">
        <v>0</v>
      </c>
      <c r="K1519" s="23">
        <v>563.22500000000002</v>
      </c>
    </row>
    <row r="1520" spans="1:11" x14ac:dyDescent="0.25">
      <c r="A1520">
        <v>1519</v>
      </c>
      <c r="B1520" s="23">
        <v>1321.6</v>
      </c>
      <c r="C1520" s="23">
        <v>39.15</v>
      </c>
      <c r="D1520" s="23">
        <v>104.452</v>
      </c>
      <c r="E1520" s="23">
        <v>104.452</v>
      </c>
      <c r="F1520" s="23">
        <v>0</v>
      </c>
      <c r="G1520" s="23">
        <v>0</v>
      </c>
      <c r="H1520" s="23">
        <v>0</v>
      </c>
      <c r="I1520" s="23">
        <v>0</v>
      </c>
      <c r="J1520" s="23">
        <v>0</v>
      </c>
      <c r="K1520" s="23">
        <v>1217.1479999999999</v>
      </c>
    </row>
    <row r="1521" spans="1:11" x14ac:dyDescent="0.25">
      <c r="A1521">
        <v>1520</v>
      </c>
      <c r="B1521" s="23">
        <v>1341.317</v>
      </c>
      <c r="C1521" s="23">
        <v>257.89999999999998</v>
      </c>
      <c r="D1521" s="23">
        <v>1000.473</v>
      </c>
      <c r="E1521" s="23">
        <v>1000.473</v>
      </c>
      <c r="F1521" s="23">
        <v>0</v>
      </c>
      <c r="G1521" s="23">
        <v>0</v>
      </c>
      <c r="H1521" s="23">
        <v>0</v>
      </c>
      <c r="I1521" s="23">
        <v>0</v>
      </c>
      <c r="J1521" s="23">
        <v>0</v>
      </c>
      <c r="K1521" s="23">
        <v>340.84399999999999</v>
      </c>
    </row>
    <row r="1522" spans="1:11" x14ac:dyDescent="0.25">
      <c r="A1522">
        <v>1521</v>
      </c>
      <c r="B1522" s="23">
        <v>1629.663</v>
      </c>
      <c r="C1522" s="23">
        <v>489.01</v>
      </c>
      <c r="D1522" s="23">
        <v>1935.2750000000001</v>
      </c>
      <c r="E1522" s="23">
        <v>1629.663</v>
      </c>
      <c r="F1522" s="23">
        <v>-305.61200000000002</v>
      </c>
      <c r="G1522" s="23">
        <v>0</v>
      </c>
      <c r="H1522" s="23">
        <v>0</v>
      </c>
      <c r="I1522" s="23">
        <v>0</v>
      </c>
      <c r="J1522" s="23">
        <v>0</v>
      </c>
      <c r="K1522" s="23">
        <v>0</v>
      </c>
    </row>
    <row r="1523" spans="1:11" x14ac:dyDescent="0.25">
      <c r="A1523">
        <v>1522</v>
      </c>
      <c r="B1523" s="23">
        <v>1448.1990000000001</v>
      </c>
      <c r="C1523" s="23">
        <v>607.25</v>
      </c>
      <c r="D1523" s="23">
        <v>2329.6849999999999</v>
      </c>
      <c r="E1523" s="23">
        <v>1448.1990000000001</v>
      </c>
      <c r="F1523" s="23">
        <v>-881.48599999999999</v>
      </c>
      <c r="G1523" s="23">
        <v>0</v>
      </c>
      <c r="H1523" s="23">
        <v>0</v>
      </c>
      <c r="I1523" s="23">
        <v>0</v>
      </c>
      <c r="J1523" s="23">
        <v>0</v>
      </c>
      <c r="K1523" s="23">
        <v>0</v>
      </c>
    </row>
    <row r="1524" spans="1:11" x14ac:dyDescent="0.25">
      <c r="A1524">
        <v>1523</v>
      </c>
      <c r="B1524" s="23">
        <v>1859.7429999999999</v>
      </c>
      <c r="C1524" s="23">
        <v>885.03</v>
      </c>
      <c r="D1524" s="23">
        <v>3287.97</v>
      </c>
      <c r="E1524" s="23">
        <v>1859.7429999999999</v>
      </c>
      <c r="F1524" s="23">
        <v>-1428.2270000000001</v>
      </c>
      <c r="G1524" s="23">
        <v>0</v>
      </c>
      <c r="H1524" s="23">
        <v>0</v>
      </c>
      <c r="I1524" s="23">
        <v>0</v>
      </c>
      <c r="J1524" s="23">
        <v>0</v>
      </c>
      <c r="K1524" s="23">
        <v>0</v>
      </c>
    </row>
    <row r="1525" spans="1:11" x14ac:dyDescent="0.25">
      <c r="A1525">
        <v>1524</v>
      </c>
      <c r="B1525" s="23">
        <v>1762.66</v>
      </c>
      <c r="C1525" s="23">
        <v>948.96</v>
      </c>
      <c r="D1525" s="23">
        <v>3469.567</v>
      </c>
      <c r="E1525" s="23">
        <v>1762.66</v>
      </c>
      <c r="F1525" s="23">
        <v>-1684.559</v>
      </c>
      <c r="G1525" s="23">
        <v>0</v>
      </c>
      <c r="H1525" s="23">
        <v>22.347999999999999</v>
      </c>
      <c r="I1525" s="23">
        <v>0</v>
      </c>
      <c r="J1525" s="23">
        <v>0</v>
      </c>
      <c r="K1525" s="23">
        <v>0</v>
      </c>
    </row>
    <row r="1526" spans="1:11" x14ac:dyDescent="0.25">
      <c r="A1526">
        <v>1525</v>
      </c>
      <c r="B1526" s="23">
        <v>1573.75</v>
      </c>
      <c r="C1526" s="23">
        <v>705.55</v>
      </c>
      <c r="D1526" s="23">
        <v>2603.0940000000001</v>
      </c>
      <c r="E1526" s="23">
        <v>1573.75</v>
      </c>
      <c r="F1526" s="23">
        <v>-1029.3440000000001</v>
      </c>
      <c r="G1526" s="23">
        <v>0</v>
      </c>
      <c r="H1526" s="23">
        <v>0</v>
      </c>
      <c r="I1526" s="23">
        <v>0</v>
      </c>
      <c r="J1526" s="23">
        <v>0</v>
      </c>
      <c r="K1526" s="23">
        <v>0</v>
      </c>
    </row>
    <row r="1527" spans="1:11" x14ac:dyDescent="0.25">
      <c r="A1527">
        <v>1526</v>
      </c>
      <c r="B1527" s="23">
        <v>1726.047</v>
      </c>
      <c r="C1527" s="23">
        <v>666.89</v>
      </c>
      <c r="D1527" s="23">
        <v>2484.3429999999998</v>
      </c>
      <c r="E1527" s="23">
        <v>1726.047</v>
      </c>
      <c r="F1527" s="23">
        <v>-758.29600000000005</v>
      </c>
      <c r="G1527" s="23">
        <v>0</v>
      </c>
      <c r="H1527" s="23">
        <v>0</v>
      </c>
      <c r="I1527" s="23">
        <v>0</v>
      </c>
      <c r="J1527" s="23">
        <v>0</v>
      </c>
      <c r="K1527" s="23">
        <v>0</v>
      </c>
    </row>
    <row r="1528" spans="1:11" x14ac:dyDescent="0.25">
      <c r="A1528">
        <v>1527</v>
      </c>
      <c r="B1528" s="23">
        <v>1828.904</v>
      </c>
      <c r="C1528" s="23">
        <v>516.59</v>
      </c>
      <c r="D1528" s="23">
        <v>1960.607</v>
      </c>
      <c r="E1528" s="23">
        <v>1828.904</v>
      </c>
      <c r="F1528" s="23">
        <v>-131.703</v>
      </c>
      <c r="G1528" s="23">
        <v>0</v>
      </c>
      <c r="H1528" s="23">
        <v>0</v>
      </c>
      <c r="I1528" s="23">
        <v>0</v>
      </c>
      <c r="J1528" s="23">
        <v>0</v>
      </c>
      <c r="K1528" s="23">
        <v>0</v>
      </c>
    </row>
    <row r="1529" spans="1:11" x14ac:dyDescent="0.25">
      <c r="A1529">
        <v>1528</v>
      </c>
      <c r="B1529" s="23">
        <v>1697.557</v>
      </c>
      <c r="C1529" s="23">
        <v>477.19</v>
      </c>
      <c r="D1529" s="23">
        <v>1864.116</v>
      </c>
      <c r="E1529" s="23">
        <v>1697.557</v>
      </c>
      <c r="F1529" s="23">
        <v>-166.559</v>
      </c>
      <c r="G1529" s="23">
        <v>0</v>
      </c>
      <c r="H1529" s="23">
        <v>0</v>
      </c>
      <c r="I1529" s="23">
        <v>0</v>
      </c>
      <c r="J1529" s="23">
        <v>0</v>
      </c>
      <c r="K1529" s="23">
        <v>0</v>
      </c>
    </row>
    <row r="1530" spans="1:11" x14ac:dyDescent="0.25">
      <c r="A1530">
        <v>1529</v>
      </c>
      <c r="B1530" s="23">
        <v>1829.5809999999999</v>
      </c>
      <c r="C1530" s="23">
        <v>314.92</v>
      </c>
      <c r="D1530" s="23">
        <v>1227.9269999999999</v>
      </c>
      <c r="E1530" s="23">
        <v>1227.9269999999999</v>
      </c>
      <c r="F1530" s="23">
        <v>0</v>
      </c>
      <c r="G1530" s="23">
        <v>0</v>
      </c>
      <c r="H1530" s="23">
        <v>0</v>
      </c>
      <c r="I1530" s="23">
        <v>601.654</v>
      </c>
      <c r="J1530" s="23">
        <v>0</v>
      </c>
      <c r="K1530" s="23">
        <v>0</v>
      </c>
    </row>
    <row r="1531" spans="1:11" x14ac:dyDescent="0.25">
      <c r="A1531">
        <v>1530</v>
      </c>
      <c r="B1531" s="23">
        <v>1704.422</v>
      </c>
      <c r="C1531" s="23">
        <v>79.39</v>
      </c>
      <c r="D1531" s="23">
        <v>248.876</v>
      </c>
      <c r="E1531" s="23">
        <v>248.876</v>
      </c>
      <c r="F1531" s="23">
        <v>0</v>
      </c>
      <c r="G1531" s="23">
        <v>0</v>
      </c>
      <c r="H1531" s="23">
        <v>0</v>
      </c>
      <c r="I1531" s="23">
        <v>0</v>
      </c>
      <c r="J1531" s="23">
        <v>0</v>
      </c>
      <c r="K1531" s="23">
        <v>1455.546</v>
      </c>
    </row>
    <row r="1532" spans="1:11" x14ac:dyDescent="0.25">
      <c r="A1532">
        <v>1531</v>
      </c>
      <c r="B1532" s="23">
        <v>1675.433</v>
      </c>
      <c r="C1532" s="23">
        <v>0</v>
      </c>
      <c r="D1532" s="23">
        <v>0</v>
      </c>
      <c r="E1532" s="23">
        <v>0</v>
      </c>
      <c r="F1532" s="23">
        <v>0</v>
      </c>
      <c r="G1532" s="23">
        <v>0</v>
      </c>
      <c r="H1532" s="23">
        <v>0</v>
      </c>
      <c r="I1532" s="23">
        <v>0</v>
      </c>
      <c r="J1532" s="23">
        <v>0</v>
      </c>
      <c r="K1532" s="23">
        <v>1675.433</v>
      </c>
    </row>
    <row r="1533" spans="1:11" x14ac:dyDescent="0.25">
      <c r="A1533">
        <v>1532</v>
      </c>
      <c r="B1533" s="23">
        <v>1698.4</v>
      </c>
      <c r="C1533" s="23">
        <v>0</v>
      </c>
      <c r="D1533" s="23">
        <v>0</v>
      </c>
      <c r="E1533" s="23">
        <v>0</v>
      </c>
      <c r="F1533" s="23">
        <v>0</v>
      </c>
      <c r="G1533" s="23">
        <v>0</v>
      </c>
      <c r="H1533" s="23">
        <v>0</v>
      </c>
      <c r="I1533" s="23">
        <v>13.840999999999999</v>
      </c>
      <c r="J1533" s="23">
        <v>0</v>
      </c>
      <c r="K1533" s="23">
        <v>1684.559</v>
      </c>
    </row>
    <row r="1534" spans="1:11" x14ac:dyDescent="0.25">
      <c r="A1534">
        <v>1533</v>
      </c>
      <c r="B1534" s="23">
        <v>1537.6</v>
      </c>
      <c r="C1534" s="23">
        <v>0</v>
      </c>
      <c r="D1534" s="23">
        <v>0</v>
      </c>
      <c r="E1534" s="23">
        <v>0</v>
      </c>
      <c r="F1534" s="23">
        <v>0</v>
      </c>
      <c r="G1534" s="23">
        <v>0</v>
      </c>
      <c r="H1534" s="23">
        <v>0</v>
      </c>
      <c r="I1534" s="23">
        <v>1537.6</v>
      </c>
      <c r="J1534" s="23">
        <v>0</v>
      </c>
      <c r="K1534" s="23">
        <v>0</v>
      </c>
    </row>
    <row r="1535" spans="1:11" x14ac:dyDescent="0.25">
      <c r="A1535">
        <v>1534</v>
      </c>
      <c r="B1535" s="23">
        <v>1532</v>
      </c>
      <c r="C1535" s="23">
        <v>0</v>
      </c>
      <c r="D1535" s="23">
        <v>0</v>
      </c>
      <c r="E1535" s="23">
        <v>0</v>
      </c>
      <c r="F1535" s="23">
        <v>0</v>
      </c>
      <c r="G1535" s="23">
        <v>0</v>
      </c>
      <c r="H1535" s="23">
        <v>0</v>
      </c>
      <c r="I1535" s="23">
        <v>1532</v>
      </c>
      <c r="J1535" s="23">
        <v>0</v>
      </c>
      <c r="K1535" s="23">
        <v>0</v>
      </c>
    </row>
    <row r="1536" spans="1:11" x14ac:dyDescent="0.25">
      <c r="A1536">
        <v>1535</v>
      </c>
      <c r="B1536" s="23">
        <v>1324</v>
      </c>
      <c r="C1536" s="23">
        <v>0</v>
      </c>
      <c r="D1536" s="23">
        <v>0</v>
      </c>
      <c r="E1536" s="23">
        <v>0</v>
      </c>
      <c r="F1536" s="23">
        <v>0</v>
      </c>
      <c r="G1536" s="23">
        <v>0</v>
      </c>
      <c r="H1536" s="23">
        <v>0</v>
      </c>
      <c r="I1536" s="23">
        <v>1324</v>
      </c>
      <c r="J1536" s="23">
        <v>0</v>
      </c>
      <c r="K1536" s="23">
        <v>0</v>
      </c>
    </row>
    <row r="1537" spans="1:11" x14ac:dyDescent="0.25">
      <c r="A1537">
        <v>1536</v>
      </c>
      <c r="B1537" s="23">
        <v>382.4</v>
      </c>
      <c r="C1537" s="23">
        <v>0</v>
      </c>
      <c r="D1537" s="23">
        <v>0</v>
      </c>
      <c r="E1537" s="23">
        <v>0</v>
      </c>
      <c r="F1537" s="23">
        <v>0</v>
      </c>
      <c r="G1537" s="23">
        <v>0</v>
      </c>
      <c r="H1537" s="23">
        <v>0</v>
      </c>
      <c r="I1537" s="23">
        <v>382.4</v>
      </c>
      <c r="J1537" s="23">
        <v>0</v>
      </c>
      <c r="K1537" s="23">
        <v>0</v>
      </c>
    </row>
    <row r="1538" spans="1:11" x14ac:dyDescent="0.25">
      <c r="A1538">
        <v>1537</v>
      </c>
      <c r="B1538" s="23">
        <v>394.4</v>
      </c>
      <c r="C1538" s="23">
        <v>0</v>
      </c>
      <c r="D1538" s="23">
        <v>0</v>
      </c>
      <c r="E1538" s="23">
        <v>0</v>
      </c>
      <c r="F1538" s="23">
        <v>0</v>
      </c>
      <c r="G1538" s="23">
        <v>0</v>
      </c>
      <c r="H1538" s="23">
        <v>0</v>
      </c>
      <c r="I1538" s="23">
        <v>394.4</v>
      </c>
      <c r="J1538" s="23">
        <v>0</v>
      </c>
      <c r="K1538" s="23">
        <v>0</v>
      </c>
    </row>
    <row r="1539" spans="1:11" x14ac:dyDescent="0.25">
      <c r="A1539">
        <v>1538</v>
      </c>
      <c r="B1539" s="23">
        <v>378.4</v>
      </c>
      <c r="C1539" s="23">
        <v>0</v>
      </c>
      <c r="D1539" s="23">
        <v>0</v>
      </c>
      <c r="E1539" s="23">
        <v>0</v>
      </c>
      <c r="F1539" s="23">
        <v>0</v>
      </c>
      <c r="G1539" s="23">
        <v>0</v>
      </c>
      <c r="H1539" s="23">
        <v>0</v>
      </c>
      <c r="I1539" s="23">
        <v>378.4</v>
      </c>
      <c r="J1539" s="23">
        <v>0</v>
      </c>
      <c r="K1539" s="23">
        <v>0</v>
      </c>
    </row>
    <row r="1540" spans="1:11" x14ac:dyDescent="0.25">
      <c r="A1540">
        <v>1539</v>
      </c>
      <c r="B1540" s="23">
        <v>357.6</v>
      </c>
      <c r="C1540" s="23">
        <v>0</v>
      </c>
      <c r="D1540" s="23">
        <v>0</v>
      </c>
      <c r="E1540" s="23">
        <v>0</v>
      </c>
      <c r="F1540" s="23">
        <v>0</v>
      </c>
      <c r="G1540" s="23">
        <v>0</v>
      </c>
      <c r="H1540" s="23">
        <v>0</v>
      </c>
      <c r="I1540" s="23">
        <v>357.6</v>
      </c>
      <c r="J1540" s="23">
        <v>0</v>
      </c>
      <c r="K1540" s="23">
        <v>0</v>
      </c>
    </row>
    <row r="1541" spans="1:11" x14ac:dyDescent="0.25">
      <c r="A1541">
        <v>1540</v>
      </c>
      <c r="B1541" s="23">
        <v>367.2</v>
      </c>
      <c r="C1541" s="23">
        <v>0</v>
      </c>
      <c r="D1541" s="23">
        <v>0</v>
      </c>
      <c r="E1541" s="23">
        <v>0</v>
      </c>
      <c r="F1541" s="23">
        <v>0</v>
      </c>
      <c r="G1541" s="23">
        <v>0</v>
      </c>
      <c r="H1541" s="23">
        <v>0</v>
      </c>
      <c r="I1541" s="23">
        <v>367.2</v>
      </c>
      <c r="J1541" s="23">
        <v>0</v>
      </c>
      <c r="K1541" s="23">
        <v>0</v>
      </c>
    </row>
    <row r="1542" spans="1:11" x14ac:dyDescent="0.25">
      <c r="A1542">
        <v>1541</v>
      </c>
      <c r="B1542" s="23">
        <v>380</v>
      </c>
      <c r="C1542" s="23">
        <v>0</v>
      </c>
      <c r="D1542" s="23">
        <v>0</v>
      </c>
      <c r="E1542" s="23">
        <v>0</v>
      </c>
      <c r="F1542" s="23">
        <v>0</v>
      </c>
      <c r="G1542" s="23">
        <v>0</v>
      </c>
      <c r="H1542" s="23">
        <v>0</v>
      </c>
      <c r="I1542" s="23">
        <v>380</v>
      </c>
      <c r="J1542" s="23">
        <v>0</v>
      </c>
      <c r="K1542" s="23">
        <v>0</v>
      </c>
    </row>
    <row r="1543" spans="1:11" x14ac:dyDescent="0.25">
      <c r="A1543">
        <v>1542</v>
      </c>
      <c r="B1543" s="23">
        <v>397.6</v>
      </c>
      <c r="C1543" s="23">
        <v>0</v>
      </c>
      <c r="D1543" s="23">
        <v>0</v>
      </c>
      <c r="E1543" s="23">
        <v>0</v>
      </c>
      <c r="F1543" s="23">
        <v>0</v>
      </c>
      <c r="G1543" s="23">
        <v>0</v>
      </c>
      <c r="H1543" s="23">
        <v>0</v>
      </c>
      <c r="I1543" s="23">
        <v>397.6</v>
      </c>
      <c r="J1543" s="23">
        <v>0</v>
      </c>
      <c r="K1543" s="23">
        <v>0</v>
      </c>
    </row>
    <row r="1544" spans="1:11" x14ac:dyDescent="0.25">
      <c r="A1544">
        <v>1543</v>
      </c>
      <c r="B1544" s="23">
        <v>354.4</v>
      </c>
      <c r="C1544" s="23">
        <v>48.5</v>
      </c>
      <c r="D1544" s="23">
        <v>131.79900000000001</v>
      </c>
      <c r="E1544" s="23">
        <v>0</v>
      </c>
      <c r="F1544" s="23">
        <v>-131.79900000000001</v>
      </c>
      <c r="G1544" s="23">
        <v>0</v>
      </c>
      <c r="H1544" s="23">
        <v>0</v>
      </c>
      <c r="I1544" s="23">
        <v>354.4</v>
      </c>
      <c r="J1544" s="23">
        <v>0</v>
      </c>
      <c r="K1544" s="23">
        <v>0</v>
      </c>
    </row>
    <row r="1545" spans="1:11" x14ac:dyDescent="0.25">
      <c r="A1545">
        <v>1544</v>
      </c>
      <c r="B1545" s="23">
        <v>442.96899999999999</v>
      </c>
      <c r="C1545" s="23">
        <v>277.11</v>
      </c>
      <c r="D1545" s="23">
        <v>1075.8520000000001</v>
      </c>
      <c r="E1545" s="23">
        <v>0</v>
      </c>
      <c r="F1545" s="23">
        <v>-1075.8520000000001</v>
      </c>
      <c r="G1545" s="23">
        <v>0</v>
      </c>
      <c r="H1545" s="23">
        <v>0</v>
      </c>
      <c r="I1545" s="23">
        <v>442.96899999999999</v>
      </c>
      <c r="J1545" s="23">
        <v>0</v>
      </c>
      <c r="K1545" s="23">
        <v>0</v>
      </c>
    </row>
    <row r="1546" spans="1:11" x14ac:dyDescent="0.25">
      <c r="A1546">
        <v>1545</v>
      </c>
      <c r="B1546" s="23">
        <v>1680.912</v>
      </c>
      <c r="C1546" s="23">
        <v>294.74</v>
      </c>
      <c r="D1546" s="23">
        <v>1149.981</v>
      </c>
      <c r="E1546" s="23">
        <v>124.753</v>
      </c>
      <c r="F1546" s="23">
        <v>-1025.2280000000001</v>
      </c>
      <c r="G1546" s="23">
        <v>0</v>
      </c>
      <c r="H1546" s="23">
        <v>0</v>
      </c>
      <c r="I1546" s="23">
        <v>1556.1590000000001</v>
      </c>
      <c r="J1546" s="23">
        <v>0</v>
      </c>
      <c r="K1546" s="23">
        <v>0</v>
      </c>
    </row>
    <row r="1547" spans="1:11" x14ac:dyDescent="0.25">
      <c r="A1547">
        <v>1546</v>
      </c>
      <c r="B1547" s="23">
        <v>1829.403</v>
      </c>
      <c r="C1547" s="23">
        <v>418.69</v>
      </c>
      <c r="D1547" s="23">
        <v>1600.4760000000001</v>
      </c>
      <c r="E1547" s="23">
        <v>1600.4760000000001</v>
      </c>
      <c r="F1547" s="23">
        <v>0</v>
      </c>
      <c r="G1547" s="23">
        <v>0</v>
      </c>
      <c r="H1547" s="23">
        <v>0</v>
      </c>
      <c r="I1547" s="23">
        <v>228.92699999999999</v>
      </c>
      <c r="J1547" s="23">
        <v>0</v>
      </c>
      <c r="K1547" s="23">
        <v>0</v>
      </c>
    </row>
    <row r="1548" spans="1:11" x14ac:dyDescent="0.25">
      <c r="A1548">
        <v>1547</v>
      </c>
      <c r="B1548" s="23">
        <v>1851.2629999999999</v>
      </c>
      <c r="C1548" s="23">
        <v>556.09</v>
      </c>
      <c r="D1548" s="23">
        <v>2090.6550000000002</v>
      </c>
      <c r="E1548" s="23">
        <v>1851.2629999999999</v>
      </c>
      <c r="F1548" s="23">
        <v>-239.392</v>
      </c>
      <c r="G1548" s="23">
        <v>0</v>
      </c>
      <c r="H1548" s="23">
        <v>0</v>
      </c>
      <c r="I1548" s="23">
        <v>0</v>
      </c>
      <c r="J1548" s="23">
        <v>0</v>
      </c>
      <c r="K1548" s="23">
        <v>0</v>
      </c>
    </row>
    <row r="1549" spans="1:11" x14ac:dyDescent="0.25">
      <c r="A1549">
        <v>1548</v>
      </c>
      <c r="B1549" s="23">
        <v>1924.8389999999999</v>
      </c>
      <c r="C1549" s="23">
        <v>742.64</v>
      </c>
      <c r="D1549" s="23">
        <v>2742.7959999999998</v>
      </c>
      <c r="E1549" s="23">
        <v>1924.8389999999999</v>
      </c>
      <c r="F1549" s="23">
        <v>-817.95699999999999</v>
      </c>
      <c r="G1549" s="23">
        <v>0</v>
      </c>
      <c r="H1549" s="23">
        <v>0</v>
      </c>
      <c r="I1549" s="23">
        <v>0</v>
      </c>
      <c r="J1549" s="23">
        <v>0</v>
      </c>
      <c r="K1549" s="23">
        <v>0</v>
      </c>
    </row>
    <row r="1550" spans="1:11" x14ac:dyDescent="0.25">
      <c r="A1550">
        <v>1549</v>
      </c>
      <c r="B1550" s="23">
        <v>1677.954</v>
      </c>
      <c r="C1550" s="23">
        <v>435.71</v>
      </c>
      <c r="D1550" s="23">
        <v>1618.365</v>
      </c>
      <c r="E1550" s="23">
        <v>1618.365</v>
      </c>
      <c r="F1550" s="23">
        <v>0</v>
      </c>
      <c r="G1550" s="23">
        <v>0</v>
      </c>
      <c r="H1550" s="23">
        <v>0</v>
      </c>
      <c r="I1550" s="23">
        <v>59.588999999999999</v>
      </c>
      <c r="J1550" s="23">
        <v>0</v>
      </c>
      <c r="K1550" s="23">
        <v>0</v>
      </c>
    </row>
    <row r="1551" spans="1:11" x14ac:dyDescent="0.25">
      <c r="A1551">
        <v>1550</v>
      </c>
      <c r="B1551" s="23">
        <v>1718.7380000000001</v>
      </c>
      <c r="C1551" s="23">
        <v>171.19</v>
      </c>
      <c r="D1551" s="23">
        <v>622.16899999999998</v>
      </c>
      <c r="E1551" s="23">
        <v>622.16899999999998</v>
      </c>
      <c r="F1551" s="23">
        <v>0</v>
      </c>
      <c r="G1551" s="23">
        <v>0</v>
      </c>
      <c r="H1551" s="23">
        <v>0</v>
      </c>
      <c r="I1551" s="23">
        <v>1096.569</v>
      </c>
      <c r="J1551" s="23">
        <v>0</v>
      </c>
      <c r="K1551" s="23">
        <v>0</v>
      </c>
    </row>
    <row r="1552" spans="1:11" x14ac:dyDescent="0.25">
      <c r="A1552">
        <v>1551</v>
      </c>
      <c r="B1552" s="23">
        <v>1907.596</v>
      </c>
      <c r="C1552" s="23">
        <v>428.38</v>
      </c>
      <c r="D1552" s="23">
        <v>1622.2660000000001</v>
      </c>
      <c r="E1552" s="23">
        <v>1622.2660000000001</v>
      </c>
      <c r="F1552" s="23">
        <v>0</v>
      </c>
      <c r="G1552" s="23">
        <v>0</v>
      </c>
      <c r="H1552" s="23">
        <v>0</v>
      </c>
      <c r="I1552" s="23">
        <v>285.33</v>
      </c>
      <c r="J1552" s="23">
        <v>0</v>
      </c>
      <c r="K1552" s="23">
        <v>0</v>
      </c>
    </row>
    <row r="1553" spans="1:11" x14ac:dyDescent="0.25">
      <c r="A1553">
        <v>1552</v>
      </c>
      <c r="B1553" s="23">
        <v>1688.519</v>
      </c>
      <c r="C1553" s="23">
        <v>432.42</v>
      </c>
      <c r="D1553" s="23">
        <v>1678.567</v>
      </c>
      <c r="E1553" s="23">
        <v>1678.567</v>
      </c>
      <c r="F1553" s="23">
        <v>0</v>
      </c>
      <c r="G1553" s="23">
        <v>0</v>
      </c>
      <c r="H1553" s="23">
        <v>0</v>
      </c>
      <c r="I1553" s="23">
        <v>9.952</v>
      </c>
      <c r="J1553" s="23">
        <v>0</v>
      </c>
      <c r="K1553" s="23">
        <v>0</v>
      </c>
    </row>
    <row r="1554" spans="1:11" x14ac:dyDescent="0.25">
      <c r="A1554">
        <v>1553</v>
      </c>
      <c r="B1554" s="23">
        <v>2091.0050000000001</v>
      </c>
      <c r="C1554" s="23">
        <v>296.29000000000002</v>
      </c>
      <c r="D1554" s="23">
        <v>1150.818</v>
      </c>
      <c r="E1554" s="23">
        <v>1150.818</v>
      </c>
      <c r="F1554" s="23">
        <v>0</v>
      </c>
      <c r="G1554" s="23">
        <v>0</v>
      </c>
      <c r="H1554" s="23">
        <v>0</v>
      </c>
      <c r="I1554" s="23">
        <v>940.18700000000001</v>
      </c>
      <c r="J1554" s="23">
        <v>0</v>
      </c>
      <c r="K1554" s="23">
        <v>0</v>
      </c>
    </row>
    <row r="1555" spans="1:11" x14ac:dyDescent="0.25">
      <c r="A1555">
        <v>1554</v>
      </c>
      <c r="B1555" s="23">
        <v>1608.296</v>
      </c>
      <c r="C1555" s="23">
        <v>63.85</v>
      </c>
      <c r="D1555" s="23">
        <v>201.67599999999999</v>
      </c>
      <c r="E1555" s="23">
        <v>201.67599999999999</v>
      </c>
      <c r="F1555" s="23">
        <v>0</v>
      </c>
      <c r="G1555" s="23">
        <v>0</v>
      </c>
      <c r="H1555" s="23">
        <v>0</v>
      </c>
      <c r="I1555" s="23">
        <v>0</v>
      </c>
      <c r="J1555" s="23">
        <v>0</v>
      </c>
      <c r="K1555" s="23">
        <v>1406.62</v>
      </c>
    </row>
    <row r="1556" spans="1:11" x14ac:dyDescent="0.25">
      <c r="A1556">
        <v>1555</v>
      </c>
      <c r="B1556" s="23">
        <v>1773.2550000000001</v>
      </c>
      <c r="C1556" s="23">
        <v>0</v>
      </c>
      <c r="D1556" s="23">
        <v>0</v>
      </c>
      <c r="E1556" s="23">
        <v>0</v>
      </c>
      <c r="F1556" s="23">
        <v>0</v>
      </c>
      <c r="G1556" s="23">
        <v>0</v>
      </c>
      <c r="H1556" s="23">
        <v>0</v>
      </c>
      <c r="I1556" s="23">
        <v>88.695999999999998</v>
      </c>
      <c r="J1556" s="23">
        <v>0</v>
      </c>
      <c r="K1556" s="23">
        <v>1684.559</v>
      </c>
    </row>
    <row r="1557" spans="1:11" x14ac:dyDescent="0.25">
      <c r="A1557">
        <v>1556</v>
      </c>
      <c r="B1557" s="23">
        <v>1601.6</v>
      </c>
      <c r="C1557" s="23">
        <v>0</v>
      </c>
      <c r="D1557" s="23">
        <v>0</v>
      </c>
      <c r="E1557" s="23">
        <v>0</v>
      </c>
      <c r="F1557" s="23">
        <v>0</v>
      </c>
      <c r="G1557" s="23">
        <v>0</v>
      </c>
      <c r="H1557" s="23">
        <v>0</v>
      </c>
      <c r="I1557" s="23">
        <v>0</v>
      </c>
      <c r="J1557" s="23">
        <v>0</v>
      </c>
      <c r="K1557" s="23">
        <v>1601.6</v>
      </c>
    </row>
    <row r="1558" spans="1:11" x14ac:dyDescent="0.25">
      <c r="A1558">
        <v>1557</v>
      </c>
      <c r="B1558" s="23">
        <v>1201.5999999999999</v>
      </c>
      <c r="C1558" s="23">
        <v>0</v>
      </c>
      <c r="D1558" s="23">
        <v>0</v>
      </c>
      <c r="E1558" s="23">
        <v>0</v>
      </c>
      <c r="F1558" s="23">
        <v>0</v>
      </c>
      <c r="G1558" s="23">
        <v>0</v>
      </c>
      <c r="H1558" s="23">
        <v>0</v>
      </c>
      <c r="I1558" s="23">
        <v>1201.5999999999999</v>
      </c>
      <c r="J1558" s="23">
        <v>0</v>
      </c>
      <c r="K1558" s="23">
        <v>0</v>
      </c>
    </row>
    <row r="1559" spans="1:11" x14ac:dyDescent="0.25">
      <c r="A1559">
        <v>1558</v>
      </c>
      <c r="B1559" s="23">
        <v>1380.8</v>
      </c>
      <c r="C1559" s="23">
        <v>0</v>
      </c>
      <c r="D1559" s="23">
        <v>0</v>
      </c>
      <c r="E1559" s="23">
        <v>0</v>
      </c>
      <c r="F1559" s="23">
        <v>0</v>
      </c>
      <c r="G1559" s="23">
        <v>0</v>
      </c>
      <c r="H1559" s="23">
        <v>0</v>
      </c>
      <c r="I1559" s="23">
        <v>1380.8</v>
      </c>
      <c r="J1559" s="23">
        <v>0</v>
      </c>
      <c r="K1559" s="23">
        <v>0</v>
      </c>
    </row>
    <row r="1560" spans="1:11" x14ac:dyDescent="0.25">
      <c r="A1560">
        <v>1559</v>
      </c>
      <c r="B1560" s="23">
        <v>1320.8</v>
      </c>
      <c r="C1560" s="23">
        <v>0</v>
      </c>
      <c r="D1560" s="23">
        <v>0</v>
      </c>
      <c r="E1560" s="23">
        <v>0</v>
      </c>
      <c r="F1560" s="23">
        <v>0</v>
      </c>
      <c r="G1560" s="23">
        <v>0</v>
      </c>
      <c r="H1560" s="23">
        <v>0</v>
      </c>
      <c r="I1560" s="23">
        <v>1320.8</v>
      </c>
      <c r="J1560" s="23">
        <v>0</v>
      </c>
      <c r="K1560" s="23">
        <v>0</v>
      </c>
    </row>
    <row r="1561" spans="1:11" x14ac:dyDescent="0.25">
      <c r="A1561">
        <v>1560</v>
      </c>
      <c r="B1561" s="23">
        <v>361.6</v>
      </c>
      <c r="C1561" s="23">
        <v>0</v>
      </c>
      <c r="D1561" s="23">
        <v>0</v>
      </c>
      <c r="E1561" s="23">
        <v>0</v>
      </c>
      <c r="F1561" s="23">
        <v>0</v>
      </c>
      <c r="G1561" s="23">
        <v>0</v>
      </c>
      <c r="H1561" s="23">
        <v>0</v>
      </c>
      <c r="I1561" s="23">
        <v>361.6</v>
      </c>
      <c r="J1561" s="23">
        <v>0</v>
      </c>
      <c r="K1561" s="23">
        <v>0</v>
      </c>
    </row>
    <row r="1562" spans="1:11" x14ac:dyDescent="0.25">
      <c r="A1562">
        <v>1561</v>
      </c>
      <c r="B1562" s="23">
        <v>110.4</v>
      </c>
      <c r="C1562" s="23">
        <v>0</v>
      </c>
      <c r="D1562" s="23">
        <v>0</v>
      </c>
      <c r="E1562" s="23">
        <v>0</v>
      </c>
      <c r="F1562" s="23">
        <v>0</v>
      </c>
      <c r="G1562" s="23">
        <v>0</v>
      </c>
      <c r="H1562" s="23">
        <v>0</v>
      </c>
      <c r="I1562" s="23">
        <v>110.4</v>
      </c>
      <c r="J1562" s="23">
        <v>0</v>
      </c>
      <c r="K1562" s="23">
        <v>0</v>
      </c>
    </row>
    <row r="1563" spans="1:11" x14ac:dyDescent="0.25">
      <c r="A1563">
        <v>1562</v>
      </c>
      <c r="B1563" s="23">
        <v>116.8</v>
      </c>
      <c r="C1563" s="23">
        <v>0</v>
      </c>
      <c r="D1563" s="23">
        <v>0</v>
      </c>
      <c r="E1563" s="23">
        <v>0</v>
      </c>
      <c r="F1563" s="23">
        <v>0</v>
      </c>
      <c r="G1563" s="23">
        <v>0</v>
      </c>
      <c r="H1563" s="23">
        <v>0</v>
      </c>
      <c r="I1563" s="23">
        <v>116.8</v>
      </c>
      <c r="J1563" s="23">
        <v>0</v>
      </c>
      <c r="K1563" s="23">
        <v>0</v>
      </c>
    </row>
    <row r="1564" spans="1:11" x14ac:dyDescent="0.25">
      <c r="A1564">
        <v>1563</v>
      </c>
      <c r="B1564" s="23">
        <v>111.2</v>
      </c>
      <c r="C1564" s="23">
        <v>0</v>
      </c>
      <c r="D1564" s="23">
        <v>0</v>
      </c>
      <c r="E1564" s="23">
        <v>0</v>
      </c>
      <c r="F1564" s="23">
        <v>0</v>
      </c>
      <c r="G1564" s="23">
        <v>0</v>
      </c>
      <c r="H1564" s="23">
        <v>0</v>
      </c>
      <c r="I1564" s="23">
        <v>111.2</v>
      </c>
      <c r="J1564" s="23">
        <v>0</v>
      </c>
      <c r="K1564" s="23">
        <v>0</v>
      </c>
    </row>
    <row r="1565" spans="1:11" x14ac:dyDescent="0.25">
      <c r="A1565">
        <v>1564</v>
      </c>
      <c r="B1565" s="23">
        <v>113.6</v>
      </c>
      <c r="C1565" s="23">
        <v>0</v>
      </c>
      <c r="D1565" s="23">
        <v>0</v>
      </c>
      <c r="E1565" s="23">
        <v>0</v>
      </c>
      <c r="F1565" s="23">
        <v>0</v>
      </c>
      <c r="G1565" s="23">
        <v>0</v>
      </c>
      <c r="H1565" s="23">
        <v>0</v>
      </c>
      <c r="I1565" s="23">
        <v>113.6</v>
      </c>
      <c r="J1565" s="23">
        <v>0</v>
      </c>
      <c r="K1565" s="23">
        <v>0</v>
      </c>
    </row>
    <row r="1566" spans="1:11" x14ac:dyDescent="0.25">
      <c r="A1566">
        <v>1565</v>
      </c>
      <c r="B1566" s="23">
        <v>110.4</v>
      </c>
      <c r="C1566" s="23">
        <v>0</v>
      </c>
      <c r="D1566" s="23">
        <v>0</v>
      </c>
      <c r="E1566" s="23">
        <v>0</v>
      </c>
      <c r="F1566" s="23">
        <v>0</v>
      </c>
      <c r="G1566" s="23">
        <v>0</v>
      </c>
      <c r="H1566" s="23">
        <v>0</v>
      </c>
      <c r="I1566" s="23">
        <v>110.4</v>
      </c>
      <c r="J1566" s="23">
        <v>0</v>
      </c>
      <c r="K1566" s="23">
        <v>0</v>
      </c>
    </row>
    <row r="1567" spans="1:11" x14ac:dyDescent="0.25">
      <c r="A1567">
        <v>1566</v>
      </c>
      <c r="B1567" s="23">
        <v>114.4</v>
      </c>
      <c r="C1567" s="23">
        <v>0</v>
      </c>
      <c r="D1567" s="23">
        <v>0</v>
      </c>
      <c r="E1567" s="23">
        <v>0</v>
      </c>
      <c r="F1567" s="23">
        <v>0</v>
      </c>
      <c r="G1567" s="23">
        <v>0</v>
      </c>
      <c r="H1567" s="23">
        <v>0</v>
      </c>
      <c r="I1567" s="23">
        <v>114.4</v>
      </c>
      <c r="J1567" s="23">
        <v>0</v>
      </c>
      <c r="K1567" s="23">
        <v>0</v>
      </c>
    </row>
    <row r="1568" spans="1:11" x14ac:dyDescent="0.25">
      <c r="A1568">
        <v>1567</v>
      </c>
      <c r="B1568" s="23">
        <v>98.4</v>
      </c>
      <c r="C1568" s="23">
        <v>44.29</v>
      </c>
      <c r="D1568" s="23">
        <v>120.81699999999999</v>
      </c>
      <c r="E1568" s="23">
        <v>98.4</v>
      </c>
      <c r="F1568" s="23">
        <v>-22.417000000000002</v>
      </c>
      <c r="G1568" s="23">
        <v>0</v>
      </c>
      <c r="H1568" s="23">
        <v>0</v>
      </c>
      <c r="I1568" s="23">
        <v>0</v>
      </c>
      <c r="J1568" s="23">
        <v>0</v>
      </c>
      <c r="K1568" s="23">
        <v>0</v>
      </c>
    </row>
    <row r="1569" spans="1:11" x14ac:dyDescent="0.25">
      <c r="A1569">
        <v>1568</v>
      </c>
      <c r="B1569" s="23">
        <v>220.23599999999999</v>
      </c>
      <c r="C1569" s="23">
        <v>267.10000000000002</v>
      </c>
      <c r="D1569" s="23">
        <v>1023.559</v>
      </c>
      <c r="E1569" s="23">
        <v>220.23599999999999</v>
      </c>
      <c r="F1569" s="23">
        <v>-803.32299999999998</v>
      </c>
      <c r="G1569" s="23">
        <v>0</v>
      </c>
      <c r="H1569" s="23">
        <v>0</v>
      </c>
      <c r="I1569" s="23">
        <v>0</v>
      </c>
      <c r="J1569" s="23">
        <v>0</v>
      </c>
      <c r="K1569" s="23">
        <v>0</v>
      </c>
    </row>
    <row r="1570" spans="1:11" x14ac:dyDescent="0.25">
      <c r="A1570">
        <v>1569</v>
      </c>
      <c r="B1570" s="23">
        <v>1212.9849999999999</v>
      </c>
      <c r="C1570" s="23">
        <v>512.70000000000005</v>
      </c>
      <c r="D1570" s="23">
        <v>1982.252</v>
      </c>
      <c r="E1570" s="23">
        <v>1212.9849999999999</v>
      </c>
      <c r="F1570" s="23">
        <v>-769.26700000000005</v>
      </c>
      <c r="G1570" s="23">
        <v>0</v>
      </c>
      <c r="H1570" s="23">
        <v>0</v>
      </c>
      <c r="I1570" s="23">
        <v>0</v>
      </c>
      <c r="J1570" s="23">
        <v>0</v>
      </c>
      <c r="K1570" s="23">
        <v>0</v>
      </c>
    </row>
    <row r="1571" spans="1:11" x14ac:dyDescent="0.25">
      <c r="A1571">
        <v>1570</v>
      </c>
      <c r="B1571" s="23">
        <v>1238.8119999999999</v>
      </c>
      <c r="C1571" s="23">
        <v>727.34</v>
      </c>
      <c r="D1571" s="23">
        <v>2690.509</v>
      </c>
      <c r="E1571" s="23">
        <v>1238.8119999999999</v>
      </c>
      <c r="F1571" s="23">
        <v>-1451.6969999999999</v>
      </c>
      <c r="G1571" s="23">
        <v>0</v>
      </c>
      <c r="H1571" s="23">
        <v>0</v>
      </c>
      <c r="I1571" s="23">
        <v>0</v>
      </c>
      <c r="J1571" s="23">
        <v>0</v>
      </c>
      <c r="K1571" s="23">
        <v>0</v>
      </c>
    </row>
    <row r="1572" spans="1:11" x14ac:dyDescent="0.25">
      <c r="A1572">
        <v>1571</v>
      </c>
      <c r="B1572" s="23">
        <v>1664.7170000000001</v>
      </c>
      <c r="C1572" s="23">
        <v>783.38</v>
      </c>
      <c r="D1572" s="23">
        <v>2812.136</v>
      </c>
      <c r="E1572" s="23">
        <v>1664.7170000000001</v>
      </c>
      <c r="F1572" s="23">
        <v>-1147.4190000000001</v>
      </c>
      <c r="G1572" s="23">
        <v>0</v>
      </c>
      <c r="H1572" s="23">
        <v>0</v>
      </c>
      <c r="I1572" s="23">
        <v>0</v>
      </c>
      <c r="J1572" s="23">
        <v>0</v>
      </c>
      <c r="K1572" s="23">
        <v>0</v>
      </c>
    </row>
    <row r="1573" spans="1:11" x14ac:dyDescent="0.25">
      <c r="A1573">
        <v>1572</v>
      </c>
      <c r="B1573" s="23">
        <v>1556.9169999999999</v>
      </c>
      <c r="C1573" s="23">
        <v>859.52</v>
      </c>
      <c r="D1573" s="23">
        <v>2999.8809999999999</v>
      </c>
      <c r="E1573" s="23">
        <v>1556.9169999999999</v>
      </c>
      <c r="F1573" s="23">
        <v>-1442.9639999999999</v>
      </c>
      <c r="G1573" s="23">
        <v>0</v>
      </c>
      <c r="H1573" s="23">
        <v>0</v>
      </c>
      <c r="I1573" s="23">
        <v>0</v>
      </c>
      <c r="J1573" s="23">
        <v>0</v>
      </c>
      <c r="K1573" s="23">
        <v>0</v>
      </c>
    </row>
    <row r="1574" spans="1:11" x14ac:dyDescent="0.25">
      <c r="A1574">
        <v>1573</v>
      </c>
      <c r="B1574" s="23">
        <v>1408.4829999999999</v>
      </c>
      <c r="C1574" s="23">
        <v>853.19</v>
      </c>
      <c r="D1574" s="23">
        <v>2951.395</v>
      </c>
      <c r="E1574" s="23">
        <v>1408.4829999999999</v>
      </c>
      <c r="F1574" s="23">
        <v>-1542.912</v>
      </c>
      <c r="G1574" s="23">
        <v>0</v>
      </c>
      <c r="H1574" s="23">
        <v>0</v>
      </c>
      <c r="I1574" s="23">
        <v>0</v>
      </c>
      <c r="J1574" s="23">
        <v>0</v>
      </c>
      <c r="K1574" s="23">
        <v>0</v>
      </c>
    </row>
    <row r="1575" spans="1:11" x14ac:dyDescent="0.25">
      <c r="A1575">
        <v>1574</v>
      </c>
      <c r="B1575" s="23">
        <v>1587.586</v>
      </c>
      <c r="C1575" s="23">
        <v>741.62</v>
      </c>
      <c r="D1575" s="23">
        <v>2627.357</v>
      </c>
      <c r="E1575" s="23">
        <v>1587.586</v>
      </c>
      <c r="F1575" s="23">
        <v>-111.5</v>
      </c>
      <c r="G1575" s="23">
        <v>0</v>
      </c>
      <c r="H1575" s="23">
        <v>928.27099999999996</v>
      </c>
      <c r="I1575" s="23">
        <v>0</v>
      </c>
      <c r="J1575" s="23">
        <v>0</v>
      </c>
      <c r="K1575" s="23">
        <v>0</v>
      </c>
    </row>
    <row r="1576" spans="1:11" x14ac:dyDescent="0.25">
      <c r="A1576">
        <v>1575</v>
      </c>
      <c r="B1576" s="23">
        <v>1726.3779999999999</v>
      </c>
      <c r="C1576" s="23">
        <v>628.86</v>
      </c>
      <c r="D1576" s="23">
        <v>2315.9650000000001</v>
      </c>
      <c r="E1576" s="23">
        <v>1726.3779999999999</v>
      </c>
      <c r="F1576" s="23">
        <v>0</v>
      </c>
      <c r="G1576" s="23">
        <v>0</v>
      </c>
      <c r="H1576" s="23">
        <v>589.58699999999999</v>
      </c>
      <c r="I1576" s="23">
        <v>0</v>
      </c>
      <c r="J1576" s="23">
        <v>0</v>
      </c>
      <c r="K1576" s="23">
        <v>0</v>
      </c>
    </row>
    <row r="1577" spans="1:11" x14ac:dyDescent="0.25">
      <c r="A1577">
        <v>1576</v>
      </c>
      <c r="B1577" s="23">
        <v>1711.4780000000001</v>
      </c>
      <c r="C1577" s="23">
        <v>456.89</v>
      </c>
      <c r="D1577" s="23">
        <v>1747.6020000000001</v>
      </c>
      <c r="E1577" s="23">
        <v>1711.4780000000001</v>
      </c>
      <c r="F1577" s="23">
        <v>0</v>
      </c>
      <c r="G1577" s="23">
        <v>0</v>
      </c>
      <c r="H1577" s="23">
        <v>36.124000000000002</v>
      </c>
      <c r="I1577" s="23">
        <v>0</v>
      </c>
      <c r="J1577" s="23">
        <v>0</v>
      </c>
      <c r="K1577" s="23">
        <v>0</v>
      </c>
    </row>
    <row r="1578" spans="1:11" x14ac:dyDescent="0.25">
      <c r="A1578">
        <v>1577</v>
      </c>
      <c r="B1578" s="23">
        <v>1544.327</v>
      </c>
      <c r="C1578" s="23">
        <v>230.59</v>
      </c>
      <c r="D1578" s="23">
        <v>881.46500000000003</v>
      </c>
      <c r="E1578" s="23">
        <v>881.46500000000003</v>
      </c>
      <c r="F1578" s="23">
        <v>0</v>
      </c>
      <c r="G1578" s="23">
        <v>0</v>
      </c>
      <c r="H1578" s="23">
        <v>0</v>
      </c>
      <c r="I1578" s="23">
        <v>662.86199999999997</v>
      </c>
      <c r="J1578" s="23">
        <v>0</v>
      </c>
      <c r="K1578" s="23">
        <v>0</v>
      </c>
    </row>
    <row r="1579" spans="1:11" x14ac:dyDescent="0.25">
      <c r="A1579">
        <v>1578</v>
      </c>
      <c r="B1579" s="23">
        <v>1402.6590000000001</v>
      </c>
      <c r="C1579" s="23">
        <v>57.95</v>
      </c>
      <c r="D1579" s="23">
        <v>178.529</v>
      </c>
      <c r="E1579" s="23">
        <v>178.529</v>
      </c>
      <c r="F1579" s="23">
        <v>0</v>
      </c>
      <c r="G1579" s="23">
        <v>0</v>
      </c>
      <c r="H1579" s="23">
        <v>0</v>
      </c>
      <c r="I1579" s="23">
        <v>0</v>
      </c>
      <c r="J1579" s="23">
        <v>0</v>
      </c>
      <c r="K1579" s="23">
        <v>1224.1300000000001</v>
      </c>
    </row>
    <row r="1580" spans="1:11" x14ac:dyDescent="0.25">
      <c r="A1580">
        <v>1579</v>
      </c>
      <c r="B1580" s="23">
        <v>1439.865</v>
      </c>
      <c r="C1580" s="23">
        <v>0</v>
      </c>
      <c r="D1580" s="23">
        <v>0</v>
      </c>
      <c r="E1580" s="23">
        <v>0</v>
      </c>
      <c r="F1580" s="23">
        <v>0</v>
      </c>
      <c r="G1580" s="23">
        <v>0</v>
      </c>
      <c r="H1580" s="23">
        <v>0</v>
      </c>
      <c r="I1580" s="23">
        <v>0</v>
      </c>
      <c r="J1580" s="23">
        <v>0</v>
      </c>
      <c r="K1580" s="23">
        <v>1439.865</v>
      </c>
    </row>
    <row r="1581" spans="1:11" x14ac:dyDescent="0.25">
      <c r="A1581">
        <v>1580</v>
      </c>
      <c r="B1581" s="23">
        <v>1459.2</v>
      </c>
      <c r="C1581" s="23">
        <v>0</v>
      </c>
      <c r="D1581" s="23">
        <v>0</v>
      </c>
      <c r="E1581" s="23">
        <v>0</v>
      </c>
      <c r="F1581" s="23">
        <v>0</v>
      </c>
      <c r="G1581" s="23">
        <v>0</v>
      </c>
      <c r="H1581" s="23">
        <v>0</v>
      </c>
      <c r="I1581" s="23">
        <v>0</v>
      </c>
      <c r="J1581" s="23">
        <v>0</v>
      </c>
      <c r="K1581" s="23">
        <v>1459.2</v>
      </c>
    </row>
    <row r="1582" spans="1:11" x14ac:dyDescent="0.25">
      <c r="A1582">
        <v>1581</v>
      </c>
      <c r="B1582" s="23">
        <v>1510.4</v>
      </c>
      <c r="C1582" s="23">
        <v>0</v>
      </c>
      <c r="D1582" s="23">
        <v>0</v>
      </c>
      <c r="E1582" s="23">
        <v>0</v>
      </c>
      <c r="F1582" s="23">
        <v>0</v>
      </c>
      <c r="G1582" s="23">
        <v>0</v>
      </c>
      <c r="H1582" s="23">
        <v>0</v>
      </c>
      <c r="I1582" s="23">
        <v>1510.4</v>
      </c>
      <c r="J1582" s="23">
        <v>0</v>
      </c>
      <c r="K1582" s="23">
        <v>0</v>
      </c>
    </row>
    <row r="1583" spans="1:11" x14ac:dyDescent="0.25">
      <c r="A1583">
        <v>1582</v>
      </c>
      <c r="B1583" s="23">
        <v>1384</v>
      </c>
      <c r="C1583" s="23">
        <v>0</v>
      </c>
      <c r="D1583" s="23">
        <v>0</v>
      </c>
      <c r="E1583" s="23">
        <v>0</v>
      </c>
      <c r="F1583" s="23">
        <v>0</v>
      </c>
      <c r="G1583" s="23">
        <v>0</v>
      </c>
      <c r="H1583" s="23">
        <v>0</v>
      </c>
      <c r="I1583" s="23">
        <v>134.44800000000001</v>
      </c>
      <c r="J1583" s="23">
        <v>0</v>
      </c>
      <c r="K1583" s="23">
        <v>1249.5519999999999</v>
      </c>
    </row>
    <row r="1584" spans="1:11" x14ac:dyDescent="0.25">
      <c r="A1584">
        <v>1583</v>
      </c>
      <c r="B1584" s="23">
        <v>1400</v>
      </c>
      <c r="C1584" s="23">
        <v>0</v>
      </c>
      <c r="D1584" s="23">
        <v>0</v>
      </c>
      <c r="E1584" s="23">
        <v>0</v>
      </c>
      <c r="F1584" s="23">
        <v>0</v>
      </c>
      <c r="G1584" s="23">
        <v>0</v>
      </c>
      <c r="H1584" s="23">
        <v>0</v>
      </c>
      <c r="I1584" s="23">
        <v>1400</v>
      </c>
      <c r="J1584" s="23">
        <v>0</v>
      </c>
      <c r="K1584" s="23">
        <v>0</v>
      </c>
    </row>
    <row r="1585" spans="1:11" x14ac:dyDescent="0.25">
      <c r="A1585">
        <v>1584</v>
      </c>
      <c r="B1585" s="23">
        <v>472</v>
      </c>
      <c r="C1585" s="23">
        <v>0</v>
      </c>
      <c r="D1585" s="23">
        <v>0</v>
      </c>
      <c r="E1585" s="23">
        <v>0</v>
      </c>
      <c r="F1585" s="23">
        <v>0</v>
      </c>
      <c r="G1585" s="23">
        <v>0</v>
      </c>
      <c r="H1585" s="23">
        <v>0</v>
      </c>
      <c r="I1585" s="23">
        <v>472</v>
      </c>
      <c r="J1585" s="23">
        <v>0</v>
      </c>
      <c r="K1585" s="23">
        <v>0</v>
      </c>
    </row>
    <row r="1586" spans="1:11" x14ac:dyDescent="0.25">
      <c r="A1586">
        <v>1585</v>
      </c>
      <c r="B1586" s="23">
        <v>416.8</v>
      </c>
      <c r="C1586" s="23">
        <v>0</v>
      </c>
      <c r="D1586" s="23">
        <v>0</v>
      </c>
      <c r="E1586" s="23">
        <v>0</v>
      </c>
      <c r="F1586" s="23">
        <v>0</v>
      </c>
      <c r="G1586" s="23">
        <v>0</v>
      </c>
      <c r="H1586" s="23">
        <v>0</v>
      </c>
      <c r="I1586" s="23">
        <v>416.8</v>
      </c>
      <c r="J1586" s="23">
        <v>0</v>
      </c>
      <c r="K1586" s="23">
        <v>0</v>
      </c>
    </row>
    <row r="1587" spans="1:11" x14ac:dyDescent="0.25">
      <c r="A1587">
        <v>1586</v>
      </c>
      <c r="B1587" s="23">
        <v>390.4</v>
      </c>
      <c r="C1587" s="23">
        <v>0</v>
      </c>
      <c r="D1587" s="23">
        <v>0</v>
      </c>
      <c r="E1587" s="23">
        <v>0</v>
      </c>
      <c r="F1587" s="23">
        <v>0</v>
      </c>
      <c r="G1587" s="23">
        <v>0</v>
      </c>
      <c r="H1587" s="23">
        <v>0</v>
      </c>
      <c r="I1587" s="23">
        <v>390.4</v>
      </c>
      <c r="J1587" s="23">
        <v>0</v>
      </c>
      <c r="K1587" s="23">
        <v>0</v>
      </c>
    </row>
    <row r="1588" spans="1:11" x14ac:dyDescent="0.25">
      <c r="A1588">
        <v>1587</v>
      </c>
      <c r="B1588" s="23">
        <v>431.2</v>
      </c>
      <c r="C1588" s="23">
        <v>0</v>
      </c>
      <c r="D1588" s="23">
        <v>0</v>
      </c>
      <c r="E1588" s="23">
        <v>0</v>
      </c>
      <c r="F1588" s="23">
        <v>0</v>
      </c>
      <c r="G1588" s="23">
        <v>0</v>
      </c>
      <c r="H1588" s="23">
        <v>0</v>
      </c>
      <c r="I1588" s="23">
        <v>431.2</v>
      </c>
      <c r="J1588" s="23">
        <v>0</v>
      </c>
      <c r="K1588" s="23">
        <v>0</v>
      </c>
    </row>
    <row r="1589" spans="1:11" x14ac:dyDescent="0.25">
      <c r="A1589">
        <v>1588</v>
      </c>
      <c r="B1589" s="23">
        <v>381.6</v>
      </c>
      <c r="C1589" s="23">
        <v>0</v>
      </c>
      <c r="D1589" s="23">
        <v>0</v>
      </c>
      <c r="E1589" s="23">
        <v>0</v>
      </c>
      <c r="F1589" s="23">
        <v>0</v>
      </c>
      <c r="G1589" s="23">
        <v>0</v>
      </c>
      <c r="H1589" s="23">
        <v>0</v>
      </c>
      <c r="I1589" s="23">
        <v>381.6</v>
      </c>
      <c r="J1589" s="23">
        <v>0</v>
      </c>
      <c r="K1589" s="23">
        <v>0</v>
      </c>
    </row>
    <row r="1590" spans="1:11" x14ac:dyDescent="0.25">
      <c r="A1590">
        <v>1589</v>
      </c>
      <c r="B1590" s="23">
        <v>384</v>
      </c>
      <c r="C1590" s="23">
        <v>0</v>
      </c>
      <c r="D1590" s="23">
        <v>0</v>
      </c>
      <c r="E1590" s="23">
        <v>0</v>
      </c>
      <c r="F1590" s="23">
        <v>0</v>
      </c>
      <c r="G1590" s="23">
        <v>0</v>
      </c>
      <c r="H1590" s="23">
        <v>0</v>
      </c>
      <c r="I1590" s="23">
        <v>0</v>
      </c>
      <c r="J1590" s="23">
        <v>0</v>
      </c>
      <c r="K1590" s="23">
        <v>384</v>
      </c>
    </row>
    <row r="1591" spans="1:11" x14ac:dyDescent="0.25">
      <c r="A1591">
        <v>1590</v>
      </c>
      <c r="B1591" s="23">
        <v>484.8</v>
      </c>
      <c r="C1591" s="23">
        <v>0</v>
      </c>
      <c r="D1591" s="23">
        <v>0</v>
      </c>
      <c r="E1591" s="23">
        <v>0</v>
      </c>
      <c r="F1591" s="23">
        <v>0</v>
      </c>
      <c r="G1591" s="23">
        <v>0</v>
      </c>
      <c r="H1591" s="23">
        <v>0</v>
      </c>
      <c r="I1591" s="23">
        <v>0</v>
      </c>
      <c r="J1591" s="23">
        <v>0</v>
      </c>
      <c r="K1591" s="23">
        <v>484.8</v>
      </c>
    </row>
    <row r="1592" spans="1:11" x14ac:dyDescent="0.25">
      <c r="A1592">
        <v>1591</v>
      </c>
      <c r="B1592" s="23">
        <v>424</v>
      </c>
      <c r="C1592" s="23">
        <v>41.62</v>
      </c>
      <c r="D1592" s="23">
        <v>113.69799999999999</v>
      </c>
      <c r="E1592" s="23">
        <v>113.69799999999999</v>
      </c>
      <c r="F1592" s="23">
        <v>0</v>
      </c>
      <c r="G1592" s="23">
        <v>0</v>
      </c>
      <c r="H1592" s="23">
        <v>0</v>
      </c>
      <c r="I1592" s="23">
        <v>0</v>
      </c>
      <c r="J1592" s="23">
        <v>0</v>
      </c>
      <c r="K1592" s="23">
        <v>310.30200000000002</v>
      </c>
    </row>
    <row r="1593" spans="1:11" x14ac:dyDescent="0.25">
      <c r="A1593">
        <v>1592</v>
      </c>
      <c r="B1593" s="23">
        <v>433.137</v>
      </c>
      <c r="C1593" s="23">
        <v>261.43</v>
      </c>
      <c r="D1593" s="23">
        <v>1001.7859999999999</v>
      </c>
      <c r="E1593" s="23">
        <v>433.137</v>
      </c>
      <c r="F1593" s="23">
        <v>-568.649</v>
      </c>
      <c r="G1593" s="23">
        <v>0</v>
      </c>
      <c r="H1593" s="23">
        <v>0</v>
      </c>
      <c r="I1593" s="23">
        <v>0</v>
      </c>
      <c r="J1593" s="23">
        <v>0</v>
      </c>
      <c r="K1593" s="23">
        <v>0</v>
      </c>
    </row>
    <row r="1594" spans="1:11" x14ac:dyDescent="0.25">
      <c r="A1594">
        <v>1593</v>
      </c>
      <c r="B1594" s="23">
        <v>1644.8230000000001</v>
      </c>
      <c r="C1594" s="23">
        <v>505.61</v>
      </c>
      <c r="D1594" s="23">
        <v>1937.7750000000001</v>
      </c>
      <c r="E1594" s="23">
        <v>1644.8230000000001</v>
      </c>
      <c r="F1594" s="23">
        <v>-292.952</v>
      </c>
      <c r="G1594" s="23">
        <v>0</v>
      </c>
      <c r="H1594" s="23">
        <v>0</v>
      </c>
      <c r="I1594" s="23">
        <v>0</v>
      </c>
      <c r="J1594" s="23">
        <v>0</v>
      </c>
      <c r="K1594" s="23">
        <v>0</v>
      </c>
    </row>
    <row r="1595" spans="1:11" x14ac:dyDescent="0.25">
      <c r="A1595">
        <v>1594</v>
      </c>
      <c r="B1595" s="23">
        <v>1786.904</v>
      </c>
      <c r="C1595" s="23">
        <v>713.87</v>
      </c>
      <c r="D1595" s="23">
        <v>2588.0720000000001</v>
      </c>
      <c r="E1595" s="23">
        <v>1786.904</v>
      </c>
      <c r="F1595" s="23">
        <v>-801.16800000000001</v>
      </c>
      <c r="G1595" s="23">
        <v>0</v>
      </c>
      <c r="H1595" s="23">
        <v>0</v>
      </c>
      <c r="I1595" s="23">
        <v>0</v>
      </c>
      <c r="J1595" s="23">
        <v>0</v>
      </c>
      <c r="K1595" s="23">
        <v>0</v>
      </c>
    </row>
    <row r="1596" spans="1:11" x14ac:dyDescent="0.25">
      <c r="A1596">
        <v>1595</v>
      </c>
      <c r="B1596" s="23">
        <v>1792.2</v>
      </c>
      <c r="C1596" s="23">
        <v>849.2</v>
      </c>
      <c r="D1596" s="23">
        <v>2970.348</v>
      </c>
      <c r="E1596" s="23">
        <v>1792.2</v>
      </c>
      <c r="F1596" s="23">
        <v>-1178.1479999999999</v>
      </c>
      <c r="G1596" s="23">
        <v>0</v>
      </c>
      <c r="H1596" s="23">
        <v>0</v>
      </c>
      <c r="I1596" s="23">
        <v>0</v>
      </c>
      <c r="J1596" s="23">
        <v>0</v>
      </c>
      <c r="K1596" s="23">
        <v>0</v>
      </c>
    </row>
    <row r="1597" spans="1:11" x14ac:dyDescent="0.25">
      <c r="A1597">
        <v>1596</v>
      </c>
      <c r="B1597" s="23">
        <v>1606.691</v>
      </c>
      <c r="C1597" s="23">
        <v>938.82</v>
      </c>
      <c r="D1597" s="23">
        <v>3226.8850000000002</v>
      </c>
      <c r="E1597" s="23">
        <v>1606.691</v>
      </c>
      <c r="F1597" s="23">
        <v>-1620.194</v>
      </c>
      <c r="G1597" s="23">
        <v>0</v>
      </c>
      <c r="H1597" s="23">
        <v>0</v>
      </c>
      <c r="I1597" s="23">
        <v>0</v>
      </c>
      <c r="J1597" s="23">
        <v>0</v>
      </c>
      <c r="K1597" s="23">
        <v>0</v>
      </c>
    </row>
    <row r="1598" spans="1:11" x14ac:dyDescent="0.25">
      <c r="A1598">
        <v>1597</v>
      </c>
      <c r="B1598" s="23">
        <v>1894.24</v>
      </c>
      <c r="C1598" s="23">
        <v>951.03</v>
      </c>
      <c r="D1598" s="23">
        <v>3259.636</v>
      </c>
      <c r="E1598" s="23">
        <v>1894.24</v>
      </c>
      <c r="F1598" s="23">
        <v>-1365.396</v>
      </c>
      <c r="G1598" s="23">
        <v>0</v>
      </c>
      <c r="H1598" s="23">
        <v>0</v>
      </c>
      <c r="I1598" s="23">
        <v>0</v>
      </c>
      <c r="J1598" s="23">
        <v>0</v>
      </c>
      <c r="K1598" s="23">
        <v>0</v>
      </c>
    </row>
    <row r="1599" spans="1:11" x14ac:dyDescent="0.25">
      <c r="A1599">
        <v>1598</v>
      </c>
      <c r="B1599" s="23">
        <v>1829.242</v>
      </c>
      <c r="C1599" s="23">
        <v>828.76</v>
      </c>
      <c r="D1599" s="23">
        <v>2912.7190000000001</v>
      </c>
      <c r="E1599" s="23">
        <v>1829.242</v>
      </c>
      <c r="F1599" s="23">
        <v>-1083.4770000000001</v>
      </c>
      <c r="G1599" s="23">
        <v>0</v>
      </c>
      <c r="H1599" s="23">
        <v>0</v>
      </c>
      <c r="I1599" s="23">
        <v>0</v>
      </c>
      <c r="J1599" s="23">
        <v>0</v>
      </c>
      <c r="K1599" s="23">
        <v>0</v>
      </c>
    </row>
    <row r="1600" spans="1:11" x14ac:dyDescent="0.25">
      <c r="A1600">
        <v>1599</v>
      </c>
      <c r="B1600" s="23">
        <v>1903.518</v>
      </c>
      <c r="C1600" s="23">
        <v>737.68</v>
      </c>
      <c r="D1600" s="23">
        <v>2661.2240000000002</v>
      </c>
      <c r="E1600" s="23">
        <v>1903.518</v>
      </c>
      <c r="F1600" s="23">
        <v>-381.51600000000002</v>
      </c>
      <c r="G1600" s="23">
        <v>0</v>
      </c>
      <c r="H1600" s="23">
        <v>376.19</v>
      </c>
      <c r="I1600" s="23">
        <v>0</v>
      </c>
      <c r="J1600" s="23">
        <v>0</v>
      </c>
      <c r="K1600" s="23">
        <v>0</v>
      </c>
    </row>
    <row r="1601" spans="1:11" x14ac:dyDescent="0.25">
      <c r="A1601">
        <v>1600</v>
      </c>
      <c r="B1601" s="23">
        <v>1476.616</v>
      </c>
      <c r="C1601" s="23">
        <v>530.46</v>
      </c>
      <c r="D1601" s="23">
        <v>1992.521</v>
      </c>
      <c r="E1601" s="23">
        <v>1476.616</v>
      </c>
      <c r="F1601" s="23">
        <v>0</v>
      </c>
      <c r="G1601" s="23">
        <v>0</v>
      </c>
      <c r="H1601" s="23">
        <v>515.90499999999997</v>
      </c>
      <c r="I1601" s="23">
        <v>0</v>
      </c>
      <c r="J1601" s="23">
        <v>0</v>
      </c>
      <c r="K1601" s="23">
        <v>0</v>
      </c>
    </row>
    <row r="1602" spans="1:11" x14ac:dyDescent="0.25">
      <c r="A1602">
        <v>1601</v>
      </c>
      <c r="B1602" s="23">
        <v>1535.769</v>
      </c>
      <c r="C1602" s="23">
        <v>288.12</v>
      </c>
      <c r="D1602" s="23">
        <v>1089.7739999999999</v>
      </c>
      <c r="E1602" s="23">
        <v>1089.7739999999999</v>
      </c>
      <c r="F1602" s="23">
        <v>0</v>
      </c>
      <c r="G1602" s="23">
        <v>0</v>
      </c>
      <c r="H1602" s="23">
        <v>0</v>
      </c>
      <c r="I1602" s="23">
        <v>445.995</v>
      </c>
      <c r="J1602" s="23">
        <v>0</v>
      </c>
      <c r="K1602" s="23">
        <v>0</v>
      </c>
    </row>
    <row r="1603" spans="1:11" x14ac:dyDescent="0.25">
      <c r="A1603">
        <v>1602</v>
      </c>
      <c r="B1603" s="23">
        <v>1485.7950000000001</v>
      </c>
      <c r="C1603" s="23">
        <v>62.78</v>
      </c>
      <c r="D1603" s="23">
        <v>189.68700000000001</v>
      </c>
      <c r="E1603" s="23">
        <v>189.68700000000001</v>
      </c>
      <c r="F1603" s="23">
        <v>0</v>
      </c>
      <c r="G1603" s="23">
        <v>0</v>
      </c>
      <c r="H1603" s="23">
        <v>0</v>
      </c>
      <c r="I1603" s="23">
        <v>0</v>
      </c>
      <c r="J1603" s="23">
        <v>0</v>
      </c>
      <c r="K1603" s="23">
        <v>1296.1079999999999</v>
      </c>
    </row>
    <row r="1604" spans="1:11" x14ac:dyDescent="0.25">
      <c r="A1604">
        <v>1603</v>
      </c>
      <c r="B1604" s="23">
        <v>1357.077</v>
      </c>
      <c r="C1604" s="23">
        <v>0</v>
      </c>
      <c r="D1604" s="23">
        <v>0</v>
      </c>
      <c r="E1604" s="23">
        <v>0</v>
      </c>
      <c r="F1604" s="23">
        <v>0</v>
      </c>
      <c r="G1604" s="23">
        <v>0</v>
      </c>
      <c r="H1604" s="23">
        <v>0</v>
      </c>
      <c r="I1604" s="23">
        <v>0</v>
      </c>
      <c r="J1604" s="23">
        <v>0</v>
      </c>
      <c r="K1604" s="23">
        <v>1357.077</v>
      </c>
    </row>
    <row r="1605" spans="1:11" x14ac:dyDescent="0.25">
      <c r="A1605">
        <v>1604</v>
      </c>
      <c r="B1605" s="23">
        <v>1589.6</v>
      </c>
      <c r="C1605" s="23">
        <v>0</v>
      </c>
      <c r="D1605" s="23">
        <v>0</v>
      </c>
      <c r="E1605" s="23">
        <v>0</v>
      </c>
      <c r="F1605" s="23">
        <v>0</v>
      </c>
      <c r="G1605" s="23">
        <v>0</v>
      </c>
      <c r="H1605" s="23">
        <v>0</v>
      </c>
      <c r="I1605" s="23">
        <v>0</v>
      </c>
      <c r="J1605" s="23">
        <v>0</v>
      </c>
      <c r="K1605" s="23">
        <v>1589.6</v>
      </c>
    </row>
    <row r="1606" spans="1:11" x14ac:dyDescent="0.25">
      <c r="A1606">
        <v>1605</v>
      </c>
      <c r="B1606" s="23">
        <v>1525.6</v>
      </c>
      <c r="C1606" s="23">
        <v>0</v>
      </c>
      <c r="D1606" s="23">
        <v>0</v>
      </c>
      <c r="E1606" s="23">
        <v>0</v>
      </c>
      <c r="F1606" s="23">
        <v>0</v>
      </c>
      <c r="G1606" s="23">
        <v>0</v>
      </c>
      <c r="H1606" s="23">
        <v>0</v>
      </c>
      <c r="I1606" s="23">
        <v>1525.6</v>
      </c>
      <c r="J1606" s="23">
        <v>0</v>
      </c>
      <c r="K1606" s="23">
        <v>0</v>
      </c>
    </row>
    <row r="1607" spans="1:11" x14ac:dyDescent="0.25">
      <c r="A1607">
        <v>1606</v>
      </c>
      <c r="B1607" s="23">
        <v>1258.4000000000001</v>
      </c>
      <c r="C1607" s="23">
        <v>0</v>
      </c>
      <c r="D1607" s="23">
        <v>0</v>
      </c>
      <c r="E1607" s="23">
        <v>0</v>
      </c>
      <c r="F1607" s="23">
        <v>0</v>
      </c>
      <c r="G1607" s="23">
        <v>0</v>
      </c>
      <c r="H1607" s="23">
        <v>0</v>
      </c>
      <c r="I1607" s="23">
        <v>1258.4000000000001</v>
      </c>
      <c r="J1607" s="23">
        <v>0</v>
      </c>
      <c r="K1607" s="23">
        <v>0</v>
      </c>
    </row>
    <row r="1608" spans="1:11" x14ac:dyDescent="0.25">
      <c r="A1608">
        <v>1607</v>
      </c>
      <c r="B1608" s="23">
        <v>1140</v>
      </c>
      <c r="C1608" s="23">
        <v>0</v>
      </c>
      <c r="D1608" s="23">
        <v>0</v>
      </c>
      <c r="E1608" s="23">
        <v>0</v>
      </c>
      <c r="F1608" s="23">
        <v>0</v>
      </c>
      <c r="G1608" s="23">
        <v>0</v>
      </c>
      <c r="H1608" s="23">
        <v>0</v>
      </c>
      <c r="I1608" s="23">
        <v>1140</v>
      </c>
      <c r="J1608" s="23">
        <v>0</v>
      </c>
      <c r="K1608" s="23">
        <v>0</v>
      </c>
    </row>
    <row r="1609" spans="1:11" x14ac:dyDescent="0.25">
      <c r="A1609">
        <v>1608</v>
      </c>
      <c r="B1609" s="23">
        <v>1290.4000000000001</v>
      </c>
      <c r="C1609" s="23">
        <v>0</v>
      </c>
      <c r="D1609" s="23">
        <v>0</v>
      </c>
      <c r="E1609" s="23">
        <v>0</v>
      </c>
      <c r="F1609" s="23">
        <v>0</v>
      </c>
      <c r="G1609" s="23">
        <v>0</v>
      </c>
      <c r="H1609" s="23">
        <v>0</v>
      </c>
      <c r="I1609" s="23">
        <v>1290.4000000000001</v>
      </c>
      <c r="J1609" s="23">
        <v>0</v>
      </c>
      <c r="K1609" s="23">
        <v>0</v>
      </c>
    </row>
    <row r="1610" spans="1:11" x14ac:dyDescent="0.25">
      <c r="A1610">
        <v>1609</v>
      </c>
      <c r="B1610" s="23">
        <v>1470.4</v>
      </c>
      <c r="C1610" s="23">
        <v>0</v>
      </c>
      <c r="D1610" s="23">
        <v>0</v>
      </c>
      <c r="E1610" s="23">
        <v>0</v>
      </c>
      <c r="F1610" s="23">
        <v>0</v>
      </c>
      <c r="G1610" s="23">
        <v>0</v>
      </c>
      <c r="H1610" s="23">
        <v>0</v>
      </c>
      <c r="I1610" s="23">
        <v>1470.4</v>
      </c>
      <c r="J1610" s="23">
        <v>0</v>
      </c>
      <c r="K1610" s="23">
        <v>0</v>
      </c>
    </row>
    <row r="1611" spans="1:11" x14ac:dyDescent="0.25">
      <c r="A1611">
        <v>1610</v>
      </c>
      <c r="B1611" s="23">
        <v>904.8</v>
      </c>
      <c r="C1611" s="23">
        <v>0</v>
      </c>
      <c r="D1611" s="23">
        <v>0</v>
      </c>
      <c r="E1611" s="23">
        <v>0</v>
      </c>
      <c r="F1611" s="23">
        <v>0</v>
      </c>
      <c r="G1611" s="23">
        <v>0</v>
      </c>
      <c r="H1611" s="23">
        <v>0</v>
      </c>
      <c r="I1611" s="23">
        <v>904.8</v>
      </c>
      <c r="J1611" s="23">
        <v>0</v>
      </c>
      <c r="K1611" s="23">
        <v>0</v>
      </c>
    </row>
    <row r="1612" spans="1:11" x14ac:dyDescent="0.25">
      <c r="A1612">
        <v>1611</v>
      </c>
      <c r="B1612" s="23">
        <v>1167.2</v>
      </c>
      <c r="C1612" s="23">
        <v>0</v>
      </c>
      <c r="D1612" s="23">
        <v>0</v>
      </c>
      <c r="E1612" s="23">
        <v>0</v>
      </c>
      <c r="F1612" s="23">
        <v>0</v>
      </c>
      <c r="G1612" s="23">
        <v>0</v>
      </c>
      <c r="H1612" s="23">
        <v>0</v>
      </c>
      <c r="I1612" s="23">
        <v>1167.2</v>
      </c>
      <c r="J1612" s="23">
        <v>0</v>
      </c>
      <c r="K1612" s="23">
        <v>0</v>
      </c>
    </row>
    <row r="1613" spans="1:11" x14ac:dyDescent="0.25">
      <c r="A1613">
        <v>1612</v>
      </c>
      <c r="B1613" s="23">
        <v>1140.8</v>
      </c>
      <c r="C1613" s="23">
        <v>0</v>
      </c>
      <c r="D1613" s="23">
        <v>0</v>
      </c>
      <c r="E1613" s="23">
        <v>0</v>
      </c>
      <c r="F1613" s="23">
        <v>0</v>
      </c>
      <c r="G1613" s="23">
        <v>0</v>
      </c>
      <c r="H1613" s="23">
        <v>0</v>
      </c>
      <c r="I1613" s="23">
        <v>1140.8</v>
      </c>
      <c r="J1613" s="23">
        <v>0</v>
      </c>
      <c r="K1613" s="23">
        <v>0</v>
      </c>
    </row>
    <row r="1614" spans="1:11" x14ac:dyDescent="0.25">
      <c r="A1614">
        <v>1613</v>
      </c>
      <c r="B1614" s="23">
        <v>1201.5999999999999</v>
      </c>
      <c r="C1614" s="23">
        <v>0</v>
      </c>
      <c r="D1614" s="23">
        <v>0</v>
      </c>
      <c r="E1614" s="23">
        <v>0</v>
      </c>
      <c r="F1614" s="23">
        <v>0</v>
      </c>
      <c r="G1614" s="23">
        <v>0</v>
      </c>
      <c r="H1614" s="23">
        <v>0</v>
      </c>
      <c r="I1614" s="23">
        <v>1010.905</v>
      </c>
      <c r="J1614" s="23">
        <v>0</v>
      </c>
      <c r="K1614" s="23">
        <v>190.69499999999999</v>
      </c>
    </row>
    <row r="1615" spans="1:11" x14ac:dyDescent="0.25">
      <c r="A1615">
        <v>1614</v>
      </c>
      <c r="B1615" s="23">
        <v>1211.2</v>
      </c>
      <c r="C1615" s="23">
        <v>0</v>
      </c>
      <c r="D1615" s="23">
        <v>0</v>
      </c>
      <c r="E1615" s="23">
        <v>0</v>
      </c>
      <c r="F1615" s="23">
        <v>0</v>
      </c>
      <c r="G1615" s="23">
        <v>0</v>
      </c>
      <c r="H1615" s="23">
        <v>0</v>
      </c>
      <c r="I1615" s="23">
        <v>0</v>
      </c>
      <c r="J1615" s="23">
        <v>0</v>
      </c>
      <c r="K1615" s="23">
        <v>1211.2</v>
      </c>
    </row>
    <row r="1616" spans="1:11" x14ac:dyDescent="0.25">
      <c r="A1616">
        <v>1615</v>
      </c>
      <c r="B1616" s="23">
        <v>1014.4</v>
      </c>
      <c r="C1616" s="23">
        <v>38.369999999999997</v>
      </c>
      <c r="D1616" s="23">
        <v>107.23099999999999</v>
      </c>
      <c r="E1616" s="23">
        <v>107.23099999999999</v>
      </c>
      <c r="F1616" s="23">
        <v>0</v>
      </c>
      <c r="G1616" s="23">
        <v>0</v>
      </c>
      <c r="H1616" s="23">
        <v>0</v>
      </c>
      <c r="I1616" s="23">
        <v>0</v>
      </c>
      <c r="J1616" s="23">
        <v>0</v>
      </c>
      <c r="K1616" s="23">
        <v>907.16899999999998</v>
      </c>
    </row>
    <row r="1617" spans="1:11" x14ac:dyDescent="0.25">
      <c r="A1617">
        <v>1616</v>
      </c>
      <c r="B1617" s="23">
        <v>337.39699999999999</v>
      </c>
      <c r="C1617" s="23">
        <v>254.93</v>
      </c>
      <c r="D1617" s="23">
        <v>983.69</v>
      </c>
      <c r="E1617" s="23">
        <v>337.39699999999999</v>
      </c>
      <c r="F1617" s="23">
        <v>-646.29300000000001</v>
      </c>
      <c r="G1617" s="23">
        <v>0</v>
      </c>
      <c r="H1617" s="23">
        <v>0</v>
      </c>
      <c r="I1617" s="23">
        <v>0</v>
      </c>
      <c r="J1617" s="23">
        <v>0</v>
      </c>
      <c r="K1617" s="23">
        <v>0</v>
      </c>
    </row>
    <row r="1618" spans="1:11" x14ac:dyDescent="0.25">
      <c r="A1618">
        <v>1617</v>
      </c>
      <c r="B1618" s="23">
        <v>274.291</v>
      </c>
      <c r="C1618" s="23">
        <v>498.77</v>
      </c>
      <c r="D1618" s="23">
        <v>1929.422</v>
      </c>
      <c r="E1618" s="23">
        <v>274.291</v>
      </c>
      <c r="F1618" s="23">
        <v>-1655.1310000000001</v>
      </c>
      <c r="G1618" s="23">
        <v>0</v>
      </c>
      <c r="H1618" s="23">
        <v>0</v>
      </c>
      <c r="I1618" s="23">
        <v>0</v>
      </c>
      <c r="J1618" s="23">
        <v>0</v>
      </c>
      <c r="K1618" s="23">
        <v>0</v>
      </c>
    </row>
    <row r="1619" spans="1:11" x14ac:dyDescent="0.25">
      <c r="A1619">
        <v>1618</v>
      </c>
      <c r="B1619" s="23">
        <v>264.43700000000001</v>
      </c>
      <c r="C1619" s="23">
        <v>708.02</v>
      </c>
      <c r="D1619" s="23">
        <v>2629.232</v>
      </c>
      <c r="E1619" s="23">
        <v>264.43700000000001</v>
      </c>
      <c r="F1619" s="23">
        <v>-1684.559</v>
      </c>
      <c r="G1619" s="23">
        <v>0</v>
      </c>
      <c r="H1619" s="23">
        <v>680.23599999999999</v>
      </c>
      <c r="I1619" s="23">
        <v>0</v>
      </c>
      <c r="J1619" s="23">
        <v>0</v>
      </c>
      <c r="K1619" s="23">
        <v>0</v>
      </c>
    </row>
    <row r="1620" spans="1:11" x14ac:dyDescent="0.25">
      <c r="A1620">
        <v>1619</v>
      </c>
      <c r="B1620" s="23">
        <v>281.37900000000002</v>
      </c>
      <c r="C1620" s="23">
        <v>858.28</v>
      </c>
      <c r="D1620" s="23">
        <v>3076.174</v>
      </c>
      <c r="E1620" s="23">
        <v>281.38</v>
      </c>
      <c r="F1620" s="23">
        <v>-1684.559</v>
      </c>
      <c r="G1620" s="23">
        <v>0</v>
      </c>
      <c r="H1620" s="23">
        <v>1110.2349999999999</v>
      </c>
      <c r="I1620" s="23">
        <v>0</v>
      </c>
      <c r="J1620" s="23">
        <v>0</v>
      </c>
      <c r="K1620" s="23">
        <v>0</v>
      </c>
    </row>
    <row r="1621" spans="1:11" x14ac:dyDescent="0.25">
      <c r="A1621">
        <v>1620</v>
      </c>
      <c r="B1621" s="23">
        <v>297.30500000000001</v>
      </c>
      <c r="C1621" s="23">
        <v>945.55</v>
      </c>
      <c r="D1621" s="23">
        <v>3320.1480000000001</v>
      </c>
      <c r="E1621" s="23">
        <v>297.30599999999998</v>
      </c>
      <c r="F1621" s="23">
        <v>-1620.9559999999999</v>
      </c>
      <c r="G1621" s="23">
        <v>0</v>
      </c>
      <c r="H1621" s="23">
        <v>1401.886</v>
      </c>
      <c r="I1621" s="23">
        <v>0</v>
      </c>
      <c r="J1621" s="23">
        <v>0</v>
      </c>
      <c r="K1621" s="23">
        <v>0</v>
      </c>
    </row>
    <row r="1622" spans="1:11" x14ac:dyDescent="0.25">
      <c r="A1622">
        <v>1621</v>
      </c>
      <c r="B1622" s="23">
        <v>288.99900000000002</v>
      </c>
      <c r="C1622" s="23">
        <v>876.2</v>
      </c>
      <c r="D1622" s="23">
        <v>3097.395</v>
      </c>
      <c r="E1622" s="23">
        <v>288.99900000000002</v>
      </c>
      <c r="F1622" s="23">
        <v>0</v>
      </c>
      <c r="G1622" s="23">
        <v>0</v>
      </c>
      <c r="H1622" s="23">
        <v>2808.3960000000002</v>
      </c>
      <c r="I1622" s="23">
        <v>0</v>
      </c>
      <c r="J1622" s="23">
        <v>0</v>
      </c>
      <c r="K1622" s="23">
        <v>0</v>
      </c>
    </row>
    <row r="1623" spans="1:11" x14ac:dyDescent="0.25">
      <c r="A1623">
        <v>1622</v>
      </c>
      <c r="B1623" s="23">
        <v>276.25200000000001</v>
      </c>
      <c r="C1623" s="23">
        <v>666.32</v>
      </c>
      <c r="D1623" s="23">
        <v>2415.194</v>
      </c>
      <c r="E1623" s="23">
        <v>276.25200000000001</v>
      </c>
      <c r="F1623" s="23">
        <v>0</v>
      </c>
      <c r="G1623" s="23">
        <v>0</v>
      </c>
      <c r="H1623" s="23">
        <v>2138.942</v>
      </c>
      <c r="I1623" s="23">
        <v>0</v>
      </c>
      <c r="J1623" s="23">
        <v>0</v>
      </c>
      <c r="K1623" s="23">
        <v>0</v>
      </c>
    </row>
    <row r="1624" spans="1:11" x14ac:dyDescent="0.25">
      <c r="A1624">
        <v>1623</v>
      </c>
      <c r="B1624" s="23">
        <v>267.096</v>
      </c>
      <c r="C1624" s="23">
        <v>316.18</v>
      </c>
      <c r="D1624" s="23">
        <v>1168.123</v>
      </c>
      <c r="E1624" s="23">
        <v>267.096</v>
      </c>
      <c r="F1624" s="23">
        <v>0</v>
      </c>
      <c r="G1624" s="23">
        <v>0</v>
      </c>
      <c r="H1624" s="23">
        <v>901.02700000000004</v>
      </c>
      <c r="I1624" s="23">
        <v>0</v>
      </c>
      <c r="J1624" s="23">
        <v>0</v>
      </c>
      <c r="K1624" s="23">
        <v>0</v>
      </c>
    </row>
    <row r="1625" spans="1:11" x14ac:dyDescent="0.25">
      <c r="A1625">
        <v>1624</v>
      </c>
      <c r="B1625" s="23">
        <v>204.59899999999999</v>
      </c>
      <c r="C1625" s="23">
        <v>300.06</v>
      </c>
      <c r="D1625" s="23">
        <v>1134.3910000000001</v>
      </c>
      <c r="E1625" s="23">
        <v>204.59899999999999</v>
      </c>
      <c r="F1625" s="23">
        <v>0</v>
      </c>
      <c r="G1625" s="23">
        <v>0</v>
      </c>
      <c r="H1625" s="23">
        <v>929.79200000000003</v>
      </c>
      <c r="I1625" s="23">
        <v>0</v>
      </c>
      <c r="J1625" s="23">
        <v>0</v>
      </c>
      <c r="K1625" s="23">
        <v>0</v>
      </c>
    </row>
    <row r="1626" spans="1:11" x14ac:dyDescent="0.25">
      <c r="A1626">
        <v>1625</v>
      </c>
      <c r="B1626" s="23">
        <v>286.34899999999999</v>
      </c>
      <c r="C1626" s="23">
        <v>213.92</v>
      </c>
      <c r="D1626" s="23">
        <v>808.83400000000006</v>
      </c>
      <c r="E1626" s="23">
        <v>286.34899999999999</v>
      </c>
      <c r="F1626" s="23">
        <v>0</v>
      </c>
      <c r="G1626" s="23">
        <v>0</v>
      </c>
      <c r="H1626" s="23">
        <v>522.48500000000001</v>
      </c>
      <c r="I1626" s="23">
        <v>0</v>
      </c>
      <c r="J1626" s="23">
        <v>0</v>
      </c>
      <c r="K1626" s="23">
        <v>0</v>
      </c>
    </row>
    <row r="1627" spans="1:11" x14ac:dyDescent="0.25">
      <c r="A1627">
        <v>1626</v>
      </c>
      <c r="B1627" s="23">
        <v>229.93</v>
      </c>
      <c r="C1627" s="23">
        <v>52.13</v>
      </c>
      <c r="D1627" s="23">
        <v>156.83799999999999</v>
      </c>
      <c r="E1627" s="23">
        <v>156.83799999999999</v>
      </c>
      <c r="F1627" s="23">
        <v>0</v>
      </c>
      <c r="G1627" s="23">
        <v>0</v>
      </c>
      <c r="H1627" s="23">
        <v>0</v>
      </c>
      <c r="I1627" s="23">
        <v>0</v>
      </c>
      <c r="J1627" s="23">
        <v>0</v>
      </c>
      <c r="K1627" s="23">
        <v>73.091999999999999</v>
      </c>
    </row>
    <row r="1628" spans="1:11" x14ac:dyDescent="0.25">
      <c r="A1628">
        <v>1627</v>
      </c>
      <c r="B1628" s="23">
        <v>205.13</v>
      </c>
      <c r="C1628" s="23">
        <v>0</v>
      </c>
      <c r="D1628" s="23">
        <v>0</v>
      </c>
      <c r="E1628" s="23">
        <v>0</v>
      </c>
      <c r="F1628" s="23">
        <v>0</v>
      </c>
      <c r="G1628" s="23">
        <v>0</v>
      </c>
      <c r="H1628" s="23">
        <v>0</v>
      </c>
      <c r="I1628" s="23">
        <v>0</v>
      </c>
      <c r="J1628" s="23">
        <v>0</v>
      </c>
      <c r="K1628" s="23">
        <v>205.13</v>
      </c>
    </row>
    <row r="1629" spans="1:11" x14ac:dyDescent="0.25">
      <c r="A1629">
        <v>1628</v>
      </c>
      <c r="B1629" s="23">
        <v>299.2</v>
      </c>
      <c r="C1629" s="23">
        <v>0</v>
      </c>
      <c r="D1629" s="23">
        <v>0</v>
      </c>
      <c r="E1629" s="23">
        <v>0</v>
      </c>
      <c r="F1629" s="23">
        <v>0</v>
      </c>
      <c r="G1629" s="23">
        <v>0</v>
      </c>
      <c r="H1629" s="23">
        <v>0</v>
      </c>
      <c r="I1629" s="23">
        <v>0</v>
      </c>
      <c r="J1629" s="23">
        <v>0</v>
      </c>
      <c r="K1629" s="23">
        <v>299.2</v>
      </c>
    </row>
    <row r="1630" spans="1:11" x14ac:dyDescent="0.25">
      <c r="A1630">
        <v>1629</v>
      </c>
      <c r="B1630" s="23">
        <v>287.2</v>
      </c>
      <c r="C1630" s="23">
        <v>0</v>
      </c>
      <c r="D1630" s="23">
        <v>0</v>
      </c>
      <c r="E1630" s="23">
        <v>0</v>
      </c>
      <c r="F1630" s="23">
        <v>0</v>
      </c>
      <c r="G1630" s="23">
        <v>0</v>
      </c>
      <c r="H1630" s="23">
        <v>0</v>
      </c>
      <c r="I1630" s="23">
        <v>0</v>
      </c>
      <c r="J1630" s="23">
        <v>0</v>
      </c>
      <c r="K1630" s="23">
        <v>287.2</v>
      </c>
    </row>
    <row r="1631" spans="1:11" x14ac:dyDescent="0.25">
      <c r="A1631">
        <v>1630</v>
      </c>
      <c r="B1631" s="23">
        <v>292</v>
      </c>
      <c r="C1631" s="23">
        <v>0</v>
      </c>
      <c r="D1631" s="23">
        <v>0</v>
      </c>
      <c r="E1631" s="23">
        <v>0</v>
      </c>
      <c r="F1631" s="23">
        <v>0</v>
      </c>
      <c r="G1631" s="23">
        <v>0</v>
      </c>
      <c r="H1631" s="23">
        <v>0</v>
      </c>
      <c r="I1631" s="23">
        <v>0</v>
      </c>
      <c r="J1631" s="23">
        <v>0</v>
      </c>
      <c r="K1631" s="23">
        <v>292</v>
      </c>
    </row>
    <row r="1632" spans="1:11" x14ac:dyDescent="0.25">
      <c r="A1632">
        <v>1631</v>
      </c>
      <c r="B1632" s="23">
        <v>230.4</v>
      </c>
      <c r="C1632" s="23">
        <v>0</v>
      </c>
      <c r="D1632" s="23">
        <v>0</v>
      </c>
      <c r="E1632" s="23">
        <v>0</v>
      </c>
      <c r="F1632" s="23">
        <v>0</v>
      </c>
      <c r="G1632" s="23">
        <v>0</v>
      </c>
      <c r="H1632" s="23">
        <v>0</v>
      </c>
      <c r="I1632" s="23">
        <v>0</v>
      </c>
      <c r="J1632" s="23">
        <v>0</v>
      </c>
      <c r="K1632" s="23">
        <v>230.4</v>
      </c>
    </row>
    <row r="1633" spans="1:11" x14ac:dyDescent="0.25">
      <c r="A1633">
        <v>1632</v>
      </c>
      <c r="B1633" s="23">
        <v>164.8</v>
      </c>
      <c r="C1633" s="23">
        <v>0</v>
      </c>
      <c r="D1633" s="23">
        <v>0</v>
      </c>
      <c r="E1633" s="23">
        <v>0</v>
      </c>
      <c r="F1633" s="23">
        <v>0</v>
      </c>
      <c r="G1633" s="23">
        <v>0</v>
      </c>
      <c r="H1633" s="23">
        <v>0</v>
      </c>
      <c r="I1633" s="23">
        <v>0</v>
      </c>
      <c r="J1633" s="23">
        <v>0</v>
      </c>
      <c r="K1633" s="23">
        <v>164.8</v>
      </c>
    </row>
    <row r="1634" spans="1:11" x14ac:dyDescent="0.25">
      <c r="A1634">
        <v>1633</v>
      </c>
      <c r="B1634" s="23">
        <v>195.2</v>
      </c>
      <c r="C1634" s="23">
        <v>0</v>
      </c>
      <c r="D1634" s="23">
        <v>0</v>
      </c>
      <c r="E1634" s="23">
        <v>0</v>
      </c>
      <c r="F1634" s="23">
        <v>0</v>
      </c>
      <c r="G1634" s="23">
        <v>0</v>
      </c>
      <c r="H1634" s="23">
        <v>0</v>
      </c>
      <c r="I1634" s="23">
        <v>0</v>
      </c>
      <c r="J1634" s="23">
        <v>0</v>
      </c>
      <c r="K1634" s="23">
        <v>195.2</v>
      </c>
    </row>
    <row r="1635" spans="1:11" x14ac:dyDescent="0.25">
      <c r="A1635">
        <v>1634</v>
      </c>
      <c r="B1635" s="23">
        <v>238.4</v>
      </c>
      <c r="C1635" s="23">
        <v>0</v>
      </c>
      <c r="D1635" s="23">
        <v>0</v>
      </c>
      <c r="E1635" s="23">
        <v>0</v>
      </c>
      <c r="F1635" s="23">
        <v>0</v>
      </c>
      <c r="G1635" s="23">
        <v>0</v>
      </c>
      <c r="H1635" s="23">
        <v>0</v>
      </c>
      <c r="I1635" s="23">
        <v>0</v>
      </c>
      <c r="J1635" s="23">
        <v>0</v>
      </c>
      <c r="K1635" s="23">
        <v>238.4</v>
      </c>
    </row>
    <row r="1636" spans="1:11" x14ac:dyDescent="0.25">
      <c r="A1636">
        <v>1635</v>
      </c>
      <c r="B1636" s="23">
        <v>187.2</v>
      </c>
      <c r="C1636" s="23">
        <v>0</v>
      </c>
      <c r="D1636" s="23">
        <v>0</v>
      </c>
      <c r="E1636" s="23">
        <v>0</v>
      </c>
      <c r="F1636" s="23">
        <v>0</v>
      </c>
      <c r="G1636" s="23">
        <v>0</v>
      </c>
      <c r="H1636" s="23">
        <v>0</v>
      </c>
      <c r="I1636" s="23">
        <v>0</v>
      </c>
      <c r="J1636" s="23">
        <v>0</v>
      </c>
      <c r="K1636" s="23">
        <v>187.2</v>
      </c>
    </row>
    <row r="1637" spans="1:11" x14ac:dyDescent="0.25">
      <c r="A1637">
        <v>1636</v>
      </c>
      <c r="B1637" s="23">
        <v>148.80000000000001</v>
      </c>
      <c r="C1637" s="23">
        <v>0</v>
      </c>
      <c r="D1637" s="23">
        <v>0</v>
      </c>
      <c r="E1637" s="23">
        <v>0</v>
      </c>
      <c r="F1637" s="23">
        <v>0</v>
      </c>
      <c r="G1637" s="23">
        <v>0</v>
      </c>
      <c r="H1637" s="23">
        <v>0</v>
      </c>
      <c r="I1637" s="23">
        <v>0</v>
      </c>
      <c r="J1637" s="23">
        <v>0</v>
      </c>
      <c r="K1637" s="23">
        <v>148.80000000000001</v>
      </c>
    </row>
    <row r="1638" spans="1:11" x14ac:dyDescent="0.25">
      <c r="A1638">
        <v>1637</v>
      </c>
      <c r="B1638" s="23">
        <v>132.80000000000001</v>
      </c>
      <c r="C1638" s="23">
        <v>0</v>
      </c>
      <c r="D1638" s="23">
        <v>0</v>
      </c>
      <c r="E1638" s="23">
        <v>0</v>
      </c>
      <c r="F1638" s="23">
        <v>0</v>
      </c>
      <c r="G1638" s="23">
        <v>0</v>
      </c>
      <c r="H1638" s="23">
        <v>0</v>
      </c>
      <c r="I1638" s="23">
        <v>0</v>
      </c>
      <c r="J1638" s="23">
        <v>0</v>
      </c>
      <c r="K1638" s="23">
        <v>132.80000000000001</v>
      </c>
    </row>
    <row r="1639" spans="1:11" x14ac:dyDescent="0.25">
      <c r="A1639">
        <v>1638</v>
      </c>
      <c r="B1639" s="23">
        <v>192.8</v>
      </c>
      <c r="C1639" s="23">
        <v>0</v>
      </c>
      <c r="D1639" s="23">
        <v>0</v>
      </c>
      <c r="E1639" s="23">
        <v>0</v>
      </c>
      <c r="F1639" s="23">
        <v>0</v>
      </c>
      <c r="G1639" s="23">
        <v>0</v>
      </c>
      <c r="H1639" s="23">
        <v>0</v>
      </c>
      <c r="I1639" s="23">
        <v>0</v>
      </c>
      <c r="J1639" s="23">
        <v>0</v>
      </c>
      <c r="K1639" s="23">
        <v>192.8</v>
      </c>
    </row>
    <row r="1640" spans="1:11" x14ac:dyDescent="0.25">
      <c r="A1640">
        <v>1639</v>
      </c>
      <c r="B1640" s="23">
        <v>120</v>
      </c>
      <c r="C1640" s="23">
        <v>42.19</v>
      </c>
      <c r="D1640" s="23">
        <v>116.441</v>
      </c>
      <c r="E1640" s="23">
        <v>116.441</v>
      </c>
      <c r="F1640" s="23">
        <v>0</v>
      </c>
      <c r="G1640" s="23">
        <v>0</v>
      </c>
      <c r="H1640" s="23">
        <v>0</v>
      </c>
      <c r="I1640" s="23">
        <v>0</v>
      </c>
      <c r="J1640" s="23">
        <v>0</v>
      </c>
      <c r="K1640" s="23">
        <v>3.5590000000000002</v>
      </c>
    </row>
    <row r="1641" spans="1:11" x14ac:dyDescent="0.25">
      <c r="A1641">
        <v>1640</v>
      </c>
      <c r="B1641" s="23">
        <v>191.45</v>
      </c>
      <c r="C1641" s="23">
        <v>262.62</v>
      </c>
      <c r="D1641" s="23">
        <v>1011.828</v>
      </c>
      <c r="E1641" s="23">
        <v>191.45</v>
      </c>
      <c r="F1641" s="23">
        <v>-820.37800000000004</v>
      </c>
      <c r="G1641" s="23">
        <v>0</v>
      </c>
      <c r="H1641" s="23">
        <v>0</v>
      </c>
      <c r="I1641" s="23">
        <v>0</v>
      </c>
      <c r="J1641" s="23">
        <v>0</v>
      </c>
      <c r="K1641" s="23">
        <v>0</v>
      </c>
    </row>
    <row r="1642" spans="1:11" x14ac:dyDescent="0.25">
      <c r="A1642">
        <v>1641</v>
      </c>
      <c r="B1642" s="23">
        <v>866.16399999999999</v>
      </c>
      <c r="C1642" s="23">
        <v>508.37</v>
      </c>
      <c r="D1642" s="23">
        <v>1958.97</v>
      </c>
      <c r="E1642" s="23">
        <v>866.16399999999999</v>
      </c>
      <c r="F1642" s="23">
        <v>-1092.806</v>
      </c>
      <c r="G1642" s="23">
        <v>0</v>
      </c>
      <c r="H1642" s="23">
        <v>0</v>
      </c>
      <c r="I1642" s="23">
        <v>0</v>
      </c>
      <c r="J1642" s="23">
        <v>0</v>
      </c>
      <c r="K1642" s="23">
        <v>0</v>
      </c>
    </row>
    <row r="1643" spans="1:11" x14ac:dyDescent="0.25">
      <c r="A1643">
        <v>1642</v>
      </c>
      <c r="B1643" s="23">
        <v>1455.5150000000001</v>
      </c>
      <c r="C1643" s="23">
        <v>722.12</v>
      </c>
      <c r="D1643" s="23">
        <v>2652.788</v>
      </c>
      <c r="E1643" s="23">
        <v>1455.5150000000001</v>
      </c>
      <c r="F1643" s="23">
        <v>-1036.626</v>
      </c>
      <c r="G1643" s="23">
        <v>0</v>
      </c>
      <c r="H1643" s="23">
        <v>160.64699999999999</v>
      </c>
      <c r="I1643" s="23">
        <v>0</v>
      </c>
      <c r="J1643" s="23">
        <v>0</v>
      </c>
      <c r="K1643" s="23">
        <v>0</v>
      </c>
    </row>
    <row r="1644" spans="1:11" x14ac:dyDescent="0.25">
      <c r="A1644">
        <v>1643</v>
      </c>
      <c r="B1644" s="23">
        <v>1743.462</v>
      </c>
      <c r="C1644" s="23">
        <v>881.33</v>
      </c>
      <c r="D1644" s="23">
        <v>3106.864</v>
      </c>
      <c r="E1644" s="23">
        <v>1743.462</v>
      </c>
      <c r="F1644" s="23">
        <v>0</v>
      </c>
      <c r="G1644" s="23">
        <v>0</v>
      </c>
      <c r="H1644" s="23">
        <v>1363.402</v>
      </c>
      <c r="I1644" s="23">
        <v>0</v>
      </c>
      <c r="J1644" s="23">
        <v>0</v>
      </c>
      <c r="K1644" s="23">
        <v>0</v>
      </c>
    </row>
    <row r="1645" spans="1:11" x14ac:dyDescent="0.25">
      <c r="A1645">
        <v>1644</v>
      </c>
      <c r="B1645" s="23">
        <v>1648.6410000000001</v>
      </c>
      <c r="C1645" s="23">
        <v>969.33</v>
      </c>
      <c r="D1645" s="23">
        <v>3327.5039999999999</v>
      </c>
      <c r="E1645" s="23">
        <v>1648.6410000000001</v>
      </c>
      <c r="F1645" s="23">
        <v>0</v>
      </c>
      <c r="G1645" s="23">
        <v>0</v>
      </c>
      <c r="H1645" s="23">
        <v>1678.8630000000001</v>
      </c>
      <c r="I1645" s="23">
        <v>0</v>
      </c>
      <c r="J1645" s="23">
        <v>0</v>
      </c>
      <c r="K1645" s="23">
        <v>0</v>
      </c>
    </row>
    <row r="1646" spans="1:11" x14ac:dyDescent="0.25">
      <c r="A1646">
        <v>1645</v>
      </c>
      <c r="B1646" s="23">
        <v>1680.8330000000001</v>
      </c>
      <c r="C1646" s="23">
        <v>974.64</v>
      </c>
      <c r="D1646" s="23">
        <v>3331.2849999999999</v>
      </c>
      <c r="E1646" s="23">
        <v>1680.8330000000001</v>
      </c>
      <c r="F1646" s="23">
        <v>0</v>
      </c>
      <c r="G1646" s="23">
        <v>0</v>
      </c>
      <c r="H1646" s="23">
        <v>1650.452</v>
      </c>
      <c r="I1646" s="23">
        <v>0</v>
      </c>
      <c r="J1646" s="23">
        <v>0</v>
      </c>
      <c r="K1646" s="23">
        <v>0</v>
      </c>
    </row>
    <row r="1647" spans="1:11" x14ac:dyDescent="0.25">
      <c r="A1647">
        <v>1646</v>
      </c>
      <c r="B1647" s="23">
        <v>1635.4380000000001</v>
      </c>
      <c r="C1647" s="23">
        <v>895.83</v>
      </c>
      <c r="D1647" s="23">
        <v>3127.9810000000002</v>
      </c>
      <c r="E1647" s="23">
        <v>1635.4380000000001</v>
      </c>
      <c r="F1647" s="23">
        <v>0</v>
      </c>
      <c r="G1647" s="23">
        <v>0</v>
      </c>
      <c r="H1647" s="23">
        <v>1492.5429999999999</v>
      </c>
      <c r="I1647" s="23">
        <v>0</v>
      </c>
      <c r="J1647" s="23">
        <v>0</v>
      </c>
      <c r="K1647" s="23">
        <v>0</v>
      </c>
    </row>
    <row r="1648" spans="1:11" x14ac:dyDescent="0.25">
      <c r="A1648">
        <v>1647</v>
      </c>
      <c r="B1648" s="23">
        <v>1660.537</v>
      </c>
      <c r="C1648" s="23">
        <v>741.54</v>
      </c>
      <c r="D1648" s="23">
        <v>2685.8589999999999</v>
      </c>
      <c r="E1648" s="23">
        <v>1660.537</v>
      </c>
      <c r="F1648" s="23">
        <v>0</v>
      </c>
      <c r="G1648" s="23">
        <v>0</v>
      </c>
      <c r="H1648" s="23">
        <v>1025.3219999999999</v>
      </c>
      <c r="I1648" s="23">
        <v>0</v>
      </c>
      <c r="J1648" s="23">
        <v>0</v>
      </c>
      <c r="K1648" s="23">
        <v>0</v>
      </c>
    </row>
    <row r="1649" spans="1:11" x14ac:dyDescent="0.25">
      <c r="A1649">
        <v>1648</v>
      </c>
      <c r="B1649" s="23">
        <v>1717.5709999999999</v>
      </c>
      <c r="C1649" s="23">
        <v>535.72</v>
      </c>
      <c r="D1649" s="23">
        <v>2025.8969999999999</v>
      </c>
      <c r="E1649" s="23">
        <v>1717.5709999999999</v>
      </c>
      <c r="F1649" s="23">
        <v>0</v>
      </c>
      <c r="G1649" s="23">
        <v>0</v>
      </c>
      <c r="H1649" s="23">
        <v>308.32600000000002</v>
      </c>
      <c r="I1649" s="23">
        <v>0</v>
      </c>
      <c r="J1649" s="23">
        <v>0</v>
      </c>
      <c r="K1649" s="23">
        <v>0</v>
      </c>
    </row>
    <row r="1650" spans="1:11" x14ac:dyDescent="0.25">
      <c r="A1650">
        <v>1649</v>
      </c>
      <c r="B1650" s="23">
        <v>1588.152</v>
      </c>
      <c r="C1650" s="23">
        <v>291.88</v>
      </c>
      <c r="D1650" s="23">
        <v>1112.183</v>
      </c>
      <c r="E1650" s="23">
        <v>1112.183</v>
      </c>
      <c r="F1650" s="23">
        <v>0</v>
      </c>
      <c r="G1650" s="23">
        <v>0</v>
      </c>
      <c r="H1650" s="23">
        <v>0</v>
      </c>
      <c r="I1650" s="23">
        <v>475.96899999999999</v>
      </c>
      <c r="J1650" s="23">
        <v>0</v>
      </c>
      <c r="K1650" s="23">
        <v>0</v>
      </c>
    </row>
    <row r="1651" spans="1:11" x14ac:dyDescent="0.25">
      <c r="A1651">
        <v>1650</v>
      </c>
      <c r="B1651" s="23">
        <v>1863.569</v>
      </c>
      <c r="C1651" s="23">
        <v>64.09</v>
      </c>
      <c r="D1651" s="23">
        <v>196.41800000000001</v>
      </c>
      <c r="E1651" s="23">
        <v>196.41800000000001</v>
      </c>
      <c r="F1651" s="23">
        <v>0</v>
      </c>
      <c r="G1651" s="23">
        <v>0</v>
      </c>
      <c r="H1651" s="23">
        <v>0</v>
      </c>
      <c r="I1651" s="23">
        <v>0</v>
      </c>
      <c r="J1651" s="23">
        <v>0</v>
      </c>
      <c r="K1651" s="23">
        <v>1667.1510000000001</v>
      </c>
    </row>
    <row r="1652" spans="1:11" x14ac:dyDescent="0.25">
      <c r="A1652">
        <v>1651</v>
      </c>
      <c r="B1652" s="23">
        <v>1540.5239999999999</v>
      </c>
      <c r="C1652" s="23">
        <v>0</v>
      </c>
      <c r="D1652" s="23">
        <v>0</v>
      </c>
      <c r="E1652" s="23">
        <v>0</v>
      </c>
      <c r="F1652" s="23">
        <v>0</v>
      </c>
      <c r="G1652" s="23">
        <v>0</v>
      </c>
      <c r="H1652" s="23">
        <v>0</v>
      </c>
      <c r="I1652" s="23">
        <v>0</v>
      </c>
      <c r="J1652" s="23">
        <v>0</v>
      </c>
      <c r="K1652" s="23">
        <v>1540.5239999999999</v>
      </c>
    </row>
    <row r="1653" spans="1:11" x14ac:dyDescent="0.25">
      <c r="A1653">
        <v>1652</v>
      </c>
      <c r="B1653" s="23">
        <v>1230.4000000000001</v>
      </c>
      <c r="C1653" s="23">
        <v>0</v>
      </c>
      <c r="D1653" s="23">
        <v>0</v>
      </c>
      <c r="E1653" s="23">
        <v>0</v>
      </c>
      <c r="F1653" s="23">
        <v>0</v>
      </c>
      <c r="G1653" s="23">
        <v>0</v>
      </c>
      <c r="H1653" s="23">
        <v>0</v>
      </c>
      <c r="I1653" s="23">
        <v>0</v>
      </c>
      <c r="J1653" s="23">
        <v>0</v>
      </c>
      <c r="K1653" s="23">
        <v>1230.4000000000001</v>
      </c>
    </row>
    <row r="1654" spans="1:11" x14ac:dyDescent="0.25">
      <c r="A1654">
        <v>1653</v>
      </c>
      <c r="B1654" s="23">
        <v>1436</v>
      </c>
      <c r="C1654" s="23">
        <v>0</v>
      </c>
      <c r="D1654" s="23">
        <v>0</v>
      </c>
      <c r="E1654" s="23">
        <v>0</v>
      </c>
      <c r="F1654" s="23">
        <v>0</v>
      </c>
      <c r="G1654" s="23">
        <v>0</v>
      </c>
      <c r="H1654" s="23">
        <v>0</v>
      </c>
      <c r="I1654" s="23">
        <v>1436</v>
      </c>
      <c r="J1654" s="23">
        <v>0</v>
      </c>
      <c r="K1654" s="23">
        <v>0</v>
      </c>
    </row>
    <row r="1655" spans="1:11" x14ac:dyDescent="0.25">
      <c r="A1655">
        <v>1654</v>
      </c>
      <c r="B1655" s="23">
        <v>1564.8</v>
      </c>
      <c r="C1655" s="23">
        <v>0</v>
      </c>
      <c r="D1655" s="23">
        <v>0</v>
      </c>
      <c r="E1655" s="23">
        <v>0</v>
      </c>
      <c r="F1655" s="23">
        <v>0</v>
      </c>
      <c r="G1655" s="23">
        <v>0</v>
      </c>
      <c r="H1655" s="23">
        <v>0</v>
      </c>
      <c r="I1655" s="23">
        <v>1564.8</v>
      </c>
      <c r="J1655" s="23">
        <v>0</v>
      </c>
      <c r="K1655" s="23">
        <v>0</v>
      </c>
    </row>
    <row r="1656" spans="1:11" x14ac:dyDescent="0.25">
      <c r="A1656">
        <v>1655</v>
      </c>
      <c r="B1656" s="23">
        <v>1647.2</v>
      </c>
      <c r="C1656" s="23">
        <v>0</v>
      </c>
      <c r="D1656" s="23">
        <v>0</v>
      </c>
      <c r="E1656" s="23">
        <v>0</v>
      </c>
      <c r="F1656" s="23">
        <v>0</v>
      </c>
      <c r="G1656" s="23">
        <v>0</v>
      </c>
      <c r="H1656" s="23">
        <v>0</v>
      </c>
      <c r="I1656" s="23">
        <v>1647.2</v>
      </c>
      <c r="J1656" s="23">
        <v>0</v>
      </c>
      <c r="K1656" s="23">
        <v>0</v>
      </c>
    </row>
    <row r="1657" spans="1:11" x14ac:dyDescent="0.25">
      <c r="A1657">
        <v>1656</v>
      </c>
      <c r="B1657" s="23">
        <v>1421.6</v>
      </c>
      <c r="C1657" s="23">
        <v>0</v>
      </c>
      <c r="D1657" s="23">
        <v>0</v>
      </c>
      <c r="E1657" s="23">
        <v>0</v>
      </c>
      <c r="F1657" s="23">
        <v>0</v>
      </c>
      <c r="G1657" s="23">
        <v>0</v>
      </c>
      <c r="H1657" s="23">
        <v>0</v>
      </c>
      <c r="I1657" s="23">
        <v>1421.6</v>
      </c>
      <c r="J1657" s="23">
        <v>0</v>
      </c>
      <c r="K1657" s="23">
        <v>0</v>
      </c>
    </row>
    <row r="1658" spans="1:11" x14ac:dyDescent="0.25">
      <c r="A1658">
        <v>1657</v>
      </c>
      <c r="B1658" s="23">
        <v>1376.8</v>
      </c>
      <c r="C1658" s="23">
        <v>0</v>
      </c>
      <c r="D1658" s="23">
        <v>0</v>
      </c>
      <c r="E1658" s="23">
        <v>0</v>
      </c>
      <c r="F1658" s="23">
        <v>0</v>
      </c>
      <c r="G1658" s="23">
        <v>0</v>
      </c>
      <c r="H1658" s="23">
        <v>0</v>
      </c>
      <c r="I1658" s="23">
        <v>1376.8</v>
      </c>
      <c r="J1658" s="23">
        <v>0</v>
      </c>
      <c r="K1658" s="23">
        <v>0</v>
      </c>
    </row>
    <row r="1659" spans="1:11" x14ac:dyDescent="0.25">
      <c r="A1659">
        <v>1658</v>
      </c>
      <c r="B1659" s="23">
        <v>1502.4</v>
      </c>
      <c r="C1659" s="23">
        <v>0</v>
      </c>
      <c r="D1659" s="23">
        <v>0</v>
      </c>
      <c r="E1659" s="23">
        <v>0</v>
      </c>
      <c r="F1659" s="23">
        <v>0</v>
      </c>
      <c r="G1659" s="23">
        <v>0</v>
      </c>
      <c r="H1659" s="23">
        <v>0</v>
      </c>
      <c r="I1659" s="23">
        <v>1502.4</v>
      </c>
      <c r="J1659" s="23">
        <v>0</v>
      </c>
      <c r="K1659" s="23">
        <v>0</v>
      </c>
    </row>
    <row r="1660" spans="1:11" x14ac:dyDescent="0.25">
      <c r="A1660">
        <v>1659</v>
      </c>
      <c r="B1660" s="23">
        <v>1624</v>
      </c>
      <c r="C1660" s="23">
        <v>0</v>
      </c>
      <c r="D1660" s="23">
        <v>0</v>
      </c>
      <c r="E1660" s="23">
        <v>0</v>
      </c>
      <c r="F1660" s="23">
        <v>0</v>
      </c>
      <c r="G1660" s="23">
        <v>0</v>
      </c>
      <c r="H1660" s="23">
        <v>0</v>
      </c>
      <c r="I1660" s="23">
        <v>1624</v>
      </c>
      <c r="J1660" s="23">
        <v>0</v>
      </c>
      <c r="K1660" s="23">
        <v>0</v>
      </c>
    </row>
    <row r="1661" spans="1:11" x14ac:dyDescent="0.25">
      <c r="A1661">
        <v>1660</v>
      </c>
      <c r="B1661" s="23">
        <v>1292.8</v>
      </c>
      <c r="C1661" s="23">
        <v>0</v>
      </c>
      <c r="D1661" s="23">
        <v>0</v>
      </c>
      <c r="E1661" s="23">
        <v>0</v>
      </c>
      <c r="F1661" s="23">
        <v>0</v>
      </c>
      <c r="G1661" s="23">
        <v>0</v>
      </c>
      <c r="H1661" s="23">
        <v>0</v>
      </c>
      <c r="I1661" s="23">
        <v>1292.8</v>
      </c>
      <c r="J1661" s="23">
        <v>0</v>
      </c>
      <c r="K1661" s="23">
        <v>0</v>
      </c>
    </row>
    <row r="1662" spans="1:11" x14ac:dyDescent="0.25">
      <c r="A1662">
        <v>1661</v>
      </c>
      <c r="B1662" s="23">
        <v>1245.5999999999999</v>
      </c>
      <c r="C1662" s="23">
        <v>0</v>
      </c>
      <c r="D1662" s="23">
        <v>0</v>
      </c>
      <c r="E1662" s="23">
        <v>0</v>
      </c>
      <c r="F1662" s="23">
        <v>0</v>
      </c>
      <c r="G1662" s="23">
        <v>0</v>
      </c>
      <c r="H1662" s="23">
        <v>0</v>
      </c>
      <c r="I1662" s="23">
        <v>1245.5999999999999</v>
      </c>
      <c r="J1662" s="23">
        <v>0</v>
      </c>
      <c r="K1662" s="23">
        <v>0</v>
      </c>
    </row>
    <row r="1663" spans="1:11" x14ac:dyDescent="0.25">
      <c r="A1663">
        <v>1662</v>
      </c>
      <c r="B1663" s="23">
        <v>1281.5999999999999</v>
      </c>
      <c r="C1663" s="23">
        <v>0</v>
      </c>
      <c r="D1663" s="23">
        <v>0</v>
      </c>
      <c r="E1663" s="23">
        <v>0</v>
      </c>
      <c r="F1663" s="23">
        <v>0</v>
      </c>
      <c r="G1663" s="23">
        <v>0</v>
      </c>
      <c r="H1663" s="23">
        <v>0</v>
      </c>
      <c r="I1663" s="23">
        <v>436.41199999999998</v>
      </c>
      <c r="J1663" s="23">
        <v>0</v>
      </c>
      <c r="K1663" s="23">
        <v>845.18799999999999</v>
      </c>
    </row>
    <row r="1664" spans="1:11" x14ac:dyDescent="0.25">
      <c r="A1664">
        <v>1663</v>
      </c>
      <c r="B1664" s="23">
        <v>1044.8</v>
      </c>
      <c r="C1664" s="23">
        <v>28.68</v>
      </c>
      <c r="D1664" s="23">
        <v>74.893000000000001</v>
      </c>
      <c r="E1664" s="23">
        <v>74.893000000000001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969.90700000000004</v>
      </c>
    </row>
    <row r="1665" spans="1:11" x14ac:dyDescent="0.25">
      <c r="A1665">
        <v>1664</v>
      </c>
      <c r="B1665" s="23">
        <v>1268.07</v>
      </c>
      <c r="C1665" s="23">
        <v>248.83</v>
      </c>
      <c r="D1665" s="23">
        <v>969.39099999999996</v>
      </c>
      <c r="E1665" s="23">
        <v>969.39099999999996</v>
      </c>
      <c r="F1665" s="23">
        <v>0</v>
      </c>
      <c r="G1665" s="23">
        <v>0</v>
      </c>
      <c r="H1665" s="23">
        <v>0</v>
      </c>
      <c r="I1665" s="23">
        <v>0</v>
      </c>
      <c r="J1665" s="23">
        <v>0</v>
      </c>
      <c r="K1665" s="23">
        <v>298.67899999999997</v>
      </c>
    </row>
    <row r="1666" spans="1:11" x14ac:dyDescent="0.25">
      <c r="A1666">
        <v>1665</v>
      </c>
      <c r="B1666" s="23">
        <v>1664.4690000000001</v>
      </c>
      <c r="C1666" s="23">
        <v>434.67</v>
      </c>
      <c r="D1666" s="23">
        <v>1711.954</v>
      </c>
      <c r="E1666" s="23">
        <v>1664.4690000000001</v>
      </c>
      <c r="F1666" s="23">
        <v>-47.484999999999999</v>
      </c>
      <c r="G1666" s="23">
        <v>0</v>
      </c>
      <c r="H1666" s="23">
        <v>0</v>
      </c>
      <c r="I1666" s="23">
        <v>0</v>
      </c>
      <c r="J1666" s="23">
        <v>0</v>
      </c>
      <c r="K1666" s="23">
        <v>0</v>
      </c>
    </row>
    <row r="1667" spans="1:11" x14ac:dyDescent="0.25">
      <c r="A1667">
        <v>1666</v>
      </c>
      <c r="B1667" s="23">
        <v>1354.0340000000001</v>
      </c>
      <c r="C1667" s="23">
        <v>703.1</v>
      </c>
      <c r="D1667" s="23">
        <v>2688.163</v>
      </c>
      <c r="E1667" s="23">
        <v>1354.0340000000001</v>
      </c>
      <c r="F1667" s="23">
        <v>-1334.1289999999999</v>
      </c>
      <c r="G1667" s="23">
        <v>0</v>
      </c>
      <c r="H1667" s="23">
        <v>0</v>
      </c>
      <c r="I1667" s="23">
        <v>0</v>
      </c>
      <c r="J1667" s="23">
        <v>0</v>
      </c>
      <c r="K1667" s="23">
        <v>0</v>
      </c>
    </row>
    <row r="1668" spans="1:11" x14ac:dyDescent="0.25">
      <c r="A1668">
        <v>1667</v>
      </c>
      <c r="B1668" s="23">
        <v>1675.9290000000001</v>
      </c>
      <c r="C1668" s="23">
        <v>325.75</v>
      </c>
      <c r="D1668" s="23">
        <v>1227.3330000000001</v>
      </c>
      <c r="E1668" s="23">
        <v>1227.3330000000001</v>
      </c>
      <c r="F1668" s="23">
        <v>0</v>
      </c>
      <c r="G1668" s="23">
        <v>0</v>
      </c>
      <c r="H1668" s="23">
        <v>0</v>
      </c>
      <c r="I1668" s="23">
        <v>0</v>
      </c>
      <c r="J1668" s="23">
        <v>0</v>
      </c>
      <c r="K1668" s="23">
        <v>448.596</v>
      </c>
    </row>
    <row r="1669" spans="1:11" x14ac:dyDescent="0.25">
      <c r="A1669">
        <v>1668</v>
      </c>
      <c r="B1669" s="23">
        <v>1404.3389999999999</v>
      </c>
      <c r="C1669" s="23">
        <v>939.84</v>
      </c>
      <c r="D1669" s="23">
        <v>3469.893</v>
      </c>
      <c r="E1669" s="23">
        <v>1404.34</v>
      </c>
      <c r="F1669" s="23">
        <v>-1684.559</v>
      </c>
      <c r="G1669" s="23">
        <v>0</v>
      </c>
      <c r="H1669" s="23">
        <v>380.99400000000003</v>
      </c>
      <c r="I1669" s="23">
        <v>0</v>
      </c>
      <c r="J1669" s="23">
        <v>0</v>
      </c>
      <c r="K1669" s="23">
        <v>0</v>
      </c>
    </row>
    <row r="1670" spans="1:11" x14ac:dyDescent="0.25">
      <c r="A1670">
        <v>1669</v>
      </c>
      <c r="B1670" s="23">
        <v>1405.4949999999999</v>
      </c>
      <c r="C1670" s="23">
        <v>956.67</v>
      </c>
      <c r="D1670" s="23">
        <v>3539</v>
      </c>
      <c r="E1670" s="23">
        <v>1405.4949999999999</v>
      </c>
      <c r="F1670" s="23">
        <v>-1684.559</v>
      </c>
      <c r="G1670" s="23">
        <v>0</v>
      </c>
      <c r="H1670" s="23">
        <v>448.94600000000003</v>
      </c>
      <c r="I1670" s="23">
        <v>0</v>
      </c>
      <c r="J1670" s="23">
        <v>0</v>
      </c>
      <c r="K1670" s="23">
        <v>0</v>
      </c>
    </row>
    <row r="1671" spans="1:11" x14ac:dyDescent="0.25">
      <c r="A1671">
        <v>1670</v>
      </c>
      <c r="B1671" s="23">
        <v>1385.337</v>
      </c>
      <c r="C1671" s="23">
        <v>810.84</v>
      </c>
      <c r="D1671" s="23">
        <v>3045.3290000000002</v>
      </c>
      <c r="E1671" s="23">
        <v>1385.337</v>
      </c>
      <c r="F1671" s="23">
        <v>-1659.992</v>
      </c>
      <c r="G1671" s="23">
        <v>0</v>
      </c>
      <c r="H1671" s="23">
        <v>0</v>
      </c>
      <c r="I1671" s="23">
        <v>0</v>
      </c>
      <c r="J1671" s="23">
        <v>0</v>
      </c>
      <c r="K1671" s="23">
        <v>0</v>
      </c>
    </row>
    <row r="1672" spans="1:11" x14ac:dyDescent="0.25">
      <c r="A1672">
        <v>1671</v>
      </c>
      <c r="B1672" s="23">
        <v>1426.3230000000001</v>
      </c>
      <c r="C1672" s="23">
        <v>758.6</v>
      </c>
      <c r="D1672" s="23">
        <v>2904.66</v>
      </c>
      <c r="E1672" s="23">
        <v>1426.3219999999999</v>
      </c>
      <c r="F1672" s="23">
        <v>-1380.0129999999999</v>
      </c>
      <c r="G1672" s="23">
        <v>0</v>
      </c>
      <c r="H1672" s="23">
        <v>98.325000000000003</v>
      </c>
      <c r="I1672" s="23">
        <v>0</v>
      </c>
      <c r="J1672" s="23">
        <v>0</v>
      </c>
      <c r="K1672" s="23">
        <v>0</v>
      </c>
    </row>
    <row r="1673" spans="1:11" x14ac:dyDescent="0.25">
      <c r="A1673">
        <v>1672</v>
      </c>
      <c r="B1673" s="23">
        <v>1546.268</v>
      </c>
      <c r="C1673" s="23">
        <v>554.91</v>
      </c>
      <c r="D1673" s="23">
        <v>2186.723</v>
      </c>
      <c r="E1673" s="23">
        <v>1546.268</v>
      </c>
      <c r="F1673" s="23">
        <v>0</v>
      </c>
      <c r="G1673" s="23">
        <v>0</v>
      </c>
      <c r="H1673" s="23">
        <v>640.45500000000004</v>
      </c>
      <c r="I1673" s="23">
        <v>0</v>
      </c>
      <c r="J1673" s="23">
        <v>0</v>
      </c>
      <c r="K1673" s="23">
        <v>0</v>
      </c>
    </row>
    <row r="1674" spans="1:11" x14ac:dyDescent="0.25">
      <c r="A1674">
        <v>1673</v>
      </c>
      <c r="B1674" s="23">
        <v>1512.557</v>
      </c>
      <c r="C1674" s="23">
        <v>315.26</v>
      </c>
      <c r="D1674" s="23">
        <v>1230.8869999999999</v>
      </c>
      <c r="E1674" s="23">
        <v>1230.8869999999999</v>
      </c>
      <c r="F1674" s="23">
        <v>0</v>
      </c>
      <c r="G1674" s="23">
        <v>0</v>
      </c>
      <c r="H1674" s="23">
        <v>0</v>
      </c>
      <c r="I1674" s="23">
        <v>281.67</v>
      </c>
      <c r="J1674" s="23">
        <v>0</v>
      </c>
      <c r="K1674" s="23">
        <v>0</v>
      </c>
    </row>
    <row r="1675" spans="1:11" x14ac:dyDescent="0.25">
      <c r="A1675">
        <v>1674</v>
      </c>
      <c r="B1675" s="23">
        <v>1715.2660000000001</v>
      </c>
      <c r="C1675" s="23">
        <v>79.849999999999994</v>
      </c>
      <c r="D1675" s="23">
        <v>243.50899999999999</v>
      </c>
      <c r="E1675" s="23">
        <v>243.50899999999999</v>
      </c>
      <c r="F1675" s="23">
        <v>0</v>
      </c>
      <c r="G1675" s="23">
        <v>0</v>
      </c>
      <c r="H1675" s="23">
        <v>0</v>
      </c>
      <c r="I1675" s="23">
        <v>0</v>
      </c>
      <c r="J1675" s="23">
        <v>0</v>
      </c>
      <c r="K1675" s="23">
        <v>1471.7570000000001</v>
      </c>
    </row>
    <row r="1676" spans="1:11" x14ac:dyDescent="0.25">
      <c r="A1676">
        <v>1675</v>
      </c>
      <c r="B1676" s="23">
        <v>1546.02</v>
      </c>
      <c r="C1676" s="23">
        <v>0</v>
      </c>
      <c r="D1676" s="23">
        <v>0</v>
      </c>
      <c r="E1676" s="23">
        <v>0</v>
      </c>
      <c r="F1676" s="23">
        <v>0</v>
      </c>
      <c r="G1676" s="23">
        <v>0</v>
      </c>
      <c r="H1676" s="23">
        <v>0</v>
      </c>
      <c r="I1676" s="23">
        <v>0</v>
      </c>
      <c r="J1676" s="23">
        <v>0</v>
      </c>
      <c r="K1676" s="23">
        <v>1546.02</v>
      </c>
    </row>
    <row r="1677" spans="1:11" x14ac:dyDescent="0.25">
      <c r="A1677">
        <v>1676</v>
      </c>
      <c r="B1677" s="23">
        <v>1220</v>
      </c>
      <c r="C1677" s="23">
        <v>0</v>
      </c>
      <c r="D1677" s="23">
        <v>0</v>
      </c>
      <c r="E1677" s="23">
        <v>0</v>
      </c>
      <c r="F1677" s="23">
        <v>0</v>
      </c>
      <c r="G1677" s="23">
        <v>0</v>
      </c>
      <c r="H1677" s="23">
        <v>0</v>
      </c>
      <c r="I1677" s="23">
        <v>0</v>
      </c>
      <c r="J1677" s="23">
        <v>0</v>
      </c>
      <c r="K1677" s="23">
        <v>1220</v>
      </c>
    </row>
    <row r="1678" spans="1:11" x14ac:dyDescent="0.25">
      <c r="A1678">
        <v>1677</v>
      </c>
      <c r="B1678" s="23">
        <v>1550.4</v>
      </c>
      <c r="C1678" s="23">
        <v>0</v>
      </c>
      <c r="D1678" s="23">
        <v>0</v>
      </c>
      <c r="E1678" s="23">
        <v>0</v>
      </c>
      <c r="F1678" s="23">
        <v>0</v>
      </c>
      <c r="G1678" s="23">
        <v>0</v>
      </c>
      <c r="H1678" s="23">
        <v>0</v>
      </c>
      <c r="I1678" s="23">
        <v>1550.4</v>
      </c>
      <c r="J1678" s="23">
        <v>0</v>
      </c>
      <c r="K1678" s="23">
        <v>0</v>
      </c>
    </row>
    <row r="1679" spans="1:11" x14ac:dyDescent="0.25">
      <c r="A1679">
        <v>1678</v>
      </c>
      <c r="B1679" s="23">
        <v>1778.4</v>
      </c>
      <c r="C1679" s="23">
        <v>0</v>
      </c>
      <c r="D1679" s="23">
        <v>0</v>
      </c>
      <c r="E1679" s="23">
        <v>0</v>
      </c>
      <c r="F1679" s="23">
        <v>0</v>
      </c>
      <c r="G1679" s="23">
        <v>0</v>
      </c>
      <c r="H1679" s="23">
        <v>0</v>
      </c>
      <c r="I1679" s="23">
        <v>1778.4</v>
      </c>
      <c r="J1679" s="23">
        <v>0</v>
      </c>
      <c r="K1679" s="23">
        <v>0</v>
      </c>
    </row>
    <row r="1680" spans="1:11" x14ac:dyDescent="0.25">
      <c r="A1680">
        <v>1679</v>
      </c>
      <c r="B1680" s="23">
        <v>1676.8</v>
      </c>
      <c r="C1680" s="23">
        <v>0</v>
      </c>
      <c r="D1680" s="23">
        <v>0</v>
      </c>
      <c r="E1680" s="23">
        <v>0</v>
      </c>
      <c r="F1680" s="23">
        <v>0</v>
      </c>
      <c r="G1680" s="23">
        <v>0</v>
      </c>
      <c r="H1680" s="23">
        <v>0</v>
      </c>
      <c r="I1680" s="23">
        <v>1676.8</v>
      </c>
      <c r="J1680" s="23">
        <v>0</v>
      </c>
      <c r="K1680" s="23">
        <v>0</v>
      </c>
    </row>
    <row r="1681" spans="1:11" x14ac:dyDescent="0.25">
      <c r="A1681">
        <v>1680</v>
      </c>
      <c r="B1681" s="23">
        <v>1480.8</v>
      </c>
      <c r="C1681" s="23">
        <v>0</v>
      </c>
      <c r="D1681" s="23">
        <v>0</v>
      </c>
      <c r="E1681" s="23">
        <v>0</v>
      </c>
      <c r="F1681" s="23">
        <v>0</v>
      </c>
      <c r="G1681" s="23">
        <v>0</v>
      </c>
      <c r="H1681" s="23">
        <v>0</v>
      </c>
      <c r="I1681" s="23">
        <v>1480.8</v>
      </c>
      <c r="J1681" s="23">
        <v>0</v>
      </c>
      <c r="K1681" s="23">
        <v>0</v>
      </c>
    </row>
    <row r="1682" spans="1:11" x14ac:dyDescent="0.25">
      <c r="A1682">
        <v>1681</v>
      </c>
      <c r="B1682" s="23">
        <v>1334.4</v>
      </c>
      <c r="C1682" s="23">
        <v>0</v>
      </c>
      <c r="D1682" s="23">
        <v>0</v>
      </c>
      <c r="E1682" s="23">
        <v>0</v>
      </c>
      <c r="F1682" s="23">
        <v>0</v>
      </c>
      <c r="G1682" s="23">
        <v>0</v>
      </c>
      <c r="H1682" s="23">
        <v>0</v>
      </c>
      <c r="I1682" s="23">
        <v>1334.4</v>
      </c>
      <c r="J1682" s="23">
        <v>0</v>
      </c>
      <c r="K1682" s="23">
        <v>0</v>
      </c>
    </row>
    <row r="1683" spans="1:11" x14ac:dyDescent="0.25">
      <c r="A1683">
        <v>1682</v>
      </c>
      <c r="B1683" s="23">
        <v>1472</v>
      </c>
      <c r="C1683" s="23">
        <v>0</v>
      </c>
      <c r="D1683" s="23">
        <v>0</v>
      </c>
      <c r="E1683" s="23">
        <v>0</v>
      </c>
      <c r="F1683" s="23">
        <v>0</v>
      </c>
      <c r="G1683" s="23">
        <v>0</v>
      </c>
      <c r="H1683" s="23">
        <v>0</v>
      </c>
      <c r="I1683" s="23">
        <v>1472</v>
      </c>
      <c r="J1683" s="23">
        <v>0</v>
      </c>
      <c r="K1683" s="23">
        <v>0</v>
      </c>
    </row>
    <row r="1684" spans="1:11" x14ac:dyDescent="0.25">
      <c r="A1684">
        <v>1683</v>
      </c>
      <c r="B1684" s="23">
        <v>1444.8</v>
      </c>
      <c r="C1684" s="23">
        <v>0</v>
      </c>
      <c r="D1684" s="23">
        <v>0</v>
      </c>
      <c r="E1684" s="23">
        <v>0</v>
      </c>
      <c r="F1684" s="23">
        <v>0</v>
      </c>
      <c r="G1684" s="23">
        <v>0</v>
      </c>
      <c r="H1684" s="23">
        <v>0</v>
      </c>
      <c r="I1684" s="23">
        <v>1444.8</v>
      </c>
      <c r="J1684" s="23">
        <v>0</v>
      </c>
      <c r="K1684" s="23">
        <v>0</v>
      </c>
    </row>
    <row r="1685" spans="1:11" x14ac:dyDescent="0.25">
      <c r="A1685">
        <v>1684</v>
      </c>
      <c r="B1685" s="23">
        <v>230.4</v>
      </c>
      <c r="C1685" s="23">
        <v>0</v>
      </c>
      <c r="D1685" s="23">
        <v>0</v>
      </c>
      <c r="E1685" s="23">
        <v>0</v>
      </c>
      <c r="F1685" s="23">
        <v>0</v>
      </c>
      <c r="G1685" s="23">
        <v>0</v>
      </c>
      <c r="H1685" s="23">
        <v>0</v>
      </c>
      <c r="I1685" s="23">
        <v>230.4</v>
      </c>
      <c r="J1685" s="23">
        <v>0</v>
      </c>
      <c r="K1685" s="23">
        <v>0</v>
      </c>
    </row>
    <row r="1686" spans="1:11" x14ac:dyDescent="0.25">
      <c r="A1686">
        <v>1685</v>
      </c>
      <c r="B1686" s="23">
        <v>354.4</v>
      </c>
      <c r="C1686" s="23">
        <v>0</v>
      </c>
      <c r="D1686" s="23">
        <v>0</v>
      </c>
      <c r="E1686" s="23">
        <v>0</v>
      </c>
      <c r="F1686" s="23">
        <v>0</v>
      </c>
      <c r="G1686" s="23">
        <v>0</v>
      </c>
      <c r="H1686" s="23">
        <v>0</v>
      </c>
      <c r="I1686" s="23">
        <v>354.4</v>
      </c>
      <c r="J1686" s="23">
        <v>0</v>
      </c>
      <c r="K1686" s="23">
        <v>0</v>
      </c>
    </row>
    <row r="1687" spans="1:11" x14ac:dyDescent="0.25">
      <c r="A1687">
        <v>1686</v>
      </c>
      <c r="B1687" s="23">
        <v>880.8</v>
      </c>
      <c r="C1687" s="23">
        <v>0</v>
      </c>
      <c r="D1687" s="23">
        <v>0</v>
      </c>
      <c r="E1687" s="23">
        <v>0</v>
      </c>
      <c r="F1687" s="23">
        <v>0</v>
      </c>
      <c r="G1687" s="23">
        <v>0</v>
      </c>
      <c r="H1687" s="23">
        <v>0</v>
      </c>
      <c r="I1687" s="23">
        <v>32.381</v>
      </c>
      <c r="J1687" s="23">
        <v>0</v>
      </c>
      <c r="K1687" s="23">
        <v>848.41899999999998</v>
      </c>
    </row>
    <row r="1688" spans="1:11" x14ac:dyDescent="0.25">
      <c r="A1688">
        <v>1687</v>
      </c>
      <c r="B1688" s="23">
        <v>1391.249</v>
      </c>
      <c r="C1688" s="23">
        <v>57.95</v>
      </c>
      <c r="D1688" s="23">
        <v>164.58099999999999</v>
      </c>
      <c r="E1688" s="23">
        <v>164.58099999999999</v>
      </c>
      <c r="F1688" s="23">
        <v>0</v>
      </c>
      <c r="G1688" s="23">
        <v>0</v>
      </c>
      <c r="H1688" s="23">
        <v>0</v>
      </c>
      <c r="I1688" s="23">
        <v>0</v>
      </c>
      <c r="J1688" s="23">
        <v>0</v>
      </c>
      <c r="K1688" s="23">
        <v>1226.6679999999999</v>
      </c>
    </row>
    <row r="1689" spans="1:11" x14ac:dyDescent="0.25">
      <c r="A1689">
        <v>1688</v>
      </c>
      <c r="B1689" s="23">
        <v>1367.1659999999999</v>
      </c>
      <c r="C1689" s="23">
        <v>290.94</v>
      </c>
      <c r="D1689" s="23">
        <v>1128.181</v>
      </c>
      <c r="E1689" s="23">
        <v>1128.181</v>
      </c>
      <c r="F1689" s="23">
        <v>0</v>
      </c>
      <c r="G1689" s="23">
        <v>0</v>
      </c>
      <c r="H1689" s="23">
        <v>0</v>
      </c>
      <c r="I1689" s="23">
        <v>0</v>
      </c>
      <c r="J1689" s="23">
        <v>0</v>
      </c>
      <c r="K1689" s="23">
        <v>238.98500000000001</v>
      </c>
    </row>
    <row r="1690" spans="1:11" x14ac:dyDescent="0.25">
      <c r="A1690">
        <v>1689</v>
      </c>
      <c r="B1690" s="23">
        <v>1114.9780000000001</v>
      </c>
      <c r="C1690" s="23">
        <v>544.83000000000004</v>
      </c>
      <c r="D1690" s="23">
        <v>2151.105</v>
      </c>
      <c r="E1690" s="23">
        <v>1114.9780000000001</v>
      </c>
      <c r="F1690" s="23">
        <v>-1036.127</v>
      </c>
      <c r="G1690" s="23">
        <v>0</v>
      </c>
      <c r="H1690" s="23">
        <v>0</v>
      </c>
      <c r="I1690" s="23">
        <v>0</v>
      </c>
      <c r="J1690" s="23">
        <v>0</v>
      </c>
      <c r="K1690" s="23">
        <v>0</v>
      </c>
    </row>
    <row r="1691" spans="1:11" x14ac:dyDescent="0.25">
      <c r="A1691">
        <v>1690</v>
      </c>
      <c r="B1691" s="23">
        <v>991.07799999999997</v>
      </c>
      <c r="C1691" s="23">
        <v>769.84</v>
      </c>
      <c r="D1691" s="23">
        <v>2926.393</v>
      </c>
      <c r="E1691" s="23">
        <v>991.07899999999995</v>
      </c>
      <c r="F1691" s="23">
        <v>-1684.559</v>
      </c>
      <c r="G1691" s="23">
        <v>0</v>
      </c>
      <c r="H1691" s="23">
        <v>250.755</v>
      </c>
      <c r="I1691" s="23">
        <v>0</v>
      </c>
      <c r="J1691" s="23">
        <v>0</v>
      </c>
      <c r="K1691" s="23">
        <v>0</v>
      </c>
    </row>
    <row r="1692" spans="1:11" x14ac:dyDescent="0.25">
      <c r="A1692">
        <v>1691</v>
      </c>
      <c r="B1692" s="23">
        <v>1722.5160000000001</v>
      </c>
      <c r="C1692" s="23">
        <v>935.81</v>
      </c>
      <c r="D1692" s="23">
        <v>3433.5410000000002</v>
      </c>
      <c r="E1692" s="23">
        <v>1722.5160000000001</v>
      </c>
      <c r="F1692" s="23">
        <v>-1684.559</v>
      </c>
      <c r="G1692" s="23">
        <v>0</v>
      </c>
      <c r="H1692" s="23">
        <v>26.466000000000001</v>
      </c>
      <c r="I1692" s="23">
        <v>0</v>
      </c>
      <c r="J1692" s="23">
        <v>0</v>
      </c>
      <c r="K1692" s="23">
        <v>0</v>
      </c>
    </row>
    <row r="1693" spans="1:11" x14ac:dyDescent="0.25">
      <c r="A1693">
        <v>1692</v>
      </c>
      <c r="B1693" s="23">
        <v>1259.6990000000001</v>
      </c>
      <c r="C1693" s="23">
        <v>1025.3</v>
      </c>
      <c r="D1693" s="23">
        <v>3679.8649999999998</v>
      </c>
      <c r="E1693" s="23">
        <v>1259.6990000000001</v>
      </c>
      <c r="F1693" s="23">
        <v>-1684.559</v>
      </c>
      <c r="G1693" s="23">
        <v>0</v>
      </c>
      <c r="H1693" s="23">
        <v>735.60699999999997</v>
      </c>
      <c r="I1693" s="23">
        <v>0</v>
      </c>
      <c r="J1693" s="23">
        <v>0</v>
      </c>
      <c r="K1693" s="23">
        <v>0</v>
      </c>
    </row>
    <row r="1694" spans="1:11" x14ac:dyDescent="0.25">
      <c r="A1694">
        <v>1693</v>
      </c>
      <c r="B1694" s="23">
        <v>1018.275</v>
      </c>
      <c r="C1694" s="23">
        <v>1030.8699999999999</v>
      </c>
      <c r="D1694" s="23">
        <v>3685.5680000000002</v>
      </c>
      <c r="E1694" s="23">
        <v>1018.275</v>
      </c>
      <c r="F1694" s="23">
        <v>-1201.693</v>
      </c>
      <c r="G1694" s="23">
        <v>0</v>
      </c>
      <c r="H1694" s="23">
        <v>1465.6</v>
      </c>
      <c r="I1694" s="23">
        <v>0</v>
      </c>
      <c r="J1694" s="23">
        <v>0</v>
      </c>
      <c r="K1694" s="23">
        <v>0</v>
      </c>
    </row>
    <row r="1695" spans="1:11" x14ac:dyDescent="0.25">
      <c r="A1695">
        <v>1694</v>
      </c>
      <c r="B1695" s="23">
        <v>905.101</v>
      </c>
      <c r="C1695" s="23">
        <v>923.13</v>
      </c>
      <c r="D1695" s="23">
        <v>3360.683</v>
      </c>
      <c r="E1695" s="23">
        <v>905.101</v>
      </c>
      <c r="F1695" s="23">
        <v>0</v>
      </c>
      <c r="G1695" s="23">
        <v>0</v>
      </c>
      <c r="H1695" s="23">
        <v>2455.5819999999999</v>
      </c>
      <c r="I1695" s="23">
        <v>0</v>
      </c>
      <c r="J1695" s="23">
        <v>0</v>
      </c>
      <c r="K1695" s="23">
        <v>0</v>
      </c>
    </row>
    <row r="1696" spans="1:11" x14ac:dyDescent="0.25">
      <c r="A1696">
        <v>1695</v>
      </c>
      <c r="B1696" s="23">
        <v>1153.4100000000001</v>
      </c>
      <c r="C1696" s="23">
        <v>803.51</v>
      </c>
      <c r="D1696" s="23">
        <v>3007.5990000000002</v>
      </c>
      <c r="E1696" s="23">
        <v>1153.4100000000001</v>
      </c>
      <c r="F1696" s="23">
        <v>0</v>
      </c>
      <c r="G1696" s="23">
        <v>0</v>
      </c>
      <c r="H1696" s="23">
        <v>1854.1890000000001</v>
      </c>
      <c r="I1696" s="23">
        <v>0</v>
      </c>
      <c r="J1696" s="23">
        <v>0</v>
      </c>
      <c r="K1696" s="23">
        <v>0</v>
      </c>
    </row>
    <row r="1697" spans="1:11" x14ac:dyDescent="0.25">
      <c r="A1697">
        <v>1696</v>
      </c>
      <c r="B1697" s="23">
        <v>1638.0250000000001</v>
      </c>
      <c r="C1697" s="23">
        <v>588.79999999999995</v>
      </c>
      <c r="D1697" s="23">
        <v>2286.0239999999999</v>
      </c>
      <c r="E1697" s="23">
        <v>1638.0250000000001</v>
      </c>
      <c r="F1697" s="23">
        <v>0</v>
      </c>
      <c r="G1697" s="23">
        <v>0</v>
      </c>
      <c r="H1697" s="23">
        <v>647.99900000000002</v>
      </c>
      <c r="I1697" s="23">
        <v>0</v>
      </c>
      <c r="J1697" s="23">
        <v>0</v>
      </c>
      <c r="K1697" s="23">
        <v>0</v>
      </c>
    </row>
    <row r="1698" spans="1:11" x14ac:dyDescent="0.25">
      <c r="A1698">
        <v>1697</v>
      </c>
      <c r="B1698" s="23">
        <v>1603.7739999999999</v>
      </c>
      <c r="C1698" s="23">
        <v>336.68</v>
      </c>
      <c r="D1698" s="23">
        <v>1297.8610000000001</v>
      </c>
      <c r="E1698" s="23">
        <v>1297.8610000000001</v>
      </c>
      <c r="F1698" s="23">
        <v>0</v>
      </c>
      <c r="G1698" s="23">
        <v>0</v>
      </c>
      <c r="H1698" s="23">
        <v>0</v>
      </c>
      <c r="I1698" s="23">
        <v>305.91300000000001</v>
      </c>
      <c r="J1698" s="23">
        <v>0</v>
      </c>
      <c r="K1698" s="23">
        <v>0</v>
      </c>
    </row>
    <row r="1699" spans="1:11" x14ac:dyDescent="0.25">
      <c r="A1699">
        <v>1698</v>
      </c>
      <c r="B1699" s="23">
        <v>1509.175</v>
      </c>
      <c r="C1699" s="23">
        <v>89.24</v>
      </c>
      <c r="D1699" s="23">
        <v>260.11700000000002</v>
      </c>
      <c r="E1699" s="23">
        <v>260.11700000000002</v>
      </c>
      <c r="F1699" s="23">
        <v>0</v>
      </c>
      <c r="G1699" s="23">
        <v>0</v>
      </c>
      <c r="H1699" s="23">
        <v>0</v>
      </c>
      <c r="I1699" s="23">
        <v>0</v>
      </c>
      <c r="J1699" s="23">
        <v>0</v>
      </c>
      <c r="K1699" s="23">
        <v>1249.058</v>
      </c>
    </row>
    <row r="1700" spans="1:11" x14ac:dyDescent="0.25">
      <c r="A1700">
        <v>1699</v>
      </c>
      <c r="B1700" s="23">
        <v>994.822</v>
      </c>
      <c r="C1700" s="23">
        <v>0</v>
      </c>
      <c r="D1700" s="23">
        <v>0</v>
      </c>
      <c r="E1700" s="23">
        <v>0</v>
      </c>
      <c r="F1700" s="23">
        <v>0</v>
      </c>
      <c r="G1700" s="23">
        <v>0</v>
      </c>
      <c r="H1700" s="23">
        <v>0</v>
      </c>
      <c r="I1700" s="23">
        <v>0</v>
      </c>
      <c r="J1700" s="23">
        <v>0</v>
      </c>
      <c r="K1700" s="23">
        <v>994.822</v>
      </c>
    </row>
    <row r="1701" spans="1:11" x14ac:dyDescent="0.25">
      <c r="A1701">
        <v>1700</v>
      </c>
      <c r="B1701" s="23">
        <v>1233.5999999999999</v>
      </c>
      <c r="C1701" s="23">
        <v>0</v>
      </c>
      <c r="D1701" s="23">
        <v>0</v>
      </c>
      <c r="E1701" s="23">
        <v>0</v>
      </c>
      <c r="F1701" s="23">
        <v>0</v>
      </c>
      <c r="G1701" s="23">
        <v>0</v>
      </c>
      <c r="H1701" s="23">
        <v>0</v>
      </c>
      <c r="I1701" s="23">
        <v>0</v>
      </c>
      <c r="J1701" s="23">
        <v>0</v>
      </c>
      <c r="K1701" s="23">
        <v>1233.5999999999999</v>
      </c>
    </row>
    <row r="1702" spans="1:11" x14ac:dyDescent="0.25">
      <c r="A1702">
        <v>1701</v>
      </c>
      <c r="B1702" s="23">
        <v>1465.6</v>
      </c>
      <c r="C1702" s="23">
        <v>0</v>
      </c>
      <c r="D1702" s="23">
        <v>0</v>
      </c>
      <c r="E1702" s="23">
        <v>0</v>
      </c>
      <c r="F1702" s="23">
        <v>0</v>
      </c>
      <c r="G1702" s="23">
        <v>0</v>
      </c>
      <c r="H1702" s="23">
        <v>0</v>
      </c>
      <c r="I1702" s="23">
        <v>1465.6</v>
      </c>
      <c r="J1702" s="23">
        <v>0</v>
      </c>
      <c r="K1702" s="23">
        <v>0</v>
      </c>
    </row>
    <row r="1703" spans="1:11" x14ac:dyDescent="0.25">
      <c r="A1703">
        <v>1702</v>
      </c>
      <c r="B1703" s="23">
        <v>1463.2</v>
      </c>
      <c r="C1703" s="23">
        <v>0</v>
      </c>
      <c r="D1703" s="23">
        <v>0</v>
      </c>
      <c r="E1703" s="23">
        <v>0</v>
      </c>
      <c r="F1703" s="23">
        <v>0</v>
      </c>
      <c r="G1703" s="23">
        <v>0</v>
      </c>
      <c r="H1703" s="23">
        <v>0</v>
      </c>
      <c r="I1703" s="23">
        <v>1463.2</v>
      </c>
      <c r="J1703" s="23">
        <v>0</v>
      </c>
      <c r="K1703" s="23">
        <v>0</v>
      </c>
    </row>
    <row r="1704" spans="1:11" x14ac:dyDescent="0.25">
      <c r="A1704">
        <v>1703</v>
      </c>
      <c r="B1704" s="23">
        <v>1261.5999999999999</v>
      </c>
      <c r="C1704" s="23">
        <v>0</v>
      </c>
      <c r="D1704" s="23">
        <v>0</v>
      </c>
      <c r="E1704" s="23">
        <v>0</v>
      </c>
      <c r="F1704" s="23">
        <v>0</v>
      </c>
      <c r="G1704" s="23">
        <v>0</v>
      </c>
      <c r="H1704" s="23">
        <v>0</v>
      </c>
      <c r="I1704" s="23">
        <v>1261.5999999999999</v>
      </c>
      <c r="J1704" s="23">
        <v>0</v>
      </c>
      <c r="K1704" s="23">
        <v>0</v>
      </c>
    </row>
    <row r="1705" spans="1:11" x14ac:dyDescent="0.25">
      <c r="A1705">
        <v>1704</v>
      </c>
      <c r="B1705" s="23">
        <v>1423.2</v>
      </c>
      <c r="C1705" s="23">
        <v>0</v>
      </c>
      <c r="D1705" s="23">
        <v>0</v>
      </c>
      <c r="E1705" s="23">
        <v>0</v>
      </c>
      <c r="F1705" s="23">
        <v>0</v>
      </c>
      <c r="G1705" s="23">
        <v>0</v>
      </c>
      <c r="H1705" s="23">
        <v>0</v>
      </c>
      <c r="I1705" s="23">
        <v>1423.2</v>
      </c>
      <c r="J1705" s="23">
        <v>0</v>
      </c>
      <c r="K1705" s="23">
        <v>0</v>
      </c>
    </row>
    <row r="1706" spans="1:11" x14ac:dyDescent="0.25">
      <c r="A1706">
        <v>1705</v>
      </c>
      <c r="B1706" s="23">
        <v>1556.8</v>
      </c>
      <c r="C1706" s="23">
        <v>0</v>
      </c>
      <c r="D1706" s="23">
        <v>0</v>
      </c>
      <c r="E1706" s="23">
        <v>0</v>
      </c>
      <c r="F1706" s="23">
        <v>0</v>
      </c>
      <c r="G1706" s="23">
        <v>0</v>
      </c>
      <c r="H1706" s="23">
        <v>0</v>
      </c>
      <c r="I1706" s="23">
        <v>1556.8</v>
      </c>
      <c r="J1706" s="23">
        <v>0</v>
      </c>
      <c r="K1706" s="23">
        <v>0</v>
      </c>
    </row>
    <row r="1707" spans="1:11" x14ac:dyDescent="0.25">
      <c r="A1707">
        <v>1706</v>
      </c>
      <c r="B1707" s="23">
        <v>1232.8</v>
      </c>
      <c r="C1707" s="23">
        <v>0</v>
      </c>
      <c r="D1707" s="23">
        <v>0</v>
      </c>
      <c r="E1707" s="23">
        <v>0</v>
      </c>
      <c r="F1707" s="23">
        <v>0</v>
      </c>
      <c r="G1707" s="23">
        <v>0</v>
      </c>
      <c r="H1707" s="23">
        <v>0</v>
      </c>
      <c r="I1707" s="23">
        <v>1232.8</v>
      </c>
      <c r="J1707" s="23">
        <v>0</v>
      </c>
      <c r="K1707" s="23">
        <v>0</v>
      </c>
    </row>
    <row r="1708" spans="1:11" x14ac:dyDescent="0.25">
      <c r="A1708">
        <v>1707</v>
      </c>
      <c r="B1708" s="23">
        <v>1564</v>
      </c>
      <c r="C1708" s="23">
        <v>0</v>
      </c>
      <c r="D1708" s="23">
        <v>0</v>
      </c>
      <c r="E1708" s="23">
        <v>0</v>
      </c>
      <c r="F1708" s="23">
        <v>0</v>
      </c>
      <c r="G1708" s="23">
        <v>0</v>
      </c>
      <c r="H1708" s="23">
        <v>0</v>
      </c>
      <c r="I1708" s="23">
        <v>1564</v>
      </c>
      <c r="J1708" s="23">
        <v>0</v>
      </c>
      <c r="K1708" s="23">
        <v>0</v>
      </c>
    </row>
    <row r="1709" spans="1:11" x14ac:dyDescent="0.25">
      <c r="A1709">
        <v>1708</v>
      </c>
      <c r="B1709" s="23">
        <v>1275.2</v>
      </c>
      <c r="C1709" s="23">
        <v>0</v>
      </c>
      <c r="D1709" s="23">
        <v>0</v>
      </c>
      <c r="E1709" s="23">
        <v>0</v>
      </c>
      <c r="F1709" s="23">
        <v>0</v>
      </c>
      <c r="G1709" s="23">
        <v>0</v>
      </c>
      <c r="H1709" s="23">
        <v>0</v>
      </c>
      <c r="I1709" s="23">
        <v>1275.2</v>
      </c>
      <c r="J1709" s="23">
        <v>0</v>
      </c>
      <c r="K1709" s="23">
        <v>0</v>
      </c>
    </row>
    <row r="1710" spans="1:11" x14ac:dyDescent="0.25">
      <c r="A1710">
        <v>1709</v>
      </c>
      <c r="B1710" s="23">
        <v>1312.8</v>
      </c>
      <c r="C1710" s="23">
        <v>0</v>
      </c>
      <c r="D1710" s="23">
        <v>0</v>
      </c>
      <c r="E1710" s="23">
        <v>0</v>
      </c>
      <c r="F1710" s="23">
        <v>0</v>
      </c>
      <c r="G1710" s="23">
        <v>0</v>
      </c>
      <c r="H1710" s="23">
        <v>0</v>
      </c>
      <c r="I1710" s="23">
        <v>498.49099999999999</v>
      </c>
      <c r="J1710" s="23">
        <v>0</v>
      </c>
      <c r="K1710" s="23">
        <v>814.30899999999997</v>
      </c>
    </row>
    <row r="1711" spans="1:11" x14ac:dyDescent="0.25">
      <c r="A1711">
        <v>1710</v>
      </c>
      <c r="B1711" s="23">
        <v>1168</v>
      </c>
      <c r="C1711" s="23">
        <v>0</v>
      </c>
      <c r="D1711" s="23">
        <v>0</v>
      </c>
      <c r="E1711" s="23">
        <v>0</v>
      </c>
      <c r="F1711" s="23">
        <v>0</v>
      </c>
      <c r="G1711" s="23">
        <v>0</v>
      </c>
      <c r="H1711" s="23">
        <v>0</v>
      </c>
      <c r="I1711" s="23">
        <v>0</v>
      </c>
      <c r="J1711" s="23">
        <v>0</v>
      </c>
      <c r="K1711" s="23">
        <v>1168</v>
      </c>
    </row>
    <row r="1712" spans="1:11" x14ac:dyDescent="0.25">
      <c r="A1712">
        <v>1711</v>
      </c>
      <c r="B1712" s="23">
        <v>1272.8</v>
      </c>
      <c r="C1712" s="23">
        <v>65.14</v>
      </c>
      <c r="D1712" s="23">
        <v>180.74</v>
      </c>
      <c r="E1712" s="23">
        <v>180.74</v>
      </c>
      <c r="F1712" s="23">
        <v>0</v>
      </c>
      <c r="G1712" s="23">
        <v>0</v>
      </c>
      <c r="H1712" s="23">
        <v>0</v>
      </c>
      <c r="I1712" s="23">
        <v>0</v>
      </c>
      <c r="J1712" s="23">
        <v>0</v>
      </c>
      <c r="K1712" s="23">
        <v>1092.06</v>
      </c>
    </row>
    <row r="1713" spans="1:11" x14ac:dyDescent="0.25">
      <c r="A1713">
        <v>1712</v>
      </c>
      <c r="B1713" s="23">
        <v>922.41499999999996</v>
      </c>
      <c r="C1713" s="23">
        <v>304.54000000000002</v>
      </c>
      <c r="D1713" s="23">
        <v>1175.903</v>
      </c>
      <c r="E1713" s="23">
        <v>922.41499999999996</v>
      </c>
      <c r="F1713" s="23">
        <v>-253.488</v>
      </c>
      <c r="G1713" s="23">
        <v>0</v>
      </c>
      <c r="H1713" s="23">
        <v>0</v>
      </c>
      <c r="I1713" s="23">
        <v>0</v>
      </c>
      <c r="J1713" s="23">
        <v>0</v>
      </c>
      <c r="K1713" s="23">
        <v>0</v>
      </c>
    </row>
    <row r="1714" spans="1:11" x14ac:dyDescent="0.25">
      <c r="A1714">
        <v>1713</v>
      </c>
      <c r="B1714" s="23">
        <v>1110.192</v>
      </c>
      <c r="C1714" s="23">
        <v>559.02</v>
      </c>
      <c r="D1714" s="23">
        <v>2197.9639999999999</v>
      </c>
      <c r="E1714" s="23">
        <v>1110.192</v>
      </c>
      <c r="F1714" s="23">
        <v>-1087.7719999999999</v>
      </c>
      <c r="G1714" s="23">
        <v>0</v>
      </c>
      <c r="H1714" s="23">
        <v>0</v>
      </c>
      <c r="I1714" s="23">
        <v>0</v>
      </c>
      <c r="J1714" s="23">
        <v>0</v>
      </c>
      <c r="K1714" s="23">
        <v>0</v>
      </c>
    </row>
    <row r="1715" spans="1:11" x14ac:dyDescent="0.25">
      <c r="A1715">
        <v>1714</v>
      </c>
      <c r="B1715" s="23">
        <v>1567.16</v>
      </c>
      <c r="C1715" s="23">
        <v>769.48</v>
      </c>
      <c r="D1715" s="23">
        <v>2909.9189999999999</v>
      </c>
      <c r="E1715" s="23">
        <v>1567.16</v>
      </c>
      <c r="F1715" s="23">
        <v>-1342.759</v>
      </c>
      <c r="G1715" s="23">
        <v>0</v>
      </c>
      <c r="H1715" s="23">
        <v>0</v>
      </c>
      <c r="I1715" s="23">
        <v>0</v>
      </c>
      <c r="J1715" s="23">
        <v>0</v>
      </c>
      <c r="K1715" s="23">
        <v>0</v>
      </c>
    </row>
    <row r="1716" spans="1:11" x14ac:dyDescent="0.25">
      <c r="A1716">
        <v>1715</v>
      </c>
      <c r="B1716" s="23">
        <v>1212.443</v>
      </c>
      <c r="C1716" s="23">
        <v>916.93</v>
      </c>
      <c r="D1716" s="23">
        <v>3343.4969999999998</v>
      </c>
      <c r="E1716" s="23">
        <v>1212.444</v>
      </c>
      <c r="F1716" s="23">
        <v>-1684.559</v>
      </c>
      <c r="G1716" s="23">
        <v>0</v>
      </c>
      <c r="H1716" s="23">
        <v>446.49400000000003</v>
      </c>
      <c r="I1716" s="23">
        <v>0</v>
      </c>
      <c r="J1716" s="23">
        <v>0</v>
      </c>
      <c r="K1716" s="23">
        <v>0</v>
      </c>
    </row>
    <row r="1717" spans="1:11" x14ac:dyDescent="0.25">
      <c r="A1717">
        <v>1716</v>
      </c>
      <c r="B1717" s="23">
        <v>1091.6099999999999</v>
      </c>
      <c r="C1717" s="23">
        <v>1001.3</v>
      </c>
      <c r="D1717" s="23">
        <v>3570.4079999999999</v>
      </c>
      <c r="E1717" s="23">
        <v>1091.6099999999999</v>
      </c>
      <c r="F1717" s="23">
        <v>-1684.559</v>
      </c>
      <c r="G1717" s="23">
        <v>0</v>
      </c>
      <c r="H1717" s="23">
        <v>794.23900000000003</v>
      </c>
      <c r="I1717" s="23">
        <v>0</v>
      </c>
      <c r="J1717" s="23">
        <v>0</v>
      </c>
      <c r="K1717" s="23">
        <v>0</v>
      </c>
    </row>
    <row r="1718" spans="1:11" x14ac:dyDescent="0.25">
      <c r="A1718">
        <v>1717</v>
      </c>
      <c r="B1718" s="23">
        <v>971.53599999999994</v>
      </c>
      <c r="C1718" s="23">
        <v>1004.36</v>
      </c>
      <c r="D1718" s="23">
        <v>3588.4259999999999</v>
      </c>
      <c r="E1718" s="23">
        <v>971.53599999999994</v>
      </c>
      <c r="F1718" s="23">
        <v>-1238.3610000000001</v>
      </c>
      <c r="G1718" s="23">
        <v>0</v>
      </c>
      <c r="H1718" s="23">
        <v>1378.529</v>
      </c>
      <c r="I1718" s="23">
        <v>0</v>
      </c>
      <c r="J1718" s="23">
        <v>0</v>
      </c>
      <c r="K1718" s="23">
        <v>0</v>
      </c>
    </row>
    <row r="1719" spans="1:11" x14ac:dyDescent="0.25">
      <c r="A1719">
        <v>1718</v>
      </c>
      <c r="B1719" s="23">
        <v>1055.4559999999999</v>
      </c>
      <c r="C1719" s="23">
        <v>809.98</v>
      </c>
      <c r="D1719" s="23">
        <v>2971.056</v>
      </c>
      <c r="E1719" s="23">
        <v>1055.4559999999999</v>
      </c>
      <c r="F1719" s="23">
        <v>0</v>
      </c>
      <c r="G1719" s="23">
        <v>0</v>
      </c>
      <c r="H1719" s="23">
        <v>1915.6</v>
      </c>
      <c r="I1719" s="23">
        <v>0</v>
      </c>
      <c r="J1719" s="23">
        <v>0</v>
      </c>
      <c r="K1719" s="23">
        <v>0</v>
      </c>
    </row>
    <row r="1720" spans="1:11" x14ac:dyDescent="0.25">
      <c r="A1720">
        <v>1719</v>
      </c>
      <c r="B1720" s="23">
        <v>957.67399999999998</v>
      </c>
      <c r="C1720" s="23">
        <v>779.29</v>
      </c>
      <c r="D1720" s="23">
        <v>2923.893</v>
      </c>
      <c r="E1720" s="23">
        <v>957.67399999999998</v>
      </c>
      <c r="F1720" s="23">
        <v>0</v>
      </c>
      <c r="G1720" s="23">
        <v>0</v>
      </c>
      <c r="H1720" s="23">
        <v>1966.2190000000001</v>
      </c>
      <c r="I1720" s="23">
        <v>0</v>
      </c>
      <c r="J1720" s="23">
        <v>0</v>
      </c>
      <c r="K1720" s="23">
        <v>0</v>
      </c>
    </row>
    <row r="1721" spans="1:11" x14ac:dyDescent="0.25">
      <c r="A1721">
        <v>1720</v>
      </c>
      <c r="B1721" s="23">
        <v>997.55799999999999</v>
      </c>
      <c r="C1721" s="23">
        <v>568.54</v>
      </c>
      <c r="D1721" s="23">
        <v>2209.375</v>
      </c>
      <c r="E1721" s="23">
        <v>997.55799999999999</v>
      </c>
      <c r="F1721" s="23">
        <v>0</v>
      </c>
      <c r="G1721" s="23">
        <v>0</v>
      </c>
      <c r="H1721" s="23">
        <v>1211.817</v>
      </c>
      <c r="I1721" s="23">
        <v>0</v>
      </c>
      <c r="J1721" s="23">
        <v>0</v>
      </c>
      <c r="K1721" s="23">
        <v>0</v>
      </c>
    </row>
    <row r="1722" spans="1:11" x14ac:dyDescent="0.25">
      <c r="A1722">
        <v>1721</v>
      </c>
      <c r="B1722" s="23">
        <v>1166.299</v>
      </c>
      <c r="C1722" s="23">
        <v>321.19</v>
      </c>
      <c r="D1722" s="23">
        <v>1241.7919999999999</v>
      </c>
      <c r="E1722" s="23">
        <v>1166.299</v>
      </c>
      <c r="F1722" s="23">
        <v>0</v>
      </c>
      <c r="G1722" s="23">
        <v>0</v>
      </c>
      <c r="H1722" s="23">
        <v>75.492999999999995</v>
      </c>
      <c r="I1722" s="23">
        <v>0</v>
      </c>
      <c r="J1722" s="23">
        <v>0</v>
      </c>
      <c r="K1722" s="23">
        <v>0</v>
      </c>
    </row>
    <row r="1723" spans="1:11" x14ac:dyDescent="0.25">
      <c r="A1723">
        <v>1722</v>
      </c>
      <c r="B1723" s="23">
        <v>1040.9469999999999</v>
      </c>
      <c r="C1723" s="23">
        <v>82.11</v>
      </c>
      <c r="D1723" s="23">
        <v>246.74299999999999</v>
      </c>
      <c r="E1723" s="23">
        <v>246.74299999999999</v>
      </c>
      <c r="F1723" s="23">
        <v>0</v>
      </c>
      <c r="G1723" s="23">
        <v>0</v>
      </c>
      <c r="H1723" s="23">
        <v>0</v>
      </c>
      <c r="I1723" s="23">
        <v>0</v>
      </c>
      <c r="J1723" s="23">
        <v>0</v>
      </c>
      <c r="K1723" s="23">
        <v>794.20399999999995</v>
      </c>
    </row>
    <row r="1724" spans="1:11" x14ac:dyDescent="0.25">
      <c r="A1724">
        <v>1723</v>
      </c>
      <c r="B1724" s="23">
        <v>1287.915</v>
      </c>
      <c r="C1724" s="23">
        <v>0</v>
      </c>
      <c r="D1724" s="23">
        <v>0</v>
      </c>
      <c r="E1724" s="23">
        <v>0</v>
      </c>
      <c r="F1724" s="23">
        <v>0</v>
      </c>
      <c r="G1724" s="23">
        <v>0</v>
      </c>
      <c r="H1724" s="23">
        <v>0</v>
      </c>
      <c r="I1724" s="23">
        <v>0</v>
      </c>
      <c r="J1724" s="23">
        <v>0</v>
      </c>
      <c r="K1724" s="23">
        <v>1287.915</v>
      </c>
    </row>
    <row r="1725" spans="1:11" x14ac:dyDescent="0.25">
      <c r="A1725">
        <v>1724</v>
      </c>
      <c r="B1725" s="23">
        <v>1227.2</v>
      </c>
      <c r="C1725" s="23">
        <v>0</v>
      </c>
      <c r="D1725" s="23">
        <v>0</v>
      </c>
      <c r="E1725" s="23">
        <v>0</v>
      </c>
      <c r="F1725" s="23">
        <v>0</v>
      </c>
      <c r="G1725" s="23">
        <v>0</v>
      </c>
      <c r="H1725" s="23">
        <v>0</v>
      </c>
      <c r="I1725" s="23">
        <v>0</v>
      </c>
      <c r="J1725" s="23">
        <v>0</v>
      </c>
      <c r="K1725" s="23">
        <v>1227.2</v>
      </c>
    </row>
    <row r="1726" spans="1:11" x14ac:dyDescent="0.25">
      <c r="A1726">
        <v>1725</v>
      </c>
      <c r="B1726" s="23">
        <v>1147.2</v>
      </c>
      <c r="C1726" s="23">
        <v>0</v>
      </c>
      <c r="D1726" s="23">
        <v>0</v>
      </c>
      <c r="E1726" s="23">
        <v>0</v>
      </c>
      <c r="F1726" s="23">
        <v>0</v>
      </c>
      <c r="G1726" s="23">
        <v>0</v>
      </c>
      <c r="H1726" s="23">
        <v>0</v>
      </c>
      <c r="I1726" s="23">
        <v>0</v>
      </c>
      <c r="J1726" s="23">
        <v>0</v>
      </c>
      <c r="K1726" s="23">
        <v>1147.2</v>
      </c>
    </row>
    <row r="1727" spans="1:11" x14ac:dyDescent="0.25">
      <c r="A1727">
        <v>1726</v>
      </c>
      <c r="B1727" s="23">
        <v>1378.4</v>
      </c>
      <c r="C1727" s="23">
        <v>0</v>
      </c>
      <c r="D1727" s="23">
        <v>0</v>
      </c>
      <c r="E1727" s="23">
        <v>0</v>
      </c>
      <c r="F1727" s="23">
        <v>0</v>
      </c>
      <c r="G1727" s="23">
        <v>0</v>
      </c>
      <c r="H1727" s="23">
        <v>0</v>
      </c>
      <c r="I1727" s="23">
        <v>0</v>
      </c>
      <c r="J1727" s="23">
        <v>0</v>
      </c>
      <c r="K1727" s="23">
        <v>1378.4</v>
      </c>
    </row>
    <row r="1728" spans="1:11" x14ac:dyDescent="0.25">
      <c r="A1728">
        <v>1727</v>
      </c>
      <c r="B1728" s="23">
        <v>1175.2</v>
      </c>
      <c r="C1728" s="23">
        <v>0</v>
      </c>
      <c r="D1728" s="23">
        <v>0</v>
      </c>
      <c r="E1728" s="23">
        <v>0</v>
      </c>
      <c r="F1728" s="23">
        <v>0</v>
      </c>
      <c r="G1728" s="23">
        <v>0</v>
      </c>
      <c r="H1728" s="23">
        <v>0</v>
      </c>
      <c r="I1728" s="23">
        <v>1175.2</v>
      </c>
      <c r="J1728" s="23">
        <v>0</v>
      </c>
      <c r="K1728" s="23">
        <v>0</v>
      </c>
    </row>
    <row r="1729" spans="1:11" x14ac:dyDescent="0.25">
      <c r="A1729">
        <v>1728</v>
      </c>
      <c r="B1729" s="23">
        <v>160.80000000000001</v>
      </c>
      <c r="C1729" s="23">
        <v>0</v>
      </c>
      <c r="D1729" s="23">
        <v>0</v>
      </c>
      <c r="E1729" s="23">
        <v>0</v>
      </c>
      <c r="F1729" s="23">
        <v>0</v>
      </c>
      <c r="G1729" s="23">
        <v>0</v>
      </c>
      <c r="H1729" s="23">
        <v>0</v>
      </c>
      <c r="I1729" s="23">
        <v>71.069999999999993</v>
      </c>
      <c r="J1729" s="23">
        <v>0</v>
      </c>
      <c r="K1729" s="23">
        <v>89.73</v>
      </c>
    </row>
    <row r="1730" spans="1:11" x14ac:dyDescent="0.25">
      <c r="A1730">
        <v>1729</v>
      </c>
      <c r="B1730" s="23">
        <v>104.8</v>
      </c>
      <c r="C1730" s="23">
        <v>0</v>
      </c>
      <c r="D1730" s="23">
        <v>0</v>
      </c>
      <c r="E1730" s="23">
        <v>0</v>
      </c>
      <c r="F1730" s="23">
        <v>0</v>
      </c>
      <c r="G1730" s="23">
        <v>0</v>
      </c>
      <c r="H1730" s="23">
        <v>0</v>
      </c>
      <c r="I1730" s="23">
        <v>0</v>
      </c>
      <c r="J1730" s="23">
        <v>0</v>
      </c>
      <c r="K1730" s="23">
        <v>104.8</v>
      </c>
    </row>
    <row r="1731" spans="1:11" x14ac:dyDescent="0.25">
      <c r="A1731">
        <v>1730</v>
      </c>
      <c r="B1731" s="23">
        <v>106.4</v>
      </c>
      <c r="C1731" s="23">
        <v>0</v>
      </c>
      <c r="D1731" s="23">
        <v>0</v>
      </c>
      <c r="E1731" s="23">
        <v>0</v>
      </c>
      <c r="F1731" s="23">
        <v>0</v>
      </c>
      <c r="G1731" s="23">
        <v>0</v>
      </c>
      <c r="H1731" s="23">
        <v>0</v>
      </c>
      <c r="I1731" s="23">
        <v>0</v>
      </c>
      <c r="J1731" s="23">
        <v>0</v>
      </c>
      <c r="K1731" s="23">
        <v>106.4</v>
      </c>
    </row>
    <row r="1732" spans="1:11" x14ac:dyDescent="0.25">
      <c r="A1732">
        <v>1731</v>
      </c>
      <c r="B1732" s="23">
        <v>102.4</v>
      </c>
      <c r="C1732" s="23">
        <v>0</v>
      </c>
      <c r="D1732" s="23">
        <v>0</v>
      </c>
      <c r="E1732" s="23">
        <v>0</v>
      </c>
      <c r="F1732" s="23">
        <v>0</v>
      </c>
      <c r="G1732" s="23">
        <v>0</v>
      </c>
      <c r="H1732" s="23">
        <v>0</v>
      </c>
      <c r="I1732" s="23">
        <v>0</v>
      </c>
      <c r="J1732" s="23">
        <v>0</v>
      </c>
      <c r="K1732" s="23">
        <v>102.4</v>
      </c>
    </row>
    <row r="1733" spans="1:11" x14ac:dyDescent="0.25">
      <c r="A1733">
        <v>1732</v>
      </c>
      <c r="B1733" s="23">
        <v>108</v>
      </c>
      <c r="C1733" s="23">
        <v>0</v>
      </c>
      <c r="D1733" s="23">
        <v>0</v>
      </c>
      <c r="E1733" s="23">
        <v>0</v>
      </c>
      <c r="F1733" s="23">
        <v>0</v>
      </c>
      <c r="G1733" s="23">
        <v>0</v>
      </c>
      <c r="H1733" s="23">
        <v>0</v>
      </c>
      <c r="I1733" s="23">
        <v>0</v>
      </c>
      <c r="J1733" s="23">
        <v>0</v>
      </c>
      <c r="K1733" s="23">
        <v>108</v>
      </c>
    </row>
    <row r="1734" spans="1:11" x14ac:dyDescent="0.25">
      <c r="A1734">
        <v>1733</v>
      </c>
      <c r="B1734" s="23">
        <v>101.6</v>
      </c>
      <c r="C1734" s="23">
        <v>0</v>
      </c>
      <c r="D1734" s="23">
        <v>0</v>
      </c>
      <c r="E1734" s="23">
        <v>0</v>
      </c>
      <c r="F1734" s="23">
        <v>0</v>
      </c>
      <c r="G1734" s="23">
        <v>0</v>
      </c>
      <c r="H1734" s="23">
        <v>0</v>
      </c>
      <c r="I1734" s="23">
        <v>0</v>
      </c>
      <c r="J1734" s="23">
        <v>0</v>
      </c>
      <c r="K1734" s="23">
        <v>101.6</v>
      </c>
    </row>
    <row r="1735" spans="1:11" x14ac:dyDescent="0.25">
      <c r="A1735">
        <v>1734</v>
      </c>
      <c r="B1735" s="23">
        <v>104</v>
      </c>
      <c r="C1735" s="23">
        <v>0</v>
      </c>
      <c r="D1735" s="23">
        <v>0</v>
      </c>
      <c r="E1735" s="23">
        <v>0</v>
      </c>
      <c r="F1735" s="23">
        <v>0</v>
      </c>
      <c r="G1735" s="23">
        <v>0</v>
      </c>
      <c r="H1735" s="23">
        <v>0</v>
      </c>
      <c r="I1735" s="23">
        <v>0</v>
      </c>
      <c r="J1735" s="23">
        <v>0</v>
      </c>
      <c r="K1735" s="23">
        <v>104</v>
      </c>
    </row>
    <row r="1736" spans="1:11" x14ac:dyDescent="0.25">
      <c r="A1736">
        <v>1735</v>
      </c>
      <c r="B1736" s="23">
        <v>86.784999999999997</v>
      </c>
      <c r="C1736" s="23">
        <v>69.55</v>
      </c>
      <c r="D1736" s="23">
        <v>191.66499999999999</v>
      </c>
      <c r="E1736" s="23">
        <v>86.784999999999997</v>
      </c>
      <c r="F1736" s="23">
        <v>-104.88</v>
      </c>
      <c r="G1736" s="23">
        <v>0</v>
      </c>
      <c r="H1736" s="23">
        <v>0</v>
      </c>
      <c r="I1736" s="23">
        <v>0</v>
      </c>
      <c r="J1736" s="23">
        <v>0</v>
      </c>
      <c r="K1736" s="23">
        <v>0</v>
      </c>
    </row>
    <row r="1737" spans="1:11" x14ac:dyDescent="0.25">
      <c r="A1737">
        <v>1736</v>
      </c>
      <c r="B1737" s="23">
        <v>102.491</v>
      </c>
      <c r="C1737" s="23">
        <v>313.02999999999997</v>
      </c>
      <c r="D1737" s="23">
        <v>1212.0840000000001</v>
      </c>
      <c r="E1737" s="23">
        <v>102.491</v>
      </c>
      <c r="F1737" s="23">
        <v>-1109.5930000000001</v>
      </c>
      <c r="G1737" s="23">
        <v>0</v>
      </c>
      <c r="H1737" s="23">
        <v>0</v>
      </c>
      <c r="I1737" s="23">
        <v>0</v>
      </c>
      <c r="J1737" s="23">
        <v>0</v>
      </c>
      <c r="K1737" s="23">
        <v>0</v>
      </c>
    </row>
    <row r="1738" spans="1:11" x14ac:dyDescent="0.25">
      <c r="A1738">
        <v>1737</v>
      </c>
      <c r="B1738" s="23">
        <v>1053.7190000000001</v>
      </c>
      <c r="C1738" s="23">
        <v>570.49</v>
      </c>
      <c r="D1738" s="23">
        <v>2249.337</v>
      </c>
      <c r="E1738" s="23">
        <v>1053.7190000000001</v>
      </c>
      <c r="F1738" s="23">
        <v>-1195.6179999999999</v>
      </c>
      <c r="G1738" s="23">
        <v>0</v>
      </c>
      <c r="H1738" s="23">
        <v>0</v>
      </c>
      <c r="I1738" s="23">
        <v>0</v>
      </c>
      <c r="J1738" s="23">
        <v>0</v>
      </c>
      <c r="K1738" s="23">
        <v>0</v>
      </c>
    </row>
    <row r="1739" spans="1:11" x14ac:dyDescent="0.25">
      <c r="A1739">
        <v>1738</v>
      </c>
      <c r="B1739" s="23">
        <v>1351.25</v>
      </c>
      <c r="C1739" s="23">
        <v>792.48</v>
      </c>
      <c r="D1739" s="23">
        <v>3007.3820000000001</v>
      </c>
      <c r="E1739" s="23">
        <v>1351.25</v>
      </c>
      <c r="F1739" s="23">
        <v>-1656.1320000000001</v>
      </c>
      <c r="G1739" s="23">
        <v>0</v>
      </c>
      <c r="H1739" s="23">
        <v>0</v>
      </c>
      <c r="I1739" s="23">
        <v>0</v>
      </c>
      <c r="J1739" s="23">
        <v>0</v>
      </c>
      <c r="K1739" s="23">
        <v>0</v>
      </c>
    </row>
    <row r="1740" spans="1:11" x14ac:dyDescent="0.25">
      <c r="A1740">
        <v>1739</v>
      </c>
      <c r="B1740" s="23">
        <v>1014.359</v>
      </c>
      <c r="C1740" s="23">
        <v>951.51</v>
      </c>
      <c r="D1740" s="23">
        <v>3496.605</v>
      </c>
      <c r="E1740" s="23">
        <v>1014.36</v>
      </c>
      <c r="F1740" s="23">
        <v>-1684.559</v>
      </c>
      <c r="G1740" s="23">
        <v>0</v>
      </c>
      <c r="H1740" s="23">
        <v>797.68600000000004</v>
      </c>
      <c r="I1740" s="23">
        <v>0</v>
      </c>
      <c r="J1740" s="23">
        <v>0</v>
      </c>
      <c r="K1740" s="23">
        <v>0</v>
      </c>
    </row>
    <row r="1741" spans="1:11" x14ac:dyDescent="0.25">
      <c r="A1741">
        <v>1740</v>
      </c>
      <c r="B1741" s="23">
        <v>1130.671</v>
      </c>
      <c r="C1741" s="23">
        <v>584.14</v>
      </c>
      <c r="D1741" s="23">
        <v>2165.636</v>
      </c>
      <c r="E1741" s="23">
        <v>1130.671</v>
      </c>
      <c r="F1741" s="23">
        <v>-1034.9649999999999</v>
      </c>
      <c r="G1741" s="23">
        <v>0</v>
      </c>
      <c r="H1741" s="23">
        <v>0</v>
      </c>
      <c r="I1741" s="23">
        <v>0</v>
      </c>
      <c r="J1741" s="23">
        <v>0</v>
      </c>
      <c r="K1741" s="23">
        <v>0</v>
      </c>
    </row>
    <row r="1742" spans="1:11" x14ac:dyDescent="0.25">
      <c r="A1742">
        <v>1741</v>
      </c>
      <c r="B1742" s="23">
        <v>1327.615</v>
      </c>
      <c r="C1742" s="23">
        <v>711.91</v>
      </c>
      <c r="D1742" s="23">
        <v>2614.9960000000001</v>
      </c>
      <c r="E1742" s="23">
        <v>1327.616</v>
      </c>
      <c r="F1742" s="23">
        <v>-505.75099999999998</v>
      </c>
      <c r="G1742" s="23">
        <v>0</v>
      </c>
      <c r="H1742" s="23">
        <v>781.62900000000002</v>
      </c>
      <c r="I1742" s="23">
        <v>0</v>
      </c>
      <c r="J1742" s="23">
        <v>0</v>
      </c>
      <c r="K1742" s="23">
        <v>0</v>
      </c>
    </row>
    <row r="1743" spans="1:11" x14ac:dyDescent="0.25">
      <c r="A1743">
        <v>1742</v>
      </c>
      <c r="B1743" s="23">
        <v>1312.509</v>
      </c>
      <c r="C1743" s="23">
        <v>960.03</v>
      </c>
      <c r="D1743" s="23">
        <v>3525.895</v>
      </c>
      <c r="E1743" s="23">
        <v>1312.509</v>
      </c>
      <c r="F1743" s="23">
        <v>0</v>
      </c>
      <c r="G1743" s="23">
        <v>0</v>
      </c>
      <c r="H1743" s="23">
        <v>2213.386</v>
      </c>
      <c r="I1743" s="23">
        <v>0</v>
      </c>
      <c r="J1743" s="23">
        <v>0</v>
      </c>
      <c r="K1743" s="23">
        <v>0</v>
      </c>
    </row>
    <row r="1744" spans="1:11" x14ac:dyDescent="0.25">
      <c r="A1744">
        <v>1743</v>
      </c>
      <c r="B1744" s="23">
        <v>1182.509</v>
      </c>
      <c r="C1744" s="23">
        <v>808.98</v>
      </c>
      <c r="D1744" s="23">
        <v>3058.5279999999998</v>
      </c>
      <c r="E1744" s="23">
        <v>1182.509</v>
      </c>
      <c r="F1744" s="23">
        <v>0</v>
      </c>
      <c r="G1744" s="23">
        <v>0</v>
      </c>
      <c r="H1744" s="23">
        <v>1876.019</v>
      </c>
      <c r="I1744" s="23">
        <v>0</v>
      </c>
      <c r="J1744" s="23">
        <v>0</v>
      </c>
      <c r="K1744" s="23">
        <v>0</v>
      </c>
    </row>
    <row r="1745" spans="1:11" x14ac:dyDescent="0.25">
      <c r="A1745">
        <v>1744</v>
      </c>
      <c r="B1745" s="23">
        <v>1270.68</v>
      </c>
      <c r="C1745" s="23">
        <v>593.39</v>
      </c>
      <c r="D1745" s="23">
        <v>2323.3319999999999</v>
      </c>
      <c r="E1745" s="23">
        <v>1270.68</v>
      </c>
      <c r="F1745" s="23">
        <v>0</v>
      </c>
      <c r="G1745" s="23">
        <v>0</v>
      </c>
      <c r="H1745" s="23">
        <v>1052.652</v>
      </c>
      <c r="I1745" s="23">
        <v>0</v>
      </c>
      <c r="J1745" s="23">
        <v>0</v>
      </c>
      <c r="K1745" s="23">
        <v>0</v>
      </c>
    </row>
    <row r="1746" spans="1:11" x14ac:dyDescent="0.25">
      <c r="A1746">
        <v>1745</v>
      </c>
      <c r="B1746" s="23">
        <v>1403.7529999999999</v>
      </c>
      <c r="C1746" s="23">
        <v>339.53</v>
      </c>
      <c r="D1746" s="23">
        <v>1317.925</v>
      </c>
      <c r="E1746" s="23">
        <v>1317.925</v>
      </c>
      <c r="F1746" s="23">
        <v>0</v>
      </c>
      <c r="G1746" s="23">
        <v>0</v>
      </c>
      <c r="H1746" s="23">
        <v>0</v>
      </c>
      <c r="I1746" s="23">
        <v>85.828000000000003</v>
      </c>
      <c r="J1746" s="23">
        <v>0</v>
      </c>
      <c r="K1746" s="23">
        <v>0</v>
      </c>
    </row>
    <row r="1747" spans="1:11" x14ac:dyDescent="0.25">
      <c r="A1747">
        <v>1746</v>
      </c>
      <c r="B1747" s="23">
        <v>1739.825</v>
      </c>
      <c r="C1747" s="23">
        <v>90.05</v>
      </c>
      <c r="D1747" s="23">
        <v>262.94200000000001</v>
      </c>
      <c r="E1747" s="23">
        <v>262.94200000000001</v>
      </c>
      <c r="F1747" s="23">
        <v>0</v>
      </c>
      <c r="G1747" s="23">
        <v>0</v>
      </c>
      <c r="H1747" s="23">
        <v>0</v>
      </c>
      <c r="I1747" s="23">
        <v>0</v>
      </c>
      <c r="J1747" s="23">
        <v>0</v>
      </c>
      <c r="K1747" s="23">
        <v>1476.883</v>
      </c>
    </row>
    <row r="1748" spans="1:11" x14ac:dyDescent="0.25">
      <c r="A1748">
        <v>1747</v>
      </c>
      <c r="B1748" s="23">
        <v>1588.7750000000001</v>
      </c>
      <c r="C1748" s="23">
        <v>0</v>
      </c>
      <c r="D1748" s="23">
        <v>0</v>
      </c>
      <c r="E1748" s="23">
        <v>0</v>
      </c>
      <c r="F1748" s="23">
        <v>0</v>
      </c>
      <c r="G1748" s="23">
        <v>0</v>
      </c>
      <c r="H1748" s="23">
        <v>0</v>
      </c>
      <c r="I1748" s="23">
        <v>0</v>
      </c>
      <c r="J1748" s="23">
        <v>0</v>
      </c>
      <c r="K1748" s="23">
        <v>1588.7750000000001</v>
      </c>
    </row>
    <row r="1749" spans="1:11" x14ac:dyDescent="0.25">
      <c r="A1749">
        <v>1748</v>
      </c>
      <c r="B1749" s="23">
        <v>1500.8</v>
      </c>
      <c r="C1749" s="23">
        <v>0</v>
      </c>
      <c r="D1749" s="23">
        <v>0</v>
      </c>
      <c r="E1749" s="23">
        <v>0</v>
      </c>
      <c r="F1749" s="23">
        <v>0</v>
      </c>
      <c r="G1749" s="23">
        <v>0</v>
      </c>
      <c r="H1749" s="23">
        <v>0</v>
      </c>
      <c r="I1749" s="23">
        <v>0</v>
      </c>
      <c r="J1749" s="23">
        <v>0</v>
      </c>
      <c r="K1749" s="23">
        <v>1500.8</v>
      </c>
    </row>
    <row r="1750" spans="1:11" x14ac:dyDescent="0.25">
      <c r="A1750">
        <v>1749</v>
      </c>
      <c r="B1750" s="23">
        <v>1536</v>
      </c>
      <c r="C1750" s="23">
        <v>0</v>
      </c>
      <c r="D1750" s="23">
        <v>0</v>
      </c>
      <c r="E1750" s="23">
        <v>0</v>
      </c>
      <c r="F1750" s="23">
        <v>0</v>
      </c>
      <c r="G1750" s="23">
        <v>0</v>
      </c>
      <c r="H1750" s="23">
        <v>0</v>
      </c>
      <c r="I1750" s="23">
        <v>1358.6079999999999</v>
      </c>
      <c r="J1750" s="23">
        <v>0</v>
      </c>
      <c r="K1750" s="23">
        <v>177.392</v>
      </c>
    </row>
    <row r="1751" spans="1:11" x14ac:dyDescent="0.25">
      <c r="A1751">
        <v>1750</v>
      </c>
      <c r="B1751" s="23">
        <v>1589.6</v>
      </c>
      <c r="C1751" s="23">
        <v>0</v>
      </c>
      <c r="D1751" s="23">
        <v>0</v>
      </c>
      <c r="E1751" s="23">
        <v>0</v>
      </c>
      <c r="F1751" s="23">
        <v>0</v>
      </c>
      <c r="G1751" s="23">
        <v>0</v>
      </c>
      <c r="H1751" s="23">
        <v>0</v>
      </c>
      <c r="I1751" s="23">
        <v>0</v>
      </c>
      <c r="J1751" s="23">
        <v>0</v>
      </c>
      <c r="K1751" s="23">
        <v>1589.6</v>
      </c>
    </row>
    <row r="1752" spans="1:11" x14ac:dyDescent="0.25">
      <c r="A1752">
        <v>1751</v>
      </c>
      <c r="B1752" s="23">
        <v>1916</v>
      </c>
      <c r="C1752" s="23">
        <v>0</v>
      </c>
      <c r="D1752" s="23">
        <v>0</v>
      </c>
      <c r="E1752" s="23">
        <v>0</v>
      </c>
      <c r="F1752" s="23">
        <v>0</v>
      </c>
      <c r="G1752" s="23">
        <v>0</v>
      </c>
      <c r="H1752" s="23">
        <v>0</v>
      </c>
      <c r="I1752" s="23">
        <v>1916</v>
      </c>
      <c r="J1752" s="23">
        <v>0</v>
      </c>
      <c r="K1752" s="23">
        <v>0</v>
      </c>
    </row>
    <row r="1753" spans="1:11" x14ac:dyDescent="0.25">
      <c r="A1753">
        <v>1752</v>
      </c>
      <c r="B1753" s="23">
        <v>192</v>
      </c>
      <c r="C1753" s="23">
        <v>0</v>
      </c>
      <c r="D1753" s="23">
        <v>0</v>
      </c>
      <c r="E1753" s="23">
        <v>0</v>
      </c>
      <c r="F1753" s="23">
        <v>0</v>
      </c>
      <c r="G1753" s="23">
        <v>0</v>
      </c>
      <c r="H1753" s="23">
        <v>0</v>
      </c>
      <c r="I1753" s="23">
        <v>192</v>
      </c>
      <c r="J1753" s="23">
        <v>0</v>
      </c>
      <c r="K1753" s="23">
        <v>0</v>
      </c>
    </row>
    <row r="1754" spans="1:11" x14ac:dyDescent="0.25">
      <c r="A1754">
        <v>1753</v>
      </c>
      <c r="B1754" s="23">
        <v>107.2</v>
      </c>
      <c r="C1754" s="23">
        <v>0</v>
      </c>
      <c r="D1754" s="23">
        <v>0</v>
      </c>
      <c r="E1754" s="23">
        <v>0</v>
      </c>
      <c r="F1754" s="23">
        <v>0</v>
      </c>
      <c r="G1754" s="23">
        <v>0</v>
      </c>
      <c r="H1754" s="23">
        <v>0</v>
      </c>
      <c r="I1754" s="23">
        <v>107.2</v>
      </c>
      <c r="J1754" s="23">
        <v>0</v>
      </c>
      <c r="K1754" s="23">
        <v>0</v>
      </c>
    </row>
    <row r="1755" spans="1:11" x14ac:dyDescent="0.25">
      <c r="A1755">
        <v>1754</v>
      </c>
      <c r="B1755" s="23">
        <v>116</v>
      </c>
      <c r="C1755" s="23">
        <v>0</v>
      </c>
      <c r="D1755" s="23">
        <v>0</v>
      </c>
      <c r="E1755" s="23">
        <v>0</v>
      </c>
      <c r="F1755" s="23">
        <v>0</v>
      </c>
      <c r="G1755" s="23">
        <v>0</v>
      </c>
      <c r="H1755" s="23">
        <v>0</v>
      </c>
      <c r="I1755" s="23">
        <v>116</v>
      </c>
      <c r="J1755" s="23">
        <v>0</v>
      </c>
      <c r="K1755" s="23">
        <v>0</v>
      </c>
    </row>
    <row r="1756" spans="1:11" x14ac:dyDescent="0.25">
      <c r="A1756">
        <v>1755</v>
      </c>
      <c r="B1756" s="23">
        <v>110.4</v>
      </c>
      <c r="C1756" s="23">
        <v>0</v>
      </c>
      <c r="D1756" s="23">
        <v>0</v>
      </c>
      <c r="E1756" s="23">
        <v>0</v>
      </c>
      <c r="F1756" s="23">
        <v>0</v>
      </c>
      <c r="G1756" s="23">
        <v>0</v>
      </c>
      <c r="H1756" s="23">
        <v>0</v>
      </c>
      <c r="I1756" s="23">
        <v>110.4</v>
      </c>
      <c r="J1756" s="23">
        <v>0</v>
      </c>
      <c r="K1756" s="23">
        <v>0</v>
      </c>
    </row>
    <row r="1757" spans="1:11" x14ac:dyDescent="0.25">
      <c r="A1757">
        <v>1756</v>
      </c>
      <c r="B1757" s="23">
        <v>110.4</v>
      </c>
      <c r="C1757" s="23">
        <v>0</v>
      </c>
      <c r="D1757" s="23">
        <v>0</v>
      </c>
      <c r="E1757" s="23">
        <v>0</v>
      </c>
      <c r="F1757" s="23">
        <v>0</v>
      </c>
      <c r="G1757" s="23">
        <v>0</v>
      </c>
      <c r="H1757" s="23">
        <v>0</v>
      </c>
      <c r="I1757" s="23">
        <v>110.4</v>
      </c>
      <c r="J1757" s="23">
        <v>0</v>
      </c>
      <c r="K1757" s="23">
        <v>0</v>
      </c>
    </row>
    <row r="1758" spans="1:11" x14ac:dyDescent="0.25">
      <c r="A1758">
        <v>1757</v>
      </c>
      <c r="B1758" s="23">
        <v>108</v>
      </c>
      <c r="C1758" s="23">
        <v>0</v>
      </c>
      <c r="D1758" s="23">
        <v>0</v>
      </c>
      <c r="E1758" s="23">
        <v>0</v>
      </c>
      <c r="F1758" s="23">
        <v>0</v>
      </c>
      <c r="G1758" s="23">
        <v>0</v>
      </c>
      <c r="H1758" s="23">
        <v>0</v>
      </c>
      <c r="I1758" s="23">
        <v>0</v>
      </c>
      <c r="J1758" s="23">
        <v>0</v>
      </c>
      <c r="K1758" s="23">
        <v>108</v>
      </c>
    </row>
    <row r="1759" spans="1:11" x14ac:dyDescent="0.25">
      <c r="A1759">
        <v>1758</v>
      </c>
      <c r="B1759" s="23">
        <v>110.4</v>
      </c>
      <c r="C1759" s="23">
        <v>0</v>
      </c>
      <c r="D1759" s="23">
        <v>0</v>
      </c>
      <c r="E1759" s="23">
        <v>0</v>
      </c>
      <c r="F1759" s="23">
        <v>0</v>
      </c>
      <c r="G1759" s="23">
        <v>0</v>
      </c>
      <c r="H1759" s="23">
        <v>0</v>
      </c>
      <c r="I1759" s="23">
        <v>0</v>
      </c>
      <c r="J1759" s="23">
        <v>0</v>
      </c>
      <c r="K1759" s="23">
        <v>110.4</v>
      </c>
    </row>
    <row r="1760" spans="1:11" x14ac:dyDescent="0.25">
      <c r="A1760">
        <v>1759</v>
      </c>
      <c r="B1760" s="23">
        <v>103.221</v>
      </c>
      <c r="C1760" s="23">
        <v>74.319999999999993</v>
      </c>
      <c r="D1760" s="23">
        <v>201.12899999999999</v>
      </c>
      <c r="E1760" s="23">
        <v>103.221</v>
      </c>
      <c r="F1760" s="23">
        <v>-97.908000000000001</v>
      </c>
      <c r="G1760" s="23">
        <v>0</v>
      </c>
      <c r="H1760" s="23">
        <v>0</v>
      </c>
      <c r="I1760" s="23">
        <v>0</v>
      </c>
      <c r="J1760" s="23">
        <v>0</v>
      </c>
      <c r="K1760" s="23">
        <v>0</v>
      </c>
    </row>
    <row r="1761" spans="1:11" x14ac:dyDescent="0.25">
      <c r="A1761">
        <v>1760</v>
      </c>
      <c r="B1761" s="23">
        <v>126.773</v>
      </c>
      <c r="C1761" s="23">
        <v>324.47000000000003</v>
      </c>
      <c r="D1761" s="23">
        <v>1262.713</v>
      </c>
      <c r="E1761" s="23">
        <v>126.773</v>
      </c>
      <c r="F1761" s="23">
        <v>-1135.94</v>
      </c>
      <c r="G1761" s="23">
        <v>0</v>
      </c>
      <c r="H1761" s="23">
        <v>0</v>
      </c>
      <c r="I1761" s="23">
        <v>0</v>
      </c>
      <c r="J1761" s="23">
        <v>0</v>
      </c>
      <c r="K1761" s="23">
        <v>0</v>
      </c>
    </row>
    <row r="1762" spans="1:11" x14ac:dyDescent="0.25">
      <c r="A1762">
        <v>1761</v>
      </c>
      <c r="B1762" s="23">
        <v>999.96600000000001</v>
      </c>
      <c r="C1762" s="23">
        <v>574.04999999999995</v>
      </c>
      <c r="D1762" s="23">
        <v>2288.018</v>
      </c>
      <c r="E1762" s="23">
        <v>999.96600000000001</v>
      </c>
      <c r="F1762" s="23">
        <v>-1288.0519999999999</v>
      </c>
      <c r="G1762" s="23">
        <v>0</v>
      </c>
      <c r="H1762" s="23">
        <v>0</v>
      </c>
      <c r="I1762" s="23">
        <v>0</v>
      </c>
      <c r="J1762" s="23">
        <v>0</v>
      </c>
      <c r="K1762" s="23">
        <v>0</v>
      </c>
    </row>
    <row r="1763" spans="1:11" x14ac:dyDescent="0.25">
      <c r="A1763">
        <v>1762</v>
      </c>
      <c r="B1763" s="23">
        <v>1972.895</v>
      </c>
      <c r="C1763" s="23">
        <v>799.4</v>
      </c>
      <c r="D1763" s="23">
        <v>3079.2370000000001</v>
      </c>
      <c r="E1763" s="23">
        <v>1972.895</v>
      </c>
      <c r="F1763" s="23">
        <v>-1106.3420000000001</v>
      </c>
      <c r="G1763" s="23">
        <v>0</v>
      </c>
      <c r="H1763" s="23">
        <v>0</v>
      </c>
      <c r="I1763" s="23">
        <v>0</v>
      </c>
      <c r="J1763" s="23">
        <v>0</v>
      </c>
      <c r="K1763" s="23">
        <v>0</v>
      </c>
    </row>
    <row r="1764" spans="1:11" x14ac:dyDescent="0.25">
      <c r="A1764">
        <v>1763</v>
      </c>
      <c r="B1764" s="23">
        <v>1497.2629999999999</v>
      </c>
      <c r="C1764" s="23">
        <v>951.9</v>
      </c>
      <c r="D1764" s="23">
        <v>3558.8209999999999</v>
      </c>
      <c r="E1764" s="23">
        <v>1497.2629999999999</v>
      </c>
      <c r="F1764" s="23">
        <v>-1684.559</v>
      </c>
      <c r="G1764" s="23">
        <v>0</v>
      </c>
      <c r="H1764" s="23">
        <v>376.99900000000002</v>
      </c>
      <c r="I1764" s="23">
        <v>0</v>
      </c>
      <c r="J1764" s="23">
        <v>0</v>
      </c>
      <c r="K1764" s="23">
        <v>0</v>
      </c>
    </row>
    <row r="1765" spans="1:11" x14ac:dyDescent="0.25">
      <c r="A1765">
        <v>1764</v>
      </c>
      <c r="B1765" s="23">
        <v>1447.357</v>
      </c>
      <c r="C1765" s="23">
        <v>976.32</v>
      </c>
      <c r="D1765" s="23">
        <v>3594.0619999999999</v>
      </c>
      <c r="E1765" s="23">
        <v>1447.357</v>
      </c>
      <c r="F1765" s="23">
        <v>-1684.559</v>
      </c>
      <c r="G1765" s="23">
        <v>0</v>
      </c>
      <c r="H1765" s="23">
        <v>462.14600000000002</v>
      </c>
      <c r="I1765" s="23">
        <v>0</v>
      </c>
      <c r="J1765" s="23">
        <v>0</v>
      </c>
      <c r="K1765" s="23">
        <v>0</v>
      </c>
    </row>
    <row r="1766" spans="1:11" x14ac:dyDescent="0.25">
      <c r="A1766">
        <v>1765</v>
      </c>
      <c r="B1766" s="23">
        <v>1492.3969999999999</v>
      </c>
      <c r="C1766" s="23">
        <v>1037.67</v>
      </c>
      <c r="D1766" s="23">
        <v>3799.732</v>
      </c>
      <c r="E1766" s="23">
        <v>1492.3969999999999</v>
      </c>
      <c r="F1766" s="23">
        <v>-294.137</v>
      </c>
      <c r="G1766" s="23">
        <v>0</v>
      </c>
      <c r="H1766" s="23">
        <v>2013.1980000000001</v>
      </c>
      <c r="I1766" s="23">
        <v>0</v>
      </c>
      <c r="J1766" s="23">
        <v>0</v>
      </c>
      <c r="K1766" s="23">
        <v>0</v>
      </c>
    </row>
    <row r="1767" spans="1:11" x14ac:dyDescent="0.25">
      <c r="A1767">
        <v>1766</v>
      </c>
      <c r="B1767" s="23">
        <v>1665.9829999999999</v>
      </c>
      <c r="C1767" s="23">
        <v>946.85</v>
      </c>
      <c r="D1767" s="23">
        <v>3507.3029999999999</v>
      </c>
      <c r="E1767" s="23">
        <v>1665.9829999999999</v>
      </c>
      <c r="F1767" s="23">
        <v>0</v>
      </c>
      <c r="G1767" s="23">
        <v>0</v>
      </c>
      <c r="H1767" s="23">
        <v>1841.32</v>
      </c>
      <c r="I1767" s="23">
        <v>0</v>
      </c>
      <c r="J1767" s="23">
        <v>0</v>
      </c>
      <c r="K1767" s="23">
        <v>0</v>
      </c>
    </row>
    <row r="1768" spans="1:11" x14ac:dyDescent="0.25">
      <c r="A1768">
        <v>1767</v>
      </c>
      <c r="B1768" s="23">
        <v>1335.1559999999999</v>
      </c>
      <c r="C1768" s="23">
        <v>779.82</v>
      </c>
      <c r="D1768" s="23">
        <v>2954.7060000000001</v>
      </c>
      <c r="E1768" s="23">
        <v>1335.1559999999999</v>
      </c>
      <c r="F1768" s="23">
        <v>0</v>
      </c>
      <c r="G1768" s="23">
        <v>0</v>
      </c>
      <c r="H1768" s="23">
        <v>1619.55</v>
      </c>
      <c r="I1768" s="23">
        <v>0</v>
      </c>
      <c r="J1768" s="23">
        <v>0</v>
      </c>
      <c r="K1768" s="23">
        <v>0</v>
      </c>
    </row>
    <row r="1769" spans="1:11" x14ac:dyDescent="0.25">
      <c r="A1769">
        <v>1768</v>
      </c>
      <c r="B1769" s="23">
        <v>1587.9010000000001</v>
      </c>
      <c r="C1769" s="23">
        <v>568.66999999999996</v>
      </c>
      <c r="D1769" s="23">
        <v>2222.3719999999998</v>
      </c>
      <c r="E1769" s="23">
        <v>1587.9010000000001</v>
      </c>
      <c r="F1769" s="23">
        <v>0</v>
      </c>
      <c r="G1769" s="23">
        <v>0</v>
      </c>
      <c r="H1769" s="23">
        <v>634.471</v>
      </c>
      <c r="I1769" s="23">
        <v>0</v>
      </c>
      <c r="J1769" s="23">
        <v>0</v>
      </c>
      <c r="K1769" s="23">
        <v>0</v>
      </c>
    </row>
    <row r="1770" spans="1:11" x14ac:dyDescent="0.25">
      <c r="A1770">
        <v>1769</v>
      </c>
      <c r="B1770" s="23">
        <v>1409.1220000000001</v>
      </c>
      <c r="C1770" s="23">
        <v>313.01</v>
      </c>
      <c r="D1770" s="23">
        <v>1212.951</v>
      </c>
      <c r="E1770" s="23">
        <v>1212.951</v>
      </c>
      <c r="F1770" s="23">
        <v>0</v>
      </c>
      <c r="G1770" s="23">
        <v>0</v>
      </c>
      <c r="H1770" s="23">
        <v>0</v>
      </c>
      <c r="I1770" s="23">
        <v>196.17099999999999</v>
      </c>
      <c r="J1770" s="23">
        <v>0</v>
      </c>
      <c r="K1770" s="23">
        <v>0</v>
      </c>
    </row>
    <row r="1771" spans="1:11" x14ac:dyDescent="0.25">
      <c r="A1771">
        <v>1770</v>
      </c>
      <c r="B1771" s="23">
        <v>1956.7919999999999</v>
      </c>
      <c r="C1771" s="23">
        <v>74.87</v>
      </c>
      <c r="D1771" s="23">
        <v>231.09</v>
      </c>
      <c r="E1771" s="23">
        <v>231.09</v>
      </c>
      <c r="F1771" s="23">
        <v>0</v>
      </c>
      <c r="G1771" s="23">
        <v>0</v>
      </c>
      <c r="H1771" s="23">
        <v>0</v>
      </c>
      <c r="I1771" s="23">
        <v>41.142000000000003</v>
      </c>
      <c r="J1771" s="23">
        <v>0</v>
      </c>
      <c r="K1771" s="23">
        <v>1684.559</v>
      </c>
    </row>
    <row r="1772" spans="1:11" x14ac:dyDescent="0.25">
      <c r="A1772">
        <v>1771</v>
      </c>
      <c r="B1772" s="23">
        <v>1705.4860000000001</v>
      </c>
      <c r="C1772" s="23">
        <v>0</v>
      </c>
      <c r="D1772" s="23">
        <v>0</v>
      </c>
      <c r="E1772" s="23">
        <v>0</v>
      </c>
      <c r="F1772" s="23">
        <v>0</v>
      </c>
      <c r="G1772" s="23">
        <v>0</v>
      </c>
      <c r="H1772" s="23">
        <v>0</v>
      </c>
      <c r="I1772" s="23">
        <v>20.927</v>
      </c>
      <c r="J1772" s="23">
        <v>0</v>
      </c>
      <c r="K1772" s="23">
        <v>1684.559</v>
      </c>
    </row>
    <row r="1773" spans="1:11" x14ac:dyDescent="0.25">
      <c r="A1773">
        <v>1772</v>
      </c>
      <c r="B1773" s="23">
        <v>1647.2</v>
      </c>
      <c r="C1773" s="23">
        <v>0</v>
      </c>
      <c r="D1773" s="23">
        <v>0</v>
      </c>
      <c r="E1773" s="23">
        <v>0</v>
      </c>
      <c r="F1773" s="23">
        <v>0</v>
      </c>
      <c r="G1773" s="23">
        <v>0</v>
      </c>
      <c r="H1773" s="23">
        <v>0</v>
      </c>
      <c r="I1773" s="23">
        <v>0</v>
      </c>
      <c r="J1773" s="23">
        <v>0</v>
      </c>
      <c r="K1773" s="23">
        <v>1647.2</v>
      </c>
    </row>
    <row r="1774" spans="1:11" x14ac:dyDescent="0.25">
      <c r="A1774">
        <v>1773</v>
      </c>
      <c r="B1774" s="23">
        <v>1580.8</v>
      </c>
      <c r="C1774" s="23">
        <v>0</v>
      </c>
      <c r="D1774" s="23">
        <v>0</v>
      </c>
      <c r="E1774" s="23">
        <v>0</v>
      </c>
      <c r="F1774" s="23">
        <v>0</v>
      </c>
      <c r="G1774" s="23">
        <v>0</v>
      </c>
      <c r="H1774" s="23">
        <v>0</v>
      </c>
      <c r="I1774" s="23">
        <v>1580.8</v>
      </c>
      <c r="J1774" s="23">
        <v>0</v>
      </c>
      <c r="K1774" s="23">
        <v>0</v>
      </c>
    </row>
    <row r="1775" spans="1:11" x14ac:dyDescent="0.25">
      <c r="A1775">
        <v>1774</v>
      </c>
      <c r="B1775" s="23">
        <v>1783.2</v>
      </c>
      <c r="C1775" s="23">
        <v>0</v>
      </c>
      <c r="D1775" s="23">
        <v>0</v>
      </c>
      <c r="E1775" s="23">
        <v>0</v>
      </c>
      <c r="F1775" s="23">
        <v>0</v>
      </c>
      <c r="G1775" s="23">
        <v>0</v>
      </c>
      <c r="H1775" s="23">
        <v>0</v>
      </c>
      <c r="I1775" s="23">
        <v>1783.2</v>
      </c>
      <c r="J1775" s="23">
        <v>0</v>
      </c>
      <c r="K1775" s="23">
        <v>0</v>
      </c>
    </row>
    <row r="1776" spans="1:11" x14ac:dyDescent="0.25">
      <c r="A1776">
        <v>1775</v>
      </c>
      <c r="B1776" s="23">
        <v>1466.4</v>
      </c>
      <c r="C1776" s="23">
        <v>0</v>
      </c>
      <c r="D1776" s="23">
        <v>0</v>
      </c>
      <c r="E1776" s="23">
        <v>0</v>
      </c>
      <c r="F1776" s="23">
        <v>0</v>
      </c>
      <c r="G1776" s="23">
        <v>0</v>
      </c>
      <c r="H1776" s="23">
        <v>0</v>
      </c>
      <c r="I1776" s="23">
        <v>1466.4</v>
      </c>
      <c r="J1776" s="23">
        <v>0</v>
      </c>
      <c r="K1776" s="23">
        <v>0</v>
      </c>
    </row>
    <row r="1777" spans="1:11" x14ac:dyDescent="0.25">
      <c r="A1777">
        <v>1776</v>
      </c>
      <c r="B1777" s="23">
        <v>1642.4</v>
      </c>
      <c r="C1777" s="23">
        <v>0</v>
      </c>
      <c r="D1777" s="23">
        <v>0</v>
      </c>
      <c r="E1777" s="23">
        <v>0</v>
      </c>
      <c r="F1777" s="23">
        <v>0</v>
      </c>
      <c r="G1777" s="23">
        <v>0</v>
      </c>
      <c r="H1777" s="23">
        <v>0</v>
      </c>
      <c r="I1777" s="23">
        <v>1642.4</v>
      </c>
      <c r="J1777" s="23">
        <v>0</v>
      </c>
      <c r="K1777" s="23">
        <v>0</v>
      </c>
    </row>
    <row r="1778" spans="1:11" x14ac:dyDescent="0.25">
      <c r="A1778">
        <v>1777</v>
      </c>
      <c r="B1778" s="23">
        <v>1504</v>
      </c>
      <c r="C1778" s="23">
        <v>0</v>
      </c>
      <c r="D1778" s="23">
        <v>0</v>
      </c>
      <c r="E1778" s="23">
        <v>0</v>
      </c>
      <c r="F1778" s="23">
        <v>0</v>
      </c>
      <c r="G1778" s="23">
        <v>0</v>
      </c>
      <c r="H1778" s="23">
        <v>0</v>
      </c>
      <c r="I1778" s="23">
        <v>1504</v>
      </c>
      <c r="J1778" s="23">
        <v>0</v>
      </c>
      <c r="K1778" s="23">
        <v>0</v>
      </c>
    </row>
    <row r="1779" spans="1:11" x14ac:dyDescent="0.25">
      <c r="A1779">
        <v>1778</v>
      </c>
      <c r="B1779" s="23">
        <v>1396</v>
      </c>
      <c r="C1779" s="23">
        <v>0</v>
      </c>
      <c r="D1779" s="23">
        <v>0</v>
      </c>
      <c r="E1779" s="23">
        <v>0</v>
      </c>
      <c r="F1779" s="23">
        <v>0</v>
      </c>
      <c r="G1779" s="23">
        <v>0</v>
      </c>
      <c r="H1779" s="23">
        <v>0</v>
      </c>
      <c r="I1779" s="23">
        <v>1396</v>
      </c>
      <c r="J1779" s="23">
        <v>0</v>
      </c>
      <c r="K1779" s="23">
        <v>0</v>
      </c>
    </row>
    <row r="1780" spans="1:11" x14ac:dyDescent="0.25">
      <c r="A1780">
        <v>1779</v>
      </c>
      <c r="B1780" s="23">
        <v>1258.4000000000001</v>
      </c>
      <c r="C1780" s="23">
        <v>0</v>
      </c>
      <c r="D1780" s="23">
        <v>0</v>
      </c>
      <c r="E1780" s="23">
        <v>0</v>
      </c>
      <c r="F1780" s="23">
        <v>0</v>
      </c>
      <c r="G1780" s="23">
        <v>0</v>
      </c>
      <c r="H1780" s="23">
        <v>0</v>
      </c>
      <c r="I1780" s="23">
        <v>1258.4000000000001</v>
      </c>
      <c r="J1780" s="23">
        <v>0</v>
      </c>
      <c r="K1780" s="23">
        <v>0</v>
      </c>
    </row>
    <row r="1781" spans="1:11" x14ac:dyDescent="0.25">
      <c r="A1781">
        <v>1780</v>
      </c>
      <c r="B1781" s="23">
        <v>1348.8</v>
      </c>
      <c r="C1781" s="23">
        <v>0</v>
      </c>
      <c r="D1781" s="23">
        <v>0</v>
      </c>
      <c r="E1781" s="23">
        <v>0</v>
      </c>
      <c r="F1781" s="23">
        <v>0</v>
      </c>
      <c r="G1781" s="23">
        <v>0</v>
      </c>
      <c r="H1781" s="23">
        <v>0</v>
      </c>
      <c r="I1781" s="23">
        <v>1348.8</v>
      </c>
      <c r="J1781" s="23">
        <v>0</v>
      </c>
      <c r="K1781" s="23">
        <v>0</v>
      </c>
    </row>
    <row r="1782" spans="1:11" x14ac:dyDescent="0.25">
      <c r="A1782">
        <v>1781</v>
      </c>
      <c r="B1782" s="23">
        <v>1135.2</v>
      </c>
      <c r="C1782" s="23">
        <v>0</v>
      </c>
      <c r="D1782" s="23">
        <v>0</v>
      </c>
      <c r="E1782" s="23">
        <v>0</v>
      </c>
      <c r="F1782" s="23">
        <v>0</v>
      </c>
      <c r="G1782" s="23">
        <v>0</v>
      </c>
      <c r="H1782" s="23">
        <v>0</v>
      </c>
      <c r="I1782" s="23">
        <v>1135.2</v>
      </c>
      <c r="J1782" s="23">
        <v>0</v>
      </c>
      <c r="K1782" s="23">
        <v>0</v>
      </c>
    </row>
    <row r="1783" spans="1:11" x14ac:dyDescent="0.25">
      <c r="A1783">
        <v>1782</v>
      </c>
      <c r="B1783" s="23">
        <v>1196.8</v>
      </c>
      <c r="C1783" s="23">
        <v>0</v>
      </c>
      <c r="D1783" s="23">
        <v>0</v>
      </c>
      <c r="E1783" s="23">
        <v>0</v>
      </c>
      <c r="F1783" s="23">
        <v>0</v>
      </c>
      <c r="G1783" s="23">
        <v>0</v>
      </c>
      <c r="H1783" s="23">
        <v>0</v>
      </c>
      <c r="I1783" s="23">
        <v>695.10599999999999</v>
      </c>
      <c r="J1783" s="23">
        <v>0</v>
      </c>
      <c r="K1783" s="23">
        <v>501.69400000000002</v>
      </c>
    </row>
    <row r="1784" spans="1:11" x14ac:dyDescent="0.25">
      <c r="A1784">
        <v>1783</v>
      </c>
      <c r="B1784" s="23">
        <v>1208.9970000000001</v>
      </c>
      <c r="C1784" s="23">
        <v>59.67</v>
      </c>
      <c r="D1784" s="23">
        <v>175.161</v>
      </c>
      <c r="E1784" s="23">
        <v>175.161</v>
      </c>
      <c r="F1784" s="23">
        <v>0</v>
      </c>
      <c r="G1784" s="23">
        <v>0</v>
      </c>
      <c r="H1784" s="23">
        <v>0</v>
      </c>
      <c r="I1784" s="23">
        <v>0</v>
      </c>
      <c r="J1784" s="23">
        <v>0</v>
      </c>
      <c r="K1784" s="23">
        <v>1033.836</v>
      </c>
    </row>
    <row r="1785" spans="1:11" x14ac:dyDescent="0.25">
      <c r="A1785">
        <v>1784</v>
      </c>
      <c r="B1785" s="23">
        <v>230.65899999999999</v>
      </c>
      <c r="C1785" s="23">
        <v>295.75</v>
      </c>
      <c r="D1785" s="23">
        <v>1149.7950000000001</v>
      </c>
      <c r="E1785" s="23">
        <v>230.65899999999999</v>
      </c>
      <c r="F1785" s="23">
        <v>-919.13599999999997</v>
      </c>
      <c r="G1785" s="23">
        <v>0</v>
      </c>
      <c r="H1785" s="23">
        <v>0</v>
      </c>
      <c r="I1785" s="23">
        <v>0</v>
      </c>
      <c r="J1785" s="23">
        <v>0</v>
      </c>
      <c r="K1785" s="23">
        <v>0</v>
      </c>
    </row>
    <row r="1786" spans="1:11" x14ac:dyDescent="0.25">
      <c r="A1786">
        <v>1785</v>
      </c>
      <c r="B1786" s="23">
        <v>288.15199999999999</v>
      </c>
      <c r="C1786" s="23">
        <v>529.96</v>
      </c>
      <c r="D1786" s="23">
        <v>2085.4279999999999</v>
      </c>
      <c r="E1786" s="23">
        <v>288.15300000000002</v>
      </c>
      <c r="F1786" s="23">
        <v>-1684.559</v>
      </c>
      <c r="G1786" s="23">
        <v>0</v>
      </c>
      <c r="H1786" s="23">
        <v>112.71599999999999</v>
      </c>
      <c r="I1786" s="23">
        <v>0</v>
      </c>
      <c r="J1786" s="23">
        <v>0</v>
      </c>
      <c r="K1786" s="23">
        <v>0</v>
      </c>
    </row>
    <row r="1787" spans="1:11" x14ac:dyDescent="0.25">
      <c r="A1787">
        <v>1786</v>
      </c>
      <c r="B1787" s="23">
        <v>332.22399999999999</v>
      </c>
      <c r="C1787" s="23">
        <v>764.06</v>
      </c>
      <c r="D1787" s="23">
        <v>2893.8539999999998</v>
      </c>
      <c r="E1787" s="23">
        <v>332.22500000000002</v>
      </c>
      <c r="F1787" s="23">
        <v>-1684.559</v>
      </c>
      <c r="G1787" s="23">
        <v>0</v>
      </c>
      <c r="H1787" s="23">
        <v>877.07</v>
      </c>
      <c r="I1787" s="23">
        <v>0</v>
      </c>
      <c r="J1787" s="23">
        <v>0</v>
      </c>
      <c r="K1787" s="23">
        <v>0</v>
      </c>
    </row>
    <row r="1788" spans="1:11" x14ac:dyDescent="0.25">
      <c r="A1788">
        <v>1787</v>
      </c>
      <c r="B1788" s="23">
        <v>287.755</v>
      </c>
      <c r="C1788" s="23">
        <v>922.48</v>
      </c>
      <c r="D1788" s="23">
        <v>3394.0650000000001</v>
      </c>
      <c r="E1788" s="23">
        <v>287.75599999999997</v>
      </c>
      <c r="F1788" s="23">
        <v>-1684.559</v>
      </c>
      <c r="G1788" s="23">
        <v>0</v>
      </c>
      <c r="H1788" s="23">
        <v>1421.75</v>
      </c>
      <c r="I1788" s="23">
        <v>0</v>
      </c>
      <c r="J1788" s="23">
        <v>0</v>
      </c>
      <c r="K1788" s="23">
        <v>0</v>
      </c>
    </row>
    <row r="1789" spans="1:11" x14ac:dyDescent="0.25">
      <c r="A1789">
        <v>1788</v>
      </c>
      <c r="B1789" s="23">
        <v>233.03399999999999</v>
      </c>
      <c r="C1789" s="23">
        <v>1008.35</v>
      </c>
      <c r="D1789" s="23">
        <v>3657.9209999999998</v>
      </c>
      <c r="E1789" s="23">
        <v>233.03299999999999</v>
      </c>
      <c r="F1789" s="23">
        <v>-1318.6849999999999</v>
      </c>
      <c r="G1789" s="23">
        <v>0</v>
      </c>
      <c r="H1789" s="23">
        <v>2106.203</v>
      </c>
      <c r="I1789" s="23">
        <v>0</v>
      </c>
      <c r="J1789" s="23">
        <v>0</v>
      </c>
      <c r="K1789" s="23">
        <v>0</v>
      </c>
    </row>
    <row r="1790" spans="1:11" x14ac:dyDescent="0.25">
      <c r="A1790">
        <v>1789</v>
      </c>
      <c r="B1790" s="23">
        <v>257.37599999999998</v>
      </c>
      <c r="C1790" s="23">
        <v>1007.76</v>
      </c>
      <c r="D1790" s="23">
        <v>3659.6619999999998</v>
      </c>
      <c r="E1790" s="23">
        <v>257.37599999999998</v>
      </c>
      <c r="F1790" s="23">
        <v>0</v>
      </c>
      <c r="G1790" s="23">
        <v>0</v>
      </c>
      <c r="H1790" s="23">
        <v>3402.2860000000001</v>
      </c>
      <c r="I1790" s="23">
        <v>0</v>
      </c>
      <c r="J1790" s="23">
        <v>0</v>
      </c>
      <c r="K1790" s="23">
        <v>0</v>
      </c>
    </row>
    <row r="1791" spans="1:11" x14ac:dyDescent="0.25">
      <c r="A1791">
        <v>1790</v>
      </c>
      <c r="B1791" s="23">
        <v>254.785</v>
      </c>
      <c r="C1791" s="23">
        <v>920.68</v>
      </c>
      <c r="D1791" s="23">
        <v>3399.2660000000001</v>
      </c>
      <c r="E1791" s="23">
        <v>254.785</v>
      </c>
      <c r="F1791" s="23">
        <v>0</v>
      </c>
      <c r="G1791" s="23">
        <v>0</v>
      </c>
      <c r="H1791" s="23">
        <v>3144.4810000000002</v>
      </c>
      <c r="I1791" s="23">
        <v>0</v>
      </c>
      <c r="J1791" s="23">
        <v>0</v>
      </c>
      <c r="K1791" s="23">
        <v>0</v>
      </c>
    </row>
    <row r="1792" spans="1:11" x14ac:dyDescent="0.25">
      <c r="A1792">
        <v>1791</v>
      </c>
      <c r="B1792" s="23">
        <v>276.33</v>
      </c>
      <c r="C1792" s="23">
        <v>769.08</v>
      </c>
      <c r="D1792" s="23">
        <v>2912.9</v>
      </c>
      <c r="E1792" s="23">
        <v>276.33</v>
      </c>
      <c r="F1792" s="23">
        <v>0</v>
      </c>
      <c r="G1792" s="23">
        <v>0</v>
      </c>
      <c r="H1792" s="23">
        <v>2636.57</v>
      </c>
      <c r="I1792" s="23">
        <v>0</v>
      </c>
      <c r="J1792" s="23">
        <v>0</v>
      </c>
      <c r="K1792" s="23">
        <v>0</v>
      </c>
    </row>
    <row r="1793" spans="1:11" x14ac:dyDescent="0.25">
      <c r="A1793">
        <v>1792</v>
      </c>
      <c r="B1793" s="23">
        <v>204.69300000000001</v>
      </c>
      <c r="C1793" s="23">
        <v>553.91</v>
      </c>
      <c r="D1793" s="23">
        <v>2160.4969999999998</v>
      </c>
      <c r="E1793" s="23">
        <v>204.69300000000001</v>
      </c>
      <c r="F1793" s="23">
        <v>0</v>
      </c>
      <c r="G1793" s="23">
        <v>0</v>
      </c>
      <c r="H1793" s="23">
        <v>1955.8040000000001</v>
      </c>
      <c r="I1793" s="23">
        <v>0</v>
      </c>
      <c r="J1793" s="23">
        <v>0</v>
      </c>
      <c r="K1793" s="23">
        <v>0</v>
      </c>
    </row>
    <row r="1794" spans="1:11" x14ac:dyDescent="0.25">
      <c r="A1794">
        <v>1793</v>
      </c>
      <c r="B1794" s="23">
        <v>301.35700000000003</v>
      </c>
      <c r="C1794" s="23">
        <v>286.02</v>
      </c>
      <c r="D1794" s="23">
        <v>1106.2270000000001</v>
      </c>
      <c r="E1794" s="23">
        <v>301.35700000000003</v>
      </c>
      <c r="F1794" s="23">
        <v>0</v>
      </c>
      <c r="G1794" s="23">
        <v>0</v>
      </c>
      <c r="H1794" s="23">
        <v>804.87</v>
      </c>
      <c r="I1794" s="23">
        <v>0</v>
      </c>
      <c r="J1794" s="23">
        <v>0</v>
      </c>
      <c r="K1794" s="23">
        <v>0</v>
      </c>
    </row>
    <row r="1795" spans="1:11" x14ac:dyDescent="0.25">
      <c r="A1795">
        <v>1794</v>
      </c>
      <c r="B1795" s="23">
        <v>228.21100000000001</v>
      </c>
      <c r="C1795" s="23">
        <v>70.33</v>
      </c>
      <c r="D1795" s="23">
        <v>217.845</v>
      </c>
      <c r="E1795" s="23">
        <v>217.845</v>
      </c>
      <c r="F1795" s="23">
        <v>0</v>
      </c>
      <c r="G1795" s="23">
        <v>0</v>
      </c>
      <c r="H1795" s="23">
        <v>0</v>
      </c>
      <c r="I1795" s="23">
        <v>0</v>
      </c>
      <c r="J1795" s="23">
        <v>0</v>
      </c>
      <c r="K1795" s="23">
        <v>10.366</v>
      </c>
    </row>
    <row r="1796" spans="1:11" x14ac:dyDescent="0.25">
      <c r="A1796">
        <v>1795</v>
      </c>
      <c r="B1796" s="23">
        <v>216.30500000000001</v>
      </c>
      <c r="C1796" s="23">
        <v>0</v>
      </c>
      <c r="D1796" s="23">
        <v>0</v>
      </c>
      <c r="E1796" s="23">
        <v>0</v>
      </c>
      <c r="F1796" s="23">
        <v>0</v>
      </c>
      <c r="G1796" s="23">
        <v>0</v>
      </c>
      <c r="H1796" s="23">
        <v>0</v>
      </c>
      <c r="I1796" s="23">
        <v>0</v>
      </c>
      <c r="J1796" s="23">
        <v>0</v>
      </c>
      <c r="K1796" s="23">
        <v>216.30500000000001</v>
      </c>
    </row>
    <row r="1797" spans="1:11" x14ac:dyDescent="0.25">
      <c r="A1797">
        <v>1796</v>
      </c>
      <c r="B1797" s="23">
        <v>242.4</v>
      </c>
      <c r="C1797" s="23">
        <v>0</v>
      </c>
      <c r="D1797" s="23">
        <v>0</v>
      </c>
      <c r="E1797" s="23">
        <v>0</v>
      </c>
      <c r="F1797" s="23">
        <v>0</v>
      </c>
      <c r="G1797" s="23">
        <v>0</v>
      </c>
      <c r="H1797" s="23">
        <v>0</v>
      </c>
      <c r="I1797" s="23">
        <v>0</v>
      </c>
      <c r="J1797" s="23">
        <v>0</v>
      </c>
      <c r="K1797" s="23">
        <v>242.4</v>
      </c>
    </row>
    <row r="1798" spans="1:11" x14ac:dyDescent="0.25">
      <c r="A1798">
        <v>1797</v>
      </c>
      <c r="B1798" s="23">
        <v>200.8</v>
      </c>
      <c r="C1798" s="23">
        <v>0</v>
      </c>
      <c r="D1798" s="23">
        <v>0</v>
      </c>
      <c r="E1798" s="23">
        <v>0</v>
      </c>
      <c r="F1798" s="23">
        <v>0</v>
      </c>
      <c r="G1798" s="23">
        <v>0</v>
      </c>
      <c r="H1798" s="23">
        <v>0</v>
      </c>
      <c r="I1798" s="23">
        <v>0</v>
      </c>
      <c r="J1798" s="23">
        <v>0</v>
      </c>
      <c r="K1798" s="23">
        <v>200.8</v>
      </c>
    </row>
    <row r="1799" spans="1:11" x14ac:dyDescent="0.25">
      <c r="A1799">
        <v>1798</v>
      </c>
      <c r="B1799" s="23">
        <v>296</v>
      </c>
      <c r="C1799" s="23">
        <v>0</v>
      </c>
      <c r="D1799" s="23">
        <v>0</v>
      </c>
      <c r="E1799" s="23">
        <v>0</v>
      </c>
      <c r="F1799" s="23">
        <v>0</v>
      </c>
      <c r="G1799" s="23">
        <v>0</v>
      </c>
      <c r="H1799" s="23">
        <v>0</v>
      </c>
      <c r="I1799" s="23">
        <v>0</v>
      </c>
      <c r="J1799" s="23">
        <v>0</v>
      </c>
      <c r="K1799" s="23">
        <v>296</v>
      </c>
    </row>
    <row r="1800" spans="1:11" x14ac:dyDescent="0.25">
      <c r="A1800">
        <v>1799</v>
      </c>
      <c r="B1800" s="23">
        <v>268</v>
      </c>
      <c r="C1800" s="23">
        <v>0</v>
      </c>
      <c r="D1800" s="23">
        <v>0</v>
      </c>
      <c r="E1800" s="23">
        <v>0</v>
      </c>
      <c r="F1800" s="23">
        <v>0</v>
      </c>
      <c r="G1800" s="23">
        <v>0</v>
      </c>
      <c r="H1800" s="23">
        <v>0</v>
      </c>
      <c r="I1800" s="23">
        <v>0</v>
      </c>
      <c r="J1800" s="23">
        <v>0</v>
      </c>
      <c r="K1800" s="23">
        <v>268</v>
      </c>
    </row>
    <row r="1801" spans="1:11" x14ac:dyDescent="0.25">
      <c r="A1801">
        <v>1800</v>
      </c>
      <c r="B1801" s="23">
        <v>291.2</v>
      </c>
      <c r="C1801" s="23">
        <v>0</v>
      </c>
      <c r="D1801" s="23">
        <v>0</v>
      </c>
      <c r="E1801" s="23">
        <v>0</v>
      </c>
      <c r="F1801" s="23">
        <v>0</v>
      </c>
      <c r="G1801" s="23">
        <v>0</v>
      </c>
      <c r="H1801" s="23">
        <v>0</v>
      </c>
      <c r="I1801" s="23">
        <v>0</v>
      </c>
      <c r="J1801" s="23">
        <v>0</v>
      </c>
      <c r="K1801" s="23">
        <v>291.2</v>
      </c>
    </row>
    <row r="1802" spans="1:11" x14ac:dyDescent="0.25">
      <c r="A1802">
        <v>1801</v>
      </c>
      <c r="B1802" s="23">
        <v>237.6</v>
      </c>
      <c r="C1802" s="23">
        <v>0</v>
      </c>
      <c r="D1802" s="23">
        <v>0</v>
      </c>
      <c r="E1802" s="23">
        <v>0</v>
      </c>
      <c r="F1802" s="23">
        <v>0</v>
      </c>
      <c r="G1802" s="23">
        <v>0</v>
      </c>
      <c r="H1802" s="23">
        <v>0</v>
      </c>
      <c r="I1802" s="23">
        <v>0</v>
      </c>
      <c r="J1802" s="23">
        <v>0</v>
      </c>
      <c r="K1802" s="23">
        <v>237.6</v>
      </c>
    </row>
    <row r="1803" spans="1:11" x14ac:dyDescent="0.25">
      <c r="A1803">
        <v>1802</v>
      </c>
      <c r="B1803" s="23">
        <v>191.2</v>
      </c>
      <c r="C1803" s="23">
        <v>0</v>
      </c>
      <c r="D1803" s="23">
        <v>0</v>
      </c>
      <c r="E1803" s="23">
        <v>0</v>
      </c>
      <c r="F1803" s="23">
        <v>0</v>
      </c>
      <c r="G1803" s="23">
        <v>0</v>
      </c>
      <c r="H1803" s="23">
        <v>0</v>
      </c>
      <c r="I1803" s="23">
        <v>0</v>
      </c>
      <c r="J1803" s="23">
        <v>0</v>
      </c>
      <c r="K1803" s="23">
        <v>191.2</v>
      </c>
    </row>
    <row r="1804" spans="1:11" x14ac:dyDescent="0.25">
      <c r="A1804">
        <v>1803</v>
      </c>
      <c r="B1804" s="23">
        <v>243.2</v>
      </c>
      <c r="C1804" s="23">
        <v>0</v>
      </c>
      <c r="D1804" s="23">
        <v>0</v>
      </c>
      <c r="E1804" s="23">
        <v>0</v>
      </c>
      <c r="F1804" s="23">
        <v>0</v>
      </c>
      <c r="G1804" s="23">
        <v>0</v>
      </c>
      <c r="H1804" s="23">
        <v>0</v>
      </c>
      <c r="I1804" s="23">
        <v>0</v>
      </c>
      <c r="J1804" s="23">
        <v>0</v>
      </c>
      <c r="K1804" s="23">
        <v>243.2</v>
      </c>
    </row>
    <row r="1805" spans="1:11" x14ac:dyDescent="0.25">
      <c r="A1805">
        <v>1804</v>
      </c>
      <c r="B1805" s="23">
        <v>204</v>
      </c>
      <c r="C1805" s="23">
        <v>0</v>
      </c>
      <c r="D1805" s="23">
        <v>0</v>
      </c>
      <c r="E1805" s="23">
        <v>0</v>
      </c>
      <c r="F1805" s="23">
        <v>0</v>
      </c>
      <c r="G1805" s="23">
        <v>0</v>
      </c>
      <c r="H1805" s="23">
        <v>0</v>
      </c>
      <c r="I1805" s="23">
        <v>0</v>
      </c>
      <c r="J1805" s="23">
        <v>0</v>
      </c>
      <c r="K1805" s="23">
        <v>204</v>
      </c>
    </row>
    <row r="1806" spans="1:11" x14ac:dyDescent="0.25">
      <c r="A1806">
        <v>1805</v>
      </c>
      <c r="B1806" s="23">
        <v>236</v>
      </c>
      <c r="C1806" s="23">
        <v>0</v>
      </c>
      <c r="D1806" s="23">
        <v>0</v>
      </c>
      <c r="E1806" s="23">
        <v>0</v>
      </c>
      <c r="F1806" s="23">
        <v>0</v>
      </c>
      <c r="G1806" s="23">
        <v>0</v>
      </c>
      <c r="H1806" s="23">
        <v>0</v>
      </c>
      <c r="I1806" s="23">
        <v>0</v>
      </c>
      <c r="J1806" s="23">
        <v>0</v>
      </c>
      <c r="K1806" s="23">
        <v>236</v>
      </c>
    </row>
    <row r="1807" spans="1:11" x14ac:dyDescent="0.25">
      <c r="A1807">
        <v>1806</v>
      </c>
      <c r="B1807" s="23">
        <v>293.60000000000002</v>
      </c>
      <c r="C1807" s="23">
        <v>0</v>
      </c>
      <c r="D1807" s="23">
        <v>0</v>
      </c>
      <c r="E1807" s="23">
        <v>0</v>
      </c>
      <c r="F1807" s="23">
        <v>0</v>
      </c>
      <c r="G1807" s="23">
        <v>0</v>
      </c>
      <c r="H1807" s="23">
        <v>0</v>
      </c>
      <c r="I1807" s="23">
        <v>0</v>
      </c>
      <c r="J1807" s="23">
        <v>0</v>
      </c>
      <c r="K1807" s="23">
        <v>293.60000000000002</v>
      </c>
    </row>
    <row r="1808" spans="1:11" x14ac:dyDescent="0.25">
      <c r="A1808">
        <v>1807</v>
      </c>
      <c r="B1808" s="23">
        <v>169.6</v>
      </c>
      <c r="C1808" s="23">
        <v>63.27</v>
      </c>
      <c r="D1808" s="23">
        <v>182.036</v>
      </c>
      <c r="E1808" s="23">
        <v>169.6</v>
      </c>
      <c r="F1808" s="23">
        <v>-12.436</v>
      </c>
      <c r="G1808" s="23">
        <v>0</v>
      </c>
      <c r="H1808" s="23">
        <v>0</v>
      </c>
      <c r="I1808" s="23">
        <v>0</v>
      </c>
      <c r="J1808" s="23">
        <v>0</v>
      </c>
      <c r="K1808" s="23">
        <v>0</v>
      </c>
    </row>
    <row r="1809" spans="1:11" x14ac:dyDescent="0.25">
      <c r="A1809">
        <v>1808</v>
      </c>
      <c r="B1809" s="23">
        <v>205.30600000000001</v>
      </c>
      <c r="C1809" s="23">
        <v>309.06</v>
      </c>
      <c r="D1809" s="23">
        <v>1199.376</v>
      </c>
      <c r="E1809" s="23">
        <v>205.30600000000001</v>
      </c>
      <c r="F1809" s="23">
        <v>-994.07</v>
      </c>
      <c r="G1809" s="23">
        <v>0</v>
      </c>
      <c r="H1809" s="23">
        <v>0</v>
      </c>
      <c r="I1809" s="23">
        <v>0</v>
      </c>
      <c r="J1809" s="23">
        <v>0</v>
      </c>
      <c r="K1809" s="23">
        <v>0</v>
      </c>
    </row>
    <row r="1810" spans="1:11" x14ac:dyDescent="0.25">
      <c r="A1810">
        <v>1809</v>
      </c>
      <c r="B1810" s="23">
        <v>1200.5920000000001</v>
      </c>
      <c r="C1810" s="23">
        <v>567.37</v>
      </c>
      <c r="D1810" s="23">
        <v>2243.9389999999999</v>
      </c>
      <c r="E1810" s="23">
        <v>1200.5920000000001</v>
      </c>
      <c r="F1810" s="23">
        <v>-1043.347</v>
      </c>
      <c r="G1810" s="23">
        <v>0</v>
      </c>
      <c r="H1810" s="23">
        <v>0</v>
      </c>
      <c r="I1810" s="23">
        <v>0</v>
      </c>
      <c r="J1810" s="23">
        <v>0</v>
      </c>
      <c r="K1810" s="23">
        <v>0</v>
      </c>
    </row>
    <row r="1811" spans="1:11" x14ac:dyDescent="0.25">
      <c r="A1811">
        <v>1810</v>
      </c>
      <c r="B1811" s="23">
        <v>1832.0640000000001</v>
      </c>
      <c r="C1811" s="23">
        <v>637.16</v>
      </c>
      <c r="D1811" s="23">
        <v>2434.9839999999999</v>
      </c>
      <c r="E1811" s="23">
        <v>1832.0640000000001</v>
      </c>
      <c r="F1811" s="23">
        <v>-602.91999999999996</v>
      </c>
      <c r="G1811" s="23">
        <v>0</v>
      </c>
      <c r="H1811" s="23">
        <v>0</v>
      </c>
      <c r="I1811" s="23">
        <v>0</v>
      </c>
      <c r="J1811" s="23">
        <v>0</v>
      </c>
      <c r="K1811" s="23">
        <v>0</v>
      </c>
    </row>
    <row r="1812" spans="1:11" x14ac:dyDescent="0.25">
      <c r="A1812">
        <v>1811</v>
      </c>
      <c r="B1812" s="23">
        <v>1718.3810000000001</v>
      </c>
      <c r="C1812" s="23">
        <v>926.37</v>
      </c>
      <c r="D1812" s="23">
        <v>3441.6309999999999</v>
      </c>
      <c r="E1812" s="23">
        <v>1718.3810000000001</v>
      </c>
      <c r="F1812" s="23">
        <v>-608.74599999999998</v>
      </c>
      <c r="G1812" s="23">
        <v>0</v>
      </c>
      <c r="H1812" s="23">
        <v>1114.5039999999999</v>
      </c>
      <c r="I1812" s="23">
        <v>0</v>
      </c>
      <c r="J1812" s="23">
        <v>0</v>
      </c>
      <c r="K1812" s="23">
        <v>0</v>
      </c>
    </row>
    <row r="1813" spans="1:11" x14ac:dyDescent="0.25">
      <c r="A1813">
        <v>1812</v>
      </c>
      <c r="B1813" s="23">
        <v>1345.557</v>
      </c>
      <c r="C1813" s="23">
        <v>1010.3</v>
      </c>
      <c r="D1813" s="23">
        <v>3685.248</v>
      </c>
      <c r="E1813" s="23">
        <v>1345.557</v>
      </c>
      <c r="F1813" s="23">
        <v>0</v>
      </c>
      <c r="G1813" s="23">
        <v>0</v>
      </c>
      <c r="H1813" s="23">
        <v>2339.6909999999998</v>
      </c>
      <c r="I1813" s="23">
        <v>0</v>
      </c>
      <c r="J1813" s="23">
        <v>0</v>
      </c>
      <c r="K1813" s="23">
        <v>0</v>
      </c>
    </row>
    <row r="1814" spans="1:11" x14ac:dyDescent="0.25">
      <c r="A1814">
        <v>1813</v>
      </c>
      <c r="B1814" s="23">
        <v>1408.0029999999999</v>
      </c>
      <c r="C1814" s="23">
        <v>999.85</v>
      </c>
      <c r="D1814" s="23">
        <v>3638.9009999999998</v>
      </c>
      <c r="E1814" s="23">
        <v>1408.0029999999999</v>
      </c>
      <c r="F1814" s="23">
        <v>0</v>
      </c>
      <c r="G1814" s="23">
        <v>0</v>
      </c>
      <c r="H1814" s="23">
        <v>2230.8980000000001</v>
      </c>
      <c r="I1814" s="23">
        <v>0</v>
      </c>
      <c r="J1814" s="23">
        <v>0</v>
      </c>
      <c r="K1814" s="23">
        <v>0</v>
      </c>
    </row>
    <row r="1815" spans="1:11" x14ac:dyDescent="0.25">
      <c r="A1815">
        <v>1814</v>
      </c>
      <c r="B1815" s="23">
        <v>1247.32</v>
      </c>
      <c r="C1815" s="23">
        <v>771.27</v>
      </c>
      <c r="D1815" s="23">
        <v>2857.223</v>
      </c>
      <c r="E1815" s="23">
        <v>1247.32</v>
      </c>
      <c r="F1815" s="23">
        <v>0</v>
      </c>
      <c r="G1815" s="23">
        <v>0</v>
      </c>
      <c r="H1815" s="23">
        <v>1609.903</v>
      </c>
      <c r="I1815" s="23">
        <v>0</v>
      </c>
      <c r="J1815" s="23">
        <v>0</v>
      </c>
      <c r="K1815" s="23">
        <v>0</v>
      </c>
    </row>
    <row r="1816" spans="1:11" x14ac:dyDescent="0.25">
      <c r="A1816">
        <v>1815</v>
      </c>
      <c r="B1816" s="23">
        <v>1222.2850000000001</v>
      </c>
      <c r="C1816" s="23">
        <v>654.14</v>
      </c>
      <c r="D1816" s="23">
        <v>2475.0709999999999</v>
      </c>
      <c r="E1816" s="23">
        <v>1222.2850000000001</v>
      </c>
      <c r="F1816" s="23">
        <v>0</v>
      </c>
      <c r="G1816" s="23">
        <v>0</v>
      </c>
      <c r="H1816" s="23">
        <v>1252.7860000000001</v>
      </c>
      <c r="I1816" s="23">
        <v>0</v>
      </c>
      <c r="J1816" s="23">
        <v>0</v>
      </c>
      <c r="K1816" s="23">
        <v>0</v>
      </c>
    </row>
    <row r="1817" spans="1:11" x14ac:dyDescent="0.25">
      <c r="A1817">
        <v>1816</v>
      </c>
      <c r="B1817" s="23">
        <v>1327.605</v>
      </c>
      <c r="C1817" s="23">
        <v>532.35</v>
      </c>
      <c r="D1817" s="23">
        <v>2069.6149999999998</v>
      </c>
      <c r="E1817" s="23">
        <v>1327.605</v>
      </c>
      <c r="F1817" s="23">
        <v>0</v>
      </c>
      <c r="G1817" s="23">
        <v>0</v>
      </c>
      <c r="H1817" s="23">
        <v>742.01</v>
      </c>
      <c r="I1817" s="23">
        <v>0</v>
      </c>
      <c r="J1817" s="23">
        <v>0</v>
      </c>
      <c r="K1817" s="23">
        <v>0</v>
      </c>
    </row>
    <row r="1818" spans="1:11" x14ac:dyDescent="0.25">
      <c r="A1818">
        <v>1817</v>
      </c>
      <c r="B1818" s="23">
        <v>1517.328</v>
      </c>
      <c r="C1818" s="23">
        <v>312.76</v>
      </c>
      <c r="D1818" s="23">
        <v>1207.5170000000001</v>
      </c>
      <c r="E1818" s="23">
        <v>1207.5170000000001</v>
      </c>
      <c r="F1818" s="23">
        <v>0</v>
      </c>
      <c r="G1818" s="23">
        <v>0</v>
      </c>
      <c r="H1818" s="23">
        <v>0</v>
      </c>
      <c r="I1818" s="23">
        <v>309.81099999999998</v>
      </c>
      <c r="J1818" s="23">
        <v>0</v>
      </c>
      <c r="K1818" s="23">
        <v>0</v>
      </c>
    </row>
    <row r="1819" spans="1:11" x14ac:dyDescent="0.25">
      <c r="A1819">
        <v>1818</v>
      </c>
      <c r="B1819" s="23">
        <v>1493.8309999999999</v>
      </c>
      <c r="C1819" s="23">
        <v>75.92</v>
      </c>
      <c r="D1819" s="23">
        <v>232.32</v>
      </c>
      <c r="E1819" s="23">
        <v>232.32</v>
      </c>
      <c r="F1819" s="23">
        <v>0</v>
      </c>
      <c r="G1819" s="23">
        <v>0</v>
      </c>
      <c r="H1819" s="23">
        <v>0</v>
      </c>
      <c r="I1819" s="23">
        <v>0</v>
      </c>
      <c r="J1819" s="23">
        <v>0</v>
      </c>
      <c r="K1819" s="23">
        <v>1261.511</v>
      </c>
    </row>
    <row r="1820" spans="1:11" x14ac:dyDescent="0.25">
      <c r="A1820">
        <v>1819</v>
      </c>
      <c r="B1820" s="23">
        <v>1418.4349999999999</v>
      </c>
      <c r="C1820" s="23">
        <v>0</v>
      </c>
      <c r="D1820" s="23">
        <v>0</v>
      </c>
      <c r="E1820" s="23">
        <v>0</v>
      </c>
      <c r="F1820" s="23">
        <v>0</v>
      </c>
      <c r="G1820" s="23">
        <v>0</v>
      </c>
      <c r="H1820" s="23">
        <v>0</v>
      </c>
      <c r="I1820" s="23">
        <v>0</v>
      </c>
      <c r="J1820" s="23">
        <v>0</v>
      </c>
      <c r="K1820" s="23">
        <v>1418.4349999999999</v>
      </c>
    </row>
    <row r="1821" spans="1:11" x14ac:dyDescent="0.25">
      <c r="A1821">
        <v>1820</v>
      </c>
      <c r="B1821" s="23">
        <v>1030.4000000000001</v>
      </c>
      <c r="C1821" s="23">
        <v>0</v>
      </c>
      <c r="D1821" s="23">
        <v>0</v>
      </c>
      <c r="E1821" s="23">
        <v>0</v>
      </c>
      <c r="F1821" s="23">
        <v>0</v>
      </c>
      <c r="G1821" s="23">
        <v>0</v>
      </c>
      <c r="H1821" s="23">
        <v>0</v>
      </c>
      <c r="I1821" s="23">
        <v>0</v>
      </c>
      <c r="J1821" s="23">
        <v>0</v>
      </c>
      <c r="K1821" s="23">
        <v>1030.4000000000001</v>
      </c>
    </row>
    <row r="1822" spans="1:11" x14ac:dyDescent="0.25">
      <c r="A1822">
        <v>1821</v>
      </c>
      <c r="B1822" s="23">
        <v>1524</v>
      </c>
      <c r="C1822" s="23">
        <v>0</v>
      </c>
      <c r="D1822" s="23">
        <v>0</v>
      </c>
      <c r="E1822" s="23">
        <v>0</v>
      </c>
      <c r="F1822" s="23">
        <v>0</v>
      </c>
      <c r="G1822" s="23">
        <v>0</v>
      </c>
      <c r="H1822" s="23">
        <v>0</v>
      </c>
      <c r="I1822" s="23">
        <v>1524</v>
      </c>
      <c r="J1822" s="23">
        <v>0</v>
      </c>
      <c r="K1822" s="23">
        <v>0</v>
      </c>
    </row>
    <row r="1823" spans="1:11" x14ac:dyDescent="0.25">
      <c r="A1823">
        <v>1822</v>
      </c>
      <c r="B1823" s="23">
        <v>1386.4</v>
      </c>
      <c r="C1823" s="23">
        <v>0</v>
      </c>
      <c r="D1823" s="23">
        <v>0</v>
      </c>
      <c r="E1823" s="23">
        <v>0</v>
      </c>
      <c r="F1823" s="23">
        <v>0</v>
      </c>
      <c r="G1823" s="23">
        <v>0</v>
      </c>
      <c r="H1823" s="23">
        <v>0</v>
      </c>
      <c r="I1823" s="23">
        <v>1386.4</v>
      </c>
      <c r="J1823" s="23">
        <v>0</v>
      </c>
      <c r="K1823" s="23">
        <v>0</v>
      </c>
    </row>
    <row r="1824" spans="1:11" x14ac:dyDescent="0.25">
      <c r="A1824">
        <v>1823</v>
      </c>
      <c r="B1824" s="23">
        <v>1324</v>
      </c>
      <c r="C1824" s="23">
        <v>0</v>
      </c>
      <c r="D1824" s="23">
        <v>0</v>
      </c>
      <c r="E1824" s="23">
        <v>0</v>
      </c>
      <c r="F1824" s="23">
        <v>0</v>
      </c>
      <c r="G1824" s="23">
        <v>0</v>
      </c>
      <c r="H1824" s="23">
        <v>0</v>
      </c>
      <c r="I1824" s="23">
        <v>1324</v>
      </c>
      <c r="J1824" s="23">
        <v>0</v>
      </c>
      <c r="K1824" s="23">
        <v>0</v>
      </c>
    </row>
    <row r="1825" spans="1:11" x14ac:dyDescent="0.25">
      <c r="A1825">
        <v>1824</v>
      </c>
      <c r="B1825" s="23">
        <v>1220</v>
      </c>
      <c r="C1825" s="23">
        <v>0</v>
      </c>
      <c r="D1825" s="23">
        <v>0</v>
      </c>
      <c r="E1825" s="23">
        <v>0</v>
      </c>
      <c r="F1825" s="23">
        <v>0</v>
      </c>
      <c r="G1825" s="23">
        <v>0</v>
      </c>
      <c r="H1825" s="23">
        <v>0</v>
      </c>
      <c r="I1825" s="23">
        <v>1220</v>
      </c>
      <c r="J1825" s="23">
        <v>0</v>
      </c>
      <c r="K1825" s="23">
        <v>0</v>
      </c>
    </row>
    <row r="1826" spans="1:11" x14ac:dyDescent="0.25">
      <c r="A1826">
        <v>1825</v>
      </c>
      <c r="B1826" s="23">
        <v>1348.8</v>
      </c>
      <c r="C1826" s="23">
        <v>0</v>
      </c>
      <c r="D1826" s="23">
        <v>0</v>
      </c>
      <c r="E1826" s="23">
        <v>0</v>
      </c>
      <c r="F1826" s="23">
        <v>0</v>
      </c>
      <c r="G1826" s="23">
        <v>0</v>
      </c>
      <c r="H1826" s="23">
        <v>0</v>
      </c>
      <c r="I1826" s="23">
        <v>1348.8</v>
      </c>
      <c r="J1826" s="23">
        <v>0</v>
      </c>
      <c r="K1826" s="23">
        <v>0</v>
      </c>
    </row>
    <row r="1827" spans="1:11" x14ac:dyDescent="0.25">
      <c r="A1827">
        <v>1826</v>
      </c>
      <c r="B1827" s="23">
        <v>1544.8</v>
      </c>
      <c r="C1827" s="23">
        <v>0</v>
      </c>
      <c r="D1827" s="23">
        <v>0</v>
      </c>
      <c r="E1827" s="23">
        <v>0</v>
      </c>
      <c r="F1827" s="23">
        <v>0</v>
      </c>
      <c r="G1827" s="23">
        <v>0</v>
      </c>
      <c r="H1827" s="23">
        <v>0</v>
      </c>
      <c r="I1827" s="23">
        <v>1544.8</v>
      </c>
      <c r="J1827" s="23">
        <v>0</v>
      </c>
      <c r="K1827" s="23">
        <v>0</v>
      </c>
    </row>
    <row r="1828" spans="1:11" x14ac:dyDescent="0.25">
      <c r="A1828">
        <v>1827</v>
      </c>
      <c r="B1828" s="23">
        <v>1356</v>
      </c>
      <c r="C1828" s="23">
        <v>0</v>
      </c>
      <c r="D1828" s="23">
        <v>0</v>
      </c>
      <c r="E1828" s="23">
        <v>0</v>
      </c>
      <c r="F1828" s="23">
        <v>0</v>
      </c>
      <c r="G1828" s="23">
        <v>0</v>
      </c>
      <c r="H1828" s="23">
        <v>0</v>
      </c>
      <c r="I1828" s="23">
        <v>1356</v>
      </c>
      <c r="J1828" s="23">
        <v>0</v>
      </c>
      <c r="K1828" s="23">
        <v>0</v>
      </c>
    </row>
    <row r="1829" spans="1:11" x14ac:dyDescent="0.25">
      <c r="A1829">
        <v>1828</v>
      </c>
      <c r="B1829" s="23">
        <v>1223.2</v>
      </c>
      <c r="C1829" s="23">
        <v>0</v>
      </c>
      <c r="D1829" s="23">
        <v>0</v>
      </c>
      <c r="E1829" s="23">
        <v>0</v>
      </c>
      <c r="F1829" s="23">
        <v>0</v>
      </c>
      <c r="G1829" s="23">
        <v>0</v>
      </c>
      <c r="H1829" s="23">
        <v>0</v>
      </c>
      <c r="I1829" s="23">
        <v>1223.2</v>
      </c>
      <c r="J1829" s="23">
        <v>0</v>
      </c>
      <c r="K1829" s="23">
        <v>0</v>
      </c>
    </row>
    <row r="1830" spans="1:11" x14ac:dyDescent="0.25">
      <c r="A1830">
        <v>1829</v>
      </c>
      <c r="B1830" s="23">
        <v>995.2</v>
      </c>
      <c r="C1830" s="23">
        <v>0</v>
      </c>
      <c r="D1830" s="23">
        <v>0</v>
      </c>
      <c r="E1830" s="23">
        <v>0</v>
      </c>
      <c r="F1830" s="23">
        <v>0</v>
      </c>
      <c r="G1830" s="23">
        <v>0</v>
      </c>
      <c r="H1830" s="23">
        <v>0</v>
      </c>
      <c r="I1830" s="23">
        <v>312.45600000000002</v>
      </c>
      <c r="J1830" s="23">
        <v>0</v>
      </c>
      <c r="K1830" s="23">
        <v>682.74400000000003</v>
      </c>
    </row>
    <row r="1831" spans="1:11" x14ac:dyDescent="0.25">
      <c r="A1831">
        <v>1830</v>
      </c>
      <c r="B1831" s="23">
        <v>1268</v>
      </c>
      <c r="C1831" s="23">
        <v>0</v>
      </c>
      <c r="D1831" s="23">
        <v>0</v>
      </c>
      <c r="E1831" s="23">
        <v>0</v>
      </c>
      <c r="F1831" s="23">
        <v>0</v>
      </c>
      <c r="G1831" s="23">
        <v>0</v>
      </c>
      <c r="H1831" s="23">
        <v>0</v>
      </c>
      <c r="I1831" s="23">
        <v>0</v>
      </c>
      <c r="J1831" s="23">
        <v>0</v>
      </c>
      <c r="K1831" s="23">
        <v>1268</v>
      </c>
    </row>
    <row r="1832" spans="1:11" x14ac:dyDescent="0.25">
      <c r="A1832">
        <v>1831</v>
      </c>
      <c r="B1832" s="23">
        <v>1071.2819999999999</v>
      </c>
      <c r="C1832" s="23">
        <v>59.74</v>
      </c>
      <c r="D1832" s="23">
        <v>180.523</v>
      </c>
      <c r="E1832" s="23">
        <v>180.523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890.75900000000001</v>
      </c>
    </row>
    <row r="1833" spans="1:11" x14ac:dyDescent="0.25">
      <c r="A1833">
        <v>1832</v>
      </c>
      <c r="B1833" s="23">
        <v>1080.559</v>
      </c>
      <c r="C1833" s="23">
        <v>282.66000000000003</v>
      </c>
      <c r="D1833" s="23">
        <v>1101.6759999999999</v>
      </c>
      <c r="E1833" s="23">
        <v>1080.559</v>
      </c>
      <c r="F1833" s="23">
        <v>-21.117000000000001</v>
      </c>
      <c r="G1833" s="23">
        <v>0</v>
      </c>
      <c r="H1833" s="23">
        <v>0</v>
      </c>
      <c r="I1833" s="23">
        <v>0</v>
      </c>
      <c r="J1833" s="23">
        <v>0</v>
      </c>
      <c r="K1833" s="23">
        <v>0</v>
      </c>
    </row>
    <row r="1834" spans="1:11" x14ac:dyDescent="0.25">
      <c r="A1834">
        <v>1833</v>
      </c>
      <c r="B1834" s="23">
        <v>1433.37</v>
      </c>
      <c r="C1834" s="23">
        <v>535.52</v>
      </c>
      <c r="D1834" s="23">
        <v>2103.337</v>
      </c>
      <c r="E1834" s="23">
        <v>1433.37</v>
      </c>
      <c r="F1834" s="23">
        <v>-669.96699999999998</v>
      </c>
      <c r="G1834" s="23">
        <v>0</v>
      </c>
      <c r="H1834" s="23">
        <v>0</v>
      </c>
      <c r="I1834" s="23">
        <v>0</v>
      </c>
      <c r="J1834" s="23">
        <v>0</v>
      </c>
      <c r="K1834" s="23">
        <v>0</v>
      </c>
    </row>
    <row r="1835" spans="1:11" x14ac:dyDescent="0.25">
      <c r="A1835">
        <v>1834</v>
      </c>
      <c r="B1835" s="23">
        <v>1536.183</v>
      </c>
      <c r="C1835" s="23">
        <v>756.16</v>
      </c>
      <c r="D1835" s="23">
        <v>2850.9520000000002</v>
      </c>
      <c r="E1835" s="23">
        <v>1536.183</v>
      </c>
      <c r="F1835" s="23">
        <v>-1314.769</v>
      </c>
      <c r="G1835" s="23">
        <v>0</v>
      </c>
      <c r="H1835" s="23">
        <v>0</v>
      </c>
      <c r="I1835" s="23">
        <v>0</v>
      </c>
      <c r="J1835" s="23">
        <v>0</v>
      </c>
      <c r="K1835" s="23">
        <v>0</v>
      </c>
    </row>
    <row r="1836" spans="1:11" x14ac:dyDescent="0.25">
      <c r="A1836">
        <v>1835</v>
      </c>
      <c r="B1836" s="23">
        <v>1523.623</v>
      </c>
      <c r="C1836" s="23">
        <v>904.66</v>
      </c>
      <c r="D1836" s="23">
        <v>3285.3670000000002</v>
      </c>
      <c r="E1836" s="23">
        <v>1523.624</v>
      </c>
      <c r="F1836" s="23">
        <v>-1684.559</v>
      </c>
      <c r="G1836" s="23">
        <v>0</v>
      </c>
      <c r="H1836" s="23">
        <v>77.183999999999997</v>
      </c>
      <c r="I1836" s="23">
        <v>0</v>
      </c>
      <c r="J1836" s="23">
        <v>0</v>
      </c>
      <c r="K1836" s="23">
        <v>0</v>
      </c>
    </row>
    <row r="1837" spans="1:11" x14ac:dyDescent="0.25">
      <c r="A1837">
        <v>1836</v>
      </c>
      <c r="B1837" s="23">
        <v>1417.5619999999999</v>
      </c>
      <c r="C1837" s="23">
        <v>974.9</v>
      </c>
      <c r="D1837" s="23">
        <v>3464.0349999999999</v>
      </c>
      <c r="E1837" s="23">
        <v>1417.5630000000001</v>
      </c>
      <c r="F1837" s="23">
        <v>-1684.559</v>
      </c>
      <c r="G1837" s="23">
        <v>0</v>
      </c>
      <c r="H1837" s="23">
        <v>361.91300000000001</v>
      </c>
      <c r="I1837" s="23">
        <v>0</v>
      </c>
      <c r="J1837" s="23">
        <v>0</v>
      </c>
      <c r="K1837" s="23">
        <v>0</v>
      </c>
    </row>
    <row r="1838" spans="1:11" x14ac:dyDescent="0.25">
      <c r="A1838">
        <v>1837</v>
      </c>
      <c r="B1838" s="23">
        <v>1857.9949999999999</v>
      </c>
      <c r="C1838" s="23">
        <v>991.16</v>
      </c>
      <c r="D1838" s="23">
        <v>3507.9180000000001</v>
      </c>
      <c r="E1838" s="23">
        <v>1857.9949999999999</v>
      </c>
      <c r="F1838" s="23">
        <v>-1649.923</v>
      </c>
      <c r="G1838" s="23">
        <v>0</v>
      </c>
      <c r="H1838" s="23">
        <v>0</v>
      </c>
      <c r="I1838" s="23">
        <v>0</v>
      </c>
      <c r="J1838" s="23">
        <v>0</v>
      </c>
      <c r="K1838" s="23">
        <v>0</v>
      </c>
    </row>
    <row r="1839" spans="1:11" x14ac:dyDescent="0.25">
      <c r="A1839">
        <v>1838</v>
      </c>
      <c r="B1839" s="23">
        <v>1821.1120000000001</v>
      </c>
      <c r="C1839" s="23">
        <v>654.07000000000005</v>
      </c>
      <c r="D1839" s="23">
        <v>2397.8789999999999</v>
      </c>
      <c r="E1839" s="23">
        <v>1821.1120000000001</v>
      </c>
      <c r="F1839" s="23">
        <v>-266.60399999999998</v>
      </c>
      <c r="G1839" s="23">
        <v>0</v>
      </c>
      <c r="H1839" s="23">
        <v>310.16300000000001</v>
      </c>
      <c r="I1839" s="23">
        <v>0</v>
      </c>
      <c r="J1839" s="23">
        <v>0</v>
      </c>
      <c r="K1839" s="23">
        <v>0</v>
      </c>
    </row>
    <row r="1840" spans="1:11" x14ac:dyDescent="0.25">
      <c r="A1840">
        <v>1839</v>
      </c>
      <c r="B1840" s="23">
        <v>2055.08</v>
      </c>
      <c r="C1840" s="23">
        <v>680.85</v>
      </c>
      <c r="D1840" s="23">
        <v>2543.3879999999999</v>
      </c>
      <c r="E1840" s="23">
        <v>2055.08</v>
      </c>
      <c r="F1840" s="23">
        <v>0</v>
      </c>
      <c r="G1840" s="23">
        <v>0</v>
      </c>
      <c r="H1840" s="23">
        <v>488.30799999999999</v>
      </c>
      <c r="I1840" s="23">
        <v>0</v>
      </c>
      <c r="J1840" s="23">
        <v>0</v>
      </c>
      <c r="K1840" s="23">
        <v>0</v>
      </c>
    </row>
    <row r="1841" spans="1:11" x14ac:dyDescent="0.25">
      <c r="A1841">
        <v>1840</v>
      </c>
      <c r="B1841" s="23">
        <v>1685.3530000000001</v>
      </c>
      <c r="C1841" s="23">
        <v>531.66999999999996</v>
      </c>
      <c r="D1841" s="23">
        <v>2055.7350000000001</v>
      </c>
      <c r="E1841" s="23">
        <v>1685.3530000000001</v>
      </c>
      <c r="F1841" s="23">
        <v>0</v>
      </c>
      <c r="G1841" s="23">
        <v>0</v>
      </c>
      <c r="H1841" s="23">
        <v>370.38200000000001</v>
      </c>
      <c r="I1841" s="23">
        <v>0</v>
      </c>
      <c r="J1841" s="23">
        <v>0</v>
      </c>
      <c r="K1841" s="23">
        <v>0</v>
      </c>
    </row>
    <row r="1842" spans="1:11" x14ac:dyDescent="0.25">
      <c r="A1842">
        <v>1841</v>
      </c>
      <c r="B1842" s="23">
        <v>1935.979</v>
      </c>
      <c r="C1842" s="23">
        <v>298.41000000000003</v>
      </c>
      <c r="D1842" s="23">
        <v>1153.0540000000001</v>
      </c>
      <c r="E1842" s="23">
        <v>1153.0540000000001</v>
      </c>
      <c r="F1842" s="23">
        <v>0</v>
      </c>
      <c r="G1842" s="23">
        <v>0</v>
      </c>
      <c r="H1842" s="23">
        <v>0</v>
      </c>
      <c r="I1842" s="23">
        <v>782.92499999999995</v>
      </c>
      <c r="J1842" s="23">
        <v>0</v>
      </c>
      <c r="K1842" s="23">
        <v>0</v>
      </c>
    </row>
    <row r="1843" spans="1:11" x14ac:dyDescent="0.25">
      <c r="A1843">
        <v>1842</v>
      </c>
      <c r="B1843" s="23">
        <v>1652.92</v>
      </c>
      <c r="C1843" s="23">
        <v>69.09</v>
      </c>
      <c r="D1843" s="23">
        <v>216.197</v>
      </c>
      <c r="E1843" s="23">
        <v>216.197</v>
      </c>
      <c r="F1843" s="23">
        <v>0</v>
      </c>
      <c r="G1843" s="23">
        <v>0</v>
      </c>
      <c r="H1843" s="23">
        <v>0</v>
      </c>
      <c r="I1843" s="23">
        <v>0</v>
      </c>
      <c r="J1843" s="23">
        <v>0</v>
      </c>
      <c r="K1843" s="23">
        <v>1436.723</v>
      </c>
    </row>
    <row r="1844" spans="1:11" x14ac:dyDescent="0.25">
      <c r="A1844">
        <v>1843</v>
      </c>
      <c r="B1844" s="23">
        <v>1211.742</v>
      </c>
      <c r="C1844" s="23">
        <v>0</v>
      </c>
      <c r="D1844" s="23">
        <v>0</v>
      </c>
      <c r="E1844" s="23">
        <v>0</v>
      </c>
      <c r="F1844" s="23">
        <v>0</v>
      </c>
      <c r="G1844" s="23">
        <v>0</v>
      </c>
      <c r="H1844" s="23">
        <v>0</v>
      </c>
      <c r="I1844" s="23">
        <v>0</v>
      </c>
      <c r="J1844" s="23">
        <v>0</v>
      </c>
      <c r="K1844" s="23">
        <v>1211.742</v>
      </c>
    </row>
    <row r="1845" spans="1:11" x14ac:dyDescent="0.25">
      <c r="A1845">
        <v>1844</v>
      </c>
      <c r="B1845" s="23">
        <v>1214.4000000000001</v>
      </c>
      <c r="C1845" s="23">
        <v>0</v>
      </c>
      <c r="D1845" s="23">
        <v>0</v>
      </c>
      <c r="E1845" s="23">
        <v>0</v>
      </c>
      <c r="F1845" s="23">
        <v>0</v>
      </c>
      <c r="G1845" s="23">
        <v>0</v>
      </c>
      <c r="H1845" s="23">
        <v>0</v>
      </c>
      <c r="I1845" s="23">
        <v>0</v>
      </c>
      <c r="J1845" s="23">
        <v>0</v>
      </c>
      <c r="K1845" s="23">
        <v>1214.4000000000001</v>
      </c>
    </row>
    <row r="1846" spans="1:11" x14ac:dyDescent="0.25">
      <c r="A1846">
        <v>1845</v>
      </c>
      <c r="B1846" s="23">
        <v>1048</v>
      </c>
      <c r="C1846" s="23">
        <v>0</v>
      </c>
      <c r="D1846" s="23">
        <v>0</v>
      </c>
      <c r="E1846" s="23">
        <v>0</v>
      </c>
      <c r="F1846" s="23">
        <v>0</v>
      </c>
      <c r="G1846" s="23">
        <v>0</v>
      </c>
      <c r="H1846" s="23">
        <v>0</v>
      </c>
      <c r="I1846" s="23">
        <v>1048</v>
      </c>
      <c r="J1846" s="23">
        <v>0</v>
      </c>
      <c r="K1846" s="23">
        <v>0</v>
      </c>
    </row>
    <row r="1847" spans="1:11" x14ac:dyDescent="0.25">
      <c r="A1847">
        <v>1846</v>
      </c>
      <c r="B1847" s="23">
        <v>1320.8</v>
      </c>
      <c r="C1847" s="23">
        <v>0</v>
      </c>
      <c r="D1847" s="23">
        <v>0</v>
      </c>
      <c r="E1847" s="23">
        <v>0</v>
      </c>
      <c r="F1847" s="23">
        <v>0</v>
      </c>
      <c r="G1847" s="23">
        <v>0</v>
      </c>
      <c r="H1847" s="23">
        <v>0</v>
      </c>
      <c r="I1847" s="23">
        <v>1320.8</v>
      </c>
      <c r="J1847" s="23">
        <v>0</v>
      </c>
      <c r="K1847" s="23">
        <v>0</v>
      </c>
    </row>
    <row r="1848" spans="1:11" x14ac:dyDescent="0.25">
      <c r="A1848">
        <v>1847</v>
      </c>
      <c r="B1848" s="23">
        <v>1692</v>
      </c>
      <c r="C1848" s="23">
        <v>0</v>
      </c>
      <c r="D1848" s="23">
        <v>0</v>
      </c>
      <c r="E1848" s="23">
        <v>0</v>
      </c>
      <c r="F1848" s="23">
        <v>0</v>
      </c>
      <c r="G1848" s="23">
        <v>0</v>
      </c>
      <c r="H1848" s="23">
        <v>0</v>
      </c>
      <c r="I1848" s="23">
        <v>1692</v>
      </c>
      <c r="J1848" s="23">
        <v>0</v>
      </c>
      <c r="K1848" s="23">
        <v>0</v>
      </c>
    </row>
    <row r="1849" spans="1:11" x14ac:dyDescent="0.25">
      <c r="A1849">
        <v>1848</v>
      </c>
      <c r="B1849" s="23">
        <v>1456.8</v>
      </c>
      <c r="C1849" s="23">
        <v>0</v>
      </c>
      <c r="D1849" s="23">
        <v>0</v>
      </c>
      <c r="E1849" s="23">
        <v>0</v>
      </c>
      <c r="F1849" s="23">
        <v>0</v>
      </c>
      <c r="G1849" s="23">
        <v>0</v>
      </c>
      <c r="H1849" s="23">
        <v>0</v>
      </c>
      <c r="I1849" s="23">
        <v>1456.8</v>
      </c>
      <c r="J1849" s="23">
        <v>0</v>
      </c>
      <c r="K1849" s="23">
        <v>0</v>
      </c>
    </row>
    <row r="1850" spans="1:11" x14ac:dyDescent="0.25">
      <c r="A1850">
        <v>1849</v>
      </c>
      <c r="B1850" s="23">
        <v>1660.8</v>
      </c>
      <c r="C1850" s="23">
        <v>0</v>
      </c>
      <c r="D1850" s="23">
        <v>0</v>
      </c>
      <c r="E1850" s="23">
        <v>0</v>
      </c>
      <c r="F1850" s="23">
        <v>0</v>
      </c>
      <c r="G1850" s="23">
        <v>0</v>
      </c>
      <c r="H1850" s="23">
        <v>0</v>
      </c>
      <c r="I1850" s="23">
        <v>1660.8</v>
      </c>
      <c r="J1850" s="23">
        <v>0</v>
      </c>
      <c r="K1850" s="23">
        <v>0</v>
      </c>
    </row>
    <row r="1851" spans="1:11" x14ac:dyDescent="0.25">
      <c r="A1851">
        <v>1850</v>
      </c>
      <c r="B1851" s="23">
        <v>1558.4</v>
      </c>
      <c r="C1851" s="23">
        <v>0</v>
      </c>
      <c r="D1851" s="23">
        <v>0</v>
      </c>
      <c r="E1851" s="23">
        <v>0</v>
      </c>
      <c r="F1851" s="23">
        <v>0</v>
      </c>
      <c r="G1851" s="23">
        <v>0</v>
      </c>
      <c r="H1851" s="23">
        <v>0</v>
      </c>
      <c r="I1851" s="23">
        <v>1558.4</v>
      </c>
      <c r="J1851" s="23">
        <v>0</v>
      </c>
      <c r="K1851" s="23">
        <v>0</v>
      </c>
    </row>
    <row r="1852" spans="1:11" x14ac:dyDescent="0.25">
      <c r="A1852">
        <v>1851</v>
      </c>
      <c r="B1852" s="23">
        <v>1351.2</v>
      </c>
      <c r="C1852" s="23">
        <v>0</v>
      </c>
      <c r="D1852" s="23">
        <v>0</v>
      </c>
      <c r="E1852" s="23">
        <v>0</v>
      </c>
      <c r="F1852" s="23">
        <v>0</v>
      </c>
      <c r="G1852" s="23">
        <v>0</v>
      </c>
      <c r="H1852" s="23">
        <v>0</v>
      </c>
      <c r="I1852" s="23">
        <v>1351.2</v>
      </c>
      <c r="J1852" s="23">
        <v>0</v>
      </c>
      <c r="K1852" s="23">
        <v>0</v>
      </c>
    </row>
    <row r="1853" spans="1:11" x14ac:dyDescent="0.25">
      <c r="A1853">
        <v>1852</v>
      </c>
      <c r="B1853" s="23">
        <v>954.4</v>
      </c>
      <c r="C1853" s="23">
        <v>0</v>
      </c>
      <c r="D1853" s="23">
        <v>0</v>
      </c>
      <c r="E1853" s="23">
        <v>0</v>
      </c>
      <c r="F1853" s="23">
        <v>0</v>
      </c>
      <c r="G1853" s="23">
        <v>0</v>
      </c>
      <c r="H1853" s="23">
        <v>0</v>
      </c>
      <c r="I1853" s="23">
        <v>954.4</v>
      </c>
      <c r="J1853" s="23">
        <v>0</v>
      </c>
      <c r="K1853" s="23">
        <v>0</v>
      </c>
    </row>
    <row r="1854" spans="1:11" x14ac:dyDescent="0.25">
      <c r="A1854">
        <v>1853</v>
      </c>
      <c r="B1854" s="23">
        <v>1149.5999999999999</v>
      </c>
      <c r="C1854" s="23">
        <v>0</v>
      </c>
      <c r="D1854" s="23">
        <v>0</v>
      </c>
      <c r="E1854" s="23">
        <v>0</v>
      </c>
      <c r="F1854" s="23">
        <v>0</v>
      </c>
      <c r="G1854" s="23">
        <v>0</v>
      </c>
      <c r="H1854" s="23">
        <v>0</v>
      </c>
      <c r="I1854" s="23">
        <v>277.12299999999999</v>
      </c>
      <c r="J1854" s="23">
        <v>0</v>
      </c>
      <c r="K1854" s="23">
        <v>872.47699999999998</v>
      </c>
    </row>
    <row r="1855" spans="1:11" x14ac:dyDescent="0.25">
      <c r="A1855">
        <v>1854</v>
      </c>
      <c r="B1855" s="23">
        <v>950.4</v>
      </c>
      <c r="C1855" s="23">
        <v>0</v>
      </c>
      <c r="D1855" s="23">
        <v>0</v>
      </c>
      <c r="E1855" s="23">
        <v>0</v>
      </c>
      <c r="F1855" s="23">
        <v>0</v>
      </c>
      <c r="G1855" s="23">
        <v>0</v>
      </c>
      <c r="H1855" s="23">
        <v>0</v>
      </c>
      <c r="I1855" s="23">
        <v>0</v>
      </c>
      <c r="J1855" s="23">
        <v>0</v>
      </c>
      <c r="K1855" s="23">
        <v>950.4</v>
      </c>
    </row>
    <row r="1856" spans="1:11" x14ac:dyDescent="0.25">
      <c r="A1856">
        <v>1855</v>
      </c>
      <c r="B1856" s="23">
        <v>1003.501</v>
      </c>
      <c r="C1856" s="23">
        <v>44.82</v>
      </c>
      <c r="D1856" s="23">
        <v>137.39400000000001</v>
      </c>
      <c r="E1856" s="23">
        <v>137.39400000000001</v>
      </c>
      <c r="F1856" s="23">
        <v>0</v>
      </c>
      <c r="G1856" s="23">
        <v>0</v>
      </c>
      <c r="H1856" s="23">
        <v>0</v>
      </c>
      <c r="I1856" s="23">
        <v>0</v>
      </c>
      <c r="J1856" s="23">
        <v>0</v>
      </c>
      <c r="K1856" s="23">
        <v>866.10699999999997</v>
      </c>
    </row>
    <row r="1857" spans="1:11" x14ac:dyDescent="0.25">
      <c r="A1857">
        <v>1856</v>
      </c>
      <c r="B1857" s="23">
        <v>1142.2329999999999</v>
      </c>
      <c r="C1857" s="23">
        <v>297.05</v>
      </c>
      <c r="D1857" s="23">
        <v>1159.8989999999999</v>
      </c>
      <c r="E1857" s="23">
        <v>1142.2329999999999</v>
      </c>
      <c r="F1857" s="23">
        <v>-17.666</v>
      </c>
      <c r="G1857" s="23">
        <v>0</v>
      </c>
      <c r="H1857" s="23">
        <v>0</v>
      </c>
      <c r="I1857" s="23">
        <v>0</v>
      </c>
      <c r="J1857" s="23">
        <v>0</v>
      </c>
      <c r="K1857" s="23">
        <v>0</v>
      </c>
    </row>
    <row r="1858" spans="1:11" x14ac:dyDescent="0.25">
      <c r="A1858">
        <v>1857</v>
      </c>
      <c r="B1858" s="23">
        <v>1496.27</v>
      </c>
      <c r="C1858" s="23">
        <v>521.14</v>
      </c>
      <c r="D1858" s="23">
        <v>2058.1680000000001</v>
      </c>
      <c r="E1858" s="23">
        <v>1496.27</v>
      </c>
      <c r="F1858" s="23">
        <v>-561.89800000000002</v>
      </c>
      <c r="G1858" s="23">
        <v>0</v>
      </c>
      <c r="H1858" s="23">
        <v>0</v>
      </c>
      <c r="I1858" s="23">
        <v>0</v>
      </c>
      <c r="J1858" s="23">
        <v>0</v>
      </c>
      <c r="K1858" s="23">
        <v>0</v>
      </c>
    </row>
    <row r="1859" spans="1:11" x14ac:dyDescent="0.25">
      <c r="A1859">
        <v>1858</v>
      </c>
      <c r="B1859" s="23">
        <v>1685.0039999999999</v>
      </c>
      <c r="C1859" s="23">
        <v>690.23</v>
      </c>
      <c r="D1859" s="23">
        <v>2644.7190000000001</v>
      </c>
      <c r="E1859" s="23">
        <v>1685.0039999999999</v>
      </c>
      <c r="F1859" s="23">
        <v>-959.71500000000003</v>
      </c>
      <c r="G1859" s="23">
        <v>0</v>
      </c>
      <c r="H1859" s="23">
        <v>0</v>
      </c>
      <c r="I1859" s="23">
        <v>0</v>
      </c>
      <c r="J1859" s="23">
        <v>0</v>
      </c>
      <c r="K1859" s="23">
        <v>0</v>
      </c>
    </row>
    <row r="1860" spans="1:11" x14ac:dyDescent="0.25">
      <c r="A1860">
        <v>1859</v>
      </c>
      <c r="B1860" s="23">
        <v>1751.14</v>
      </c>
      <c r="C1860" s="23">
        <v>951.85</v>
      </c>
      <c r="D1860" s="23">
        <v>3536.66</v>
      </c>
      <c r="E1860" s="23">
        <v>1751.14</v>
      </c>
      <c r="F1860" s="23">
        <v>-1684.559</v>
      </c>
      <c r="G1860" s="23">
        <v>0</v>
      </c>
      <c r="H1860" s="23">
        <v>100.961</v>
      </c>
      <c r="I1860" s="23">
        <v>0</v>
      </c>
      <c r="J1860" s="23">
        <v>0</v>
      </c>
      <c r="K1860" s="23">
        <v>0</v>
      </c>
    </row>
    <row r="1861" spans="1:11" x14ac:dyDescent="0.25">
      <c r="A1861">
        <v>1860</v>
      </c>
      <c r="B1861" s="23">
        <v>1623.2449999999999</v>
      </c>
      <c r="C1861" s="23">
        <v>1036.6500000000001</v>
      </c>
      <c r="D1861" s="23">
        <v>3794.5920000000001</v>
      </c>
      <c r="E1861" s="23">
        <v>1623.2460000000001</v>
      </c>
      <c r="F1861" s="23">
        <v>-1684.559</v>
      </c>
      <c r="G1861" s="23">
        <v>0</v>
      </c>
      <c r="H1861" s="23">
        <v>486.78699999999998</v>
      </c>
      <c r="I1861" s="23">
        <v>0</v>
      </c>
      <c r="J1861" s="23">
        <v>0</v>
      </c>
      <c r="K1861" s="23">
        <v>0</v>
      </c>
    </row>
    <row r="1862" spans="1:11" x14ac:dyDescent="0.25">
      <c r="A1862">
        <v>1861</v>
      </c>
      <c r="B1862" s="23">
        <v>1835.1310000000001</v>
      </c>
      <c r="C1862" s="23">
        <v>1042.22</v>
      </c>
      <c r="D1862" s="23">
        <v>3810.73</v>
      </c>
      <c r="E1862" s="23">
        <v>1835.1320000000001</v>
      </c>
      <c r="F1862" s="23">
        <v>-1684.559</v>
      </c>
      <c r="G1862" s="23">
        <v>0</v>
      </c>
      <c r="H1862" s="23">
        <v>291.03899999999999</v>
      </c>
      <c r="I1862" s="23">
        <v>0</v>
      </c>
      <c r="J1862" s="23">
        <v>0</v>
      </c>
      <c r="K1862" s="23">
        <v>0</v>
      </c>
    </row>
    <row r="1863" spans="1:11" x14ac:dyDescent="0.25">
      <c r="A1863">
        <v>1862</v>
      </c>
      <c r="B1863" s="23">
        <v>1759.08</v>
      </c>
      <c r="C1863" s="23">
        <v>874.6</v>
      </c>
      <c r="D1863" s="23">
        <v>3250.482</v>
      </c>
      <c r="E1863" s="23">
        <v>1759.08</v>
      </c>
      <c r="F1863" s="23">
        <v>-698.54100000000005</v>
      </c>
      <c r="G1863" s="23">
        <v>0</v>
      </c>
      <c r="H1863" s="23">
        <v>792.86099999999999</v>
      </c>
      <c r="I1863" s="23">
        <v>0</v>
      </c>
      <c r="J1863" s="23">
        <v>0</v>
      </c>
      <c r="K1863" s="23">
        <v>0</v>
      </c>
    </row>
    <row r="1864" spans="1:11" x14ac:dyDescent="0.25">
      <c r="A1864">
        <v>1863</v>
      </c>
      <c r="B1864" s="23">
        <v>1738.9970000000001</v>
      </c>
      <c r="C1864" s="23">
        <v>809.89</v>
      </c>
      <c r="D1864" s="23">
        <v>3076.386</v>
      </c>
      <c r="E1864" s="23">
        <v>1738.9970000000001</v>
      </c>
      <c r="F1864" s="23">
        <v>0</v>
      </c>
      <c r="G1864" s="23">
        <v>0</v>
      </c>
      <c r="H1864" s="23">
        <v>1337.3889999999999</v>
      </c>
      <c r="I1864" s="23">
        <v>0</v>
      </c>
      <c r="J1864" s="23">
        <v>0</v>
      </c>
      <c r="K1864" s="23">
        <v>0</v>
      </c>
    </row>
    <row r="1865" spans="1:11" x14ac:dyDescent="0.25">
      <c r="A1865">
        <v>1864</v>
      </c>
      <c r="B1865" s="23">
        <v>1558.5830000000001</v>
      </c>
      <c r="C1865" s="23">
        <v>592.86</v>
      </c>
      <c r="D1865" s="23">
        <v>2325.5059999999999</v>
      </c>
      <c r="E1865" s="23">
        <v>1558.5830000000001</v>
      </c>
      <c r="F1865" s="23">
        <v>0</v>
      </c>
      <c r="G1865" s="23">
        <v>0</v>
      </c>
      <c r="H1865" s="23">
        <v>766.923</v>
      </c>
      <c r="I1865" s="23">
        <v>0</v>
      </c>
      <c r="J1865" s="23">
        <v>0</v>
      </c>
      <c r="K1865" s="23">
        <v>0</v>
      </c>
    </row>
    <row r="1866" spans="1:11" x14ac:dyDescent="0.25">
      <c r="A1866">
        <v>1865</v>
      </c>
      <c r="B1866" s="23">
        <v>1589.5170000000001</v>
      </c>
      <c r="C1866" s="23">
        <v>336.2</v>
      </c>
      <c r="D1866" s="23">
        <v>1303.0989999999999</v>
      </c>
      <c r="E1866" s="23">
        <v>1303.0989999999999</v>
      </c>
      <c r="F1866" s="23">
        <v>0</v>
      </c>
      <c r="G1866" s="23">
        <v>0</v>
      </c>
      <c r="H1866" s="23">
        <v>0</v>
      </c>
      <c r="I1866" s="23">
        <v>286.41800000000001</v>
      </c>
      <c r="J1866" s="23">
        <v>0</v>
      </c>
      <c r="K1866" s="23">
        <v>0</v>
      </c>
    </row>
    <row r="1867" spans="1:11" x14ac:dyDescent="0.25">
      <c r="A1867">
        <v>1866</v>
      </c>
      <c r="B1867" s="23">
        <v>1636.5740000000001</v>
      </c>
      <c r="C1867" s="23">
        <v>87.84</v>
      </c>
      <c r="D1867" s="23">
        <v>257.30099999999999</v>
      </c>
      <c r="E1867" s="23">
        <v>257.30099999999999</v>
      </c>
      <c r="F1867" s="23">
        <v>0</v>
      </c>
      <c r="G1867" s="23">
        <v>0</v>
      </c>
      <c r="H1867" s="23">
        <v>0</v>
      </c>
      <c r="I1867" s="23">
        <v>0</v>
      </c>
      <c r="J1867" s="23">
        <v>0</v>
      </c>
      <c r="K1867" s="23">
        <v>1379.2729999999999</v>
      </c>
    </row>
    <row r="1868" spans="1:11" x14ac:dyDescent="0.25">
      <c r="A1868">
        <v>1867</v>
      </c>
      <c r="B1868" s="23">
        <v>1446.0809999999999</v>
      </c>
      <c r="C1868" s="23">
        <v>0</v>
      </c>
      <c r="D1868" s="23">
        <v>0</v>
      </c>
      <c r="E1868" s="23">
        <v>0</v>
      </c>
      <c r="F1868" s="23">
        <v>0</v>
      </c>
      <c r="G1868" s="23">
        <v>0</v>
      </c>
      <c r="H1868" s="23">
        <v>0</v>
      </c>
      <c r="I1868" s="23">
        <v>0</v>
      </c>
      <c r="J1868" s="23">
        <v>0</v>
      </c>
      <c r="K1868" s="23">
        <v>1446.0809999999999</v>
      </c>
    </row>
    <row r="1869" spans="1:11" x14ac:dyDescent="0.25">
      <c r="A1869">
        <v>1868</v>
      </c>
      <c r="B1869" s="23">
        <v>1508</v>
      </c>
      <c r="C1869" s="23">
        <v>0</v>
      </c>
      <c r="D1869" s="23">
        <v>0</v>
      </c>
      <c r="E1869" s="23">
        <v>0</v>
      </c>
      <c r="F1869" s="23">
        <v>0</v>
      </c>
      <c r="G1869" s="23">
        <v>0</v>
      </c>
      <c r="H1869" s="23">
        <v>0</v>
      </c>
      <c r="I1869" s="23">
        <v>0</v>
      </c>
      <c r="J1869" s="23">
        <v>0</v>
      </c>
      <c r="K1869" s="23">
        <v>1508</v>
      </c>
    </row>
    <row r="1870" spans="1:11" x14ac:dyDescent="0.25">
      <c r="A1870">
        <v>1869</v>
      </c>
      <c r="B1870" s="23">
        <v>1304</v>
      </c>
      <c r="C1870" s="23">
        <v>0</v>
      </c>
      <c r="D1870" s="23">
        <v>0</v>
      </c>
      <c r="E1870" s="23">
        <v>0</v>
      </c>
      <c r="F1870" s="23">
        <v>0</v>
      </c>
      <c r="G1870" s="23">
        <v>0</v>
      </c>
      <c r="H1870" s="23">
        <v>0</v>
      </c>
      <c r="I1870" s="23">
        <v>1304</v>
      </c>
      <c r="J1870" s="23">
        <v>0</v>
      </c>
      <c r="K1870" s="23">
        <v>0</v>
      </c>
    </row>
    <row r="1871" spans="1:11" x14ac:dyDescent="0.25">
      <c r="A1871">
        <v>1870</v>
      </c>
      <c r="B1871" s="23">
        <v>1274.4000000000001</v>
      </c>
      <c r="C1871" s="23">
        <v>0</v>
      </c>
      <c r="D1871" s="23">
        <v>0</v>
      </c>
      <c r="E1871" s="23">
        <v>0</v>
      </c>
      <c r="F1871" s="23">
        <v>0</v>
      </c>
      <c r="G1871" s="23">
        <v>0</v>
      </c>
      <c r="H1871" s="23">
        <v>0</v>
      </c>
      <c r="I1871" s="23">
        <v>1274.4000000000001</v>
      </c>
      <c r="J1871" s="23">
        <v>0</v>
      </c>
      <c r="K1871" s="23">
        <v>0</v>
      </c>
    </row>
    <row r="1872" spans="1:11" x14ac:dyDescent="0.25">
      <c r="A1872">
        <v>1871</v>
      </c>
      <c r="B1872" s="23">
        <v>1512.8</v>
      </c>
      <c r="C1872" s="23">
        <v>0</v>
      </c>
      <c r="D1872" s="23">
        <v>0</v>
      </c>
      <c r="E1872" s="23">
        <v>0</v>
      </c>
      <c r="F1872" s="23">
        <v>0</v>
      </c>
      <c r="G1872" s="23">
        <v>0</v>
      </c>
      <c r="H1872" s="23">
        <v>0</v>
      </c>
      <c r="I1872" s="23">
        <v>1512.8</v>
      </c>
      <c r="J1872" s="23">
        <v>0</v>
      </c>
      <c r="K1872" s="23">
        <v>0</v>
      </c>
    </row>
    <row r="1873" spans="1:11" x14ac:dyDescent="0.25">
      <c r="A1873">
        <v>1872</v>
      </c>
      <c r="B1873" s="23">
        <v>1444</v>
      </c>
      <c r="C1873" s="23">
        <v>0</v>
      </c>
      <c r="D1873" s="23">
        <v>0</v>
      </c>
      <c r="E1873" s="23">
        <v>0</v>
      </c>
      <c r="F1873" s="23">
        <v>0</v>
      </c>
      <c r="G1873" s="23">
        <v>0</v>
      </c>
      <c r="H1873" s="23">
        <v>0</v>
      </c>
      <c r="I1873" s="23">
        <v>1444</v>
      </c>
      <c r="J1873" s="23">
        <v>0</v>
      </c>
      <c r="K1873" s="23">
        <v>0</v>
      </c>
    </row>
    <row r="1874" spans="1:11" x14ac:dyDescent="0.25">
      <c r="A1874">
        <v>1873</v>
      </c>
      <c r="B1874" s="23">
        <v>1532</v>
      </c>
      <c r="C1874" s="23">
        <v>0</v>
      </c>
      <c r="D1874" s="23">
        <v>0</v>
      </c>
      <c r="E1874" s="23">
        <v>0</v>
      </c>
      <c r="F1874" s="23">
        <v>0</v>
      </c>
      <c r="G1874" s="23">
        <v>0</v>
      </c>
      <c r="H1874" s="23">
        <v>0</v>
      </c>
      <c r="I1874" s="23">
        <v>1532</v>
      </c>
      <c r="J1874" s="23">
        <v>0</v>
      </c>
      <c r="K1874" s="23">
        <v>0</v>
      </c>
    </row>
    <row r="1875" spans="1:11" x14ac:dyDescent="0.25">
      <c r="A1875">
        <v>1874</v>
      </c>
      <c r="B1875" s="23">
        <v>1208.8</v>
      </c>
      <c r="C1875" s="23">
        <v>0</v>
      </c>
      <c r="D1875" s="23">
        <v>0</v>
      </c>
      <c r="E1875" s="23">
        <v>0</v>
      </c>
      <c r="F1875" s="23">
        <v>0</v>
      </c>
      <c r="G1875" s="23">
        <v>0</v>
      </c>
      <c r="H1875" s="23">
        <v>0</v>
      </c>
      <c r="I1875" s="23">
        <v>1208.8</v>
      </c>
      <c r="J1875" s="23">
        <v>0</v>
      </c>
      <c r="K1875" s="23">
        <v>0</v>
      </c>
    </row>
    <row r="1876" spans="1:11" x14ac:dyDescent="0.25">
      <c r="A1876">
        <v>1875</v>
      </c>
      <c r="B1876" s="23">
        <v>1256.8</v>
      </c>
      <c r="C1876" s="23">
        <v>0</v>
      </c>
      <c r="D1876" s="23">
        <v>0</v>
      </c>
      <c r="E1876" s="23">
        <v>0</v>
      </c>
      <c r="F1876" s="23">
        <v>0</v>
      </c>
      <c r="G1876" s="23">
        <v>0</v>
      </c>
      <c r="H1876" s="23">
        <v>0</v>
      </c>
      <c r="I1876" s="23">
        <v>1256.8</v>
      </c>
      <c r="J1876" s="23">
        <v>0</v>
      </c>
      <c r="K1876" s="23">
        <v>0</v>
      </c>
    </row>
    <row r="1877" spans="1:11" x14ac:dyDescent="0.25">
      <c r="A1877">
        <v>1876</v>
      </c>
      <c r="B1877" s="23">
        <v>1124</v>
      </c>
      <c r="C1877" s="23">
        <v>0</v>
      </c>
      <c r="D1877" s="23">
        <v>0</v>
      </c>
      <c r="E1877" s="23">
        <v>0</v>
      </c>
      <c r="F1877" s="23">
        <v>0</v>
      </c>
      <c r="G1877" s="23">
        <v>0</v>
      </c>
      <c r="H1877" s="23">
        <v>0</v>
      </c>
      <c r="I1877" s="23">
        <v>1124</v>
      </c>
      <c r="J1877" s="23">
        <v>0</v>
      </c>
      <c r="K1877" s="23">
        <v>0</v>
      </c>
    </row>
    <row r="1878" spans="1:11" x14ac:dyDescent="0.25">
      <c r="A1878">
        <v>1877</v>
      </c>
      <c r="B1878" s="23">
        <v>1070.4000000000001</v>
      </c>
      <c r="C1878" s="23">
        <v>0</v>
      </c>
      <c r="D1878" s="23">
        <v>0</v>
      </c>
      <c r="E1878" s="23">
        <v>0</v>
      </c>
      <c r="F1878" s="23">
        <v>0</v>
      </c>
      <c r="G1878" s="23">
        <v>0</v>
      </c>
      <c r="H1878" s="23">
        <v>0</v>
      </c>
      <c r="I1878" s="23">
        <v>1062.5640000000001</v>
      </c>
      <c r="J1878" s="23">
        <v>0</v>
      </c>
      <c r="K1878" s="23">
        <v>7.8360000000000003</v>
      </c>
    </row>
    <row r="1879" spans="1:11" x14ac:dyDescent="0.25">
      <c r="A1879">
        <v>1878</v>
      </c>
      <c r="B1879" s="23">
        <v>1064</v>
      </c>
      <c r="C1879" s="23">
        <v>0</v>
      </c>
      <c r="D1879" s="23">
        <v>0</v>
      </c>
      <c r="E1879" s="23">
        <v>0</v>
      </c>
      <c r="F1879" s="23">
        <v>0</v>
      </c>
      <c r="G1879" s="23">
        <v>0</v>
      </c>
      <c r="H1879" s="23">
        <v>0</v>
      </c>
      <c r="I1879" s="23">
        <v>0</v>
      </c>
      <c r="J1879" s="23">
        <v>0</v>
      </c>
      <c r="K1879" s="23">
        <v>1064</v>
      </c>
    </row>
    <row r="1880" spans="1:11" x14ac:dyDescent="0.25">
      <c r="A1880">
        <v>1879</v>
      </c>
      <c r="B1880" s="23">
        <v>1158.633</v>
      </c>
      <c r="C1880" s="23">
        <v>74.709999999999994</v>
      </c>
      <c r="D1880" s="23">
        <v>218.703</v>
      </c>
      <c r="E1880" s="23">
        <v>218.703</v>
      </c>
      <c r="F1880" s="23">
        <v>0</v>
      </c>
      <c r="G1880" s="23">
        <v>0</v>
      </c>
      <c r="H1880" s="23">
        <v>0</v>
      </c>
      <c r="I1880" s="23">
        <v>0</v>
      </c>
      <c r="J1880" s="23">
        <v>0</v>
      </c>
      <c r="K1880" s="23">
        <v>939.93</v>
      </c>
    </row>
    <row r="1881" spans="1:11" x14ac:dyDescent="0.25">
      <c r="A1881">
        <v>1880</v>
      </c>
      <c r="B1881" s="23">
        <v>1337.607</v>
      </c>
      <c r="C1881" s="23">
        <v>290</v>
      </c>
      <c r="D1881" s="23">
        <v>1130.8779999999999</v>
      </c>
      <c r="E1881" s="23">
        <v>1130.8779999999999</v>
      </c>
      <c r="F1881" s="23">
        <v>0</v>
      </c>
      <c r="G1881" s="23">
        <v>0</v>
      </c>
      <c r="H1881" s="23">
        <v>0</v>
      </c>
      <c r="I1881" s="23">
        <v>0</v>
      </c>
      <c r="J1881" s="23">
        <v>0</v>
      </c>
      <c r="K1881" s="23">
        <v>206.72900000000001</v>
      </c>
    </row>
    <row r="1882" spans="1:11" x14ac:dyDescent="0.25">
      <c r="A1882">
        <v>1881</v>
      </c>
      <c r="B1882" s="23">
        <v>1602.4359999999999</v>
      </c>
      <c r="C1882" s="23">
        <v>478.16</v>
      </c>
      <c r="D1882" s="23">
        <v>1886.2260000000001</v>
      </c>
      <c r="E1882" s="23">
        <v>1602.4359999999999</v>
      </c>
      <c r="F1882" s="23">
        <v>-283.79000000000002</v>
      </c>
      <c r="G1882" s="23">
        <v>0</v>
      </c>
      <c r="H1882" s="23">
        <v>0</v>
      </c>
      <c r="I1882" s="23">
        <v>0</v>
      </c>
      <c r="J1882" s="23">
        <v>0</v>
      </c>
      <c r="K1882" s="23">
        <v>0</v>
      </c>
    </row>
    <row r="1883" spans="1:11" x14ac:dyDescent="0.25">
      <c r="A1883">
        <v>1882</v>
      </c>
      <c r="B1883" s="23">
        <v>1659.9290000000001</v>
      </c>
      <c r="C1883" s="23">
        <v>693.22</v>
      </c>
      <c r="D1883" s="23">
        <v>2660.6350000000002</v>
      </c>
      <c r="E1883" s="23">
        <v>1659.9290000000001</v>
      </c>
      <c r="F1883" s="23">
        <v>-1000.706</v>
      </c>
      <c r="G1883" s="23">
        <v>0</v>
      </c>
      <c r="H1883" s="23">
        <v>0</v>
      </c>
      <c r="I1883" s="23">
        <v>0</v>
      </c>
      <c r="J1883" s="23">
        <v>0</v>
      </c>
      <c r="K1883" s="23">
        <v>0</v>
      </c>
    </row>
    <row r="1884" spans="1:11" x14ac:dyDescent="0.25">
      <c r="A1884">
        <v>1883</v>
      </c>
      <c r="B1884" s="23">
        <v>0</v>
      </c>
      <c r="C1884" s="23">
        <v>814.36</v>
      </c>
      <c r="D1884" s="23">
        <v>3055.6039999999998</v>
      </c>
      <c r="E1884" s="23">
        <v>1E-3</v>
      </c>
      <c r="F1884" s="23">
        <v>-1684.559</v>
      </c>
      <c r="G1884" s="23">
        <v>0</v>
      </c>
      <c r="H1884" s="23">
        <v>1371.0440000000001</v>
      </c>
      <c r="I1884" s="23">
        <v>0</v>
      </c>
      <c r="J1884" s="23">
        <v>0</v>
      </c>
      <c r="K1884" s="23">
        <v>0</v>
      </c>
    </row>
    <row r="1885" spans="1:11" x14ac:dyDescent="0.25">
      <c r="A1885">
        <v>1884</v>
      </c>
      <c r="B1885" s="23">
        <v>1537.528</v>
      </c>
      <c r="C1885" s="23">
        <v>1054.68</v>
      </c>
      <c r="D1885" s="23">
        <v>3894.5030000000002</v>
      </c>
      <c r="E1885" s="23">
        <v>1537.529</v>
      </c>
      <c r="F1885" s="23">
        <v>-1684.559</v>
      </c>
      <c r="G1885" s="23">
        <v>0</v>
      </c>
      <c r="H1885" s="23">
        <v>672.41499999999996</v>
      </c>
      <c r="I1885" s="23">
        <v>0</v>
      </c>
      <c r="J1885" s="23">
        <v>0</v>
      </c>
      <c r="K1885" s="23">
        <v>0</v>
      </c>
    </row>
    <row r="1886" spans="1:11" x14ac:dyDescent="0.25">
      <c r="A1886">
        <v>1885</v>
      </c>
      <c r="B1886" s="23">
        <v>1283.8</v>
      </c>
      <c r="C1886" s="23">
        <v>1042.49</v>
      </c>
      <c r="D1886" s="23">
        <v>3847.2719999999999</v>
      </c>
      <c r="E1886" s="23">
        <v>1283.8</v>
      </c>
      <c r="F1886" s="23">
        <v>-1684.559</v>
      </c>
      <c r="G1886" s="23">
        <v>0</v>
      </c>
      <c r="H1886" s="23">
        <v>878.91300000000001</v>
      </c>
      <c r="I1886" s="23">
        <v>0</v>
      </c>
      <c r="J1886" s="23">
        <v>0</v>
      </c>
      <c r="K1886" s="23">
        <v>0</v>
      </c>
    </row>
    <row r="1887" spans="1:11" x14ac:dyDescent="0.25">
      <c r="A1887">
        <v>1886</v>
      </c>
      <c r="B1887" s="23">
        <v>1608.326</v>
      </c>
      <c r="C1887" s="23">
        <v>926.54</v>
      </c>
      <c r="D1887" s="23">
        <v>3467.32</v>
      </c>
      <c r="E1887" s="23">
        <v>1608.326</v>
      </c>
      <c r="F1887" s="23">
        <v>-953.32500000000005</v>
      </c>
      <c r="G1887" s="23">
        <v>0</v>
      </c>
      <c r="H1887" s="23">
        <v>905.66899999999998</v>
      </c>
      <c r="I1887" s="23">
        <v>0</v>
      </c>
      <c r="J1887" s="23">
        <v>0</v>
      </c>
      <c r="K1887" s="23">
        <v>0</v>
      </c>
    </row>
    <row r="1888" spans="1:11" x14ac:dyDescent="0.25">
      <c r="A1888">
        <v>1887</v>
      </c>
      <c r="B1888" s="23">
        <v>1597.92</v>
      </c>
      <c r="C1888" s="23">
        <v>716.22</v>
      </c>
      <c r="D1888" s="23">
        <v>2739.2269999999999</v>
      </c>
      <c r="E1888" s="23">
        <v>1597.92</v>
      </c>
      <c r="F1888" s="23">
        <v>0</v>
      </c>
      <c r="G1888" s="23">
        <v>0</v>
      </c>
      <c r="H1888" s="23">
        <v>1141.307</v>
      </c>
      <c r="I1888" s="23">
        <v>0</v>
      </c>
      <c r="J1888" s="23">
        <v>0</v>
      </c>
      <c r="K1888" s="23">
        <v>0</v>
      </c>
    </row>
    <row r="1889" spans="1:11" x14ac:dyDescent="0.25">
      <c r="A1889">
        <v>1888</v>
      </c>
      <c r="B1889" s="23">
        <v>1735.1679999999999</v>
      </c>
      <c r="C1889" s="23">
        <v>604.39</v>
      </c>
      <c r="D1889" s="23">
        <v>2381.0740000000001</v>
      </c>
      <c r="E1889" s="23">
        <v>1735.1679999999999</v>
      </c>
      <c r="F1889" s="23">
        <v>0</v>
      </c>
      <c r="G1889" s="23">
        <v>0</v>
      </c>
      <c r="H1889" s="23">
        <v>645.90599999999995</v>
      </c>
      <c r="I1889" s="23">
        <v>0</v>
      </c>
      <c r="J1889" s="23">
        <v>0</v>
      </c>
      <c r="K1889" s="23">
        <v>0</v>
      </c>
    </row>
    <row r="1890" spans="1:11" x14ac:dyDescent="0.25">
      <c r="A1890">
        <v>1889</v>
      </c>
      <c r="B1890" s="23">
        <v>1535.971</v>
      </c>
      <c r="C1890" s="23">
        <v>346.09</v>
      </c>
      <c r="D1890" s="23">
        <v>1341.2529999999999</v>
      </c>
      <c r="E1890" s="23">
        <v>1341.2529999999999</v>
      </c>
      <c r="F1890" s="23">
        <v>0</v>
      </c>
      <c r="G1890" s="23">
        <v>0</v>
      </c>
      <c r="H1890" s="23">
        <v>0</v>
      </c>
      <c r="I1890" s="23">
        <v>194.71799999999999</v>
      </c>
      <c r="J1890" s="23">
        <v>0</v>
      </c>
      <c r="K1890" s="23">
        <v>0</v>
      </c>
    </row>
    <row r="1891" spans="1:11" x14ac:dyDescent="0.25">
      <c r="A1891">
        <v>1890</v>
      </c>
      <c r="B1891" s="23">
        <v>1401.3989999999999</v>
      </c>
      <c r="C1891" s="23">
        <v>91.51</v>
      </c>
      <c r="D1891" s="23">
        <v>258.12799999999999</v>
      </c>
      <c r="E1891" s="23">
        <v>258.12799999999999</v>
      </c>
      <c r="F1891" s="23">
        <v>0</v>
      </c>
      <c r="G1891" s="23">
        <v>0</v>
      </c>
      <c r="H1891" s="23">
        <v>0</v>
      </c>
      <c r="I1891" s="23">
        <v>0</v>
      </c>
      <c r="J1891" s="23">
        <v>0</v>
      </c>
      <c r="K1891" s="23">
        <v>1143.271</v>
      </c>
    </row>
    <row r="1892" spans="1:11" x14ac:dyDescent="0.25">
      <c r="A1892">
        <v>1891</v>
      </c>
      <c r="B1892" s="23">
        <v>1316.835</v>
      </c>
      <c r="C1892" s="23">
        <v>0</v>
      </c>
      <c r="D1892" s="23">
        <v>0</v>
      </c>
      <c r="E1892" s="23">
        <v>0</v>
      </c>
      <c r="F1892" s="23">
        <v>0</v>
      </c>
      <c r="G1892" s="23">
        <v>0</v>
      </c>
      <c r="H1892" s="23">
        <v>0</v>
      </c>
      <c r="I1892" s="23">
        <v>0</v>
      </c>
      <c r="J1892" s="23">
        <v>0</v>
      </c>
      <c r="K1892" s="23">
        <v>1316.835</v>
      </c>
    </row>
    <row r="1893" spans="1:11" x14ac:dyDescent="0.25">
      <c r="A1893">
        <v>1892</v>
      </c>
      <c r="B1893" s="23">
        <v>1148</v>
      </c>
      <c r="C1893" s="23">
        <v>0</v>
      </c>
      <c r="D1893" s="23">
        <v>0</v>
      </c>
      <c r="E1893" s="23">
        <v>0</v>
      </c>
      <c r="F1893" s="23">
        <v>0</v>
      </c>
      <c r="G1893" s="23">
        <v>0</v>
      </c>
      <c r="H1893" s="23">
        <v>0</v>
      </c>
      <c r="I1893" s="23">
        <v>0</v>
      </c>
      <c r="J1893" s="23">
        <v>0</v>
      </c>
      <c r="K1893" s="23">
        <v>1148</v>
      </c>
    </row>
    <row r="1894" spans="1:11" x14ac:dyDescent="0.25">
      <c r="A1894">
        <v>1893</v>
      </c>
      <c r="B1894" s="23">
        <v>1382.4</v>
      </c>
      <c r="C1894" s="23">
        <v>0</v>
      </c>
      <c r="D1894" s="23">
        <v>0</v>
      </c>
      <c r="E1894" s="23">
        <v>0</v>
      </c>
      <c r="F1894" s="23">
        <v>0</v>
      </c>
      <c r="G1894" s="23">
        <v>0</v>
      </c>
      <c r="H1894" s="23">
        <v>0</v>
      </c>
      <c r="I1894" s="23">
        <v>1382.4</v>
      </c>
      <c r="J1894" s="23">
        <v>0</v>
      </c>
      <c r="K1894" s="23">
        <v>0</v>
      </c>
    </row>
    <row r="1895" spans="1:11" x14ac:dyDescent="0.25">
      <c r="A1895">
        <v>1894</v>
      </c>
      <c r="B1895" s="23">
        <v>1640.8</v>
      </c>
      <c r="C1895" s="23">
        <v>0</v>
      </c>
      <c r="D1895" s="23">
        <v>0</v>
      </c>
      <c r="E1895" s="23">
        <v>0</v>
      </c>
      <c r="F1895" s="23">
        <v>0</v>
      </c>
      <c r="G1895" s="23">
        <v>0</v>
      </c>
      <c r="H1895" s="23">
        <v>0</v>
      </c>
      <c r="I1895" s="23">
        <v>1373.1310000000001</v>
      </c>
      <c r="J1895" s="23">
        <v>0</v>
      </c>
      <c r="K1895" s="23">
        <v>267.66899999999998</v>
      </c>
    </row>
    <row r="1896" spans="1:11" x14ac:dyDescent="0.25">
      <c r="A1896">
        <v>1895</v>
      </c>
      <c r="B1896" s="23">
        <v>1377.6</v>
      </c>
      <c r="C1896" s="23">
        <v>0</v>
      </c>
      <c r="D1896" s="23">
        <v>0</v>
      </c>
      <c r="E1896" s="23">
        <v>0</v>
      </c>
      <c r="F1896" s="23">
        <v>0</v>
      </c>
      <c r="G1896" s="23">
        <v>0</v>
      </c>
      <c r="H1896" s="23">
        <v>0</v>
      </c>
      <c r="I1896" s="23">
        <v>1377.6</v>
      </c>
      <c r="J1896" s="23">
        <v>0</v>
      </c>
      <c r="K1896" s="23">
        <v>0</v>
      </c>
    </row>
    <row r="1897" spans="1:11" x14ac:dyDescent="0.25">
      <c r="A1897">
        <v>1896</v>
      </c>
      <c r="B1897" s="23">
        <v>1239.2</v>
      </c>
      <c r="C1897" s="23">
        <v>0</v>
      </c>
      <c r="D1897" s="23">
        <v>0</v>
      </c>
      <c r="E1897" s="23">
        <v>0</v>
      </c>
      <c r="F1897" s="23">
        <v>0</v>
      </c>
      <c r="G1897" s="23">
        <v>0</v>
      </c>
      <c r="H1897" s="23">
        <v>0</v>
      </c>
      <c r="I1897" s="23">
        <v>1239.2</v>
      </c>
      <c r="J1897" s="23">
        <v>0</v>
      </c>
      <c r="K1897" s="23">
        <v>0</v>
      </c>
    </row>
    <row r="1898" spans="1:11" x14ac:dyDescent="0.25">
      <c r="A1898">
        <v>1897</v>
      </c>
      <c r="B1898" s="23">
        <v>950.4</v>
      </c>
      <c r="C1898" s="23">
        <v>0</v>
      </c>
      <c r="D1898" s="23">
        <v>0</v>
      </c>
      <c r="E1898" s="23">
        <v>0</v>
      </c>
      <c r="F1898" s="23">
        <v>0</v>
      </c>
      <c r="G1898" s="23">
        <v>0</v>
      </c>
      <c r="H1898" s="23">
        <v>0</v>
      </c>
      <c r="I1898" s="23">
        <v>950.4</v>
      </c>
      <c r="J1898" s="23">
        <v>0</v>
      </c>
      <c r="K1898" s="23">
        <v>0</v>
      </c>
    </row>
    <row r="1899" spans="1:11" x14ac:dyDescent="0.25">
      <c r="A1899">
        <v>1898</v>
      </c>
      <c r="B1899" s="23">
        <v>1244.8</v>
      </c>
      <c r="C1899" s="23">
        <v>0</v>
      </c>
      <c r="D1899" s="23">
        <v>0</v>
      </c>
      <c r="E1899" s="23">
        <v>0</v>
      </c>
      <c r="F1899" s="23">
        <v>0</v>
      </c>
      <c r="G1899" s="23">
        <v>0</v>
      </c>
      <c r="H1899" s="23">
        <v>0</v>
      </c>
      <c r="I1899" s="23">
        <v>1244.8</v>
      </c>
      <c r="J1899" s="23">
        <v>0</v>
      </c>
      <c r="K1899" s="23">
        <v>0</v>
      </c>
    </row>
    <row r="1900" spans="1:11" x14ac:dyDescent="0.25">
      <c r="A1900">
        <v>1899</v>
      </c>
      <c r="B1900" s="23">
        <v>963.2</v>
      </c>
      <c r="C1900" s="23">
        <v>0</v>
      </c>
      <c r="D1900" s="23">
        <v>0</v>
      </c>
      <c r="E1900" s="23">
        <v>0</v>
      </c>
      <c r="F1900" s="23">
        <v>0</v>
      </c>
      <c r="G1900" s="23">
        <v>0</v>
      </c>
      <c r="H1900" s="23">
        <v>0</v>
      </c>
      <c r="I1900" s="23">
        <v>963.2</v>
      </c>
      <c r="J1900" s="23">
        <v>0</v>
      </c>
      <c r="K1900" s="23">
        <v>0</v>
      </c>
    </row>
    <row r="1901" spans="1:11" x14ac:dyDescent="0.25">
      <c r="A1901">
        <v>1900</v>
      </c>
      <c r="B1901" s="23">
        <v>860.8</v>
      </c>
      <c r="C1901" s="23">
        <v>0</v>
      </c>
      <c r="D1901" s="23">
        <v>0</v>
      </c>
      <c r="E1901" s="23">
        <v>0</v>
      </c>
      <c r="F1901" s="23">
        <v>0</v>
      </c>
      <c r="G1901" s="23">
        <v>0</v>
      </c>
      <c r="H1901" s="23">
        <v>0</v>
      </c>
      <c r="I1901" s="23">
        <v>860.8</v>
      </c>
      <c r="J1901" s="23">
        <v>0</v>
      </c>
      <c r="K1901" s="23">
        <v>0</v>
      </c>
    </row>
    <row r="1902" spans="1:11" x14ac:dyDescent="0.25">
      <c r="A1902">
        <v>1901</v>
      </c>
      <c r="B1902" s="23">
        <v>976.8</v>
      </c>
      <c r="C1902" s="23">
        <v>0</v>
      </c>
      <c r="D1902" s="23">
        <v>0</v>
      </c>
      <c r="E1902" s="23">
        <v>0</v>
      </c>
      <c r="F1902" s="23">
        <v>0</v>
      </c>
      <c r="G1902" s="23">
        <v>0</v>
      </c>
      <c r="H1902" s="23">
        <v>0</v>
      </c>
      <c r="I1902" s="23">
        <v>0</v>
      </c>
      <c r="J1902" s="23">
        <v>0</v>
      </c>
      <c r="K1902" s="23">
        <v>976.8</v>
      </c>
    </row>
    <row r="1903" spans="1:11" x14ac:dyDescent="0.25">
      <c r="A1903">
        <v>1902</v>
      </c>
      <c r="B1903" s="23">
        <v>1053.5999999999999</v>
      </c>
      <c r="C1903" s="23">
        <v>0</v>
      </c>
      <c r="D1903" s="23">
        <v>0</v>
      </c>
      <c r="E1903" s="23">
        <v>0</v>
      </c>
      <c r="F1903" s="23">
        <v>0</v>
      </c>
      <c r="G1903" s="23">
        <v>0</v>
      </c>
      <c r="H1903" s="23">
        <v>0</v>
      </c>
      <c r="I1903" s="23">
        <v>0</v>
      </c>
      <c r="J1903" s="23">
        <v>0</v>
      </c>
      <c r="K1903" s="23">
        <v>1053.5999999999999</v>
      </c>
    </row>
    <row r="1904" spans="1:11" x14ac:dyDescent="0.25">
      <c r="A1904">
        <v>1903</v>
      </c>
      <c r="B1904" s="23">
        <v>880.93799999999999</v>
      </c>
      <c r="C1904" s="23">
        <v>81.180000000000007</v>
      </c>
      <c r="D1904" s="23">
        <v>235.26400000000001</v>
      </c>
      <c r="E1904" s="23">
        <v>235.26400000000001</v>
      </c>
      <c r="F1904" s="23">
        <v>0</v>
      </c>
      <c r="G1904" s="23">
        <v>0</v>
      </c>
      <c r="H1904" s="23">
        <v>0</v>
      </c>
      <c r="I1904" s="23">
        <v>0</v>
      </c>
      <c r="J1904" s="23">
        <v>0</v>
      </c>
      <c r="K1904" s="23">
        <v>645.67399999999998</v>
      </c>
    </row>
    <row r="1905" spans="1:11" x14ac:dyDescent="0.25">
      <c r="A1905">
        <v>1904</v>
      </c>
      <c r="B1905" s="23">
        <v>756.27099999999996</v>
      </c>
      <c r="C1905" s="23">
        <v>326.87</v>
      </c>
      <c r="D1905" s="23">
        <v>1272.704</v>
      </c>
      <c r="E1905" s="23">
        <v>756.27099999999996</v>
      </c>
      <c r="F1905" s="23">
        <v>-516.43299999999999</v>
      </c>
      <c r="G1905" s="23">
        <v>0</v>
      </c>
      <c r="H1905" s="23">
        <v>0</v>
      </c>
      <c r="I1905" s="23">
        <v>0</v>
      </c>
      <c r="J1905" s="23">
        <v>0</v>
      </c>
      <c r="K1905" s="23">
        <v>0</v>
      </c>
    </row>
    <row r="1906" spans="1:11" x14ac:dyDescent="0.25">
      <c r="A1906">
        <v>1905</v>
      </c>
      <c r="B1906" s="23">
        <v>1395.164</v>
      </c>
      <c r="C1906" s="23">
        <v>586.1</v>
      </c>
      <c r="D1906" s="23">
        <v>2313.0309999999999</v>
      </c>
      <c r="E1906" s="23">
        <v>1395.164</v>
      </c>
      <c r="F1906" s="23">
        <v>-917.86699999999996</v>
      </c>
      <c r="G1906" s="23">
        <v>0</v>
      </c>
      <c r="H1906" s="23">
        <v>0</v>
      </c>
      <c r="I1906" s="23">
        <v>0</v>
      </c>
      <c r="J1906" s="23">
        <v>0</v>
      </c>
      <c r="K1906" s="23">
        <v>0</v>
      </c>
    </row>
    <row r="1907" spans="1:11" x14ac:dyDescent="0.25">
      <c r="A1907">
        <v>1906</v>
      </c>
      <c r="B1907" s="23">
        <v>1631.193</v>
      </c>
      <c r="C1907" s="23">
        <v>807.84</v>
      </c>
      <c r="D1907" s="23">
        <v>3070.0529999999999</v>
      </c>
      <c r="E1907" s="23">
        <v>1631.193</v>
      </c>
      <c r="F1907" s="23">
        <v>-1438.86</v>
      </c>
      <c r="G1907" s="23">
        <v>0</v>
      </c>
      <c r="H1907" s="23">
        <v>0</v>
      </c>
      <c r="I1907" s="23">
        <v>0</v>
      </c>
      <c r="J1907" s="23">
        <v>0</v>
      </c>
      <c r="K1907" s="23">
        <v>0</v>
      </c>
    </row>
    <row r="1908" spans="1:11" x14ac:dyDescent="0.25">
      <c r="A1908">
        <v>1907</v>
      </c>
      <c r="B1908" s="23">
        <v>1633.019</v>
      </c>
      <c r="C1908" s="23">
        <v>968.24</v>
      </c>
      <c r="D1908" s="23">
        <v>3570.934999999999</v>
      </c>
      <c r="E1908" s="23">
        <v>1633.02</v>
      </c>
      <c r="F1908" s="23">
        <v>-1684.559</v>
      </c>
      <c r="G1908" s="23">
        <v>0</v>
      </c>
      <c r="H1908" s="23">
        <v>253.35599999999999</v>
      </c>
      <c r="I1908" s="23">
        <v>0</v>
      </c>
      <c r="J1908" s="23">
        <v>0</v>
      </c>
      <c r="K1908" s="23">
        <v>0</v>
      </c>
    </row>
    <row r="1909" spans="1:11" x14ac:dyDescent="0.25">
      <c r="A1909">
        <v>1908</v>
      </c>
      <c r="B1909" s="23">
        <v>1231.998</v>
      </c>
      <c r="C1909" s="23">
        <v>1052.76</v>
      </c>
      <c r="D1909" s="23">
        <v>3814.9859999999999</v>
      </c>
      <c r="E1909" s="23">
        <v>1231.998</v>
      </c>
      <c r="F1909" s="23">
        <v>-1684.559</v>
      </c>
      <c r="G1909" s="23">
        <v>0</v>
      </c>
      <c r="H1909" s="23">
        <v>898.42899999999997</v>
      </c>
      <c r="I1909" s="23">
        <v>0</v>
      </c>
      <c r="J1909" s="23">
        <v>0</v>
      </c>
      <c r="K1909" s="23">
        <v>0</v>
      </c>
    </row>
    <row r="1910" spans="1:11" x14ac:dyDescent="0.25">
      <c r="A1910">
        <v>1909</v>
      </c>
      <c r="B1910" s="23">
        <v>1467.239</v>
      </c>
      <c r="C1910" s="23">
        <v>1052.83</v>
      </c>
      <c r="D1910" s="23">
        <v>3821.0039999999999</v>
      </c>
      <c r="E1910" s="23">
        <v>1467.239</v>
      </c>
      <c r="F1910" s="23">
        <v>-1049.22</v>
      </c>
      <c r="G1910" s="23">
        <v>0</v>
      </c>
      <c r="H1910" s="23">
        <v>1304.5450000000001</v>
      </c>
      <c r="I1910" s="23">
        <v>0</v>
      </c>
      <c r="J1910" s="23">
        <v>0</v>
      </c>
      <c r="K1910" s="23">
        <v>0</v>
      </c>
    </row>
    <row r="1911" spans="1:11" x14ac:dyDescent="0.25">
      <c r="A1911">
        <v>1910</v>
      </c>
      <c r="B1911" s="23">
        <v>1286.2470000000001</v>
      </c>
      <c r="C1911" s="23">
        <v>893.98</v>
      </c>
      <c r="D1911" s="23">
        <v>3311.366</v>
      </c>
      <c r="E1911" s="23">
        <v>1286.2470000000001</v>
      </c>
      <c r="F1911" s="23">
        <v>0</v>
      </c>
      <c r="G1911" s="23">
        <v>0</v>
      </c>
      <c r="H1911" s="23">
        <v>2025.1189999999999</v>
      </c>
      <c r="I1911" s="23">
        <v>0</v>
      </c>
      <c r="J1911" s="23">
        <v>0</v>
      </c>
      <c r="K1911" s="23">
        <v>0</v>
      </c>
    </row>
    <row r="1912" spans="1:11" x14ac:dyDescent="0.25">
      <c r="A1912">
        <v>1911</v>
      </c>
      <c r="B1912" s="23">
        <v>1439.5050000000001</v>
      </c>
      <c r="C1912" s="23">
        <v>812.47</v>
      </c>
      <c r="D1912" s="23">
        <v>3088.35</v>
      </c>
      <c r="E1912" s="23">
        <v>1439.5050000000001</v>
      </c>
      <c r="F1912" s="23">
        <v>0</v>
      </c>
      <c r="G1912" s="23">
        <v>0</v>
      </c>
      <c r="H1912" s="23">
        <v>1648.845</v>
      </c>
      <c r="I1912" s="23">
        <v>0</v>
      </c>
      <c r="J1912" s="23">
        <v>0</v>
      </c>
      <c r="K1912" s="23">
        <v>0</v>
      </c>
    </row>
    <row r="1913" spans="1:11" x14ac:dyDescent="0.25">
      <c r="A1913">
        <v>1912</v>
      </c>
      <c r="B1913" s="23">
        <v>1449.0809999999999</v>
      </c>
      <c r="C1913" s="23">
        <v>597.24</v>
      </c>
      <c r="D1913" s="23">
        <v>2346.335</v>
      </c>
      <c r="E1913" s="23">
        <v>1449.0809999999999</v>
      </c>
      <c r="F1913" s="23">
        <v>0</v>
      </c>
      <c r="G1913" s="23">
        <v>0</v>
      </c>
      <c r="H1913" s="23">
        <v>897.25400000000002</v>
      </c>
      <c r="I1913" s="23">
        <v>0</v>
      </c>
      <c r="J1913" s="23">
        <v>0</v>
      </c>
      <c r="K1913" s="23">
        <v>0</v>
      </c>
    </row>
    <row r="1914" spans="1:11" x14ac:dyDescent="0.25">
      <c r="A1914">
        <v>1913</v>
      </c>
      <c r="B1914" s="23">
        <v>1125.4880000000001</v>
      </c>
      <c r="C1914" s="23">
        <v>340.5</v>
      </c>
      <c r="D1914" s="23">
        <v>1317.3879999999999</v>
      </c>
      <c r="E1914" s="23">
        <v>1125.4880000000001</v>
      </c>
      <c r="F1914" s="23">
        <v>0</v>
      </c>
      <c r="G1914" s="23">
        <v>0</v>
      </c>
      <c r="H1914" s="23">
        <v>191.9</v>
      </c>
      <c r="I1914" s="23">
        <v>0</v>
      </c>
      <c r="J1914" s="23">
        <v>0</v>
      </c>
      <c r="K1914" s="23">
        <v>0</v>
      </c>
    </row>
    <row r="1915" spans="1:11" x14ac:dyDescent="0.25">
      <c r="A1915">
        <v>1914</v>
      </c>
      <c r="B1915" s="23">
        <v>1313.4059999999999</v>
      </c>
      <c r="C1915" s="23">
        <v>89.91</v>
      </c>
      <c r="D1915" s="23">
        <v>253.60300000000001</v>
      </c>
      <c r="E1915" s="23">
        <v>253.60300000000001</v>
      </c>
      <c r="F1915" s="23">
        <v>0</v>
      </c>
      <c r="G1915" s="23">
        <v>0</v>
      </c>
      <c r="H1915" s="23">
        <v>0</v>
      </c>
      <c r="I1915" s="23">
        <v>0</v>
      </c>
      <c r="J1915" s="23">
        <v>0</v>
      </c>
      <c r="K1915" s="23">
        <v>1059.8030000000001</v>
      </c>
    </row>
    <row r="1916" spans="1:11" x14ac:dyDescent="0.25">
      <c r="A1916">
        <v>1915</v>
      </c>
      <c r="B1916" s="23">
        <v>1105.904</v>
      </c>
      <c r="C1916" s="23">
        <v>0</v>
      </c>
      <c r="D1916" s="23">
        <v>0</v>
      </c>
      <c r="E1916" s="23">
        <v>0</v>
      </c>
      <c r="F1916" s="23">
        <v>0</v>
      </c>
      <c r="G1916" s="23">
        <v>0</v>
      </c>
      <c r="H1916" s="23">
        <v>0</v>
      </c>
      <c r="I1916" s="23">
        <v>0</v>
      </c>
      <c r="J1916" s="23">
        <v>0</v>
      </c>
      <c r="K1916" s="23">
        <v>1105.904</v>
      </c>
    </row>
    <row r="1917" spans="1:11" x14ac:dyDescent="0.25">
      <c r="A1917">
        <v>1916</v>
      </c>
      <c r="B1917" s="23">
        <v>1031.2</v>
      </c>
      <c r="C1917" s="23">
        <v>0</v>
      </c>
      <c r="D1917" s="23">
        <v>0</v>
      </c>
      <c r="E1917" s="23">
        <v>0</v>
      </c>
      <c r="F1917" s="23">
        <v>0</v>
      </c>
      <c r="G1917" s="23">
        <v>0</v>
      </c>
      <c r="H1917" s="23">
        <v>0</v>
      </c>
      <c r="I1917" s="23">
        <v>0</v>
      </c>
      <c r="J1917" s="23">
        <v>0</v>
      </c>
      <c r="K1917" s="23">
        <v>1031.2</v>
      </c>
    </row>
    <row r="1918" spans="1:11" x14ac:dyDescent="0.25">
      <c r="A1918">
        <v>1917</v>
      </c>
      <c r="B1918" s="23">
        <v>1051.2</v>
      </c>
      <c r="C1918" s="23">
        <v>0</v>
      </c>
      <c r="D1918" s="23">
        <v>0</v>
      </c>
      <c r="E1918" s="23">
        <v>0</v>
      </c>
      <c r="F1918" s="23">
        <v>0</v>
      </c>
      <c r="G1918" s="23">
        <v>0</v>
      </c>
      <c r="H1918" s="23">
        <v>0</v>
      </c>
      <c r="I1918" s="23">
        <v>1051.2</v>
      </c>
      <c r="J1918" s="23">
        <v>0</v>
      </c>
      <c r="K1918" s="23">
        <v>0</v>
      </c>
    </row>
    <row r="1919" spans="1:11" x14ac:dyDescent="0.25">
      <c r="A1919">
        <v>1918</v>
      </c>
      <c r="B1919" s="23">
        <v>1335.2</v>
      </c>
      <c r="C1919" s="23">
        <v>0</v>
      </c>
      <c r="D1919" s="23">
        <v>0</v>
      </c>
      <c r="E1919" s="23">
        <v>0</v>
      </c>
      <c r="F1919" s="23">
        <v>0</v>
      </c>
      <c r="G1919" s="23">
        <v>0</v>
      </c>
      <c r="H1919" s="23">
        <v>0</v>
      </c>
      <c r="I1919" s="23">
        <v>480.68799999999999</v>
      </c>
      <c r="J1919" s="23">
        <v>0</v>
      </c>
      <c r="K1919" s="23">
        <v>854.51199999999994</v>
      </c>
    </row>
    <row r="1920" spans="1:11" x14ac:dyDescent="0.25">
      <c r="A1920">
        <v>1919</v>
      </c>
      <c r="B1920" s="23">
        <v>1077.5999999999999</v>
      </c>
      <c r="C1920" s="23">
        <v>0</v>
      </c>
      <c r="D1920" s="23">
        <v>0</v>
      </c>
      <c r="E1920" s="23">
        <v>0</v>
      </c>
      <c r="F1920" s="23">
        <v>0</v>
      </c>
      <c r="G1920" s="23">
        <v>0</v>
      </c>
      <c r="H1920" s="23">
        <v>0</v>
      </c>
      <c r="I1920" s="23">
        <v>1077.5999999999999</v>
      </c>
      <c r="J1920" s="23">
        <v>0</v>
      </c>
      <c r="K1920" s="23">
        <v>0</v>
      </c>
    </row>
    <row r="1921" spans="1:11" x14ac:dyDescent="0.25">
      <c r="A1921">
        <v>1920</v>
      </c>
      <c r="B1921" s="23">
        <v>1121.5999999999999</v>
      </c>
      <c r="C1921" s="23">
        <v>0</v>
      </c>
      <c r="D1921" s="23">
        <v>0</v>
      </c>
      <c r="E1921" s="23">
        <v>0</v>
      </c>
      <c r="F1921" s="23">
        <v>0</v>
      </c>
      <c r="G1921" s="23">
        <v>0</v>
      </c>
      <c r="H1921" s="23">
        <v>0</v>
      </c>
      <c r="I1921" s="23">
        <v>1121.5999999999999</v>
      </c>
      <c r="J1921" s="23">
        <v>0</v>
      </c>
      <c r="K1921" s="23">
        <v>0</v>
      </c>
    </row>
    <row r="1922" spans="1:11" x14ac:dyDescent="0.25">
      <c r="A1922">
        <v>1921</v>
      </c>
      <c r="B1922" s="23">
        <v>1212</v>
      </c>
      <c r="C1922" s="23">
        <v>0</v>
      </c>
      <c r="D1922" s="23">
        <v>0</v>
      </c>
      <c r="E1922" s="23">
        <v>0</v>
      </c>
      <c r="F1922" s="23">
        <v>0</v>
      </c>
      <c r="G1922" s="23">
        <v>0</v>
      </c>
      <c r="H1922" s="23">
        <v>0</v>
      </c>
      <c r="I1922" s="23">
        <v>1212</v>
      </c>
      <c r="J1922" s="23">
        <v>0</v>
      </c>
      <c r="K1922" s="23">
        <v>0</v>
      </c>
    </row>
    <row r="1923" spans="1:11" x14ac:dyDescent="0.25">
      <c r="A1923">
        <v>1922</v>
      </c>
      <c r="B1923" s="23">
        <v>1262.4000000000001</v>
      </c>
      <c r="C1923" s="23">
        <v>0</v>
      </c>
      <c r="D1923" s="23">
        <v>0</v>
      </c>
      <c r="E1923" s="23">
        <v>0</v>
      </c>
      <c r="F1923" s="23">
        <v>0</v>
      </c>
      <c r="G1923" s="23">
        <v>0</v>
      </c>
      <c r="H1923" s="23">
        <v>0</v>
      </c>
      <c r="I1923" s="23">
        <v>1262.4000000000001</v>
      </c>
      <c r="J1923" s="23">
        <v>0</v>
      </c>
      <c r="K1923" s="23">
        <v>0</v>
      </c>
    </row>
    <row r="1924" spans="1:11" x14ac:dyDescent="0.25">
      <c r="A1924">
        <v>1923</v>
      </c>
      <c r="B1924" s="23">
        <v>1207.2</v>
      </c>
      <c r="C1924" s="23">
        <v>0</v>
      </c>
      <c r="D1924" s="23">
        <v>0</v>
      </c>
      <c r="E1924" s="23">
        <v>0</v>
      </c>
      <c r="F1924" s="23">
        <v>0</v>
      </c>
      <c r="G1924" s="23">
        <v>0</v>
      </c>
      <c r="H1924" s="23">
        <v>0</v>
      </c>
      <c r="I1924" s="23">
        <v>1207.2</v>
      </c>
      <c r="J1924" s="23">
        <v>0</v>
      </c>
      <c r="K1924" s="23">
        <v>0</v>
      </c>
    </row>
    <row r="1925" spans="1:11" x14ac:dyDescent="0.25">
      <c r="A1925">
        <v>1924</v>
      </c>
      <c r="B1925" s="23">
        <v>970.4</v>
      </c>
      <c r="C1925" s="23">
        <v>0</v>
      </c>
      <c r="D1925" s="23">
        <v>0</v>
      </c>
      <c r="E1925" s="23">
        <v>0</v>
      </c>
      <c r="F1925" s="23">
        <v>0</v>
      </c>
      <c r="G1925" s="23">
        <v>0</v>
      </c>
      <c r="H1925" s="23">
        <v>0</v>
      </c>
      <c r="I1925" s="23">
        <v>970.4</v>
      </c>
      <c r="J1925" s="23">
        <v>0</v>
      </c>
      <c r="K1925" s="23">
        <v>0</v>
      </c>
    </row>
    <row r="1926" spans="1:11" x14ac:dyDescent="0.25">
      <c r="A1926">
        <v>1925</v>
      </c>
      <c r="B1926" s="23">
        <v>967.2</v>
      </c>
      <c r="C1926" s="23">
        <v>0</v>
      </c>
      <c r="D1926" s="23">
        <v>0</v>
      </c>
      <c r="E1926" s="23">
        <v>0</v>
      </c>
      <c r="F1926" s="23">
        <v>0</v>
      </c>
      <c r="G1926" s="23">
        <v>0</v>
      </c>
      <c r="H1926" s="23">
        <v>0</v>
      </c>
      <c r="I1926" s="23">
        <v>0</v>
      </c>
      <c r="J1926" s="23">
        <v>0</v>
      </c>
      <c r="K1926" s="23">
        <v>967.2</v>
      </c>
    </row>
    <row r="1927" spans="1:11" x14ac:dyDescent="0.25">
      <c r="A1927">
        <v>1926</v>
      </c>
      <c r="B1927" s="23">
        <v>1076.8</v>
      </c>
      <c r="C1927" s="23">
        <v>0</v>
      </c>
      <c r="D1927" s="23">
        <v>0</v>
      </c>
      <c r="E1927" s="23">
        <v>0</v>
      </c>
      <c r="F1927" s="23">
        <v>0</v>
      </c>
      <c r="G1927" s="23">
        <v>0</v>
      </c>
      <c r="H1927" s="23">
        <v>0</v>
      </c>
      <c r="I1927" s="23">
        <v>0</v>
      </c>
      <c r="J1927" s="23">
        <v>0</v>
      </c>
      <c r="K1927" s="23">
        <v>1076.8</v>
      </c>
    </row>
    <row r="1928" spans="1:11" x14ac:dyDescent="0.25">
      <c r="A1928">
        <v>1927</v>
      </c>
      <c r="B1928" s="23">
        <v>691.327</v>
      </c>
      <c r="C1928" s="23">
        <v>80.930000000000007</v>
      </c>
      <c r="D1928" s="23">
        <v>234.89699999999999</v>
      </c>
      <c r="E1928" s="23">
        <v>234.89699999999999</v>
      </c>
      <c r="F1928" s="23">
        <v>0</v>
      </c>
      <c r="G1928" s="23">
        <v>0</v>
      </c>
      <c r="H1928" s="23">
        <v>0</v>
      </c>
      <c r="I1928" s="23">
        <v>0</v>
      </c>
      <c r="J1928" s="23">
        <v>0</v>
      </c>
      <c r="K1928" s="23">
        <v>456.43</v>
      </c>
    </row>
    <row r="1929" spans="1:11" x14ac:dyDescent="0.25">
      <c r="A1929">
        <v>1928</v>
      </c>
      <c r="B1929" s="23">
        <v>897.95</v>
      </c>
      <c r="C1929" s="23">
        <v>325.77</v>
      </c>
      <c r="D1929" s="23">
        <v>1266.6289999999999</v>
      </c>
      <c r="E1929" s="23">
        <v>897.95</v>
      </c>
      <c r="F1929" s="23">
        <v>-368.67899999999997</v>
      </c>
      <c r="G1929" s="23">
        <v>0</v>
      </c>
      <c r="H1929" s="23">
        <v>0</v>
      </c>
      <c r="I1929" s="23">
        <v>0</v>
      </c>
      <c r="J1929" s="23">
        <v>0</v>
      </c>
      <c r="K1929" s="23">
        <v>0</v>
      </c>
    </row>
    <row r="1930" spans="1:11" x14ac:dyDescent="0.25">
      <c r="A1930">
        <v>1929</v>
      </c>
      <c r="B1930" s="23">
        <v>500.197</v>
      </c>
      <c r="C1930" s="23">
        <v>579.74</v>
      </c>
      <c r="D1930" s="23">
        <v>2282.7649999999999</v>
      </c>
      <c r="E1930" s="23">
        <v>500.19799999999998</v>
      </c>
      <c r="F1930" s="23">
        <v>-1684.559</v>
      </c>
      <c r="G1930" s="23">
        <v>0</v>
      </c>
      <c r="H1930" s="23">
        <v>98.007999999999996</v>
      </c>
      <c r="I1930" s="23">
        <v>0</v>
      </c>
      <c r="J1930" s="23">
        <v>0</v>
      </c>
      <c r="K1930" s="23">
        <v>0</v>
      </c>
    </row>
    <row r="1931" spans="1:11" x14ac:dyDescent="0.25">
      <c r="A1931">
        <v>1930</v>
      </c>
      <c r="B1931" s="23">
        <v>375.33699999999999</v>
      </c>
      <c r="C1931" s="23">
        <v>789.08</v>
      </c>
      <c r="D1931" s="23">
        <v>2984.0940000000001</v>
      </c>
      <c r="E1931" s="23">
        <v>375.33699999999999</v>
      </c>
      <c r="F1931" s="23">
        <v>-1684.559</v>
      </c>
      <c r="G1931" s="23">
        <v>0</v>
      </c>
      <c r="H1931" s="23">
        <v>924.19799999999998</v>
      </c>
      <c r="I1931" s="23">
        <v>0</v>
      </c>
      <c r="J1931" s="23">
        <v>0</v>
      </c>
      <c r="K1931" s="23">
        <v>0</v>
      </c>
    </row>
    <row r="1932" spans="1:11" x14ac:dyDescent="0.25">
      <c r="A1932">
        <v>1931</v>
      </c>
      <c r="B1932" s="23">
        <v>375.58800000000002</v>
      </c>
      <c r="C1932" s="23">
        <v>928.97</v>
      </c>
      <c r="D1932" s="23">
        <v>3397.598</v>
      </c>
      <c r="E1932" s="23">
        <v>375.589</v>
      </c>
      <c r="F1932" s="23">
        <v>-1684.559</v>
      </c>
      <c r="G1932" s="23">
        <v>0</v>
      </c>
      <c r="H1932" s="23">
        <v>1337.45</v>
      </c>
      <c r="I1932" s="23">
        <v>0</v>
      </c>
      <c r="J1932" s="23">
        <v>0</v>
      </c>
      <c r="K1932" s="23">
        <v>0</v>
      </c>
    </row>
    <row r="1933" spans="1:11" x14ac:dyDescent="0.25">
      <c r="A1933">
        <v>1932</v>
      </c>
      <c r="B1933" s="23">
        <v>389.91199999999998</v>
      </c>
      <c r="C1933" s="23">
        <v>1005.69</v>
      </c>
      <c r="D1933" s="23">
        <v>3605.37</v>
      </c>
      <c r="E1933" s="23">
        <v>389.91300000000001</v>
      </c>
      <c r="F1933" s="23">
        <v>-1684.559</v>
      </c>
      <c r="G1933" s="23">
        <v>0</v>
      </c>
      <c r="H1933" s="23">
        <v>1530.8979999999999</v>
      </c>
      <c r="I1933" s="23">
        <v>0</v>
      </c>
      <c r="J1933" s="23">
        <v>0</v>
      </c>
      <c r="K1933" s="23">
        <v>0</v>
      </c>
    </row>
    <row r="1934" spans="1:11" x14ac:dyDescent="0.25">
      <c r="A1934">
        <v>1933</v>
      </c>
      <c r="B1934" s="23">
        <v>750.08199999999999</v>
      </c>
      <c r="C1934" s="23">
        <v>790.41</v>
      </c>
      <c r="D1934" s="23">
        <v>2878.145</v>
      </c>
      <c r="E1934" s="23">
        <v>750.08299999999997</v>
      </c>
      <c r="F1934" s="23">
        <v>-184.58199999999999</v>
      </c>
      <c r="G1934" s="23">
        <v>0</v>
      </c>
      <c r="H1934" s="23">
        <v>1943.48</v>
      </c>
      <c r="I1934" s="23">
        <v>0</v>
      </c>
      <c r="J1934" s="23">
        <v>0</v>
      </c>
      <c r="K1934" s="23">
        <v>0</v>
      </c>
    </row>
    <row r="1935" spans="1:11" x14ac:dyDescent="0.25">
      <c r="A1935">
        <v>1934</v>
      </c>
      <c r="B1935" s="23">
        <v>1316.5329999999999</v>
      </c>
      <c r="C1935" s="23">
        <v>919.67</v>
      </c>
      <c r="D1935" s="23">
        <v>3354.1179999999999</v>
      </c>
      <c r="E1935" s="23">
        <v>1316.5329999999999</v>
      </c>
      <c r="F1935" s="23">
        <v>0</v>
      </c>
      <c r="G1935" s="23">
        <v>0</v>
      </c>
      <c r="H1935" s="23">
        <v>2037.585</v>
      </c>
      <c r="I1935" s="23">
        <v>0</v>
      </c>
      <c r="J1935" s="23">
        <v>0</v>
      </c>
      <c r="K1935" s="23">
        <v>0</v>
      </c>
    </row>
    <row r="1936" spans="1:11" x14ac:dyDescent="0.25">
      <c r="A1936">
        <v>1935</v>
      </c>
      <c r="B1936" s="23">
        <v>1499.779</v>
      </c>
      <c r="C1936" s="23">
        <v>766.3</v>
      </c>
      <c r="D1936" s="23">
        <v>2873.17</v>
      </c>
      <c r="E1936" s="23">
        <v>1499.779</v>
      </c>
      <c r="F1936" s="23">
        <v>0</v>
      </c>
      <c r="G1936" s="23">
        <v>0</v>
      </c>
      <c r="H1936" s="23">
        <v>1373.3910000000001</v>
      </c>
      <c r="I1936" s="23">
        <v>0</v>
      </c>
      <c r="J1936" s="23">
        <v>0</v>
      </c>
      <c r="K1936" s="23">
        <v>0</v>
      </c>
    </row>
    <row r="1937" spans="1:11" x14ac:dyDescent="0.25">
      <c r="A1937">
        <v>1936</v>
      </c>
      <c r="B1937" s="23">
        <v>1507.1489999999999</v>
      </c>
      <c r="C1937" s="23">
        <v>554.54999999999995</v>
      </c>
      <c r="D1937" s="23">
        <v>2153.306</v>
      </c>
      <c r="E1937" s="23">
        <v>1507.1489999999999</v>
      </c>
      <c r="F1937" s="23">
        <v>0</v>
      </c>
      <c r="G1937" s="23">
        <v>0</v>
      </c>
      <c r="H1937" s="23">
        <v>646.15700000000004</v>
      </c>
      <c r="I1937" s="23">
        <v>0</v>
      </c>
      <c r="J1937" s="23">
        <v>0</v>
      </c>
      <c r="K1937" s="23">
        <v>0</v>
      </c>
    </row>
    <row r="1938" spans="1:11" x14ac:dyDescent="0.25">
      <c r="A1938">
        <v>1937</v>
      </c>
      <c r="B1938" s="23">
        <v>1397.3689999999999</v>
      </c>
      <c r="C1938" s="23">
        <v>309.13</v>
      </c>
      <c r="D1938" s="23">
        <v>1190.4749999999999</v>
      </c>
      <c r="E1938" s="23">
        <v>1190.4749999999999</v>
      </c>
      <c r="F1938" s="23">
        <v>0</v>
      </c>
      <c r="G1938" s="23">
        <v>0</v>
      </c>
      <c r="H1938" s="23">
        <v>0</v>
      </c>
      <c r="I1938" s="23">
        <v>206.89400000000001</v>
      </c>
      <c r="J1938" s="23">
        <v>0</v>
      </c>
      <c r="K1938" s="23">
        <v>0</v>
      </c>
    </row>
    <row r="1939" spans="1:11" x14ac:dyDescent="0.25">
      <c r="A1939">
        <v>1938</v>
      </c>
      <c r="B1939" s="23">
        <v>997.74</v>
      </c>
      <c r="C1939" s="23">
        <v>75.260000000000005</v>
      </c>
      <c r="D1939" s="23">
        <v>226.14099999999999</v>
      </c>
      <c r="E1939" s="23">
        <v>226.14099999999999</v>
      </c>
      <c r="F1939" s="23">
        <v>0</v>
      </c>
      <c r="G1939" s="23">
        <v>0</v>
      </c>
      <c r="H1939" s="23">
        <v>0</v>
      </c>
      <c r="I1939" s="23">
        <v>0</v>
      </c>
      <c r="J1939" s="23">
        <v>0</v>
      </c>
      <c r="K1939" s="23">
        <v>771.59900000000005</v>
      </c>
    </row>
    <row r="1940" spans="1:11" x14ac:dyDescent="0.25">
      <c r="A1940">
        <v>1939</v>
      </c>
      <c r="B1940" s="23">
        <v>884.928</v>
      </c>
      <c r="C1940" s="23">
        <v>0</v>
      </c>
      <c r="D1940" s="23">
        <v>0</v>
      </c>
      <c r="E1940" s="23">
        <v>0</v>
      </c>
      <c r="F1940" s="23">
        <v>0</v>
      </c>
      <c r="G1940" s="23">
        <v>0</v>
      </c>
      <c r="H1940" s="23">
        <v>0</v>
      </c>
      <c r="I1940" s="23">
        <v>0</v>
      </c>
      <c r="J1940" s="23">
        <v>0</v>
      </c>
      <c r="K1940" s="23">
        <v>884.928</v>
      </c>
    </row>
    <row r="1941" spans="1:11" x14ac:dyDescent="0.25">
      <c r="A1941">
        <v>1940</v>
      </c>
      <c r="B1941" s="23">
        <v>686.4</v>
      </c>
      <c r="C1941" s="23">
        <v>0</v>
      </c>
      <c r="D1941" s="23">
        <v>0</v>
      </c>
      <c r="E1941" s="23">
        <v>0</v>
      </c>
      <c r="F1941" s="23">
        <v>0</v>
      </c>
      <c r="G1941" s="23">
        <v>0</v>
      </c>
      <c r="H1941" s="23">
        <v>0</v>
      </c>
      <c r="I1941" s="23">
        <v>0</v>
      </c>
      <c r="J1941" s="23">
        <v>0</v>
      </c>
      <c r="K1941" s="23">
        <v>686.4</v>
      </c>
    </row>
    <row r="1942" spans="1:11" x14ac:dyDescent="0.25">
      <c r="A1942">
        <v>1941</v>
      </c>
      <c r="B1942" s="23">
        <v>1051.2</v>
      </c>
      <c r="C1942" s="23">
        <v>0</v>
      </c>
      <c r="D1942" s="23">
        <v>0</v>
      </c>
      <c r="E1942" s="23">
        <v>0</v>
      </c>
      <c r="F1942" s="23">
        <v>0</v>
      </c>
      <c r="G1942" s="23">
        <v>0</v>
      </c>
      <c r="H1942" s="23">
        <v>0</v>
      </c>
      <c r="I1942" s="23">
        <v>1051.2</v>
      </c>
      <c r="J1942" s="23">
        <v>0</v>
      </c>
      <c r="K1942" s="23">
        <v>0</v>
      </c>
    </row>
    <row r="1943" spans="1:11" x14ac:dyDescent="0.25">
      <c r="A1943">
        <v>1942</v>
      </c>
      <c r="B1943" s="23">
        <v>1072.8</v>
      </c>
      <c r="C1943" s="23">
        <v>0</v>
      </c>
      <c r="D1943" s="23">
        <v>0</v>
      </c>
      <c r="E1943" s="23">
        <v>0</v>
      </c>
      <c r="F1943" s="23">
        <v>0</v>
      </c>
      <c r="G1943" s="23">
        <v>0</v>
      </c>
      <c r="H1943" s="23">
        <v>0</v>
      </c>
      <c r="I1943" s="23">
        <v>1072.8</v>
      </c>
      <c r="J1943" s="23">
        <v>0</v>
      </c>
      <c r="K1943" s="23">
        <v>0</v>
      </c>
    </row>
    <row r="1944" spans="1:11" x14ac:dyDescent="0.25">
      <c r="A1944">
        <v>1943</v>
      </c>
      <c r="B1944" s="23">
        <v>1167.2</v>
      </c>
      <c r="C1944" s="23">
        <v>0</v>
      </c>
      <c r="D1944" s="23">
        <v>0</v>
      </c>
      <c r="E1944" s="23">
        <v>0</v>
      </c>
      <c r="F1944" s="23">
        <v>0</v>
      </c>
      <c r="G1944" s="23">
        <v>0</v>
      </c>
      <c r="H1944" s="23">
        <v>0</v>
      </c>
      <c r="I1944" s="23">
        <v>1167.2</v>
      </c>
      <c r="J1944" s="23">
        <v>0</v>
      </c>
      <c r="K1944" s="23">
        <v>0</v>
      </c>
    </row>
    <row r="1945" spans="1:11" x14ac:dyDescent="0.25">
      <c r="A1945">
        <v>1944</v>
      </c>
      <c r="B1945" s="23">
        <v>1155.2</v>
      </c>
      <c r="C1945" s="23">
        <v>0</v>
      </c>
      <c r="D1945" s="23">
        <v>0</v>
      </c>
      <c r="E1945" s="23">
        <v>0</v>
      </c>
      <c r="F1945" s="23">
        <v>0</v>
      </c>
      <c r="G1945" s="23">
        <v>0</v>
      </c>
      <c r="H1945" s="23">
        <v>0</v>
      </c>
      <c r="I1945" s="23">
        <v>1155.2</v>
      </c>
      <c r="J1945" s="23">
        <v>0</v>
      </c>
      <c r="K1945" s="23">
        <v>0</v>
      </c>
    </row>
    <row r="1946" spans="1:11" x14ac:dyDescent="0.25">
      <c r="A1946">
        <v>1945</v>
      </c>
      <c r="B1946" s="23">
        <v>943.2</v>
      </c>
      <c r="C1946" s="23">
        <v>0</v>
      </c>
      <c r="D1946" s="23">
        <v>0</v>
      </c>
      <c r="E1946" s="23">
        <v>0</v>
      </c>
      <c r="F1946" s="23">
        <v>0</v>
      </c>
      <c r="G1946" s="23">
        <v>0</v>
      </c>
      <c r="H1946" s="23">
        <v>0</v>
      </c>
      <c r="I1946" s="23">
        <v>943.2</v>
      </c>
      <c r="J1946" s="23">
        <v>0</v>
      </c>
      <c r="K1946" s="23">
        <v>0</v>
      </c>
    </row>
    <row r="1947" spans="1:11" x14ac:dyDescent="0.25">
      <c r="A1947">
        <v>1946</v>
      </c>
      <c r="B1947" s="23">
        <v>1432.8</v>
      </c>
      <c r="C1947" s="23">
        <v>0</v>
      </c>
      <c r="D1947" s="23">
        <v>0</v>
      </c>
      <c r="E1947" s="23">
        <v>0</v>
      </c>
      <c r="F1947" s="23">
        <v>0</v>
      </c>
      <c r="G1947" s="23">
        <v>0</v>
      </c>
      <c r="H1947" s="23">
        <v>0</v>
      </c>
      <c r="I1947" s="23">
        <v>1432.8</v>
      </c>
      <c r="J1947" s="23">
        <v>0</v>
      </c>
      <c r="K1947" s="23">
        <v>0</v>
      </c>
    </row>
    <row r="1948" spans="1:11" x14ac:dyDescent="0.25">
      <c r="A1948">
        <v>1947</v>
      </c>
      <c r="B1948" s="23">
        <v>1044</v>
      </c>
      <c r="C1948" s="23">
        <v>0</v>
      </c>
      <c r="D1948" s="23">
        <v>0</v>
      </c>
      <c r="E1948" s="23">
        <v>0</v>
      </c>
      <c r="F1948" s="23">
        <v>0</v>
      </c>
      <c r="G1948" s="23">
        <v>0</v>
      </c>
      <c r="H1948" s="23">
        <v>0</v>
      </c>
      <c r="I1948" s="23">
        <v>730.029</v>
      </c>
      <c r="J1948" s="23">
        <v>0</v>
      </c>
      <c r="K1948" s="23">
        <v>313.971</v>
      </c>
    </row>
    <row r="1949" spans="1:11" x14ac:dyDescent="0.25">
      <c r="A1949">
        <v>1948</v>
      </c>
      <c r="B1949" s="23">
        <v>1157.5999999999999</v>
      </c>
      <c r="C1949" s="23">
        <v>0</v>
      </c>
      <c r="D1949" s="23">
        <v>0</v>
      </c>
      <c r="E1949" s="23">
        <v>0</v>
      </c>
      <c r="F1949" s="23">
        <v>0</v>
      </c>
      <c r="G1949" s="23">
        <v>0</v>
      </c>
      <c r="H1949" s="23">
        <v>0</v>
      </c>
      <c r="I1949" s="23">
        <v>0</v>
      </c>
      <c r="J1949" s="23">
        <v>0</v>
      </c>
      <c r="K1949" s="23">
        <v>1157.5999999999999</v>
      </c>
    </row>
    <row r="1950" spans="1:11" x14ac:dyDescent="0.25">
      <c r="A1950">
        <v>1949</v>
      </c>
      <c r="B1950" s="23">
        <v>960.8</v>
      </c>
      <c r="C1950" s="23">
        <v>0</v>
      </c>
      <c r="D1950" s="23">
        <v>0</v>
      </c>
      <c r="E1950" s="23">
        <v>0</v>
      </c>
      <c r="F1950" s="23">
        <v>0</v>
      </c>
      <c r="G1950" s="23">
        <v>0</v>
      </c>
      <c r="H1950" s="23">
        <v>0</v>
      </c>
      <c r="I1950" s="23">
        <v>0</v>
      </c>
      <c r="J1950" s="23">
        <v>0</v>
      </c>
      <c r="K1950" s="23">
        <v>960.8</v>
      </c>
    </row>
    <row r="1951" spans="1:11" x14ac:dyDescent="0.25">
      <c r="A1951">
        <v>1950</v>
      </c>
      <c r="B1951" s="23">
        <v>852.8</v>
      </c>
      <c r="C1951" s="23">
        <v>0</v>
      </c>
      <c r="D1951" s="23">
        <v>0</v>
      </c>
      <c r="E1951" s="23">
        <v>0</v>
      </c>
      <c r="F1951" s="23">
        <v>0</v>
      </c>
      <c r="G1951" s="23">
        <v>0</v>
      </c>
      <c r="H1951" s="23">
        <v>0</v>
      </c>
      <c r="I1951" s="23">
        <v>0</v>
      </c>
      <c r="J1951" s="23">
        <v>0</v>
      </c>
      <c r="K1951" s="23">
        <v>852.8</v>
      </c>
    </row>
    <row r="1952" spans="1:11" x14ac:dyDescent="0.25">
      <c r="A1952">
        <v>1951</v>
      </c>
      <c r="B1952" s="23">
        <v>1154.806</v>
      </c>
      <c r="C1952" s="23">
        <v>75.41</v>
      </c>
      <c r="D1952" s="23">
        <v>231.054</v>
      </c>
      <c r="E1952" s="23">
        <v>231.054</v>
      </c>
      <c r="F1952" s="23">
        <v>0</v>
      </c>
      <c r="G1952" s="23">
        <v>0</v>
      </c>
      <c r="H1952" s="23">
        <v>0</v>
      </c>
      <c r="I1952" s="23">
        <v>0</v>
      </c>
      <c r="J1952" s="23">
        <v>0</v>
      </c>
      <c r="K1952" s="23">
        <v>923.75199999999995</v>
      </c>
    </row>
    <row r="1953" spans="1:11" x14ac:dyDescent="0.25">
      <c r="A1953">
        <v>1952</v>
      </c>
      <c r="B1953" s="23">
        <v>248.715</v>
      </c>
      <c r="C1953" s="23">
        <v>309.7</v>
      </c>
      <c r="D1953" s="23">
        <v>1202.558</v>
      </c>
      <c r="E1953" s="23">
        <v>248.715</v>
      </c>
      <c r="F1953" s="23">
        <v>-953.84299999999996</v>
      </c>
      <c r="G1953" s="23">
        <v>0</v>
      </c>
      <c r="H1953" s="23">
        <v>0</v>
      </c>
      <c r="I1953" s="23">
        <v>0</v>
      </c>
      <c r="J1953" s="23">
        <v>0</v>
      </c>
      <c r="K1953" s="23">
        <v>0</v>
      </c>
    </row>
    <row r="1954" spans="1:11" x14ac:dyDescent="0.25">
      <c r="A1954">
        <v>1953</v>
      </c>
      <c r="B1954" s="23">
        <v>294.90600000000001</v>
      </c>
      <c r="C1954" s="23">
        <v>559.94000000000005</v>
      </c>
      <c r="D1954" s="23">
        <v>2187.6010000000001</v>
      </c>
      <c r="E1954" s="23">
        <v>294.90600000000001</v>
      </c>
      <c r="F1954" s="23">
        <v>-1684.559</v>
      </c>
      <c r="G1954" s="23">
        <v>0</v>
      </c>
      <c r="H1954" s="23">
        <v>208.136</v>
      </c>
      <c r="I1954" s="23">
        <v>0</v>
      </c>
      <c r="J1954" s="23">
        <v>0</v>
      </c>
      <c r="K1954" s="23">
        <v>0</v>
      </c>
    </row>
    <row r="1955" spans="1:11" x14ac:dyDescent="0.25">
      <c r="A1955">
        <v>1954</v>
      </c>
      <c r="B1955" s="23">
        <v>233.76</v>
      </c>
      <c r="C1955" s="23">
        <v>767.08</v>
      </c>
      <c r="D1955" s="23">
        <v>2885.1030000000001</v>
      </c>
      <c r="E1955" s="23">
        <v>233.761</v>
      </c>
      <c r="F1955" s="23">
        <v>-1684.559</v>
      </c>
      <c r="G1955" s="23">
        <v>0</v>
      </c>
      <c r="H1955" s="23">
        <v>966.78300000000002</v>
      </c>
      <c r="I1955" s="23">
        <v>0</v>
      </c>
      <c r="J1955" s="23">
        <v>0</v>
      </c>
      <c r="K1955" s="23">
        <v>0</v>
      </c>
    </row>
    <row r="1956" spans="1:11" x14ac:dyDescent="0.25">
      <c r="A1956">
        <v>1955</v>
      </c>
      <c r="B1956" s="23">
        <v>233.43799999999999</v>
      </c>
      <c r="C1956" s="23">
        <v>904.7</v>
      </c>
      <c r="D1956" s="23">
        <v>3293.7249999999999</v>
      </c>
      <c r="E1956" s="23">
        <v>233.43899999999999</v>
      </c>
      <c r="F1956" s="23">
        <v>-1684.559</v>
      </c>
      <c r="G1956" s="23">
        <v>0</v>
      </c>
      <c r="H1956" s="23">
        <v>1375.7270000000001</v>
      </c>
      <c r="I1956" s="23">
        <v>0</v>
      </c>
      <c r="J1956" s="23">
        <v>0</v>
      </c>
      <c r="K1956" s="23">
        <v>0</v>
      </c>
    </row>
    <row r="1957" spans="1:11" x14ac:dyDescent="0.25">
      <c r="A1957">
        <v>1956</v>
      </c>
      <c r="B1957" s="23">
        <v>273.49400000000003</v>
      </c>
      <c r="C1957" s="23">
        <v>991.08</v>
      </c>
      <c r="D1957" s="23">
        <v>3538.4940000000001</v>
      </c>
      <c r="E1957" s="23">
        <v>273.49400000000003</v>
      </c>
      <c r="F1957" s="23">
        <v>-1283.9770000000001</v>
      </c>
      <c r="G1957" s="23">
        <v>0</v>
      </c>
      <c r="H1957" s="23">
        <v>1981.0229999999999</v>
      </c>
      <c r="I1957" s="23">
        <v>0</v>
      </c>
      <c r="J1957" s="23">
        <v>0</v>
      </c>
      <c r="K1957" s="23">
        <v>0</v>
      </c>
    </row>
    <row r="1958" spans="1:11" x14ac:dyDescent="0.25">
      <c r="A1958">
        <v>1957</v>
      </c>
      <c r="B1958" s="23">
        <v>185.86799999999999</v>
      </c>
      <c r="C1958" s="23">
        <v>988.46</v>
      </c>
      <c r="D1958" s="23">
        <v>3528.2350000000001</v>
      </c>
      <c r="E1958" s="23">
        <v>185.86799999999999</v>
      </c>
      <c r="F1958" s="23">
        <v>0</v>
      </c>
      <c r="G1958" s="23">
        <v>0</v>
      </c>
      <c r="H1958" s="23">
        <v>3342.3670000000002</v>
      </c>
      <c r="I1958" s="23">
        <v>0</v>
      </c>
      <c r="J1958" s="23">
        <v>0</v>
      </c>
      <c r="K1958" s="23">
        <v>0</v>
      </c>
    </row>
    <row r="1959" spans="1:11" x14ac:dyDescent="0.25">
      <c r="A1959">
        <v>1958</v>
      </c>
      <c r="B1959" s="23">
        <v>251.672</v>
      </c>
      <c r="C1959" s="23">
        <v>900.77</v>
      </c>
      <c r="D1959" s="23">
        <v>3274.451</v>
      </c>
      <c r="E1959" s="23">
        <v>251.672</v>
      </c>
      <c r="F1959" s="23">
        <v>0</v>
      </c>
      <c r="G1959" s="23">
        <v>0</v>
      </c>
      <c r="H1959" s="23">
        <v>3022.779</v>
      </c>
      <c r="I1959" s="23">
        <v>0</v>
      </c>
      <c r="J1959" s="23">
        <v>0</v>
      </c>
      <c r="K1959" s="23">
        <v>0</v>
      </c>
    </row>
    <row r="1960" spans="1:11" x14ac:dyDescent="0.25">
      <c r="A1960">
        <v>1959</v>
      </c>
      <c r="B1960" s="23">
        <v>290.15300000000002</v>
      </c>
      <c r="C1960" s="23">
        <v>750.96</v>
      </c>
      <c r="D1960" s="23">
        <v>2811.5940000000001</v>
      </c>
      <c r="E1960" s="23">
        <v>290.15300000000002</v>
      </c>
      <c r="F1960" s="23">
        <v>0</v>
      </c>
      <c r="G1960" s="23">
        <v>0</v>
      </c>
      <c r="H1960" s="23">
        <v>2521.4409999999998</v>
      </c>
      <c r="I1960" s="23">
        <v>0</v>
      </c>
      <c r="J1960" s="23">
        <v>0</v>
      </c>
      <c r="K1960" s="23">
        <v>0</v>
      </c>
    </row>
    <row r="1961" spans="1:11" x14ac:dyDescent="0.25">
      <c r="A1961">
        <v>1960</v>
      </c>
      <c r="B1961" s="23">
        <v>251.84800000000001</v>
      </c>
      <c r="C1961" s="23">
        <v>541.75</v>
      </c>
      <c r="D1961" s="23">
        <v>2099.9490000000001</v>
      </c>
      <c r="E1961" s="23">
        <v>251.84800000000001</v>
      </c>
      <c r="F1961" s="23">
        <v>0</v>
      </c>
      <c r="G1961" s="23">
        <v>0</v>
      </c>
      <c r="H1961" s="23">
        <v>1848.1010000000001</v>
      </c>
      <c r="I1961" s="23">
        <v>0</v>
      </c>
      <c r="J1961" s="23">
        <v>0</v>
      </c>
      <c r="K1961" s="23">
        <v>0</v>
      </c>
    </row>
    <row r="1962" spans="1:11" x14ac:dyDescent="0.25">
      <c r="A1962">
        <v>1961</v>
      </c>
      <c r="B1962" s="23">
        <v>267.28199999999998</v>
      </c>
      <c r="C1962" s="23">
        <v>303.04000000000002</v>
      </c>
      <c r="D1962" s="23">
        <v>1165.018</v>
      </c>
      <c r="E1962" s="23">
        <v>267.28199999999998</v>
      </c>
      <c r="F1962" s="23">
        <v>0</v>
      </c>
      <c r="G1962" s="23">
        <v>0</v>
      </c>
      <c r="H1962" s="23">
        <v>897.73599999999999</v>
      </c>
      <c r="I1962" s="23">
        <v>0</v>
      </c>
      <c r="J1962" s="23">
        <v>0</v>
      </c>
      <c r="K1962" s="23">
        <v>0</v>
      </c>
    </row>
    <row r="1963" spans="1:11" x14ac:dyDescent="0.25">
      <c r="A1963">
        <v>1962</v>
      </c>
      <c r="B1963" s="23">
        <v>269.15899999999999</v>
      </c>
      <c r="C1963" s="23">
        <v>73.430000000000007</v>
      </c>
      <c r="D1963" s="23">
        <v>219.643</v>
      </c>
      <c r="E1963" s="23">
        <v>219.643</v>
      </c>
      <c r="F1963" s="23">
        <v>0</v>
      </c>
      <c r="G1963" s="23">
        <v>0</v>
      </c>
      <c r="H1963" s="23">
        <v>0</v>
      </c>
      <c r="I1963" s="23">
        <v>0</v>
      </c>
      <c r="J1963" s="23">
        <v>0</v>
      </c>
      <c r="K1963" s="23">
        <v>49.515999999999998</v>
      </c>
    </row>
    <row r="1964" spans="1:11" x14ac:dyDescent="0.25">
      <c r="A1964">
        <v>1963</v>
      </c>
      <c r="B1964" s="23">
        <v>186.38900000000001</v>
      </c>
      <c r="C1964" s="23">
        <v>0</v>
      </c>
      <c r="D1964" s="23">
        <v>0</v>
      </c>
      <c r="E1964" s="23">
        <v>0</v>
      </c>
      <c r="F1964" s="23">
        <v>0</v>
      </c>
      <c r="G1964" s="23">
        <v>0</v>
      </c>
      <c r="H1964" s="23">
        <v>0</v>
      </c>
      <c r="I1964" s="23">
        <v>0</v>
      </c>
      <c r="J1964" s="23">
        <v>0</v>
      </c>
      <c r="K1964" s="23">
        <v>186.38900000000001</v>
      </c>
    </row>
    <row r="1965" spans="1:11" x14ac:dyDescent="0.25">
      <c r="A1965">
        <v>1964</v>
      </c>
      <c r="B1965" s="23">
        <v>352</v>
      </c>
      <c r="C1965" s="23">
        <v>0</v>
      </c>
      <c r="D1965" s="23">
        <v>0</v>
      </c>
      <c r="E1965" s="23">
        <v>0</v>
      </c>
      <c r="F1965" s="23">
        <v>0</v>
      </c>
      <c r="G1965" s="23">
        <v>0</v>
      </c>
      <c r="H1965" s="23">
        <v>0</v>
      </c>
      <c r="I1965" s="23">
        <v>0</v>
      </c>
      <c r="J1965" s="23">
        <v>0</v>
      </c>
      <c r="K1965" s="23">
        <v>352</v>
      </c>
    </row>
    <row r="1966" spans="1:11" x14ac:dyDescent="0.25">
      <c r="A1966">
        <v>1965</v>
      </c>
      <c r="B1966" s="23">
        <v>209.6</v>
      </c>
      <c r="C1966" s="23">
        <v>0</v>
      </c>
      <c r="D1966" s="23">
        <v>0</v>
      </c>
      <c r="E1966" s="23">
        <v>0</v>
      </c>
      <c r="F1966" s="23">
        <v>0</v>
      </c>
      <c r="G1966" s="23">
        <v>0</v>
      </c>
      <c r="H1966" s="23">
        <v>0</v>
      </c>
      <c r="I1966" s="23">
        <v>0</v>
      </c>
      <c r="J1966" s="23">
        <v>0</v>
      </c>
      <c r="K1966" s="23">
        <v>209.6</v>
      </c>
    </row>
    <row r="1967" spans="1:11" x14ac:dyDescent="0.25">
      <c r="A1967">
        <v>1966</v>
      </c>
      <c r="B1967" s="23">
        <v>269.60000000000002</v>
      </c>
      <c r="C1967" s="23">
        <v>0</v>
      </c>
      <c r="D1967" s="23">
        <v>0</v>
      </c>
      <c r="E1967" s="23">
        <v>0</v>
      </c>
      <c r="F1967" s="23">
        <v>0</v>
      </c>
      <c r="G1967" s="23">
        <v>0</v>
      </c>
      <c r="H1967" s="23">
        <v>0</v>
      </c>
      <c r="I1967" s="23">
        <v>0</v>
      </c>
      <c r="J1967" s="23">
        <v>0</v>
      </c>
      <c r="K1967" s="23">
        <v>269.60000000000002</v>
      </c>
    </row>
    <row r="1968" spans="1:11" x14ac:dyDescent="0.25">
      <c r="A1968">
        <v>1967</v>
      </c>
      <c r="B1968" s="23">
        <v>288.8</v>
      </c>
      <c r="C1968" s="23">
        <v>0</v>
      </c>
      <c r="D1968" s="23">
        <v>0</v>
      </c>
      <c r="E1968" s="23">
        <v>0</v>
      </c>
      <c r="F1968" s="23">
        <v>0</v>
      </c>
      <c r="G1968" s="23">
        <v>0</v>
      </c>
      <c r="H1968" s="23">
        <v>0</v>
      </c>
      <c r="I1968" s="23">
        <v>0</v>
      </c>
      <c r="J1968" s="23">
        <v>0</v>
      </c>
      <c r="K1968" s="23">
        <v>288.8</v>
      </c>
    </row>
    <row r="1969" spans="1:11" x14ac:dyDescent="0.25">
      <c r="A1969">
        <v>1968</v>
      </c>
      <c r="B1969" s="23">
        <v>246.4</v>
      </c>
      <c r="C1969" s="23">
        <v>0</v>
      </c>
      <c r="D1969" s="23">
        <v>0</v>
      </c>
      <c r="E1969" s="23">
        <v>0</v>
      </c>
      <c r="F1969" s="23">
        <v>0</v>
      </c>
      <c r="G1969" s="23">
        <v>0</v>
      </c>
      <c r="H1969" s="23">
        <v>0</v>
      </c>
      <c r="I1969" s="23">
        <v>0</v>
      </c>
      <c r="J1969" s="23">
        <v>0</v>
      </c>
      <c r="K1969" s="23">
        <v>246.4</v>
      </c>
    </row>
    <row r="1970" spans="1:11" x14ac:dyDescent="0.25">
      <c r="A1970">
        <v>1969</v>
      </c>
      <c r="B1970" s="23">
        <v>255.2</v>
      </c>
      <c r="C1970" s="23">
        <v>0</v>
      </c>
      <c r="D1970" s="23">
        <v>0</v>
      </c>
      <c r="E1970" s="23">
        <v>0</v>
      </c>
      <c r="F1970" s="23">
        <v>0</v>
      </c>
      <c r="G1970" s="23">
        <v>0</v>
      </c>
      <c r="H1970" s="23">
        <v>0</v>
      </c>
      <c r="I1970" s="23">
        <v>0</v>
      </c>
      <c r="J1970" s="23">
        <v>0</v>
      </c>
      <c r="K1970" s="23">
        <v>255.2</v>
      </c>
    </row>
    <row r="1971" spans="1:11" x14ac:dyDescent="0.25">
      <c r="A1971">
        <v>1970</v>
      </c>
      <c r="B1971" s="23">
        <v>220</v>
      </c>
      <c r="C1971" s="23">
        <v>0</v>
      </c>
      <c r="D1971" s="23">
        <v>0</v>
      </c>
      <c r="E1971" s="23">
        <v>0</v>
      </c>
      <c r="F1971" s="23">
        <v>0</v>
      </c>
      <c r="G1971" s="23">
        <v>0</v>
      </c>
      <c r="H1971" s="23">
        <v>0</v>
      </c>
      <c r="I1971" s="23">
        <v>0</v>
      </c>
      <c r="J1971" s="23">
        <v>0</v>
      </c>
      <c r="K1971" s="23">
        <v>220</v>
      </c>
    </row>
    <row r="1972" spans="1:11" x14ac:dyDescent="0.25">
      <c r="A1972">
        <v>1971</v>
      </c>
      <c r="B1972" s="23">
        <v>287.2</v>
      </c>
      <c r="C1972" s="23">
        <v>0</v>
      </c>
      <c r="D1972" s="23">
        <v>0</v>
      </c>
      <c r="E1972" s="23">
        <v>0</v>
      </c>
      <c r="F1972" s="23">
        <v>0</v>
      </c>
      <c r="G1972" s="23">
        <v>0</v>
      </c>
      <c r="H1972" s="23">
        <v>0</v>
      </c>
      <c r="I1972" s="23">
        <v>0</v>
      </c>
      <c r="J1972" s="23">
        <v>0</v>
      </c>
      <c r="K1972" s="23">
        <v>287.2</v>
      </c>
    </row>
    <row r="1973" spans="1:11" x14ac:dyDescent="0.25">
      <c r="A1973">
        <v>1972</v>
      </c>
      <c r="B1973" s="23">
        <v>292.8</v>
      </c>
      <c r="C1973" s="23">
        <v>0</v>
      </c>
      <c r="D1973" s="23">
        <v>0</v>
      </c>
      <c r="E1973" s="23">
        <v>0</v>
      </c>
      <c r="F1973" s="23">
        <v>0</v>
      </c>
      <c r="G1973" s="23">
        <v>0</v>
      </c>
      <c r="H1973" s="23">
        <v>0</v>
      </c>
      <c r="I1973" s="23">
        <v>0</v>
      </c>
      <c r="J1973" s="23">
        <v>0</v>
      </c>
      <c r="K1973" s="23">
        <v>292.8</v>
      </c>
    </row>
    <row r="1974" spans="1:11" x14ac:dyDescent="0.25">
      <c r="A1974">
        <v>1973</v>
      </c>
      <c r="B1974" s="23">
        <v>234.4</v>
      </c>
      <c r="C1974" s="23">
        <v>0</v>
      </c>
      <c r="D1974" s="23">
        <v>0</v>
      </c>
      <c r="E1974" s="23">
        <v>0</v>
      </c>
      <c r="F1974" s="23">
        <v>0</v>
      </c>
      <c r="G1974" s="23">
        <v>0</v>
      </c>
      <c r="H1974" s="23">
        <v>0</v>
      </c>
      <c r="I1974" s="23">
        <v>0</v>
      </c>
      <c r="J1974" s="23">
        <v>0</v>
      </c>
      <c r="K1974" s="23">
        <v>234.4</v>
      </c>
    </row>
    <row r="1975" spans="1:11" x14ac:dyDescent="0.25">
      <c r="A1975">
        <v>1974</v>
      </c>
      <c r="B1975" s="23">
        <v>231.2</v>
      </c>
      <c r="C1975" s="23">
        <v>0</v>
      </c>
      <c r="D1975" s="23">
        <v>0</v>
      </c>
      <c r="E1975" s="23">
        <v>0</v>
      </c>
      <c r="F1975" s="23">
        <v>0</v>
      </c>
      <c r="G1975" s="23">
        <v>0</v>
      </c>
      <c r="H1975" s="23">
        <v>0</v>
      </c>
      <c r="I1975" s="23">
        <v>0</v>
      </c>
      <c r="J1975" s="23">
        <v>0</v>
      </c>
      <c r="K1975" s="23">
        <v>231.2</v>
      </c>
    </row>
    <row r="1976" spans="1:11" x14ac:dyDescent="0.25">
      <c r="A1976">
        <v>1975</v>
      </c>
      <c r="B1976" s="23">
        <v>217.41399999999999</v>
      </c>
      <c r="C1976" s="23">
        <v>67.14</v>
      </c>
      <c r="D1976" s="23">
        <v>213.21700000000001</v>
      </c>
      <c r="E1976" s="23">
        <v>213.21700000000001</v>
      </c>
      <c r="F1976" s="23">
        <v>0</v>
      </c>
      <c r="G1976" s="23">
        <v>0</v>
      </c>
      <c r="H1976" s="23">
        <v>0</v>
      </c>
      <c r="I1976" s="23">
        <v>0</v>
      </c>
      <c r="J1976" s="23">
        <v>0</v>
      </c>
      <c r="K1976" s="23">
        <v>4.1970000000000001</v>
      </c>
    </row>
    <row r="1977" spans="1:11" x14ac:dyDescent="0.25">
      <c r="A1977">
        <v>1976</v>
      </c>
      <c r="B1977" s="23">
        <v>235.20699999999999</v>
      </c>
      <c r="C1977" s="23">
        <v>292.68</v>
      </c>
      <c r="D1977" s="23">
        <v>1146.2249999999999</v>
      </c>
      <c r="E1977" s="23">
        <v>235.20699999999999</v>
      </c>
      <c r="F1977" s="23">
        <v>-911.01800000000003</v>
      </c>
      <c r="G1977" s="23">
        <v>0</v>
      </c>
      <c r="H1977" s="23">
        <v>0</v>
      </c>
      <c r="I1977" s="23">
        <v>0</v>
      </c>
      <c r="J1977" s="23">
        <v>0</v>
      </c>
      <c r="K1977" s="23">
        <v>0</v>
      </c>
    </row>
    <row r="1978" spans="1:11" x14ac:dyDescent="0.25">
      <c r="A1978">
        <v>1977</v>
      </c>
      <c r="B1978" s="23">
        <v>822.23299999999995</v>
      </c>
      <c r="C1978" s="23">
        <v>536.67999999999995</v>
      </c>
      <c r="D1978" s="23">
        <v>2115.9929999999999</v>
      </c>
      <c r="E1978" s="23">
        <v>822.23299999999995</v>
      </c>
      <c r="F1978" s="23">
        <v>-1293.76</v>
      </c>
      <c r="G1978" s="23">
        <v>0</v>
      </c>
      <c r="H1978" s="23">
        <v>0</v>
      </c>
      <c r="I1978" s="23">
        <v>0</v>
      </c>
      <c r="J1978" s="23">
        <v>0</v>
      </c>
      <c r="K1978" s="23">
        <v>0</v>
      </c>
    </row>
    <row r="1979" spans="1:11" x14ac:dyDescent="0.25">
      <c r="A1979">
        <v>1978</v>
      </c>
      <c r="B1979" s="23">
        <v>1224.4359999999999</v>
      </c>
      <c r="C1979" s="23">
        <v>431.7</v>
      </c>
      <c r="D1979" s="23">
        <v>1647.8209999999999</v>
      </c>
      <c r="E1979" s="23">
        <v>1224.4359999999999</v>
      </c>
      <c r="F1979" s="23">
        <v>-423.38499999999999</v>
      </c>
      <c r="G1979" s="23">
        <v>0</v>
      </c>
      <c r="H1979" s="23">
        <v>0</v>
      </c>
      <c r="I1979" s="23">
        <v>0</v>
      </c>
      <c r="J1979" s="23">
        <v>0</v>
      </c>
      <c r="K1979" s="23">
        <v>0</v>
      </c>
    </row>
    <row r="1980" spans="1:11" x14ac:dyDescent="0.25">
      <c r="A1980">
        <v>1979</v>
      </c>
      <c r="B1980" s="23">
        <v>1183.914</v>
      </c>
      <c r="C1980" s="23">
        <v>893.29</v>
      </c>
      <c r="D1980" s="23">
        <v>3325.174</v>
      </c>
      <c r="E1980" s="23">
        <v>1183.914</v>
      </c>
      <c r="F1980" s="23">
        <v>-852.18499999999995</v>
      </c>
      <c r="G1980" s="23">
        <v>0</v>
      </c>
      <c r="H1980" s="23">
        <v>1289.075</v>
      </c>
      <c r="I1980" s="23">
        <v>0</v>
      </c>
      <c r="J1980" s="23">
        <v>0</v>
      </c>
      <c r="K1980" s="23">
        <v>0</v>
      </c>
    </row>
    <row r="1981" spans="1:11" x14ac:dyDescent="0.25">
      <c r="A1981">
        <v>1980</v>
      </c>
      <c r="B1981" s="23">
        <v>1080.396</v>
      </c>
      <c r="C1981" s="23">
        <v>983.15</v>
      </c>
      <c r="D1981" s="23">
        <v>3597.9780000000001</v>
      </c>
      <c r="E1981" s="23">
        <v>1080.396</v>
      </c>
      <c r="F1981" s="23">
        <v>0</v>
      </c>
      <c r="G1981" s="23">
        <v>0</v>
      </c>
      <c r="H1981" s="23">
        <v>2517.5819999999999</v>
      </c>
      <c r="I1981" s="23">
        <v>0</v>
      </c>
      <c r="J1981" s="23">
        <v>0</v>
      </c>
      <c r="K1981" s="23">
        <v>0</v>
      </c>
    </row>
    <row r="1982" spans="1:11" x14ac:dyDescent="0.25">
      <c r="A1982">
        <v>1981</v>
      </c>
      <c r="B1982" s="23">
        <v>1034.163</v>
      </c>
      <c r="C1982" s="23">
        <v>989.98</v>
      </c>
      <c r="D1982" s="23">
        <v>3609.962</v>
      </c>
      <c r="E1982" s="23">
        <v>1034.163</v>
      </c>
      <c r="F1982" s="23">
        <v>0</v>
      </c>
      <c r="G1982" s="23">
        <v>0</v>
      </c>
      <c r="H1982" s="23">
        <v>2575.799</v>
      </c>
      <c r="I1982" s="23">
        <v>0</v>
      </c>
      <c r="J1982" s="23">
        <v>0</v>
      </c>
      <c r="K1982" s="23">
        <v>0</v>
      </c>
    </row>
    <row r="1983" spans="1:11" x14ac:dyDescent="0.25">
      <c r="A1983">
        <v>1982</v>
      </c>
      <c r="B1983" s="23">
        <v>1287.3140000000001</v>
      </c>
      <c r="C1983" s="23">
        <v>912.1</v>
      </c>
      <c r="D1983" s="23">
        <v>3368.4169999999999</v>
      </c>
      <c r="E1983" s="23">
        <v>1287.3140000000001</v>
      </c>
      <c r="F1983" s="23">
        <v>0</v>
      </c>
      <c r="G1983" s="23">
        <v>0</v>
      </c>
      <c r="H1983" s="23">
        <v>2081.1030000000001</v>
      </c>
      <c r="I1983" s="23">
        <v>0</v>
      </c>
      <c r="J1983" s="23">
        <v>0</v>
      </c>
      <c r="K1983" s="23">
        <v>0</v>
      </c>
    </row>
    <row r="1984" spans="1:11" x14ac:dyDescent="0.25">
      <c r="A1984">
        <v>1983</v>
      </c>
      <c r="B1984" s="23">
        <v>930.64</v>
      </c>
      <c r="C1984" s="23">
        <v>765.57</v>
      </c>
      <c r="D1984" s="23">
        <v>2896.8240000000001</v>
      </c>
      <c r="E1984" s="23">
        <v>930.64</v>
      </c>
      <c r="F1984" s="23">
        <v>0</v>
      </c>
      <c r="G1984" s="23">
        <v>0</v>
      </c>
      <c r="H1984" s="23">
        <v>1966.184</v>
      </c>
      <c r="I1984" s="23">
        <v>0</v>
      </c>
      <c r="J1984" s="23">
        <v>0</v>
      </c>
      <c r="K1984" s="23">
        <v>0</v>
      </c>
    </row>
    <row r="1985" spans="1:11" x14ac:dyDescent="0.25">
      <c r="A1985">
        <v>1984</v>
      </c>
      <c r="B1985" s="23">
        <v>1303.577</v>
      </c>
      <c r="C1985" s="23">
        <v>554.14</v>
      </c>
      <c r="D1985" s="23">
        <v>2164.3969999999999</v>
      </c>
      <c r="E1985" s="23">
        <v>1303.577</v>
      </c>
      <c r="F1985" s="23">
        <v>0</v>
      </c>
      <c r="G1985" s="23">
        <v>0</v>
      </c>
      <c r="H1985" s="23">
        <v>860.82</v>
      </c>
      <c r="I1985" s="23">
        <v>0</v>
      </c>
      <c r="J1985" s="23">
        <v>0</v>
      </c>
      <c r="K1985" s="23">
        <v>0</v>
      </c>
    </row>
    <row r="1986" spans="1:11" x14ac:dyDescent="0.25">
      <c r="A1986">
        <v>1985</v>
      </c>
      <c r="B1986" s="23">
        <v>1377.8610000000001</v>
      </c>
      <c r="C1986" s="23">
        <v>309.69</v>
      </c>
      <c r="D1986" s="23">
        <v>1194.479</v>
      </c>
      <c r="E1986" s="23">
        <v>1194.479</v>
      </c>
      <c r="F1986" s="23">
        <v>0</v>
      </c>
      <c r="G1986" s="23">
        <v>0</v>
      </c>
      <c r="H1986" s="23">
        <v>0</v>
      </c>
      <c r="I1986" s="23">
        <v>183.38200000000001</v>
      </c>
      <c r="J1986" s="23">
        <v>0</v>
      </c>
      <c r="K1986" s="23">
        <v>0</v>
      </c>
    </row>
    <row r="1987" spans="1:11" x14ac:dyDescent="0.25">
      <c r="A1987">
        <v>1986</v>
      </c>
      <c r="B1987" s="23">
        <v>1489.1289999999999</v>
      </c>
      <c r="C1987" s="23">
        <v>75.069999999999993</v>
      </c>
      <c r="D1987" s="23">
        <v>222.17400000000001</v>
      </c>
      <c r="E1987" s="23">
        <v>222.17400000000001</v>
      </c>
      <c r="F1987" s="23">
        <v>0</v>
      </c>
      <c r="G1987" s="23">
        <v>0</v>
      </c>
      <c r="H1987" s="23">
        <v>0</v>
      </c>
      <c r="I1987" s="23">
        <v>0</v>
      </c>
      <c r="J1987" s="23">
        <v>0</v>
      </c>
      <c r="K1987" s="23">
        <v>1266.9549999999999</v>
      </c>
    </row>
    <row r="1988" spans="1:11" x14ac:dyDescent="0.25">
      <c r="A1988">
        <v>1987</v>
      </c>
      <c r="B1988" s="23">
        <v>1582.537</v>
      </c>
      <c r="C1988" s="23">
        <v>0</v>
      </c>
      <c r="D1988" s="23">
        <v>0</v>
      </c>
      <c r="E1988" s="23">
        <v>0</v>
      </c>
      <c r="F1988" s="23">
        <v>0</v>
      </c>
      <c r="G1988" s="23">
        <v>0</v>
      </c>
      <c r="H1988" s="23">
        <v>0</v>
      </c>
      <c r="I1988" s="23">
        <v>0</v>
      </c>
      <c r="J1988" s="23">
        <v>0</v>
      </c>
      <c r="K1988" s="23">
        <v>1582.537</v>
      </c>
    </row>
    <row r="1989" spans="1:11" x14ac:dyDescent="0.25">
      <c r="A1989">
        <v>1988</v>
      </c>
      <c r="B1989" s="23">
        <v>1236.8</v>
      </c>
      <c r="C1989" s="23">
        <v>0</v>
      </c>
      <c r="D1989" s="23">
        <v>0</v>
      </c>
      <c r="E1989" s="23">
        <v>0</v>
      </c>
      <c r="F1989" s="23">
        <v>0</v>
      </c>
      <c r="G1989" s="23">
        <v>0</v>
      </c>
      <c r="H1989" s="23">
        <v>0</v>
      </c>
      <c r="I1989" s="23">
        <v>0</v>
      </c>
      <c r="J1989" s="23">
        <v>0</v>
      </c>
      <c r="K1989" s="23">
        <v>1236.8</v>
      </c>
    </row>
    <row r="1990" spans="1:11" x14ac:dyDescent="0.25">
      <c r="A1990">
        <v>1989</v>
      </c>
      <c r="B1990" s="23">
        <v>1488.8</v>
      </c>
      <c r="C1990" s="23">
        <v>0</v>
      </c>
      <c r="D1990" s="23">
        <v>0</v>
      </c>
      <c r="E1990" s="23">
        <v>0</v>
      </c>
      <c r="F1990" s="23">
        <v>0</v>
      </c>
      <c r="G1990" s="23">
        <v>0</v>
      </c>
      <c r="H1990" s="23">
        <v>0</v>
      </c>
      <c r="I1990" s="23">
        <v>1488.8</v>
      </c>
      <c r="J1990" s="23">
        <v>0</v>
      </c>
      <c r="K1990" s="23">
        <v>0</v>
      </c>
    </row>
    <row r="1991" spans="1:11" x14ac:dyDescent="0.25">
      <c r="A1991">
        <v>1990</v>
      </c>
      <c r="B1991" s="23">
        <v>1436.8</v>
      </c>
      <c r="C1991" s="23">
        <v>0</v>
      </c>
      <c r="D1991" s="23">
        <v>0</v>
      </c>
      <c r="E1991" s="23">
        <v>0</v>
      </c>
      <c r="F1991" s="23">
        <v>0</v>
      </c>
      <c r="G1991" s="23">
        <v>0</v>
      </c>
      <c r="H1991" s="23">
        <v>0</v>
      </c>
      <c r="I1991" s="23">
        <v>1436.8</v>
      </c>
      <c r="J1991" s="23">
        <v>0</v>
      </c>
      <c r="K1991" s="23">
        <v>0</v>
      </c>
    </row>
    <row r="1992" spans="1:11" x14ac:dyDescent="0.25">
      <c r="A1992">
        <v>1991</v>
      </c>
      <c r="B1992" s="23">
        <v>1529.6</v>
      </c>
      <c r="C1992" s="23">
        <v>0</v>
      </c>
      <c r="D1992" s="23">
        <v>0</v>
      </c>
      <c r="E1992" s="23">
        <v>0</v>
      </c>
      <c r="F1992" s="23">
        <v>0</v>
      </c>
      <c r="G1992" s="23">
        <v>0</v>
      </c>
      <c r="H1992" s="23">
        <v>0</v>
      </c>
      <c r="I1992" s="23">
        <v>1529.6</v>
      </c>
      <c r="J1992" s="23">
        <v>0</v>
      </c>
      <c r="K1992" s="23">
        <v>0</v>
      </c>
    </row>
    <row r="1993" spans="1:11" x14ac:dyDescent="0.25">
      <c r="A1993">
        <v>1992</v>
      </c>
      <c r="B1993" s="23">
        <v>1294.4000000000001</v>
      </c>
      <c r="C1993" s="23">
        <v>0</v>
      </c>
      <c r="D1993" s="23">
        <v>0</v>
      </c>
      <c r="E1993" s="23">
        <v>0</v>
      </c>
      <c r="F1993" s="23">
        <v>0</v>
      </c>
      <c r="G1993" s="23">
        <v>0</v>
      </c>
      <c r="H1993" s="23">
        <v>0</v>
      </c>
      <c r="I1993" s="23">
        <v>1294.4000000000001</v>
      </c>
      <c r="J1993" s="23">
        <v>0</v>
      </c>
      <c r="K1993" s="23">
        <v>0</v>
      </c>
    </row>
    <row r="1994" spans="1:11" x14ac:dyDescent="0.25">
      <c r="A1994">
        <v>1993</v>
      </c>
      <c r="B1994" s="23">
        <v>1304</v>
      </c>
      <c r="C1994" s="23">
        <v>0</v>
      </c>
      <c r="D1994" s="23">
        <v>0</v>
      </c>
      <c r="E1994" s="23">
        <v>0</v>
      </c>
      <c r="F1994" s="23">
        <v>0</v>
      </c>
      <c r="G1994" s="23">
        <v>0</v>
      </c>
      <c r="H1994" s="23">
        <v>0</v>
      </c>
      <c r="I1994" s="23">
        <v>1304</v>
      </c>
      <c r="J1994" s="23">
        <v>0</v>
      </c>
      <c r="K1994" s="23">
        <v>0</v>
      </c>
    </row>
    <row r="1995" spans="1:11" x14ac:dyDescent="0.25">
      <c r="A1995">
        <v>1994</v>
      </c>
      <c r="B1995" s="23">
        <v>1234.4000000000001</v>
      </c>
      <c r="C1995" s="23">
        <v>0</v>
      </c>
      <c r="D1995" s="23">
        <v>0</v>
      </c>
      <c r="E1995" s="23">
        <v>0</v>
      </c>
      <c r="F1995" s="23">
        <v>0</v>
      </c>
      <c r="G1995" s="23">
        <v>0</v>
      </c>
      <c r="H1995" s="23">
        <v>0</v>
      </c>
      <c r="I1995" s="23">
        <v>1234.4000000000001</v>
      </c>
      <c r="J1995" s="23">
        <v>0</v>
      </c>
      <c r="K1995" s="23">
        <v>0</v>
      </c>
    </row>
    <row r="1996" spans="1:11" x14ac:dyDescent="0.25">
      <c r="A1996">
        <v>1995</v>
      </c>
      <c r="B1996" s="23">
        <v>1701.6</v>
      </c>
      <c r="C1996" s="23">
        <v>0</v>
      </c>
      <c r="D1996" s="23">
        <v>0</v>
      </c>
      <c r="E1996" s="23">
        <v>0</v>
      </c>
      <c r="F1996" s="23">
        <v>0</v>
      </c>
      <c r="G1996" s="23">
        <v>0</v>
      </c>
      <c r="H1996" s="23">
        <v>0</v>
      </c>
      <c r="I1996" s="23">
        <v>1701.6</v>
      </c>
      <c r="J1996" s="23">
        <v>0</v>
      </c>
      <c r="K1996" s="23">
        <v>0</v>
      </c>
    </row>
    <row r="1997" spans="1:11" x14ac:dyDescent="0.25">
      <c r="A1997">
        <v>1996</v>
      </c>
      <c r="B1997" s="23">
        <v>1300</v>
      </c>
      <c r="C1997" s="23">
        <v>0</v>
      </c>
      <c r="D1997" s="23">
        <v>0</v>
      </c>
      <c r="E1997" s="23">
        <v>0</v>
      </c>
      <c r="F1997" s="23">
        <v>0</v>
      </c>
      <c r="G1997" s="23">
        <v>0</v>
      </c>
      <c r="H1997" s="23">
        <v>0</v>
      </c>
      <c r="I1997" s="23">
        <v>1300</v>
      </c>
      <c r="J1997" s="23">
        <v>0</v>
      </c>
      <c r="K1997" s="23">
        <v>0</v>
      </c>
    </row>
    <row r="1998" spans="1:11" x14ac:dyDescent="0.25">
      <c r="A1998">
        <v>1997</v>
      </c>
      <c r="B1998" s="23">
        <v>1364.8</v>
      </c>
      <c r="C1998" s="23">
        <v>0</v>
      </c>
      <c r="D1998" s="23">
        <v>0</v>
      </c>
      <c r="E1998" s="23">
        <v>0</v>
      </c>
      <c r="F1998" s="23">
        <v>0</v>
      </c>
      <c r="G1998" s="23">
        <v>0</v>
      </c>
      <c r="H1998" s="23">
        <v>0</v>
      </c>
      <c r="I1998" s="23">
        <v>1364.8</v>
      </c>
      <c r="J1998" s="23">
        <v>0</v>
      </c>
      <c r="K1998" s="23">
        <v>0</v>
      </c>
    </row>
    <row r="1999" spans="1:11" x14ac:dyDescent="0.25">
      <c r="A1999">
        <v>1998</v>
      </c>
      <c r="B1999" s="23">
        <v>1507.2</v>
      </c>
      <c r="C1999" s="23">
        <v>0</v>
      </c>
      <c r="D1999" s="23">
        <v>0</v>
      </c>
      <c r="E1999" s="23">
        <v>0</v>
      </c>
      <c r="F1999" s="23">
        <v>0</v>
      </c>
      <c r="G1999" s="23">
        <v>0</v>
      </c>
      <c r="H1999" s="23">
        <v>0</v>
      </c>
      <c r="I1999" s="23">
        <v>711.76400000000001</v>
      </c>
      <c r="J1999" s="23">
        <v>0</v>
      </c>
      <c r="K1999" s="23">
        <v>795.43600000000004</v>
      </c>
    </row>
    <row r="2000" spans="1:11" x14ac:dyDescent="0.25">
      <c r="A2000">
        <v>1999</v>
      </c>
      <c r="B2000" s="23">
        <v>1696</v>
      </c>
      <c r="C2000" s="23">
        <v>72.900000000000006</v>
      </c>
      <c r="D2000" s="23">
        <v>226.18799999999999</v>
      </c>
      <c r="E2000" s="23">
        <v>226.18799999999999</v>
      </c>
      <c r="F2000" s="23">
        <v>0</v>
      </c>
      <c r="G2000" s="23">
        <v>0</v>
      </c>
      <c r="H2000" s="23">
        <v>0</v>
      </c>
      <c r="I2000" s="23">
        <v>0</v>
      </c>
      <c r="J2000" s="23">
        <v>0</v>
      </c>
      <c r="K2000" s="23">
        <v>1469.8119999999999</v>
      </c>
    </row>
    <row r="2001" spans="1:11" x14ac:dyDescent="0.25">
      <c r="A2001">
        <v>2000</v>
      </c>
      <c r="B2001" s="23">
        <v>1387.644</v>
      </c>
      <c r="C2001" s="23">
        <v>304.37</v>
      </c>
      <c r="D2001" s="23">
        <v>1187.3340000000001</v>
      </c>
      <c r="E2001" s="23">
        <v>1187.3340000000001</v>
      </c>
      <c r="F2001" s="23">
        <v>0</v>
      </c>
      <c r="G2001" s="23">
        <v>0</v>
      </c>
      <c r="H2001" s="23">
        <v>0</v>
      </c>
      <c r="I2001" s="23">
        <v>0</v>
      </c>
      <c r="J2001" s="23">
        <v>0</v>
      </c>
      <c r="K2001" s="23">
        <v>200.31</v>
      </c>
    </row>
    <row r="2002" spans="1:11" x14ac:dyDescent="0.25">
      <c r="A2002">
        <v>2001</v>
      </c>
      <c r="B2002" s="23">
        <v>1583.009</v>
      </c>
      <c r="C2002" s="23">
        <v>551.4</v>
      </c>
      <c r="D2002" s="23">
        <v>2170.998</v>
      </c>
      <c r="E2002" s="23">
        <v>1583.009</v>
      </c>
      <c r="F2002" s="23">
        <v>-587.98900000000003</v>
      </c>
      <c r="G2002" s="23">
        <v>0</v>
      </c>
      <c r="H2002" s="23">
        <v>0</v>
      </c>
      <c r="I2002" s="23">
        <v>0</v>
      </c>
      <c r="J2002" s="23">
        <v>0</v>
      </c>
      <c r="K2002" s="23">
        <v>0</v>
      </c>
    </row>
    <row r="2003" spans="1:11" x14ac:dyDescent="0.25">
      <c r="A2003">
        <v>2002</v>
      </c>
      <c r="B2003" s="23">
        <v>2116.2620000000002</v>
      </c>
      <c r="C2003" s="23">
        <v>758.88</v>
      </c>
      <c r="D2003" s="23">
        <v>2890.63</v>
      </c>
      <c r="E2003" s="23">
        <v>2116.2620000000002</v>
      </c>
      <c r="F2003" s="23">
        <v>-774.36800000000005</v>
      </c>
      <c r="G2003" s="23">
        <v>0</v>
      </c>
      <c r="H2003" s="23">
        <v>0</v>
      </c>
      <c r="I2003" s="23">
        <v>0</v>
      </c>
      <c r="J2003" s="23">
        <v>0</v>
      </c>
      <c r="K2003" s="23">
        <v>0</v>
      </c>
    </row>
    <row r="2004" spans="1:11" x14ac:dyDescent="0.25">
      <c r="A2004">
        <v>2003</v>
      </c>
      <c r="B2004" s="23">
        <v>2008.0540000000001</v>
      </c>
      <c r="C2004" s="23">
        <v>900.35</v>
      </c>
      <c r="D2004" s="23">
        <v>3343.7289999999998</v>
      </c>
      <c r="E2004" s="23">
        <v>2008.0540000000001</v>
      </c>
      <c r="F2004" s="23">
        <v>-1335.675</v>
      </c>
      <c r="G2004" s="23">
        <v>0</v>
      </c>
      <c r="H2004" s="23">
        <v>0</v>
      </c>
      <c r="I2004" s="23">
        <v>0</v>
      </c>
      <c r="J2004" s="23">
        <v>0</v>
      </c>
      <c r="K2004" s="23">
        <v>0</v>
      </c>
    </row>
    <row r="2005" spans="1:11" x14ac:dyDescent="0.25">
      <c r="A2005">
        <v>2004</v>
      </c>
      <c r="B2005" s="23">
        <v>1681.412</v>
      </c>
      <c r="C2005" s="23">
        <v>980.96</v>
      </c>
      <c r="D2005" s="23">
        <v>3595.5140000000001</v>
      </c>
      <c r="E2005" s="23">
        <v>1681.413</v>
      </c>
      <c r="F2005" s="23">
        <v>-1684.559</v>
      </c>
      <c r="G2005" s="23">
        <v>0</v>
      </c>
      <c r="H2005" s="23">
        <v>229.542</v>
      </c>
      <c r="I2005" s="23">
        <v>0</v>
      </c>
      <c r="J2005" s="23">
        <v>0</v>
      </c>
      <c r="K2005" s="23">
        <v>0</v>
      </c>
    </row>
    <row r="2006" spans="1:11" x14ac:dyDescent="0.25">
      <c r="A2006">
        <v>2005</v>
      </c>
      <c r="B2006" s="23">
        <v>1625.7919999999999</v>
      </c>
      <c r="C2006" s="23">
        <v>662.02</v>
      </c>
      <c r="D2006" s="23">
        <v>2459.9659999999999</v>
      </c>
      <c r="E2006" s="23">
        <v>1625.7919999999999</v>
      </c>
      <c r="F2006" s="23">
        <v>-834.17399999999998</v>
      </c>
      <c r="G2006" s="23">
        <v>0</v>
      </c>
      <c r="H2006" s="23">
        <v>0</v>
      </c>
      <c r="I2006" s="23">
        <v>0</v>
      </c>
      <c r="J2006" s="23">
        <v>0</v>
      </c>
      <c r="K2006" s="23">
        <v>0</v>
      </c>
    </row>
    <row r="2007" spans="1:11" x14ac:dyDescent="0.25">
      <c r="A2007">
        <v>2006</v>
      </c>
      <c r="B2007" s="23">
        <v>1544.6189999999999</v>
      </c>
      <c r="C2007" s="23">
        <v>875.81</v>
      </c>
      <c r="D2007" s="23">
        <v>3267.348</v>
      </c>
      <c r="E2007" s="23">
        <v>1544.6189999999999</v>
      </c>
      <c r="F2007" s="23">
        <v>-1684.559</v>
      </c>
      <c r="G2007" s="23">
        <v>0</v>
      </c>
      <c r="H2007" s="23">
        <v>38.17</v>
      </c>
      <c r="I2007" s="23">
        <v>0</v>
      </c>
      <c r="J2007" s="23">
        <v>0</v>
      </c>
      <c r="K2007" s="23">
        <v>0</v>
      </c>
    </row>
    <row r="2008" spans="1:11" x14ac:dyDescent="0.25">
      <c r="A2008">
        <v>2007</v>
      </c>
      <c r="B2008" s="23">
        <v>1606.752</v>
      </c>
      <c r="C2008" s="23">
        <v>750.07</v>
      </c>
      <c r="D2008" s="23">
        <v>2865.0340000000001</v>
      </c>
      <c r="E2008" s="23">
        <v>1606.752</v>
      </c>
      <c r="F2008" s="23">
        <v>-390.173</v>
      </c>
      <c r="G2008" s="23">
        <v>0</v>
      </c>
      <c r="H2008" s="23">
        <v>868.10900000000004</v>
      </c>
      <c r="I2008" s="23">
        <v>0</v>
      </c>
      <c r="J2008" s="23">
        <v>0</v>
      </c>
      <c r="K2008" s="23">
        <v>0</v>
      </c>
    </row>
    <row r="2009" spans="1:11" x14ac:dyDescent="0.25">
      <c r="A2009">
        <v>2008</v>
      </c>
      <c r="B2009" s="23">
        <v>1395.182</v>
      </c>
      <c r="C2009" s="23">
        <v>543.70000000000005</v>
      </c>
      <c r="D2009" s="23">
        <v>2137.1579999999999</v>
      </c>
      <c r="E2009" s="23">
        <v>1395.182</v>
      </c>
      <c r="F2009" s="23">
        <v>0</v>
      </c>
      <c r="G2009" s="23">
        <v>0</v>
      </c>
      <c r="H2009" s="23">
        <v>741.976</v>
      </c>
      <c r="I2009" s="23">
        <v>0</v>
      </c>
      <c r="J2009" s="23">
        <v>0</v>
      </c>
      <c r="K2009" s="23">
        <v>0</v>
      </c>
    </row>
    <row r="2010" spans="1:11" x14ac:dyDescent="0.25">
      <c r="A2010">
        <v>2009</v>
      </c>
      <c r="B2010" s="23">
        <v>1443.6020000000001</v>
      </c>
      <c r="C2010" s="23">
        <v>305.47000000000003</v>
      </c>
      <c r="D2010" s="23">
        <v>1184.2349999999999</v>
      </c>
      <c r="E2010" s="23">
        <v>1184.2349999999999</v>
      </c>
      <c r="F2010" s="23">
        <v>0</v>
      </c>
      <c r="G2010" s="23">
        <v>0</v>
      </c>
      <c r="H2010" s="23">
        <v>0</v>
      </c>
      <c r="I2010" s="23">
        <v>259.36700000000002</v>
      </c>
      <c r="J2010" s="23">
        <v>0</v>
      </c>
      <c r="K2010" s="23">
        <v>0</v>
      </c>
    </row>
    <row r="2011" spans="1:11" x14ac:dyDescent="0.25">
      <c r="A2011">
        <v>2010</v>
      </c>
      <c r="B2011" s="23">
        <v>1556.4</v>
      </c>
      <c r="C2011" s="23">
        <v>74.489999999999995</v>
      </c>
      <c r="D2011" s="23">
        <v>223.84800000000001</v>
      </c>
      <c r="E2011" s="23">
        <v>223.84800000000001</v>
      </c>
      <c r="F2011" s="23">
        <v>0</v>
      </c>
      <c r="G2011" s="23">
        <v>0</v>
      </c>
      <c r="H2011" s="23">
        <v>0</v>
      </c>
      <c r="I2011" s="23">
        <v>0</v>
      </c>
      <c r="J2011" s="23">
        <v>0</v>
      </c>
      <c r="K2011" s="23">
        <v>1332.5519999999999</v>
      </c>
    </row>
    <row r="2012" spans="1:11" x14ac:dyDescent="0.25">
      <c r="A2012">
        <v>2011</v>
      </c>
      <c r="B2012" s="23">
        <v>1556.11</v>
      </c>
      <c r="C2012" s="23">
        <v>0</v>
      </c>
      <c r="D2012" s="23">
        <v>0</v>
      </c>
      <c r="E2012" s="23">
        <v>0</v>
      </c>
      <c r="F2012" s="23">
        <v>0</v>
      </c>
      <c r="G2012" s="23">
        <v>0</v>
      </c>
      <c r="H2012" s="23">
        <v>0</v>
      </c>
      <c r="I2012" s="23">
        <v>0</v>
      </c>
      <c r="J2012" s="23">
        <v>0</v>
      </c>
      <c r="K2012" s="23">
        <v>1556.11</v>
      </c>
    </row>
    <row r="2013" spans="1:11" x14ac:dyDescent="0.25">
      <c r="A2013">
        <v>2012</v>
      </c>
      <c r="B2013" s="23">
        <v>1073.5999999999999</v>
      </c>
      <c r="C2013" s="23">
        <v>0</v>
      </c>
      <c r="D2013" s="23">
        <v>0</v>
      </c>
      <c r="E2013" s="23">
        <v>0</v>
      </c>
      <c r="F2013" s="23">
        <v>0</v>
      </c>
      <c r="G2013" s="23">
        <v>0</v>
      </c>
      <c r="H2013" s="23">
        <v>0</v>
      </c>
      <c r="I2013" s="23">
        <v>0</v>
      </c>
      <c r="J2013" s="23">
        <v>0</v>
      </c>
      <c r="K2013" s="23">
        <v>1073.5999999999999</v>
      </c>
    </row>
    <row r="2014" spans="1:11" x14ac:dyDescent="0.25">
      <c r="A2014">
        <v>2013</v>
      </c>
      <c r="B2014" s="23">
        <v>1459.2</v>
      </c>
      <c r="C2014" s="23">
        <v>0</v>
      </c>
      <c r="D2014" s="23">
        <v>0</v>
      </c>
      <c r="E2014" s="23">
        <v>0</v>
      </c>
      <c r="F2014" s="23">
        <v>0</v>
      </c>
      <c r="G2014" s="23">
        <v>0</v>
      </c>
      <c r="H2014" s="23">
        <v>0</v>
      </c>
      <c r="I2014" s="23">
        <v>1459.2</v>
      </c>
      <c r="J2014" s="23">
        <v>0</v>
      </c>
      <c r="K2014" s="23">
        <v>0</v>
      </c>
    </row>
    <row r="2015" spans="1:11" x14ac:dyDescent="0.25">
      <c r="A2015">
        <v>2014</v>
      </c>
      <c r="B2015" s="23">
        <v>1785.6</v>
      </c>
      <c r="C2015" s="23">
        <v>0</v>
      </c>
      <c r="D2015" s="23">
        <v>0</v>
      </c>
      <c r="E2015" s="23">
        <v>0</v>
      </c>
      <c r="F2015" s="23">
        <v>0</v>
      </c>
      <c r="G2015" s="23">
        <v>0</v>
      </c>
      <c r="H2015" s="23">
        <v>0</v>
      </c>
      <c r="I2015" s="23">
        <v>1785.6</v>
      </c>
      <c r="J2015" s="23">
        <v>0</v>
      </c>
      <c r="K2015" s="23">
        <v>0</v>
      </c>
    </row>
    <row r="2016" spans="1:11" x14ac:dyDescent="0.25">
      <c r="A2016">
        <v>2015</v>
      </c>
      <c r="B2016" s="23">
        <v>1840</v>
      </c>
      <c r="C2016" s="23">
        <v>0</v>
      </c>
      <c r="D2016" s="23">
        <v>0</v>
      </c>
      <c r="E2016" s="23">
        <v>0</v>
      </c>
      <c r="F2016" s="23">
        <v>0</v>
      </c>
      <c r="G2016" s="23">
        <v>0</v>
      </c>
      <c r="H2016" s="23">
        <v>0</v>
      </c>
      <c r="I2016" s="23">
        <v>1840</v>
      </c>
      <c r="J2016" s="23">
        <v>0</v>
      </c>
      <c r="K2016" s="23">
        <v>0</v>
      </c>
    </row>
    <row r="2017" spans="1:11" x14ac:dyDescent="0.25">
      <c r="A2017">
        <v>2016</v>
      </c>
      <c r="B2017" s="23">
        <v>1543.2</v>
      </c>
      <c r="C2017" s="23">
        <v>0</v>
      </c>
      <c r="D2017" s="23">
        <v>0</v>
      </c>
      <c r="E2017" s="23">
        <v>0</v>
      </c>
      <c r="F2017" s="23">
        <v>0</v>
      </c>
      <c r="G2017" s="23">
        <v>0</v>
      </c>
      <c r="H2017" s="23">
        <v>0</v>
      </c>
      <c r="I2017" s="23">
        <v>1543.2</v>
      </c>
      <c r="J2017" s="23">
        <v>0</v>
      </c>
      <c r="K2017" s="23">
        <v>0</v>
      </c>
    </row>
    <row r="2018" spans="1:11" x14ac:dyDescent="0.25">
      <c r="A2018">
        <v>2017</v>
      </c>
      <c r="B2018" s="23">
        <v>1344.8</v>
      </c>
      <c r="C2018" s="23">
        <v>0</v>
      </c>
      <c r="D2018" s="23">
        <v>0</v>
      </c>
      <c r="E2018" s="23">
        <v>0</v>
      </c>
      <c r="F2018" s="23">
        <v>0</v>
      </c>
      <c r="G2018" s="23">
        <v>0</v>
      </c>
      <c r="H2018" s="23">
        <v>0</v>
      </c>
      <c r="I2018" s="23">
        <v>1344.8</v>
      </c>
      <c r="J2018" s="23">
        <v>0</v>
      </c>
      <c r="K2018" s="23">
        <v>0</v>
      </c>
    </row>
    <row r="2019" spans="1:11" x14ac:dyDescent="0.25">
      <c r="A2019">
        <v>2018</v>
      </c>
      <c r="B2019" s="23">
        <v>1585.6</v>
      </c>
      <c r="C2019" s="23">
        <v>0</v>
      </c>
      <c r="D2019" s="23">
        <v>0</v>
      </c>
      <c r="E2019" s="23">
        <v>0</v>
      </c>
      <c r="F2019" s="23">
        <v>0</v>
      </c>
      <c r="G2019" s="23">
        <v>0</v>
      </c>
      <c r="H2019" s="23">
        <v>0</v>
      </c>
      <c r="I2019" s="23">
        <v>1585.6</v>
      </c>
      <c r="J2019" s="23">
        <v>0</v>
      </c>
      <c r="K2019" s="23">
        <v>0</v>
      </c>
    </row>
    <row r="2020" spans="1:11" x14ac:dyDescent="0.25">
      <c r="A2020">
        <v>2019</v>
      </c>
      <c r="B2020" s="23">
        <v>1395.2</v>
      </c>
      <c r="C2020" s="23">
        <v>0</v>
      </c>
      <c r="D2020" s="23">
        <v>0</v>
      </c>
      <c r="E2020" s="23">
        <v>0</v>
      </c>
      <c r="F2020" s="23">
        <v>0</v>
      </c>
      <c r="G2020" s="23">
        <v>0</v>
      </c>
      <c r="H2020" s="23">
        <v>0</v>
      </c>
      <c r="I2020" s="23">
        <v>1395.2</v>
      </c>
      <c r="J2020" s="23">
        <v>0</v>
      </c>
      <c r="K2020" s="23">
        <v>0</v>
      </c>
    </row>
    <row r="2021" spans="1:11" x14ac:dyDescent="0.25">
      <c r="A2021">
        <v>2020</v>
      </c>
      <c r="B2021" s="23">
        <v>1634.4</v>
      </c>
      <c r="C2021" s="23">
        <v>0</v>
      </c>
      <c r="D2021" s="23">
        <v>0</v>
      </c>
      <c r="E2021" s="23">
        <v>0</v>
      </c>
      <c r="F2021" s="23">
        <v>0</v>
      </c>
      <c r="G2021" s="23">
        <v>0</v>
      </c>
      <c r="H2021" s="23">
        <v>0</v>
      </c>
      <c r="I2021" s="23">
        <v>1634.4</v>
      </c>
      <c r="J2021" s="23">
        <v>0</v>
      </c>
      <c r="K2021" s="23">
        <v>0</v>
      </c>
    </row>
    <row r="2022" spans="1:11" x14ac:dyDescent="0.25">
      <c r="A2022">
        <v>2021</v>
      </c>
      <c r="B2022" s="23">
        <v>1428</v>
      </c>
      <c r="C2022" s="23">
        <v>0</v>
      </c>
      <c r="D2022" s="23">
        <v>0</v>
      </c>
      <c r="E2022" s="23">
        <v>0</v>
      </c>
      <c r="F2022" s="23">
        <v>0</v>
      </c>
      <c r="G2022" s="23">
        <v>0</v>
      </c>
      <c r="H2022" s="23">
        <v>0</v>
      </c>
      <c r="I2022" s="23">
        <v>1428</v>
      </c>
      <c r="J2022" s="23">
        <v>0</v>
      </c>
      <c r="K2022" s="23">
        <v>0</v>
      </c>
    </row>
    <row r="2023" spans="1:11" x14ac:dyDescent="0.25">
      <c r="A2023">
        <v>2022</v>
      </c>
      <c r="B2023" s="23">
        <v>1732.8</v>
      </c>
      <c r="C2023" s="23">
        <v>0</v>
      </c>
      <c r="D2023" s="23">
        <v>0</v>
      </c>
      <c r="E2023" s="23">
        <v>0</v>
      </c>
      <c r="F2023" s="23">
        <v>0</v>
      </c>
      <c r="G2023" s="23">
        <v>0</v>
      </c>
      <c r="H2023" s="23">
        <v>0</v>
      </c>
      <c r="I2023" s="23">
        <v>637.40499999999997</v>
      </c>
      <c r="J2023" s="23">
        <v>0</v>
      </c>
      <c r="K2023" s="23">
        <v>1095.395</v>
      </c>
    </row>
    <row r="2024" spans="1:11" x14ac:dyDescent="0.25">
      <c r="A2024">
        <v>2023</v>
      </c>
      <c r="B2024" s="23">
        <v>1353.6179999999999</v>
      </c>
      <c r="C2024" s="23">
        <v>72.27</v>
      </c>
      <c r="D2024" s="23">
        <v>226.994</v>
      </c>
      <c r="E2024" s="23">
        <v>226.994</v>
      </c>
      <c r="F2024" s="23">
        <v>0</v>
      </c>
      <c r="G2024" s="23">
        <v>0</v>
      </c>
      <c r="H2024" s="23">
        <v>0</v>
      </c>
      <c r="I2024" s="23">
        <v>0</v>
      </c>
      <c r="J2024" s="23">
        <v>0</v>
      </c>
      <c r="K2024" s="23">
        <v>1126.624</v>
      </c>
    </row>
    <row r="2025" spans="1:11" x14ac:dyDescent="0.25">
      <c r="A2025">
        <v>2024</v>
      </c>
      <c r="B2025" s="23">
        <v>1535.856</v>
      </c>
      <c r="C2025" s="23">
        <v>299.43</v>
      </c>
      <c r="D2025" s="23">
        <v>1168.288</v>
      </c>
      <c r="E2025" s="23">
        <v>1168.288</v>
      </c>
      <c r="F2025" s="23">
        <v>0</v>
      </c>
      <c r="G2025" s="23">
        <v>0</v>
      </c>
      <c r="H2025" s="23">
        <v>0</v>
      </c>
      <c r="I2025" s="23">
        <v>0</v>
      </c>
      <c r="J2025" s="23">
        <v>0</v>
      </c>
      <c r="K2025" s="23">
        <v>367.56799999999998</v>
      </c>
    </row>
    <row r="2026" spans="1:11" x14ac:dyDescent="0.25">
      <c r="A2026">
        <v>2025</v>
      </c>
      <c r="B2026" s="23">
        <v>1275.614</v>
      </c>
      <c r="C2026" s="23">
        <v>538.51</v>
      </c>
      <c r="D2026" s="23">
        <v>2108.88</v>
      </c>
      <c r="E2026" s="23">
        <v>1275.614</v>
      </c>
      <c r="F2026" s="23">
        <v>-833.26599999999996</v>
      </c>
      <c r="G2026" s="23">
        <v>0</v>
      </c>
      <c r="H2026" s="23">
        <v>0</v>
      </c>
      <c r="I2026" s="23">
        <v>0</v>
      </c>
      <c r="J2026" s="23">
        <v>0</v>
      </c>
      <c r="K2026" s="23">
        <v>0</v>
      </c>
    </row>
    <row r="2027" spans="1:11" x14ac:dyDescent="0.25">
      <c r="A2027">
        <v>2026</v>
      </c>
      <c r="B2027" s="23">
        <v>1988.3330000000001</v>
      </c>
      <c r="C2027" s="23">
        <v>753.92</v>
      </c>
      <c r="D2027" s="23">
        <v>2850.0529999999999</v>
      </c>
      <c r="E2027" s="23">
        <v>1988.3330000000001</v>
      </c>
      <c r="F2027" s="23">
        <v>-861.72</v>
      </c>
      <c r="G2027" s="23">
        <v>0</v>
      </c>
      <c r="H2027" s="23">
        <v>0</v>
      </c>
      <c r="I2027" s="23">
        <v>0</v>
      </c>
      <c r="J2027" s="23">
        <v>0</v>
      </c>
      <c r="K2027" s="23">
        <v>0</v>
      </c>
    </row>
    <row r="2028" spans="1:11" x14ac:dyDescent="0.25">
      <c r="A2028">
        <v>2027</v>
      </c>
      <c r="B2028" s="23">
        <v>1904.751</v>
      </c>
      <c r="C2028" s="23">
        <v>922.08</v>
      </c>
      <c r="D2028" s="23">
        <v>3388.0259999999998</v>
      </c>
      <c r="E2028" s="23">
        <v>1904.751</v>
      </c>
      <c r="F2028" s="23">
        <v>-1483.2750000000001</v>
      </c>
      <c r="G2028" s="23">
        <v>0</v>
      </c>
      <c r="H2028" s="23">
        <v>0</v>
      </c>
      <c r="I2028" s="23">
        <v>0</v>
      </c>
      <c r="J2028" s="23">
        <v>0</v>
      </c>
      <c r="K2028" s="23">
        <v>0</v>
      </c>
    </row>
    <row r="2029" spans="1:11" x14ac:dyDescent="0.25">
      <c r="A2029">
        <v>2028</v>
      </c>
      <c r="B2029" s="23">
        <v>1672.28</v>
      </c>
      <c r="C2029" s="23">
        <v>997.28</v>
      </c>
      <c r="D2029" s="23">
        <v>3611.5949999999998</v>
      </c>
      <c r="E2029" s="23">
        <v>1672.2809999999999</v>
      </c>
      <c r="F2029" s="23">
        <v>-1684.559</v>
      </c>
      <c r="G2029" s="23">
        <v>0</v>
      </c>
      <c r="H2029" s="23">
        <v>254.755</v>
      </c>
      <c r="I2029" s="23">
        <v>0</v>
      </c>
      <c r="J2029" s="23">
        <v>0</v>
      </c>
      <c r="K2029" s="23">
        <v>0</v>
      </c>
    </row>
    <row r="2030" spans="1:11" x14ac:dyDescent="0.25">
      <c r="A2030">
        <v>2029</v>
      </c>
      <c r="B2030" s="23">
        <v>1859.2840000000001</v>
      </c>
      <c r="C2030" s="23">
        <v>647.48</v>
      </c>
      <c r="D2030" s="23">
        <v>2405.4520000000002</v>
      </c>
      <c r="E2030" s="23">
        <v>1859.2840000000001</v>
      </c>
      <c r="F2030" s="23">
        <v>-546.16800000000001</v>
      </c>
      <c r="G2030" s="23">
        <v>0</v>
      </c>
      <c r="H2030" s="23">
        <v>0</v>
      </c>
      <c r="I2030" s="23">
        <v>0</v>
      </c>
      <c r="J2030" s="23">
        <v>0</v>
      </c>
      <c r="K2030" s="23">
        <v>0</v>
      </c>
    </row>
    <row r="2031" spans="1:11" x14ac:dyDescent="0.25">
      <c r="A2031">
        <v>2030</v>
      </c>
      <c r="B2031" s="23">
        <v>1626.32</v>
      </c>
      <c r="C2031" s="23">
        <v>531.34</v>
      </c>
      <c r="D2031" s="23">
        <v>1995.828</v>
      </c>
      <c r="E2031" s="23">
        <v>1626.32</v>
      </c>
      <c r="F2031" s="23">
        <v>-369.50799999999998</v>
      </c>
      <c r="G2031" s="23">
        <v>0</v>
      </c>
      <c r="H2031" s="23">
        <v>0</v>
      </c>
      <c r="I2031" s="23">
        <v>0</v>
      </c>
      <c r="J2031" s="23">
        <v>0</v>
      </c>
      <c r="K2031" s="23">
        <v>0</v>
      </c>
    </row>
    <row r="2032" spans="1:11" x14ac:dyDescent="0.25">
      <c r="A2032">
        <v>2031</v>
      </c>
      <c r="B2032" s="23">
        <v>1494.9690000000001</v>
      </c>
      <c r="C2032" s="23">
        <v>759.29</v>
      </c>
      <c r="D2032" s="23">
        <v>2896.721</v>
      </c>
      <c r="E2032" s="23">
        <v>1494.9690000000001</v>
      </c>
      <c r="F2032" s="23">
        <v>-1401.752</v>
      </c>
      <c r="G2032" s="23">
        <v>0</v>
      </c>
      <c r="H2032" s="23">
        <v>0</v>
      </c>
      <c r="I2032" s="23">
        <v>0</v>
      </c>
      <c r="J2032" s="23">
        <v>0</v>
      </c>
      <c r="K2032" s="23">
        <v>0</v>
      </c>
    </row>
    <row r="2033" spans="1:11" x14ac:dyDescent="0.25">
      <c r="A2033">
        <v>2032</v>
      </c>
      <c r="B2033" s="23">
        <v>1162.25</v>
      </c>
      <c r="C2033" s="23">
        <v>549.80999999999995</v>
      </c>
      <c r="D2033" s="23">
        <v>2159.9589999999998</v>
      </c>
      <c r="E2033" s="23">
        <v>1162.25</v>
      </c>
      <c r="F2033" s="23">
        <v>-111.251</v>
      </c>
      <c r="G2033" s="23">
        <v>0</v>
      </c>
      <c r="H2033" s="23">
        <v>886.45799999999997</v>
      </c>
      <c r="I2033" s="23">
        <v>0</v>
      </c>
      <c r="J2033" s="23">
        <v>0</v>
      </c>
      <c r="K2033" s="23">
        <v>0</v>
      </c>
    </row>
    <row r="2034" spans="1:11" x14ac:dyDescent="0.25">
      <c r="A2034">
        <v>2033</v>
      </c>
      <c r="B2034" s="23">
        <v>1264.538</v>
      </c>
      <c r="C2034" s="23">
        <v>306.07</v>
      </c>
      <c r="D2034" s="23">
        <v>1184.2560000000001</v>
      </c>
      <c r="E2034" s="23">
        <v>1184.2560000000001</v>
      </c>
      <c r="F2034" s="23">
        <v>0</v>
      </c>
      <c r="G2034" s="23">
        <v>0</v>
      </c>
      <c r="H2034" s="23">
        <v>0</v>
      </c>
      <c r="I2034" s="23">
        <v>80.281999999999996</v>
      </c>
      <c r="J2034" s="23">
        <v>0</v>
      </c>
      <c r="K2034" s="23">
        <v>0</v>
      </c>
    </row>
    <row r="2035" spans="1:11" x14ac:dyDescent="0.25">
      <c r="A2035">
        <v>2034</v>
      </c>
      <c r="B2035" s="23">
        <v>1476.8720000000001</v>
      </c>
      <c r="C2035" s="23">
        <v>75.510000000000005</v>
      </c>
      <c r="D2035" s="23">
        <v>228.518</v>
      </c>
      <c r="E2035" s="23">
        <v>228.518</v>
      </c>
      <c r="F2035" s="23">
        <v>0</v>
      </c>
      <c r="G2035" s="23">
        <v>0</v>
      </c>
      <c r="H2035" s="23">
        <v>0</v>
      </c>
      <c r="I2035" s="23">
        <v>0</v>
      </c>
      <c r="J2035" s="23">
        <v>0</v>
      </c>
      <c r="K2035" s="23">
        <v>1248.354</v>
      </c>
    </row>
    <row r="2036" spans="1:11" x14ac:dyDescent="0.25">
      <c r="A2036">
        <v>2035</v>
      </c>
      <c r="B2036" s="23">
        <v>1536.546</v>
      </c>
      <c r="C2036" s="23">
        <v>0</v>
      </c>
      <c r="D2036" s="23">
        <v>0</v>
      </c>
      <c r="E2036" s="23">
        <v>0</v>
      </c>
      <c r="F2036" s="23">
        <v>0</v>
      </c>
      <c r="G2036" s="23">
        <v>0</v>
      </c>
      <c r="H2036" s="23">
        <v>0</v>
      </c>
      <c r="I2036" s="23">
        <v>0</v>
      </c>
      <c r="J2036" s="23">
        <v>0</v>
      </c>
      <c r="K2036" s="23">
        <v>1536.546</v>
      </c>
    </row>
    <row r="2037" spans="1:11" x14ac:dyDescent="0.25">
      <c r="A2037">
        <v>2036</v>
      </c>
      <c r="B2037" s="23">
        <v>1277.5999999999999</v>
      </c>
      <c r="C2037" s="23">
        <v>0</v>
      </c>
      <c r="D2037" s="23">
        <v>0</v>
      </c>
      <c r="E2037" s="23">
        <v>0</v>
      </c>
      <c r="F2037" s="23">
        <v>0</v>
      </c>
      <c r="G2037" s="23">
        <v>0</v>
      </c>
      <c r="H2037" s="23">
        <v>0</v>
      </c>
      <c r="I2037" s="23">
        <v>0</v>
      </c>
      <c r="J2037" s="23">
        <v>0</v>
      </c>
      <c r="K2037" s="23">
        <v>1277.5999999999999</v>
      </c>
    </row>
    <row r="2038" spans="1:11" x14ac:dyDescent="0.25">
      <c r="A2038">
        <v>2037</v>
      </c>
      <c r="B2038" s="23">
        <v>1460.8</v>
      </c>
      <c r="C2038" s="23">
        <v>0</v>
      </c>
      <c r="D2038" s="23">
        <v>0</v>
      </c>
      <c r="E2038" s="23">
        <v>0</v>
      </c>
      <c r="F2038" s="23">
        <v>0</v>
      </c>
      <c r="G2038" s="23">
        <v>0</v>
      </c>
      <c r="H2038" s="23">
        <v>0</v>
      </c>
      <c r="I2038" s="23">
        <v>1460.8</v>
      </c>
      <c r="J2038" s="23">
        <v>0</v>
      </c>
      <c r="K2038" s="23">
        <v>0</v>
      </c>
    </row>
    <row r="2039" spans="1:11" x14ac:dyDescent="0.25">
      <c r="A2039">
        <v>2038</v>
      </c>
      <c r="B2039" s="23">
        <v>1661.6</v>
      </c>
      <c r="C2039" s="23">
        <v>0</v>
      </c>
      <c r="D2039" s="23">
        <v>0</v>
      </c>
      <c r="E2039" s="23">
        <v>0</v>
      </c>
      <c r="F2039" s="23">
        <v>0</v>
      </c>
      <c r="G2039" s="23">
        <v>0</v>
      </c>
      <c r="H2039" s="23">
        <v>0</v>
      </c>
      <c r="I2039" s="23">
        <v>1661.6</v>
      </c>
      <c r="J2039" s="23">
        <v>0</v>
      </c>
      <c r="K2039" s="23">
        <v>0</v>
      </c>
    </row>
    <row r="2040" spans="1:11" x14ac:dyDescent="0.25">
      <c r="A2040">
        <v>2039</v>
      </c>
      <c r="B2040" s="23">
        <v>1407.2</v>
      </c>
      <c r="C2040" s="23">
        <v>0</v>
      </c>
      <c r="D2040" s="23">
        <v>0</v>
      </c>
      <c r="E2040" s="23">
        <v>0</v>
      </c>
      <c r="F2040" s="23">
        <v>0</v>
      </c>
      <c r="G2040" s="23">
        <v>0</v>
      </c>
      <c r="H2040" s="23">
        <v>0</v>
      </c>
      <c r="I2040" s="23">
        <v>1407.2</v>
      </c>
      <c r="J2040" s="23">
        <v>0</v>
      </c>
      <c r="K2040" s="23">
        <v>0</v>
      </c>
    </row>
    <row r="2041" spans="1:11" x14ac:dyDescent="0.25">
      <c r="A2041">
        <v>2040</v>
      </c>
      <c r="B2041" s="23">
        <v>1428</v>
      </c>
      <c r="C2041" s="23">
        <v>0</v>
      </c>
      <c r="D2041" s="23">
        <v>0</v>
      </c>
      <c r="E2041" s="23">
        <v>0</v>
      </c>
      <c r="F2041" s="23">
        <v>0</v>
      </c>
      <c r="G2041" s="23">
        <v>0</v>
      </c>
      <c r="H2041" s="23">
        <v>0</v>
      </c>
      <c r="I2041" s="23">
        <v>1428</v>
      </c>
      <c r="J2041" s="23">
        <v>0</v>
      </c>
      <c r="K2041" s="23">
        <v>0</v>
      </c>
    </row>
    <row r="2042" spans="1:11" x14ac:dyDescent="0.25">
      <c r="A2042">
        <v>2041</v>
      </c>
      <c r="B2042" s="23">
        <v>1554.4</v>
      </c>
      <c r="C2042" s="23">
        <v>0</v>
      </c>
      <c r="D2042" s="23">
        <v>0</v>
      </c>
      <c r="E2042" s="23">
        <v>0</v>
      </c>
      <c r="F2042" s="23">
        <v>0</v>
      </c>
      <c r="G2042" s="23">
        <v>0</v>
      </c>
      <c r="H2042" s="23">
        <v>0</v>
      </c>
      <c r="I2042" s="23">
        <v>1554.4</v>
      </c>
      <c r="J2042" s="23">
        <v>0</v>
      </c>
      <c r="K2042" s="23">
        <v>0</v>
      </c>
    </row>
    <row r="2043" spans="1:11" x14ac:dyDescent="0.25">
      <c r="A2043">
        <v>2042</v>
      </c>
      <c r="B2043" s="23">
        <v>1313.6</v>
      </c>
      <c r="C2043" s="23">
        <v>0</v>
      </c>
      <c r="D2043" s="23">
        <v>0</v>
      </c>
      <c r="E2043" s="23">
        <v>0</v>
      </c>
      <c r="F2043" s="23">
        <v>0</v>
      </c>
      <c r="G2043" s="23">
        <v>0</v>
      </c>
      <c r="H2043" s="23">
        <v>0</v>
      </c>
      <c r="I2043" s="23">
        <v>1313.6</v>
      </c>
      <c r="J2043" s="23">
        <v>0</v>
      </c>
      <c r="K2043" s="23">
        <v>0</v>
      </c>
    </row>
    <row r="2044" spans="1:11" x14ac:dyDescent="0.25">
      <c r="A2044">
        <v>2043</v>
      </c>
      <c r="B2044" s="23">
        <v>1546.4</v>
      </c>
      <c r="C2044" s="23">
        <v>0</v>
      </c>
      <c r="D2044" s="23">
        <v>0</v>
      </c>
      <c r="E2044" s="23">
        <v>0</v>
      </c>
      <c r="F2044" s="23">
        <v>0</v>
      </c>
      <c r="G2044" s="23">
        <v>0</v>
      </c>
      <c r="H2044" s="23">
        <v>0</v>
      </c>
      <c r="I2044" s="23">
        <v>1546.4</v>
      </c>
      <c r="J2044" s="23">
        <v>0</v>
      </c>
      <c r="K2044" s="23">
        <v>0</v>
      </c>
    </row>
    <row r="2045" spans="1:11" x14ac:dyDescent="0.25">
      <c r="A2045">
        <v>2044</v>
      </c>
      <c r="B2045" s="23">
        <v>1344.8</v>
      </c>
      <c r="C2045" s="23">
        <v>0</v>
      </c>
      <c r="D2045" s="23">
        <v>0</v>
      </c>
      <c r="E2045" s="23">
        <v>0</v>
      </c>
      <c r="F2045" s="23">
        <v>0</v>
      </c>
      <c r="G2045" s="23">
        <v>0</v>
      </c>
      <c r="H2045" s="23">
        <v>0</v>
      </c>
      <c r="I2045" s="23">
        <v>1344.8</v>
      </c>
      <c r="J2045" s="23">
        <v>0</v>
      </c>
      <c r="K2045" s="23">
        <v>0</v>
      </c>
    </row>
    <row r="2046" spans="1:11" x14ac:dyDescent="0.25">
      <c r="A2046">
        <v>2045</v>
      </c>
      <c r="B2046" s="23">
        <v>1362.4</v>
      </c>
      <c r="C2046" s="23">
        <v>0</v>
      </c>
      <c r="D2046" s="23">
        <v>0</v>
      </c>
      <c r="E2046" s="23">
        <v>0</v>
      </c>
      <c r="F2046" s="23">
        <v>0</v>
      </c>
      <c r="G2046" s="23">
        <v>0</v>
      </c>
      <c r="H2046" s="23">
        <v>0</v>
      </c>
      <c r="I2046" s="23">
        <v>1362.4</v>
      </c>
      <c r="J2046" s="23">
        <v>0</v>
      </c>
      <c r="K2046" s="23">
        <v>0</v>
      </c>
    </row>
    <row r="2047" spans="1:11" x14ac:dyDescent="0.25">
      <c r="A2047">
        <v>2046</v>
      </c>
      <c r="B2047" s="23">
        <v>1128.8</v>
      </c>
      <c r="C2047" s="23">
        <v>0</v>
      </c>
      <c r="D2047" s="23">
        <v>0</v>
      </c>
      <c r="E2047" s="23">
        <v>0</v>
      </c>
      <c r="F2047" s="23">
        <v>0</v>
      </c>
      <c r="G2047" s="23">
        <v>0</v>
      </c>
      <c r="H2047" s="23">
        <v>0</v>
      </c>
      <c r="I2047" s="23">
        <v>580.19600000000003</v>
      </c>
      <c r="J2047" s="23">
        <v>0</v>
      </c>
      <c r="K2047" s="23">
        <v>548.60400000000004</v>
      </c>
    </row>
    <row r="2048" spans="1:11" x14ac:dyDescent="0.25">
      <c r="A2048">
        <v>2047</v>
      </c>
      <c r="B2048" s="23">
        <v>1486.4190000000001</v>
      </c>
      <c r="C2048" s="23">
        <v>75.78</v>
      </c>
      <c r="D2048" s="23">
        <v>235.29499999999999</v>
      </c>
      <c r="E2048" s="23">
        <v>235.29499999999999</v>
      </c>
      <c r="F2048" s="23">
        <v>0</v>
      </c>
      <c r="G2048" s="23">
        <v>0</v>
      </c>
      <c r="H2048" s="23">
        <v>0</v>
      </c>
      <c r="I2048" s="23">
        <v>0</v>
      </c>
      <c r="J2048" s="23">
        <v>0</v>
      </c>
      <c r="K2048" s="23">
        <v>1251.124</v>
      </c>
    </row>
    <row r="2049" spans="1:11" x14ac:dyDescent="0.25">
      <c r="A2049">
        <v>2048</v>
      </c>
      <c r="B2049" s="23">
        <v>1323.308</v>
      </c>
      <c r="C2049" s="23">
        <v>187.22</v>
      </c>
      <c r="D2049" s="23">
        <v>720.72199999999998</v>
      </c>
      <c r="E2049" s="23">
        <v>720.72199999999998</v>
      </c>
      <c r="F2049" s="23">
        <v>0</v>
      </c>
      <c r="G2049" s="23">
        <v>0</v>
      </c>
      <c r="H2049" s="23">
        <v>0</v>
      </c>
      <c r="I2049" s="23">
        <v>0</v>
      </c>
      <c r="J2049" s="23">
        <v>0</v>
      </c>
      <c r="K2049" s="23">
        <v>602.58600000000001</v>
      </c>
    </row>
    <row r="2050" spans="1:11" x14ac:dyDescent="0.25">
      <c r="A2050">
        <v>2049</v>
      </c>
      <c r="B2050" s="23">
        <v>1226.9570000000001</v>
      </c>
      <c r="C2050" s="23">
        <v>470.56</v>
      </c>
      <c r="D2050" s="23">
        <v>1824.04</v>
      </c>
      <c r="E2050" s="23">
        <v>1226.9570000000001</v>
      </c>
      <c r="F2050" s="23">
        <v>-597.08299999999997</v>
      </c>
      <c r="G2050" s="23">
        <v>0</v>
      </c>
      <c r="H2050" s="23">
        <v>0</v>
      </c>
      <c r="I2050" s="23">
        <v>0</v>
      </c>
      <c r="J2050" s="23">
        <v>0</v>
      </c>
      <c r="K2050" s="23">
        <v>0</v>
      </c>
    </row>
    <row r="2051" spans="1:11" x14ac:dyDescent="0.25">
      <c r="A2051">
        <v>2050</v>
      </c>
      <c r="B2051" s="23">
        <v>1796.019</v>
      </c>
      <c r="C2051" s="23">
        <v>757.77</v>
      </c>
      <c r="D2051" s="23">
        <v>2820.2570000000001</v>
      </c>
      <c r="E2051" s="23">
        <v>1796.019</v>
      </c>
      <c r="F2051" s="23">
        <v>-1024.2380000000001</v>
      </c>
      <c r="G2051" s="23">
        <v>0</v>
      </c>
      <c r="H2051" s="23">
        <v>0</v>
      </c>
      <c r="I2051" s="23">
        <v>0</v>
      </c>
      <c r="J2051" s="23">
        <v>0</v>
      </c>
      <c r="K2051" s="23">
        <v>0</v>
      </c>
    </row>
    <row r="2052" spans="1:11" x14ac:dyDescent="0.25">
      <c r="A2052">
        <v>2051</v>
      </c>
      <c r="B2052" s="23">
        <v>1668.5409999999999</v>
      </c>
      <c r="C2052" s="23">
        <v>882.73</v>
      </c>
      <c r="D2052" s="23">
        <v>3178.3989999999999</v>
      </c>
      <c r="E2052" s="23">
        <v>1668.5409999999999</v>
      </c>
      <c r="F2052" s="23">
        <v>-1509.8579999999999</v>
      </c>
      <c r="G2052" s="23">
        <v>0</v>
      </c>
      <c r="H2052" s="23">
        <v>0</v>
      </c>
      <c r="I2052" s="23">
        <v>0</v>
      </c>
      <c r="J2052" s="23">
        <v>0</v>
      </c>
      <c r="K2052" s="23">
        <v>0</v>
      </c>
    </row>
    <row r="2053" spans="1:11" x14ac:dyDescent="0.25">
      <c r="A2053">
        <v>2052</v>
      </c>
      <c r="B2053" s="23">
        <v>1931.97</v>
      </c>
      <c r="C2053" s="23">
        <v>963.57</v>
      </c>
      <c r="D2053" s="23">
        <v>3392.1170000000002</v>
      </c>
      <c r="E2053" s="23">
        <v>1931.97</v>
      </c>
      <c r="F2053" s="23">
        <v>-1460.1469999999999</v>
      </c>
      <c r="G2053" s="23">
        <v>0</v>
      </c>
      <c r="H2053" s="23">
        <v>0</v>
      </c>
      <c r="I2053" s="23">
        <v>0</v>
      </c>
      <c r="J2053" s="23">
        <v>0</v>
      </c>
      <c r="K2053" s="23">
        <v>0</v>
      </c>
    </row>
    <row r="2054" spans="1:11" x14ac:dyDescent="0.25">
      <c r="A2054">
        <v>2053</v>
      </c>
      <c r="B2054" s="23">
        <v>1668.96</v>
      </c>
      <c r="C2054" s="23">
        <v>764.32</v>
      </c>
      <c r="D2054" s="23">
        <v>2742.2280000000001</v>
      </c>
      <c r="E2054" s="23">
        <v>1668.96</v>
      </c>
      <c r="F2054" s="23">
        <v>-1073.268</v>
      </c>
      <c r="G2054" s="23">
        <v>0</v>
      </c>
      <c r="H2054" s="23">
        <v>0</v>
      </c>
      <c r="I2054" s="23">
        <v>0</v>
      </c>
      <c r="J2054" s="23">
        <v>0</v>
      </c>
      <c r="K2054" s="23">
        <v>0</v>
      </c>
    </row>
    <row r="2055" spans="1:11" x14ac:dyDescent="0.25">
      <c r="A2055">
        <v>2054</v>
      </c>
      <c r="B2055" s="23">
        <v>1763.69</v>
      </c>
      <c r="C2055" s="23">
        <v>584.26</v>
      </c>
      <c r="D2055" s="23">
        <v>2143.48</v>
      </c>
      <c r="E2055" s="23">
        <v>1763.69</v>
      </c>
      <c r="F2055" s="23">
        <v>-379.79</v>
      </c>
      <c r="G2055" s="23">
        <v>0</v>
      </c>
      <c r="H2055" s="23">
        <v>0</v>
      </c>
      <c r="I2055" s="23">
        <v>0</v>
      </c>
      <c r="J2055" s="23">
        <v>0</v>
      </c>
      <c r="K2055" s="23">
        <v>0</v>
      </c>
    </row>
    <row r="2056" spans="1:11" x14ac:dyDescent="0.25">
      <c r="A2056">
        <v>2055</v>
      </c>
      <c r="B2056" s="23">
        <v>1579.999</v>
      </c>
      <c r="C2056" s="23">
        <v>668.07</v>
      </c>
      <c r="D2056" s="23">
        <v>2495.1860000000001</v>
      </c>
      <c r="E2056" s="23">
        <v>1579.999</v>
      </c>
      <c r="F2056" s="23">
        <v>-915.18700000000001</v>
      </c>
      <c r="G2056" s="23">
        <v>0</v>
      </c>
      <c r="H2056" s="23">
        <v>0</v>
      </c>
      <c r="I2056" s="23">
        <v>0</v>
      </c>
      <c r="J2056" s="23">
        <v>0</v>
      </c>
      <c r="K2056" s="23">
        <v>0</v>
      </c>
    </row>
    <row r="2057" spans="1:11" x14ac:dyDescent="0.25">
      <c r="A2057">
        <v>2056</v>
      </c>
      <c r="B2057" s="23">
        <v>1714.12</v>
      </c>
      <c r="C2057" s="23">
        <v>504.59</v>
      </c>
      <c r="D2057" s="23">
        <v>1949.1859999999999</v>
      </c>
      <c r="E2057" s="23">
        <v>1714.12</v>
      </c>
      <c r="F2057" s="23">
        <v>-235.066</v>
      </c>
      <c r="G2057" s="23">
        <v>0</v>
      </c>
      <c r="H2057" s="23">
        <v>0</v>
      </c>
      <c r="I2057" s="23">
        <v>0</v>
      </c>
      <c r="J2057" s="23">
        <v>0</v>
      </c>
      <c r="K2057" s="23">
        <v>0</v>
      </c>
    </row>
    <row r="2058" spans="1:11" x14ac:dyDescent="0.25">
      <c r="A2058">
        <v>2057</v>
      </c>
      <c r="B2058" s="23">
        <v>1622.297</v>
      </c>
      <c r="C2058" s="23">
        <v>271.08999999999997</v>
      </c>
      <c r="D2058" s="23">
        <v>1046.6759999999999</v>
      </c>
      <c r="E2058" s="23">
        <v>1046.6759999999999</v>
      </c>
      <c r="F2058" s="23">
        <v>0</v>
      </c>
      <c r="G2058" s="23">
        <v>0</v>
      </c>
      <c r="H2058" s="23">
        <v>0</v>
      </c>
      <c r="I2058" s="23">
        <v>575.62099999999998</v>
      </c>
      <c r="J2058" s="23">
        <v>0</v>
      </c>
      <c r="K2058" s="23">
        <v>0</v>
      </c>
    </row>
    <row r="2059" spans="1:11" x14ac:dyDescent="0.25">
      <c r="A2059">
        <v>2058</v>
      </c>
      <c r="B2059" s="23">
        <v>1842.2049999999999</v>
      </c>
      <c r="C2059" s="23">
        <v>54.54</v>
      </c>
      <c r="D2059" s="23">
        <v>167.934</v>
      </c>
      <c r="E2059" s="23">
        <v>167.934</v>
      </c>
      <c r="F2059" s="23">
        <v>0</v>
      </c>
      <c r="G2059" s="23">
        <v>0</v>
      </c>
      <c r="H2059" s="23">
        <v>0</v>
      </c>
      <c r="I2059" s="23">
        <v>0</v>
      </c>
      <c r="J2059" s="23">
        <v>0</v>
      </c>
      <c r="K2059" s="23">
        <v>1674.271</v>
      </c>
    </row>
    <row r="2060" spans="1:11" x14ac:dyDescent="0.25">
      <c r="A2060">
        <v>2059</v>
      </c>
      <c r="B2060" s="23">
        <v>1704.336</v>
      </c>
      <c r="C2060" s="23">
        <v>0</v>
      </c>
      <c r="D2060" s="23">
        <v>0</v>
      </c>
      <c r="E2060" s="23">
        <v>0</v>
      </c>
      <c r="F2060" s="23">
        <v>0</v>
      </c>
      <c r="G2060" s="23">
        <v>0</v>
      </c>
      <c r="H2060" s="23">
        <v>0</v>
      </c>
      <c r="I2060" s="23">
        <v>19.777000000000001</v>
      </c>
      <c r="J2060" s="23">
        <v>0</v>
      </c>
      <c r="K2060" s="23">
        <v>1684.559</v>
      </c>
    </row>
    <row r="2061" spans="1:11" x14ac:dyDescent="0.25">
      <c r="A2061">
        <v>2060</v>
      </c>
      <c r="B2061" s="23">
        <v>1539.2</v>
      </c>
      <c r="C2061" s="23">
        <v>0</v>
      </c>
      <c r="D2061" s="23">
        <v>0</v>
      </c>
      <c r="E2061" s="23">
        <v>0</v>
      </c>
      <c r="F2061" s="23">
        <v>0</v>
      </c>
      <c r="G2061" s="23">
        <v>0</v>
      </c>
      <c r="H2061" s="23">
        <v>0</v>
      </c>
      <c r="I2061" s="23">
        <v>0</v>
      </c>
      <c r="J2061" s="23">
        <v>0</v>
      </c>
      <c r="K2061" s="23">
        <v>1539.2</v>
      </c>
    </row>
    <row r="2062" spans="1:11" x14ac:dyDescent="0.25">
      <c r="A2062">
        <v>2061</v>
      </c>
      <c r="B2062" s="23">
        <v>1760</v>
      </c>
      <c r="C2062" s="23">
        <v>0</v>
      </c>
      <c r="D2062" s="23">
        <v>0</v>
      </c>
      <c r="E2062" s="23">
        <v>0</v>
      </c>
      <c r="F2062" s="23">
        <v>0</v>
      </c>
      <c r="G2062" s="23">
        <v>0</v>
      </c>
      <c r="H2062" s="23">
        <v>0</v>
      </c>
      <c r="I2062" s="23">
        <v>1760</v>
      </c>
      <c r="J2062" s="23">
        <v>0</v>
      </c>
      <c r="K2062" s="23">
        <v>0</v>
      </c>
    </row>
    <row r="2063" spans="1:11" x14ac:dyDescent="0.25">
      <c r="A2063">
        <v>2062</v>
      </c>
      <c r="B2063" s="23">
        <v>1748</v>
      </c>
      <c r="C2063" s="23">
        <v>0</v>
      </c>
      <c r="D2063" s="23">
        <v>0</v>
      </c>
      <c r="E2063" s="23">
        <v>0</v>
      </c>
      <c r="F2063" s="23">
        <v>0</v>
      </c>
      <c r="G2063" s="23">
        <v>0</v>
      </c>
      <c r="H2063" s="23">
        <v>0</v>
      </c>
      <c r="I2063" s="23">
        <v>1748</v>
      </c>
      <c r="J2063" s="23">
        <v>0</v>
      </c>
      <c r="K2063" s="23">
        <v>0</v>
      </c>
    </row>
    <row r="2064" spans="1:11" x14ac:dyDescent="0.25">
      <c r="A2064">
        <v>2063</v>
      </c>
      <c r="B2064" s="23">
        <v>1951.2</v>
      </c>
      <c r="C2064" s="23">
        <v>0</v>
      </c>
      <c r="D2064" s="23">
        <v>0</v>
      </c>
      <c r="E2064" s="23">
        <v>0</v>
      </c>
      <c r="F2064" s="23">
        <v>0</v>
      </c>
      <c r="G2064" s="23">
        <v>0</v>
      </c>
      <c r="H2064" s="23">
        <v>0</v>
      </c>
      <c r="I2064" s="23">
        <v>1951.2</v>
      </c>
      <c r="J2064" s="23">
        <v>0</v>
      </c>
      <c r="K2064" s="23">
        <v>0</v>
      </c>
    </row>
    <row r="2065" spans="1:11" x14ac:dyDescent="0.25">
      <c r="A2065">
        <v>2064</v>
      </c>
      <c r="B2065" s="23">
        <v>1534.4</v>
      </c>
      <c r="C2065" s="23">
        <v>0</v>
      </c>
      <c r="D2065" s="23">
        <v>0</v>
      </c>
      <c r="E2065" s="23">
        <v>0</v>
      </c>
      <c r="F2065" s="23">
        <v>0</v>
      </c>
      <c r="G2065" s="23">
        <v>0</v>
      </c>
      <c r="H2065" s="23">
        <v>0</v>
      </c>
      <c r="I2065" s="23">
        <v>1534.4</v>
      </c>
      <c r="J2065" s="23">
        <v>0</v>
      </c>
      <c r="K2065" s="23">
        <v>0</v>
      </c>
    </row>
    <row r="2066" spans="1:11" x14ac:dyDescent="0.25">
      <c r="A2066">
        <v>2065</v>
      </c>
      <c r="B2066" s="23">
        <v>1479.2</v>
      </c>
      <c r="C2066" s="23">
        <v>0</v>
      </c>
      <c r="D2066" s="23">
        <v>0</v>
      </c>
      <c r="E2066" s="23">
        <v>0</v>
      </c>
      <c r="F2066" s="23">
        <v>0</v>
      </c>
      <c r="G2066" s="23">
        <v>0</v>
      </c>
      <c r="H2066" s="23">
        <v>0</v>
      </c>
      <c r="I2066" s="23">
        <v>1479.2</v>
      </c>
      <c r="J2066" s="23">
        <v>0</v>
      </c>
      <c r="K2066" s="23">
        <v>0</v>
      </c>
    </row>
    <row r="2067" spans="1:11" x14ac:dyDescent="0.25">
      <c r="A2067">
        <v>2066</v>
      </c>
      <c r="B2067" s="23">
        <v>1765.6</v>
      </c>
      <c r="C2067" s="23">
        <v>0</v>
      </c>
      <c r="D2067" s="23">
        <v>0</v>
      </c>
      <c r="E2067" s="23">
        <v>0</v>
      </c>
      <c r="F2067" s="23">
        <v>0</v>
      </c>
      <c r="G2067" s="23">
        <v>0</v>
      </c>
      <c r="H2067" s="23">
        <v>0</v>
      </c>
      <c r="I2067" s="23">
        <v>1765.6</v>
      </c>
      <c r="J2067" s="23">
        <v>0</v>
      </c>
      <c r="K2067" s="23">
        <v>0</v>
      </c>
    </row>
    <row r="2068" spans="1:11" x14ac:dyDescent="0.25">
      <c r="A2068">
        <v>2067</v>
      </c>
      <c r="B2068" s="23">
        <v>1462.4</v>
      </c>
      <c r="C2068" s="23">
        <v>0</v>
      </c>
      <c r="D2068" s="23">
        <v>0</v>
      </c>
      <c r="E2068" s="23">
        <v>0</v>
      </c>
      <c r="F2068" s="23">
        <v>0</v>
      </c>
      <c r="G2068" s="23">
        <v>0</v>
      </c>
      <c r="H2068" s="23">
        <v>0</v>
      </c>
      <c r="I2068" s="23">
        <v>1462.4</v>
      </c>
      <c r="J2068" s="23">
        <v>0</v>
      </c>
      <c r="K2068" s="23">
        <v>0</v>
      </c>
    </row>
    <row r="2069" spans="1:11" x14ac:dyDescent="0.25">
      <c r="A2069">
        <v>2068</v>
      </c>
      <c r="B2069" s="23">
        <v>1915.2</v>
      </c>
      <c r="C2069" s="23">
        <v>0</v>
      </c>
      <c r="D2069" s="23">
        <v>0</v>
      </c>
      <c r="E2069" s="23">
        <v>0</v>
      </c>
      <c r="F2069" s="23">
        <v>0</v>
      </c>
      <c r="G2069" s="23">
        <v>0</v>
      </c>
      <c r="H2069" s="23">
        <v>0</v>
      </c>
      <c r="I2069" s="23">
        <v>1915.2</v>
      </c>
      <c r="J2069" s="23">
        <v>0</v>
      </c>
      <c r="K2069" s="23">
        <v>0</v>
      </c>
    </row>
    <row r="2070" spans="1:11" x14ac:dyDescent="0.25">
      <c r="A2070">
        <v>2069</v>
      </c>
      <c r="B2070" s="23">
        <v>1624.8</v>
      </c>
      <c r="C2070" s="23">
        <v>0</v>
      </c>
      <c r="D2070" s="23">
        <v>0</v>
      </c>
      <c r="E2070" s="23">
        <v>0</v>
      </c>
      <c r="F2070" s="23">
        <v>0</v>
      </c>
      <c r="G2070" s="23">
        <v>0</v>
      </c>
      <c r="H2070" s="23">
        <v>0</v>
      </c>
      <c r="I2070" s="23">
        <v>1624.8</v>
      </c>
      <c r="J2070" s="23">
        <v>0</v>
      </c>
      <c r="K2070" s="23">
        <v>0</v>
      </c>
    </row>
    <row r="2071" spans="1:11" x14ac:dyDescent="0.25">
      <c r="A2071">
        <v>2070</v>
      </c>
      <c r="B2071" s="23">
        <v>1568</v>
      </c>
      <c r="C2071" s="23">
        <v>0</v>
      </c>
      <c r="D2071" s="23">
        <v>0</v>
      </c>
      <c r="E2071" s="23">
        <v>0</v>
      </c>
      <c r="F2071" s="23">
        <v>0</v>
      </c>
      <c r="G2071" s="23">
        <v>0</v>
      </c>
      <c r="H2071" s="23">
        <v>0</v>
      </c>
      <c r="I2071" s="23">
        <v>1525.662</v>
      </c>
      <c r="J2071" s="23">
        <v>0</v>
      </c>
      <c r="K2071" s="23">
        <v>42.338000000000001</v>
      </c>
    </row>
    <row r="2072" spans="1:11" x14ac:dyDescent="0.25">
      <c r="A2072">
        <v>2071</v>
      </c>
      <c r="B2072" s="23">
        <v>1421.665</v>
      </c>
      <c r="C2072" s="23">
        <v>60.78</v>
      </c>
      <c r="D2072" s="23">
        <v>193.267</v>
      </c>
      <c r="E2072" s="23">
        <v>193.267</v>
      </c>
      <c r="F2072" s="23">
        <v>0</v>
      </c>
      <c r="G2072" s="23">
        <v>0</v>
      </c>
      <c r="H2072" s="23">
        <v>0</v>
      </c>
      <c r="I2072" s="23">
        <v>0</v>
      </c>
      <c r="J2072" s="23">
        <v>0</v>
      </c>
      <c r="K2072" s="23">
        <v>1228.3979999999999</v>
      </c>
    </row>
    <row r="2073" spans="1:11" x14ac:dyDescent="0.25">
      <c r="A2073">
        <v>2072</v>
      </c>
      <c r="B2073" s="23">
        <v>1488.271</v>
      </c>
      <c r="C2073" s="23">
        <v>282.88</v>
      </c>
      <c r="D2073" s="23">
        <v>1105.1890000000001</v>
      </c>
      <c r="E2073" s="23">
        <v>1105.1890000000001</v>
      </c>
      <c r="F2073" s="23">
        <v>0</v>
      </c>
      <c r="G2073" s="23">
        <v>0</v>
      </c>
      <c r="H2073" s="23">
        <v>0</v>
      </c>
      <c r="I2073" s="23">
        <v>0</v>
      </c>
      <c r="J2073" s="23">
        <v>0</v>
      </c>
      <c r="K2073" s="23">
        <v>383.08199999999999</v>
      </c>
    </row>
    <row r="2074" spans="1:11" x14ac:dyDescent="0.25">
      <c r="A2074">
        <v>2073</v>
      </c>
      <c r="B2074" s="23">
        <v>1486.4829999999999</v>
      </c>
      <c r="C2074" s="23">
        <v>515.37</v>
      </c>
      <c r="D2074" s="23">
        <v>2001.5509999999999</v>
      </c>
      <c r="E2074" s="23">
        <v>1486.4829999999999</v>
      </c>
      <c r="F2074" s="23">
        <v>-515.06799999999998</v>
      </c>
      <c r="G2074" s="23">
        <v>0</v>
      </c>
      <c r="H2074" s="23">
        <v>0</v>
      </c>
      <c r="I2074" s="23">
        <v>0</v>
      </c>
      <c r="J2074" s="23">
        <v>0</v>
      </c>
      <c r="K2074" s="23">
        <v>0</v>
      </c>
    </row>
    <row r="2075" spans="1:11" x14ac:dyDescent="0.25">
      <c r="A2075">
        <v>2074</v>
      </c>
      <c r="B2075" s="23">
        <v>1803.338</v>
      </c>
      <c r="C2075" s="23">
        <v>724.33</v>
      </c>
      <c r="D2075" s="23">
        <v>2701.4810000000002</v>
      </c>
      <c r="E2075" s="23">
        <v>1803.338</v>
      </c>
      <c r="F2075" s="23">
        <v>-898.14300000000003</v>
      </c>
      <c r="G2075" s="23">
        <v>0</v>
      </c>
      <c r="H2075" s="23">
        <v>0</v>
      </c>
      <c r="I2075" s="23">
        <v>0</v>
      </c>
      <c r="J2075" s="23">
        <v>0</v>
      </c>
      <c r="K2075" s="23">
        <v>0</v>
      </c>
    </row>
    <row r="2076" spans="1:11" x14ac:dyDescent="0.25">
      <c r="A2076">
        <v>2075</v>
      </c>
      <c r="B2076" s="23">
        <v>2033.6279999999999</v>
      </c>
      <c r="C2076" s="23">
        <v>885.45</v>
      </c>
      <c r="D2076" s="23">
        <v>3188.529</v>
      </c>
      <c r="E2076" s="23">
        <v>2033.6279999999999</v>
      </c>
      <c r="F2076" s="23">
        <v>-1154.9010000000001</v>
      </c>
      <c r="G2076" s="23">
        <v>0</v>
      </c>
      <c r="H2076" s="23">
        <v>0</v>
      </c>
      <c r="I2076" s="23">
        <v>0</v>
      </c>
      <c r="J2076" s="23">
        <v>0</v>
      </c>
      <c r="K2076" s="23">
        <v>0</v>
      </c>
    </row>
    <row r="2077" spans="1:11" x14ac:dyDescent="0.25">
      <c r="A2077">
        <v>2076</v>
      </c>
      <c r="B2077" s="23">
        <v>1696.7750000000001</v>
      </c>
      <c r="C2077" s="23">
        <v>878.64</v>
      </c>
      <c r="D2077" s="23">
        <v>3135.2240000000002</v>
      </c>
      <c r="E2077" s="23">
        <v>1696.7750000000001</v>
      </c>
      <c r="F2077" s="23">
        <v>-1438.4490000000001</v>
      </c>
      <c r="G2077" s="23">
        <v>0</v>
      </c>
      <c r="H2077" s="23">
        <v>0</v>
      </c>
      <c r="I2077" s="23">
        <v>0</v>
      </c>
      <c r="J2077" s="23">
        <v>0</v>
      </c>
      <c r="K2077" s="23">
        <v>0</v>
      </c>
    </row>
    <row r="2078" spans="1:11" x14ac:dyDescent="0.25">
      <c r="A2078">
        <v>2077</v>
      </c>
      <c r="B2078" s="23">
        <v>1592.548</v>
      </c>
      <c r="C2078" s="23">
        <v>922.45</v>
      </c>
      <c r="D2078" s="23">
        <v>3285.8939999999998</v>
      </c>
      <c r="E2078" s="23">
        <v>1592.549</v>
      </c>
      <c r="F2078" s="23">
        <v>-1684.559</v>
      </c>
      <c r="G2078" s="23">
        <v>0</v>
      </c>
      <c r="H2078" s="23">
        <v>8.7859999999999996</v>
      </c>
      <c r="I2078" s="23">
        <v>0</v>
      </c>
      <c r="J2078" s="23">
        <v>0</v>
      </c>
      <c r="K2078" s="23">
        <v>0</v>
      </c>
    </row>
    <row r="2079" spans="1:11" x14ac:dyDescent="0.25">
      <c r="A2079">
        <v>2078</v>
      </c>
      <c r="B2079" s="23">
        <v>1457.42</v>
      </c>
      <c r="C2079" s="23">
        <v>709.01</v>
      </c>
      <c r="D2079" s="23">
        <v>2598.5059999999999</v>
      </c>
      <c r="E2079" s="23">
        <v>1457.42</v>
      </c>
      <c r="F2079" s="23">
        <v>-1141.086</v>
      </c>
      <c r="G2079" s="23">
        <v>0</v>
      </c>
      <c r="H2079" s="23">
        <v>0</v>
      </c>
      <c r="I2079" s="23">
        <v>0</v>
      </c>
      <c r="J2079" s="23">
        <v>0</v>
      </c>
      <c r="K2079" s="23">
        <v>0</v>
      </c>
    </row>
    <row r="2080" spans="1:11" x14ac:dyDescent="0.25">
      <c r="A2080">
        <v>2079</v>
      </c>
      <c r="B2080" s="23">
        <v>1641.9880000000001</v>
      </c>
      <c r="C2080" s="23">
        <v>727.04</v>
      </c>
      <c r="D2080" s="23">
        <v>2712.9949999999999</v>
      </c>
      <c r="E2080" s="23">
        <v>1641.9880000000001</v>
      </c>
      <c r="F2080" s="23">
        <v>-459.29199999999997</v>
      </c>
      <c r="G2080" s="23">
        <v>0</v>
      </c>
      <c r="H2080" s="23">
        <v>611.71500000000003</v>
      </c>
      <c r="I2080" s="23">
        <v>0</v>
      </c>
      <c r="J2080" s="23">
        <v>0</v>
      </c>
      <c r="K2080" s="23">
        <v>0</v>
      </c>
    </row>
    <row r="2081" spans="1:11" x14ac:dyDescent="0.25">
      <c r="A2081">
        <v>2080</v>
      </c>
      <c r="B2081" s="23">
        <v>1955.9110000000001</v>
      </c>
      <c r="C2081" s="23">
        <v>521.94000000000005</v>
      </c>
      <c r="D2081" s="23">
        <v>2016.3610000000001</v>
      </c>
      <c r="E2081" s="23">
        <v>1955.9110000000001</v>
      </c>
      <c r="F2081" s="23">
        <v>0</v>
      </c>
      <c r="G2081" s="23">
        <v>0</v>
      </c>
      <c r="H2081" s="23">
        <v>60.45</v>
      </c>
      <c r="I2081" s="23">
        <v>0</v>
      </c>
      <c r="J2081" s="23">
        <v>0</v>
      </c>
      <c r="K2081" s="23">
        <v>0</v>
      </c>
    </row>
    <row r="2082" spans="1:11" x14ac:dyDescent="0.25">
      <c r="A2082">
        <v>2081</v>
      </c>
      <c r="B2082" s="23">
        <v>1702.8409999999999</v>
      </c>
      <c r="C2082" s="23">
        <v>283.66000000000003</v>
      </c>
      <c r="D2082" s="23">
        <v>1088.6790000000001</v>
      </c>
      <c r="E2082" s="23">
        <v>1088.6790000000001</v>
      </c>
      <c r="F2082" s="23">
        <v>0</v>
      </c>
      <c r="G2082" s="23">
        <v>0</v>
      </c>
      <c r="H2082" s="23">
        <v>0</v>
      </c>
      <c r="I2082" s="23">
        <v>614.16200000000003</v>
      </c>
      <c r="J2082" s="23">
        <v>0</v>
      </c>
      <c r="K2082" s="23">
        <v>0</v>
      </c>
    </row>
    <row r="2083" spans="1:11" x14ac:dyDescent="0.25">
      <c r="A2083">
        <v>2082</v>
      </c>
      <c r="B2083" s="23">
        <v>1466.806</v>
      </c>
      <c r="C2083" s="23">
        <v>62.55</v>
      </c>
      <c r="D2083" s="23">
        <v>191.428</v>
      </c>
      <c r="E2083" s="23">
        <v>191.428</v>
      </c>
      <c r="F2083" s="23">
        <v>0</v>
      </c>
      <c r="G2083" s="23">
        <v>0</v>
      </c>
      <c r="H2083" s="23">
        <v>0</v>
      </c>
      <c r="I2083" s="23">
        <v>0</v>
      </c>
      <c r="J2083" s="23">
        <v>0</v>
      </c>
      <c r="K2083" s="23">
        <v>1275.3779999999999</v>
      </c>
    </row>
    <row r="2084" spans="1:11" x14ac:dyDescent="0.25">
      <c r="A2084">
        <v>2083</v>
      </c>
      <c r="B2084" s="23">
        <v>1663.509</v>
      </c>
      <c r="C2084" s="23">
        <v>0</v>
      </c>
      <c r="D2084" s="23">
        <v>0</v>
      </c>
      <c r="E2084" s="23">
        <v>0</v>
      </c>
      <c r="F2084" s="23">
        <v>0</v>
      </c>
      <c r="G2084" s="23">
        <v>0</v>
      </c>
      <c r="H2084" s="23">
        <v>0</v>
      </c>
      <c r="I2084" s="23">
        <v>0</v>
      </c>
      <c r="J2084" s="23">
        <v>0</v>
      </c>
      <c r="K2084" s="23">
        <v>1663.509</v>
      </c>
    </row>
    <row r="2085" spans="1:11" x14ac:dyDescent="0.25">
      <c r="A2085">
        <v>2084</v>
      </c>
      <c r="B2085" s="23">
        <v>1294.4000000000001</v>
      </c>
      <c r="C2085" s="23">
        <v>0</v>
      </c>
      <c r="D2085" s="23">
        <v>0</v>
      </c>
      <c r="E2085" s="23">
        <v>0</v>
      </c>
      <c r="F2085" s="23">
        <v>0</v>
      </c>
      <c r="G2085" s="23">
        <v>0</v>
      </c>
      <c r="H2085" s="23">
        <v>0</v>
      </c>
      <c r="I2085" s="23">
        <v>0</v>
      </c>
      <c r="J2085" s="23">
        <v>0</v>
      </c>
      <c r="K2085" s="23">
        <v>1294.4000000000001</v>
      </c>
    </row>
    <row r="2086" spans="1:11" x14ac:dyDescent="0.25">
      <c r="A2086">
        <v>2085</v>
      </c>
      <c r="B2086" s="23">
        <v>1368</v>
      </c>
      <c r="C2086" s="23">
        <v>0</v>
      </c>
      <c r="D2086" s="23">
        <v>0</v>
      </c>
      <c r="E2086" s="23">
        <v>0</v>
      </c>
      <c r="F2086" s="23">
        <v>0</v>
      </c>
      <c r="G2086" s="23">
        <v>0</v>
      </c>
      <c r="H2086" s="23">
        <v>0</v>
      </c>
      <c r="I2086" s="23">
        <v>1368</v>
      </c>
      <c r="J2086" s="23">
        <v>0</v>
      </c>
      <c r="K2086" s="23">
        <v>0</v>
      </c>
    </row>
    <row r="2087" spans="1:11" x14ac:dyDescent="0.25">
      <c r="A2087">
        <v>2086</v>
      </c>
      <c r="B2087" s="23">
        <v>1146.4000000000001</v>
      </c>
      <c r="C2087" s="23">
        <v>0</v>
      </c>
      <c r="D2087" s="23">
        <v>0</v>
      </c>
      <c r="E2087" s="23">
        <v>0</v>
      </c>
      <c r="F2087" s="23">
        <v>0</v>
      </c>
      <c r="G2087" s="23">
        <v>0</v>
      </c>
      <c r="H2087" s="23">
        <v>0</v>
      </c>
      <c r="I2087" s="23">
        <v>1146.4000000000001</v>
      </c>
      <c r="J2087" s="23">
        <v>0</v>
      </c>
      <c r="K2087" s="23">
        <v>0</v>
      </c>
    </row>
    <row r="2088" spans="1:11" x14ac:dyDescent="0.25">
      <c r="A2088">
        <v>2087</v>
      </c>
      <c r="B2088" s="23">
        <v>1459.2</v>
      </c>
      <c r="C2088" s="23">
        <v>0</v>
      </c>
      <c r="D2088" s="23">
        <v>0</v>
      </c>
      <c r="E2088" s="23">
        <v>0</v>
      </c>
      <c r="F2088" s="23">
        <v>0</v>
      </c>
      <c r="G2088" s="23">
        <v>0</v>
      </c>
      <c r="H2088" s="23">
        <v>0</v>
      </c>
      <c r="I2088" s="23">
        <v>1459.2</v>
      </c>
      <c r="J2088" s="23">
        <v>0</v>
      </c>
      <c r="K2088" s="23">
        <v>0</v>
      </c>
    </row>
    <row r="2089" spans="1:11" x14ac:dyDescent="0.25">
      <c r="A2089">
        <v>2088</v>
      </c>
      <c r="B2089" s="23">
        <v>1268.8</v>
      </c>
      <c r="C2089" s="23">
        <v>0</v>
      </c>
      <c r="D2089" s="23">
        <v>0</v>
      </c>
      <c r="E2089" s="23">
        <v>0</v>
      </c>
      <c r="F2089" s="23">
        <v>0</v>
      </c>
      <c r="G2089" s="23">
        <v>0</v>
      </c>
      <c r="H2089" s="23">
        <v>0</v>
      </c>
      <c r="I2089" s="23">
        <v>1268.8</v>
      </c>
      <c r="J2089" s="23">
        <v>0</v>
      </c>
      <c r="K2089" s="23">
        <v>0</v>
      </c>
    </row>
    <row r="2090" spans="1:11" x14ac:dyDescent="0.25">
      <c r="A2090">
        <v>2089</v>
      </c>
      <c r="B2090" s="23">
        <v>923.2</v>
      </c>
      <c r="C2090" s="23">
        <v>0</v>
      </c>
      <c r="D2090" s="23">
        <v>0</v>
      </c>
      <c r="E2090" s="23">
        <v>0</v>
      </c>
      <c r="F2090" s="23">
        <v>0</v>
      </c>
      <c r="G2090" s="23">
        <v>0</v>
      </c>
      <c r="H2090" s="23">
        <v>0</v>
      </c>
      <c r="I2090" s="23">
        <v>923.2</v>
      </c>
      <c r="J2090" s="23">
        <v>0</v>
      </c>
      <c r="K2090" s="23">
        <v>0</v>
      </c>
    </row>
    <row r="2091" spans="1:11" x14ac:dyDescent="0.25">
      <c r="A2091">
        <v>2090</v>
      </c>
      <c r="B2091" s="23">
        <v>1351.2</v>
      </c>
      <c r="C2091" s="23">
        <v>0</v>
      </c>
      <c r="D2091" s="23">
        <v>0</v>
      </c>
      <c r="E2091" s="23">
        <v>0</v>
      </c>
      <c r="F2091" s="23">
        <v>0</v>
      </c>
      <c r="G2091" s="23">
        <v>0</v>
      </c>
      <c r="H2091" s="23">
        <v>0</v>
      </c>
      <c r="I2091" s="23">
        <v>1351.2</v>
      </c>
      <c r="J2091" s="23">
        <v>0</v>
      </c>
      <c r="K2091" s="23">
        <v>0</v>
      </c>
    </row>
    <row r="2092" spans="1:11" x14ac:dyDescent="0.25">
      <c r="A2092">
        <v>2091</v>
      </c>
      <c r="B2092" s="23">
        <v>1026.4000000000001</v>
      </c>
      <c r="C2092" s="23">
        <v>0</v>
      </c>
      <c r="D2092" s="23">
        <v>0</v>
      </c>
      <c r="E2092" s="23">
        <v>0</v>
      </c>
      <c r="F2092" s="23">
        <v>0</v>
      </c>
      <c r="G2092" s="23">
        <v>0</v>
      </c>
      <c r="H2092" s="23">
        <v>0</v>
      </c>
      <c r="I2092" s="23">
        <v>1026.4000000000001</v>
      </c>
      <c r="J2092" s="23">
        <v>0</v>
      </c>
      <c r="K2092" s="23">
        <v>0</v>
      </c>
    </row>
    <row r="2093" spans="1:11" x14ac:dyDescent="0.25">
      <c r="A2093">
        <v>2092</v>
      </c>
      <c r="B2093" s="23">
        <v>1252.8</v>
      </c>
      <c r="C2093" s="23">
        <v>0</v>
      </c>
      <c r="D2093" s="23">
        <v>0</v>
      </c>
      <c r="E2093" s="23">
        <v>0</v>
      </c>
      <c r="F2093" s="23">
        <v>0</v>
      </c>
      <c r="G2093" s="23">
        <v>0</v>
      </c>
      <c r="H2093" s="23">
        <v>0</v>
      </c>
      <c r="I2093" s="23">
        <v>1252.8</v>
      </c>
      <c r="J2093" s="23">
        <v>0</v>
      </c>
      <c r="K2093" s="23">
        <v>0</v>
      </c>
    </row>
    <row r="2094" spans="1:11" x14ac:dyDescent="0.25">
      <c r="A2094">
        <v>2093</v>
      </c>
      <c r="B2094" s="23">
        <v>1265.5999999999999</v>
      </c>
      <c r="C2094" s="23">
        <v>0</v>
      </c>
      <c r="D2094" s="23">
        <v>0</v>
      </c>
      <c r="E2094" s="23">
        <v>0</v>
      </c>
      <c r="F2094" s="23">
        <v>0</v>
      </c>
      <c r="G2094" s="23">
        <v>0</v>
      </c>
      <c r="H2094" s="23">
        <v>0</v>
      </c>
      <c r="I2094" s="23">
        <v>698.01400000000001</v>
      </c>
      <c r="J2094" s="23">
        <v>0</v>
      </c>
      <c r="K2094" s="23">
        <v>567.58600000000001</v>
      </c>
    </row>
    <row r="2095" spans="1:11" x14ac:dyDescent="0.25">
      <c r="A2095">
        <v>2094</v>
      </c>
      <c r="B2095" s="23">
        <v>918.4</v>
      </c>
      <c r="C2095" s="23">
        <v>0</v>
      </c>
      <c r="D2095" s="23">
        <v>0</v>
      </c>
      <c r="E2095" s="23">
        <v>0</v>
      </c>
      <c r="F2095" s="23">
        <v>0</v>
      </c>
      <c r="G2095" s="23">
        <v>0</v>
      </c>
      <c r="H2095" s="23">
        <v>0</v>
      </c>
      <c r="I2095" s="23">
        <v>0</v>
      </c>
      <c r="J2095" s="23">
        <v>0</v>
      </c>
      <c r="K2095" s="23">
        <v>918.4</v>
      </c>
    </row>
    <row r="2096" spans="1:11" x14ac:dyDescent="0.25">
      <c r="A2096">
        <v>2095</v>
      </c>
      <c r="B2096" s="23">
        <v>1050.829</v>
      </c>
      <c r="C2096" s="23">
        <v>67.97</v>
      </c>
      <c r="D2096" s="23">
        <v>218.25299999999999</v>
      </c>
      <c r="E2096" s="23">
        <v>218.25299999999999</v>
      </c>
      <c r="F2096" s="23">
        <v>0</v>
      </c>
      <c r="G2096" s="23">
        <v>0</v>
      </c>
      <c r="H2096" s="23">
        <v>0</v>
      </c>
      <c r="I2096" s="23">
        <v>0</v>
      </c>
      <c r="J2096" s="23">
        <v>0</v>
      </c>
      <c r="K2096" s="23">
        <v>832.57600000000002</v>
      </c>
    </row>
    <row r="2097" spans="1:11" x14ac:dyDescent="0.25">
      <c r="A2097">
        <v>2096</v>
      </c>
      <c r="B2097" s="23">
        <v>806.02700000000004</v>
      </c>
      <c r="C2097" s="23">
        <v>303.92</v>
      </c>
      <c r="D2097" s="23">
        <v>1185.681</v>
      </c>
      <c r="E2097" s="23">
        <v>806.02700000000004</v>
      </c>
      <c r="F2097" s="23">
        <v>-379.654</v>
      </c>
      <c r="G2097" s="23">
        <v>0</v>
      </c>
      <c r="H2097" s="23">
        <v>0</v>
      </c>
      <c r="I2097" s="23">
        <v>0</v>
      </c>
      <c r="J2097" s="23">
        <v>0</v>
      </c>
      <c r="K2097" s="23">
        <v>0</v>
      </c>
    </row>
    <row r="2098" spans="1:11" x14ac:dyDescent="0.25">
      <c r="A2098">
        <v>2097</v>
      </c>
      <c r="B2098" s="23">
        <v>1095.8219999999999</v>
      </c>
      <c r="C2098" s="23">
        <v>457.81</v>
      </c>
      <c r="D2098" s="23">
        <v>1794.3630000000001</v>
      </c>
      <c r="E2098" s="23">
        <v>1095.8219999999999</v>
      </c>
      <c r="F2098" s="23">
        <v>-698.54100000000005</v>
      </c>
      <c r="G2098" s="23">
        <v>0</v>
      </c>
      <c r="H2098" s="23">
        <v>0</v>
      </c>
      <c r="I2098" s="23">
        <v>0</v>
      </c>
      <c r="J2098" s="23">
        <v>0</v>
      </c>
      <c r="K2098" s="23">
        <v>0</v>
      </c>
    </row>
    <row r="2099" spans="1:11" x14ac:dyDescent="0.25">
      <c r="A2099">
        <v>2098</v>
      </c>
      <c r="B2099" s="23">
        <v>1270.3320000000001</v>
      </c>
      <c r="C2099" s="23">
        <v>776.77</v>
      </c>
      <c r="D2099" s="23">
        <v>2945.32</v>
      </c>
      <c r="E2099" s="23">
        <v>1270.3320000000001</v>
      </c>
      <c r="F2099" s="23">
        <v>-1674.9880000000001</v>
      </c>
      <c r="G2099" s="23">
        <v>0</v>
      </c>
      <c r="H2099" s="23">
        <v>0</v>
      </c>
      <c r="I2099" s="23">
        <v>0</v>
      </c>
      <c r="J2099" s="23">
        <v>0</v>
      </c>
      <c r="K2099" s="23">
        <v>0</v>
      </c>
    </row>
    <row r="2100" spans="1:11" x14ac:dyDescent="0.25">
      <c r="A2100">
        <v>2099</v>
      </c>
      <c r="B2100" s="23">
        <v>1318.43</v>
      </c>
      <c r="C2100" s="23">
        <v>938.77</v>
      </c>
      <c r="D2100" s="23">
        <v>3467.625</v>
      </c>
      <c r="E2100" s="23">
        <v>1318.431</v>
      </c>
      <c r="F2100" s="23">
        <v>-1684.559</v>
      </c>
      <c r="G2100" s="23">
        <v>0</v>
      </c>
      <c r="H2100" s="23">
        <v>464.63499999999999</v>
      </c>
      <c r="I2100" s="23">
        <v>0</v>
      </c>
      <c r="J2100" s="23">
        <v>0</v>
      </c>
      <c r="K2100" s="23">
        <v>0</v>
      </c>
    </row>
    <row r="2101" spans="1:11" x14ac:dyDescent="0.25">
      <c r="A2101">
        <v>2100</v>
      </c>
      <c r="B2101" s="23">
        <v>1137.0519999999999</v>
      </c>
      <c r="C2101" s="23">
        <v>1023.34</v>
      </c>
      <c r="D2101" s="23">
        <v>3730.1280000000002</v>
      </c>
      <c r="E2101" s="23">
        <v>1137.0519999999999</v>
      </c>
      <c r="F2101" s="23">
        <v>-1684.559</v>
      </c>
      <c r="G2101" s="23">
        <v>0</v>
      </c>
      <c r="H2101" s="23">
        <v>908.51700000000005</v>
      </c>
      <c r="I2101" s="23">
        <v>0</v>
      </c>
      <c r="J2101" s="23">
        <v>0</v>
      </c>
      <c r="K2101" s="23">
        <v>0</v>
      </c>
    </row>
    <row r="2102" spans="1:11" x14ac:dyDescent="0.25">
      <c r="A2102">
        <v>2101</v>
      </c>
      <c r="B2102" s="23">
        <v>1338.9079999999999</v>
      </c>
      <c r="C2102" s="23">
        <v>1024.82</v>
      </c>
      <c r="D2102" s="23">
        <v>3745.0419999999999</v>
      </c>
      <c r="E2102" s="23">
        <v>1338.9090000000001</v>
      </c>
      <c r="F2102" s="23">
        <v>-1169.1959999999999</v>
      </c>
      <c r="G2102" s="23">
        <v>0</v>
      </c>
      <c r="H2102" s="23">
        <v>1236.9369999999999</v>
      </c>
      <c r="I2102" s="23">
        <v>0</v>
      </c>
      <c r="J2102" s="23">
        <v>0</v>
      </c>
      <c r="K2102" s="23">
        <v>0</v>
      </c>
    </row>
    <row r="2103" spans="1:11" x14ac:dyDescent="0.25">
      <c r="A2103">
        <v>2102</v>
      </c>
      <c r="B2103" s="23">
        <v>1124.6369999999999</v>
      </c>
      <c r="C2103" s="23">
        <v>933.59</v>
      </c>
      <c r="D2103" s="23">
        <v>3465.8789999999999</v>
      </c>
      <c r="E2103" s="23">
        <v>1124.6369999999999</v>
      </c>
      <c r="F2103" s="23">
        <v>0</v>
      </c>
      <c r="G2103" s="23">
        <v>0</v>
      </c>
      <c r="H2103" s="23">
        <v>2341.2420000000002</v>
      </c>
      <c r="I2103" s="23">
        <v>0</v>
      </c>
      <c r="J2103" s="23">
        <v>0</v>
      </c>
      <c r="K2103" s="23">
        <v>0</v>
      </c>
    </row>
    <row r="2104" spans="1:11" x14ac:dyDescent="0.25">
      <c r="A2104">
        <v>2103</v>
      </c>
      <c r="B2104" s="23">
        <v>1168.0450000000001</v>
      </c>
      <c r="C2104" s="23">
        <v>782.7</v>
      </c>
      <c r="D2104" s="23">
        <v>2980.9789999999998</v>
      </c>
      <c r="E2104" s="23">
        <v>1168.0450000000001</v>
      </c>
      <c r="F2104" s="23">
        <v>0</v>
      </c>
      <c r="G2104" s="23">
        <v>0</v>
      </c>
      <c r="H2104" s="23">
        <v>1812.934</v>
      </c>
      <c r="I2104" s="23">
        <v>0</v>
      </c>
      <c r="J2104" s="23">
        <v>0</v>
      </c>
      <c r="K2104" s="23">
        <v>0</v>
      </c>
    </row>
    <row r="2105" spans="1:11" x14ac:dyDescent="0.25">
      <c r="A2105">
        <v>2104</v>
      </c>
      <c r="B2105" s="23">
        <v>1479.4059999999999</v>
      </c>
      <c r="C2105" s="23">
        <v>568.70000000000005</v>
      </c>
      <c r="D2105" s="23">
        <v>2230.5079999999998</v>
      </c>
      <c r="E2105" s="23">
        <v>1479.4059999999999</v>
      </c>
      <c r="F2105" s="23">
        <v>0</v>
      </c>
      <c r="G2105" s="23">
        <v>0</v>
      </c>
      <c r="H2105" s="23">
        <v>751.10199999999998</v>
      </c>
      <c r="I2105" s="23">
        <v>0</v>
      </c>
      <c r="J2105" s="23">
        <v>0</v>
      </c>
      <c r="K2105" s="23">
        <v>0</v>
      </c>
    </row>
    <row r="2106" spans="1:11" x14ac:dyDescent="0.25">
      <c r="A2106">
        <v>2105</v>
      </c>
      <c r="B2106" s="23">
        <v>1301.431</v>
      </c>
      <c r="C2106" s="23">
        <v>318.95</v>
      </c>
      <c r="D2106" s="23">
        <v>1227.002</v>
      </c>
      <c r="E2106" s="23">
        <v>1227.002</v>
      </c>
      <c r="F2106" s="23">
        <v>0</v>
      </c>
      <c r="G2106" s="23">
        <v>0</v>
      </c>
      <c r="H2106" s="23">
        <v>0</v>
      </c>
      <c r="I2106" s="23">
        <v>74.429000000000002</v>
      </c>
      <c r="J2106" s="23">
        <v>0</v>
      </c>
      <c r="K2106" s="23">
        <v>0</v>
      </c>
    </row>
    <row r="2107" spans="1:11" x14ac:dyDescent="0.25">
      <c r="A2107">
        <v>2106</v>
      </c>
      <c r="B2107" s="23">
        <v>1478.3889999999999</v>
      </c>
      <c r="C2107" s="23">
        <v>78.069999999999993</v>
      </c>
      <c r="D2107" s="23">
        <v>222.422</v>
      </c>
      <c r="E2107" s="23">
        <v>222.422</v>
      </c>
      <c r="F2107" s="23">
        <v>0</v>
      </c>
      <c r="G2107" s="23">
        <v>0</v>
      </c>
      <c r="H2107" s="23">
        <v>0</v>
      </c>
      <c r="I2107" s="23">
        <v>0</v>
      </c>
      <c r="J2107" s="23">
        <v>0</v>
      </c>
      <c r="K2107" s="23">
        <v>1255.9670000000001</v>
      </c>
    </row>
    <row r="2108" spans="1:11" x14ac:dyDescent="0.25">
      <c r="A2108">
        <v>2107</v>
      </c>
      <c r="B2108" s="23">
        <v>1147.3800000000001</v>
      </c>
      <c r="C2108" s="23">
        <v>0</v>
      </c>
      <c r="D2108" s="23">
        <v>0</v>
      </c>
      <c r="E2108" s="23">
        <v>0</v>
      </c>
      <c r="F2108" s="23">
        <v>0</v>
      </c>
      <c r="G2108" s="23">
        <v>0</v>
      </c>
      <c r="H2108" s="23">
        <v>0</v>
      </c>
      <c r="I2108" s="23">
        <v>0</v>
      </c>
      <c r="J2108" s="23">
        <v>0</v>
      </c>
      <c r="K2108" s="23">
        <v>1147.3800000000001</v>
      </c>
    </row>
    <row r="2109" spans="1:11" x14ac:dyDescent="0.25">
      <c r="A2109">
        <v>2108</v>
      </c>
      <c r="B2109" s="23">
        <v>1016</v>
      </c>
      <c r="C2109" s="23">
        <v>0</v>
      </c>
      <c r="D2109" s="23">
        <v>0</v>
      </c>
      <c r="E2109" s="23">
        <v>0</v>
      </c>
      <c r="F2109" s="23">
        <v>0</v>
      </c>
      <c r="G2109" s="23">
        <v>0</v>
      </c>
      <c r="H2109" s="23">
        <v>0</v>
      </c>
      <c r="I2109" s="23">
        <v>0</v>
      </c>
      <c r="J2109" s="23">
        <v>0</v>
      </c>
      <c r="K2109" s="23">
        <v>1016</v>
      </c>
    </row>
    <row r="2110" spans="1:11" x14ac:dyDescent="0.25">
      <c r="A2110">
        <v>2109</v>
      </c>
      <c r="B2110" s="23">
        <v>1436</v>
      </c>
      <c r="C2110" s="23">
        <v>0</v>
      </c>
      <c r="D2110" s="23">
        <v>0</v>
      </c>
      <c r="E2110" s="23">
        <v>0</v>
      </c>
      <c r="F2110" s="23">
        <v>0</v>
      </c>
      <c r="G2110" s="23">
        <v>0</v>
      </c>
      <c r="H2110" s="23">
        <v>0</v>
      </c>
      <c r="I2110" s="23">
        <v>1436</v>
      </c>
      <c r="J2110" s="23">
        <v>0</v>
      </c>
      <c r="K2110" s="23">
        <v>0</v>
      </c>
    </row>
    <row r="2111" spans="1:11" x14ac:dyDescent="0.25">
      <c r="A2111">
        <v>2110</v>
      </c>
      <c r="B2111" s="23">
        <v>1550.4</v>
      </c>
      <c r="C2111" s="23">
        <v>0</v>
      </c>
      <c r="D2111" s="23">
        <v>0</v>
      </c>
      <c r="E2111" s="23">
        <v>0</v>
      </c>
      <c r="F2111" s="23">
        <v>0</v>
      </c>
      <c r="G2111" s="23">
        <v>0</v>
      </c>
      <c r="H2111" s="23">
        <v>0</v>
      </c>
      <c r="I2111" s="23">
        <v>1550.4</v>
      </c>
      <c r="J2111" s="23">
        <v>0</v>
      </c>
      <c r="K2111" s="23">
        <v>0</v>
      </c>
    </row>
    <row r="2112" spans="1:11" x14ac:dyDescent="0.25">
      <c r="A2112">
        <v>2111</v>
      </c>
      <c r="B2112" s="23">
        <v>1441.6</v>
      </c>
      <c r="C2112" s="23">
        <v>0</v>
      </c>
      <c r="D2112" s="23">
        <v>0</v>
      </c>
      <c r="E2112" s="23">
        <v>0</v>
      </c>
      <c r="F2112" s="23">
        <v>0</v>
      </c>
      <c r="G2112" s="23">
        <v>0</v>
      </c>
      <c r="H2112" s="23">
        <v>0</v>
      </c>
      <c r="I2112" s="23">
        <v>1441.6</v>
      </c>
      <c r="J2112" s="23">
        <v>0</v>
      </c>
      <c r="K2112" s="23">
        <v>0</v>
      </c>
    </row>
    <row r="2113" spans="1:11" x14ac:dyDescent="0.25">
      <c r="A2113">
        <v>2112</v>
      </c>
      <c r="B2113" s="23">
        <v>1428</v>
      </c>
      <c r="C2113" s="23">
        <v>0</v>
      </c>
      <c r="D2113" s="23">
        <v>0</v>
      </c>
      <c r="E2113" s="23">
        <v>0</v>
      </c>
      <c r="F2113" s="23">
        <v>0</v>
      </c>
      <c r="G2113" s="23">
        <v>0</v>
      </c>
      <c r="H2113" s="23">
        <v>0</v>
      </c>
      <c r="I2113" s="23">
        <v>1428</v>
      </c>
      <c r="J2113" s="23">
        <v>0</v>
      </c>
      <c r="K2113" s="23">
        <v>0</v>
      </c>
    </row>
    <row r="2114" spans="1:11" x14ac:dyDescent="0.25">
      <c r="A2114">
        <v>2113</v>
      </c>
      <c r="B2114" s="23">
        <v>1300</v>
      </c>
      <c r="C2114" s="23">
        <v>0</v>
      </c>
      <c r="D2114" s="23">
        <v>0</v>
      </c>
      <c r="E2114" s="23">
        <v>0</v>
      </c>
      <c r="F2114" s="23">
        <v>0</v>
      </c>
      <c r="G2114" s="23">
        <v>0</v>
      </c>
      <c r="H2114" s="23">
        <v>0</v>
      </c>
      <c r="I2114" s="23">
        <v>1300</v>
      </c>
      <c r="J2114" s="23">
        <v>0</v>
      </c>
      <c r="K2114" s="23">
        <v>0</v>
      </c>
    </row>
    <row r="2115" spans="1:11" x14ac:dyDescent="0.25">
      <c r="A2115">
        <v>2114</v>
      </c>
      <c r="B2115" s="23">
        <v>1284</v>
      </c>
      <c r="C2115" s="23">
        <v>0</v>
      </c>
      <c r="D2115" s="23">
        <v>0</v>
      </c>
      <c r="E2115" s="23">
        <v>0</v>
      </c>
      <c r="F2115" s="23">
        <v>0</v>
      </c>
      <c r="G2115" s="23">
        <v>0</v>
      </c>
      <c r="H2115" s="23">
        <v>0</v>
      </c>
      <c r="I2115" s="23">
        <v>1284</v>
      </c>
      <c r="J2115" s="23">
        <v>0</v>
      </c>
      <c r="K2115" s="23">
        <v>0</v>
      </c>
    </row>
    <row r="2116" spans="1:11" x14ac:dyDescent="0.25">
      <c r="A2116">
        <v>2115</v>
      </c>
      <c r="B2116" s="23">
        <v>1629.6</v>
      </c>
      <c r="C2116" s="23">
        <v>0</v>
      </c>
      <c r="D2116" s="23">
        <v>0</v>
      </c>
      <c r="E2116" s="23">
        <v>0</v>
      </c>
      <c r="F2116" s="23">
        <v>0</v>
      </c>
      <c r="G2116" s="23">
        <v>0</v>
      </c>
      <c r="H2116" s="23">
        <v>0</v>
      </c>
      <c r="I2116" s="23">
        <v>1629.6</v>
      </c>
      <c r="J2116" s="23">
        <v>0</v>
      </c>
      <c r="K2116" s="23">
        <v>0</v>
      </c>
    </row>
    <row r="2117" spans="1:11" x14ac:dyDescent="0.25">
      <c r="A2117">
        <v>2116</v>
      </c>
      <c r="B2117" s="23">
        <v>1440</v>
      </c>
      <c r="C2117" s="23">
        <v>0</v>
      </c>
      <c r="D2117" s="23">
        <v>0</v>
      </c>
      <c r="E2117" s="23">
        <v>0</v>
      </c>
      <c r="F2117" s="23">
        <v>0</v>
      </c>
      <c r="G2117" s="23">
        <v>0</v>
      </c>
      <c r="H2117" s="23">
        <v>0</v>
      </c>
      <c r="I2117" s="23">
        <v>1440</v>
      </c>
      <c r="J2117" s="23">
        <v>0</v>
      </c>
      <c r="K2117" s="23">
        <v>0</v>
      </c>
    </row>
    <row r="2118" spans="1:11" x14ac:dyDescent="0.25">
      <c r="A2118">
        <v>2117</v>
      </c>
      <c r="B2118" s="23">
        <v>1583.2</v>
      </c>
      <c r="C2118" s="23">
        <v>0</v>
      </c>
      <c r="D2118" s="23">
        <v>0</v>
      </c>
      <c r="E2118" s="23">
        <v>0</v>
      </c>
      <c r="F2118" s="23">
        <v>0</v>
      </c>
      <c r="G2118" s="23">
        <v>0</v>
      </c>
      <c r="H2118" s="23">
        <v>0</v>
      </c>
      <c r="I2118" s="23">
        <v>924.37900000000002</v>
      </c>
      <c r="J2118" s="23">
        <v>0</v>
      </c>
      <c r="K2118" s="23">
        <v>658.82100000000003</v>
      </c>
    </row>
    <row r="2119" spans="1:11" x14ac:dyDescent="0.25">
      <c r="A2119">
        <v>2118</v>
      </c>
      <c r="B2119" s="23">
        <v>1600</v>
      </c>
      <c r="C2119" s="23">
        <v>0</v>
      </c>
      <c r="D2119" s="23">
        <v>0</v>
      </c>
      <c r="E2119" s="23">
        <v>0</v>
      </c>
      <c r="F2119" s="23">
        <v>0</v>
      </c>
      <c r="G2119" s="23">
        <v>0</v>
      </c>
      <c r="H2119" s="23">
        <v>0</v>
      </c>
      <c r="I2119" s="23">
        <v>0</v>
      </c>
      <c r="J2119" s="23">
        <v>0</v>
      </c>
      <c r="K2119" s="23">
        <v>1600</v>
      </c>
    </row>
    <row r="2120" spans="1:11" x14ac:dyDescent="0.25">
      <c r="A2120">
        <v>2119</v>
      </c>
      <c r="B2120" s="23">
        <v>1140.384</v>
      </c>
      <c r="C2120" s="23">
        <v>85.2</v>
      </c>
      <c r="D2120" s="23">
        <v>266.70299999999997</v>
      </c>
      <c r="E2120" s="23">
        <v>266.70299999999997</v>
      </c>
      <c r="F2120" s="23">
        <v>0</v>
      </c>
      <c r="G2120" s="23">
        <v>0</v>
      </c>
      <c r="H2120" s="23">
        <v>0</v>
      </c>
      <c r="I2120" s="23">
        <v>0</v>
      </c>
      <c r="J2120" s="23">
        <v>0</v>
      </c>
      <c r="K2120" s="23">
        <v>873.68100000000004</v>
      </c>
    </row>
    <row r="2121" spans="1:11" x14ac:dyDescent="0.25">
      <c r="A2121">
        <v>2120</v>
      </c>
      <c r="B2121" s="23">
        <v>204.82599999999999</v>
      </c>
      <c r="C2121" s="23">
        <v>321.33999999999997</v>
      </c>
      <c r="D2121" s="23">
        <v>1247.578</v>
      </c>
      <c r="E2121" s="23">
        <v>204.82599999999999</v>
      </c>
      <c r="F2121" s="23">
        <v>-1042.752</v>
      </c>
      <c r="G2121" s="23">
        <v>0</v>
      </c>
      <c r="H2121" s="23">
        <v>0</v>
      </c>
      <c r="I2121" s="23">
        <v>0</v>
      </c>
      <c r="J2121" s="23">
        <v>0</v>
      </c>
      <c r="K2121" s="23">
        <v>0</v>
      </c>
    </row>
    <row r="2122" spans="1:11" x14ac:dyDescent="0.25">
      <c r="A2122">
        <v>2121</v>
      </c>
      <c r="B2122" s="23">
        <v>307.065</v>
      </c>
      <c r="C2122" s="23">
        <v>567.78</v>
      </c>
      <c r="D2122" s="23">
        <v>2209.9789999999998</v>
      </c>
      <c r="E2122" s="23">
        <v>307.065</v>
      </c>
      <c r="F2122" s="23">
        <v>-1684.559</v>
      </c>
      <c r="G2122" s="23">
        <v>0</v>
      </c>
      <c r="H2122" s="23">
        <v>218.35499999999999</v>
      </c>
      <c r="I2122" s="23">
        <v>0</v>
      </c>
      <c r="J2122" s="23">
        <v>0</v>
      </c>
      <c r="K2122" s="23">
        <v>0</v>
      </c>
    </row>
    <row r="2123" spans="1:11" x14ac:dyDescent="0.25">
      <c r="A2123">
        <v>2122</v>
      </c>
      <c r="B2123" s="23">
        <v>313.22199999999998</v>
      </c>
      <c r="C2123" s="23">
        <v>773.7</v>
      </c>
      <c r="D2123" s="23">
        <v>2900.2750000000001</v>
      </c>
      <c r="E2123" s="23">
        <v>313.22300000000001</v>
      </c>
      <c r="F2123" s="23">
        <v>-1684.559</v>
      </c>
      <c r="G2123" s="23">
        <v>0</v>
      </c>
      <c r="H2123" s="23">
        <v>902.49300000000005</v>
      </c>
      <c r="I2123" s="23">
        <v>0</v>
      </c>
      <c r="J2123" s="23">
        <v>0</v>
      </c>
      <c r="K2123" s="23">
        <v>0</v>
      </c>
    </row>
    <row r="2124" spans="1:11" x14ac:dyDescent="0.25">
      <c r="A2124">
        <v>2123</v>
      </c>
      <c r="B2124" s="23">
        <v>355.54700000000003</v>
      </c>
      <c r="C2124" s="23">
        <v>917.13</v>
      </c>
      <c r="D2124" s="23">
        <v>3343.2179999999998</v>
      </c>
      <c r="E2124" s="23">
        <v>355.548</v>
      </c>
      <c r="F2124" s="23">
        <v>-1684.559</v>
      </c>
      <c r="G2124" s="23">
        <v>0</v>
      </c>
      <c r="H2124" s="23">
        <v>1303.1110000000001</v>
      </c>
      <c r="I2124" s="23">
        <v>0</v>
      </c>
      <c r="J2124" s="23">
        <v>0</v>
      </c>
      <c r="K2124" s="23">
        <v>0</v>
      </c>
    </row>
    <row r="2125" spans="1:11" x14ac:dyDescent="0.25">
      <c r="A2125">
        <v>2124</v>
      </c>
      <c r="B2125" s="23">
        <v>311.517</v>
      </c>
      <c r="C2125" s="23">
        <v>997.11</v>
      </c>
      <c r="D2125" s="23">
        <v>3580.9</v>
      </c>
      <c r="E2125" s="23">
        <v>311.517</v>
      </c>
      <c r="F2125" s="23">
        <v>-1195.069</v>
      </c>
      <c r="G2125" s="23">
        <v>0</v>
      </c>
      <c r="H2125" s="23">
        <v>2074.3139999999999</v>
      </c>
      <c r="I2125" s="23">
        <v>0</v>
      </c>
      <c r="J2125" s="23">
        <v>0</v>
      </c>
      <c r="K2125" s="23">
        <v>0</v>
      </c>
    </row>
    <row r="2126" spans="1:11" x14ac:dyDescent="0.25">
      <c r="A2126">
        <v>2125</v>
      </c>
      <c r="B2126" s="23">
        <v>299.71600000000001</v>
      </c>
      <c r="C2126" s="23">
        <v>668.68</v>
      </c>
      <c r="D2126" s="23">
        <v>2452.1190000000001</v>
      </c>
      <c r="E2126" s="23">
        <v>299.71600000000001</v>
      </c>
      <c r="F2126" s="23">
        <v>0</v>
      </c>
      <c r="G2126" s="23">
        <v>0</v>
      </c>
      <c r="H2126" s="23">
        <v>2152.4029999999998</v>
      </c>
      <c r="I2126" s="23">
        <v>0</v>
      </c>
      <c r="J2126" s="23">
        <v>0</v>
      </c>
      <c r="K2126" s="23">
        <v>0</v>
      </c>
    </row>
    <row r="2127" spans="1:11" x14ac:dyDescent="0.25">
      <c r="A2127">
        <v>2126</v>
      </c>
      <c r="B2127" s="23">
        <v>315.351</v>
      </c>
      <c r="C2127" s="23">
        <v>915.01</v>
      </c>
      <c r="D2127" s="23">
        <v>3340.9349999999999</v>
      </c>
      <c r="E2127" s="23">
        <v>315.351</v>
      </c>
      <c r="F2127" s="23">
        <v>0</v>
      </c>
      <c r="G2127" s="23">
        <v>0</v>
      </c>
      <c r="H2127" s="23">
        <v>3025.5839999999998</v>
      </c>
      <c r="I2127" s="23">
        <v>0</v>
      </c>
      <c r="J2127" s="23">
        <v>0</v>
      </c>
      <c r="K2127" s="23">
        <v>0</v>
      </c>
    </row>
    <row r="2128" spans="1:11" x14ac:dyDescent="0.25">
      <c r="A2128">
        <v>2127</v>
      </c>
      <c r="B2128" s="23">
        <v>283.37900000000002</v>
      </c>
      <c r="C2128" s="23">
        <v>761.48</v>
      </c>
      <c r="D2128" s="23">
        <v>2857.74</v>
      </c>
      <c r="E2128" s="23">
        <v>283.37900000000002</v>
      </c>
      <c r="F2128" s="23">
        <v>0</v>
      </c>
      <c r="G2128" s="23">
        <v>0</v>
      </c>
      <c r="H2128" s="23">
        <v>2574.3609999999999</v>
      </c>
      <c r="I2128" s="23">
        <v>0</v>
      </c>
      <c r="J2128" s="23">
        <v>0</v>
      </c>
      <c r="K2128" s="23">
        <v>0</v>
      </c>
    </row>
    <row r="2129" spans="1:11" x14ac:dyDescent="0.25">
      <c r="A2129">
        <v>2128</v>
      </c>
      <c r="B2129" s="23">
        <v>230.684</v>
      </c>
      <c r="C2129" s="23">
        <v>549.51</v>
      </c>
      <c r="D2129" s="23">
        <v>2127.337</v>
      </c>
      <c r="E2129" s="23">
        <v>230.684</v>
      </c>
      <c r="F2129" s="23">
        <v>0</v>
      </c>
      <c r="G2129" s="23">
        <v>0</v>
      </c>
      <c r="H2129" s="23">
        <v>1896.653</v>
      </c>
      <c r="I2129" s="23">
        <v>0</v>
      </c>
      <c r="J2129" s="23">
        <v>0</v>
      </c>
      <c r="K2129" s="23">
        <v>0</v>
      </c>
    </row>
    <row r="2130" spans="1:11" x14ac:dyDescent="0.25">
      <c r="A2130">
        <v>2129</v>
      </c>
      <c r="B2130" s="23">
        <v>250.68299999999999</v>
      </c>
      <c r="C2130" s="23">
        <v>304.05</v>
      </c>
      <c r="D2130" s="23">
        <v>1158.6179999999999</v>
      </c>
      <c r="E2130" s="23">
        <v>250.68299999999999</v>
      </c>
      <c r="F2130" s="23">
        <v>0</v>
      </c>
      <c r="G2130" s="23">
        <v>0</v>
      </c>
      <c r="H2130" s="23">
        <v>907.93499999999995</v>
      </c>
      <c r="I2130" s="23">
        <v>0</v>
      </c>
      <c r="J2130" s="23">
        <v>0</v>
      </c>
      <c r="K2130" s="23">
        <v>0</v>
      </c>
    </row>
    <row r="2131" spans="1:11" x14ac:dyDescent="0.25">
      <c r="A2131">
        <v>2130</v>
      </c>
      <c r="B2131" s="23">
        <v>298.51799999999997</v>
      </c>
      <c r="C2131" s="23">
        <v>72.87</v>
      </c>
      <c r="D2131" s="23">
        <v>212.11600000000001</v>
      </c>
      <c r="E2131" s="23">
        <v>212.11600000000001</v>
      </c>
      <c r="F2131" s="23">
        <v>0</v>
      </c>
      <c r="G2131" s="23">
        <v>0</v>
      </c>
      <c r="H2131" s="23">
        <v>0</v>
      </c>
      <c r="I2131" s="23">
        <v>0</v>
      </c>
      <c r="J2131" s="23">
        <v>0</v>
      </c>
      <c r="K2131" s="23">
        <v>86.402000000000001</v>
      </c>
    </row>
    <row r="2132" spans="1:11" x14ac:dyDescent="0.25">
      <c r="A2132">
        <v>2131</v>
      </c>
      <c r="B2132" s="23">
        <v>256.16500000000002</v>
      </c>
      <c r="C2132" s="23">
        <v>0</v>
      </c>
      <c r="D2132" s="23">
        <v>0</v>
      </c>
      <c r="E2132" s="23">
        <v>0</v>
      </c>
      <c r="F2132" s="23">
        <v>0</v>
      </c>
      <c r="G2132" s="23">
        <v>0</v>
      </c>
      <c r="H2132" s="23">
        <v>0</v>
      </c>
      <c r="I2132" s="23">
        <v>0</v>
      </c>
      <c r="J2132" s="23">
        <v>0</v>
      </c>
      <c r="K2132" s="23">
        <v>256.16500000000002</v>
      </c>
    </row>
    <row r="2133" spans="1:11" x14ac:dyDescent="0.25">
      <c r="A2133">
        <v>2132</v>
      </c>
      <c r="B2133" s="23">
        <v>318.39999999999998</v>
      </c>
      <c r="C2133" s="23">
        <v>0</v>
      </c>
      <c r="D2133" s="23">
        <v>0</v>
      </c>
      <c r="E2133" s="23">
        <v>0</v>
      </c>
      <c r="F2133" s="23">
        <v>0</v>
      </c>
      <c r="G2133" s="23">
        <v>0</v>
      </c>
      <c r="H2133" s="23">
        <v>0</v>
      </c>
      <c r="I2133" s="23">
        <v>0</v>
      </c>
      <c r="J2133" s="23">
        <v>0</v>
      </c>
      <c r="K2133" s="23">
        <v>318.39999999999998</v>
      </c>
    </row>
    <row r="2134" spans="1:11" x14ac:dyDescent="0.25">
      <c r="A2134">
        <v>2133</v>
      </c>
      <c r="B2134" s="23">
        <v>298.39999999999998</v>
      </c>
      <c r="C2134" s="23">
        <v>0</v>
      </c>
      <c r="D2134" s="23">
        <v>0</v>
      </c>
      <c r="E2134" s="23">
        <v>0</v>
      </c>
      <c r="F2134" s="23">
        <v>0</v>
      </c>
      <c r="G2134" s="23">
        <v>0</v>
      </c>
      <c r="H2134" s="23">
        <v>0</v>
      </c>
      <c r="I2134" s="23">
        <v>0</v>
      </c>
      <c r="J2134" s="23">
        <v>0</v>
      </c>
      <c r="K2134" s="23">
        <v>298.39999999999998</v>
      </c>
    </row>
    <row r="2135" spans="1:11" x14ac:dyDescent="0.25">
      <c r="A2135">
        <v>2134</v>
      </c>
      <c r="B2135" s="23">
        <v>237.6</v>
      </c>
      <c r="C2135" s="23">
        <v>0</v>
      </c>
      <c r="D2135" s="23">
        <v>0</v>
      </c>
      <c r="E2135" s="23">
        <v>0</v>
      </c>
      <c r="F2135" s="23">
        <v>0</v>
      </c>
      <c r="G2135" s="23">
        <v>0</v>
      </c>
      <c r="H2135" s="23">
        <v>0</v>
      </c>
      <c r="I2135" s="23">
        <v>0</v>
      </c>
      <c r="J2135" s="23">
        <v>0</v>
      </c>
      <c r="K2135" s="23">
        <v>237.6</v>
      </c>
    </row>
    <row r="2136" spans="1:11" x14ac:dyDescent="0.25">
      <c r="A2136">
        <v>2135</v>
      </c>
      <c r="B2136" s="23">
        <v>305.60000000000002</v>
      </c>
      <c r="C2136" s="23">
        <v>0</v>
      </c>
      <c r="D2136" s="23">
        <v>0</v>
      </c>
      <c r="E2136" s="23">
        <v>0</v>
      </c>
      <c r="F2136" s="23">
        <v>0</v>
      </c>
      <c r="G2136" s="23">
        <v>0</v>
      </c>
      <c r="H2136" s="23">
        <v>0</v>
      </c>
      <c r="I2136" s="23">
        <v>0</v>
      </c>
      <c r="J2136" s="23">
        <v>0</v>
      </c>
      <c r="K2136" s="23">
        <v>305.60000000000002</v>
      </c>
    </row>
    <row r="2137" spans="1:11" x14ac:dyDescent="0.25">
      <c r="A2137">
        <v>2136</v>
      </c>
      <c r="B2137" s="23">
        <v>168</v>
      </c>
      <c r="C2137" s="23">
        <v>0</v>
      </c>
      <c r="D2137" s="23">
        <v>0</v>
      </c>
      <c r="E2137" s="23">
        <v>0</v>
      </c>
      <c r="F2137" s="23">
        <v>0</v>
      </c>
      <c r="G2137" s="23">
        <v>0</v>
      </c>
      <c r="H2137" s="23">
        <v>0</v>
      </c>
      <c r="I2137" s="23">
        <v>0</v>
      </c>
      <c r="J2137" s="23">
        <v>0</v>
      </c>
      <c r="K2137" s="23">
        <v>168</v>
      </c>
    </row>
    <row r="2138" spans="1:11" x14ac:dyDescent="0.25">
      <c r="A2138">
        <v>2137</v>
      </c>
      <c r="B2138" s="23">
        <v>228.8</v>
      </c>
      <c r="C2138" s="23">
        <v>0</v>
      </c>
      <c r="D2138" s="23">
        <v>0</v>
      </c>
      <c r="E2138" s="23">
        <v>0</v>
      </c>
      <c r="F2138" s="23">
        <v>0</v>
      </c>
      <c r="G2138" s="23">
        <v>0</v>
      </c>
      <c r="H2138" s="23">
        <v>0</v>
      </c>
      <c r="I2138" s="23">
        <v>0</v>
      </c>
      <c r="J2138" s="23">
        <v>0</v>
      </c>
      <c r="K2138" s="23">
        <v>228.8</v>
      </c>
    </row>
    <row r="2139" spans="1:11" x14ac:dyDescent="0.25">
      <c r="A2139">
        <v>2138</v>
      </c>
      <c r="B2139" s="23">
        <v>226.4</v>
      </c>
      <c r="C2139" s="23">
        <v>0</v>
      </c>
      <c r="D2139" s="23">
        <v>0</v>
      </c>
      <c r="E2139" s="23">
        <v>0</v>
      </c>
      <c r="F2139" s="23">
        <v>0</v>
      </c>
      <c r="G2139" s="23">
        <v>0</v>
      </c>
      <c r="H2139" s="23">
        <v>0</v>
      </c>
      <c r="I2139" s="23">
        <v>0</v>
      </c>
      <c r="J2139" s="23">
        <v>0</v>
      </c>
      <c r="K2139" s="23">
        <v>226.4</v>
      </c>
    </row>
    <row r="2140" spans="1:11" x14ac:dyDescent="0.25">
      <c r="A2140">
        <v>2139</v>
      </c>
      <c r="B2140" s="23">
        <v>221.6</v>
      </c>
      <c r="C2140" s="23">
        <v>0</v>
      </c>
      <c r="D2140" s="23">
        <v>0</v>
      </c>
      <c r="E2140" s="23">
        <v>0</v>
      </c>
      <c r="F2140" s="23">
        <v>0</v>
      </c>
      <c r="G2140" s="23">
        <v>0</v>
      </c>
      <c r="H2140" s="23">
        <v>0</v>
      </c>
      <c r="I2140" s="23">
        <v>0</v>
      </c>
      <c r="J2140" s="23">
        <v>0</v>
      </c>
      <c r="K2140" s="23">
        <v>221.6</v>
      </c>
    </row>
    <row r="2141" spans="1:11" x14ac:dyDescent="0.25">
      <c r="A2141">
        <v>2140</v>
      </c>
      <c r="B2141" s="23">
        <v>135.19999999999999</v>
      </c>
      <c r="C2141" s="23">
        <v>0</v>
      </c>
      <c r="D2141" s="23">
        <v>0</v>
      </c>
      <c r="E2141" s="23">
        <v>0</v>
      </c>
      <c r="F2141" s="23">
        <v>0</v>
      </c>
      <c r="G2141" s="23">
        <v>0</v>
      </c>
      <c r="H2141" s="23">
        <v>0</v>
      </c>
      <c r="I2141" s="23">
        <v>0</v>
      </c>
      <c r="J2141" s="23">
        <v>0</v>
      </c>
      <c r="K2141" s="23">
        <v>135.19999999999999</v>
      </c>
    </row>
    <row r="2142" spans="1:11" x14ac:dyDescent="0.25">
      <c r="A2142">
        <v>2141</v>
      </c>
      <c r="B2142" s="23">
        <v>148.80000000000001</v>
      </c>
      <c r="C2142" s="23">
        <v>0</v>
      </c>
      <c r="D2142" s="23">
        <v>0</v>
      </c>
      <c r="E2142" s="23">
        <v>0</v>
      </c>
      <c r="F2142" s="23">
        <v>0</v>
      </c>
      <c r="G2142" s="23">
        <v>0</v>
      </c>
      <c r="H2142" s="23">
        <v>0</v>
      </c>
      <c r="I2142" s="23">
        <v>0</v>
      </c>
      <c r="J2142" s="23">
        <v>0</v>
      </c>
      <c r="K2142" s="23">
        <v>148.80000000000001</v>
      </c>
    </row>
    <row r="2143" spans="1:11" x14ac:dyDescent="0.25">
      <c r="A2143">
        <v>2142</v>
      </c>
      <c r="B2143" s="23">
        <v>203.2</v>
      </c>
      <c r="C2143" s="23">
        <v>0</v>
      </c>
      <c r="D2143" s="23">
        <v>0</v>
      </c>
      <c r="E2143" s="23">
        <v>0</v>
      </c>
      <c r="F2143" s="23">
        <v>0</v>
      </c>
      <c r="G2143" s="23">
        <v>0</v>
      </c>
      <c r="H2143" s="23">
        <v>0</v>
      </c>
      <c r="I2143" s="23">
        <v>0</v>
      </c>
      <c r="J2143" s="23">
        <v>0</v>
      </c>
      <c r="K2143" s="23">
        <v>203.2</v>
      </c>
    </row>
    <row r="2144" spans="1:11" x14ac:dyDescent="0.25">
      <c r="A2144">
        <v>2143</v>
      </c>
      <c r="B2144" s="23">
        <v>139.94800000000001</v>
      </c>
      <c r="C2144" s="23">
        <v>84.65</v>
      </c>
      <c r="D2144" s="23">
        <v>269.96800000000002</v>
      </c>
      <c r="E2144" s="23">
        <v>139.94800000000001</v>
      </c>
      <c r="F2144" s="23">
        <v>-130.02000000000001</v>
      </c>
      <c r="G2144" s="23">
        <v>0</v>
      </c>
      <c r="H2144" s="23">
        <v>0</v>
      </c>
      <c r="I2144" s="23">
        <v>0</v>
      </c>
      <c r="J2144" s="23">
        <v>0</v>
      </c>
      <c r="K2144" s="23">
        <v>0</v>
      </c>
    </row>
    <row r="2145" spans="1:11" x14ac:dyDescent="0.25">
      <c r="A2145">
        <v>2144</v>
      </c>
      <c r="B2145" s="23">
        <v>168.345</v>
      </c>
      <c r="C2145" s="23">
        <v>315.70999999999998</v>
      </c>
      <c r="D2145" s="23">
        <v>1219.6769999999999</v>
      </c>
      <c r="E2145" s="23">
        <v>168.345</v>
      </c>
      <c r="F2145" s="23">
        <v>-1051.3320000000001</v>
      </c>
      <c r="G2145" s="23">
        <v>0</v>
      </c>
      <c r="H2145" s="23">
        <v>0</v>
      </c>
      <c r="I2145" s="23">
        <v>0</v>
      </c>
      <c r="J2145" s="23">
        <v>0</v>
      </c>
      <c r="K2145" s="23">
        <v>0</v>
      </c>
    </row>
    <row r="2146" spans="1:11" x14ac:dyDescent="0.25">
      <c r="A2146">
        <v>2145</v>
      </c>
      <c r="B2146" s="23">
        <v>999.18799999999999</v>
      </c>
      <c r="C2146" s="23">
        <v>559.15</v>
      </c>
      <c r="D2146" s="23">
        <v>2149.1419999999998</v>
      </c>
      <c r="E2146" s="23">
        <v>999.18799999999999</v>
      </c>
      <c r="F2146" s="23">
        <v>-1149.954</v>
      </c>
      <c r="G2146" s="23">
        <v>0</v>
      </c>
      <c r="H2146" s="23">
        <v>0</v>
      </c>
      <c r="I2146" s="23">
        <v>0</v>
      </c>
      <c r="J2146" s="23">
        <v>0</v>
      </c>
      <c r="K2146" s="23">
        <v>0</v>
      </c>
    </row>
    <row r="2147" spans="1:11" x14ac:dyDescent="0.25">
      <c r="A2147">
        <v>2146</v>
      </c>
      <c r="B2147" s="23">
        <v>1188.2180000000001</v>
      </c>
      <c r="C2147" s="23">
        <v>687.78</v>
      </c>
      <c r="D2147" s="23">
        <v>2556.0390000000002</v>
      </c>
      <c r="E2147" s="23">
        <v>1188.2190000000001</v>
      </c>
      <c r="F2147" s="23">
        <v>-823.25900000000001</v>
      </c>
      <c r="G2147" s="23">
        <v>0</v>
      </c>
      <c r="H2147" s="23">
        <v>544.56100000000004</v>
      </c>
      <c r="I2147" s="23">
        <v>0</v>
      </c>
      <c r="J2147" s="23">
        <v>0</v>
      </c>
      <c r="K2147" s="23">
        <v>0</v>
      </c>
    </row>
    <row r="2148" spans="1:11" x14ac:dyDescent="0.25">
      <c r="A2148">
        <v>2147</v>
      </c>
      <c r="B2148" s="23">
        <v>1369.7570000000001</v>
      </c>
      <c r="C2148" s="23">
        <v>525.42999999999995</v>
      </c>
      <c r="D2148" s="23">
        <v>1934.4739999999999</v>
      </c>
      <c r="E2148" s="23">
        <v>1369.7570000000001</v>
      </c>
      <c r="F2148" s="23">
        <v>0</v>
      </c>
      <c r="G2148" s="23">
        <v>0</v>
      </c>
      <c r="H2148" s="23">
        <v>564.71699999999998</v>
      </c>
      <c r="I2148" s="23">
        <v>0</v>
      </c>
      <c r="J2148" s="23">
        <v>0</v>
      </c>
      <c r="K2148" s="23">
        <v>0</v>
      </c>
    </row>
    <row r="2149" spans="1:11" x14ac:dyDescent="0.25">
      <c r="A2149">
        <v>2148</v>
      </c>
      <c r="B2149" s="23">
        <v>1382.2639999999999</v>
      </c>
      <c r="C2149" s="23">
        <v>599.82000000000005</v>
      </c>
      <c r="D2149" s="23">
        <v>2179.346</v>
      </c>
      <c r="E2149" s="23">
        <v>1382.2639999999999</v>
      </c>
      <c r="F2149" s="23">
        <v>0</v>
      </c>
      <c r="G2149" s="23">
        <v>0</v>
      </c>
      <c r="H2149" s="23">
        <v>797.08199999999999</v>
      </c>
      <c r="I2149" s="23">
        <v>0</v>
      </c>
      <c r="J2149" s="23">
        <v>0</v>
      </c>
      <c r="K2149" s="23">
        <v>0</v>
      </c>
    </row>
    <row r="2150" spans="1:11" x14ac:dyDescent="0.25">
      <c r="A2150">
        <v>2149</v>
      </c>
      <c r="B2150" s="23">
        <v>1401.9449999999999</v>
      </c>
      <c r="C2150" s="23">
        <v>780.61</v>
      </c>
      <c r="D2150" s="23">
        <v>2804.6559999999999</v>
      </c>
      <c r="E2150" s="23">
        <v>1401.9449999999999</v>
      </c>
      <c r="F2150" s="23">
        <v>0</v>
      </c>
      <c r="G2150" s="23">
        <v>0</v>
      </c>
      <c r="H2150" s="23">
        <v>1402.711</v>
      </c>
      <c r="I2150" s="23">
        <v>0</v>
      </c>
      <c r="J2150" s="23">
        <v>0</v>
      </c>
      <c r="K2150" s="23">
        <v>0</v>
      </c>
    </row>
    <row r="2151" spans="1:11" x14ac:dyDescent="0.25">
      <c r="A2151">
        <v>2150</v>
      </c>
      <c r="B2151" s="23">
        <v>1395.96</v>
      </c>
      <c r="C2151" s="23">
        <v>638.1</v>
      </c>
      <c r="D2151" s="23">
        <v>2330.8789999999999</v>
      </c>
      <c r="E2151" s="23">
        <v>1395.96</v>
      </c>
      <c r="F2151" s="23">
        <v>0</v>
      </c>
      <c r="G2151" s="23">
        <v>0</v>
      </c>
      <c r="H2151" s="23">
        <v>934.91899999999998</v>
      </c>
      <c r="I2151" s="23">
        <v>0</v>
      </c>
      <c r="J2151" s="23">
        <v>0</v>
      </c>
      <c r="K2151" s="23">
        <v>0</v>
      </c>
    </row>
    <row r="2152" spans="1:11" x14ac:dyDescent="0.25">
      <c r="A2152">
        <v>2151</v>
      </c>
      <c r="B2152" s="23">
        <v>1436.28</v>
      </c>
      <c r="C2152" s="23">
        <v>550.67999999999995</v>
      </c>
      <c r="D2152" s="23">
        <v>2059.232</v>
      </c>
      <c r="E2152" s="23">
        <v>1436.28</v>
      </c>
      <c r="F2152" s="23">
        <v>0</v>
      </c>
      <c r="G2152" s="23">
        <v>0</v>
      </c>
      <c r="H2152" s="23">
        <v>622.952</v>
      </c>
      <c r="I2152" s="23">
        <v>0</v>
      </c>
      <c r="J2152" s="23">
        <v>0</v>
      </c>
      <c r="K2152" s="23">
        <v>0</v>
      </c>
    </row>
    <row r="2153" spans="1:11" x14ac:dyDescent="0.25">
      <c r="A2153">
        <v>2152</v>
      </c>
      <c r="B2153" s="23">
        <v>1584.287</v>
      </c>
      <c r="C2153" s="23">
        <v>433.63</v>
      </c>
      <c r="D2153" s="23">
        <v>1671.0360000000001</v>
      </c>
      <c r="E2153" s="23">
        <v>1584.287</v>
      </c>
      <c r="F2153" s="23">
        <v>0</v>
      </c>
      <c r="G2153" s="23">
        <v>0</v>
      </c>
      <c r="H2153" s="23">
        <v>86.748999999999995</v>
      </c>
      <c r="I2153" s="23">
        <v>0</v>
      </c>
      <c r="J2153" s="23">
        <v>0</v>
      </c>
      <c r="K2153" s="23">
        <v>0</v>
      </c>
    </row>
    <row r="2154" spans="1:11" x14ac:dyDescent="0.25">
      <c r="A2154">
        <v>2153</v>
      </c>
      <c r="B2154" s="23">
        <v>1458.461</v>
      </c>
      <c r="C2154" s="23">
        <v>289.60000000000002</v>
      </c>
      <c r="D2154" s="23">
        <v>1106.645</v>
      </c>
      <c r="E2154" s="23">
        <v>1106.645</v>
      </c>
      <c r="F2154" s="23">
        <v>0</v>
      </c>
      <c r="G2154" s="23">
        <v>0</v>
      </c>
      <c r="H2154" s="23">
        <v>0</v>
      </c>
      <c r="I2154" s="23">
        <v>351.81599999999997</v>
      </c>
      <c r="J2154" s="23">
        <v>0</v>
      </c>
      <c r="K2154" s="23">
        <v>0</v>
      </c>
    </row>
    <row r="2155" spans="1:11" x14ac:dyDescent="0.25">
      <c r="A2155">
        <v>2154</v>
      </c>
      <c r="B2155" s="23">
        <v>1392.377</v>
      </c>
      <c r="C2155" s="23">
        <v>67.8</v>
      </c>
      <c r="D2155" s="23">
        <v>203.54599999999999</v>
      </c>
      <c r="E2155" s="23">
        <v>203.54599999999999</v>
      </c>
      <c r="F2155" s="23">
        <v>0</v>
      </c>
      <c r="G2155" s="23">
        <v>0</v>
      </c>
      <c r="H2155" s="23">
        <v>0</v>
      </c>
      <c r="I2155" s="23">
        <v>0</v>
      </c>
      <c r="J2155" s="23">
        <v>0</v>
      </c>
      <c r="K2155" s="23">
        <v>1188.8309999999999</v>
      </c>
    </row>
    <row r="2156" spans="1:11" x14ac:dyDescent="0.25">
      <c r="A2156">
        <v>2155</v>
      </c>
      <c r="B2156" s="23">
        <v>1600.335</v>
      </c>
      <c r="C2156" s="23">
        <v>0</v>
      </c>
      <c r="D2156" s="23">
        <v>0</v>
      </c>
      <c r="E2156" s="23">
        <v>0</v>
      </c>
      <c r="F2156" s="23">
        <v>0</v>
      </c>
      <c r="G2156" s="23">
        <v>0</v>
      </c>
      <c r="H2156" s="23">
        <v>0</v>
      </c>
      <c r="I2156" s="23">
        <v>0</v>
      </c>
      <c r="J2156" s="23">
        <v>0</v>
      </c>
      <c r="K2156" s="23">
        <v>1600.335</v>
      </c>
    </row>
    <row r="2157" spans="1:11" x14ac:dyDescent="0.25">
      <c r="A2157">
        <v>2156</v>
      </c>
      <c r="B2157" s="23">
        <v>1251.2</v>
      </c>
      <c r="C2157" s="23">
        <v>0</v>
      </c>
      <c r="D2157" s="23">
        <v>0</v>
      </c>
      <c r="E2157" s="23">
        <v>0</v>
      </c>
      <c r="F2157" s="23">
        <v>0</v>
      </c>
      <c r="G2157" s="23">
        <v>0</v>
      </c>
      <c r="H2157" s="23">
        <v>0</v>
      </c>
      <c r="I2157" s="23">
        <v>0</v>
      </c>
      <c r="J2157" s="23">
        <v>0</v>
      </c>
      <c r="K2157" s="23">
        <v>1251.2</v>
      </c>
    </row>
    <row r="2158" spans="1:11" x14ac:dyDescent="0.25">
      <c r="A2158">
        <v>2157</v>
      </c>
      <c r="B2158" s="23">
        <v>921.6</v>
      </c>
      <c r="C2158" s="23">
        <v>0</v>
      </c>
      <c r="D2158" s="23">
        <v>0</v>
      </c>
      <c r="E2158" s="23">
        <v>0</v>
      </c>
      <c r="F2158" s="23">
        <v>0</v>
      </c>
      <c r="G2158" s="23">
        <v>0</v>
      </c>
      <c r="H2158" s="23">
        <v>0</v>
      </c>
      <c r="I2158" s="23">
        <v>921.6</v>
      </c>
      <c r="J2158" s="23">
        <v>0</v>
      </c>
      <c r="K2158" s="23">
        <v>0</v>
      </c>
    </row>
    <row r="2159" spans="1:11" x14ac:dyDescent="0.25">
      <c r="A2159">
        <v>2158</v>
      </c>
      <c r="B2159" s="23">
        <v>1216</v>
      </c>
      <c r="C2159" s="23">
        <v>0</v>
      </c>
      <c r="D2159" s="23">
        <v>0</v>
      </c>
      <c r="E2159" s="23">
        <v>0</v>
      </c>
      <c r="F2159" s="23">
        <v>0</v>
      </c>
      <c r="G2159" s="23">
        <v>0</v>
      </c>
      <c r="H2159" s="23">
        <v>0</v>
      </c>
      <c r="I2159" s="23">
        <v>1216</v>
      </c>
      <c r="J2159" s="23">
        <v>0</v>
      </c>
      <c r="K2159" s="23">
        <v>0</v>
      </c>
    </row>
    <row r="2160" spans="1:11" x14ac:dyDescent="0.25">
      <c r="A2160">
        <v>2159</v>
      </c>
      <c r="B2160" s="23">
        <v>1305.5999999999999</v>
      </c>
      <c r="C2160" s="23">
        <v>0</v>
      </c>
      <c r="D2160" s="23">
        <v>0</v>
      </c>
      <c r="E2160" s="23">
        <v>0</v>
      </c>
      <c r="F2160" s="23">
        <v>0</v>
      </c>
      <c r="G2160" s="23">
        <v>0</v>
      </c>
      <c r="H2160" s="23">
        <v>0</v>
      </c>
      <c r="I2160" s="23">
        <v>1305.5999999999999</v>
      </c>
      <c r="J2160" s="23">
        <v>0</v>
      </c>
      <c r="K2160" s="23">
        <v>0</v>
      </c>
    </row>
    <row r="2161" spans="1:11" x14ac:dyDescent="0.25">
      <c r="A2161">
        <v>2160</v>
      </c>
      <c r="B2161" s="23">
        <v>875.2</v>
      </c>
      <c r="C2161" s="23">
        <v>0</v>
      </c>
      <c r="D2161" s="23">
        <v>0</v>
      </c>
      <c r="E2161" s="23">
        <v>0</v>
      </c>
      <c r="F2161" s="23">
        <v>0</v>
      </c>
      <c r="G2161" s="23">
        <v>0</v>
      </c>
      <c r="H2161" s="23">
        <v>0</v>
      </c>
      <c r="I2161" s="23">
        <v>875.2</v>
      </c>
      <c r="J2161" s="23">
        <v>0</v>
      </c>
      <c r="K2161" s="23">
        <v>0</v>
      </c>
    </row>
    <row r="2162" spans="1:11" x14ac:dyDescent="0.25">
      <c r="A2162">
        <v>2161</v>
      </c>
      <c r="B2162" s="23">
        <v>1137.5999999999999</v>
      </c>
      <c r="C2162" s="23">
        <v>0</v>
      </c>
      <c r="D2162" s="23">
        <v>0</v>
      </c>
      <c r="E2162" s="23">
        <v>0</v>
      </c>
      <c r="F2162" s="23">
        <v>0</v>
      </c>
      <c r="G2162" s="23">
        <v>0</v>
      </c>
      <c r="H2162" s="23">
        <v>0</v>
      </c>
      <c r="I2162" s="23">
        <v>1137.5999999999999</v>
      </c>
      <c r="J2162" s="23">
        <v>0</v>
      </c>
      <c r="K2162" s="23">
        <v>0</v>
      </c>
    </row>
    <row r="2163" spans="1:11" x14ac:dyDescent="0.25">
      <c r="A2163">
        <v>2162</v>
      </c>
      <c r="B2163" s="23">
        <v>760</v>
      </c>
      <c r="C2163" s="23">
        <v>0</v>
      </c>
      <c r="D2163" s="23">
        <v>0</v>
      </c>
      <c r="E2163" s="23">
        <v>0</v>
      </c>
      <c r="F2163" s="23">
        <v>0</v>
      </c>
      <c r="G2163" s="23">
        <v>0</v>
      </c>
      <c r="H2163" s="23">
        <v>0</v>
      </c>
      <c r="I2163" s="23">
        <v>760</v>
      </c>
      <c r="J2163" s="23">
        <v>0</v>
      </c>
      <c r="K2163" s="23">
        <v>0</v>
      </c>
    </row>
    <row r="2164" spans="1:11" x14ac:dyDescent="0.25">
      <c r="A2164">
        <v>2163</v>
      </c>
      <c r="B2164" s="23">
        <v>1196.8</v>
      </c>
      <c r="C2164" s="23">
        <v>0</v>
      </c>
      <c r="D2164" s="23">
        <v>0</v>
      </c>
      <c r="E2164" s="23">
        <v>0</v>
      </c>
      <c r="F2164" s="23">
        <v>0</v>
      </c>
      <c r="G2164" s="23">
        <v>0</v>
      </c>
      <c r="H2164" s="23">
        <v>0</v>
      </c>
      <c r="I2164" s="23">
        <v>1196.8</v>
      </c>
      <c r="J2164" s="23">
        <v>0</v>
      </c>
      <c r="K2164" s="23">
        <v>0</v>
      </c>
    </row>
    <row r="2165" spans="1:11" x14ac:dyDescent="0.25">
      <c r="A2165">
        <v>2164</v>
      </c>
      <c r="B2165" s="23">
        <v>1156</v>
      </c>
      <c r="C2165" s="23">
        <v>0</v>
      </c>
      <c r="D2165" s="23">
        <v>0</v>
      </c>
      <c r="E2165" s="23">
        <v>0</v>
      </c>
      <c r="F2165" s="23">
        <v>0</v>
      </c>
      <c r="G2165" s="23">
        <v>0</v>
      </c>
      <c r="H2165" s="23">
        <v>0</v>
      </c>
      <c r="I2165" s="23">
        <v>1156</v>
      </c>
      <c r="J2165" s="23">
        <v>0</v>
      </c>
      <c r="K2165" s="23">
        <v>0</v>
      </c>
    </row>
    <row r="2166" spans="1:11" x14ac:dyDescent="0.25">
      <c r="A2166">
        <v>2165</v>
      </c>
      <c r="B2166" s="23">
        <v>1220</v>
      </c>
      <c r="C2166" s="23">
        <v>0</v>
      </c>
      <c r="D2166" s="23">
        <v>0</v>
      </c>
      <c r="E2166" s="23">
        <v>0</v>
      </c>
      <c r="F2166" s="23">
        <v>0</v>
      </c>
      <c r="G2166" s="23">
        <v>0</v>
      </c>
      <c r="H2166" s="23">
        <v>0</v>
      </c>
      <c r="I2166" s="23">
        <v>1220</v>
      </c>
      <c r="J2166" s="23">
        <v>0</v>
      </c>
      <c r="K2166" s="23">
        <v>0</v>
      </c>
    </row>
    <row r="2167" spans="1:11" x14ac:dyDescent="0.25">
      <c r="A2167">
        <v>2166</v>
      </c>
      <c r="B2167" s="23">
        <v>1054.4000000000001</v>
      </c>
      <c r="C2167" s="23">
        <v>0</v>
      </c>
      <c r="D2167" s="23">
        <v>0</v>
      </c>
      <c r="E2167" s="23">
        <v>0</v>
      </c>
      <c r="F2167" s="23">
        <v>0</v>
      </c>
      <c r="G2167" s="23">
        <v>0</v>
      </c>
      <c r="H2167" s="23">
        <v>0</v>
      </c>
      <c r="I2167" s="23">
        <v>33.817</v>
      </c>
      <c r="J2167" s="23">
        <v>0</v>
      </c>
      <c r="K2167" s="23">
        <v>1020.583</v>
      </c>
    </row>
    <row r="2168" spans="1:11" x14ac:dyDescent="0.25">
      <c r="A2168">
        <v>2167</v>
      </c>
      <c r="B2168" s="23">
        <v>1293.3040000000001</v>
      </c>
      <c r="C2168" s="23">
        <v>75.61</v>
      </c>
      <c r="D2168" s="23">
        <v>247.64699999999999</v>
      </c>
      <c r="E2168" s="23">
        <v>247.64699999999999</v>
      </c>
      <c r="F2168" s="23">
        <v>0</v>
      </c>
      <c r="G2168" s="23">
        <v>0</v>
      </c>
      <c r="H2168" s="23">
        <v>0</v>
      </c>
      <c r="I2168" s="23">
        <v>0</v>
      </c>
      <c r="J2168" s="23">
        <v>0</v>
      </c>
      <c r="K2168" s="23">
        <v>1045.6569999999999</v>
      </c>
    </row>
    <row r="2169" spans="1:11" x14ac:dyDescent="0.25">
      <c r="A2169">
        <v>2168</v>
      </c>
      <c r="B2169" s="23">
        <v>1393.7850000000001</v>
      </c>
      <c r="C2169" s="23">
        <v>243.93</v>
      </c>
      <c r="D2169" s="23">
        <v>948.54200000000003</v>
      </c>
      <c r="E2169" s="23">
        <v>948.54200000000003</v>
      </c>
      <c r="F2169" s="23">
        <v>0</v>
      </c>
      <c r="G2169" s="23">
        <v>0</v>
      </c>
      <c r="H2169" s="23">
        <v>0</v>
      </c>
      <c r="I2169" s="23">
        <v>0</v>
      </c>
      <c r="J2169" s="23">
        <v>0</v>
      </c>
      <c r="K2169" s="23">
        <v>445.24299999999999</v>
      </c>
    </row>
    <row r="2170" spans="1:11" x14ac:dyDescent="0.25">
      <c r="A2170">
        <v>2169</v>
      </c>
      <c r="B2170" s="23">
        <v>1579.9010000000001</v>
      </c>
      <c r="C2170" s="23">
        <v>551.03</v>
      </c>
      <c r="D2170" s="23">
        <v>2124.9659999999999</v>
      </c>
      <c r="E2170" s="23">
        <v>1579.9010000000001</v>
      </c>
      <c r="F2170" s="23">
        <v>-545.06500000000005</v>
      </c>
      <c r="G2170" s="23">
        <v>0</v>
      </c>
      <c r="H2170" s="23">
        <v>0</v>
      </c>
      <c r="I2170" s="23">
        <v>0</v>
      </c>
      <c r="J2170" s="23">
        <v>0</v>
      </c>
      <c r="K2170" s="23">
        <v>0</v>
      </c>
    </row>
    <row r="2171" spans="1:11" x14ac:dyDescent="0.25">
      <c r="A2171">
        <v>2170</v>
      </c>
      <c r="B2171" s="23">
        <v>1649.6990000000001</v>
      </c>
      <c r="C2171" s="23">
        <v>753.44</v>
      </c>
      <c r="D2171" s="23">
        <v>2779.83</v>
      </c>
      <c r="E2171" s="23">
        <v>1649.6990000000001</v>
      </c>
      <c r="F2171" s="23">
        <v>-1130.1310000000001</v>
      </c>
      <c r="G2171" s="23">
        <v>0</v>
      </c>
      <c r="H2171" s="23">
        <v>0</v>
      </c>
      <c r="I2171" s="23">
        <v>0</v>
      </c>
      <c r="J2171" s="23">
        <v>0</v>
      </c>
      <c r="K2171" s="23">
        <v>0</v>
      </c>
    </row>
    <row r="2172" spans="1:11" x14ac:dyDescent="0.25">
      <c r="A2172">
        <v>2171</v>
      </c>
      <c r="B2172" s="23">
        <v>1676.943</v>
      </c>
      <c r="C2172" s="23">
        <v>911.3</v>
      </c>
      <c r="D2172" s="23">
        <v>3254.8519999999999</v>
      </c>
      <c r="E2172" s="23">
        <v>1676.943</v>
      </c>
      <c r="F2172" s="23">
        <v>-1577.9090000000001</v>
      </c>
      <c r="G2172" s="23">
        <v>0</v>
      </c>
      <c r="H2172" s="23">
        <v>0</v>
      </c>
      <c r="I2172" s="23">
        <v>0</v>
      </c>
      <c r="J2172" s="23">
        <v>0</v>
      </c>
      <c r="K2172" s="23">
        <v>0</v>
      </c>
    </row>
    <row r="2173" spans="1:11" x14ac:dyDescent="0.25">
      <c r="A2173">
        <v>2172</v>
      </c>
      <c r="B2173" s="23">
        <v>1684.7449999999999</v>
      </c>
      <c r="C2173" s="23">
        <v>991.31</v>
      </c>
      <c r="D2173" s="23">
        <v>3486.9969999999998</v>
      </c>
      <c r="E2173" s="23">
        <v>1684.7460000000001</v>
      </c>
      <c r="F2173" s="23">
        <v>-1684.559</v>
      </c>
      <c r="G2173" s="23">
        <v>0</v>
      </c>
      <c r="H2173" s="23">
        <v>117.69199999999999</v>
      </c>
      <c r="I2173" s="23">
        <v>0</v>
      </c>
      <c r="J2173" s="23">
        <v>0</v>
      </c>
      <c r="K2173" s="23">
        <v>0</v>
      </c>
    </row>
    <row r="2174" spans="1:11" x14ac:dyDescent="0.25">
      <c r="A2174">
        <v>2173</v>
      </c>
      <c r="B2174" s="23">
        <v>1931.8710000000001</v>
      </c>
      <c r="C2174" s="23">
        <v>988.55</v>
      </c>
      <c r="D2174" s="23">
        <v>3501.0940000000001</v>
      </c>
      <c r="E2174" s="23">
        <v>1931.8710000000001</v>
      </c>
      <c r="F2174" s="23">
        <v>-1569.223</v>
      </c>
      <c r="G2174" s="23">
        <v>0</v>
      </c>
      <c r="H2174" s="23">
        <v>0</v>
      </c>
      <c r="I2174" s="23">
        <v>0</v>
      </c>
      <c r="J2174" s="23">
        <v>0</v>
      </c>
      <c r="K2174" s="23">
        <v>0</v>
      </c>
    </row>
    <row r="2175" spans="1:11" x14ac:dyDescent="0.25">
      <c r="A2175">
        <v>2174</v>
      </c>
      <c r="B2175" s="23">
        <v>1728.951</v>
      </c>
      <c r="C2175" s="23">
        <v>432.11</v>
      </c>
      <c r="D2175" s="23">
        <v>1590.4549999999999</v>
      </c>
      <c r="E2175" s="23">
        <v>1590.4549999999999</v>
      </c>
      <c r="F2175" s="23">
        <v>0</v>
      </c>
      <c r="G2175" s="23">
        <v>0</v>
      </c>
      <c r="H2175" s="23">
        <v>0</v>
      </c>
      <c r="I2175" s="23">
        <v>0</v>
      </c>
      <c r="J2175" s="23">
        <v>0</v>
      </c>
      <c r="K2175" s="23">
        <v>138.49600000000001</v>
      </c>
    </row>
    <row r="2176" spans="1:11" x14ac:dyDescent="0.25">
      <c r="A2176">
        <v>2175</v>
      </c>
      <c r="B2176" s="23">
        <v>1653.202</v>
      </c>
      <c r="C2176" s="23">
        <v>722.21</v>
      </c>
      <c r="D2176" s="23">
        <v>2691.857</v>
      </c>
      <c r="E2176" s="23">
        <v>1653.202</v>
      </c>
      <c r="F2176" s="23">
        <v>-938.74199999999996</v>
      </c>
      <c r="G2176" s="23">
        <v>0</v>
      </c>
      <c r="H2176" s="23">
        <v>99.912999999999997</v>
      </c>
      <c r="I2176" s="23">
        <v>0</v>
      </c>
      <c r="J2176" s="23">
        <v>0</v>
      </c>
      <c r="K2176" s="23">
        <v>0</v>
      </c>
    </row>
    <row r="2177" spans="1:11" x14ac:dyDescent="0.25">
      <c r="A2177">
        <v>2176</v>
      </c>
      <c r="B2177" s="23">
        <v>1470.106</v>
      </c>
      <c r="C2177" s="23">
        <v>438.37</v>
      </c>
      <c r="D2177" s="23">
        <v>1671.883</v>
      </c>
      <c r="E2177" s="23">
        <v>1470.106</v>
      </c>
      <c r="F2177" s="23">
        <v>0</v>
      </c>
      <c r="G2177" s="23">
        <v>0</v>
      </c>
      <c r="H2177" s="23">
        <v>201.77699999999999</v>
      </c>
      <c r="I2177" s="23">
        <v>0</v>
      </c>
      <c r="J2177" s="23">
        <v>0</v>
      </c>
      <c r="K2177" s="23">
        <v>0</v>
      </c>
    </row>
    <row r="2178" spans="1:11" x14ac:dyDescent="0.25">
      <c r="A2178">
        <v>2177</v>
      </c>
      <c r="B2178" s="23">
        <v>1634.306</v>
      </c>
      <c r="C2178" s="23">
        <v>276.88</v>
      </c>
      <c r="D2178" s="23">
        <v>1060.086</v>
      </c>
      <c r="E2178" s="23">
        <v>1060.086</v>
      </c>
      <c r="F2178" s="23">
        <v>0</v>
      </c>
      <c r="G2178" s="23">
        <v>0</v>
      </c>
      <c r="H2178" s="23">
        <v>0</v>
      </c>
      <c r="I2178" s="23">
        <v>574.22</v>
      </c>
      <c r="J2178" s="23">
        <v>0</v>
      </c>
      <c r="K2178" s="23">
        <v>0</v>
      </c>
    </row>
    <row r="2179" spans="1:11" x14ac:dyDescent="0.25">
      <c r="A2179">
        <v>2178</v>
      </c>
      <c r="B2179" s="23">
        <v>1538.105</v>
      </c>
      <c r="C2179" s="23">
        <v>60.12</v>
      </c>
      <c r="D2179" s="23">
        <v>180.73400000000001</v>
      </c>
      <c r="E2179" s="23">
        <v>180.73400000000001</v>
      </c>
      <c r="F2179" s="23">
        <v>0</v>
      </c>
      <c r="G2179" s="23">
        <v>0</v>
      </c>
      <c r="H2179" s="23">
        <v>0</v>
      </c>
      <c r="I2179" s="23">
        <v>0</v>
      </c>
      <c r="J2179" s="23">
        <v>0</v>
      </c>
      <c r="K2179" s="23">
        <v>1357.3710000000001</v>
      </c>
    </row>
    <row r="2180" spans="1:11" x14ac:dyDescent="0.25">
      <c r="A2180">
        <v>2179</v>
      </c>
      <c r="B2180" s="23">
        <v>1470.4</v>
      </c>
      <c r="C2180" s="23">
        <v>0</v>
      </c>
      <c r="D2180" s="23">
        <v>0</v>
      </c>
      <c r="E2180" s="23">
        <v>0</v>
      </c>
      <c r="F2180" s="23">
        <v>0</v>
      </c>
      <c r="G2180" s="23">
        <v>0</v>
      </c>
      <c r="H2180" s="23">
        <v>0</v>
      </c>
      <c r="I2180" s="23">
        <v>0</v>
      </c>
      <c r="J2180" s="23">
        <v>0</v>
      </c>
      <c r="K2180" s="23">
        <v>1470.4</v>
      </c>
    </row>
    <row r="2181" spans="1:11" x14ac:dyDescent="0.25">
      <c r="A2181">
        <v>2180</v>
      </c>
      <c r="B2181" s="23">
        <v>1250.4000000000001</v>
      </c>
      <c r="C2181" s="23">
        <v>0</v>
      </c>
      <c r="D2181" s="23">
        <v>0</v>
      </c>
      <c r="E2181" s="23">
        <v>0</v>
      </c>
      <c r="F2181" s="23">
        <v>0</v>
      </c>
      <c r="G2181" s="23">
        <v>0</v>
      </c>
      <c r="H2181" s="23">
        <v>0</v>
      </c>
      <c r="I2181" s="23">
        <v>0</v>
      </c>
      <c r="J2181" s="23">
        <v>0</v>
      </c>
      <c r="K2181" s="23">
        <v>1250.4000000000001</v>
      </c>
    </row>
    <row r="2182" spans="1:11" x14ac:dyDescent="0.25">
      <c r="A2182">
        <v>2181</v>
      </c>
      <c r="B2182" s="23">
        <v>1324.8</v>
      </c>
      <c r="C2182" s="23">
        <v>0</v>
      </c>
      <c r="D2182" s="23">
        <v>0</v>
      </c>
      <c r="E2182" s="23">
        <v>0</v>
      </c>
      <c r="F2182" s="23">
        <v>0</v>
      </c>
      <c r="G2182" s="23">
        <v>0</v>
      </c>
      <c r="H2182" s="23">
        <v>0</v>
      </c>
      <c r="I2182" s="23">
        <v>1324.8</v>
      </c>
      <c r="J2182" s="23">
        <v>0</v>
      </c>
      <c r="K2182" s="23">
        <v>0</v>
      </c>
    </row>
    <row r="2183" spans="1:11" x14ac:dyDescent="0.25">
      <c r="A2183">
        <v>2182</v>
      </c>
      <c r="B2183" s="23">
        <v>1529.6</v>
      </c>
      <c r="C2183" s="23">
        <v>0</v>
      </c>
      <c r="D2183" s="23">
        <v>0</v>
      </c>
      <c r="E2183" s="23">
        <v>0</v>
      </c>
      <c r="F2183" s="23">
        <v>0</v>
      </c>
      <c r="G2183" s="23">
        <v>0</v>
      </c>
      <c r="H2183" s="23">
        <v>0</v>
      </c>
      <c r="I2183" s="23">
        <v>1529.6</v>
      </c>
      <c r="J2183" s="23">
        <v>0</v>
      </c>
      <c r="K2183" s="23">
        <v>0</v>
      </c>
    </row>
    <row r="2184" spans="1:11" x14ac:dyDescent="0.25">
      <c r="A2184">
        <v>2183</v>
      </c>
      <c r="B2184" s="23">
        <v>1635.2</v>
      </c>
      <c r="C2184" s="23">
        <v>0</v>
      </c>
      <c r="D2184" s="23">
        <v>0</v>
      </c>
      <c r="E2184" s="23">
        <v>0</v>
      </c>
      <c r="F2184" s="23">
        <v>0</v>
      </c>
      <c r="G2184" s="23">
        <v>0</v>
      </c>
      <c r="H2184" s="23">
        <v>0</v>
      </c>
      <c r="I2184" s="23">
        <v>1635.2</v>
      </c>
      <c r="J2184" s="23">
        <v>0</v>
      </c>
      <c r="K2184" s="23">
        <v>0</v>
      </c>
    </row>
    <row r="2185" spans="1:11" x14ac:dyDescent="0.25">
      <c r="A2185">
        <v>2184</v>
      </c>
      <c r="B2185" s="23">
        <v>1508</v>
      </c>
      <c r="C2185" s="23">
        <v>0</v>
      </c>
      <c r="D2185" s="23">
        <v>0</v>
      </c>
      <c r="E2185" s="23">
        <v>0</v>
      </c>
      <c r="F2185" s="23">
        <v>0</v>
      </c>
      <c r="G2185" s="23">
        <v>0</v>
      </c>
      <c r="H2185" s="23">
        <v>0</v>
      </c>
      <c r="I2185" s="23">
        <v>1508</v>
      </c>
      <c r="J2185" s="23">
        <v>0</v>
      </c>
      <c r="K2185" s="23">
        <v>0</v>
      </c>
    </row>
    <row r="2186" spans="1:11" x14ac:dyDescent="0.25">
      <c r="A2186">
        <v>2185</v>
      </c>
      <c r="B2186" s="23">
        <v>972</v>
      </c>
      <c r="C2186" s="23">
        <v>0</v>
      </c>
      <c r="D2186" s="23">
        <v>0</v>
      </c>
      <c r="E2186" s="23">
        <v>0</v>
      </c>
      <c r="F2186" s="23">
        <v>0</v>
      </c>
      <c r="G2186" s="23">
        <v>0</v>
      </c>
      <c r="H2186" s="23">
        <v>0</v>
      </c>
      <c r="I2186" s="23">
        <v>972</v>
      </c>
      <c r="J2186" s="23">
        <v>0</v>
      </c>
      <c r="K2186" s="23">
        <v>0</v>
      </c>
    </row>
    <row r="2187" spans="1:11" x14ac:dyDescent="0.25">
      <c r="A2187">
        <v>2186</v>
      </c>
      <c r="B2187" s="23">
        <v>1086.4000000000001</v>
      </c>
      <c r="C2187" s="23">
        <v>0</v>
      </c>
      <c r="D2187" s="23">
        <v>0</v>
      </c>
      <c r="E2187" s="23">
        <v>0</v>
      </c>
      <c r="F2187" s="23">
        <v>0</v>
      </c>
      <c r="G2187" s="23">
        <v>0</v>
      </c>
      <c r="H2187" s="23">
        <v>0</v>
      </c>
      <c r="I2187" s="23">
        <v>1086.4000000000001</v>
      </c>
      <c r="J2187" s="23">
        <v>0</v>
      </c>
      <c r="K2187" s="23">
        <v>0</v>
      </c>
    </row>
    <row r="2188" spans="1:11" x14ac:dyDescent="0.25">
      <c r="A2188">
        <v>2187</v>
      </c>
      <c r="B2188" s="23">
        <v>1562.4</v>
      </c>
      <c r="C2188" s="23">
        <v>0</v>
      </c>
      <c r="D2188" s="23">
        <v>0</v>
      </c>
      <c r="E2188" s="23">
        <v>0</v>
      </c>
      <c r="F2188" s="23">
        <v>0</v>
      </c>
      <c r="G2188" s="23">
        <v>0</v>
      </c>
      <c r="H2188" s="23">
        <v>0</v>
      </c>
      <c r="I2188" s="23">
        <v>1562.4</v>
      </c>
      <c r="J2188" s="23">
        <v>0</v>
      </c>
      <c r="K2188" s="23">
        <v>0</v>
      </c>
    </row>
    <row r="2189" spans="1:11" x14ac:dyDescent="0.25">
      <c r="A2189">
        <v>2188</v>
      </c>
      <c r="B2189" s="23">
        <v>1220</v>
      </c>
      <c r="C2189" s="23">
        <v>0</v>
      </c>
      <c r="D2189" s="23">
        <v>0</v>
      </c>
      <c r="E2189" s="23">
        <v>0</v>
      </c>
      <c r="F2189" s="23">
        <v>0</v>
      </c>
      <c r="G2189" s="23">
        <v>0</v>
      </c>
      <c r="H2189" s="23">
        <v>0</v>
      </c>
      <c r="I2189" s="23">
        <v>1220</v>
      </c>
      <c r="J2189" s="23">
        <v>0</v>
      </c>
      <c r="K2189" s="23">
        <v>0</v>
      </c>
    </row>
    <row r="2190" spans="1:11" x14ac:dyDescent="0.25">
      <c r="A2190">
        <v>2189</v>
      </c>
      <c r="B2190" s="23">
        <v>1601.6</v>
      </c>
      <c r="C2190" s="23">
        <v>0</v>
      </c>
      <c r="D2190" s="23">
        <v>0</v>
      </c>
      <c r="E2190" s="23">
        <v>0</v>
      </c>
      <c r="F2190" s="23">
        <v>0</v>
      </c>
      <c r="G2190" s="23">
        <v>0</v>
      </c>
      <c r="H2190" s="23">
        <v>0</v>
      </c>
      <c r="I2190" s="23">
        <v>1601.6</v>
      </c>
      <c r="J2190" s="23">
        <v>0</v>
      </c>
      <c r="K2190" s="23">
        <v>0</v>
      </c>
    </row>
    <row r="2191" spans="1:11" x14ac:dyDescent="0.25">
      <c r="A2191">
        <v>2190</v>
      </c>
      <c r="B2191" s="23">
        <v>1461.6</v>
      </c>
      <c r="C2191" s="23">
        <v>0</v>
      </c>
      <c r="D2191" s="23">
        <v>0</v>
      </c>
      <c r="E2191" s="23">
        <v>0</v>
      </c>
      <c r="F2191" s="23">
        <v>0</v>
      </c>
      <c r="G2191" s="23">
        <v>0</v>
      </c>
      <c r="H2191" s="23">
        <v>0</v>
      </c>
      <c r="I2191" s="23">
        <v>888.01400000000001</v>
      </c>
      <c r="J2191" s="23">
        <v>0</v>
      </c>
      <c r="K2191" s="23">
        <v>573.58600000000001</v>
      </c>
    </row>
    <row r="2192" spans="1:11" x14ac:dyDescent="0.25">
      <c r="A2192">
        <v>2191</v>
      </c>
      <c r="B2192" s="23">
        <v>1554.491</v>
      </c>
      <c r="C2192" s="23">
        <v>52.85</v>
      </c>
      <c r="D2192" s="23">
        <v>177.96</v>
      </c>
      <c r="E2192" s="23">
        <v>177.96</v>
      </c>
      <c r="F2192" s="23">
        <v>0</v>
      </c>
      <c r="G2192" s="23">
        <v>0</v>
      </c>
      <c r="H2192" s="23">
        <v>0</v>
      </c>
      <c r="I2192" s="23">
        <v>0</v>
      </c>
      <c r="J2192" s="23">
        <v>0</v>
      </c>
      <c r="K2192" s="23">
        <v>1376.5309999999999</v>
      </c>
    </row>
    <row r="2193" spans="1:11" x14ac:dyDescent="0.25">
      <c r="A2193">
        <v>2192</v>
      </c>
      <c r="B2193" s="23">
        <v>1258.8900000000001</v>
      </c>
      <c r="C2193" s="23">
        <v>195.35</v>
      </c>
      <c r="D2193" s="23">
        <v>750.97799999999995</v>
      </c>
      <c r="E2193" s="23">
        <v>750.97799999999995</v>
      </c>
      <c r="F2193" s="23">
        <v>0</v>
      </c>
      <c r="G2193" s="23">
        <v>0</v>
      </c>
      <c r="H2193" s="23">
        <v>0</v>
      </c>
      <c r="I2193" s="23">
        <v>0</v>
      </c>
      <c r="J2193" s="23">
        <v>0</v>
      </c>
      <c r="K2193" s="23">
        <v>507.91199999999998</v>
      </c>
    </row>
    <row r="2194" spans="1:11" x14ac:dyDescent="0.25">
      <c r="A2194">
        <v>2193</v>
      </c>
      <c r="B2194" s="23">
        <v>1130.6559999999999</v>
      </c>
      <c r="C2194" s="23">
        <v>420.19</v>
      </c>
      <c r="D2194" s="23">
        <v>1597.4849999999999</v>
      </c>
      <c r="E2194" s="23">
        <v>1130.6559999999999</v>
      </c>
      <c r="F2194" s="23">
        <v>-466.82900000000001</v>
      </c>
      <c r="G2194" s="23">
        <v>0</v>
      </c>
      <c r="H2194" s="23">
        <v>0</v>
      </c>
      <c r="I2194" s="23">
        <v>0</v>
      </c>
      <c r="J2194" s="23">
        <v>0</v>
      </c>
      <c r="K2194" s="23">
        <v>0</v>
      </c>
    </row>
    <row r="2195" spans="1:11" x14ac:dyDescent="0.25">
      <c r="A2195">
        <v>2194</v>
      </c>
      <c r="B2195" s="23">
        <v>1493.0530000000001</v>
      </c>
      <c r="C2195" s="23">
        <v>605.42999999999995</v>
      </c>
      <c r="D2195" s="23">
        <v>2230.0839999999998</v>
      </c>
      <c r="E2195" s="23">
        <v>1493.0530000000001</v>
      </c>
      <c r="F2195" s="23">
        <v>-737.03099999999995</v>
      </c>
      <c r="G2195" s="23">
        <v>0</v>
      </c>
      <c r="H2195" s="23">
        <v>0</v>
      </c>
      <c r="I2195" s="23">
        <v>0</v>
      </c>
      <c r="J2195" s="23">
        <v>0</v>
      </c>
      <c r="K2195" s="23">
        <v>0</v>
      </c>
    </row>
    <row r="2196" spans="1:11" x14ac:dyDescent="0.25">
      <c r="A2196">
        <v>2195</v>
      </c>
      <c r="B2196" s="23">
        <v>1407.71</v>
      </c>
      <c r="C2196" s="23">
        <v>720.63</v>
      </c>
      <c r="D2196" s="23">
        <v>2597.8760000000002</v>
      </c>
      <c r="E2196" s="23">
        <v>1407.71</v>
      </c>
      <c r="F2196" s="23">
        <v>-1190.1659999999999</v>
      </c>
      <c r="G2196" s="23">
        <v>0</v>
      </c>
      <c r="H2196" s="23">
        <v>0</v>
      </c>
      <c r="I2196" s="23">
        <v>0</v>
      </c>
      <c r="J2196" s="23">
        <v>0</v>
      </c>
      <c r="K2196" s="23">
        <v>0</v>
      </c>
    </row>
    <row r="2197" spans="1:11" x14ac:dyDescent="0.25">
      <c r="A2197">
        <v>2196</v>
      </c>
      <c r="B2197" s="23">
        <v>1593.0229999999999</v>
      </c>
      <c r="C2197" s="23">
        <v>791.25</v>
      </c>
      <c r="D2197" s="23">
        <v>2820.2359999999999</v>
      </c>
      <c r="E2197" s="23">
        <v>1593.0229999999999</v>
      </c>
      <c r="F2197" s="23">
        <v>-1227.213</v>
      </c>
      <c r="G2197" s="23">
        <v>0</v>
      </c>
      <c r="H2197" s="23">
        <v>0</v>
      </c>
      <c r="I2197" s="23">
        <v>0</v>
      </c>
      <c r="J2197" s="23">
        <v>0</v>
      </c>
      <c r="K2197" s="23">
        <v>0</v>
      </c>
    </row>
    <row r="2198" spans="1:11" x14ac:dyDescent="0.25">
      <c r="A2198">
        <v>2197</v>
      </c>
      <c r="B2198" s="23">
        <v>1931.914</v>
      </c>
      <c r="C2198" s="23">
        <v>755.94</v>
      </c>
      <c r="D2198" s="23">
        <v>2706.12</v>
      </c>
      <c r="E2198" s="23">
        <v>1931.914</v>
      </c>
      <c r="F2198" s="23">
        <v>-774.20600000000002</v>
      </c>
      <c r="G2198" s="23">
        <v>0</v>
      </c>
      <c r="H2198" s="23">
        <v>0</v>
      </c>
      <c r="I2198" s="23">
        <v>0</v>
      </c>
      <c r="J2198" s="23">
        <v>0</v>
      </c>
      <c r="K2198" s="23">
        <v>0</v>
      </c>
    </row>
    <row r="2199" spans="1:11" x14ac:dyDescent="0.25">
      <c r="A2199">
        <v>2198</v>
      </c>
      <c r="B2199" s="23">
        <v>1327.845</v>
      </c>
      <c r="C2199" s="23">
        <v>629.47</v>
      </c>
      <c r="D2199" s="23">
        <v>2290.4769999999999</v>
      </c>
      <c r="E2199" s="23">
        <v>1327.845</v>
      </c>
      <c r="F2199" s="23">
        <v>-962.63199999999995</v>
      </c>
      <c r="G2199" s="23">
        <v>0</v>
      </c>
      <c r="H2199" s="23">
        <v>0</v>
      </c>
      <c r="I2199" s="23">
        <v>0</v>
      </c>
      <c r="J2199" s="23">
        <v>0</v>
      </c>
      <c r="K2199" s="23">
        <v>0</v>
      </c>
    </row>
    <row r="2200" spans="1:11" x14ac:dyDescent="0.25">
      <c r="A2200">
        <v>2199</v>
      </c>
      <c r="B2200" s="23">
        <v>1348.6579999999999</v>
      </c>
      <c r="C2200" s="23">
        <v>773.75</v>
      </c>
      <c r="D2200" s="23">
        <v>2889.2460000000001</v>
      </c>
      <c r="E2200" s="23">
        <v>1348.6579999999999</v>
      </c>
      <c r="F2200" s="23">
        <v>-1540.588</v>
      </c>
      <c r="G2200" s="23">
        <v>0</v>
      </c>
      <c r="H2200" s="23">
        <v>0</v>
      </c>
      <c r="I2200" s="23">
        <v>0</v>
      </c>
      <c r="J2200" s="23">
        <v>0</v>
      </c>
      <c r="K2200" s="23">
        <v>0</v>
      </c>
    </row>
    <row r="2201" spans="1:11" x14ac:dyDescent="0.25">
      <c r="A2201">
        <v>2200</v>
      </c>
      <c r="B2201" s="23">
        <v>1472.454</v>
      </c>
      <c r="C2201" s="23">
        <v>485.18</v>
      </c>
      <c r="D2201" s="23">
        <v>1847.87</v>
      </c>
      <c r="E2201" s="23">
        <v>1472.454</v>
      </c>
      <c r="F2201" s="23">
        <v>-375.416</v>
      </c>
      <c r="G2201" s="23">
        <v>0</v>
      </c>
      <c r="H2201" s="23">
        <v>0</v>
      </c>
      <c r="I2201" s="23">
        <v>0</v>
      </c>
      <c r="J2201" s="23">
        <v>0</v>
      </c>
      <c r="K2201" s="23">
        <v>0</v>
      </c>
    </row>
    <row r="2202" spans="1:11" x14ac:dyDescent="0.25">
      <c r="A2202">
        <v>2201</v>
      </c>
      <c r="B2202" s="23">
        <v>1419.53</v>
      </c>
      <c r="C2202" s="23">
        <v>312.83</v>
      </c>
      <c r="D2202" s="23">
        <v>1182.3800000000001</v>
      </c>
      <c r="E2202" s="23">
        <v>1182.3800000000001</v>
      </c>
      <c r="F2202" s="23">
        <v>0</v>
      </c>
      <c r="G2202" s="23">
        <v>0</v>
      </c>
      <c r="H2202" s="23">
        <v>0</v>
      </c>
      <c r="I2202" s="23">
        <v>237.15</v>
      </c>
      <c r="J2202" s="23">
        <v>0</v>
      </c>
      <c r="K2202" s="23">
        <v>0</v>
      </c>
    </row>
    <row r="2203" spans="1:11" x14ac:dyDescent="0.25">
      <c r="A2203">
        <v>2202</v>
      </c>
      <c r="B2203" s="23">
        <v>938.57100000000003</v>
      </c>
      <c r="C2203" s="23">
        <v>40.11</v>
      </c>
      <c r="D2203" s="23">
        <v>123.23399999999999</v>
      </c>
      <c r="E2203" s="23">
        <v>123.23399999999999</v>
      </c>
      <c r="F2203" s="23">
        <v>0</v>
      </c>
      <c r="G2203" s="23">
        <v>0</v>
      </c>
      <c r="H2203" s="23">
        <v>0</v>
      </c>
      <c r="I2203" s="23">
        <v>0</v>
      </c>
      <c r="J2203" s="23">
        <v>0</v>
      </c>
      <c r="K2203" s="23">
        <v>815.33699999999999</v>
      </c>
    </row>
    <row r="2204" spans="1:11" x14ac:dyDescent="0.25">
      <c r="A2204">
        <v>2203</v>
      </c>
      <c r="B2204" s="23">
        <v>1347.8520000000001</v>
      </c>
      <c r="C2204" s="23">
        <v>0</v>
      </c>
      <c r="D2204" s="23">
        <v>0</v>
      </c>
      <c r="E2204" s="23">
        <v>0</v>
      </c>
      <c r="F2204" s="23">
        <v>0</v>
      </c>
      <c r="G2204" s="23">
        <v>0</v>
      </c>
      <c r="H2204" s="23">
        <v>0</v>
      </c>
      <c r="I2204" s="23">
        <v>0</v>
      </c>
      <c r="J2204" s="23">
        <v>0</v>
      </c>
      <c r="K2204" s="23">
        <v>1347.8520000000001</v>
      </c>
    </row>
    <row r="2205" spans="1:11" x14ac:dyDescent="0.25">
      <c r="A2205">
        <v>2204</v>
      </c>
      <c r="B2205" s="23">
        <v>1007.2</v>
      </c>
      <c r="C2205" s="23">
        <v>0</v>
      </c>
      <c r="D2205" s="23">
        <v>0</v>
      </c>
      <c r="E2205" s="23">
        <v>0</v>
      </c>
      <c r="F2205" s="23">
        <v>0</v>
      </c>
      <c r="G2205" s="23">
        <v>0</v>
      </c>
      <c r="H2205" s="23">
        <v>0</v>
      </c>
      <c r="I2205" s="23">
        <v>0</v>
      </c>
      <c r="J2205" s="23">
        <v>0</v>
      </c>
      <c r="K2205" s="23">
        <v>1007.2</v>
      </c>
    </row>
    <row r="2206" spans="1:11" x14ac:dyDescent="0.25">
      <c r="A2206">
        <v>2205</v>
      </c>
      <c r="B2206" s="23">
        <v>1144</v>
      </c>
      <c r="C2206" s="23">
        <v>0</v>
      </c>
      <c r="D2206" s="23">
        <v>0</v>
      </c>
      <c r="E2206" s="23">
        <v>0</v>
      </c>
      <c r="F2206" s="23">
        <v>0</v>
      </c>
      <c r="G2206" s="23">
        <v>0</v>
      </c>
      <c r="H2206" s="23">
        <v>0</v>
      </c>
      <c r="I2206" s="23">
        <v>1144</v>
      </c>
      <c r="J2206" s="23">
        <v>0</v>
      </c>
      <c r="K2206" s="23">
        <v>0</v>
      </c>
    </row>
    <row r="2207" spans="1:11" x14ac:dyDescent="0.25">
      <c r="A2207">
        <v>2206</v>
      </c>
      <c r="B2207" s="23">
        <v>1352</v>
      </c>
      <c r="C2207" s="23">
        <v>0</v>
      </c>
      <c r="D2207" s="23">
        <v>0</v>
      </c>
      <c r="E2207" s="23">
        <v>0</v>
      </c>
      <c r="F2207" s="23">
        <v>0</v>
      </c>
      <c r="G2207" s="23">
        <v>0</v>
      </c>
      <c r="H2207" s="23">
        <v>0</v>
      </c>
      <c r="I2207" s="23">
        <v>1120.963</v>
      </c>
      <c r="J2207" s="23">
        <v>0</v>
      </c>
      <c r="K2207" s="23">
        <v>231.03700000000001</v>
      </c>
    </row>
    <row r="2208" spans="1:11" x14ac:dyDescent="0.25">
      <c r="A2208">
        <v>2207</v>
      </c>
      <c r="B2208" s="23">
        <v>1520.8</v>
      </c>
      <c r="C2208" s="23">
        <v>0</v>
      </c>
      <c r="D2208" s="23">
        <v>0</v>
      </c>
      <c r="E2208" s="23">
        <v>0</v>
      </c>
      <c r="F2208" s="23">
        <v>0</v>
      </c>
      <c r="G2208" s="23">
        <v>0</v>
      </c>
      <c r="H2208" s="23">
        <v>0</v>
      </c>
      <c r="I2208" s="23">
        <v>1520.8</v>
      </c>
      <c r="J2208" s="23">
        <v>0</v>
      </c>
      <c r="K2208" s="23">
        <v>0</v>
      </c>
    </row>
    <row r="2209" spans="1:11" x14ac:dyDescent="0.25">
      <c r="A2209">
        <v>2208</v>
      </c>
      <c r="B2209" s="23">
        <v>1532.8</v>
      </c>
      <c r="C2209" s="23">
        <v>0</v>
      </c>
      <c r="D2209" s="23">
        <v>0</v>
      </c>
      <c r="E2209" s="23">
        <v>0</v>
      </c>
      <c r="F2209" s="23">
        <v>0</v>
      </c>
      <c r="G2209" s="23">
        <v>0</v>
      </c>
      <c r="H2209" s="23">
        <v>0</v>
      </c>
      <c r="I2209" s="23">
        <v>1532.8</v>
      </c>
      <c r="J2209" s="23">
        <v>0</v>
      </c>
      <c r="K2209" s="23">
        <v>0</v>
      </c>
    </row>
    <row r="2210" spans="1:11" x14ac:dyDescent="0.25">
      <c r="A2210">
        <v>2209</v>
      </c>
      <c r="B2210" s="23">
        <v>1087.2</v>
      </c>
      <c r="C2210" s="23">
        <v>0</v>
      </c>
      <c r="D2210" s="23">
        <v>0</v>
      </c>
      <c r="E2210" s="23">
        <v>0</v>
      </c>
      <c r="F2210" s="23">
        <v>0</v>
      </c>
      <c r="G2210" s="23">
        <v>0</v>
      </c>
      <c r="H2210" s="23">
        <v>0</v>
      </c>
      <c r="I2210" s="23">
        <v>1087.2</v>
      </c>
      <c r="J2210" s="23">
        <v>0</v>
      </c>
      <c r="K2210" s="23">
        <v>0</v>
      </c>
    </row>
    <row r="2211" spans="1:11" x14ac:dyDescent="0.25">
      <c r="A2211">
        <v>2210</v>
      </c>
      <c r="B2211" s="23">
        <v>1328.8</v>
      </c>
      <c r="C2211" s="23">
        <v>0</v>
      </c>
      <c r="D2211" s="23">
        <v>0</v>
      </c>
      <c r="E2211" s="23">
        <v>0</v>
      </c>
      <c r="F2211" s="23">
        <v>0</v>
      </c>
      <c r="G2211" s="23">
        <v>0</v>
      </c>
      <c r="H2211" s="23">
        <v>0</v>
      </c>
      <c r="I2211" s="23">
        <v>1328.8</v>
      </c>
      <c r="J2211" s="23">
        <v>0</v>
      </c>
      <c r="K2211" s="23">
        <v>0</v>
      </c>
    </row>
    <row r="2212" spans="1:11" x14ac:dyDescent="0.25">
      <c r="A2212">
        <v>2211</v>
      </c>
      <c r="B2212" s="23">
        <v>1067.2</v>
      </c>
      <c r="C2212" s="23">
        <v>0</v>
      </c>
      <c r="D2212" s="23">
        <v>0</v>
      </c>
      <c r="E2212" s="23">
        <v>0</v>
      </c>
      <c r="F2212" s="23">
        <v>0</v>
      </c>
      <c r="G2212" s="23">
        <v>0</v>
      </c>
      <c r="H2212" s="23">
        <v>0</v>
      </c>
      <c r="I2212" s="23">
        <v>1067.2</v>
      </c>
      <c r="J2212" s="23">
        <v>0</v>
      </c>
      <c r="K2212" s="23">
        <v>0</v>
      </c>
    </row>
    <row r="2213" spans="1:11" x14ac:dyDescent="0.25">
      <c r="A2213">
        <v>2212</v>
      </c>
      <c r="B2213" s="23">
        <v>1069.5999999999999</v>
      </c>
      <c r="C2213" s="23">
        <v>0</v>
      </c>
      <c r="D2213" s="23">
        <v>0</v>
      </c>
      <c r="E2213" s="23">
        <v>0</v>
      </c>
      <c r="F2213" s="23">
        <v>0</v>
      </c>
      <c r="G2213" s="23">
        <v>0</v>
      </c>
      <c r="H2213" s="23">
        <v>0</v>
      </c>
      <c r="I2213" s="23">
        <v>1069.5999999999999</v>
      </c>
      <c r="J2213" s="23">
        <v>0</v>
      </c>
      <c r="K2213" s="23">
        <v>0</v>
      </c>
    </row>
    <row r="2214" spans="1:11" x14ac:dyDescent="0.25">
      <c r="A2214">
        <v>2213</v>
      </c>
      <c r="B2214" s="23">
        <v>964.8</v>
      </c>
      <c r="C2214" s="23">
        <v>0</v>
      </c>
      <c r="D2214" s="23">
        <v>0</v>
      </c>
      <c r="E2214" s="23">
        <v>0</v>
      </c>
      <c r="F2214" s="23">
        <v>0</v>
      </c>
      <c r="G2214" s="23">
        <v>0</v>
      </c>
      <c r="H2214" s="23">
        <v>0</v>
      </c>
      <c r="I2214" s="23">
        <v>0</v>
      </c>
      <c r="J2214" s="23">
        <v>0</v>
      </c>
      <c r="K2214" s="23">
        <v>964.8</v>
      </c>
    </row>
    <row r="2215" spans="1:11" x14ac:dyDescent="0.25">
      <c r="A2215">
        <v>2214</v>
      </c>
      <c r="B2215" s="23">
        <v>1233.5999999999999</v>
      </c>
      <c r="C2215" s="23">
        <v>0</v>
      </c>
      <c r="D2215" s="23">
        <v>0</v>
      </c>
      <c r="E2215" s="23">
        <v>0</v>
      </c>
      <c r="F2215" s="23">
        <v>0</v>
      </c>
      <c r="G2215" s="23">
        <v>0</v>
      </c>
      <c r="H2215" s="23">
        <v>0</v>
      </c>
      <c r="I2215" s="23">
        <v>0</v>
      </c>
      <c r="J2215" s="23">
        <v>0</v>
      </c>
      <c r="K2215" s="23">
        <v>1233.5999999999999</v>
      </c>
    </row>
    <row r="2216" spans="1:11" x14ac:dyDescent="0.25">
      <c r="A2216">
        <v>2215</v>
      </c>
      <c r="B2216" s="23">
        <v>1241.1869999999999</v>
      </c>
      <c r="C2216" s="23">
        <v>94.83</v>
      </c>
      <c r="D2216" s="23">
        <v>289.16399999999999</v>
      </c>
      <c r="E2216" s="23">
        <v>289.16399999999999</v>
      </c>
      <c r="F2216" s="23">
        <v>0</v>
      </c>
      <c r="G2216" s="23">
        <v>0</v>
      </c>
      <c r="H2216" s="23">
        <v>0</v>
      </c>
      <c r="I2216" s="23">
        <v>0</v>
      </c>
      <c r="J2216" s="23">
        <v>0</v>
      </c>
      <c r="K2216" s="23">
        <v>952.02300000000002</v>
      </c>
    </row>
    <row r="2217" spans="1:11" x14ac:dyDescent="0.25">
      <c r="A2217">
        <v>2216</v>
      </c>
      <c r="B2217" s="23">
        <v>1139.749</v>
      </c>
      <c r="C2217" s="23">
        <v>332.6</v>
      </c>
      <c r="D2217" s="23">
        <v>1290.164</v>
      </c>
      <c r="E2217" s="23">
        <v>1139.749</v>
      </c>
      <c r="F2217" s="23">
        <v>-150.41499999999999</v>
      </c>
      <c r="G2217" s="23">
        <v>0</v>
      </c>
      <c r="H2217" s="23">
        <v>0</v>
      </c>
      <c r="I2217" s="23">
        <v>0</v>
      </c>
      <c r="J2217" s="23">
        <v>0</v>
      </c>
      <c r="K2217" s="23">
        <v>0</v>
      </c>
    </row>
    <row r="2218" spans="1:11" x14ac:dyDescent="0.25">
      <c r="A2218">
        <v>2217</v>
      </c>
      <c r="B2218" s="23">
        <v>1485.3420000000001</v>
      </c>
      <c r="C2218" s="23">
        <v>576.04999999999995</v>
      </c>
      <c r="D2218" s="23">
        <v>2246.1709999999998</v>
      </c>
      <c r="E2218" s="23">
        <v>1485.3420000000001</v>
      </c>
      <c r="F2218" s="23">
        <v>-760.82899999999995</v>
      </c>
      <c r="G2218" s="23">
        <v>0</v>
      </c>
      <c r="H2218" s="23">
        <v>0</v>
      </c>
      <c r="I2218" s="23">
        <v>0</v>
      </c>
      <c r="J2218" s="23">
        <v>0</v>
      </c>
      <c r="K2218" s="23">
        <v>0</v>
      </c>
    </row>
    <row r="2219" spans="1:11" x14ac:dyDescent="0.25">
      <c r="A2219">
        <v>2218</v>
      </c>
      <c r="B2219" s="23">
        <v>1788.5650000000001</v>
      </c>
      <c r="C2219" s="23">
        <v>784.99</v>
      </c>
      <c r="D2219" s="23">
        <v>2958.1979999999999</v>
      </c>
      <c r="E2219" s="23">
        <v>1788.5650000000001</v>
      </c>
      <c r="F2219" s="23">
        <v>-1169.633</v>
      </c>
      <c r="G2219" s="23">
        <v>0</v>
      </c>
      <c r="H2219" s="23">
        <v>0</v>
      </c>
      <c r="I2219" s="23">
        <v>0</v>
      </c>
      <c r="J2219" s="23">
        <v>0</v>
      </c>
      <c r="K2219" s="23">
        <v>0</v>
      </c>
    </row>
    <row r="2220" spans="1:11" x14ac:dyDescent="0.25">
      <c r="A2220">
        <v>2219</v>
      </c>
      <c r="B2220" s="23">
        <v>1486.3309999999999</v>
      </c>
      <c r="C2220" s="23">
        <v>935.09</v>
      </c>
      <c r="D2220" s="23">
        <v>3440.21</v>
      </c>
      <c r="E2220" s="23">
        <v>1486.3309999999999</v>
      </c>
      <c r="F2220" s="23">
        <v>-1684.559</v>
      </c>
      <c r="G2220" s="23">
        <v>0</v>
      </c>
      <c r="H2220" s="23">
        <v>269.32</v>
      </c>
      <c r="I2220" s="23">
        <v>0</v>
      </c>
      <c r="J2220" s="23">
        <v>0</v>
      </c>
      <c r="K2220" s="23">
        <v>0</v>
      </c>
    </row>
    <row r="2221" spans="1:11" x14ac:dyDescent="0.25">
      <c r="A2221">
        <v>2220</v>
      </c>
      <c r="B2221" s="23">
        <v>1635.414</v>
      </c>
      <c r="C2221" s="23">
        <v>1012.44</v>
      </c>
      <c r="D2221" s="23">
        <v>3681.73</v>
      </c>
      <c r="E2221" s="23">
        <v>1635.414</v>
      </c>
      <c r="F2221" s="23">
        <v>-1684.559</v>
      </c>
      <c r="G2221" s="23">
        <v>0</v>
      </c>
      <c r="H2221" s="23">
        <v>361.75700000000001</v>
      </c>
      <c r="I2221" s="23">
        <v>0</v>
      </c>
      <c r="J2221" s="23">
        <v>0</v>
      </c>
      <c r="K2221" s="23">
        <v>0</v>
      </c>
    </row>
    <row r="2222" spans="1:11" x14ac:dyDescent="0.25">
      <c r="A2222">
        <v>2221</v>
      </c>
      <c r="B2222" s="23">
        <v>1839.2550000000001</v>
      </c>
      <c r="C2222" s="23">
        <v>719.66</v>
      </c>
      <c r="D2222" s="23">
        <v>2631.7429999999999</v>
      </c>
      <c r="E2222" s="23">
        <v>1839.2550000000001</v>
      </c>
      <c r="F2222" s="23">
        <v>-792.48800000000006</v>
      </c>
      <c r="G2222" s="23">
        <v>0</v>
      </c>
      <c r="H2222" s="23">
        <v>0</v>
      </c>
      <c r="I2222" s="23">
        <v>0</v>
      </c>
      <c r="J2222" s="23">
        <v>0</v>
      </c>
      <c r="K2222" s="23">
        <v>0</v>
      </c>
    </row>
    <row r="2223" spans="1:11" x14ac:dyDescent="0.25">
      <c r="A2223">
        <v>2222</v>
      </c>
      <c r="B2223" s="23">
        <v>1431.431</v>
      </c>
      <c r="C2223" s="23">
        <v>920.7</v>
      </c>
      <c r="D2223" s="23">
        <v>3404.902</v>
      </c>
      <c r="E2223" s="23">
        <v>1431.431</v>
      </c>
      <c r="F2223" s="23">
        <v>-1049.0150000000001</v>
      </c>
      <c r="G2223" s="23">
        <v>0</v>
      </c>
      <c r="H2223" s="23">
        <v>924.45600000000002</v>
      </c>
      <c r="I2223" s="23">
        <v>0</v>
      </c>
      <c r="J2223" s="23">
        <v>0</v>
      </c>
      <c r="K2223" s="23">
        <v>0</v>
      </c>
    </row>
    <row r="2224" spans="1:11" x14ac:dyDescent="0.25">
      <c r="A2224">
        <v>2223</v>
      </c>
      <c r="B2224" s="23">
        <v>1727.174</v>
      </c>
      <c r="C2224" s="23">
        <v>768.04</v>
      </c>
      <c r="D2224" s="23">
        <v>2910.7249999999999</v>
      </c>
      <c r="E2224" s="23">
        <v>1727.174</v>
      </c>
      <c r="F2224" s="23">
        <v>0</v>
      </c>
      <c r="G2224" s="23">
        <v>0</v>
      </c>
      <c r="H2224" s="23">
        <v>1183.5509999999999</v>
      </c>
      <c r="I2224" s="23">
        <v>0</v>
      </c>
      <c r="J2224" s="23">
        <v>0</v>
      </c>
      <c r="K2224" s="23">
        <v>0</v>
      </c>
    </row>
    <row r="2225" spans="1:11" x14ac:dyDescent="0.25">
      <c r="A2225">
        <v>2224</v>
      </c>
      <c r="B2225" s="23">
        <v>1726.4380000000001</v>
      </c>
      <c r="C2225" s="23">
        <v>559.03</v>
      </c>
      <c r="D2225" s="23">
        <v>2181.893</v>
      </c>
      <c r="E2225" s="23">
        <v>1726.4380000000001</v>
      </c>
      <c r="F2225" s="23">
        <v>0</v>
      </c>
      <c r="G2225" s="23">
        <v>0</v>
      </c>
      <c r="H2225" s="23">
        <v>455.45499999999998</v>
      </c>
      <c r="I2225" s="23">
        <v>0</v>
      </c>
      <c r="J2225" s="23">
        <v>0</v>
      </c>
      <c r="K2225" s="23">
        <v>0</v>
      </c>
    </row>
    <row r="2226" spans="1:11" x14ac:dyDescent="0.25">
      <c r="A2226">
        <v>2225</v>
      </c>
      <c r="B2226" s="23">
        <v>1599.501</v>
      </c>
      <c r="C2226" s="23">
        <v>312.42</v>
      </c>
      <c r="D2226" s="23">
        <v>1187.5930000000001</v>
      </c>
      <c r="E2226" s="23">
        <v>1187.5930000000001</v>
      </c>
      <c r="F2226" s="23">
        <v>0</v>
      </c>
      <c r="G2226" s="23">
        <v>0</v>
      </c>
      <c r="H2226" s="23">
        <v>0</v>
      </c>
      <c r="I2226" s="23">
        <v>411.90800000000002</v>
      </c>
      <c r="J2226" s="23">
        <v>0</v>
      </c>
      <c r="K2226" s="23">
        <v>0</v>
      </c>
    </row>
    <row r="2227" spans="1:11" x14ac:dyDescent="0.25">
      <c r="A2227">
        <v>2226</v>
      </c>
      <c r="B2227" s="23">
        <v>1633.0419999999999</v>
      </c>
      <c r="C2227" s="23">
        <v>77.239999999999995</v>
      </c>
      <c r="D2227" s="23">
        <v>210.47399999999999</v>
      </c>
      <c r="E2227" s="23">
        <v>210.47399999999999</v>
      </c>
      <c r="F2227" s="23">
        <v>0</v>
      </c>
      <c r="G2227" s="23">
        <v>0</v>
      </c>
      <c r="H2227" s="23">
        <v>0</v>
      </c>
      <c r="I2227" s="23">
        <v>0</v>
      </c>
      <c r="J2227" s="23">
        <v>0</v>
      </c>
      <c r="K2227" s="23">
        <v>1422.568</v>
      </c>
    </row>
    <row r="2228" spans="1:11" x14ac:dyDescent="0.25">
      <c r="A2228">
        <v>2227</v>
      </c>
      <c r="B2228" s="23">
        <v>1619.4760000000001</v>
      </c>
      <c r="C2228" s="23">
        <v>0</v>
      </c>
      <c r="D2228" s="23">
        <v>0</v>
      </c>
      <c r="E2228" s="23">
        <v>0</v>
      </c>
      <c r="F2228" s="23">
        <v>0</v>
      </c>
      <c r="G2228" s="23">
        <v>0</v>
      </c>
      <c r="H2228" s="23">
        <v>0</v>
      </c>
      <c r="I2228" s="23">
        <v>0</v>
      </c>
      <c r="J2228" s="23">
        <v>0</v>
      </c>
      <c r="K2228" s="23">
        <v>1619.4760000000001</v>
      </c>
    </row>
    <row r="2229" spans="1:11" x14ac:dyDescent="0.25">
      <c r="A2229">
        <v>2228</v>
      </c>
      <c r="B2229" s="23">
        <v>1533.6</v>
      </c>
      <c r="C2229" s="23">
        <v>0</v>
      </c>
      <c r="D2229" s="23">
        <v>0</v>
      </c>
      <c r="E2229" s="23">
        <v>0</v>
      </c>
      <c r="F2229" s="23">
        <v>0</v>
      </c>
      <c r="G2229" s="23">
        <v>0</v>
      </c>
      <c r="H2229" s="23">
        <v>0</v>
      </c>
      <c r="I2229" s="23">
        <v>0</v>
      </c>
      <c r="J2229" s="23">
        <v>0</v>
      </c>
      <c r="K2229" s="23">
        <v>1533.6</v>
      </c>
    </row>
    <row r="2230" spans="1:11" x14ac:dyDescent="0.25">
      <c r="A2230">
        <v>2229</v>
      </c>
      <c r="B2230" s="23">
        <v>1748.8</v>
      </c>
      <c r="C2230" s="23">
        <v>0</v>
      </c>
      <c r="D2230" s="23">
        <v>0</v>
      </c>
      <c r="E2230" s="23">
        <v>0</v>
      </c>
      <c r="F2230" s="23">
        <v>0</v>
      </c>
      <c r="G2230" s="23">
        <v>0</v>
      </c>
      <c r="H2230" s="23">
        <v>0</v>
      </c>
      <c r="I2230" s="23">
        <v>1748.8</v>
      </c>
      <c r="J2230" s="23">
        <v>0</v>
      </c>
      <c r="K2230" s="23">
        <v>0</v>
      </c>
    </row>
    <row r="2231" spans="1:11" x14ac:dyDescent="0.25">
      <c r="A2231">
        <v>2230</v>
      </c>
      <c r="B2231" s="23">
        <v>1145.5999999999999</v>
      </c>
      <c r="C2231" s="23">
        <v>0</v>
      </c>
      <c r="D2231" s="23">
        <v>0</v>
      </c>
      <c r="E2231" s="23">
        <v>0</v>
      </c>
      <c r="F2231" s="23">
        <v>0</v>
      </c>
      <c r="G2231" s="23">
        <v>0</v>
      </c>
      <c r="H2231" s="23">
        <v>0</v>
      </c>
      <c r="I2231" s="23">
        <v>1145.5999999999999</v>
      </c>
      <c r="J2231" s="23">
        <v>0</v>
      </c>
      <c r="K2231" s="23">
        <v>0</v>
      </c>
    </row>
    <row r="2232" spans="1:11" x14ac:dyDescent="0.25">
      <c r="A2232">
        <v>2231</v>
      </c>
      <c r="B2232" s="23">
        <v>1203.2</v>
      </c>
      <c r="C2232" s="23">
        <v>0</v>
      </c>
      <c r="D2232" s="23">
        <v>0</v>
      </c>
      <c r="E2232" s="23">
        <v>0</v>
      </c>
      <c r="F2232" s="23">
        <v>0</v>
      </c>
      <c r="G2232" s="23">
        <v>0</v>
      </c>
      <c r="H2232" s="23">
        <v>0</v>
      </c>
      <c r="I2232" s="23">
        <v>1203.2</v>
      </c>
      <c r="J2232" s="23">
        <v>0</v>
      </c>
      <c r="K2232" s="23">
        <v>0</v>
      </c>
    </row>
    <row r="2233" spans="1:11" x14ac:dyDescent="0.25">
      <c r="A2233">
        <v>2232</v>
      </c>
      <c r="B2233" s="23">
        <v>382.4</v>
      </c>
      <c r="C2233" s="23">
        <v>0</v>
      </c>
      <c r="D2233" s="23">
        <v>0</v>
      </c>
      <c r="E2233" s="23">
        <v>0</v>
      </c>
      <c r="F2233" s="23">
        <v>0</v>
      </c>
      <c r="G2233" s="23">
        <v>0</v>
      </c>
      <c r="H2233" s="23">
        <v>0</v>
      </c>
      <c r="I2233" s="23">
        <v>382.4</v>
      </c>
      <c r="J2233" s="23">
        <v>0</v>
      </c>
      <c r="K2233" s="23">
        <v>0</v>
      </c>
    </row>
    <row r="2234" spans="1:11" x14ac:dyDescent="0.25">
      <c r="A2234">
        <v>2233</v>
      </c>
      <c r="B2234" s="23">
        <v>120</v>
      </c>
      <c r="C2234" s="23">
        <v>0</v>
      </c>
      <c r="D2234" s="23">
        <v>0</v>
      </c>
      <c r="E2234" s="23">
        <v>0</v>
      </c>
      <c r="F2234" s="23">
        <v>0</v>
      </c>
      <c r="G2234" s="23">
        <v>0</v>
      </c>
      <c r="H2234" s="23">
        <v>0</v>
      </c>
      <c r="I2234" s="23">
        <v>120</v>
      </c>
      <c r="J2234" s="23">
        <v>0</v>
      </c>
      <c r="K2234" s="23">
        <v>0</v>
      </c>
    </row>
    <row r="2235" spans="1:11" x14ac:dyDescent="0.25">
      <c r="A2235">
        <v>2234</v>
      </c>
      <c r="B2235" s="23">
        <v>126.4</v>
      </c>
      <c r="C2235" s="23">
        <v>0</v>
      </c>
      <c r="D2235" s="23">
        <v>0</v>
      </c>
      <c r="E2235" s="23">
        <v>0</v>
      </c>
      <c r="F2235" s="23">
        <v>0</v>
      </c>
      <c r="G2235" s="23">
        <v>0</v>
      </c>
      <c r="H2235" s="23">
        <v>0</v>
      </c>
      <c r="I2235" s="23">
        <v>126.4</v>
      </c>
      <c r="J2235" s="23">
        <v>0</v>
      </c>
      <c r="K2235" s="23">
        <v>0</v>
      </c>
    </row>
    <row r="2236" spans="1:11" x14ac:dyDescent="0.25">
      <c r="A2236">
        <v>2235</v>
      </c>
      <c r="B2236" s="23">
        <v>118.4</v>
      </c>
      <c r="C2236" s="23">
        <v>0</v>
      </c>
      <c r="D2236" s="23">
        <v>0</v>
      </c>
      <c r="E2236" s="23">
        <v>0</v>
      </c>
      <c r="F2236" s="23">
        <v>0</v>
      </c>
      <c r="G2236" s="23">
        <v>0</v>
      </c>
      <c r="H2236" s="23">
        <v>0</v>
      </c>
      <c r="I2236" s="23">
        <v>118.4</v>
      </c>
      <c r="J2236" s="23">
        <v>0</v>
      </c>
      <c r="K2236" s="23">
        <v>0</v>
      </c>
    </row>
    <row r="2237" spans="1:11" x14ac:dyDescent="0.25">
      <c r="A2237">
        <v>2236</v>
      </c>
      <c r="B2237" s="23">
        <v>124.8</v>
      </c>
      <c r="C2237" s="23">
        <v>0</v>
      </c>
      <c r="D2237" s="23">
        <v>0</v>
      </c>
      <c r="E2237" s="23">
        <v>0</v>
      </c>
      <c r="F2237" s="23">
        <v>0</v>
      </c>
      <c r="G2237" s="23">
        <v>0</v>
      </c>
      <c r="H2237" s="23">
        <v>0</v>
      </c>
      <c r="I2237" s="23">
        <v>124.8</v>
      </c>
      <c r="J2237" s="23">
        <v>0</v>
      </c>
      <c r="K2237" s="23">
        <v>0</v>
      </c>
    </row>
    <row r="2238" spans="1:11" x14ac:dyDescent="0.25">
      <c r="A2238">
        <v>2237</v>
      </c>
      <c r="B2238" s="23">
        <v>127.2</v>
      </c>
      <c r="C2238" s="23">
        <v>0</v>
      </c>
      <c r="D2238" s="23">
        <v>0</v>
      </c>
      <c r="E2238" s="23">
        <v>0</v>
      </c>
      <c r="F2238" s="23">
        <v>0</v>
      </c>
      <c r="G2238" s="23">
        <v>0</v>
      </c>
      <c r="H2238" s="23">
        <v>0</v>
      </c>
      <c r="I2238" s="23">
        <v>127.2</v>
      </c>
      <c r="J2238" s="23">
        <v>0</v>
      </c>
      <c r="K2238" s="23">
        <v>0</v>
      </c>
    </row>
    <row r="2239" spans="1:11" x14ac:dyDescent="0.25">
      <c r="A2239">
        <v>2238</v>
      </c>
      <c r="B2239" s="23">
        <v>104.8</v>
      </c>
      <c r="C2239" s="23">
        <v>0</v>
      </c>
      <c r="D2239" s="23">
        <v>0</v>
      </c>
      <c r="E2239" s="23">
        <v>0</v>
      </c>
      <c r="F2239" s="23">
        <v>0</v>
      </c>
      <c r="G2239" s="23">
        <v>0</v>
      </c>
      <c r="H2239" s="23">
        <v>0</v>
      </c>
      <c r="I2239" s="23">
        <v>104.8</v>
      </c>
      <c r="J2239" s="23">
        <v>0</v>
      </c>
      <c r="K2239" s="23">
        <v>0</v>
      </c>
    </row>
    <row r="2240" spans="1:11" x14ac:dyDescent="0.25">
      <c r="A2240">
        <v>2239</v>
      </c>
      <c r="B2240" s="23">
        <v>90.454999999999998</v>
      </c>
      <c r="C2240" s="23">
        <v>50.03</v>
      </c>
      <c r="D2240" s="23">
        <v>168.19200000000001</v>
      </c>
      <c r="E2240" s="23">
        <v>90.454999999999998</v>
      </c>
      <c r="F2240" s="23">
        <v>-77.736999999999995</v>
      </c>
      <c r="G2240" s="23">
        <v>0</v>
      </c>
      <c r="H2240" s="23">
        <v>0</v>
      </c>
      <c r="I2240" s="23">
        <v>0</v>
      </c>
      <c r="J2240" s="23">
        <v>0</v>
      </c>
      <c r="K2240" s="23">
        <v>0</v>
      </c>
    </row>
    <row r="2241" spans="1:11" x14ac:dyDescent="0.25">
      <c r="A2241">
        <v>2240</v>
      </c>
      <c r="B2241" s="23">
        <v>181.636</v>
      </c>
      <c r="C2241" s="23">
        <v>194.46</v>
      </c>
      <c r="D2241" s="23">
        <v>750.51799999999992</v>
      </c>
      <c r="E2241" s="23">
        <v>181.636</v>
      </c>
      <c r="F2241" s="23">
        <v>-568.88199999999995</v>
      </c>
      <c r="G2241" s="23">
        <v>0</v>
      </c>
      <c r="H2241" s="23">
        <v>0</v>
      </c>
      <c r="I2241" s="23">
        <v>0</v>
      </c>
      <c r="J2241" s="23">
        <v>0</v>
      </c>
      <c r="K2241" s="23">
        <v>0</v>
      </c>
    </row>
    <row r="2242" spans="1:11" x14ac:dyDescent="0.25">
      <c r="A2242">
        <v>2241</v>
      </c>
      <c r="B2242" s="23">
        <v>1303.8879999999999</v>
      </c>
      <c r="C2242" s="23">
        <v>212.59</v>
      </c>
      <c r="D2242" s="23">
        <v>806.56100000000004</v>
      </c>
      <c r="E2242" s="23">
        <v>806.56100000000004</v>
      </c>
      <c r="F2242" s="23">
        <v>0</v>
      </c>
      <c r="G2242" s="23">
        <v>0</v>
      </c>
      <c r="H2242" s="23">
        <v>0</v>
      </c>
      <c r="I2242" s="23">
        <v>497.327</v>
      </c>
      <c r="J2242" s="23">
        <v>0</v>
      </c>
      <c r="K2242" s="23">
        <v>0</v>
      </c>
    </row>
    <row r="2243" spans="1:11" x14ac:dyDescent="0.25">
      <c r="A2243">
        <v>2242</v>
      </c>
      <c r="B2243" s="23">
        <v>1593.999</v>
      </c>
      <c r="C2243" s="23">
        <v>518.73</v>
      </c>
      <c r="D2243" s="23">
        <v>1945.1510000000001</v>
      </c>
      <c r="E2243" s="23">
        <v>1593.999</v>
      </c>
      <c r="F2243" s="23">
        <v>-351.15199999999999</v>
      </c>
      <c r="G2243" s="23">
        <v>0</v>
      </c>
      <c r="H2243" s="23">
        <v>0</v>
      </c>
      <c r="I2243" s="23">
        <v>0</v>
      </c>
      <c r="J2243" s="23">
        <v>0</v>
      </c>
      <c r="K2243" s="23">
        <v>0</v>
      </c>
    </row>
    <row r="2244" spans="1:11" x14ac:dyDescent="0.25">
      <c r="A2244">
        <v>2243</v>
      </c>
      <c r="B2244" s="23">
        <v>1722.6869999999999</v>
      </c>
      <c r="C2244" s="23">
        <v>611.28</v>
      </c>
      <c r="D2244" s="23">
        <v>2248.5</v>
      </c>
      <c r="E2244" s="23">
        <v>1722.6869999999999</v>
      </c>
      <c r="F2244" s="23">
        <v>-525.81299999999999</v>
      </c>
      <c r="G2244" s="23">
        <v>0</v>
      </c>
      <c r="H2244" s="23">
        <v>0</v>
      </c>
      <c r="I2244" s="23">
        <v>0</v>
      </c>
      <c r="J2244" s="23">
        <v>0</v>
      </c>
      <c r="K2244" s="23">
        <v>0</v>
      </c>
    </row>
    <row r="2245" spans="1:11" x14ac:dyDescent="0.25">
      <c r="A2245">
        <v>2244</v>
      </c>
      <c r="B2245" s="23">
        <v>1824.597</v>
      </c>
      <c r="C2245" s="23">
        <v>610.08000000000004</v>
      </c>
      <c r="D2245" s="23">
        <v>2223.7249999999999</v>
      </c>
      <c r="E2245" s="23">
        <v>1824.597</v>
      </c>
      <c r="F2245" s="23">
        <v>-399.12799999999999</v>
      </c>
      <c r="G2245" s="23">
        <v>0</v>
      </c>
      <c r="H2245" s="23">
        <v>0</v>
      </c>
      <c r="I2245" s="23">
        <v>0</v>
      </c>
      <c r="J2245" s="23">
        <v>0</v>
      </c>
      <c r="K2245" s="23">
        <v>0</v>
      </c>
    </row>
    <row r="2246" spans="1:11" x14ac:dyDescent="0.25">
      <c r="A2246">
        <v>2245</v>
      </c>
      <c r="B2246" s="23">
        <v>1538.3489999999999</v>
      </c>
      <c r="C2246" s="23">
        <v>766.06</v>
      </c>
      <c r="D2246" s="23">
        <v>2753.8409999999999</v>
      </c>
      <c r="E2246" s="23">
        <v>1538.3489999999999</v>
      </c>
      <c r="F2246" s="23">
        <v>-1215.492</v>
      </c>
      <c r="G2246" s="23">
        <v>0</v>
      </c>
      <c r="H2246" s="23">
        <v>0</v>
      </c>
      <c r="I2246" s="23">
        <v>0</v>
      </c>
      <c r="J2246" s="23">
        <v>0</v>
      </c>
      <c r="K2246" s="23">
        <v>0</v>
      </c>
    </row>
    <row r="2247" spans="1:11" x14ac:dyDescent="0.25">
      <c r="A2247">
        <v>2246</v>
      </c>
      <c r="B2247" s="23">
        <v>1462.819</v>
      </c>
      <c r="C2247" s="23">
        <v>716.29</v>
      </c>
      <c r="D2247" s="23">
        <v>2598.63</v>
      </c>
      <c r="E2247" s="23">
        <v>1462.819</v>
      </c>
      <c r="F2247" s="23">
        <v>-1135.8109999999999</v>
      </c>
      <c r="G2247" s="23">
        <v>0</v>
      </c>
      <c r="H2247" s="23">
        <v>0</v>
      </c>
      <c r="I2247" s="23">
        <v>0</v>
      </c>
      <c r="J2247" s="23">
        <v>0</v>
      </c>
      <c r="K2247" s="23">
        <v>0</v>
      </c>
    </row>
    <row r="2248" spans="1:11" x14ac:dyDescent="0.25">
      <c r="A2248">
        <v>2247</v>
      </c>
      <c r="B2248" s="23">
        <v>1763.0619999999999</v>
      </c>
      <c r="C2248" s="23">
        <v>529.02</v>
      </c>
      <c r="D2248" s="23">
        <v>1967.5609999999999</v>
      </c>
      <c r="E2248" s="23">
        <v>1763.0619999999999</v>
      </c>
      <c r="F2248" s="23">
        <v>-204.499</v>
      </c>
      <c r="G2248" s="23">
        <v>0</v>
      </c>
      <c r="H2248" s="23">
        <v>0</v>
      </c>
      <c r="I2248" s="23">
        <v>0</v>
      </c>
      <c r="J2248" s="23">
        <v>0</v>
      </c>
      <c r="K2248" s="23">
        <v>0</v>
      </c>
    </row>
    <row r="2249" spans="1:11" x14ac:dyDescent="0.25">
      <c r="A2249">
        <v>2248</v>
      </c>
      <c r="B2249" s="23">
        <v>1727.078</v>
      </c>
      <c r="C2249" s="23">
        <v>450.78</v>
      </c>
      <c r="D2249" s="23">
        <v>1718.1990000000001</v>
      </c>
      <c r="E2249" s="23">
        <v>1718.1990000000001</v>
      </c>
      <c r="F2249" s="23">
        <v>0</v>
      </c>
      <c r="G2249" s="23">
        <v>0</v>
      </c>
      <c r="H2249" s="23">
        <v>0</v>
      </c>
      <c r="I2249" s="23">
        <v>8.8789999999999996</v>
      </c>
      <c r="J2249" s="23">
        <v>0</v>
      </c>
      <c r="K2249" s="23">
        <v>0</v>
      </c>
    </row>
    <row r="2250" spans="1:11" x14ac:dyDescent="0.25">
      <c r="A2250">
        <v>2249</v>
      </c>
      <c r="B2250" s="23">
        <v>1726.7439999999999</v>
      </c>
      <c r="C2250" s="23">
        <v>70.39</v>
      </c>
      <c r="D2250" s="23">
        <v>247.15100000000001</v>
      </c>
      <c r="E2250" s="23">
        <v>247.15100000000001</v>
      </c>
      <c r="F2250" s="23">
        <v>0</v>
      </c>
      <c r="G2250" s="23">
        <v>0</v>
      </c>
      <c r="H2250" s="23">
        <v>0</v>
      </c>
      <c r="I2250" s="23">
        <v>1479.5930000000001</v>
      </c>
      <c r="J2250" s="23">
        <v>0</v>
      </c>
      <c r="K2250" s="23">
        <v>0</v>
      </c>
    </row>
    <row r="2251" spans="1:11" x14ac:dyDescent="0.25">
      <c r="A2251">
        <v>2250</v>
      </c>
      <c r="B2251" s="23">
        <v>1440.0619999999999</v>
      </c>
      <c r="C2251" s="23">
        <v>19.59</v>
      </c>
      <c r="D2251" s="23">
        <v>47.741999999999997</v>
      </c>
      <c r="E2251" s="23">
        <v>47.741999999999997</v>
      </c>
      <c r="F2251" s="23">
        <v>0</v>
      </c>
      <c r="G2251" s="23">
        <v>0</v>
      </c>
      <c r="H2251" s="23">
        <v>0</v>
      </c>
      <c r="I2251" s="23">
        <v>0</v>
      </c>
      <c r="J2251" s="23">
        <v>0</v>
      </c>
      <c r="K2251" s="23">
        <v>1392.32</v>
      </c>
    </row>
    <row r="2252" spans="1:11" x14ac:dyDescent="0.25">
      <c r="A2252">
        <v>2251</v>
      </c>
      <c r="B2252" s="23">
        <v>1485.876</v>
      </c>
      <c r="C2252" s="23">
        <v>0</v>
      </c>
      <c r="D2252" s="23">
        <v>0</v>
      </c>
      <c r="E2252" s="23">
        <v>0</v>
      </c>
      <c r="F2252" s="23">
        <v>0</v>
      </c>
      <c r="G2252" s="23">
        <v>0</v>
      </c>
      <c r="H2252" s="23">
        <v>0</v>
      </c>
      <c r="I2252" s="23">
        <v>0</v>
      </c>
      <c r="J2252" s="23">
        <v>0</v>
      </c>
      <c r="K2252" s="23">
        <v>1485.876</v>
      </c>
    </row>
    <row r="2253" spans="1:11" x14ac:dyDescent="0.25">
      <c r="A2253">
        <v>2252</v>
      </c>
      <c r="B2253" s="23">
        <v>1420</v>
      </c>
      <c r="C2253" s="23">
        <v>0</v>
      </c>
      <c r="D2253" s="23">
        <v>0</v>
      </c>
      <c r="E2253" s="23">
        <v>0</v>
      </c>
      <c r="F2253" s="23">
        <v>0</v>
      </c>
      <c r="G2253" s="23">
        <v>0</v>
      </c>
      <c r="H2253" s="23">
        <v>0</v>
      </c>
      <c r="I2253" s="23">
        <v>0</v>
      </c>
      <c r="J2253" s="23">
        <v>0</v>
      </c>
      <c r="K2253" s="23">
        <v>1420</v>
      </c>
    </row>
    <row r="2254" spans="1:11" x14ac:dyDescent="0.25">
      <c r="A2254">
        <v>2253</v>
      </c>
      <c r="B2254" s="23">
        <v>1555.2</v>
      </c>
      <c r="C2254" s="23">
        <v>0</v>
      </c>
      <c r="D2254" s="23">
        <v>0</v>
      </c>
      <c r="E2254" s="23">
        <v>0</v>
      </c>
      <c r="F2254" s="23">
        <v>0</v>
      </c>
      <c r="G2254" s="23">
        <v>0</v>
      </c>
      <c r="H2254" s="23">
        <v>0</v>
      </c>
      <c r="I2254" s="23">
        <v>1555.2</v>
      </c>
      <c r="J2254" s="23">
        <v>0</v>
      </c>
      <c r="K2254" s="23">
        <v>0</v>
      </c>
    </row>
    <row r="2255" spans="1:11" x14ac:dyDescent="0.25">
      <c r="A2255">
        <v>2254</v>
      </c>
      <c r="B2255" s="23">
        <v>1828.8</v>
      </c>
      <c r="C2255" s="23">
        <v>0</v>
      </c>
      <c r="D2255" s="23">
        <v>0</v>
      </c>
      <c r="E2255" s="23">
        <v>0</v>
      </c>
      <c r="F2255" s="23">
        <v>0</v>
      </c>
      <c r="G2255" s="23">
        <v>0</v>
      </c>
      <c r="H2255" s="23">
        <v>0</v>
      </c>
      <c r="I2255" s="23">
        <v>1828.8</v>
      </c>
      <c r="J2255" s="23">
        <v>0</v>
      </c>
      <c r="K2255" s="23">
        <v>0</v>
      </c>
    </row>
    <row r="2256" spans="1:11" x14ac:dyDescent="0.25">
      <c r="A2256">
        <v>2255</v>
      </c>
      <c r="B2256" s="23">
        <v>1337.6</v>
      </c>
      <c r="C2256" s="23">
        <v>0</v>
      </c>
      <c r="D2256" s="23">
        <v>0</v>
      </c>
      <c r="E2256" s="23">
        <v>0</v>
      </c>
      <c r="F2256" s="23">
        <v>0</v>
      </c>
      <c r="G2256" s="23">
        <v>0</v>
      </c>
      <c r="H2256" s="23">
        <v>0</v>
      </c>
      <c r="I2256" s="23">
        <v>1337.6</v>
      </c>
      <c r="J2256" s="23">
        <v>0</v>
      </c>
      <c r="K2256" s="23">
        <v>0</v>
      </c>
    </row>
    <row r="2257" spans="1:11" x14ac:dyDescent="0.25">
      <c r="A2257">
        <v>2256</v>
      </c>
      <c r="B2257" s="23">
        <v>1448.8</v>
      </c>
      <c r="C2257" s="23">
        <v>0</v>
      </c>
      <c r="D2257" s="23">
        <v>0</v>
      </c>
      <c r="E2257" s="23">
        <v>0</v>
      </c>
      <c r="F2257" s="23">
        <v>0</v>
      </c>
      <c r="G2257" s="23">
        <v>0</v>
      </c>
      <c r="H2257" s="23">
        <v>0</v>
      </c>
      <c r="I2257" s="23">
        <v>1448.8</v>
      </c>
      <c r="J2257" s="23">
        <v>0</v>
      </c>
      <c r="K2257" s="23">
        <v>0</v>
      </c>
    </row>
    <row r="2258" spans="1:11" x14ac:dyDescent="0.25">
      <c r="A2258">
        <v>2257</v>
      </c>
      <c r="B2258" s="23">
        <v>1088.8</v>
      </c>
      <c r="C2258" s="23">
        <v>0</v>
      </c>
      <c r="D2258" s="23">
        <v>0</v>
      </c>
      <c r="E2258" s="23">
        <v>0</v>
      </c>
      <c r="F2258" s="23">
        <v>0</v>
      </c>
      <c r="G2258" s="23">
        <v>0</v>
      </c>
      <c r="H2258" s="23">
        <v>0</v>
      </c>
      <c r="I2258" s="23">
        <v>1088.8</v>
      </c>
      <c r="J2258" s="23">
        <v>0</v>
      </c>
      <c r="K2258" s="23">
        <v>0</v>
      </c>
    </row>
    <row r="2259" spans="1:11" x14ac:dyDescent="0.25">
      <c r="A2259">
        <v>2258</v>
      </c>
      <c r="B2259" s="23">
        <v>1398.4</v>
      </c>
      <c r="C2259" s="23">
        <v>0</v>
      </c>
      <c r="D2259" s="23">
        <v>0</v>
      </c>
      <c r="E2259" s="23">
        <v>0</v>
      </c>
      <c r="F2259" s="23">
        <v>0</v>
      </c>
      <c r="G2259" s="23">
        <v>0</v>
      </c>
      <c r="H2259" s="23">
        <v>0</v>
      </c>
      <c r="I2259" s="23">
        <v>1398.4</v>
      </c>
      <c r="J2259" s="23">
        <v>0</v>
      </c>
      <c r="K2259" s="23">
        <v>0</v>
      </c>
    </row>
    <row r="2260" spans="1:11" x14ac:dyDescent="0.25">
      <c r="A2260">
        <v>2259</v>
      </c>
      <c r="B2260" s="23">
        <v>1239.2</v>
      </c>
      <c r="C2260" s="23">
        <v>0</v>
      </c>
      <c r="D2260" s="23">
        <v>0</v>
      </c>
      <c r="E2260" s="23">
        <v>0</v>
      </c>
      <c r="F2260" s="23">
        <v>0</v>
      </c>
      <c r="G2260" s="23">
        <v>0</v>
      </c>
      <c r="H2260" s="23">
        <v>0</v>
      </c>
      <c r="I2260" s="23">
        <v>1239.2</v>
      </c>
      <c r="J2260" s="23">
        <v>0</v>
      </c>
      <c r="K2260" s="23">
        <v>0</v>
      </c>
    </row>
    <row r="2261" spans="1:11" x14ac:dyDescent="0.25">
      <c r="A2261">
        <v>2260</v>
      </c>
      <c r="B2261" s="23">
        <v>1181.5999999999999</v>
      </c>
      <c r="C2261" s="23">
        <v>0</v>
      </c>
      <c r="D2261" s="23">
        <v>0</v>
      </c>
      <c r="E2261" s="23">
        <v>0</v>
      </c>
      <c r="F2261" s="23">
        <v>0</v>
      </c>
      <c r="G2261" s="23">
        <v>0</v>
      </c>
      <c r="H2261" s="23">
        <v>0</v>
      </c>
      <c r="I2261" s="23">
        <v>1181.5999999999999</v>
      </c>
      <c r="J2261" s="23">
        <v>0</v>
      </c>
      <c r="K2261" s="23">
        <v>0</v>
      </c>
    </row>
    <row r="2262" spans="1:11" x14ac:dyDescent="0.25">
      <c r="A2262">
        <v>2261</v>
      </c>
      <c r="B2262" s="23">
        <v>1463.2</v>
      </c>
      <c r="C2262" s="23">
        <v>0</v>
      </c>
      <c r="D2262" s="23">
        <v>0</v>
      </c>
      <c r="E2262" s="23">
        <v>0</v>
      </c>
      <c r="F2262" s="23">
        <v>0</v>
      </c>
      <c r="G2262" s="23">
        <v>0</v>
      </c>
      <c r="H2262" s="23">
        <v>0</v>
      </c>
      <c r="I2262" s="23">
        <v>1463.2</v>
      </c>
      <c r="J2262" s="23">
        <v>0</v>
      </c>
      <c r="K2262" s="23">
        <v>0</v>
      </c>
    </row>
    <row r="2263" spans="1:11" x14ac:dyDescent="0.25">
      <c r="A2263">
        <v>2262</v>
      </c>
      <c r="B2263" s="23">
        <v>1187.2</v>
      </c>
      <c r="C2263" s="23">
        <v>0</v>
      </c>
      <c r="D2263" s="23">
        <v>0</v>
      </c>
      <c r="E2263" s="23">
        <v>0</v>
      </c>
      <c r="F2263" s="23">
        <v>0</v>
      </c>
      <c r="G2263" s="23">
        <v>0</v>
      </c>
      <c r="H2263" s="23">
        <v>0</v>
      </c>
      <c r="I2263" s="23">
        <v>1187.2</v>
      </c>
      <c r="J2263" s="23">
        <v>0</v>
      </c>
      <c r="K2263" s="23">
        <v>0</v>
      </c>
    </row>
    <row r="2264" spans="1:11" x14ac:dyDescent="0.25">
      <c r="A2264">
        <v>2263</v>
      </c>
      <c r="B2264" s="23">
        <v>1184.8</v>
      </c>
      <c r="C2264" s="23">
        <v>83.53</v>
      </c>
      <c r="D2264" s="23">
        <v>281.20299999999997</v>
      </c>
      <c r="E2264" s="23">
        <v>281.20299999999997</v>
      </c>
      <c r="F2264" s="23">
        <v>0</v>
      </c>
      <c r="G2264" s="23">
        <v>0</v>
      </c>
      <c r="H2264" s="23">
        <v>0</v>
      </c>
      <c r="I2264" s="23">
        <v>428.47300000000001</v>
      </c>
      <c r="J2264" s="23">
        <v>0</v>
      </c>
      <c r="K2264" s="23">
        <v>475.12400000000002</v>
      </c>
    </row>
    <row r="2265" spans="1:11" x14ac:dyDescent="0.25">
      <c r="A2265">
        <v>2264</v>
      </c>
      <c r="B2265" s="23">
        <v>1603.4559999999999</v>
      </c>
      <c r="C2265" s="23">
        <v>280.89999999999998</v>
      </c>
      <c r="D2265" s="23">
        <v>1098.07</v>
      </c>
      <c r="E2265" s="23">
        <v>1098.07</v>
      </c>
      <c r="F2265" s="23">
        <v>0</v>
      </c>
      <c r="G2265" s="23">
        <v>0</v>
      </c>
      <c r="H2265" s="23">
        <v>0</v>
      </c>
      <c r="I2265" s="23">
        <v>0</v>
      </c>
      <c r="J2265" s="23">
        <v>0</v>
      </c>
      <c r="K2265" s="23">
        <v>505.38600000000002</v>
      </c>
    </row>
    <row r="2266" spans="1:11" x14ac:dyDescent="0.25">
      <c r="A2266">
        <v>2265</v>
      </c>
      <c r="B2266" s="23">
        <v>1609.3489999999999</v>
      </c>
      <c r="C2266" s="23">
        <v>445.01</v>
      </c>
      <c r="D2266" s="23">
        <v>1716.4680000000001</v>
      </c>
      <c r="E2266" s="23">
        <v>1609.3489999999999</v>
      </c>
      <c r="F2266" s="23">
        <v>-107.119</v>
      </c>
      <c r="G2266" s="23">
        <v>0</v>
      </c>
      <c r="H2266" s="23">
        <v>0</v>
      </c>
      <c r="I2266" s="23">
        <v>0</v>
      </c>
      <c r="J2266" s="23">
        <v>0</v>
      </c>
      <c r="K2266" s="23">
        <v>0</v>
      </c>
    </row>
    <row r="2267" spans="1:11" x14ac:dyDescent="0.25">
      <c r="A2267">
        <v>2266</v>
      </c>
      <c r="B2267" s="23">
        <v>1528.2070000000001</v>
      </c>
      <c r="C2267" s="23">
        <v>610.17999999999995</v>
      </c>
      <c r="D2267" s="23">
        <v>2289.5419999999999</v>
      </c>
      <c r="E2267" s="23">
        <v>1528.2070000000001</v>
      </c>
      <c r="F2267" s="23">
        <v>-761.33500000000004</v>
      </c>
      <c r="G2267" s="23">
        <v>0</v>
      </c>
      <c r="H2267" s="23">
        <v>0</v>
      </c>
      <c r="I2267" s="23">
        <v>0</v>
      </c>
      <c r="J2267" s="23">
        <v>0</v>
      </c>
      <c r="K2267" s="23">
        <v>0</v>
      </c>
    </row>
    <row r="2268" spans="1:11" x14ac:dyDescent="0.25">
      <c r="A2268">
        <v>2267</v>
      </c>
      <c r="B2268" s="23">
        <v>1584.4090000000001</v>
      </c>
      <c r="C2268" s="23">
        <v>710.29</v>
      </c>
      <c r="D2268" s="23">
        <v>2600.9549999999999</v>
      </c>
      <c r="E2268" s="23">
        <v>1584.4090000000001</v>
      </c>
      <c r="F2268" s="23">
        <v>-1016.546</v>
      </c>
      <c r="G2268" s="23">
        <v>0</v>
      </c>
      <c r="H2268" s="23">
        <v>0</v>
      </c>
      <c r="I2268" s="23">
        <v>0</v>
      </c>
      <c r="J2268" s="23">
        <v>0</v>
      </c>
      <c r="K2268" s="23">
        <v>0</v>
      </c>
    </row>
    <row r="2269" spans="1:11" x14ac:dyDescent="0.25">
      <c r="A2269">
        <v>2268</v>
      </c>
      <c r="B2269" s="23">
        <v>1411.614</v>
      </c>
      <c r="C2269" s="23">
        <v>748.29</v>
      </c>
      <c r="D2269" s="23">
        <v>2698.355</v>
      </c>
      <c r="E2269" s="23">
        <v>1411.614</v>
      </c>
      <c r="F2269" s="23">
        <v>-1286.741</v>
      </c>
      <c r="G2269" s="23">
        <v>0</v>
      </c>
      <c r="H2269" s="23">
        <v>0</v>
      </c>
      <c r="I2269" s="23">
        <v>0</v>
      </c>
      <c r="J2269" s="23">
        <v>0</v>
      </c>
      <c r="K2269" s="23">
        <v>0</v>
      </c>
    </row>
    <row r="2270" spans="1:11" x14ac:dyDescent="0.25">
      <c r="A2270">
        <v>2269</v>
      </c>
      <c r="B2270" s="23">
        <v>1807.633</v>
      </c>
      <c r="C2270" s="23">
        <v>779.54</v>
      </c>
      <c r="D2270" s="23">
        <v>2795.1930000000002</v>
      </c>
      <c r="E2270" s="23">
        <v>1807.633</v>
      </c>
      <c r="F2270" s="23">
        <v>-987.56</v>
      </c>
      <c r="G2270" s="23">
        <v>0</v>
      </c>
      <c r="H2270" s="23">
        <v>0</v>
      </c>
      <c r="I2270" s="23">
        <v>0</v>
      </c>
      <c r="J2270" s="23">
        <v>0</v>
      </c>
      <c r="K2270" s="23">
        <v>0</v>
      </c>
    </row>
    <row r="2271" spans="1:11" x14ac:dyDescent="0.25">
      <c r="A2271">
        <v>2270</v>
      </c>
      <c r="B2271" s="23">
        <v>1580.825</v>
      </c>
      <c r="C2271" s="23">
        <v>752.37</v>
      </c>
      <c r="D2271" s="23">
        <v>2724.0859999999998</v>
      </c>
      <c r="E2271" s="23">
        <v>1580.825</v>
      </c>
      <c r="F2271" s="23">
        <v>-1143.261</v>
      </c>
      <c r="G2271" s="23">
        <v>0</v>
      </c>
      <c r="H2271" s="23">
        <v>0</v>
      </c>
      <c r="I2271" s="23">
        <v>0</v>
      </c>
      <c r="J2271" s="23">
        <v>0</v>
      </c>
      <c r="K2271" s="23">
        <v>0</v>
      </c>
    </row>
    <row r="2272" spans="1:11" x14ac:dyDescent="0.25">
      <c r="A2272">
        <v>2271</v>
      </c>
      <c r="B2272" s="23">
        <v>1109.4280000000001</v>
      </c>
      <c r="C2272" s="23">
        <v>584.53</v>
      </c>
      <c r="D2272" s="23">
        <v>2172.5790000000002</v>
      </c>
      <c r="E2272" s="23">
        <v>1109.4280000000001</v>
      </c>
      <c r="F2272" s="23">
        <v>-1063.1510000000001</v>
      </c>
      <c r="G2272" s="23">
        <v>0</v>
      </c>
      <c r="H2272" s="23">
        <v>0</v>
      </c>
      <c r="I2272" s="23">
        <v>0</v>
      </c>
      <c r="J2272" s="23">
        <v>0</v>
      </c>
      <c r="K2272" s="23">
        <v>0</v>
      </c>
    </row>
    <row r="2273" spans="1:11" x14ac:dyDescent="0.25">
      <c r="A2273">
        <v>2272</v>
      </c>
      <c r="B2273" s="23">
        <v>1562.8989999999999</v>
      </c>
      <c r="C2273" s="23">
        <v>440.64</v>
      </c>
      <c r="D2273" s="23">
        <v>1685.4949999999999</v>
      </c>
      <c r="E2273" s="23">
        <v>1562.8989999999999</v>
      </c>
      <c r="F2273" s="23">
        <v>-122.596</v>
      </c>
      <c r="G2273" s="23">
        <v>0</v>
      </c>
      <c r="H2273" s="23">
        <v>0</v>
      </c>
      <c r="I2273" s="23">
        <v>0</v>
      </c>
      <c r="J2273" s="23">
        <v>0</v>
      </c>
      <c r="K2273" s="23">
        <v>0</v>
      </c>
    </row>
    <row r="2274" spans="1:11" x14ac:dyDescent="0.25">
      <c r="A2274">
        <v>2273</v>
      </c>
      <c r="B2274" s="23">
        <v>1288.1410000000001</v>
      </c>
      <c r="C2274" s="23">
        <v>243.19</v>
      </c>
      <c r="D2274" s="23">
        <v>933.90200000000004</v>
      </c>
      <c r="E2274" s="23">
        <v>933.90200000000004</v>
      </c>
      <c r="F2274" s="23">
        <v>0</v>
      </c>
      <c r="G2274" s="23">
        <v>0</v>
      </c>
      <c r="H2274" s="23">
        <v>0</v>
      </c>
      <c r="I2274" s="23">
        <v>354.23899999999998</v>
      </c>
      <c r="J2274" s="23">
        <v>0</v>
      </c>
      <c r="K2274" s="23">
        <v>0</v>
      </c>
    </row>
    <row r="2275" spans="1:11" x14ac:dyDescent="0.25">
      <c r="A2275">
        <v>2274</v>
      </c>
      <c r="B2275" s="23">
        <v>1690.7539999999999</v>
      </c>
      <c r="C2275" s="23">
        <v>60.78</v>
      </c>
      <c r="D2275" s="23">
        <v>189.70699999999999</v>
      </c>
      <c r="E2275" s="23">
        <v>189.70699999999999</v>
      </c>
      <c r="F2275" s="23">
        <v>0</v>
      </c>
      <c r="G2275" s="23">
        <v>0</v>
      </c>
      <c r="H2275" s="23">
        <v>0</v>
      </c>
      <c r="I2275" s="23">
        <v>0</v>
      </c>
      <c r="J2275" s="23">
        <v>0</v>
      </c>
      <c r="K2275" s="23">
        <v>1501.047</v>
      </c>
    </row>
    <row r="2276" spans="1:11" x14ac:dyDescent="0.25">
      <c r="A2276">
        <v>2275</v>
      </c>
      <c r="B2276" s="23">
        <v>1651.22</v>
      </c>
      <c r="C2276" s="23">
        <v>0</v>
      </c>
      <c r="D2276" s="23">
        <v>0</v>
      </c>
      <c r="E2276" s="23">
        <v>0</v>
      </c>
      <c r="F2276" s="23">
        <v>0</v>
      </c>
      <c r="G2276" s="23">
        <v>0</v>
      </c>
      <c r="H2276" s="23">
        <v>0</v>
      </c>
      <c r="I2276" s="23">
        <v>0</v>
      </c>
      <c r="J2276" s="23">
        <v>0</v>
      </c>
      <c r="K2276" s="23">
        <v>1651.22</v>
      </c>
    </row>
    <row r="2277" spans="1:11" x14ac:dyDescent="0.25">
      <c r="A2277">
        <v>2276</v>
      </c>
      <c r="B2277" s="23">
        <v>1392.8</v>
      </c>
      <c r="C2277" s="23">
        <v>0</v>
      </c>
      <c r="D2277" s="23">
        <v>0</v>
      </c>
      <c r="E2277" s="23">
        <v>0</v>
      </c>
      <c r="F2277" s="23">
        <v>0</v>
      </c>
      <c r="G2277" s="23">
        <v>0</v>
      </c>
      <c r="H2277" s="23">
        <v>0</v>
      </c>
      <c r="I2277" s="23">
        <v>0</v>
      </c>
      <c r="J2277" s="23">
        <v>0</v>
      </c>
      <c r="K2277" s="23">
        <v>1392.8</v>
      </c>
    </row>
    <row r="2278" spans="1:11" x14ac:dyDescent="0.25">
      <c r="A2278">
        <v>2277</v>
      </c>
      <c r="B2278" s="23">
        <v>1446.4</v>
      </c>
      <c r="C2278" s="23">
        <v>0</v>
      </c>
      <c r="D2278" s="23">
        <v>0</v>
      </c>
      <c r="E2278" s="23">
        <v>0</v>
      </c>
      <c r="F2278" s="23">
        <v>0</v>
      </c>
      <c r="G2278" s="23">
        <v>0</v>
      </c>
      <c r="H2278" s="23">
        <v>0</v>
      </c>
      <c r="I2278" s="23">
        <v>1446.4</v>
      </c>
      <c r="J2278" s="23">
        <v>0</v>
      </c>
      <c r="K2278" s="23">
        <v>0</v>
      </c>
    </row>
    <row r="2279" spans="1:11" x14ac:dyDescent="0.25">
      <c r="A2279">
        <v>2278</v>
      </c>
      <c r="B2279" s="23">
        <v>1270.4000000000001</v>
      </c>
      <c r="C2279" s="23">
        <v>0</v>
      </c>
      <c r="D2279" s="23">
        <v>0</v>
      </c>
      <c r="E2279" s="23">
        <v>0</v>
      </c>
      <c r="F2279" s="23">
        <v>0</v>
      </c>
      <c r="G2279" s="23">
        <v>0</v>
      </c>
      <c r="H2279" s="23">
        <v>0</v>
      </c>
      <c r="I2279" s="23">
        <v>1270.4000000000001</v>
      </c>
      <c r="J2279" s="23">
        <v>0</v>
      </c>
      <c r="K2279" s="23">
        <v>0</v>
      </c>
    </row>
    <row r="2280" spans="1:11" x14ac:dyDescent="0.25">
      <c r="A2280">
        <v>2279</v>
      </c>
      <c r="B2280" s="23">
        <v>1509.6</v>
      </c>
      <c r="C2280" s="23">
        <v>0</v>
      </c>
      <c r="D2280" s="23">
        <v>0</v>
      </c>
      <c r="E2280" s="23">
        <v>0</v>
      </c>
      <c r="F2280" s="23">
        <v>0</v>
      </c>
      <c r="G2280" s="23">
        <v>0</v>
      </c>
      <c r="H2280" s="23">
        <v>0</v>
      </c>
      <c r="I2280" s="23">
        <v>1509.6</v>
      </c>
      <c r="J2280" s="23">
        <v>0</v>
      </c>
      <c r="K2280" s="23">
        <v>0</v>
      </c>
    </row>
    <row r="2281" spans="1:11" x14ac:dyDescent="0.25">
      <c r="A2281">
        <v>2280</v>
      </c>
      <c r="B2281" s="23">
        <v>1620</v>
      </c>
      <c r="C2281" s="23">
        <v>0</v>
      </c>
      <c r="D2281" s="23">
        <v>0</v>
      </c>
      <c r="E2281" s="23">
        <v>0</v>
      </c>
      <c r="F2281" s="23">
        <v>0</v>
      </c>
      <c r="G2281" s="23">
        <v>0</v>
      </c>
      <c r="H2281" s="23">
        <v>0</v>
      </c>
      <c r="I2281" s="23">
        <v>1620</v>
      </c>
      <c r="J2281" s="23">
        <v>0</v>
      </c>
      <c r="K2281" s="23">
        <v>0</v>
      </c>
    </row>
    <row r="2282" spans="1:11" x14ac:dyDescent="0.25">
      <c r="A2282">
        <v>2281</v>
      </c>
      <c r="B2282" s="23">
        <v>1519.2</v>
      </c>
      <c r="C2282" s="23">
        <v>0</v>
      </c>
      <c r="D2282" s="23">
        <v>0</v>
      </c>
      <c r="E2282" s="23">
        <v>0</v>
      </c>
      <c r="F2282" s="23">
        <v>0</v>
      </c>
      <c r="G2282" s="23">
        <v>0</v>
      </c>
      <c r="H2282" s="23">
        <v>0</v>
      </c>
      <c r="I2282" s="23">
        <v>1519.2</v>
      </c>
      <c r="J2282" s="23">
        <v>0</v>
      </c>
      <c r="K2282" s="23">
        <v>0</v>
      </c>
    </row>
    <row r="2283" spans="1:11" x14ac:dyDescent="0.25">
      <c r="A2283">
        <v>2282</v>
      </c>
      <c r="B2283" s="23">
        <v>1356.8</v>
      </c>
      <c r="C2283" s="23">
        <v>0</v>
      </c>
      <c r="D2283" s="23">
        <v>0</v>
      </c>
      <c r="E2283" s="23">
        <v>0</v>
      </c>
      <c r="F2283" s="23">
        <v>0</v>
      </c>
      <c r="G2283" s="23">
        <v>0</v>
      </c>
      <c r="H2283" s="23">
        <v>0</v>
      </c>
      <c r="I2283" s="23">
        <v>1356.8</v>
      </c>
      <c r="J2283" s="23">
        <v>0</v>
      </c>
      <c r="K2283" s="23">
        <v>0</v>
      </c>
    </row>
    <row r="2284" spans="1:11" x14ac:dyDescent="0.25">
      <c r="A2284">
        <v>2283</v>
      </c>
      <c r="B2284" s="23">
        <v>1847.2</v>
      </c>
      <c r="C2284" s="23">
        <v>0</v>
      </c>
      <c r="D2284" s="23">
        <v>0</v>
      </c>
      <c r="E2284" s="23">
        <v>0</v>
      </c>
      <c r="F2284" s="23">
        <v>0</v>
      </c>
      <c r="G2284" s="23">
        <v>0</v>
      </c>
      <c r="H2284" s="23">
        <v>0</v>
      </c>
      <c r="I2284" s="23">
        <v>1847.2</v>
      </c>
      <c r="J2284" s="23">
        <v>0</v>
      </c>
      <c r="K2284" s="23">
        <v>0</v>
      </c>
    </row>
    <row r="2285" spans="1:11" x14ac:dyDescent="0.25">
      <c r="A2285">
        <v>2284</v>
      </c>
      <c r="B2285" s="23">
        <v>1688</v>
      </c>
      <c r="C2285" s="23">
        <v>0</v>
      </c>
      <c r="D2285" s="23">
        <v>0</v>
      </c>
      <c r="E2285" s="23">
        <v>0</v>
      </c>
      <c r="F2285" s="23">
        <v>0</v>
      </c>
      <c r="G2285" s="23">
        <v>0</v>
      </c>
      <c r="H2285" s="23">
        <v>0</v>
      </c>
      <c r="I2285" s="23">
        <v>1688</v>
      </c>
      <c r="J2285" s="23">
        <v>0</v>
      </c>
      <c r="K2285" s="23">
        <v>0</v>
      </c>
    </row>
    <row r="2286" spans="1:11" x14ac:dyDescent="0.25">
      <c r="A2286">
        <v>2285</v>
      </c>
      <c r="B2286" s="23">
        <v>1469.6</v>
      </c>
      <c r="C2286" s="23">
        <v>0</v>
      </c>
      <c r="D2286" s="23">
        <v>0</v>
      </c>
      <c r="E2286" s="23">
        <v>0</v>
      </c>
      <c r="F2286" s="23">
        <v>0</v>
      </c>
      <c r="G2286" s="23">
        <v>0</v>
      </c>
      <c r="H2286" s="23">
        <v>0</v>
      </c>
      <c r="I2286" s="23">
        <v>1469.6</v>
      </c>
      <c r="J2286" s="23">
        <v>0</v>
      </c>
      <c r="K2286" s="23">
        <v>0</v>
      </c>
    </row>
    <row r="2287" spans="1:11" x14ac:dyDescent="0.25">
      <c r="A2287">
        <v>2286</v>
      </c>
      <c r="B2287" s="23">
        <v>1407.2</v>
      </c>
      <c r="C2287" s="23">
        <v>0</v>
      </c>
      <c r="D2287" s="23">
        <v>0</v>
      </c>
      <c r="E2287" s="23">
        <v>0</v>
      </c>
      <c r="F2287" s="23">
        <v>0</v>
      </c>
      <c r="G2287" s="23">
        <v>0</v>
      </c>
      <c r="H2287" s="23">
        <v>0</v>
      </c>
      <c r="I2287" s="23">
        <v>591.428</v>
      </c>
      <c r="J2287" s="23">
        <v>0</v>
      </c>
      <c r="K2287" s="23">
        <v>815.77200000000005</v>
      </c>
    </row>
    <row r="2288" spans="1:11" x14ac:dyDescent="0.25">
      <c r="A2288">
        <v>2287</v>
      </c>
      <c r="B2288" s="23">
        <v>1298.4069999999999</v>
      </c>
      <c r="C2288" s="23">
        <v>34.299999999999997</v>
      </c>
      <c r="D2288" s="23">
        <v>107.396</v>
      </c>
      <c r="E2288" s="23">
        <v>107.396</v>
      </c>
      <c r="F2288" s="23">
        <v>0</v>
      </c>
      <c r="G2288" s="23">
        <v>0</v>
      </c>
      <c r="H2288" s="23">
        <v>0</v>
      </c>
      <c r="I2288" s="23">
        <v>0</v>
      </c>
      <c r="J2288" s="23">
        <v>0</v>
      </c>
      <c r="K2288" s="23">
        <v>1191.011</v>
      </c>
    </row>
    <row r="2289" spans="1:11" x14ac:dyDescent="0.25">
      <c r="A2289">
        <v>2288</v>
      </c>
      <c r="B2289" s="23">
        <v>341.45600000000002</v>
      </c>
      <c r="C2289" s="23">
        <v>118.01</v>
      </c>
      <c r="D2289" s="23">
        <v>444.62700000000001</v>
      </c>
      <c r="E2289" s="23">
        <v>341.45600000000002</v>
      </c>
      <c r="F2289" s="23">
        <v>-103.17100000000001</v>
      </c>
      <c r="G2289" s="23">
        <v>0</v>
      </c>
      <c r="H2289" s="23">
        <v>0</v>
      </c>
      <c r="I2289" s="23">
        <v>0</v>
      </c>
      <c r="J2289" s="23">
        <v>0</v>
      </c>
      <c r="K2289" s="23">
        <v>0</v>
      </c>
    </row>
    <row r="2290" spans="1:11" x14ac:dyDescent="0.25">
      <c r="A2290">
        <v>2289</v>
      </c>
      <c r="B2290" s="23">
        <v>276.42399999999998</v>
      </c>
      <c r="C2290" s="23">
        <v>344.97</v>
      </c>
      <c r="D2290" s="23">
        <v>1327.203</v>
      </c>
      <c r="E2290" s="23">
        <v>276.42399999999998</v>
      </c>
      <c r="F2290" s="23">
        <v>-1050.779</v>
      </c>
      <c r="G2290" s="23">
        <v>0</v>
      </c>
      <c r="H2290" s="23">
        <v>0</v>
      </c>
      <c r="I2290" s="23">
        <v>0</v>
      </c>
      <c r="J2290" s="23">
        <v>0</v>
      </c>
      <c r="K2290" s="23">
        <v>0</v>
      </c>
    </row>
    <row r="2291" spans="1:11" x14ac:dyDescent="0.25">
      <c r="A2291">
        <v>2290</v>
      </c>
      <c r="B2291" s="23">
        <v>284.24299999999999</v>
      </c>
      <c r="C2291" s="23">
        <v>599.75</v>
      </c>
      <c r="D2291" s="23">
        <v>2231.768</v>
      </c>
      <c r="E2291" s="23">
        <v>284.24299999999999</v>
      </c>
      <c r="F2291" s="23">
        <v>-1684.559</v>
      </c>
      <c r="G2291" s="23">
        <v>0</v>
      </c>
      <c r="H2291" s="23">
        <v>262.96600000000001</v>
      </c>
      <c r="I2291" s="23">
        <v>0</v>
      </c>
      <c r="J2291" s="23">
        <v>0</v>
      </c>
      <c r="K2291" s="23">
        <v>0</v>
      </c>
    </row>
    <row r="2292" spans="1:11" x14ac:dyDescent="0.25">
      <c r="A2292">
        <v>2291</v>
      </c>
      <c r="B2292" s="23">
        <v>269.00400000000002</v>
      </c>
      <c r="C2292" s="23">
        <v>912.23</v>
      </c>
      <c r="D2292" s="23">
        <v>3281.616</v>
      </c>
      <c r="E2292" s="23">
        <v>269.00400000000002</v>
      </c>
      <c r="F2292" s="23">
        <v>-1684.559</v>
      </c>
      <c r="G2292" s="23">
        <v>0</v>
      </c>
      <c r="H2292" s="23">
        <v>1328.0530000000001</v>
      </c>
      <c r="I2292" s="23">
        <v>0</v>
      </c>
      <c r="J2292" s="23">
        <v>0</v>
      </c>
      <c r="K2292" s="23">
        <v>0</v>
      </c>
    </row>
    <row r="2293" spans="1:11" x14ac:dyDescent="0.25">
      <c r="A2293">
        <v>2292</v>
      </c>
      <c r="B2293" s="23">
        <v>333.85300000000001</v>
      </c>
      <c r="C2293" s="23">
        <v>858.81</v>
      </c>
      <c r="D2293" s="23">
        <v>3023.1779999999999</v>
      </c>
      <c r="E2293" s="23">
        <v>333.85300000000001</v>
      </c>
      <c r="F2293" s="23">
        <v>-1684.559</v>
      </c>
      <c r="G2293" s="23">
        <v>0</v>
      </c>
      <c r="H2293" s="23">
        <v>1004.766</v>
      </c>
      <c r="I2293" s="23">
        <v>0</v>
      </c>
      <c r="J2293" s="23">
        <v>0</v>
      </c>
      <c r="K2293" s="23">
        <v>0</v>
      </c>
    </row>
    <row r="2294" spans="1:11" x14ac:dyDescent="0.25">
      <c r="A2294">
        <v>2293</v>
      </c>
      <c r="B2294" s="23">
        <v>211.97300000000001</v>
      </c>
      <c r="C2294" s="23">
        <v>746.35</v>
      </c>
      <c r="D2294" s="23">
        <v>2650.6750000000002</v>
      </c>
      <c r="E2294" s="23">
        <v>211.97200000000001</v>
      </c>
      <c r="F2294" s="23">
        <v>-1083.8710000000001</v>
      </c>
      <c r="G2294" s="23">
        <v>0</v>
      </c>
      <c r="H2294" s="23">
        <v>1354.8320000000001</v>
      </c>
      <c r="I2294" s="23">
        <v>0</v>
      </c>
      <c r="J2294" s="23">
        <v>0</v>
      </c>
      <c r="K2294" s="23">
        <v>0</v>
      </c>
    </row>
    <row r="2295" spans="1:11" x14ac:dyDescent="0.25">
      <c r="A2295">
        <v>2294</v>
      </c>
      <c r="B2295" s="23">
        <v>211.25200000000001</v>
      </c>
      <c r="C2295" s="23">
        <v>821.02</v>
      </c>
      <c r="D2295" s="23">
        <v>2885.8420000000001</v>
      </c>
      <c r="E2295" s="23">
        <v>211.25200000000001</v>
      </c>
      <c r="F2295" s="23">
        <v>0</v>
      </c>
      <c r="G2295" s="23">
        <v>0</v>
      </c>
      <c r="H2295" s="23">
        <v>2674.59</v>
      </c>
      <c r="I2295" s="23">
        <v>0</v>
      </c>
      <c r="J2295" s="23">
        <v>0</v>
      </c>
      <c r="K2295" s="23">
        <v>0</v>
      </c>
    </row>
    <row r="2296" spans="1:11" x14ac:dyDescent="0.25">
      <c r="A2296">
        <v>2295</v>
      </c>
      <c r="B2296" s="23">
        <v>343.65800000000002</v>
      </c>
      <c r="C2296" s="23">
        <v>607.30999999999995</v>
      </c>
      <c r="D2296" s="23">
        <v>2223.4050000000002</v>
      </c>
      <c r="E2296" s="23">
        <v>343.65800000000002</v>
      </c>
      <c r="F2296" s="23">
        <v>0</v>
      </c>
      <c r="G2296" s="23">
        <v>0</v>
      </c>
      <c r="H2296" s="23">
        <v>1879.7470000000001</v>
      </c>
      <c r="I2296" s="23">
        <v>0</v>
      </c>
      <c r="J2296" s="23">
        <v>0</v>
      </c>
      <c r="K2296" s="23">
        <v>0</v>
      </c>
    </row>
    <row r="2297" spans="1:11" x14ac:dyDescent="0.25">
      <c r="A2297">
        <v>2296</v>
      </c>
      <c r="B2297" s="23">
        <v>393.16699999999997</v>
      </c>
      <c r="C2297" s="23">
        <v>313.99</v>
      </c>
      <c r="D2297" s="23">
        <v>1183.0160000000001</v>
      </c>
      <c r="E2297" s="23">
        <v>393.16699999999997</v>
      </c>
      <c r="F2297" s="23">
        <v>0</v>
      </c>
      <c r="G2297" s="23">
        <v>0</v>
      </c>
      <c r="H2297" s="23">
        <v>789.84900000000005</v>
      </c>
      <c r="I2297" s="23">
        <v>0</v>
      </c>
      <c r="J2297" s="23">
        <v>0</v>
      </c>
      <c r="K2297" s="23">
        <v>0</v>
      </c>
    </row>
    <row r="2298" spans="1:11" x14ac:dyDescent="0.25">
      <c r="A2298">
        <v>2297</v>
      </c>
      <c r="B2298" s="23">
        <v>317.15899999999999</v>
      </c>
      <c r="C2298" s="23">
        <v>253.68</v>
      </c>
      <c r="D2298" s="23">
        <v>966.02300000000002</v>
      </c>
      <c r="E2298" s="23">
        <v>317.15899999999999</v>
      </c>
      <c r="F2298" s="23">
        <v>0</v>
      </c>
      <c r="G2298" s="23">
        <v>0</v>
      </c>
      <c r="H2298" s="23">
        <v>648.86400000000003</v>
      </c>
      <c r="I2298" s="23">
        <v>0</v>
      </c>
      <c r="J2298" s="23">
        <v>0</v>
      </c>
      <c r="K2298" s="23">
        <v>0</v>
      </c>
    </row>
    <row r="2299" spans="1:11" x14ac:dyDescent="0.25">
      <c r="A2299">
        <v>2298</v>
      </c>
      <c r="B2299" s="23">
        <v>348.83</v>
      </c>
      <c r="C2299" s="23">
        <v>62.6</v>
      </c>
      <c r="D2299" s="23">
        <v>192.27500000000001</v>
      </c>
      <c r="E2299" s="23">
        <v>192.27500000000001</v>
      </c>
      <c r="F2299" s="23">
        <v>0</v>
      </c>
      <c r="G2299" s="23">
        <v>0</v>
      </c>
      <c r="H2299" s="23">
        <v>0</v>
      </c>
      <c r="I2299" s="23">
        <v>0</v>
      </c>
      <c r="J2299" s="23">
        <v>0</v>
      </c>
      <c r="K2299" s="23">
        <v>156.55500000000001</v>
      </c>
    </row>
    <row r="2300" spans="1:11" x14ac:dyDescent="0.25">
      <c r="A2300">
        <v>2299</v>
      </c>
      <c r="B2300" s="23">
        <v>281.69099999999997</v>
      </c>
      <c r="C2300" s="23">
        <v>0</v>
      </c>
      <c r="D2300" s="23">
        <v>0</v>
      </c>
      <c r="E2300" s="23">
        <v>0</v>
      </c>
      <c r="F2300" s="23">
        <v>0</v>
      </c>
      <c r="G2300" s="23">
        <v>0</v>
      </c>
      <c r="H2300" s="23">
        <v>0</v>
      </c>
      <c r="I2300" s="23">
        <v>0</v>
      </c>
      <c r="J2300" s="23">
        <v>0</v>
      </c>
      <c r="K2300" s="23">
        <v>281.69099999999997</v>
      </c>
    </row>
    <row r="2301" spans="1:11" x14ac:dyDescent="0.25">
      <c r="A2301">
        <v>2300</v>
      </c>
      <c r="B2301" s="23">
        <v>266.39999999999998</v>
      </c>
      <c r="C2301" s="23">
        <v>0</v>
      </c>
      <c r="D2301" s="23">
        <v>0</v>
      </c>
      <c r="E2301" s="23">
        <v>0</v>
      </c>
      <c r="F2301" s="23">
        <v>0</v>
      </c>
      <c r="G2301" s="23">
        <v>0</v>
      </c>
      <c r="H2301" s="23">
        <v>0</v>
      </c>
      <c r="I2301" s="23">
        <v>0</v>
      </c>
      <c r="J2301" s="23">
        <v>0</v>
      </c>
      <c r="K2301" s="23">
        <v>266.39999999999998</v>
      </c>
    </row>
    <row r="2302" spans="1:11" x14ac:dyDescent="0.25">
      <c r="A2302">
        <v>2301</v>
      </c>
      <c r="B2302" s="23">
        <v>309.60000000000002</v>
      </c>
      <c r="C2302" s="23">
        <v>0</v>
      </c>
      <c r="D2302" s="23">
        <v>0</v>
      </c>
      <c r="E2302" s="23">
        <v>0</v>
      </c>
      <c r="F2302" s="23">
        <v>0</v>
      </c>
      <c r="G2302" s="23">
        <v>0</v>
      </c>
      <c r="H2302" s="23">
        <v>0</v>
      </c>
      <c r="I2302" s="23">
        <v>0</v>
      </c>
      <c r="J2302" s="23">
        <v>0</v>
      </c>
      <c r="K2302" s="23">
        <v>309.60000000000002</v>
      </c>
    </row>
    <row r="2303" spans="1:11" x14ac:dyDescent="0.25">
      <c r="A2303">
        <v>2302</v>
      </c>
      <c r="B2303" s="23">
        <v>292</v>
      </c>
      <c r="C2303" s="23">
        <v>0</v>
      </c>
      <c r="D2303" s="23">
        <v>0</v>
      </c>
      <c r="E2303" s="23">
        <v>0</v>
      </c>
      <c r="F2303" s="23">
        <v>0</v>
      </c>
      <c r="G2303" s="23">
        <v>0</v>
      </c>
      <c r="H2303" s="23">
        <v>0</v>
      </c>
      <c r="I2303" s="23">
        <v>0</v>
      </c>
      <c r="J2303" s="23">
        <v>0</v>
      </c>
      <c r="K2303" s="23">
        <v>292</v>
      </c>
    </row>
    <row r="2304" spans="1:11" x14ac:dyDescent="0.25">
      <c r="A2304">
        <v>2303</v>
      </c>
      <c r="B2304" s="23">
        <v>243.2</v>
      </c>
      <c r="C2304" s="23">
        <v>0</v>
      </c>
      <c r="D2304" s="23">
        <v>0</v>
      </c>
      <c r="E2304" s="23">
        <v>0</v>
      </c>
      <c r="F2304" s="23">
        <v>0</v>
      </c>
      <c r="G2304" s="23">
        <v>0</v>
      </c>
      <c r="H2304" s="23">
        <v>0</v>
      </c>
      <c r="I2304" s="23">
        <v>0</v>
      </c>
      <c r="J2304" s="23">
        <v>0</v>
      </c>
      <c r="K2304" s="23">
        <v>243.2</v>
      </c>
    </row>
    <row r="2305" spans="1:11" x14ac:dyDescent="0.25">
      <c r="A2305">
        <v>2304</v>
      </c>
      <c r="B2305" s="23">
        <v>139.19999999999999</v>
      </c>
      <c r="C2305" s="23">
        <v>0</v>
      </c>
      <c r="D2305" s="23">
        <v>0</v>
      </c>
      <c r="E2305" s="23">
        <v>0</v>
      </c>
      <c r="F2305" s="23">
        <v>0</v>
      </c>
      <c r="G2305" s="23">
        <v>0</v>
      </c>
      <c r="H2305" s="23">
        <v>0</v>
      </c>
      <c r="I2305" s="23">
        <v>0</v>
      </c>
      <c r="J2305" s="23">
        <v>0</v>
      </c>
      <c r="K2305" s="23">
        <v>139.19999999999999</v>
      </c>
    </row>
    <row r="2306" spans="1:11" x14ac:dyDescent="0.25">
      <c r="A2306">
        <v>2305</v>
      </c>
      <c r="B2306" s="23">
        <v>142.4</v>
      </c>
      <c r="C2306" s="23">
        <v>0</v>
      </c>
      <c r="D2306" s="23">
        <v>0</v>
      </c>
      <c r="E2306" s="23">
        <v>0</v>
      </c>
      <c r="F2306" s="23">
        <v>0</v>
      </c>
      <c r="G2306" s="23">
        <v>0</v>
      </c>
      <c r="H2306" s="23">
        <v>0</v>
      </c>
      <c r="I2306" s="23">
        <v>0</v>
      </c>
      <c r="J2306" s="23">
        <v>0</v>
      </c>
      <c r="K2306" s="23">
        <v>142.4</v>
      </c>
    </row>
    <row r="2307" spans="1:11" x14ac:dyDescent="0.25">
      <c r="A2307">
        <v>2306</v>
      </c>
      <c r="B2307" s="23">
        <v>124</v>
      </c>
      <c r="C2307" s="23">
        <v>0</v>
      </c>
      <c r="D2307" s="23">
        <v>0</v>
      </c>
      <c r="E2307" s="23">
        <v>0</v>
      </c>
      <c r="F2307" s="23">
        <v>0</v>
      </c>
      <c r="G2307" s="23">
        <v>0</v>
      </c>
      <c r="H2307" s="23">
        <v>0</v>
      </c>
      <c r="I2307" s="23">
        <v>0</v>
      </c>
      <c r="J2307" s="23">
        <v>0</v>
      </c>
      <c r="K2307" s="23">
        <v>124</v>
      </c>
    </row>
    <row r="2308" spans="1:11" x14ac:dyDescent="0.25">
      <c r="A2308">
        <v>2307</v>
      </c>
      <c r="B2308" s="23">
        <v>118.4</v>
      </c>
      <c r="C2308" s="23">
        <v>0</v>
      </c>
      <c r="D2308" s="23">
        <v>0</v>
      </c>
      <c r="E2308" s="23">
        <v>0</v>
      </c>
      <c r="F2308" s="23">
        <v>0</v>
      </c>
      <c r="G2308" s="23">
        <v>0</v>
      </c>
      <c r="H2308" s="23">
        <v>0</v>
      </c>
      <c r="I2308" s="23">
        <v>0</v>
      </c>
      <c r="J2308" s="23">
        <v>0</v>
      </c>
      <c r="K2308" s="23">
        <v>118.4</v>
      </c>
    </row>
    <row r="2309" spans="1:11" x14ac:dyDescent="0.25">
      <c r="A2309">
        <v>2308</v>
      </c>
      <c r="B2309" s="23">
        <v>115.2</v>
      </c>
      <c r="C2309" s="23">
        <v>0</v>
      </c>
      <c r="D2309" s="23">
        <v>0</v>
      </c>
      <c r="E2309" s="23">
        <v>0</v>
      </c>
      <c r="F2309" s="23">
        <v>0</v>
      </c>
      <c r="G2309" s="23">
        <v>0</v>
      </c>
      <c r="H2309" s="23">
        <v>0</v>
      </c>
      <c r="I2309" s="23">
        <v>0</v>
      </c>
      <c r="J2309" s="23">
        <v>0</v>
      </c>
      <c r="K2309" s="23">
        <v>115.2</v>
      </c>
    </row>
    <row r="2310" spans="1:11" x14ac:dyDescent="0.25">
      <c r="A2310">
        <v>2309</v>
      </c>
      <c r="B2310" s="23">
        <v>101.6</v>
      </c>
      <c r="C2310" s="23">
        <v>0</v>
      </c>
      <c r="D2310" s="23">
        <v>0</v>
      </c>
      <c r="E2310" s="23">
        <v>0</v>
      </c>
      <c r="F2310" s="23">
        <v>0</v>
      </c>
      <c r="G2310" s="23">
        <v>0</v>
      </c>
      <c r="H2310" s="23">
        <v>0</v>
      </c>
      <c r="I2310" s="23">
        <v>0</v>
      </c>
      <c r="J2310" s="23">
        <v>0</v>
      </c>
      <c r="K2310" s="23">
        <v>101.6</v>
      </c>
    </row>
    <row r="2311" spans="1:11" x14ac:dyDescent="0.25">
      <c r="A2311">
        <v>2310</v>
      </c>
      <c r="B2311" s="23">
        <v>99.2</v>
      </c>
      <c r="C2311" s="23">
        <v>0</v>
      </c>
      <c r="D2311" s="23">
        <v>0</v>
      </c>
      <c r="E2311" s="23">
        <v>0</v>
      </c>
      <c r="F2311" s="23">
        <v>0</v>
      </c>
      <c r="G2311" s="23">
        <v>0</v>
      </c>
      <c r="H2311" s="23">
        <v>0</v>
      </c>
      <c r="I2311" s="23">
        <v>0</v>
      </c>
      <c r="J2311" s="23">
        <v>0</v>
      </c>
      <c r="K2311" s="23">
        <v>99.2</v>
      </c>
    </row>
    <row r="2312" spans="1:11" x14ac:dyDescent="0.25">
      <c r="A2312">
        <v>2311</v>
      </c>
      <c r="B2312" s="23">
        <v>81.795000000000002</v>
      </c>
      <c r="C2312" s="23">
        <v>79.16</v>
      </c>
      <c r="D2312" s="23">
        <v>270.21600000000001</v>
      </c>
      <c r="E2312" s="23">
        <v>81.795000000000002</v>
      </c>
      <c r="F2312" s="23">
        <v>-188.42099999999999</v>
      </c>
      <c r="G2312" s="23">
        <v>0</v>
      </c>
      <c r="H2312" s="23">
        <v>0</v>
      </c>
      <c r="I2312" s="23">
        <v>0</v>
      </c>
      <c r="J2312" s="23">
        <v>0</v>
      </c>
      <c r="K2312" s="23">
        <v>0</v>
      </c>
    </row>
    <row r="2313" spans="1:11" x14ac:dyDescent="0.25">
      <c r="A2313">
        <v>2312</v>
      </c>
      <c r="B2313" s="23">
        <v>89.489000000000004</v>
      </c>
      <c r="C2313" s="23">
        <v>265.14999999999998</v>
      </c>
      <c r="D2313" s="23">
        <v>1035.5540000000001</v>
      </c>
      <c r="E2313" s="23">
        <v>89.489000000000004</v>
      </c>
      <c r="F2313" s="23">
        <v>-946.06500000000005</v>
      </c>
      <c r="G2313" s="23">
        <v>0</v>
      </c>
      <c r="H2313" s="23">
        <v>0</v>
      </c>
      <c r="I2313" s="23">
        <v>0</v>
      </c>
      <c r="J2313" s="23">
        <v>0</v>
      </c>
      <c r="K2313" s="23">
        <v>0</v>
      </c>
    </row>
    <row r="2314" spans="1:11" x14ac:dyDescent="0.25">
      <c r="A2314">
        <v>2313</v>
      </c>
      <c r="B2314" s="23">
        <v>89.120999999999995</v>
      </c>
      <c r="C2314" s="23">
        <v>559</v>
      </c>
      <c r="D2314" s="23">
        <v>2176.944</v>
      </c>
      <c r="E2314" s="23">
        <v>89.120999999999995</v>
      </c>
      <c r="F2314" s="23">
        <v>-1524.7090000000001</v>
      </c>
      <c r="G2314" s="23">
        <v>0</v>
      </c>
      <c r="H2314" s="23">
        <v>563.11400000000003</v>
      </c>
      <c r="I2314" s="23">
        <v>0</v>
      </c>
      <c r="J2314" s="23">
        <v>0</v>
      </c>
      <c r="K2314" s="23">
        <v>0</v>
      </c>
    </row>
    <row r="2315" spans="1:11" x14ac:dyDescent="0.25">
      <c r="A2315">
        <v>2314</v>
      </c>
      <c r="B2315" s="23">
        <v>88.081999999999994</v>
      </c>
      <c r="C2315" s="23">
        <v>761.4</v>
      </c>
      <c r="D2315" s="23">
        <v>2870.2979999999998</v>
      </c>
      <c r="E2315" s="23">
        <v>88.081999999999994</v>
      </c>
      <c r="F2315" s="23">
        <v>0</v>
      </c>
      <c r="G2315" s="23">
        <v>0</v>
      </c>
      <c r="H2315" s="23">
        <v>2782.2159999999999</v>
      </c>
      <c r="I2315" s="23">
        <v>0</v>
      </c>
      <c r="J2315" s="23">
        <v>0</v>
      </c>
      <c r="K2315" s="23">
        <v>0</v>
      </c>
    </row>
    <row r="2316" spans="1:11" x14ac:dyDescent="0.25">
      <c r="A2316">
        <v>2315</v>
      </c>
      <c r="B2316" s="23">
        <v>84.445999999999998</v>
      </c>
      <c r="C2316" s="23">
        <v>900.54</v>
      </c>
      <c r="D2316" s="23">
        <v>3312.125</v>
      </c>
      <c r="E2316" s="23">
        <v>84.445999999999998</v>
      </c>
      <c r="F2316" s="23">
        <v>0</v>
      </c>
      <c r="G2316" s="23">
        <v>0</v>
      </c>
      <c r="H2316" s="23">
        <v>3227.6790000000001</v>
      </c>
      <c r="I2316" s="23">
        <v>0</v>
      </c>
      <c r="J2316" s="23">
        <v>0</v>
      </c>
      <c r="K2316" s="23">
        <v>0</v>
      </c>
    </row>
    <row r="2317" spans="1:11" x14ac:dyDescent="0.25">
      <c r="A2317">
        <v>2316</v>
      </c>
      <c r="B2317" s="23">
        <v>92.13</v>
      </c>
      <c r="C2317" s="23">
        <v>590.69000000000005</v>
      </c>
      <c r="D2317" s="23">
        <v>2182.4459999999999</v>
      </c>
      <c r="E2317" s="23">
        <v>92.13</v>
      </c>
      <c r="F2317" s="23">
        <v>0</v>
      </c>
      <c r="G2317" s="23">
        <v>0</v>
      </c>
      <c r="H2317" s="23">
        <v>2090.3159999999998</v>
      </c>
      <c r="I2317" s="23">
        <v>0</v>
      </c>
      <c r="J2317" s="23">
        <v>0</v>
      </c>
      <c r="K2317" s="23">
        <v>0</v>
      </c>
    </row>
    <row r="2318" spans="1:11" x14ac:dyDescent="0.25">
      <c r="A2318">
        <v>2317</v>
      </c>
      <c r="B2318" s="23">
        <v>88.263999999999996</v>
      </c>
      <c r="C2318" s="23">
        <v>194.27</v>
      </c>
      <c r="D2318" s="23">
        <v>712.77700000000004</v>
      </c>
      <c r="E2318" s="23">
        <v>88.263999999999996</v>
      </c>
      <c r="F2318" s="23">
        <v>0</v>
      </c>
      <c r="G2318" s="23">
        <v>0</v>
      </c>
      <c r="H2318" s="23">
        <v>624.51300000000003</v>
      </c>
      <c r="I2318" s="23">
        <v>0</v>
      </c>
      <c r="J2318" s="23">
        <v>0</v>
      </c>
      <c r="K2318" s="23">
        <v>0</v>
      </c>
    </row>
    <row r="2319" spans="1:11" x14ac:dyDescent="0.25">
      <c r="A2319">
        <v>2318</v>
      </c>
      <c r="B2319" s="23">
        <v>92.707999999999998</v>
      </c>
      <c r="C2319" s="23">
        <v>236.6</v>
      </c>
      <c r="D2319" s="23">
        <v>878.303</v>
      </c>
      <c r="E2319" s="23">
        <v>92.707999999999998</v>
      </c>
      <c r="F2319" s="23">
        <v>0</v>
      </c>
      <c r="G2319" s="23">
        <v>0</v>
      </c>
      <c r="H2319" s="23">
        <v>785.59500000000003</v>
      </c>
      <c r="I2319" s="23">
        <v>0</v>
      </c>
      <c r="J2319" s="23">
        <v>0</v>
      </c>
      <c r="K2319" s="23">
        <v>0</v>
      </c>
    </row>
    <row r="2320" spans="1:11" x14ac:dyDescent="0.25">
      <c r="A2320">
        <v>2319</v>
      </c>
      <c r="B2320" s="23">
        <v>86.801000000000002</v>
      </c>
      <c r="C2320" s="23">
        <v>226.85</v>
      </c>
      <c r="D2320" s="23">
        <v>848.50200000000007</v>
      </c>
      <c r="E2320" s="23">
        <v>86.801000000000002</v>
      </c>
      <c r="F2320" s="23">
        <v>0</v>
      </c>
      <c r="G2320" s="23">
        <v>0</v>
      </c>
      <c r="H2320" s="23">
        <v>761.70100000000002</v>
      </c>
      <c r="I2320" s="23">
        <v>0</v>
      </c>
      <c r="J2320" s="23">
        <v>0</v>
      </c>
      <c r="K2320" s="23">
        <v>0</v>
      </c>
    </row>
    <row r="2321" spans="1:11" x14ac:dyDescent="0.25">
      <c r="A2321">
        <v>2320</v>
      </c>
      <c r="B2321" s="23">
        <v>98.247</v>
      </c>
      <c r="C2321" s="23">
        <v>46.09</v>
      </c>
      <c r="D2321" s="23">
        <v>149.14099999999999</v>
      </c>
      <c r="E2321" s="23">
        <v>98.247</v>
      </c>
      <c r="F2321" s="23">
        <v>0</v>
      </c>
      <c r="G2321" s="23">
        <v>0</v>
      </c>
      <c r="H2321" s="23">
        <v>50.893999999999998</v>
      </c>
      <c r="I2321" s="23">
        <v>0</v>
      </c>
      <c r="J2321" s="23">
        <v>0</v>
      </c>
      <c r="K2321" s="23">
        <v>0</v>
      </c>
    </row>
    <row r="2322" spans="1:11" x14ac:dyDescent="0.25">
      <c r="A2322">
        <v>2321</v>
      </c>
      <c r="B2322" s="23">
        <v>88.18</v>
      </c>
      <c r="C2322" s="23">
        <v>112.12</v>
      </c>
      <c r="D2322" s="23">
        <v>415.1</v>
      </c>
      <c r="E2322" s="23">
        <v>88.18</v>
      </c>
      <c r="F2322" s="23">
        <v>0</v>
      </c>
      <c r="G2322" s="23">
        <v>0</v>
      </c>
      <c r="H2322" s="23">
        <v>326.92</v>
      </c>
      <c r="I2322" s="23">
        <v>0</v>
      </c>
      <c r="J2322" s="23">
        <v>0</v>
      </c>
      <c r="K2322" s="23">
        <v>0</v>
      </c>
    </row>
    <row r="2323" spans="1:11" x14ac:dyDescent="0.25">
      <c r="A2323">
        <v>2322</v>
      </c>
      <c r="B2323" s="23">
        <v>94.896000000000001</v>
      </c>
      <c r="C2323" s="23">
        <v>28.42</v>
      </c>
      <c r="D2323" s="23">
        <v>80.647999999999996</v>
      </c>
      <c r="E2323" s="23">
        <v>80.647999999999996</v>
      </c>
      <c r="F2323" s="23">
        <v>0</v>
      </c>
      <c r="G2323" s="23">
        <v>0</v>
      </c>
      <c r="H2323" s="23">
        <v>0</v>
      </c>
      <c r="I2323" s="23">
        <v>0</v>
      </c>
      <c r="J2323" s="23">
        <v>0</v>
      </c>
      <c r="K2323" s="23">
        <v>14.247999999999999</v>
      </c>
    </row>
    <row r="2324" spans="1:11" x14ac:dyDescent="0.25">
      <c r="A2324">
        <v>2323</v>
      </c>
      <c r="B2324" s="23">
        <v>102.069</v>
      </c>
      <c r="C2324" s="23">
        <v>0</v>
      </c>
      <c r="D2324" s="23">
        <v>0</v>
      </c>
      <c r="E2324" s="23">
        <v>0</v>
      </c>
      <c r="F2324" s="23">
        <v>0</v>
      </c>
      <c r="G2324" s="23">
        <v>0</v>
      </c>
      <c r="H2324" s="23">
        <v>0</v>
      </c>
      <c r="I2324" s="23">
        <v>0</v>
      </c>
      <c r="J2324" s="23">
        <v>0</v>
      </c>
      <c r="K2324" s="23">
        <v>102.069</v>
      </c>
    </row>
    <row r="2325" spans="1:11" x14ac:dyDescent="0.25">
      <c r="A2325">
        <v>2324</v>
      </c>
      <c r="B2325" s="23">
        <v>104.8</v>
      </c>
      <c r="C2325" s="23">
        <v>0</v>
      </c>
      <c r="D2325" s="23">
        <v>0</v>
      </c>
      <c r="E2325" s="23">
        <v>0</v>
      </c>
      <c r="F2325" s="23">
        <v>0</v>
      </c>
      <c r="G2325" s="23">
        <v>0</v>
      </c>
      <c r="H2325" s="23">
        <v>0</v>
      </c>
      <c r="I2325" s="23">
        <v>0</v>
      </c>
      <c r="J2325" s="23">
        <v>0</v>
      </c>
      <c r="K2325" s="23">
        <v>104.8</v>
      </c>
    </row>
    <row r="2326" spans="1:11" x14ac:dyDescent="0.25">
      <c r="A2326">
        <v>2325</v>
      </c>
      <c r="B2326" s="23">
        <v>103.2</v>
      </c>
      <c r="C2326" s="23">
        <v>0</v>
      </c>
      <c r="D2326" s="23">
        <v>0</v>
      </c>
      <c r="E2326" s="23">
        <v>0</v>
      </c>
      <c r="F2326" s="23">
        <v>0</v>
      </c>
      <c r="G2326" s="23">
        <v>0</v>
      </c>
      <c r="H2326" s="23">
        <v>0</v>
      </c>
      <c r="I2326" s="23">
        <v>0</v>
      </c>
      <c r="J2326" s="23">
        <v>0</v>
      </c>
      <c r="K2326" s="23">
        <v>103.2</v>
      </c>
    </row>
    <row r="2327" spans="1:11" x14ac:dyDescent="0.25">
      <c r="A2327">
        <v>2326</v>
      </c>
      <c r="B2327" s="23">
        <v>111.2</v>
      </c>
      <c r="C2327" s="23">
        <v>0</v>
      </c>
      <c r="D2327" s="23">
        <v>0</v>
      </c>
      <c r="E2327" s="23">
        <v>0</v>
      </c>
      <c r="F2327" s="23">
        <v>0</v>
      </c>
      <c r="G2327" s="23">
        <v>0</v>
      </c>
      <c r="H2327" s="23">
        <v>0</v>
      </c>
      <c r="I2327" s="23">
        <v>0</v>
      </c>
      <c r="J2327" s="23">
        <v>0</v>
      </c>
      <c r="K2327" s="23">
        <v>111.2</v>
      </c>
    </row>
    <row r="2328" spans="1:11" x14ac:dyDescent="0.25">
      <c r="A2328">
        <v>2327</v>
      </c>
      <c r="B2328" s="23">
        <v>101.6</v>
      </c>
      <c r="C2328" s="23">
        <v>0</v>
      </c>
      <c r="D2328" s="23">
        <v>0</v>
      </c>
      <c r="E2328" s="23">
        <v>0</v>
      </c>
      <c r="F2328" s="23">
        <v>0</v>
      </c>
      <c r="G2328" s="23">
        <v>0</v>
      </c>
      <c r="H2328" s="23">
        <v>0</v>
      </c>
      <c r="I2328" s="23">
        <v>0</v>
      </c>
      <c r="J2328" s="23">
        <v>0</v>
      </c>
      <c r="K2328" s="23">
        <v>101.6</v>
      </c>
    </row>
    <row r="2329" spans="1:11" x14ac:dyDescent="0.25">
      <c r="A2329">
        <v>2328</v>
      </c>
      <c r="B2329" s="23">
        <v>107.2</v>
      </c>
      <c r="C2329" s="23">
        <v>0</v>
      </c>
      <c r="D2329" s="23">
        <v>0</v>
      </c>
      <c r="E2329" s="23">
        <v>0</v>
      </c>
      <c r="F2329" s="23">
        <v>0</v>
      </c>
      <c r="G2329" s="23">
        <v>0</v>
      </c>
      <c r="H2329" s="23">
        <v>0</v>
      </c>
      <c r="I2329" s="23">
        <v>0</v>
      </c>
      <c r="J2329" s="23">
        <v>0</v>
      </c>
      <c r="K2329" s="23">
        <v>107.2</v>
      </c>
    </row>
    <row r="2330" spans="1:11" x14ac:dyDescent="0.25">
      <c r="A2330">
        <v>2329</v>
      </c>
      <c r="B2330" s="23">
        <v>96.8</v>
      </c>
      <c r="C2330" s="23">
        <v>0</v>
      </c>
      <c r="D2330" s="23">
        <v>0</v>
      </c>
      <c r="E2330" s="23">
        <v>0</v>
      </c>
      <c r="F2330" s="23">
        <v>0</v>
      </c>
      <c r="G2330" s="23">
        <v>0</v>
      </c>
      <c r="H2330" s="23">
        <v>0</v>
      </c>
      <c r="I2330" s="23">
        <v>0</v>
      </c>
      <c r="J2330" s="23">
        <v>0</v>
      </c>
      <c r="K2330" s="23">
        <v>96.8</v>
      </c>
    </row>
    <row r="2331" spans="1:11" x14ac:dyDescent="0.25">
      <c r="A2331">
        <v>2330</v>
      </c>
      <c r="B2331" s="23">
        <v>103.2</v>
      </c>
      <c r="C2331" s="23">
        <v>0</v>
      </c>
      <c r="D2331" s="23">
        <v>0</v>
      </c>
      <c r="E2331" s="23">
        <v>0</v>
      </c>
      <c r="F2331" s="23">
        <v>0</v>
      </c>
      <c r="G2331" s="23">
        <v>0</v>
      </c>
      <c r="H2331" s="23">
        <v>0</v>
      </c>
      <c r="I2331" s="23">
        <v>0</v>
      </c>
      <c r="J2331" s="23">
        <v>0</v>
      </c>
      <c r="K2331" s="23">
        <v>103.2</v>
      </c>
    </row>
    <row r="2332" spans="1:11" x14ac:dyDescent="0.25">
      <c r="A2332">
        <v>2331</v>
      </c>
      <c r="B2332" s="23">
        <v>100</v>
      </c>
      <c r="C2332" s="23">
        <v>0</v>
      </c>
      <c r="D2332" s="23">
        <v>0</v>
      </c>
      <c r="E2332" s="23">
        <v>0</v>
      </c>
      <c r="F2332" s="23">
        <v>0</v>
      </c>
      <c r="G2332" s="23">
        <v>0</v>
      </c>
      <c r="H2332" s="23">
        <v>0</v>
      </c>
      <c r="I2332" s="23">
        <v>0</v>
      </c>
      <c r="J2332" s="23">
        <v>0</v>
      </c>
      <c r="K2332" s="23">
        <v>100</v>
      </c>
    </row>
    <row r="2333" spans="1:11" x14ac:dyDescent="0.25">
      <c r="A2333">
        <v>2332</v>
      </c>
      <c r="B2333" s="23">
        <v>101.6</v>
      </c>
      <c r="C2333" s="23">
        <v>0</v>
      </c>
      <c r="D2333" s="23">
        <v>0</v>
      </c>
      <c r="E2333" s="23">
        <v>0</v>
      </c>
      <c r="F2333" s="23">
        <v>0</v>
      </c>
      <c r="G2333" s="23">
        <v>0</v>
      </c>
      <c r="H2333" s="23">
        <v>0</v>
      </c>
      <c r="I2333" s="23">
        <v>0</v>
      </c>
      <c r="J2333" s="23">
        <v>0</v>
      </c>
      <c r="K2333" s="23">
        <v>101.6</v>
      </c>
    </row>
    <row r="2334" spans="1:11" x14ac:dyDescent="0.25">
      <c r="A2334">
        <v>2333</v>
      </c>
      <c r="B2334" s="23">
        <v>96</v>
      </c>
      <c r="C2334" s="23">
        <v>0</v>
      </c>
      <c r="D2334" s="23">
        <v>0</v>
      </c>
      <c r="E2334" s="23">
        <v>0</v>
      </c>
      <c r="F2334" s="23">
        <v>0</v>
      </c>
      <c r="G2334" s="23">
        <v>0</v>
      </c>
      <c r="H2334" s="23">
        <v>0</v>
      </c>
      <c r="I2334" s="23">
        <v>0</v>
      </c>
      <c r="J2334" s="23">
        <v>0</v>
      </c>
      <c r="K2334" s="23">
        <v>96</v>
      </c>
    </row>
    <row r="2335" spans="1:11" x14ac:dyDescent="0.25">
      <c r="A2335">
        <v>2334</v>
      </c>
      <c r="B2335" s="23">
        <v>101.6</v>
      </c>
      <c r="C2335" s="23">
        <v>0</v>
      </c>
      <c r="D2335" s="23">
        <v>0</v>
      </c>
      <c r="E2335" s="23">
        <v>0</v>
      </c>
      <c r="F2335" s="23">
        <v>0</v>
      </c>
      <c r="G2335" s="23">
        <v>0</v>
      </c>
      <c r="H2335" s="23">
        <v>0</v>
      </c>
      <c r="I2335" s="23">
        <v>0</v>
      </c>
      <c r="J2335" s="23">
        <v>0</v>
      </c>
      <c r="K2335" s="23">
        <v>101.6</v>
      </c>
    </row>
    <row r="2336" spans="1:11" x14ac:dyDescent="0.25">
      <c r="A2336">
        <v>2335</v>
      </c>
      <c r="B2336" s="23">
        <v>90.638000000000005</v>
      </c>
      <c r="C2336" s="23">
        <v>79.400000000000006</v>
      </c>
      <c r="D2336" s="23">
        <v>272.81400000000002</v>
      </c>
      <c r="E2336" s="23">
        <v>90.638000000000005</v>
      </c>
      <c r="F2336" s="23">
        <v>-182.17599999999999</v>
      </c>
      <c r="G2336" s="23">
        <v>0</v>
      </c>
      <c r="H2336" s="23">
        <v>0</v>
      </c>
      <c r="I2336" s="23">
        <v>0</v>
      </c>
      <c r="J2336" s="23">
        <v>0</v>
      </c>
      <c r="K2336" s="23">
        <v>0</v>
      </c>
    </row>
    <row r="2337" spans="1:11" x14ac:dyDescent="0.25">
      <c r="A2337">
        <v>2336</v>
      </c>
      <c r="B2337" s="23">
        <v>142.37100000000001</v>
      </c>
      <c r="C2337" s="23">
        <v>270.3</v>
      </c>
      <c r="D2337" s="23">
        <v>1055.52</v>
      </c>
      <c r="E2337" s="23">
        <v>142.37100000000001</v>
      </c>
      <c r="F2337" s="23">
        <v>-913.149</v>
      </c>
      <c r="G2337" s="23">
        <v>0</v>
      </c>
      <c r="H2337" s="23">
        <v>0</v>
      </c>
      <c r="I2337" s="23">
        <v>0</v>
      </c>
      <c r="J2337" s="23">
        <v>0</v>
      </c>
      <c r="K2337" s="23">
        <v>0</v>
      </c>
    </row>
    <row r="2338" spans="1:11" x14ac:dyDescent="0.25">
      <c r="A2338">
        <v>2337</v>
      </c>
      <c r="B2338" s="23">
        <v>876.80499999999995</v>
      </c>
      <c r="C2338" s="23">
        <v>489.22</v>
      </c>
      <c r="D2338" s="23">
        <v>1887.135</v>
      </c>
      <c r="E2338" s="23">
        <v>876.80499999999995</v>
      </c>
      <c r="F2338" s="23">
        <v>-288.57499999999999</v>
      </c>
      <c r="G2338" s="23">
        <v>0</v>
      </c>
      <c r="H2338" s="23">
        <v>721.755</v>
      </c>
      <c r="I2338" s="23">
        <v>0</v>
      </c>
      <c r="J2338" s="23">
        <v>0</v>
      </c>
      <c r="K2338" s="23">
        <v>0</v>
      </c>
    </row>
    <row r="2339" spans="1:11" x14ac:dyDescent="0.25">
      <c r="A2339">
        <v>2338</v>
      </c>
      <c r="B2339" s="23">
        <v>1186.1300000000001</v>
      </c>
      <c r="C2339" s="23">
        <v>558.67999999999995</v>
      </c>
      <c r="D2339" s="23">
        <v>2100.3409999999999</v>
      </c>
      <c r="E2339" s="23">
        <v>1186.1300000000001</v>
      </c>
      <c r="F2339" s="23">
        <v>0</v>
      </c>
      <c r="G2339" s="23">
        <v>0</v>
      </c>
      <c r="H2339" s="23">
        <v>914.21100000000001</v>
      </c>
      <c r="I2339" s="23">
        <v>0</v>
      </c>
      <c r="J2339" s="23">
        <v>0</v>
      </c>
      <c r="K2339" s="23">
        <v>0</v>
      </c>
    </row>
    <row r="2340" spans="1:11" x14ac:dyDescent="0.25">
      <c r="A2340">
        <v>2339</v>
      </c>
      <c r="B2340" s="23">
        <v>1409.1959999999999</v>
      </c>
      <c r="C2340" s="23">
        <v>607.38</v>
      </c>
      <c r="D2340" s="23">
        <v>2250.5309999999999</v>
      </c>
      <c r="E2340" s="23">
        <v>1409.1959999999999</v>
      </c>
      <c r="F2340" s="23">
        <v>0</v>
      </c>
      <c r="G2340" s="23">
        <v>0</v>
      </c>
      <c r="H2340" s="23">
        <v>841.33500000000004</v>
      </c>
      <c r="I2340" s="23">
        <v>0</v>
      </c>
      <c r="J2340" s="23">
        <v>0</v>
      </c>
      <c r="K2340" s="23">
        <v>0</v>
      </c>
    </row>
    <row r="2341" spans="1:11" x14ac:dyDescent="0.25">
      <c r="A2341">
        <v>2340</v>
      </c>
      <c r="B2341" s="23">
        <v>1645.0650000000001</v>
      </c>
      <c r="C2341" s="23">
        <v>985.6</v>
      </c>
      <c r="D2341" s="23">
        <v>3582.9870000000001</v>
      </c>
      <c r="E2341" s="23">
        <v>1645.0650000000001</v>
      </c>
      <c r="F2341" s="23">
        <v>0</v>
      </c>
      <c r="G2341" s="23">
        <v>0</v>
      </c>
      <c r="H2341" s="23">
        <v>1937.922</v>
      </c>
      <c r="I2341" s="23">
        <v>0</v>
      </c>
      <c r="J2341" s="23">
        <v>0</v>
      </c>
      <c r="K2341" s="23">
        <v>0</v>
      </c>
    </row>
    <row r="2342" spans="1:11" x14ac:dyDescent="0.25">
      <c r="A2342">
        <v>2341</v>
      </c>
      <c r="B2342" s="23">
        <v>1551.5070000000001</v>
      </c>
      <c r="C2342" s="23">
        <v>508.85</v>
      </c>
      <c r="D2342" s="23">
        <v>1884.4590000000001</v>
      </c>
      <c r="E2342" s="23">
        <v>1551.5070000000001</v>
      </c>
      <c r="F2342" s="23">
        <v>0</v>
      </c>
      <c r="G2342" s="23">
        <v>0</v>
      </c>
      <c r="H2342" s="23">
        <v>332.952</v>
      </c>
      <c r="I2342" s="23">
        <v>0</v>
      </c>
      <c r="J2342" s="23">
        <v>0</v>
      </c>
      <c r="K2342" s="23">
        <v>0</v>
      </c>
    </row>
    <row r="2343" spans="1:11" x14ac:dyDescent="0.25">
      <c r="A2343">
        <v>2342</v>
      </c>
      <c r="B2343" s="23">
        <v>1454.836</v>
      </c>
      <c r="C2343" s="23">
        <v>642.64</v>
      </c>
      <c r="D2343" s="23">
        <v>2382.3809999999999</v>
      </c>
      <c r="E2343" s="23">
        <v>1454.836</v>
      </c>
      <c r="F2343" s="23">
        <v>0</v>
      </c>
      <c r="G2343" s="23">
        <v>0</v>
      </c>
      <c r="H2343" s="23">
        <v>927.54499999999996</v>
      </c>
      <c r="I2343" s="23">
        <v>0</v>
      </c>
      <c r="J2343" s="23">
        <v>0</v>
      </c>
      <c r="K2343" s="23">
        <v>0</v>
      </c>
    </row>
    <row r="2344" spans="1:11" x14ac:dyDescent="0.25">
      <c r="A2344">
        <v>2343</v>
      </c>
      <c r="B2344" s="23">
        <v>1456.702</v>
      </c>
      <c r="C2344" s="23">
        <v>402.07</v>
      </c>
      <c r="D2344" s="23">
        <v>1521.6110000000001</v>
      </c>
      <c r="E2344" s="23">
        <v>1456.702</v>
      </c>
      <c r="F2344" s="23">
        <v>0</v>
      </c>
      <c r="G2344" s="23">
        <v>0</v>
      </c>
      <c r="H2344" s="23">
        <v>64.909000000000006</v>
      </c>
      <c r="I2344" s="23">
        <v>0</v>
      </c>
      <c r="J2344" s="23">
        <v>0</v>
      </c>
      <c r="K2344" s="23">
        <v>0</v>
      </c>
    </row>
    <row r="2345" spans="1:11" x14ac:dyDescent="0.25">
      <c r="A2345">
        <v>2344</v>
      </c>
      <c r="B2345" s="23">
        <v>1631.3869999999999</v>
      </c>
      <c r="C2345" s="23">
        <v>192.85</v>
      </c>
      <c r="D2345" s="23">
        <v>728.53200000000004</v>
      </c>
      <c r="E2345" s="23">
        <v>728.53200000000004</v>
      </c>
      <c r="F2345" s="23">
        <v>0</v>
      </c>
      <c r="G2345" s="23">
        <v>0</v>
      </c>
      <c r="H2345" s="23">
        <v>0</v>
      </c>
      <c r="I2345" s="23">
        <v>902.85500000000002</v>
      </c>
      <c r="J2345" s="23">
        <v>0</v>
      </c>
      <c r="K2345" s="23">
        <v>0</v>
      </c>
    </row>
    <row r="2346" spans="1:11" x14ac:dyDescent="0.25">
      <c r="A2346">
        <v>2345</v>
      </c>
      <c r="B2346" s="23">
        <v>1631.5530000000001</v>
      </c>
      <c r="C2346" s="23">
        <v>217.44</v>
      </c>
      <c r="D2346" s="23">
        <v>837.91200000000003</v>
      </c>
      <c r="E2346" s="23">
        <v>837.91200000000003</v>
      </c>
      <c r="F2346" s="23">
        <v>0</v>
      </c>
      <c r="G2346" s="23">
        <v>0</v>
      </c>
      <c r="H2346" s="23">
        <v>0</v>
      </c>
      <c r="I2346" s="23">
        <v>793.64099999999996</v>
      </c>
      <c r="J2346" s="23">
        <v>0</v>
      </c>
      <c r="K2346" s="23">
        <v>0</v>
      </c>
    </row>
    <row r="2347" spans="1:11" x14ac:dyDescent="0.25">
      <c r="A2347">
        <v>2346</v>
      </c>
      <c r="B2347" s="23">
        <v>1765.931</v>
      </c>
      <c r="C2347" s="23">
        <v>52.23</v>
      </c>
      <c r="D2347" s="23">
        <v>165.02500000000001</v>
      </c>
      <c r="E2347" s="23">
        <v>165.02500000000001</v>
      </c>
      <c r="F2347" s="23">
        <v>0</v>
      </c>
      <c r="G2347" s="23">
        <v>0</v>
      </c>
      <c r="H2347" s="23">
        <v>0</v>
      </c>
      <c r="I2347" s="23">
        <v>0</v>
      </c>
      <c r="J2347" s="23">
        <v>0</v>
      </c>
      <c r="K2347" s="23">
        <v>1600.9059999999999</v>
      </c>
    </row>
    <row r="2348" spans="1:11" x14ac:dyDescent="0.25">
      <c r="A2348">
        <v>2347</v>
      </c>
      <c r="B2348" s="23">
        <v>1730.86</v>
      </c>
      <c r="C2348" s="23">
        <v>0</v>
      </c>
      <c r="D2348" s="23">
        <v>0</v>
      </c>
      <c r="E2348" s="23">
        <v>0</v>
      </c>
      <c r="F2348" s="23">
        <v>0</v>
      </c>
      <c r="G2348" s="23">
        <v>0</v>
      </c>
      <c r="H2348" s="23">
        <v>0</v>
      </c>
      <c r="I2348" s="23">
        <v>46.301000000000002</v>
      </c>
      <c r="J2348" s="23">
        <v>0</v>
      </c>
      <c r="K2348" s="23">
        <v>1684.559</v>
      </c>
    </row>
    <row r="2349" spans="1:11" x14ac:dyDescent="0.25">
      <c r="A2349">
        <v>2348</v>
      </c>
      <c r="B2349" s="23">
        <v>1846.4</v>
      </c>
      <c r="C2349" s="23">
        <v>0</v>
      </c>
      <c r="D2349" s="23">
        <v>0</v>
      </c>
      <c r="E2349" s="23">
        <v>0</v>
      </c>
      <c r="F2349" s="23">
        <v>0</v>
      </c>
      <c r="G2349" s="23">
        <v>0</v>
      </c>
      <c r="H2349" s="23">
        <v>0</v>
      </c>
      <c r="I2349" s="23">
        <v>161.84100000000001</v>
      </c>
      <c r="J2349" s="23">
        <v>0</v>
      </c>
      <c r="K2349" s="23">
        <v>1684.559</v>
      </c>
    </row>
    <row r="2350" spans="1:11" x14ac:dyDescent="0.25">
      <c r="A2350">
        <v>2349</v>
      </c>
      <c r="B2350" s="23">
        <v>1725.6</v>
      </c>
      <c r="C2350" s="23">
        <v>0</v>
      </c>
      <c r="D2350" s="23">
        <v>0</v>
      </c>
      <c r="E2350" s="23">
        <v>0</v>
      </c>
      <c r="F2350" s="23">
        <v>0</v>
      </c>
      <c r="G2350" s="23">
        <v>0</v>
      </c>
      <c r="H2350" s="23">
        <v>0</v>
      </c>
      <c r="I2350" s="23">
        <v>1725.6</v>
      </c>
      <c r="J2350" s="23">
        <v>0</v>
      </c>
      <c r="K2350" s="23">
        <v>0</v>
      </c>
    </row>
    <row r="2351" spans="1:11" x14ac:dyDescent="0.25">
      <c r="A2351">
        <v>2350</v>
      </c>
      <c r="B2351" s="23">
        <v>1554.4</v>
      </c>
      <c r="C2351" s="23">
        <v>0</v>
      </c>
      <c r="D2351" s="23">
        <v>0</v>
      </c>
      <c r="E2351" s="23">
        <v>0</v>
      </c>
      <c r="F2351" s="23">
        <v>0</v>
      </c>
      <c r="G2351" s="23">
        <v>0</v>
      </c>
      <c r="H2351" s="23">
        <v>0</v>
      </c>
      <c r="I2351" s="23">
        <v>1554.4</v>
      </c>
      <c r="J2351" s="23">
        <v>0</v>
      </c>
      <c r="K2351" s="23">
        <v>0</v>
      </c>
    </row>
    <row r="2352" spans="1:11" x14ac:dyDescent="0.25">
      <c r="A2352">
        <v>2351</v>
      </c>
      <c r="B2352" s="23">
        <v>1998.4</v>
      </c>
      <c r="C2352" s="23">
        <v>0</v>
      </c>
      <c r="D2352" s="23">
        <v>0</v>
      </c>
      <c r="E2352" s="23">
        <v>0</v>
      </c>
      <c r="F2352" s="23">
        <v>0</v>
      </c>
      <c r="G2352" s="23">
        <v>0</v>
      </c>
      <c r="H2352" s="23">
        <v>0</v>
      </c>
      <c r="I2352" s="23">
        <v>1998.4</v>
      </c>
      <c r="J2352" s="23">
        <v>0</v>
      </c>
      <c r="K2352" s="23">
        <v>0</v>
      </c>
    </row>
    <row r="2353" spans="1:11" x14ac:dyDescent="0.25">
      <c r="A2353">
        <v>2352</v>
      </c>
      <c r="B2353" s="23">
        <v>1700.8</v>
      </c>
      <c r="C2353" s="23">
        <v>0</v>
      </c>
      <c r="D2353" s="23">
        <v>0</v>
      </c>
      <c r="E2353" s="23">
        <v>0</v>
      </c>
      <c r="F2353" s="23">
        <v>0</v>
      </c>
      <c r="G2353" s="23">
        <v>0</v>
      </c>
      <c r="H2353" s="23">
        <v>0</v>
      </c>
      <c r="I2353" s="23">
        <v>1700.8</v>
      </c>
      <c r="J2353" s="23">
        <v>0</v>
      </c>
      <c r="K2353" s="23">
        <v>0</v>
      </c>
    </row>
    <row r="2354" spans="1:11" x14ac:dyDescent="0.25">
      <c r="A2354">
        <v>2353</v>
      </c>
      <c r="B2354" s="23">
        <v>1940.8</v>
      </c>
      <c r="C2354" s="23">
        <v>0</v>
      </c>
      <c r="D2354" s="23">
        <v>0</v>
      </c>
      <c r="E2354" s="23">
        <v>0</v>
      </c>
      <c r="F2354" s="23">
        <v>0</v>
      </c>
      <c r="G2354" s="23">
        <v>0</v>
      </c>
      <c r="H2354" s="23">
        <v>0</v>
      </c>
      <c r="I2354" s="23">
        <v>1940.8</v>
      </c>
      <c r="J2354" s="23">
        <v>0</v>
      </c>
      <c r="K2354" s="23">
        <v>0</v>
      </c>
    </row>
    <row r="2355" spans="1:11" x14ac:dyDescent="0.25">
      <c r="A2355">
        <v>2354</v>
      </c>
      <c r="B2355" s="23">
        <v>1621.6</v>
      </c>
      <c r="C2355" s="23">
        <v>0</v>
      </c>
      <c r="D2355" s="23">
        <v>0</v>
      </c>
      <c r="E2355" s="23">
        <v>0</v>
      </c>
      <c r="F2355" s="23">
        <v>0</v>
      </c>
      <c r="G2355" s="23">
        <v>0</v>
      </c>
      <c r="H2355" s="23">
        <v>0</v>
      </c>
      <c r="I2355" s="23">
        <v>1621.6</v>
      </c>
      <c r="J2355" s="23">
        <v>0</v>
      </c>
      <c r="K2355" s="23">
        <v>0</v>
      </c>
    </row>
    <row r="2356" spans="1:11" x14ac:dyDescent="0.25">
      <c r="A2356">
        <v>2355</v>
      </c>
      <c r="B2356" s="23">
        <v>1272.8</v>
      </c>
      <c r="C2356" s="23">
        <v>0</v>
      </c>
      <c r="D2356" s="23">
        <v>0</v>
      </c>
      <c r="E2356" s="23">
        <v>0</v>
      </c>
      <c r="F2356" s="23">
        <v>0</v>
      </c>
      <c r="G2356" s="23">
        <v>0</v>
      </c>
      <c r="H2356" s="23">
        <v>0</v>
      </c>
      <c r="I2356" s="23">
        <v>1272.8</v>
      </c>
      <c r="J2356" s="23">
        <v>0</v>
      </c>
      <c r="K2356" s="23">
        <v>0</v>
      </c>
    </row>
    <row r="2357" spans="1:11" x14ac:dyDescent="0.25">
      <c r="A2357">
        <v>2356</v>
      </c>
      <c r="B2357" s="23">
        <v>1277.5999999999999</v>
      </c>
      <c r="C2357" s="23">
        <v>0</v>
      </c>
      <c r="D2357" s="23">
        <v>0</v>
      </c>
      <c r="E2357" s="23">
        <v>0</v>
      </c>
      <c r="F2357" s="23">
        <v>0</v>
      </c>
      <c r="G2357" s="23">
        <v>0</v>
      </c>
      <c r="H2357" s="23">
        <v>0</v>
      </c>
      <c r="I2357" s="23">
        <v>1277.5999999999999</v>
      </c>
      <c r="J2357" s="23">
        <v>0</v>
      </c>
      <c r="K2357" s="23">
        <v>0</v>
      </c>
    </row>
    <row r="2358" spans="1:11" x14ac:dyDescent="0.25">
      <c r="A2358">
        <v>2357</v>
      </c>
      <c r="B2358" s="23">
        <v>1742.4</v>
      </c>
      <c r="C2358" s="23">
        <v>0</v>
      </c>
      <c r="D2358" s="23">
        <v>0</v>
      </c>
      <c r="E2358" s="23">
        <v>0</v>
      </c>
      <c r="F2358" s="23">
        <v>0</v>
      </c>
      <c r="G2358" s="23">
        <v>0</v>
      </c>
      <c r="H2358" s="23">
        <v>0</v>
      </c>
      <c r="I2358" s="23">
        <v>1742.4</v>
      </c>
      <c r="J2358" s="23">
        <v>0</v>
      </c>
      <c r="K2358" s="23">
        <v>0</v>
      </c>
    </row>
    <row r="2359" spans="1:11" x14ac:dyDescent="0.25">
      <c r="A2359">
        <v>2358</v>
      </c>
      <c r="B2359" s="23">
        <v>1696</v>
      </c>
      <c r="C2359" s="23">
        <v>0</v>
      </c>
      <c r="D2359" s="23">
        <v>0</v>
      </c>
      <c r="E2359" s="23">
        <v>0</v>
      </c>
      <c r="F2359" s="23">
        <v>0</v>
      </c>
      <c r="G2359" s="23">
        <v>0</v>
      </c>
      <c r="H2359" s="23">
        <v>0</v>
      </c>
      <c r="I2359" s="23">
        <v>883.23299999999995</v>
      </c>
      <c r="J2359" s="23">
        <v>0</v>
      </c>
      <c r="K2359" s="23">
        <v>812.76700000000005</v>
      </c>
    </row>
    <row r="2360" spans="1:11" x14ac:dyDescent="0.25">
      <c r="A2360">
        <v>2359</v>
      </c>
      <c r="B2360" s="23">
        <v>1093.028</v>
      </c>
      <c r="C2360" s="23">
        <v>97.44</v>
      </c>
      <c r="D2360" s="23">
        <v>323.971</v>
      </c>
      <c r="E2360" s="23">
        <v>323.971</v>
      </c>
      <c r="F2360" s="23">
        <v>0</v>
      </c>
      <c r="G2360" s="23">
        <v>0</v>
      </c>
      <c r="H2360" s="23">
        <v>0</v>
      </c>
      <c r="I2360" s="23">
        <v>0</v>
      </c>
      <c r="J2360" s="23">
        <v>0</v>
      </c>
      <c r="K2360" s="23">
        <v>769.05700000000002</v>
      </c>
    </row>
    <row r="2361" spans="1:11" x14ac:dyDescent="0.25">
      <c r="A2361">
        <v>2360</v>
      </c>
      <c r="B2361" s="23">
        <v>1153.367</v>
      </c>
      <c r="C2361" s="23">
        <v>332.82</v>
      </c>
      <c r="D2361" s="23">
        <v>1284.0530000000001</v>
      </c>
      <c r="E2361" s="23">
        <v>1153.367</v>
      </c>
      <c r="F2361" s="23">
        <v>-130.68600000000001</v>
      </c>
      <c r="G2361" s="23">
        <v>0</v>
      </c>
      <c r="H2361" s="23">
        <v>0</v>
      </c>
      <c r="I2361" s="23">
        <v>0</v>
      </c>
      <c r="J2361" s="23">
        <v>0</v>
      </c>
      <c r="K2361" s="23">
        <v>0</v>
      </c>
    </row>
    <row r="2362" spans="1:11" x14ac:dyDescent="0.25">
      <c r="A2362">
        <v>2361</v>
      </c>
      <c r="B2362" s="23">
        <v>1724.16</v>
      </c>
      <c r="C2362" s="23">
        <v>579.52</v>
      </c>
      <c r="D2362" s="23">
        <v>2187.0740000000001</v>
      </c>
      <c r="E2362" s="23">
        <v>1724.16</v>
      </c>
      <c r="F2362" s="23">
        <v>-462.91399999999999</v>
      </c>
      <c r="G2362" s="23">
        <v>0</v>
      </c>
      <c r="H2362" s="23">
        <v>0</v>
      </c>
      <c r="I2362" s="23">
        <v>0</v>
      </c>
      <c r="J2362" s="23">
        <v>0</v>
      </c>
      <c r="K2362" s="23">
        <v>0</v>
      </c>
    </row>
    <row r="2363" spans="1:11" x14ac:dyDescent="0.25">
      <c r="A2363">
        <v>2362</v>
      </c>
      <c r="B2363" s="23">
        <v>2138.2559999999999</v>
      </c>
      <c r="C2363" s="23">
        <v>789.18</v>
      </c>
      <c r="D2363" s="23">
        <v>2811.3719999999998</v>
      </c>
      <c r="E2363" s="23">
        <v>2138.2559999999999</v>
      </c>
      <c r="F2363" s="23">
        <v>-673.11599999999999</v>
      </c>
      <c r="G2363" s="23">
        <v>0</v>
      </c>
      <c r="H2363" s="23">
        <v>0</v>
      </c>
      <c r="I2363" s="23">
        <v>0</v>
      </c>
      <c r="J2363" s="23">
        <v>0</v>
      </c>
      <c r="K2363" s="23">
        <v>0</v>
      </c>
    </row>
    <row r="2364" spans="1:11" x14ac:dyDescent="0.25">
      <c r="A2364">
        <v>2363</v>
      </c>
      <c r="B2364" s="23">
        <v>1900.048</v>
      </c>
      <c r="C2364" s="23">
        <v>943.98</v>
      </c>
      <c r="D2364" s="23">
        <v>3239.7220000000002</v>
      </c>
      <c r="E2364" s="23">
        <v>1900.048</v>
      </c>
      <c r="F2364" s="23">
        <v>-1339.674</v>
      </c>
      <c r="G2364" s="23">
        <v>0</v>
      </c>
      <c r="H2364" s="23">
        <v>0</v>
      </c>
      <c r="I2364" s="23">
        <v>0</v>
      </c>
      <c r="J2364" s="23">
        <v>0</v>
      </c>
      <c r="K2364" s="23">
        <v>0</v>
      </c>
    </row>
    <row r="2365" spans="1:11" x14ac:dyDescent="0.25">
      <c r="A2365">
        <v>2364</v>
      </c>
      <c r="B2365" s="23">
        <v>2133.1909999999998</v>
      </c>
      <c r="C2365" s="23">
        <v>1016.44</v>
      </c>
      <c r="D2365" s="23">
        <v>3454.85</v>
      </c>
      <c r="E2365" s="23">
        <v>2133.1909999999998</v>
      </c>
      <c r="F2365" s="23">
        <v>-1321.6590000000001</v>
      </c>
      <c r="G2365" s="23">
        <v>0</v>
      </c>
      <c r="H2365" s="23">
        <v>0</v>
      </c>
      <c r="I2365" s="23">
        <v>0</v>
      </c>
      <c r="J2365" s="23">
        <v>0</v>
      </c>
      <c r="K2365" s="23">
        <v>0</v>
      </c>
    </row>
    <row r="2366" spans="1:11" x14ac:dyDescent="0.25">
      <c r="A2366">
        <v>2365</v>
      </c>
      <c r="B2366" s="23">
        <v>1700.0260000000001</v>
      </c>
      <c r="C2366" s="23">
        <v>1008.05</v>
      </c>
      <c r="D2366" s="23">
        <v>3471.1219999999998</v>
      </c>
      <c r="E2366" s="23">
        <v>1700.0260000000001</v>
      </c>
      <c r="F2366" s="23">
        <v>-1684.559</v>
      </c>
      <c r="G2366" s="23">
        <v>0</v>
      </c>
      <c r="H2366" s="23">
        <v>86.537000000000006</v>
      </c>
      <c r="I2366" s="23">
        <v>0</v>
      </c>
      <c r="J2366" s="23">
        <v>0</v>
      </c>
      <c r="K2366" s="23">
        <v>0</v>
      </c>
    </row>
    <row r="2367" spans="1:11" x14ac:dyDescent="0.25">
      <c r="A2367">
        <v>2366</v>
      </c>
      <c r="B2367" s="23">
        <v>1540.681</v>
      </c>
      <c r="C2367" s="23">
        <v>917.65</v>
      </c>
      <c r="D2367" s="23">
        <v>3267.3119999999999</v>
      </c>
      <c r="E2367" s="23">
        <v>1540.681</v>
      </c>
      <c r="F2367" s="23">
        <v>-1678.89</v>
      </c>
      <c r="G2367" s="23">
        <v>0</v>
      </c>
      <c r="H2367" s="23">
        <v>47.741</v>
      </c>
      <c r="I2367" s="23">
        <v>0</v>
      </c>
      <c r="J2367" s="23">
        <v>0</v>
      </c>
      <c r="K2367" s="23">
        <v>0</v>
      </c>
    </row>
    <row r="2368" spans="1:11" x14ac:dyDescent="0.25">
      <c r="A2368">
        <v>2367</v>
      </c>
      <c r="B2368" s="23">
        <v>1354.5340000000001</v>
      </c>
      <c r="C2368" s="23">
        <v>758.21</v>
      </c>
      <c r="D2368" s="23">
        <v>2807.5909999999999</v>
      </c>
      <c r="E2368" s="23">
        <v>1354.5340000000001</v>
      </c>
      <c r="F2368" s="23">
        <v>0</v>
      </c>
      <c r="G2368" s="23">
        <v>0</v>
      </c>
      <c r="H2368" s="23">
        <v>1453.057</v>
      </c>
      <c r="I2368" s="23">
        <v>0</v>
      </c>
      <c r="J2368" s="23">
        <v>0</v>
      </c>
      <c r="K2368" s="23">
        <v>0</v>
      </c>
    </row>
    <row r="2369" spans="1:11" x14ac:dyDescent="0.25">
      <c r="A2369">
        <v>2368</v>
      </c>
      <c r="B2369" s="23">
        <v>1652.807</v>
      </c>
      <c r="C2369" s="23">
        <v>544.14</v>
      </c>
      <c r="D2369" s="23">
        <v>2096.5079999999998</v>
      </c>
      <c r="E2369" s="23">
        <v>1652.807</v>
      </c>
      <c r="F2369" s="23">
        <v>0</v>
      </c>
      <c r="G2369" s="23">
        <v>0</v>
      </c>
      <c r="H2369" s="23">
        <v>443.70100000000002</v>
      </c>
      <c r="I2369" s="23">
        <v>0</v>
      </c>
      <c r="J2369" s="23">
        <v>0</v>
      </c>
      <c r="K2369" s="23">
        <v>0</v>
      </c>
    </row>
    <row r="2370" spans="1:11" x14ac:dyDescent="0.25">
      <c r="A2370">
        <v>2369</v>
      </c>
      <c r="B2370" s="23">
        <v>1811.0419999999999</v>
      </c>
      <c r="C2370" s="23">
        <v>298.25</v>
      </c>
      <c r="D2370" s="23">
        <v>1127.691</v>
      </c>
      <c r="E2370" s="23">
        <v>1127.691</v>
      </c>
      <c r="F2370" s="23">
        <v>0</v>
      </c>
      <c r="G2370" s="23">
        <v>0</v>
      </c>
      <c r="H2370" s="23">
        <v>0</v>
      </c>
      <c r="I2370" s="23">
        <v>683.351</v>
      </c>
      <c r="J2370" s="23">
        <v>0</v>
      </c>
      <c r="K2370" s="23">
        <v>0</v>
      </c>
    </row>
    <row r="2371" spans="1:11" x14ac:dyDescent="0.25">
      <c r="A2371">
        <v>2370</v>
      </c>
      <c r="B2371" s="23">
        <v>1517.038</v>
      </c>
      <c r="C2371" s="23">
        <v>71.12</v>
      </c>
      <c r="D2371" s="23">
        <v>203.541</v>
      </c>
      <c r="E2371" s="23">
        <v>203.541</v>
      </c>
      <c r="F2371" s="23">
        <v>0</v>
      </c>
      <c r="G2371" s="23">
        <v>0</v>
      </c>
      <c r="H2371" s="23">
        <v>0</v>
      </c>
      <c r="I2371" s="23">
        <v>0</v>
      </c>
      <c r="J2371" s="23">
        <v>0</v>
      </c>
      <c r="K2371" s="23">
        <v>1313.4970000000001</v>
      </c>
    </row>
    <row r="2372" spans="1:11" x14ac:dyDescent="0.25">
      <c r="A2372">
        <v>2371</v>
      </c>
      <c r="B2372" s="23">
        <v>1866.297</v>
      </c>
      <c r="C2372" s="23">
        <v>0</v>
      </c>
      <c r="D2372" s="23">
        <v>0</v>
      </c>
      <c r="E2372" s="23">
        <v>0</v>
      </c>
      <c r="F2372" s="23">
        <v>0</v>
      </c>
      <c r="G2372" s="23">
        <v>0</v>
      </c>
      <c r="H2372" s="23">
        <v>0</v>
      </c>
      <c r="I2372" s="23">
        <v>181.738</v>
      </c>
      <c r="J2372" s="23">
        <v>0</v>
      </c>
      <c r="K2372" s="23">
        <v>1684.559</v>
      </c>
    </row>
    <row r="2373" spans="1:11" x14ac:dyDescent="0.25">
      <c r="A2373">
        <v>2372</v>
      </c>
      <c r="B2373" s="23">
        <v>1745.6</v>
      </c>
      <c r="C2373" s="23">
        <v>0</v>
      </c>
      <c r="D2373" s="23">
        <v>0</v>
      </c>
      <c r="E2373" s="23">
        <v>0</v>
      </c>
      <c r="F2373" s="23">
        <v>0</v>
      </c>
      <c r="G2373" s="23">
        <v>0</v>
      </c>
      <c r="H2373" s="23">
        <v>0</v>
      </c>
      <c r="I2373" s="23">
        <v>61.040999999999997</v>
      </c>
      <c r="J2373" s="23">
        <v>0</v>
      </c>
      <c r="K2373" s="23">
        <v>1684.559</v>
      </c>
    </row>
    <row r="2374" spans="1:11" x14ac:dyDescent="0.25">
      <c r="A2374">
        <v>2373</v>
      </c>
      <c r="B2374" s="23">
        <v>2057.6</v>
      </c>
      <c r="C2374" s="23">
        <v>0</v>
      </c>
      <c r="D2374" s="23">
        <v>0</v>
      </c>
      <c r="E2374" s="23">
        <v>0</v>
      </c>
      <c r="F2374" s="23">
        <v>0</v>
      </c>
      <c r="G2374" s="23">
        <v>0</v>
      </c>
      <c r="H2374" s="23">
        <v>0</v>
      </c>
      <c r="I2374" s="23">
        <v>2057.6</v>
      </c>
      <c r="J2374" s="23">
        <v>0</v>
      </c>
      <c r="K2374" s="23">
        <v>0</v>
      </c>
    </row>
    <row r="2375" spans="1:11" x14ac:dyDescent="0.25">
      <c r="A2375">
        <v>2374</v>
      </c>
      <c r="B2375" s="23">
        <v>1675.2</v>
      </c>
      <c r="C2375" s="23">
        <v>0</v>
      </c>
      <c r="D2375" s="23">
        <v>0</v>
      </c>
      <c r="E2375" s="23">
        <v>0</v>
      </c>
      <c r="F2375" s="23">
        <v>0</v>
      </c>
      <c r="G2375" s="23">
        <v>0</v>
      </c>
      <c r="H2375" s="23">
        <v>0</v>
      </c>
      <c r="I2375" s="23">
        <v>1675.2</v>
      </c>
      <c r="J2375" s="23">
        <v>0</v>
      </c>
      <c r="K2375" s="23">
        <v>0</v>
      </c>
    </row>
    <row r="2376" spans="1:11" x14ac:dyDescent="0.25">
      <c r="A2376">
        <v>2375</v>
      </c>
      <c r="B2376" s="23">
        <v>1663.2</v>
      </c>
      <c r="C2376" s="23">
        <v>0</v>
      </c>
      <c r="D2376" s="23">
        <v>0</v>
      </c>
      <c r="E2376" s="23">
        <v>0</v>
      </c>
      <c r="F2376" s="23">
        <v>0</v>
      </c>
      <c r="G2376" s="23">
        <v>0</v>
      </c>
      <c r="H2376" s="23">
        <v>0</v>
      </c>
      <c r="I2376" s="23">
        <v>1663.2</v>
      </c>
      <c r="J2376" s="23">
        <v>0</v>
      </c>
      <c r="K2376" s="23">
        <v>0</v>
      </c>
    </row>
    <row r="2377" spans="1:11" x14ac:dyDescent="0.25">
      <c r="A2377">
        <v>2376</v>
      </c>
      <c r="B2377" s="23">
        <v>1429.6</v>
      </c>
      <c r="C2377" s="23">
        <v>0</v>
      </c>
      <c r="D2377" s="23">
        <v>0</v>
      </c>
      <c r="E2377" s="23">
        <v>0</v>
      </c>
      <c r="F2377" s="23">
        <v>0</v>
      </c>
      <c r="G2377" s="23">
        <v>0</v>
      </c>
      <c r="H2377" s="23">
        <v>0</v>
      </c>
      <c r="I2377" s="23">
        <v>1429.6</v>
      </c>
      <c r="J2377" s="23">
        <v>0</v>
      </c>
      <c r="K2377" s="23">
        <v>0</v>
      </c>
    </row>
    <row r="2378" spans="1:11" x14ac:dyDescent="0.25">
      <c r="A2378">
        <v>2377</v>
      </c>
      <c r="B2378" s="23">
        <v>1479.2</v>
      </c>
      <c r="C2378" s="23">
        <v>0</v>
      </c>
      <c r="D2378" s="23">
        <v>0</v>
      </c>
      <c r="E2378" s="23">
        <v>0</v>
      </c>
      <c r="F2378" s="23">
        <v>0</v>
      </c>
      <c r="G2378" s="23">
        <v>0</v>
      </c>
      <c r="H2378" s="23">
        <v>0</v>
      </c>
      <c r="I2378" s="23">
        <v>1479.2</v>
      </c>
      <c r="J2378" s="23">
        <v>0</v>
      </c>
      <c r="K2378" s="23">
        <v>0</v>
      </c>
    </row>
    <row r="2379" spans="1:11" x14ac:dyDescent="0.25">
      <c r="A2379">
        <v>2378</v>
      </c>
      <c r="B2379" s="23">
        <v>1613.6</v>
      </c>
      <c r="C2379" s="23">
        <v>0</v>
      </c>
      <c r="D2379" s="23">
        <v>0</v>
      </c>
      <c r="E2379" s="23">
        <v>0</v>
      </c>
      <c r="F2379" s="23">
        <v>0</v>
      </c>
      <c r="G2379" s="23">
        <v>0</v>
      </c>
      <c r="H2379" s="23">
        <v>0</v>
      </c>
      <c r="I2379" s="23">
        <v>1613.6</v>
      </c>
      <c r="J2379" s="23">
        <v>0</v>
      </c>
      <c r="K2379" s="23">
        <v>0</v>
      </c>
    </row>
    <row r="2380" spans="1:11" x14ac:dyDescent="0.25">
      <c r="A2380">
        <v>2379</v>
      </c>
      <c r="B2380" s="23">
        <v>1020.8</v>
      </c>
      <c r="C2380" s="23">
        <v>0</v>
      </c>
      <c r="D2380" s="23">
        <v>0</v>
      </c>
      <c r="E2380" s="23">
        <v>0</v>
      </c>
      <c r="F2380" s="23">
        <v>0</v>
      </c>
      <c r="G2380" s="23">
        <v>0</v>
      </c>
      <c r="H2380" s="23">
        <v>0</v>
      </c>
      <c r="I2380" s="23">
        <v>1020.8</v>
      </c>
      <c r="J2380" s="23">
        <v>0</v>
      </c>
      <c r="K2380" s="23">
        <v>0</v>
      </c>
    </row>
    <row r="2381" spans="1:11" x14ac:dyDescent="0.25">
      <c r="A2381">
        <v>2380</v>
      </c>
      <c r="B2381" s="23">
        <v>1254.4000000000001</v>
      </c>
      <c r="C2381" s="23">
        <v>0</v>
      </c>
      <c r="D2381" s="23">
        <v>0</v>
      </c>
      <c r="E2381" s="23">
        <v>0</v>
      </c>
      <c r="F2381" s="23">
        <v>0</v>
      </c>
      <c r="G2381" s="23">
        <v>0</v>
      </c>
      <c r="H2381" s="23">
        <v>0</v>
      </c>
      <c r="I2381" s="23">
        <v>1254.4000000000001</v>
      </c>
      <c r="J2381" s="23">
        <v>0</v>
      </c>
      <c r="K2381" s="23">
        <v>0</v>
      </c>
    </row>
    <row r="2382" spans="1:11" x14ac:dyDescent="0.25">
      <c r="A2382">
        <v>2381</v>
      </c>
      <c r="B2382" s="23">
        <v>1267.2</v>
      </c>
      <c r="C2382" s="23">
        <v>0</v>
      </c>
      <c r="D2382" s="23">
        <v>0</v>
      </c>
      <c r="E2382" s="23">
        <v>0</v>
      </c>
      <c r="F2382" s="23">
        <v>0</v>
      </c>
      <c r="G2382" s="23">
        <v>0</v>
      </c>
      <c r="H2382" s="23">
        <v>0</v>
      </c>
      <c r="I2382" s="23">
        <v>1267.2</v>
      </c>
      <c r="J2382" s="23">
        <v>0</v>
      </c>
      <c r="K2382" s="23">
        <v>0</v>
      </c>
    </row>
    <row r="2383" spans="1:11" x14ac:dyDescent="0.25">
      <c r="A2383">
        <v>2382</v>
      </c>
      <c r="B2383" s="23">
        <v>1392</v>
      </c>
      <c r="C2383" s="23">
        <v>0</v>
      </c>
      <c r="D2383" s="23">
        <v>0</v>
      </c>
      <c r="E2383" s="23">
        <v>0</v>
      </c>
      <c r="F2383" s="23">
        <v>0</v>
      </c>
      <c r="G2383" s="23">
        <v>0</v>
      </c>
      <c r="H2383" s="23">
        <v>0</v>
      </c>
      <c r="I2383" s="23">
        <v>481.79500000000002</v>
      </c>
      <c r="J2383" s="23">
        <v>0</v>
      </c>
      <c r="K2383" s="23">
        <v>910.20500000000004</v>
      </c>
    </row>
    <row r="2384" spans="1:11" x14ac:dyDescent="0.25">
      <c r="A2384">
        <v>2383</v>
      </c>
      <c r="B2384" s="23">
        <v>1293.5219999999999</v>
      </c>
      <c r="C2384" s="23">
        <v>104.26</v>
      </c>
      <c r="D2384" s="23">
        <v>334.49299999999999</v>
      </c>
      <c r="E2384" s="23">
        <v>334.49299999999999</v>
      </c>
      <c r="F2384" s="23">
        <v>0</v>
      </c>
      <c r="G2384" s="23">
        <v>0</v>
      </c>
      <c r="H2384" s="23">
        <v>0</v>
      </c>
      <c r="I2384" s="23">
        <v>0</v>
      </c>
      <c r="J2384" s="23">
        <v>0</v>
      </c>
      <c r="K2384" s="23">
        <v>959.029</v>
      </c>
    </row>
    <row r="2385" spans="1:11" x14ac:dyDescent="0.25">
      <c r="A2385">
        <v>2384</v>
      </c>
      <c r="B2385" s="23">
        <v>650.26900000000001</v>
      </c>
      <c r="C2385" s="23">
        <v>340.09</v>
      </c>
      <c r="D2385" s="23">
        <v>1326.5519999999999</v>
      </c>
      <c r="E2385" s="23">
        <v>650.26900000000001</v>
      </c>
      <c r="F2385" s="23">
        <v>-676.28300000000002</v>
      </c>
      <c r="G2385" s="23">
        <v>0</v>
      </c>
      <c r="H2385" s="23">
        <v>0</v>
      </c>
      <c r="I2385" s="23">
        <v>0</v>
      </c>
      <c r="J2385" s="23">
        <v>0</v>
      </c>
      <c r="K2385" s="23">
        <v>0</v>
      </c>
    </row>
    <row r="2386" spans="1:11" x14ac:dyDescent="0.25">
      <c r="A2386">
        <v>2385</v>
      </c>
      <c r="B2386" s="23">
        <v>1468.701</v>
      </c>
      <c r="C2386" s="23">
        <v>582.57000000000005</v>
      </c>
      <c r="D2386" s="23">
        <v>2274.04</v>
      </c>
      <c r="E2386" s="23">
        <v>1468.701</v>
      </c>
      <c r="F2386" s="23">
        <v>-805.33900000000006</v>
      </c>
      <c r="G2386" s="23">
        <v>0</v>
      </c>
      <c r="H2386" s="23">
        <v>0</v>
      </c>
      <c r="I2386" s="23">
        <v>0</v>
      </c>
      <c r="J2386" s="23">
        <v>0</v>
      </c>
      <c r="K2386" s="23">
        <v>0</v>
      </c>
    </row>
    <row r="2387" spans="1:11" x14ac:dyDescent="0.25">
      <c r="A2387">
        <v>2386</v>
      </c>
      <c r="B2387" s="23">
        <v>1476.864</v>
      </c>
      <c r="C2387" s="23">
        <v>785.28</v>
      </c>
      <c r="D2387" s="23">
        <v>2965.2240000000002</v>
      </c>
      <c r="E2387" s="23">
        <v>1476.864</v>
      </c>
      <c r="F2387" s="23">
        <v>-1488.36</v>
      </c>
      <c r="G2387" s="23">
        <v>0</v>
      </c>
      <c r="H2387" s="23">
        <v>0</v>
      </c>
      <c r="I2387" s="23">
        <v>0</v>
      </c>
      <c r="J2387" s="23">
        <v>0</v>
      </c>
      <c r="K2387" s="23">
        <v>0</v>
      </c>
    </row>
    <row r="2388" spans="1:11" x14ac:dyDescent="0.25">
      <c r="A2388">
        <v>2387</v>
      </c>
      <c r="B2388" s="23">
        <v>1368.4960000000001</v>
      </c>
      <c r="C2388" s="23">
        <v>906.82</v>
      </c>
      <c r="D2388" s="23">
        <v>3348.2489999999998</v>
      </c>
      <c r="E2388" s="23">
        <v>1368.4960000000001</v>
      </c>
      <c r="F2388" s="23">
        <v>-1684.559</v>
      </c>
      <c r="G2388" s="23">
        <v>0</v>
      </c>
      <c r="H2388" s="23">
        <v>295.19400000000002</v>
      </c>
      <c r="I2388" s="23">
        <v>0</v>
      </c>
      <c r="J2388" s="23">
        <v>0</v>
      </c>
      <c r="K2388" s="23">
        <v>0</v>
      </c>
    </row>
    <row r="2389" spans="1:11" x14ac:dyDescent="0.25">
      <c r="A2389">
        <v>2388</v>
      </c>
      <c r="B2389" s="23">
        <v>1103.4190000000001</v>
      </c>
      <c r="C2389" s="23">
        <v>980.41</v>
      </c>
      <c r="D2389" s="23">
        <v>3582.2379999999998</v>
      </c>
      <c r="E2389" s="23">
        <v>1103.42</v>
      </c>
      <c r="F2389" s="23">
        <v>-1684.559</v>
      </c>
      <c r="G2389" s="23">
        <v>0</v>
      </c>
      <c r="H2389" s="23">
        <v>794.25900000000001</v>
      </c>
      <c r="I2389" s="23">
        <v>0</v>
      </c>
      <c r="J2389" s="23">
        <v>0</v>
      </c>
      <c r="K2389" s="23">
        <v>0</v>
      </c>
    </row>
    <row r="2390" spans="1:11" x14ac:dyDescent="0.25">
      <c r="A2390">
        <v>2389</v>
      </c>
      <c r="B2390" s="23">
        <v>1738.664</v>
      </c>
      <c r="C2390" s="23">
        <v>975.3</v>
      </c>
      <c r="D2390" s="23">
        <v>3571.39</v>
      </c>
      <c r="E2390" s="23">
        <v>1738.664</v>
      </c>
      <c r="F2390" s="23">
        <v>-952.399</v>
      </c>
      <c r="G2390" s="23">
        <v>0</v>
      </c>
      <c r="H2390" s="23">
        <v>880.327</v>
      </c>
      <c r="I2390" s="23">
        <v>0</v>
      </c>
      <c r="J2390" s="23">
        <v>0</v>
      </c>
      <c r="K2390" s="23">
        <v>0</v>
      </c>
    </row>
    <row r="2391" spans="1:11" x14ac:dyDescent="0.25">
      <c r="A2391">
        <v>2390</v>
      </c>
      <c r="B2391" s="23">
        <v>1353.6510000000001</v>
      </c>
      <c r="C2391" s="23">
        <v>882.48</v>
      </c>
      <c r="D2391" s="23">
        <v>3280.8159999999998</v>
      </c>
      <c r="E2391" s="23">
        <v>1353.6510000000001</v>
      </c>
      <c r="F2391" s="23">
        <v>0</v>
      </c>
      <c r="G2391" s="23">
        <v>0</v>
      </c>
      <c r="H2391" s="23">
        <v>1927.165</v>
      </c>
      <c r="I2391" s="23">
        <v>0</v>
      </c>
      <c r="J2391" s="23">
        <v>0</v>
      </c>
      <c r="K2391" s="23">
        <v>0</v>
      </c>
    </row>
    <row r="2392" spans="1:11" x14ac:dyDescent="0.25">
      <c r="A2392">
        <v>2391</v>
      </c>
      <c r="B2392" s="23">
        <v>1671.7729999999999</v>
      </c>
      <c r="C2392" s="23">
        <v>734.34</v>
      </c>
      <c r="D2392" s="23">
        <v>2793.6790000000001</v>
      </c>
      <c r="E2392" s="23">
        <v>1671.7729999999999</v>
      </c>
      <c r="F2392" s="23">
        <v>0</v>
      </c>
      <c r="G2392" s="23">
        <v>0</v>
      </c>
      <c r="H2392" s="23">
        <v>1121.9059999999999</v>
      </c>
      <c r="I2392" s="23">
        <v>0</v>
      </c>
      <c r="J2392" s="23">
        <v>0</v>
      </c>
      <c r="K2392" s="23">
        <v>0</v>
      </c>
    </row>
    <row r="2393" spans="1:11" x14ac:dyDescent="0.25">
      <c r="A2393">
        <v>2392</v>
      </c>
      <c r="B2393" s="23">
        <v>1643.7</v>
      </c>
      <c r="C2393" s="23">
        <v>527.6</v>
      </c>
      <c r="D2393" s="23">
        <v>2062.2640000000001</v>
      </c>
      <c r="E2393" s="23">
        <v>1643.7</v>
      </c>
      <c r="F2393" s="23">
        <v>0</v>
      </c>
      <c r="G2393" s="23">
        <v>0</v>
      </c>
      <c r="H2393" s="23">
        <v>418.56400000000002</v>
      </c>
      <c r="I2393" s="23">
        <v>0</v>
      </c>
      <c r="J2393" s="23">
        <v>0</v>
      </c>
      <c r="K2393" s="23">
        <v>0</v>
      </c>
    </row>
    <row r="2394" spans="1:11" x14ac:dyDescent="0.25">
      <c r="A2394">
        <v>2393</v>
      </c>
      <c r="B2394" s="23">
        <v>1554.145</v>
      </c>
      <c r="C2394" s="23">
        <v>290.62</v>
      </c>
      <c r="D2394" s="23">
        <v>1108.8920000000001</v>
      </c>
      <c r="E2394" s="23">
        <v>1108.8920000000001</v>
      </c>
      <c r="F2394" s="23">
        <v>0</v>
      </c>
      <c r="G2394" s="23">
        <v>0</v>
      </c>
      <c r="H2394" s="23">
        <v>0</v>
      </c>
      <c r="I2394" s="23">
        <v>445.25299999999999</v>
      </c>
      <c r="J2394" s="23">
        <v>0</v>
      </c>
      <c r="K2394" s="23">
        <v>0</v>
      </c>
    </row>
    <row r="2395" spans="1:11" x14ac:dyDescent="0.25">
      <c r="A2395">
        <v>2394</v>
      </c>
      <c r="B2395" s="23">
        <v>1624.376</v>
      </c>
      <c r="C2395" s="23">
        <v>67.8</v>
      </c>
      <c r="D2395" s="23">
        <v>201.59899999999999</v>
      </c>
      <c r="E2395" s="23">
        <v>201.59899999999999</v>
      </c>
      <c r="F2395" s="23">
        <v>0</v>
      </c>
      <c r="G2395" s="23">
        <v>0</v>
      </c>
      <c r="H2395" s="23">
        <v>0</v>
      </c>
      <c r="I2395" s="23">
        <v>0</v>
      </c>
      <c r="J2395" s="23">
        <v>0</v>
      </c>
      <c r="K2395" s="23">
        <v>1422.777</v>
      </c>
    </row>
    <row r="2396" spans="1:11" x14ac:dyDescent="0.25">
      <c r="A2396">
        <v>2395</v>
      </c>
      <c r="B2396" s="23">
        <v>1597.412</v>
      </c>
      <c r="C2396" s="23">
        <v>0</v>
      </c>
      <c r="D2396" s="23">
        <v>0</v>
      </c>
      <c r="E2396" s="23">
        <v>0</v>
      </c>
      <c r="F2396" s="23">
        <v>0</v>
      </c>
      <c r="G2396" s="23">
        <v>0</v>
      </c>
      <c r="H2396" s="23">
        <v>0</v>
      </c>
      <c r="I2396" s="23">
        <v>0</v>
      </c>
      <c r="J2396" s="23">
        <v>0</v>
      </c>
      <c r="K2396" s="23">
        <v>1597.412</v>
      </c>
    </row>
    <row r="2397" spans="1:11" x14ac:dyDescent="0.25">
      <c r="A2397">
        <v>2396</v>
      </c>
      <c r="B2397" s="23">
        <v>1305.5999999999999</v>
      </c>
      <c r="C2397" s="23">
        <v>0</v>
      </c>
      <c r="D2397" s="23">
        <v>0</v>
      </c>
      <c r="E2397" s="23">
        <v>0</v>
      </c>
      <c r="F2397" s="23">
        <v>0</v>
      </c>
      <c r="G2397" s="23">
        <v>0</v>
      </c>
      <c r="H2397" s="23">
        <v>0</v>
      </c>
      <c r="I2397" s="23">
        <v>0</v>
      </c>
      <c r="J2397" s="23">
        <v>0</v>
      </c>
      <c r="K2397" s="23">
        <v>1305.5999999999999</v>
      </c>
    </row>
    <row r="2398" spans="1:11" x14ac:dyDescent="0.25">
      <c r="A2398">
        <v>2397</v>
      </c>
      <c r="B2398" s="23">
        <v>1634.4</v>
      </c>
      <c r="C2398" s="23">
        <v>0</v>
      </c>
      <c r="D2398" s="23">
        <v>0</v>
      </c>
      <c r="E2398" s="23">
        <v>0</v>
      </c>
      <c r="F2398" s="23">
        <v>0</v>
      </c>
      <c r="G2398" s="23">
        <v>0</v>
      </c>
      <c r="H2398" s="23">
        <v>0</v>
      </c>
      <c r="I2398" s="23">
        <v>1634.4</v>
      </c>
      <c r="J2398" s="23">
        <v>0</v>
      </c>
      <c r="K2398" s="23">
        <v>0</v>
      </c>
    </row>
    <row r="2399" spans="1:11" x14ac:dyDescent="0.25">
      <c r="A2399">
        <v>2398</v>
      </c>
      <c r="B2399" s="23">
        <v>1851.2</v>
      </c>
      <c r="C2399" s="23">
        <v>0</v>
      </c>
      <c r="D2399" s="23">
        <v>0</v>
      </c>
      <c r="E2399" s="23">
        <v>0</v>
      </c>
      <c r="F2399" s="23">
        <v>0</v>
      </c>
      <c r="G2399" s="23">
        <v>0</v>
      </c>
      <c r="H2399" s="23">
        <v>0</v>
      </c>
      <c r="I2399" s="23">
        <v>1851.2</v>
      </c>
      <c r="J2399" s="23">
        <v>0</v>
      </c>
      <c r="K2399" s="23">
        <v>0</v>
      </c>
    </row>
    <row r="2400" spans="1:11" x14ac:dyDescent="0.25">
      <c r="A2400">
        <v>2399</v>
      </c>
      <c r="B2400" s="23">
        <v>1613.6</v>
      </c>
      <c r="C2400" s="23">
        <v>0</v>
      </c>
      <c r="D2400" s="23">
        <v>0</v>
      </c>
      <c r="E2400" s="23">
        <v>0</v>
      </c>
      <c r="F2400" s="23">
        <v>0</v>
      </c>
      <c r="G2400" s="23">
        <v>0</v>
      </c>
      <c r="H2400" s="23">
        <v>0</v>
      </c>
      <c r="I2400" s="23">
        <v>1613.6</v>
      </c>
      <c r="J2400" s="23">
        <v>0</v>
      </c>
      <c r="K2400" s="23">
        <v>0</v>
      </c>
    </row>
    <row r="2401" spans="1:11" x14ac:dyDescent="0.25">
      <c r="A2401">
        <v>2400</v>
      </c>
      <c r="B2401" s="23">
        <v>1363.2</v>
      </c>
      <c r="C2401" s="23">
        <v>0</v>
      </c>
      <c r="D2401" s="23">
        <v>0</v>
      </c>
      <c r="E2401" s="23">
        <v>0</v>
      </c>
      <c r="F2401" s="23">
        <v>0</v>
      </c>
      <c r="G2401" s="23">
        <v>0</v>
      </c>
      <c r="H2401" s="23">
        <v>0</v>
      </c>
      <c r="I2401" s="23">
        <v>1363.2</v>
      </c>
      <c r="J2401" s="23">
        <v>0</v>
      </c>
      <c r="K2401" s="23">
        <v>0</v>
      </c>
    </row>
    <row r="2402" spans="1:11" x14ac:dyDescent="0.25">
      <c r="A2402">
        <v>2401</v>
      </c>
      <c r="B2402" s="23">
        <v>1245.5999999999999</v>
      </c>
      <c r="C2402" s="23">
        <v>0</v>
      </c>
      <c r="D2402" s="23">
        <v>0</v>
      </c>
      <c r="E2402" s="23">
        <v>0</v>
      </c>
      <c r="F2402" s="23">
        <v>0</v>
      </c>
      <c r="G2402" s="23">
        <v>0</v>
      </c>
      <c r="H2402" s="23">
        <v>0</v>
      </c>
      <c r="I2402" s="23">
        <v>1245.5999999999999</v>
      </c>
      <c r="J2402" s="23">
        <v>0</v>
      </c>
      <c r="K2402" s="23">
        <v>0</v>
      </c>
    </row>
    <row r="2403" spans="1:11" x14ac:dyDescent="0.25">
      <c r="A2403">
        <v>2402</v>
      </c>
      <c r="B2403" s="23">
        <v>1235.2</v>
      </c>
      <c r="C2403" s="23">
        <v>0</v>
      </c>
      <c r="D2403" s="23">
        <v>0</v>
      </c>
      <c r="E2403" s="23">
        <v>0</v>
      </c>
      <c r="F2403" s="23">
        <v>0</v>
      </c>
      <c r="G2403" s="23">
        <v>0</v>
      </c>
      <c r="H2403" s="23">
        <v>0</v>
      </c>
      <c r="I2403" s="23">
        <v>1235.2</v>
      </c>
      <c r="J2403" s="23">
        <v>0</v>
      </c>
      <c r="K2403" s="23">
        <v>0</v>
      </c>
    </row>
    <row r="2404" spans="1:11" x14ac:dyDescent="0.25">
      <c r="A2404">
        <v>2403</v>
      </c>
      <c r="B2404" s="23">
        <v>1324</v>
      </c>
      <c r="C2404" s="23">
        <v>0</v>
      </c>
      <c r="D2404" s="23">
        <v>0</v>
      </c>
      <c r="E2404" s="23">
        <v>0</v>
      </c>
      <c r="F2404" s="23">
        <v>0</v>
      </c>
      <c r="G2404" s="23">
        <v>0</v>
      </c>
      <c r="H2404" s="23">
        <v>0</v>
      </c>
      <c r="I2404" s="23">
        <v>1324</v>
      </c>
      <c r="J2404" s="23">
        <v>0</v>
      </c>
      <c r="K2404" s="23">
        <v>0</v>
      </c>
    </row>
    <row r="2405" spans="1:11" x14ac:dyDescent="0.25">
      <c r="A2405">
        <v>2404</v>
      </c>
      <c r="B2405" s="23">
        <v>1393.6</v>
      </c>
      <c r="C2405" s="23">
        <v>0</v>
      </c>
      <c r="D2405" s="23">
        <v>0</v>
      </c>
      <c r="E2405" s="23">
        <v>0</v>
      </c>
      <c r="F2405" s="23">
        <v>0</v>
      </c>
      <c r="G2405" s="23">
        <v>0</v>
      </c>
      <c r="H2405" s="23">
        <v>0</v>
      </c>
      <c r="I2405" s="23">
        <v>1393.6</v>
      </c>
      <c r="J2405" s="23">
        <v>0</v>
      </c>
      <c r="K2405" s="23">
        <v>0</v>
      </c>
    </row>
    <row r="2406" spans="1:11" x14ac:dyDescent="0.25">
      <c r="A2406">
        <v>2405</v>
      </c>
      <c r="B2406" s="23">
        <v>1192</v>
      </c>
      <c r="C2406" s="23">
        <v>0</v>
      </c>
      <c r="D2406" s="23">
        <v>0</v>
      </c>
      <c r="E2406" s="23">
        <v>0</v>
      </c>
      <c r="F2406" s="23">
        <v>0</v>
      </c>
      <c r="G2406" s="23">
        <v>0</v>
      </c>
      <c r="H2406" s="23">
        <v>0</v>
      </c>
      <c r="I2406" s="23">
        <v>1192</v>
      </c>
      <c r="J2406" s="23">
        <v>0</v>
      </c>
      <c r="K2406" s="23">
        <v>0</v>
      </c>
    </row>
    <row r="2407" spans="1:11" x14ac:dyDescent="0.25">
      <c r="A2407">
        <v>2406</v>
      </c>
      <c r="B2407" s="23">
        <v>1108</v>
      </c>
      <c r="C2407" s="23">
        <v>0</v>
      </c>
      <c r="D2407" s="23">
        <v>0</v>
      </c>
      <c r="E2407" s="23">
        <v>0</v>
      </c>
      <c r="F2407" s="23">
        <v>0</v>
      </c>
      <c r="G2407" s="23">
        <v>0</v>
      </c>
      <c r="H2407" s="23">
        <v>0</v>
      </c>
      <c r="I2407" s="23">
        <v>1108</v>
      </c>
      <c r="J2407" s="23">
        <v>0</v>
      </c>
      <c r="K2407" s="23">
        <v>0</v>
      </c>
    </row>
    <row r="2408" spans="1:11" x14ac:dyDescent="0.25">
      <c r="A2408">
        <v>2407</v>
      </c>
      <c r="B2408" s="23">
        <v>1071.4580000000001</v>
      </c>
      <c r="C2408" s="23">
        <v>97.02</v>
      </c>
      <c r="D2408" s="23">
        <v>330.04599999999999</v>
      </c>
      <c r="E2408" s="23">
        <v>330.04599999999999</v>
      </c>
      <c r="F2408" s="23">
        <v>0</v>
      </c>
      <c r="G2408" s="23">
        <v>0</v>
      </c>
      <c r="H2408" s="23">
        <v>0</v>
      </c>
      <c r="I2408" s="23">
        <v>741.41200000000003</v>
      </c>
      <c r="J2408" s="23">
        <v>0</v>
      </c>
      <c r="K2408" s="23">
        <v>0</v>
      </c>
    </row>
    <row r="2409" spans="1:11" x14ac:dyDescent="0.25">
      <c r="A2409">
        <v>2408</v>
      </c>
      <c r="B2409" s="23">
        <v>700.37699999999995</v>
      </c>
      <c r="C2409" s="23">
        <v>328.02</v>
      </c>
      <c r="D2409" s="23">
        <v>1281.713</v>
      </c>
      <c r="E2409" s="23">
        <v>700.37699999999995</v>
      </c>
      <c r="F2409" s="23">
        <v>-581.33600000000001</v>
      </c>
      <c r="G2409" s="23">
        <v>0</v>
      </c>
      <c r="H2409" s="23">
        <v>0</v>
      </c>
      <c r="I2409" s="23">
        <v>0</v>
      </c>
      <c r="J2409" s="23">
        <v>0</v>
      </c>
      <c r="K2409" s="23">
        <v>0</v>
      </c>
    </row>
    <row r="2410" spans="1:11" x14ac:dyDescent="0.25">
      <c r="A2410">
        <v>2409</v>
      </c>
      <c r="B2410" s="23">
        <v>1179.7249999999999</v>
      </c>
      <c r="C2410" s="23">
        <v>386.24</v>
      </c>
      <c r="D2410" s="23">
        <v>1482.356</v>
      </c>
      <c r="E2410" s="23">
        <v>1179.7249999999999</v>
      </c>
      <c r="F2410" s="23">
        <v>-302.63099999999997</v>
      </c>
      <c r="G2410" s="23">
        <v>0</v>
      </c>
      <c r="H2410" s="23">
        <v>0</v>
      </c>
      <c r="I2410" s="23">
        <v>0</v>
      </c>
      <c r="J2410" s="23">
        <v>0</v>
      </c>
      <c r="K2410" s="23">
        <v>0</v>
      </c>
    </row>
    <row r="2411" spans="1:11" x14ac:dyDescent="0.25">
      <c r="A2411">
        <v>2410</v>
      </c>
      <c r="B2411" s="23">
        <v>1627.857</v>
      </c>
      <c r="C2411" s="23">
        <v>368.74</v>
      </c>
      <c r="D2411" s="23">
        <v>1376.7059999999999</v>
      </c>
      <c r="E2411" s="23">
        <v>1376.7059999999999</v>
      </c>
      <c r="F2411" s="23">
        <v>0</v>
      </c>
      <c r="G2411" s="23">
        <v>0</v>
      </c>
      <c r="H2411" s="23">
        <v>0</v>
      </c>
      <c r="I2411" s="23">
        <v>251.15100000000001</v>
      </c>
      <c r="J2411" s="23">
        <v>0</v>
      </c>
      <c r="K2411" s="23">
        <v>0</v>
      </c>
    </row>
    <row r="2412" spans="1:11" x14ac:dyDescent="0.25">
      <c r="A2412">
        <v>2411</v>
      </c>
      <c r="B2412" s="23">
        <v>1504.309</v>
      </c>
      <c r="C2412" s="23">
        <v>581.29</v>
      </c>
      <c r="D2412" s="23">
        <v>2104.768</v>
      </c>
      <c r="E2412" s="23">
        <v>1504.309</v>
      </c>
      <c r="F2412" s="23">
        <v>-600.45899999999995</v>
      </c>
      <c r="G2412" s="23">
        <v>0</v>
      </c>
      <c r="H2412" s="23">
        <v>0</v>
      </c>
      <c r="I2412" s="23">
        <v>0</v>
      </c>
      <c r="J2412" s="23">
        <v>0</v>
      </c>
      <c r="K2412" s="23">
        <v>0</v>
      </c>
    </row>
    <row r="2413" spans="1:11" x14ac:dyDescent="0.25">
      <c r="A2413">
        <v>2412</v>
      </c>
      <c r="B2413" s="23">
        <v>1607.655</v>
      </c>
      <c r="C2413" s="23">
        <v>621.66999999999996</v>
      </c>
      <c r="D2413" s="23">
        <v>2210.346</v>
      </c>
      <c r="E2413" s="23">
        <v>1607.655</v>
      </c>
      <c r="F2413" s="23">
        <v>-602.69100000000003</v>
      </c>
      <c r="G2413" s="23">
        <v>0</v>
      </c>
      <c r="H2413" s="23">
        <v>0</v>
      </c>
      <c r="I2413" s="23">
        <v>0</v>
      </c>
      <c r="J2413" s="23">
        <v>0</v>
      </c>
      <c r="K2413" s="23">
        <v>0</v>
      </c>
    </row>
    <row r="2414" spans="1:11" x14ac:dyDescent="0.25">
      <c r="A2414">
        <v>2413</v>
      </c>
      <c r="B2414" s="23">
        <v>1708.11</v>
      </c>
      <c r="C2414" s="23">
        <v>987.25</v>
      </c>
      <c r="D2414" s="23">
        <v>3424.672</v>
      </c>
      <c r="E2414" s="23">
        <v>1708.1110000000001</v>
      </c>
      <c r="F2414" s="23">
        <v>-1684.559</v>
      </c>
      <c r="G2414" s="23">
        <v>0</v>
      </c>
      <c r="H2414" s="23">
        <v>32.002000000000002</v>
      </c>
      <c r="I2414" s="23">
        <v>0</v>
      </c>
      <c r="J2414" s="23">
        <v>0</v>
      </c>
      <c r="K2414" s="23">
        <v>0</v>
      </c>
    </row>
    <row r="2415" spans="1:11" x14ac:dyDescent="0.25">
      <c r="A2415">
        <v>2414</v>
      </c>
      <c r="B2415" s="23">
        <v>1747.615</v>
      </c>
      <c r="C2415" s="23">
        <v>685.98</v>
      </c>
      <c r="D2415" s="23">
        <v>2453.4929999999999</v>
      </c>
      <c r="E2415" s="23">
        <v>1747.615</v>
      </c>
      <c r="F2415" s="23">
        <v>-705.87800000000004</v>
      </c>
      <c r="G2415" s="23">
        <v>0</v>
      </c>
      <c r="H2415" s="23">
        <v>0</v>
      </c>
      <c r="I2415" s="23">
        <v>0</v>
      </c>
      <c r="J2415" s="23">
        <v>0</v>
      </c>
      <c r="K2415" s="23">
        <v>0</v>
      </c>
    </row>
    <row r="2416" spans="1:11" x14ac:dyDescent="0.25">
      <c r="A2416">
        <v>2415</v>
      </c>
      <c r="B2416" s="23">
        <v>1656.806</v>
      </c>
      <c r="C2416" s="23">
        <v>468.88</v>
      </c>
      <c r="D2416" s="23">
        <v>1728.9849999999999</v>
      </c>
      <c r="E2416" s="23">
        <v>1656.806</v>
      </c>
      <c r="F2416" s="23">
        <v>-72.179000000000002</v>
      </c>
      <c r="G2416" s="23">
        <v>0</v>
      </c>
      <c r="H2416" s="23">
        <v>0</v>
      </c>
      <c r="I2416" s="23">
        <v>0</v>
      </c>
      <c r="J2416" s="23">
        <v>0</v>
      </c>
      <c r="K2416" s="23">
        <v>0</v>
      </c>
    </row>
    <row r="2417" spans="1:11" x14ac:dyDescent="0.25">
      <c r="A2417">
        <v>2416</v>
      </c>
      <c r="B2417" s="23">
        <v>1940.6679999999999</v>
      </c>
      <c r="C2417" s="23">
        <v>274.14</v>
      </c>
      <c r="D2417" s="23">
        <v>1029.82</v>
      </c>
      <c r="E2417" s="23">
        <v>1029.82</v>
      </c>
      <c r="F2417" s="23">
        <v>0</v>
      </c>
      <c r="G2417" s="23">
        <v>0</v>
      </c>
      <c r="H2417" s="23">
        <v>0</v>
      </c>
      <c r="I2417" s="23">
        <v>910.84799999999996</v>
      </c>
      <c r="J2417" s="23">
        <v>0</v>
      </c>
      <c r="K2417" s="23">
        <v>0</v>
      </c>
    </row>
    <row r="2418" spans="1:11" x14ac:dyDescent="0.25">
      <c r="A2418">
        <v>2417</v>
      </c>
      <c r="B2418" s="23">
        <v>1471.768</v>
      </c>
      <c r="C2418" s="23">
        <v>282.33999999999997</v>
      </c>
      <c r="D2418" s="23">
        <v>1064.7249999999999</v>
      </c>
      <c r="E2418" s="23">
        <v>1064.7249999999999</v>
      </c>
      <c r="F2418" s="23">
        <v>0</v>
      </c>
      <c r="G2418" s="23">
        <v>0</v>
      </c>
      <c r="H2418" s="23">
        <v>0</v>
      </c>
      <c r="I2418" s="23">
        <v>407.04300000000001</v>
      </c>
      <c r="J2418" s="23">
        <v>0</v>
      </c>
      <c r="K2418" s="23">
        <v>0</v>
      </c>
    </row>
    <row r="2419" spans="1:11" x14ac:dyDescent="0.25">
      <c r="A2419">
        <v>2418</v>
      </c>
      <c r="B2419" s="23">
        <v>1831.384</v>
      </c>
      <c r="C2419" s="23">
        <v>62.93</v>
      </c>
      <c r="D2419" s="23">
        <v>188.07</v>
      </c>
      <c r="E2419" s="23">
        <v>188.07</v>
      </c>
      <c r="F2419" s="23">
        <v>0</v>
      </c>
      <c r="G2419" s="23">
        <v>0</v>
      </c>
      <c r="H2419" s="23">
        <v>0</v>
      </c>
      <c r="I2419" s="23">
        <v>0</v>
      </c>
      <c r="J2419" s="23">
        <v>0</v>
      </c>
      <c r="K2419" s="23">
        <v>1643.3140000000001</v>
      </c>
    </row>
    <row r="2420" spans="1:11" x14ac:dyDescent="0.25">
      <c r="A2420">
        <v>2419</v>
      </c>
      <c r="B2420" s="23">
        <v>1741.7249999999999</v>
      </c>
      <c r="C2420" s="23">
        <v>0</v>
      </c>
      <c r="D2420" s="23">
        <v>0</v>
      </c>
      <c r="E2420" s="23">
        <v>0</v>
      </c>
      <c r="F2420" s="23">
        <v>0</v>
      </c>
      <c r="G2420" s="23">
        <v>0</v>
      </c>
      <c r="H2420" s="23">
        <v>0</v>
      </c>
      <c r="I2420" s="23">
        <v>57.165999999999997</v>
      </c>
      <c r="J2420" s="23">
        <v>0</v>
      </c>
      <c r="K2420" s="23">
        <v>1684.559</v>
      </c>
    </row>
    <row r="2421" spans="1:11" x14ac:dyDescent="0.25">
      <c r="A2421">
        <v>2420</v>
      </c>
      <c r="B2421" s="23">
        <v>1332.8</v>
      </c>
      <c r="C2421" s="23">
        <v>0</v>
      </c>
      <c r="D2421" s="23">
        <v>0</v>
      </c>
      <c r="E2421" s="23">
        <v>0</v>
      </c>
      <c r="F2421" s="23">
        <v>0</v>
      </c>
      <c r="G2421" s="23">
        <v>0</v>
      </c>
      <c r="H2421" s="23">
        <v>0</v>
      </c>
      <c r="I2421" s="23">
        <v>0</v>
      </c>
      <c r="J2421" s="23">
        <v>0</v>
      </c>
      <c r="K2421" s="23">
        <v>1332.8</v>
      </c>
    </row>
    <row r="2422" spans="1:11" x14ac:dyDescent="0.25">
      <c r="A2422">
        <v>2421</v>
      </c>
      <c r="B2422" s="23">
        <v>1913.6</v>
      </c>
      <c r="C2422" s="23">
        <v>0</v>
      </c>
      <c r="D2422" s="23">
        <v>0</v>
      </c>
      <c r="E2422" s="23">
        <v>0</v>
      </c>
      <c r="F2422" s="23">
        <v>0</v>
      </c>
      <c r="G2422" s="23">
        <v>0</v>
      </c>
      <c r="H2422" s="23">
        <v>0</v>
      </c>
      <c r="I2422" s="23">
        <v>1913.6</v>
      </c>
      <c r="J2422" s="23">
        <v>0</v>
      </c>
      <c r="K2422" s="23">
        <v>0</v>
      </c>
    </row>
    <row r="2423" spans="1:11" x14ac:dyDescent="0.25">
      <c r="A2423">
        <v>2422</v>
      </c>
      <c r="B2423" s="23">
        <v>1916</v>
      </c>
      <c r="C2423" s="23">
        <v>0</v>
      </c>
      <c r="D2423" s="23">
        <v>0</v>
      </c>
      <c r="E2423" s="23">
        <v>0</v>
      </c>
      <c r="F2423" s="23">
        <v>0</v>
      </c>
      <c r="G2423" s="23">
        <v>0</v>
      </c>
      <c r="H2423" s="23">
        <v>0</v>
      </c>
      <c r="I2423" s="23">
        <v>1916</v>
      </c>
      <c r="J2423" s="23">
        <v>0</v>
      </c>
      <c r="K2423" s="23">
        <v>0</v>
      </c>
    </row>
    <row r="2424" spans="1:11" x14ac:dyDescent="0.25">
      <c r="A2424">
        <v>2423</v>
      </c>
      <c r="B2424" s="23">
        <v>1797.6</v>
      </c>
      <c r="C2424" s="23">
        <v>0</v>
      </c>
      <c r="D2424" s="23">
        <v>0</v>
      </c>
      <c r="E2424" s="23">
        <v>0</v>
      </c>
      <c r="F2424" s="23">
        <v>0</v>
      </c>
      <c r="G2424" s="23">
        <v>0</v>
      </c>
      <c r="H2424" s="23">
        <v>0</v>
      </c>
      <c r="I2424" s="23">
        <v>1797.6</v>
      </c>
      <c r="J2424" s="23">
        <v>0</v>
      </c>
      <c r="K2424" s="23">
        <v>0</v>
      </c>
    </row>
    <row r="2425" spans="1:11" x14ac:dyDescent="0.25">
      <c r="A2425">
        <v>2424</v>
      </c>
      <c r="B2425" s="23">
        <v>1308</v>
      </c>
      <c r="C2425" s="23">
        <v>0</v>
      </c>
      <c r="D2425" s="23">
        <v>0</v>
      </c>
      <c r="E2425" s="23">
        <v>0</v>
      </c>
      <c r="F2425" s="23">
        <v>0</v>
      </c>
      <c r="G2425" s="23">
        <v>0</v>
      </c>
      <c r="H2425" s="23">
        <v>0</v>
      </c>
      <c r="I2425" s="23">
        <v>1308</v>
      </c>
      <c r="J2425" s="23">
        <v>0</v>
      </c>
      <c r="K2425" s="23">
        <v>0</v>
      </c>
    </row>
    <row r="2426" spans="1:11" x14ac:dyDescent="0.25">
      <c r="A2426">
        <v>2425</v>
      </c>
      <c r="B2426" s="23">
        <v>1379.2</v>
      </c>
      <c r="C2426" s="23">
        <v>0</v>
      </c>
      <c r="D2426" s="23">
        <v>0</v>
      </c>
      <c r="E2426" s="23">
        <v>0</v>
      </c>
      <c r="F2426" s="23">
        <v>0</v>
      </c>
      <c r="G2426" s="23">
        <v>0</v>
      </c>
      <c r="H2426" s="23">
        <v>0</v>
      </c>
      <c r="I2426" s="23">
        <v>1379.2</v>
      </c>
      <c r="J2426" s="23">
        <v>0</v>
      </c>
      <c r="K2426" s="23">
        <v>0</v>
      </c>
    </row>
    <row r="2427" spans="1:11" x14ac:dyDescent="0.25">
      <c r="A2427">
        <v>2426</v>
      </c>
      <c r="B2427" s="23">
        <v>1590.4</v>
      </c>
      <c r="C2427" s="23">
        <v>0</v>
      </c>
      <c r="D2427" s="23">
        <v>0</v>
      </c>
      <c r="E2427" s="23">
        <v>0</v>
      </c>
      <c r="F2427" s="23">
        <v>0</v>
      </c>
      <c r="G2427" s="23">
        <v>0</v>
      </c>
      <c r="H2427" s="23">
        <v>0</v>
      </c>
      <c r="I2427" s="23">
        <v>1590.4</v>
      </c>
      <c r="J2427" s="23">
        <v>0</v>
      </c>
      <c r="K2427" s="23">
        <v>0</v>
      </c>
    </row>
    <row r="2428" spans="1:11" x14ac:dyDescent="0.25">
      <c r="A2428">
        <v>2427</v>
      </c>
      <c r="B2428" s="23">
        <v>1549.6</v>
      </c>
      <c r="C2428" s="23">
        <v>0</v>
      </c>
      <c r="D2428" s="23">
        <v>0</v>
      </c>
      <c r="E2428" s="23">
        <v>0</v>
      </c>
      <c r="F2428" s="23">
        <v>0</v>
      </c>
      <c r="G2428" s="23">
        <v>0</v>
      </c>
      <c r="H2428" s="23">
        <v>0</v>
      </c>
      <c r="I2428" s="23">
        <v>1549.6</v>
      </c>
      <c r="J2428" s="23">
        <v>0</v>
      </c>
      <c r="K2428" s="23">
        <v>0</v>
      </c>
    </row>
    <row r="2429" spans="1:11" x14ac:dyDescent="0.25">
      <c r="A2429">
        <v>2428</v>
      </c>
      <c r="B2429" s="23">
        <v>934.4</v>
      </c>
      <c r="C2429" s="23">
        <v>0</v>
      </c>
      <c r="D2429" s="23">
        <v>0</v>
      </c>
      <c r="E2429" s="23">
        <v>0</v>
      </c>
      <c r="F2429" s="23">
        <v>0</v>
      </c>
      <c r="G2429" s="23">
        <v>0</v>
      </c>
      <c r="H2429" s="23">
        <v>0</v>
      </c>
      <c r="I2429" s="23">
        <v>934.4</v>
      </c>
      <c r="J2429" s="23">
        <v>0</v>
      </c>
      <c r="K2429" s="23">
        <v>0</v>
      </c>
    </row>
    <row r="2430" spans="1:11" x14ac:dyDescent="0.25">
      <c r="A2430">
        <v>2429</v>
      </c>
      <c r="B2430" s="23">
        <v>1459.2</v>
      </c>
      <c r="C2430" s="23">
        <v>0</v>
      </c>
      <c r="D2430" s="23">
        <v>0</v>
      </c>
      <c r="E2430" s="23">
        <v>0</v>
      </c>
      <c r="F2430" s="23">
        <v>0</v>
      </c>
      <c r="G2430" s="23">
        <v>0</v>
      </c>
      <c r="H2430" s="23">
        <v>0</v>
      </c>
      <c r="I2430" s="23">
        <v>1459.2</v>
      </c>
      <c r="J2430" s="23">
        <v>0</v>
      </c>
      <c r="K2430" s="23">
        <v>0</v>
      </c>
    </row>
    <row r="2431" spans="1:11" x14ac:dyDescent="0.25">
      <c r="A2431">
        <v>2430</v>
      </c>
      <c r="B2431" s="23">
        <v>1591.2</v>
      </c>
      <c r="C2431" s="23">
        <v>0</v>
      </c>
      <c r="D2431" s="23">
        <v>0</v>
      </c>
      <c r="E2431" s="23">
        <v>0</v>
      </c>
      <c r="F2431" s="23">
        <v>0</v>
      </c>
      <c r="G2431" s="23">
        <v>0</v>
      </c>
      <c r="H2431" s="23">
        <v>0</v>
      </c>
      <c r="I2431" s="23">
        <v>820.33699999999999</v>
      </c>
      <c r="J2431" s="23">
        <v>0</v>
      </c>
      <c r="K2431" s="23">
        <v>770.86300000000006</v>
      </c>
    </row>
    <row r="2432" spans="1:11" x14ac:dyDescent="0.25">
      <c r="A2432">
        <v>2431</v>
      </c>
      <c r="B2432" s="23">
        <v>966.93</v>
      </c>
      <c r="C2432" s="23">
        <v>95.97</v>
      </c>
      <c r="D2432" s="23">
        <v>322.53500000000003</v>
      </c>
      <c r="E2432" s="23">
        <v>322.53500000000003</v>
      </c>
      <c r="F2432" s="23">
        <v>0</v>
      </c>
      <c r="G2432" s="23">
        <v>0</v>
      </c>
      <c r="H2432" s="23">
        <v>0</v>
      </c>
      <c r="I2432" s="23">
        <v>0</v>
      </c>
      <c r="J2432" s="23">
        <v>0</v>
      </c>
      <c r="K2432" s="23">
        <v>644.39499999999998</v>
      </c>
    </row>
    <row r="2433" spans="1:11" x14ac:dyDescent="0.25">
      <c r="A2433">
        <v>2432</v>
      </c>
      <c r="B2433" s="23">
        <v>1477.577</v>
      </c>
      <c r="C2433" s="23">
        <v>321.14999999999998</v>
      </c>
      <c r="D2433" s="23">
        <v>1239.24</v>
      </c>
      <c r="E2433" s="23">
        <v>1239.24</v>
      </c>
      <c r="F2433" s="23">
        <v>0</v>
      </c>
      <c r="G2433" s="23">
        <v>0</v>
      </c>
      <c r="H2433" s="23">
        <v>0</v>
      </c>
      <c r="I2433" s="23">
        <v>0</v>
      </c>
      <c r="J2433" s="23">
        <v>0</v>
      </c>
      <c r="K2433" s="23">
        <v>238.33699999999999</v>
      </c>
    </row>
    <row r="2434" spans="1:11" x14ac:dyDescent="0.25">
      <c r="A2434">
        <v>2433</v>
      </c>
      <c r="B2434" s="23">
        <v>1354.9829999999999</v>
      </c>
      <c r="C2434" s="23">
        <v>553.21</v>
      </c>
      <c r="D2434" s="23">
        <v>2097.4380000000001</v>
      </c>
      <c r="E2434" s="23">
        <v>1354.9829999999999</v>
      </c>
      <c r="F2434" s="23">
        <v>-742.45500000000004</v>
      </c>
      <c r="G2434" s="23">
        <v>0</v>
      </c>
      <c r="H2434" s="23">
        <v>0</v>
      </c>
      <c r="I2434" s="23">
        <v>0</v>
      </c>
      <c r="J2434" s="23">
        <v>0</v>
      </c>
      <c r="K2434" s="23">
        <v>0</v>
      </c>
    </row>
    <row r="2435" spans="1:11" x14ac:dyDescent="0.25">
      <c r="A2435">
        <v>2434</v>
      </c>
      <c r="B2435" s="23">
        <v>1698.0360000000001</v>
      </c>
      <c r="C2435" s="23">
        <v>751.57</v>
      </c>
      <c r="D2435" s="23">
        <v>2730.8330000000001</v>
      </c>
      <c r="E2435" s="23">
        <v>1698.0360000000001</v>
      </c>
      <c r="F2435" s="23">
        <v>-1032.797</v>
      </c>
      <c r="G2435" s="23">
        <v>0</v>
      </c>
      <c r="H2435" s="23">
        <v>0</v>
      </c>
      <c r="I2435" s="23">
        <v>0</v>
      </c>
      <c r="J2435" s="23">
        <v>0</v>
      </c>
      <c r="K2435" s="23">
        <v>0</v>
      </c>
    </row>
    <row r="2436" spans="1:11" x14ac:dyDescent="0.25">
      <c r="A2436">
        <v>2435</v>
      </c>
      <c r="B2436" s="23">
        <v>1687.35</v>
      </c>
      <c r="C2436" s="23">
        <v>905.08</v>
      </c>
      <c r="D2436" s="23">
        <v>3177.81</v>
      </c>
      <c r="E2436" s="23">
        <v>1687.35</v>
      </c>
      <c r="F2436" s="23">
        <v>-1490.46</v>
      </c>
      <c r="G2436" s="23">
        <v>0</v>
      </c>
      <c r="H2436" s="23">
        <v>0</v>
      </c>
      <c r="I2436" s="23">
        <v>0</v>
      </c>
      <c r="J2436" s="23">
        <v>0</v>
      </c>
      <c r="K2436" s="23">
        <v>0</v>
      </c>
    </row>
    <row r="2437" spans="1:11" x14ac:dyDescent="0.25">
      <c r="A2437">
        <v>2436</v>
      </c>
      <c r="B2437" s="23">
        <v>1799.8409999999999</v>
      </c>
      <c r="C2437" s="23">
        <v>973.93</v>
      </c>
      <c r="D2437" s="23">
        <v>3366.252</v>
      </c>
      <c r="E2437" s="23">
        <v>1799.8409999999999</v>
      </c>
      <c r="F2437" s="23">
        <v>-1566.4110000000001</v>
      </c>
      <c r="G2437" s="23">
        <v>0</v>
      </c>
      <c r="H2437" s="23">
        <v>0</v>
      </c>
      <c r="I2437" s="23">
        <v>0</v>
      </c>
      <c r="J2437" s="23">
        <v>0</v>
      </c>
      <c r="K2437" s="23">
        <v>0</v>
      </c>
    </row>
    <row r="2438" spans="1:11" x14ac:dyDescent="0.25">
      <c r="A2438">
        <v>2437</v>
      </c>
      <c r="B2438" s="23">
        <v>1492.56</v>
      </c>
      <c r="C2438" s="23">
        <v>966.45</v>
      </c>
      <c r="D2438" s="23">
        <v>3366.8359999999998</v>
      </c>
      <c r="E2438" s="23">
        <v>1492.5609999999999</v>
      </c>
      <c r="F2438" s="23">
        <v>-1684.559</v>
      </c>
      <c r="G2438" s="23">
        <v>0</v>
      </c>
      <c r="H2438" s="23">
        <v>189.71600000000001</v>
      </c>
      <c r="I2438" s="23">
        <v>0</v>
      </c>
      <c r="J2438" s="23">
        <v>0</v>
      </c>
      <c r="K2438" s="23">
        <v>0</v>
      </c>
    </row>
    <row r="2439" spans="1:11" x14ac:dyDescent="0.25">
      <c r="A2439">
        <v>2438</v>
      </c>
      <c r="B2439" s="23">
        <v>1614.825</v>
      </c>
      <c r="C2439" s="23">
        <v>872.66</v>
      </c>
      <c r="D2439" s="23">
        <v>3130.1660000000002</v>
      </c>
      <c r="E2439" s="23">
        <v>1614.825</v>
      </c>
      <c r="F2439" s="23">
        <v>-774.81600000000003</v>
      </c>
      <c r="G2439" s="23">
        <v>0</v>
      </c>
      <c r="H2439" s="23">
        <v>740.52499999999998</v>
      </c>
      <c r="I2439" s="23">
        <v>0</v>
      </c>
      <c r="J2439" s="23">
        <v>0</v>
      </c>
      <c r="K2439" s="23">
        <v>0</v>
      </c>
    </row>
    <row r="2440" spans="1:11" x14ac:dyDescent="0.25">
      <c r="A2440">
        <v>2439</v>
      </c>
      <c r="B2440" s="23">
        <v>1802.673</v>
      </c>
      <c r="C2440" s="23">
        <v>721.65</v>
      </c>
      <c r="D2440" s="23">
        <v>2683.674</v>
      </c>
      <c r="E2440" s="23">
        <v>1802.673</v>
      </c>
      <c r="F2440" s="23">
        <v>0</v>
      </c>
      <c r="G2440" s="23">
        <v>0</v>
      </c>
      <c r="H2440" s="23">
        <v>881.00099999999998</v>
      </c>
      <c r="I2440" s="23">
        <v>0</v>
      </c>
      <c r="J2440" s="23">
        <v>0</v>
      </c>
      <c r="K2440" s="23">
        <v>0</v>
      </c>
    </row>
    <row r="2441" spans="1:11" x14ac:dyDescent="0.25">
      <c r="A2441">
        <v>2440</v>
      </c>
      <c r="B2441" s="23">
        <v>1703.1590000000001</v>
      </c>
      <c r="C2441" s="23">
        <v>399.91</v>
      </c>
      <c r="D2441" s="23">
        <v>1522.9949999999999</v>
      </c>
      <c r="E2441" s="23">
        <v>1522.9949999999999</v>
      </c>
      <c r="F2441" s="23">
        <v>0</v>
      </c>
      <c r="G2441" s="23">
        <v>0</v>
      </c>
      <c r="H2441" s="23">
        <v>0</v>
      </c>
      <c r="I2441" s="23">
        <v>180.16399999999999</v>
      </c>
      <c r="J2441" s="23">
        <v>0</v>
      </c>
      <c r="K2441" s="23">
        <v>0</v>
      </c>
    </row>
    <row r="2442" spans="1:11" x14ac:dyDescent="0.25">
      <c r="A2442">
        <v>2441</v>
      </c>
      <c r="B2442" s="23">
        <v>1953.3420000000001</v>
      </c>
      <c r="C2442" s="23">
        <v>159.24</v>
      </c>
      <c r="D2442" s="23">
        <v>599.14</v>
      </c>
      <c r="E2442" s="23">
        <v>599.14</v>
      </c>
      <c r="F2442" s="23">
        <v>0</v>
      </c>
      <c r="G2442" s="23">
        <v>0</v>
      </c>
      <c r="H2442" s="23">
        <v>0</v>
      </c>
      <c r="I2442" s="23">
        <v>1354.202</v>
      </c>
      <c r="J2442" s="23">
        <v>0</v>
      </c>
      <c r="K2442" s="23">
        <v>0</v>
      </c>
    </row>
    <row r="2443" spans="1:11" x14ac:dyDescent="0.25">
      <c r="A2443">
        <v>2442</v>
      </c>
      <c r="B2443" s="23">
        <v>1610.2570000000001</v>
      </c>
      <c r="C2443" s="23">
        <v>35.22</v>
      </c>
      <c r="D2443" s="23">
        <v>105.309</v>
      </c>
      <c r="E2443" s="23">
        <v>105.309</v>
      </c>
      <c r="F2443" s="23">
        <v>0</v>
      </c>
      <c r="G2443" s="23">
        <v>0</v>
      </c>
      <c r="H2443" s="23">
        <v>0</v>
      </c>
      <c r="I2443" s="23">
        <v>0</v>
      </c>
      <c r="J2443" s="23">
        <v>0</v>
      </c>
      <c r="K2443" s="23">
        <v>1504.9480000000001</v>
      </c>
    </row>
    <row r="2444" spans="1:11" x14ac:dyDescent="0.25">
      <c r="A2444">
        <v>2443</v>
      </c>
      <c r="B2444" s="23">
        <v>1843.2470000000001</v>
      </c>
      <c r="C2444" s="23">
        <v>0</v>
      </c>
      <c r="D2444" s="23">
        <v>0</v>
      </c>
      <c r="E2444" s="23">
        <v>0</v>
      </c>
      <c r="F2444" s="23">
        <v>0</v>
      </c>
      <c r="G2444" s="23">
        <v>0</v>
      </c>
      <c r="H2444" s="23">
        <v>0</v>
      </c>
      <c r="I2444" s="23">
        <v>158.68799999999999</v>
      </c>
      <c r="J2444" s="23">
        <v>0</v>
      </c>
      <c r="K2444" s="23">
        <v>1684.559</v>
      </c>
    </row>
    <row r="2445" spans="1:11" x14ac:dyDescent="0.25">
      <c r="A2445">
        <v>2444</v>
      </c>
      <c r="B2445" s="23">
        <v>1636</v>
      </c>
      <c r="C2445" s="23">
        <v>0</v>
      </c>
      <c r="D2445" s="23">
        <v>0</v>
      </c>
      <c r="E2445" s="23">
        <v>0</v>
      </c>
      <c r="F2445" s="23">
        <v>0</v>
      </c>
      <c r="G2445" s="23">
        <v>0</v>
      </c>
      <c r="H2445" s="23">
        <v>0</v>
      </c>
      <c r="I2445" s="23">
        <v>0</v>
      </c>
      <c r="J2445" s="23">
        <v>0</v>
      </c>
      <c r="K2445" s="23">
        <v>1636</v>
      </c>
    </row>
    <row r="2446" spans="1:11" x14ac:dyDescent="0.25">
      <c r="A2446">
        <v>2445</v>
      </c>
      <c r="B2446" s="23">
        <v>1706.4</v>
      </c>
      <c r="C2446" s="23">
        <v>0</v>
      </c>
      <c r="D2446" s="23">
        <v>0</v>
      </c>
      <c r="E2446" s="23">
        <v>0</v>
      </c>
      <c r="F2446" s="23">
        <v>0</v>
      </c>
      <c r="G2446" s="23">
        <v>0</v>
      </c>
      <c r="H2446" s="23">
        <v>0</v>
      </c>
      <c r="I2446" s="23">
        <v>1706.4</v>
      </c>
      <c r="J2446" s="23">
        <v>0</v>
      </c>
      <c r="K2446" s="23">
        <v>0</v>
      </c>
    </row>
    <row r="2447" spans="1:11" x14ac:dyDescent="0.25">
      <c r="A2447">
        <v>2446</v>
      </c>
      <c r="B2447" s="23">
        <v>2003.2</v>
      </c>
      <c r="C2447" s="23">
        <v>0</v>
      </c>
      <c r="D2447" s="23">
        <v>0</v>
      </c>
      <c r="E2447" s="23">
        <v>0</v>
      </c>
      <c r="F2447" s="23">
        <v>0</v>
      </c>
      <c r="G2447" s="23">
        <v>0</v>
      </c>
      <c r="H2447" s="23">
        <v>0</v>
      </c>
      <c r="I2447" s="23">
        <v>2003.2</v>
      </c>
      <c r="J2447" s="23">
        <v>0</v>
      </c>
      <c r="K2447" s="23">
        <v>0</v>
      </c>
    </row>
    <row r="2448" spans="1:11" x14ac:dyDescent="0.25">
      <c r="A2448">
        <v>2447</v>
      </c>
      <c r="B2448" s="23">
        <v>1822.4</v>
      </c>
      <c r="C2448" s="23">
        <v>0</v>
      </c>
      <c r="D2448" s="23">
        <v>0</v>
      </c>
      <c r="E2448" s="23">
        <v>0</v>
      </c>
      <c r="F2448" s="23">
        <v>0</v>
      </c>
      <c r="G2448" s="23">
        <v>0</v>
      </c>
      <c r="H2448" s="23">
        <v>0</v>
      </c>
      <c r="I2448" s="23">
        <v>1822.4</v>
      </c>
      <c r="J2448" s="23">
        <v>0</v>
      </c>
      <c r="K2448" s="23">
        <v>0</v>
      </c>
    </row>
    <row r="2449" spans="1:11" x14ac:dyDescent="0.25">
      <c r="A2449">
        <v>2448</v>
      </c>
      <c r="B2449" s="23">
        <v>1698.4</v>
      </c>
      <c r="C2449" s="23">
        <v>0</v>
      </c>
      <c r="D2449" s="23">
        <v>0</v>
      </c>
      <c r="E2449" s="23">
        <v>0</v>
      </c>
      <c r="F2449" s="23">
        <v>0</v>
      </c>
      <c r="G2449" s="23">
        <v>0</v>
      </c>
      <c r="H2449" s="23">
        <v>0</v>
      </c>
      <c r="I2449" s="23">
        <v>1698.4</v>
      </c>
      <c r="J2449" s="23">
        <v>0</v>
      </c>
      <c r="K2449" s="23">
        <v>0</v>
      </c>
    </row>
    <row r="2450" spans="1:11" x14ac:dyDescent="0.25">
      <c r="A2450">
        <v>2449</v>
      </c>
      <c r="B2450" s="23">
        <v>1377.6</v>
      </c>
      <c r="C2450" s="23">
        <v>0</v>
      </c>
      <c r="D2450" s="23">
        <v>0</v>
      </c>
      <c r="E2450" s="23">
        <v>0</v>
      </c>
      <c r="F2450" s="23">
        <v>0</v>
      </c>
      <c r="G2450" s="23">
        <v>0</v>
      </c>
      <c r="H2450" s="23">
        <v>0</v>
      </c>
      <c r="I2450" s="23">
        <v>1377.6</v>
      </c>
      <c r="J2450" s="23">
        <v>0</v>
      </c>
      <c r="K2450" s="23">
        <v>0</v>
      </c>
    </row>
    <row r="2451" spans="1:11" x14ac:dyDescent="0.25">
      <c r="A2451">
        <v>2450</v>
      </c>
      <c r="B2451" s="23">
        <v>1225.5999999999999</v>
      </c>
      <c r="C2451" s="23">
        <v>0</v>
      </c>
      <c r="D2451" s="23">
        <v>0</v>
      </c>
      <c r="E2451" s="23">
        <v>0</v>
      </c>
      <c r="F2451" s="23">
        <v>0</v>
      </c>
      <c r="G2451" s="23">
        <v>0</v>
      </c>
      <c r="H2451" s="23">
        <v>0</v>
      </c>
      <c r="I2451" s="23">
        <v>1225.5999999999999</v>
      </c>
      <c r="J2451" s="23">
        <v>0</v>
      </c>
      <c r="K2451" s="23">
        <v>0</v>
      </c>
    </row>
    <row r="2452" spans="1:11" x14ac:dyDescent="0.25">
      <c r="A2452">
        <v>2451</v>
      </c>
      <c r="B2452" s="23">
        <v>1188</v>
      </c>
      <c r="C2452" s="23">
        <v>0</v>
      </c>
      <c r="D2452" s="23">
        <v>0</v>
      </c>
      <c r="E2452" s="23">
        <v>0</v>
      </c>
      <c r="F2452" s="23">
        <v>0</v>
      </c>
      <c r="G2452" s="23">
        <v>0</v>
      </c>
      <c r="H2452" s="23">
        <v>0</v>
      </c>
      <c r="I2452" s="23">
        <v>1188</v>
      </c>
      <c r="J2452" s="23">
        <v>0</v>
      </c>
      <c r="K2452" s="23">
        <v>0</v>
      </c>
    </row>
    <row r="2453" spans="1:11" x14ac:dyDescent="0.25">
      <c r="A2453">
        <v>2452</v>
      </c>
      <c r="B2453" s="23">
        <v>1199.2</v>
      </c>
      <c r="C2453" s="23">
        <v>0</v>
      </c>
      <c r="D2453" s="23">
        <v>0</v>
      </c>
      <c r="E2453" s="23">
        <v>0</v>
      </c>
      <c r="F2453" s="23">
        <v>0</v>
      </c>
      <c r="G2453" s="23">
        <v>0</v>
      </c>
      <c r="H2453" s="23">
        <v>0</v>
      </c>
      <c r="I2453" s="23">
        <v>1199.2</v>
      </c>
      <c r="J2453" s="23">
        <v>0</v>
      </c>
      <c r="K2453" s="23">
        <v>0</v>
      </c>
    </row>
    <row r="2454" spans="1:11" x14ac:dyDescent="0.25">
      <c r="A2454">
        <v>2453</v>
      </c>
      <c r="B2454" s="23">
        <v>1212</v>
      </c>
      <c r="C2454" s="23">
        <v>0</v>
      </c>
      <c r="D2454" s="23">
        <v>0</v>
      </c>
      <c r="E2454" s="23">
        <v>0</v>
      </c>
      <c r="F2454" s="23">
        <v>0</v>
      </c>
      <c r="G2454" s="23">
        <v>0</v>
      </c>
      <c r="H2454" s="23">
        <v>0</v>
      </c>
      <c r="I2454" s="23">
        <v>1212</v>
      </c>
      <c r="J2454" s="23">
        <v>0</v>
      </c>
      <c r="K2454" s="23">
        <v>0</v>
      </c>
    </row>
    <row r="2455" spans="1:11" x14ac:dyDescent="0.25">
      <c r="A2455">
        <v>2454</v>
      </c>
      <c r="B2455" s="23">
        <v>1070.4000000000001</v>
      </c>
      <c r="C2455" s="23">
        <v>0</v>
      </c>
      <c r="D2455" s="23">
        <v>0</v>
      </c>
      <c r="E2455" s="23">
        <v>0</v>
      </c>
      <c r="F2455" s="23">
        <v>0</v>
      </c>
      <c r="G2455" s="23">
        <v>0</v>
      </c>
      <c r="H2455" s="23">
        <v>0</v>
      </c>
      <c r="I2455" s="23">
        <v>115.538</v>
      </c>
      <c r="J2455" s="23">
        <v>0</v>
      </c>
      <c r="K2455" s="23">
        <v>954.86199999999997</v>
      </c>
    </row>
    <row r="2456" spans="1:11" x14ac:dyDescent="0.25">
      <c r="A2456">
        <v>2455</v>
      </c>
      <c r="B2456" s="23">
        <v>974.01900000000001</v>
      </c>
      <c r="C2456" s="23">
        <v>58.68</v>
      </c>
      <c r="D2456" s="23">
        <v>202.53899999999999</v>
      </c>
      <c r="E2456" s="23">
        <v>202.53899999999999</v>
      </c>
      <c r="F2456" s="23">
        <v>0</v>
      </c>
      <c r="G2456" s="23">
        <v>0</v>
      </c>
      <c r="H2456" s="23">
        <v>0</v>
      </c>
      <c r="I2456" s="23">
        <v>0</v>
      </c>
      <c r="J2456" s="23">
        <v>0</v>
      </c>
      <c r="K2456" s="23">
        <v>771.48</v>
      </c>
    </row>
    <row r="2457" spans="1:11" x14ac:dyDescent="0.25">
      <c r="A2457">
        <v>2456</v>
      </c>
      <c r="B2457" s="23">
        <v>196.40600000000001</v>
      </c>
      <c r="C2457" s="23">
        <v>205.62</v>
      </c>
      <c r="D2457" s="23">
        <v>791.02800000000002</v>
      </c>
      <c r="E2457" s="23">
        <v>196.40600000000001</v>
      </c>
      <c r="F2457" s="23">
        <v>-594.62199999999996</v>
      </c>
      <c r="G2457" s="23">
        <v>0</v>
      </c>
      <c r="H2457" s="23">
        <v>0</v>
      </c>
      <c r="I2457" s="23">
        <v>0</v>
      </c>
      <c r="J2457" s="23">
        <v>0</v>
      </c>
      <c r="K2457" s="23">
        <v>0</v>
      </c>
    </row>
    <row r="2458" spans="1:11" x14ac:dyDescent="0.25">
      <c r="A2458">
        <v>2457</v>
      </c>
      <c r="B2458" s="23">
        <v>173.54</v>
      </c>
      <c r="C2458" s="23">
        <v>542.78</v>
      </c>
      <c r="D2458" s="23">
        <v>2051.8090000000002</v>
      </c>
      <c r="E2458" s="23">
        <v>173.541</v>
      </c>
      <c r="F2458" s="23">
        <v>-1684.559</v>
      </c>
      <c r="G2458" s="23">
        <v>0</v>
      </c>
      <c r="H2458" s="23">
        <v>193.709</v>
      </c>
      <c r="I2458" s="23">
        <v>0</v>
      </c>
      <c r="J2458" s="23">
        <v>0</v>
      </c>
      <c r="K2458" s="23">
        <v>0</v>
      </c>
    </row>
    <row r="2459" spans="1:11" x14ac:dyDescent="0.25">
      <c r="A2459">
        <v>2458</v>
      </c>
      <c r="B2459" s="23">
        <v>0</v>
      </c>
      <c r="C2459" s="23">
        <v>745.51</v>
      </c>
      <c r="D2459" s="23">
        <v>2696.3870000000002</v>
      </c>
      <c r="E2459" s="23">
        <v>0</v>
      </c>
      <c r="F2459" s="23">
        <v>-1684.559</v>
      </c>
      <c r="G2459" s="23">
        <v>0</v>
      </c>
      <c r="H2459" s="23">
        <v>1011.828</v>
      </c>
      <c r="I2459" s="23">
        <v>0</v>
      </c>
      <c r="J2459" s="23">
        <v>0</v>
      </c>
      <c r="K2459" s="23">
        <v>0</v>
      </c>
    </row>
    <row r="2460" spans="1:11" x14ac:dyDescent="0.25">
      <c r="A2460">
        <v>2459</v>
      </c>
      <c r="B2460" s="23">
        <v>0</v>
      </c>
      <c r="C2460" s="23">
        <v>891.18</v>
      </c>
      <c r="D2460" s="23">
        <v>3132.5120000000002</v>
      </c>
      <c r="E2460" s="23">
        <v>1E-3</v>
      </c>
      <c r="F2460" s="23">
        <v>-1684.559</v>
      </c>
      <c r="G2460" s="23">
        <v>0</v>
      </c>
      <c r="H2460" s="23">
        <v>1447.952</v>
      </c>
      <c r="I2460" s="23">
        <v>0</v>
      </c>
      <c r="J2460" s="23">
        <v>0</v>
      </c>
      <c r="K2460" s="23">
        <v>0</v>
      </c>
    </row>
    <row r="2461" spans="1:11" x14ac:dyDescent="0.25">
      <c r="A2461">
        <v>2460</v>
      </c>
      <c r="B2461" s="23">
        <v>0</v>
      </c>
      <c r="C2461" s="23">
        <v>721.5</v>
      </c>
      <c r="D2461" s="23">
        <v>2561.1680000000001</v>
      </c>
      <c r="E2461" s="23">
        <v>-1E-3</v>
      </c>
      <c r="F2461" s="23">
        <v>-1643.1990000000001</v>
      </c>
      <c r="G2461" s="23">
        <v>0</v>
      </c>
      <c r="H2461" s="23">
        <v>917.97</v>
      </c>
      <c r="I2461" s="23">
        <v>0</v>
      </c>
      <c r="J2461" s="23">
        <v>0</v>
      </c>
      <c r="K2461" s="23">
        <v>0</v>
      </c>
    </row>
    <row r="2462" spans="1:11" x14ac:dyDescent="0.25">
      <c r="A2462">
        <v>2461</v>
      </c>
      <c r="B2462" s="23">
        <v>0</v>
      </c>
      <c r="C2462" s="23">
        <v>795.66</v>
      </c>
      <c r="D2462" s="23">
        <v>2829.643</v>
      </c>
      <c r="E2462" s="23">
        <v>0</v>
      </c>
      <c r="F2462" s="23">
        <v>0</v>
      </c>
      <c r="G2462" s="23">
        <v>0</v>
      </c>
      <c r="H2462" s="23">
        <v>2829.643</v>
      </c>
      <c r="I2462" s="23">
        <v>0</v>
      </c>
      <c r="J2462" s="23">
        <v>0</v>
      </c>
      <c r="K2462" s="23">
        <v>0</v>
      </c>
    </row>
    <row r="2463" spans="1:11" x14ac:dyDescent="0.25">
      <c r="A2463">
        <v>2462</v>
      </c>
      <c r="B2463" s="23">
        <v>267.98399999999998</v>
      </c>
      <c r="C2463" s="23">
        <v>534.78</v>
      </c>
      <c r="D2463" s="23">
        <v>1961.31</v>
      </c>
      <c r="E2463" s="23">
        <v>267.98399999999998</v>
      </c>
      <c r="F2463" s="23">
        <v>0</v>
      </c>
      <c r="G2463" s="23">
        <v>0</v>
      </c>
      <c r="H2463" s="23">
        <v>1693.326</v>
      </c>
      <c r="I2463" s="23">
        <v>0</v>
      </c>
      <c r="J2463" s="23">
        <v>0</v>
      </c>
      <c r="K2463" s="23">
        <v>0</v>
      </c>
    </row>
    <row r="2464" spans="1:11" x14ac:dyDescent="0.25">
      <c r="A2464">
        <v>2463</v>
      </c>
      <c r="B2464" s="23">
        <v>256.12900000000002</v>
      </c>
      <c r="C2464" s="23">
        <v>721.8</v>
      </c>
      <c r="D2464" s="23">
        <v>2712.5149999999999</v>
      </c>
      <c r="E2464" s="23">
        <v>256.12900000000002</v>
      </c>
      <c r="F2464" s="23">
        <v>0</v>
      </c>
      <c r="G2464" s="23">
        <v>0</v>
      </c>
      <c r="H2464" s="23">
        <v>2456.386</v>
      </c>
      <c r="I2464" s="23">
        <v>0</v>
      </c>
      <c r="J2464" s="23">
        <v>0</v>
      </c>
      <c r="K2464" s="23">
        <v>0</v>
      </c>
    </row>
    <row r="2465" spans="1:11" x14ac:dyDescent="0.25">
      <c r="A2465">
        <v>2464</v>
      </c>
      <c r="B2465" s="23">
        <v>126.64700000000001</v>
      </c>
      <c r="C2465" s="23">
        <v>513.79</v>
      </c>
      <c r="D2465" s="23">
        <v>1991.2349999999999</v>
      </c>
      <c r="E2465" s="23">
        <v>126.64700000000001</v>
      </c>
      <c r="F2465" s="23">
        <v>0</v>
      </c>
      <c r="G2465" s="23">
        <v>0</v>
      </c>
      <c r="H2465" s="23">
        <v>1864.588</v>
      </c>
      <c r="I2465" s="23">
        <v>0</v>
      </c>
      <c r="J2465" s="23">
        <v>0</v>
      </c>
      <c r="K2465" s="23">
        <v>0</v>
      </c>
    </row>
    <row r="2466" spans="1:11" x14ac:dyDescent="0.25">
      <c r="A2466">
        <v>2465</v>
      </c>
      <c r="B2466" s="23">
        <v>227.81200000000001</v>
      </c>
      <c r="C2466" s="23">
        <v>278.45</v>
      </c>
      <c r="D2466" s="23">
        <v>1060.6289999999999</v>
      </c>
      <c r="E2466" s="23">
        <v>227.81200000000001</v>
      </c>
      <c r="F2466" s="23">
        <v>0</v>
      </c>
      <c r="G2466" s="23">
        <v>0</v>
      </c>
      <c r="H2466" s="23">
        <v>832.81700000000001</v>
      </c>
      <c r="I2466" s="23">
        <v>0</v>
      </c>
      <c r="J2466" s="23">
        <v>0</v>
      </c>
      <c r="K2466" s="23">
        <v>0</v>
      </c>
    </row>
    <row r="2467" spans="1:11" x14ac:dyDescent="0.25">
      <c r="A2467">
        <v>2466</v>
      </c>
      <c r="B2467" s="23">
        <v>353.74700000000001</v>
      </c>
      <c r="C2467" s="23">
        <v>61.88</v>
      </c>
      <c r="D2467" s="23">
        <v>187.92</v>
      </c>
      <c r="E2467" s="23">
        <v>187.92</v>
      </c>
      <c r="F2467" s="23">
        <v>0</v>
      </c>
      <c r="G2467" s="23">
        <v>0</v>
      </c>
      <c r="H2467" s="23">
        <v>0</v>
      </c>
      <c r="I2467" s="23">
        <v>0</v>
      </c>
      <c r="J2467" s="23">
        <v>0</v>
      </c>
      <c r="K2467" s="23">
        <v>165.827</v>
      </c>
    </row>
    <row r="2468" spans="1:11" x14ac:dyDescent="0.25">
      <c r="A2468">
        <v>2467</v>
      </c>
      <c r="B2468" s="23">
        <v>216.66300000000001</v>
      </c>
      <c r="C2468" s="23">
        <v>0</v>
      </c>
      <c r="D2468" s="23">
        <v>0</v>
      </c>
      <c r="E2468" s="23">
        <v>0</v>
      </c>
      <c r="F2468" s="23">
        <v>0</v>
      </c>
      <c r="G2468" s="23">
        <v>0</v>
      </c>
      <c r="H2468" s="23">
        <v>0</v>
      </c>
      <c r="I2468" s="23">
        <v>0</v>
      </c>
      <c r="J2468" s="23">
        <v>0</v>
      </c>
      <c r="K2468" s="23">
        <v>216.66300000000001</v>
      </c>
    </row>
    <row r="2469" spans="1:11" x14ac:dyDescent="0.25">
      <c r="A2469">
        <v>2468</v>
      </c>
      <c r="B2469" s="23">
        <v>193.6</v>
      </c>
      <c r="C2469" s="23">
        <v>0</v>
      </c>
      <c r="D2469" s="23">
        <v>0</v>
      </c>
      <c r="E2469" s="23">
        <v>0</v>
      </c>
      <c r="F2469" s="23">
        <v>0</v>
      </c>
      <c r="G2469" s="23">
        <v>0</v>
      </c>
      <c r="H2469" s="23">
        <v>0</v>
      </c>
      <c r="I2469" s="23">
        <v>0</v>
      </c>
      <c r="J2469" s="23">
        <v>0</v>
      </c>
      <c r="K2469" s="23">
        <v>193.6</v>
      </c>
    </row>
    <row r="2470" spans="1:11" x14ac:dyDescent="0.25">
      <c r="A2470">
        <v>2469</v>
      </c>
      <c r="B2470" s="23">
        <v>127.2</v>
      </c>
      <c r="C2470" s="23">
        <v>0</v>
      </c>
      <c r="D2470" s="23">
        <v>0</v>
      </c>
      <c r="E2470" s="23">
        <v>0</v>
      </c>
      <c r="F2470" s="23">
        <v>0</v>
      </c>
      <c r="G2470" s="23">
        <v>0</v>
      </c>
      <c r="H2470" s="23">
        <v>0</v>
      </c>
      <c r="I2470" s="23">
        <v>0</v>
      </c>
      <c r="J2470" s="23">
        <v>0</v>
      </c>
      <c r="K2470" s="23">
        <v>127.2</v>
      </c>
    </row>
    <row r="2471" spans="1:11" x14ac:dyDescent="0.25">
      <c r="A2471">
        <v>2470</v>
      </c>
      <c r="B2471" s="23">
        <v>117.6</v>
      </c>
      <c r="C2471" s="23">
        <v>0</v>
      </c>
      <c r="D2471" s="23">
        <v>0</v>
      </c>
      <c r="E2471" s="23">
        <v>0</v>
      </c>
      <c r="F2471" s="23">
        <v>0</v>
      </c>
      <c r="G2471" s="23">
        <v>0</v>
      </c>
      <c r="H2471" s="23">
        <v>0</v>
      </c>
      <c r="I2471" s="23">
        <v>0</v>
      </c>
      <c r="J2471" s="23">
        <v>0</v>
      </c>
      <c r="K2471" s="23">
        <v>117.6</v>
      </c>
    </row>
    <row r="2472" spans="1:11" x14ac:dyDescent="0.25">
      <c r="A2472">
        <v>2471</v>
      </c>
      <c r="B2472" s="23">
        <v>128.80000000000001</v>
      </c>
      <c r="C2472" s="23">
        <v>0</v>
      </c>
      <c r="D2472" s="23">
        <v>0</v>
      </c>
      <c r="E2472" s="23">
        <v>0</v>
      </c>
      <c r="F2472" s="23">
        <v>0</v>
      </c>
      <c r="G2472" s="23">
        <v>0</v>
      </c>
      <c r="H2472" s="23">
        <v>0</v>
      </c>
      <c r="I2472" s="23">
        <v>0</v>
      </c>
      <c r="J2472" s="23">
        <v>0</v>
      </c>
      <c r="K2472" s="23">
        <v>128.80000000000001</v>
      </c>
    </row>
    <row r="2473" spans="1:11" x14ac:dyDescent="0.25">
      <c r="A2473">
        <v>2472</v>
      </c>
      <c r="B2473" s="23">
        <v>140.80000000000001</v>
      </c>
      <c r="C2473" s="23">
        <v>0</v>
      </c>
      <c r="D2473" s="23">
        <v>0</v>
      </c>
      <c r="E2473" s="23">
        <v>0</v>
      </c>
      <c r="F2473" s="23">
        <v>0</v>
      </c>
      <c r="G2473" s="23">
        <v>0</v>
      </c>
      <c r="H2473" s="23">
        <v>0</v>
      </c>
      <c r="I2473" s="23">
        <v>0</v>
      </c>
      <c r="J2473" s="23">
        <v>0</v>
      </c>
      <c r="K2473" s="23">
        <v>140.80000000000001</v>
      </c>
    </row>
    <row r="2474" spans="1:11" x14ac:dyDescent="0.25">
      <c r="A2474">
        <v>2473</v>
      </c>
      <c r="B2474" s="23">
        <v>108.8</v>
      </c>
      <c r="C2474" s="23">
        <v>0</v>
      </c>
      <c r="D2474" s="23">
        <v>0</v>
      </c>
      <c r="E2474" s="23">
        <v>0</v>
      </c>
      <c r="F2474" s="23">
        <v>0</v>
      </c>
      <c r="G2474" s="23">
        <v>0</v>
      </c>
      <c r="H2474" s="23">
        <v>0</v>
      </c>
      <c r="I2474" s="23">
        <v>0</v>
      </c>
      <c r="J2474" s="23">
        <v>0</v>
      </c>
      <c r="K2474" s="23">
        <v>108.8</v>
      </c>
    </row>
    <row r="2475" spans="1:11" x14ac:dyDescent="0.25">
      <c r="A2475">
        <v>2474</v>
      </c>
      <c r="B2475" s="23">
        <v>100</v>
      </c>
      <c r="C2475" s="23">
        <v>0</v>
      </c>
      <c r="D2475" s="23">
        <v>0</v>
      </c>
      <c r="E2475" s="23">
        <v>0</v>
      </c>
      <c r="F2475" s="23">
        <v>0</v>
      </c>
      <c r="G2475" s="23">
        <v>0</v>
      </c>
      <c r="H2475" s="23">
        <v>0</v>
      </c>
      <c r="I2475" s="23">
        <v>0</v>
      </c>
      <c r="J2475" s="23">
        <v>0</v>
      </c>
      <c r="K2475" s="23">
        <v>100</v>
      </c>
    </row>
    <row r="2476" spans="1:11" x14ac:dyDescent="0.25">
      <c r="A2476">
        <v>2475</v>
      </c>
      <c r="B2476" s="23">
        <v>89.6</v>
      </c>
      <c r="C2476" s="23">
        <v>0</v>
      </c>
      <c r="D2476" s="23">
        <v>0</v>
      </c>
      <c r="E2476" s="23">
        <v>0</v>
      </c>
      <c r="F2476" s="23">
        <v>0</v>
      </c>
      <c r="G2476" s="23">
        <v>0</v>
      </c>
      <c r="H2476" s="23">
        <v>0</v>
      </c>
      <c r="I2476" s="23">
        <v>0</v>
      </c>
      <c r="J2476" s="23">
        <v>0</v>
      </c>
      <c r="K2476" s="23">
        <v>89.6</v>
      </c>
    </row>
    <row r="2477" spans="1:11" x14ac:dyDescent="0.25">
      <c r="A2477">
        <v>2476</v>
      </c>
      <c r="B2477" s="23">
        <v>99.2</v>
      </c>
      <c r="C2477" s="23">
        <v>0</v>
      </c>
      <c r="D2477" s="23">
        <v>0</v>
      </c>
      <c r="E2477" s="23">
        <v>0</v>
      </c>
      <c r="F2477" s="23">
        <v>0</v>
      </c>
      <c r="G2477" s="23">
        <v>0</v>
      </c>
      <c r="H2477" s="23">
        <v>0</v>
      </c>
      <c r="I2477" s="23">
        <v>0</v>
      </c>
      <c r="J2477" s="23">
        <v>0</v>
      </c>
      <c r="K2477" s="23">
        <v>99.2</v>
      </c>
    </row>
    <row r="2478" spans="1:11" x14ac:dyDescent="0.25">
      <c r="A2478">
        <v>2477</v>
      </c>
      <c r="B2478" s="23">
        <v>91.2</v>
      </c>
      <c r="C2478" s="23">
        <v>0</v>
      </c>
      <c r="D2478" s="23">
        <v>0</v>
      </c>
      <c r="E2478" s="23">
        <v>0</v>
      </c>
      <c r="F2478" s="23">
        <v>0</v>
      </c>
      <c r="G2478" s="23">
        <v>0</v>
      </c>
      <c r="H2478" s="23">
        <v>0</v>
      </c>
      <c r="I2478" s="23">
        <v>0</v>
      </c>
      <c r="J2478" s="23">
        <v>0</v>
      </c>
      <c r="K2478" s="23">
        <v>91.2</v>
      </c>
    </row>
    <row r="2479" spans="1:11" x14ac:dyDescent="0.25">
      <c r="A2479">
        <v>2478</v>
      </c>
      <c r="B2479" s="23">
        <v>98.4</v>
      </c>
      <c r="C2479" s="23">
        <v>0</v>
      </c>
      <c r="D2479" s="23">
        <v>0</v>
      </c>
      <c r="E2479" s="23">
        <v>0</v>
      </c>
      <c r="F2479" s="23">
        <v>0</v>
      </c>
      <c r="G2479" s="23">
        <v>0</v>
      </c>
      <c r="H2479" s="23">
        <v>0</v>
      </c>
      <c r="I2479" s="23">
        <v>0</v>
      </c>
      <c r="J2479" s="23">
        <v>0</v>
      </c>
      <c r="K2479" s="23">
        <v>98.4</v>
      </c>
    </row>
    <row r="2480" spans="1:11" x14ac:dyDescent="0.25">
      <c r="A2480">
        <v>2479</v>
      </c>
      <c r="B2480" s="23">
        <v>64.271000000000001</v>
      </c>
      <c r="C2480" s="23">
        <v>92.42</v>
      </c>
      <c r="D2480" s="23">
        <v>317.68400000000003</v>
      </c>
      <c r="E2480" s="23">
        <v>64.271000000000001</v>
      </c>
      <c r="F2480" s="23">
        <v>-253.41300000000001</v>
      </c>
      <c r="G2480" s="23">
        <v>0</v>
      </c>
      <c r="H2480" s="23">
        <v>0</v>
      </c>
      <c r="I2480" s="23">
        <v>0</v>
      </c>
      <c r="J2480" s="23">
        <v>0</v>
      </c>
      <c r="K2480" s="23">
        <v>0</v>
      </c>
    </row>
    <row r="2481" spans="1:11" x14ac:dyDescent="0.25">
      <c r="A2481">
        <v>2480</v>
      </c>
      <c r="B2481" s="23">
        <v>44.716000000000001</v>
      </c>
      <c r="C2481" s="23">
        <v>317.64</v>
      </c>
      <c r="D2481" s="23">
        <v>1235.4849999999999</v>
      </c>
      <c r="E2481" s="23">
        <v>44.716000000000001</v>
      </c>
      <c r="F2481" s="23">
        <v>-1190.769</v>
      </c>
      <c r="G2481" s="23">
        <v>0</v>
      </c>
      <c r="H2481" s="23">
        <v>0</v>
      </c>
      <c r="I2481" s="23">
        <v>0</v>
      </c>
      <c r="J2481" s="23">
        <v>0</v>
      </c>
      <c r="K2481" s="23">
        <v>0</v>
      </c>
    </row>
    <row r="2482" spans="1:11" x14ac:dyDescent="0.25">
      <c r="A2482">
        <v>2481</v>
      </c>
      <c r="B2482" s="23">
        <v>503.24799999999999</v>
      </c>
      <c r="C2482" s="23">
        <v>463.77</v>
      </c>
      <c r="D2482" s="23">
        <v>1778.6020000000001</v>
      </c>
      <c r="E2482" s="23">
        <v>503.24799999999999</v>
      </c>
      <c r="F2482" s="23">
        <v>-422.90600000000001</v>
      </c>
      <c r="G2482" s="23">
        <v>0</v>
      </c>
      <c r="H2482" s="23">
        <v>852.44799999999998</v>
      </c>
      <c r="I2482" s="23">
        <v>0</v>
      </c>
      <c r="J2482" s="23">
        <v>0</v>
      </c>
      <c r="K2482" s="23">
        <v>0</v>
      </c>
    </row>
    <row r="2483" spans="1:11" x14ac:dyDescent="0.25">
      <c r="A2483">
        <v>2482</v>
      </c>
      <c r="B2483" s="23">
        <v>593.572</v>
      </c>
      <c r="C2483" s="23">
        <v>619.03</v>
      </c>
      <c r="D2483" s="23">
        <v>2301.1080000000002</v>
      </c>
      <c r="E2483" s="23">
        <v>593.572</v>
      </c>
      <c r="F2483" s="23">
        <v>0</v>
      </c>
      <c r="G2483" s="23">
        <v>0</v>
      </c>
      <c r="H2483" s="23">
        <v>1707.5360000000001</v>
      </c>
      <c r="I2483" s="23">
        <v>0</v>
      </c>
      <c r="J2483" s="23">
        <v>0</v>
      </c>
      <c r="K2483" s="23">
        <v>0</v>
      </c>
    </row>
    <row r="2484" spans="1:11" x14ac:dyDescent="0.25">
      <c r="A2484">
        <v>2483</v>
      </c>
      <c r="B2484" s="23">
        <v>451.24799999999999</v>
      </c>
      <c r="C2484" s="23">
        <v>468.83</v>
      </c>
      <c r="D2484" s="23">
        <v>1731.5319999999999</v>
      </c>
      <c r="E2484" s="23">
        <v>451.24799999999999</v>
      </c>
      <c r="F2484" s="23">
        <v>0</v>
      </c>
      <c r="G2484" s="23">
        <v>0</v>
      </c>
      <c r="H2484" s="23">
        <v>1280.2840000000001</v>
      </c>
      <c r="I2484" s="23">
        <v>0</v>
      </c>
      <c r="J2484" s="23">
        <v>0</v>
      </c>
      <c r="K2484" s="23">
        <v>0</v>
      </c>
    </row>
    <row r="2485" spans="1:11" x14ac:dyDescent="0.25">
      <c r="A2485">
        <v>2484</v>
      </c>
      <c r="B2485" s="23">
        <v>445.51499999999999</v>
      </c>
      <c r="C2485" s="23">
        <v>977.16</v>
      </c>
      <c r="D2485" s="23">
        <v>3531.9589999999998</v>
      </c>
      <c r="E2485" s="23">
        <v>445.51499999999999</v>
      </c>
      <c r="F2485" s="23">
        <v>0</v>
      </c>
      <c r="G2485" s="23">
        <v>0</v>
      </c>
      <c r="H2485" s="23">
        <v>3086.444</v>
      </c>
      <c r="I2485" s="23">
        <v>0</v>
      </c>
      <c r="J2485" s="23">
        <v>0</v>
      </c>
      <c r="K2485" s="23">
        <v>0</v>
      </c>
    </row>
    <row r="2486" spans="1:11" x14ac:dyDescent="0.25">
      <c r="A2486">
        <v>2485</v>
      </c>
      <c r="B2486" s="23">
        <v>1718.7090000000001</v>
      </c>
      <c r="C2486" s="23">
        <v>653.08000000000004</v>
      </c>
      <c r="D2486" s="23">
        <v>2400.8180000000002</v>
      </c>
      <c r="E2486" s="23">
        <v>1718.7090000000001</v>
      </c>
      <c r="F2486" s="23">
        <v>0</v>
      </c>
      <c r="G2486" s="23">
        <v>0</v>
      </c>
      <c r="H2486" s="23">
        <v>682.10900000000004</v>
      </c>
      <c r="I2486" s="23">
        <v>0</v>
      </c>
      <c r="J2486" s="23">
        <v>0</v>
      </c>
      <c r="K2486" s="23">
        <v>0</v>
      </c>
    </row>
    <row r="2487" spans="1:11" x14ac:dyDescent="0.25">
      <c r="A2487">
        <v>2486</v>
      </c>
      <c r="B2487" s="23">
        <v>1825.482</v>
      </c>
      <c r="C2487" s="23">
        <v>674.33</v>
      </c>
      <c r="D2487" s="23">
        <v>2503.384</v>
      </c>
      <c r="E2487" s="23">
        <v>1825.482</v>
      </c>
      <c r="F2487" s="23">
        <v>0</v>
      </c>
      <c r="G2487" s="23">
        <v>0</v>
      </c>
      <c r="H2487" s="23">
        <v>677.90200000000004</v>
      </c>
      <c r="I2487" s="23">
        <v>0</v>
      </c>
      <c r="J2487" s="23">
        <v>0</v>
      </c>
      <c r="K2487" s="23">
        <v>0</v>
      </c>
    </row>
    <row r="2488" spans="1:11" x14ac:dyDescent="0.25">
      <c r="A2488">
        <v>2487</v>
      </c>
      <c r="B2488" s="23">
        <v>1311.2</v>
      </c>
      <c r="C2488" s="23">
        <v>499.71</v>
      </c>
      <c r="D2488" s="23">
        <v>1893.442</v>
      </c>
      <c r="E2488" s="23">
        <v>1311.2</v>
      </c>
      <c r="F2488" s="23">
        <v>0</v>
      </c>
      <c r="G2488" s="23">
        <v>0</v>
      </c>
      <c r="H2488" s="23">
        <v>582.24199999999996</v>
      </c>
      <c r="I2488" s="23">
        <v>0</v>
      </c>
      <c r="J2488" s="23">
        <v>0</v>
      </c>
      <c r="K2488" s="23">
        <v>0</v>
      </c>
    </row>
    <row r="2489" spans="1:11" x14ac:dyDescent="0.25">
      <c r="A2489">
        <v>2488</v>
      </c>
      <c r="B2489" s="23">
        <v>1571.2</v>
      </c>
      <c r="C2489" s="23">
        <v>442.18</v>
      </c>
      <c r="D2489" s="23">
        <v>1712.8989999999999</v>
      </c>
      <c r="E2489" s="23">
        <v>1571.2</v>
      </c>
      <c r="F2489" s="23">
        <v>0</v>
      </c>
      <c r="G2489" s="23">
        <v>0</v>
      </c>
      <c r="H2489" s="23">
        <v>141.69900000000001</v>
      </c>
      <c r="I2489" s="23">
        <v>0</v>
      </c>
      <c r="J2489" s="23">
        <v>0</v>
      </c>
      <c r="K2489" s="23">
        <v>0</v>
      </c>
    </row>
    <row r="2490" spans="1:11" x14ac:dyDescent="0.25">
      <c r="A2490">
        <v>2489</v>
      </c>
      <c r="B2490" s="23">
        <v>1255.2</v>
      </c>
      <c r="C2490" s="23">
        <v>273.76</v>
      </c>
      <c r="D2490" s="23">
        <v>1048.778</v>
      </c>
      <c r="E2490" s="23">
        <v>1048.778</v>
      </c>
      <c r="F2490" s="23">
        <v>0</v>
      </c>
      <c r="G2490" s="23">
        <v>0</v>
      </c>
      <c r="H2490" s="23">
        <v>0</v>
      </c>
      <c r="I2490" s="23">
        <v>206.422</v>
      </c>
      <c r="J2490" s="23">
        <v>0</v>
      </c>
      <c r="K2490" s="23">
        <v>0</v>
      </c>
    </row>
    <row r="2491" spans="1:11" x14ac:dyDescent="0.25">
      <c r="A2491">
        <v>2490</v>
      </c>
      <c r="B2491" s="23">
        <v>1663.4870000000001</v>
      </c>
      <c r="C2491" s="23">
        <v>59.72</v>
      </c>
      <c r="D2491" s="23">
        <v>180.93100000000001</v>
      </c>
      <c r="E2491" s="23">
        <v>180.93100000000001</v>
      </c>
      <c r="F2491" s="23">
        <v>0</v>
      </c>
      <c r="G2491" s="23">
        <v>0</v>
      </c>
      <c r="H2491" s="23">
        <v>0</v>
      </c>
      <c r="I2491" s="23">
        <v>0</v>
      </c>
      <c r="J2491" s="23">
        <v>0</v>
      </c>
      <c r="K2491" s="23">
        <v>1482.556</v>
      </c>
    </row>
    <row r="2492" spans="1:11" x14ac:dyDescent="0.25">
      <c r="A2492">
        <v>2491</v>
      </c>
      <c r="B2492" s="23">
        <v>1610.9349999999999</v>
      </c>
      <c r="C2492" s="23">
        <v>0</v>
      </c>
      <c r="D2492" s="23">
        <v>0</v>
      </c>
      <c r="E2492" s="23">
        <v>0</v>
      </c>
      <c r="F2492" s="23">
        <v>0</v>
      </c>
      <c r="G2492" s="23">
        <v>0</v>
      </c>
      <c r="H2492" s="23">
        <v>0</v>
      </c>
      <c r="I2492" s="23">
        <v>0</v>
      </c>
      <c r="J2492" s="23">
        <v>0</v>
      </c>
      <c r="K2492" s="23">
        <v>1610.9349999999999</v>
      </c>
    </row>
    <row r="2493" spans="1:11" x14ac:dyDescent="0.25">
      <c r="A2493">
        <v>2492</v>
      </c>
      <c r="B2493" s="23">
        <v>1180.8</v>
      </c>
      <c r="C2493" s="23">
        <v>0</v>
      </c>
      <c r="D2493" s="23">
        <v>0</v>
      </c>
      <c r="E2493" s="23">
        <v>0</v>
      </c>
      <c r="F2493" s="23">
        <v>0</v>
      </c>
      <c r="G2493" s="23">
        <v>0</v>
      </c>
      <c r="H2493" s="23">
        <v>0</v>
      </c>
      <c r="I2493" s="23">
        <v>0</v>
      </c>
      <c r="J2493" s="23">
        <v>0</v>
      </c>
      <c r="K2493" s="23">
        <v>1180.8</v>
      </c>
    </row>
    <row r="2494" spans="1:11" x14ac:dyDescent="0.25">
      <c r="A2494">
        <v>2493</v>
      </c>
      <c r="B2494" s="23">
        <v>1295.2</v>
      </c>
      <c r="C2494" s="23">
        <v>0</v>
      </c>
      <c r="D2494" s="23">
        <v>0</v>
      </c>
      <c r="E2494" s="23">
        <v>0</v>
      </c>
      <c r="F2494" s="23">
        <v>0</v>
      </c>
      <c r="G2494" s="23">
        <v>0</v>
      </c>
      <c r="H2494" s="23">
        <v>0</v>
      </c>
      <c r="I2494" s="23">
        <v>1295.2</v>
      </c>
      <c r="J2494" s="23">
        <v>0</v>
      </c>
      <c r="K2494" s="23">
        <v>0</v>
      </c>
    </row>
    <row r="2495" spans="1:11" x14ac:dyDescent="0.25">
      <c r="A2495">
        <v>2494</v>
      </c>
      <c r="B2495" s="23">
        <v>1408</v>
      </c>
      <c r="C2495" s="23">
        <v>0</v>
      </c>
      <c r="D2495" s="23">
        <v>0</v>
      </c>
      <c r="E2495" s="23">
        <v>0</v>
      </c>
      <c r="F2495" s="23">
        <v>0</v>
      </c>
      <c r="G2495" s="23">
        <v>0</v>
      </c>
      <c r="H2495" s="23">
        <v>0</v>
      </c>
      <c r="I2495" s="23">
        <v>1408</v>
      </c>
      <c r="J2495" s="23">
        <v>0</v>
      </c>
      <c r="K2495" s="23">
        <v>0</v>
      </c>
    </row>
    <row r="2496" spans="1:11" x14ac:dyDescent="0.25">
      <c r="A2496">
        <v>2495</v>
      </c>
      <c r="B2496" s="23">
        <v>1508</v>
      </c>
      <c r="C2496" s="23">
        <v>0</v>
      </c>
      <c r="D2496" s="23">
        <v>0</v>
      </c>
      <c r="E2496" s="23">
        <v>0</v>
      </c>
      <c r="F2496" s="23">
        <v>0</v>
      </c>
      <c r="G2496" s="23">
        <v>0</v>
      </c>
      <c r="H2496" s="23">
        <v>0</v>
      </c>
      <c r="I2496" s="23">
        <v>1508</v>
      </c>
      <c r="J2496" s="23">
        <v>0</v>
      </c>
      <c r="K2496" s="23">
        <v>0</v>
      </c>
    </row>
    <row r="2497" spans="1:11" x14ac:dyDescent="0.25">
      <c r="A2497">
        <v>2496</v>
      </c>
      <c r="B2497" s="23">
        <v>1367.2</v>
      </c>
      <c r="C2497" s="23">
        <v>0</v>
      </c>
      <c r="D2497" s="23">
        <v>0</v>
      </c>
      <c r="E2497" s="23">
        <v>0</v>
      </c>
      <c r="F2497" s="23">
        <v>0</v>
      </c>
      <c r="G2497" s="23">
        <v>0</v>
      </c>
      <c r="H2497" s="23">
        <v>0</v>
      </c>
      <c r="I2497" s="23">
        <v>1367.2</v>
      </c>
      <c r="J2497" s="23">
        <v>0</v>
      </c>
      <c r="K2497" s="23">
        <v>0</v>
      </c>
    </row>
    <row r="2498" spans="1:11" x14ac:dyDescent="0.25">
      <c r="A2498">
        <v>2497</v>
      </c>
      <c r="B2498" s="23">
        <v>1770.4</v>
      </c>
      <c r="C2498" s="23">
        <v>0</v>
      </c>
      <c r="D2498" s="23">
        <v>0</v>
      </c>
      <c r="E2498" s="23">
        <v>0</v>
      </c>
      <c r="F2498" s="23">
        <v>0</v>
      </c>
      <c r="G2498" s="23">
        <v>0</v>
      </c>
      <c r="H2498" s="23">
        <v>0</v>
      </c>
      <c r="I2498" s="23">
        <v>1770.4</v>
      </c>
      <c r="J2498" s="23">
        <v>0</v>
      </c>
      <c r="K2498" s="23">
        <v>0</v>
      </c>
    </row>
    <row r="2499" spans="1:11" x14ac:dyDescent="0.25">
      <c r="A2499">
        <v>2498</v>
      </c>
      <c r="B2499" s="23">
        <v>1622.4</v>
      </c>
      <c r="C2499" s="23">
        <v>0</v>
      </c>
      <c r="D2499" s="23">
        <v>0</v>
      </c>
      <c r="E2499" s="23">
        <v>0</v>
      </c>
      <c r="F2499" s="23">
        <v>0</v>
      </c>
      <c r="G2499" s="23">
        <v>0</v>
      </c>
      <c r="H2499" s="23">
        <v>0</v>
      </c>
      <c r="I2499" s="23">
        <v>1622.4</v>
      </c>
      <c r="J2499" s="23">
        <v>0</v>
      </c>
      <c r="K2499" s="23">
        <v>0</v>
      </c>
    </row>
    <row r="2500" spans="1:11" x14ac:dyDescent="0.25">
      <c r="A2500">
        <v>2499</v>
      </c>
      <c r="B2500" s="23">
        <v>1314.4</v>
      </c>
      <c r="C2500" s="23">
        <v>0</v>
      </c>
      <c r="D2500" s="23">
        <v>0</v>
      </c>
      <c r="E2500" s="23">
        <v>0</v>
      </c>
      <c r="F2500" s="23">
        <v>0</v>
      </c>
      <c r="G2500" s="23">
        <v>0</v>
      </c>
      <c r="H2500" s="23">
        <v>0</v>
      </c>
      <c r="I2500" s="23">
        <v>1314.4</v>
      </c>
      <c r="J2500" s="23">
        <v>0</v>
      </c>
      <c r="K2500" s="23">
        <v>0</v>
      </c>
    </row>
    <row r="2501" spans="1:11" x14ac:dyDescent="0.25">
      <c r="A2501">
        <v>2500</v>
      </c>
      <c r="B2501" s="23">
        <v>1200.8</v>
      </c>
      <c r="C2501" s="23">
        <v>0</v>
      </c>
      <c r="D2501" s="23">
        <v>0</v>
      </c>
      <c r="E2501" s="23">
        <v>0</v>
      </c>
      <c r="F2501" s="23">
        <v>0</v>
      </c>
      <c r="G2501" s="23">
        <v>0</v>
      </c>
      <c r="H2501" s="23">
        <v>0</v>
      </c>
      <c r="I2501" s="23">
        <v>1200.8</v>
      </c>
      <c r="J2501" s="23">
        <v>0</v>
      </c>
      <c r="K2501" s="23">
        <v>0</v>
      </c>
    </row>
    <row r="2502" spans="1:11" x14ac:dyDescent="0.25">
      <c r="A2502">
        <v>2501</v>
      </c>
      <c r="B2502" s="23">
        <v>1348</v>
      </c>
      <c r="C2502" s="23">
        <v>0</v>
      </c>
      <c r="D2502" s="23">
        <v>0</v>
      </c>
      <c r="E2502" s="23">
        <v>0</v>
      </c>
      <c r="F2502" s="23">
        <v>0</v>
      </c>
      <c r="G2502" s="23">
        <v>0</v>
      </c>
      <c r="H2502" s="23">
        <v>0</v>
      </c>
      <c r="I2502" s="23">
        <v>1348</v>
      </c>
      <c r="J2502" s="23">
        <v>0</v>
      </c>
      <c r="K2502" s="23">
        <v>0</v>
      </c>
    </row>
    <row r="2503" spans="1:11" x14ac:dyDescent="0.25">
      <c r="A2503">
        <v>2502</v>
      </c>
      <c r="B2503" s="23">
        <v>1156</v>
      </c>
      <c r="C2503" s="23">
        <v>0</v>
      </c>
      <c r="D2503" s="23">
        <v>0</v>
      </c>
      <c r="E2503" s="23">
        <v>0</v>
      </c>
      <c r="F2503" s="23">
        <v>0</v>
      </c>
      <c r="G2503" s="23">
        <v>0</v>
      </c>
      <c r="H2503" s="23">
        <v>0</v>
      </c>
      <c r="I2503" s="23">
        <v>1156</v>
      </c>
      <c r="J2503" s="23">
        <v>0</v>
      </c>
      <c r="K2503" s="23">
        <v>0</v>
      </c>
    </row>
    <row r="2504" spans="1:11" x14ac:dyDescent="0.25">
      <c r="A2504">
        <v>2503</v>
      </c>
      <c r="B2504" s="23">
        <v>1375.182</v>
      </c>
      <c r="C2504" s="23">
        <v>102.64</v>
      </c>
      <c r="D2504" s="23">
        <v>347.32499999999999</v>
      </c>
      <c r="E2504" s="23">
        <v>347.32499999999999</v>
      </c>
      <c r="F2504" s="23">
        <v>0</v>
      </c>
      <c r="G2504" s="23">
        <v>0</v>
      </c>
      <c r="H2504" s="23">
        <v>0</v>
      </c>
      <c r="I2504" s="23">
        <v>1027.857</v>
      </c>
      <c r="J2504" s="23">
        <v>0</v>
      </c>
      <c r="K2504" s="23">
        <v>0</v>
      </c>
    </row>
    <row r="2505" spans="1:11" x14ac:dyDescent="0.25">
      <c r="A2505">
        <v>2504</v>
      </c>
      <c r="B2505" s="23">
        <v>1228.9280000000001</v>
      </c>
      <c r="C2505" s="23">
        <v>331.06</v>
      </c>
      <c r="D2505" s="23">
        <v>1288.816</v>
      </c>
      <c r="E2505" s="23">
        <v>1228.9280000000001</v>
      </c>
      <c r="F2505" s="23">
        <v>-59.887999999999998</v>
      </c>
      <c r="G2505" s="23">
        <v>0</v>
      </c>
      <c r="H2505" s="23">
        <v>0</v>
      </c>
      <c r="I2505" s="23">
        <v>0</v>
      </c>
      <c r="J2505" s="23">
        <v>0</v>
      </c>
      <c r="K2505" s="23">
        <v>0</v>
      </c>
    </row>
    <row r="2506" spans="1:11" x14ac:dyDescent="0.25">
      <c r="A2506">
        <v>2505</v>
      </c>
      <c r="B2506" s="23">
        <v>1763.4369999999999</v>
      </c>
      <c r="C2506" s="23">
        <v>565.97</v>
      </c>
      <c r="D2506" s="23">
        <v>2194.2550000000001</v>
      </c>
      <c r="E2506" s="23">
        <v>1763.4369999999999</v>
      </c>
      <c r="F2506" s="23">
        <v>-430.81799999999998</v>
      </c>
      <c r="G2506" s="23">
        <v>0</v>
      </c>
      <c r="H2506" s="23">
        <v>0</v>
      </c>
      <c r="I2506" s="23">
        <v>0</v>
      </c>
      <c r="J2506" s="23">
        <v>0</v>
      </c>
      <c r="K2506" s="23">
        <v>0</v>
      </c>
    </row>
    <row r="2507" spans="1:11" x14ac:dyDescent="0.25">
      <c r="A2507">
        <v>2506</v>
      </c>
      <c r="B2507" s="23">
        <v>1786.454</v>
      </c>
      <c r="C2507" s="23">
        <v>111.22</v>
      </c>
      <c r="D2507" s="23">
        <v>397.94400000000002</v>
      </c>
      <c r="E2507" s="23">
        <v>397.94400000000002</v>
      </c>
      <c r="F2507" s="23">
        <v>0</v>
      </c>
      <c r="G2507" s="23">
        <v>0</v>
      </c>
      <c r="H2507" s="23">
        <v>0</v>
      </c>
      <c r="I2507" s="23">
        <v>594.83799999999997</v>
      </c>
      <c r="J2507" s="23">
        <v>0</v>
      </c>
      <c r="K2507" s="23">
        <v>793.67100000000005</v>
      </c>
    </row>
    <row r="2508" spans="1:11" x14ac:dyDescent="0.25">
      <c r="A2508">
        <v>2507</v>
      </c>
      <c r="B2508" s="23">
        <v>1601.327</v>
      </c>
      <c r="C2508" s="23">
        <v>903.17</v>
      </c>
      <c r="D2508" s="23">
        <v>3297.4079999999999</v>
      </c>
      <c r="E2508" s="23">
        <v>1601.327</v>
      </c>
      <c r="F2508" s="23">
        <v>-1684.559</v>
      </c>
      <c r="G2508" s="23">
        <v>0</v>
      </c>
      <c r="H2508" s="23">
        <v>11.522</v>
      </c>
      <c r="I2508" s="23">
        <v>0</v>
      </c>
      <c r="J2508" s="23">
        <v>0</v>
      </c>
      <c r="K2508" s="23">
        <v>0</v>
      </c>
    </row>
    <row r="2509" spans="1:11" x14ac:dyDescent="0.25">
      <c r="A2509">
        <v>2508</v>
      </c>
      <c r="B2509" s="23">
        <v>1886.9090000000001</v>
      </c>
      <c r="C2509" s="23">
        <v>975.44</v>
      </c>
      <c r="D2509" s="23">
        <v>3502.2150000000001</v>
      </c>
      <c r="E2509" s="23">
        <v>1886.9090000000001</v>
      </c>
      <c r="F2509" s="23">
        <v>-1615.306</v>
      </c>
      <c r="G2509" s="23">
        <v>0</v>
      </c>
      <c r="H2509" s="23">
        <v>0</v>
      </c>
      <c r="I2509" s="23">
        <v>0</v>
      </c>
      <c r="J2509" s="23">
        <v>0</v>
      </c>
      <c r="K2509" s="23">
        <v>0</v>
      </c>
    </row>
    <row r="2510" spans="1:11" x14ac:dyDescent="0.25">
      <c r="A2510">
        <v>2509</v>
      </c>
      <c r="B2510" s="23">
        <v>1830.3710000000001</v>
      </c>
      <c r="C2510" s="23">
        <v>452.51</v>
      </c>
      <c r="D2510" s="23">
        <v>1661.4480000000001</v>
      </c>
      <c r="E2510" s="23">
        <v>1661.4480000000001</v>
      </c>
      <c r="F2510" s="23">
        <v>0</v>
      </c>
      <c r="G2510" s="23">
        <v>0</v>
      </c>
      <c r="H2510" s="23">
        <v>0</v>
      </c>
      <c r="I2510" s="23">
        <v>0</v>
      </c>
      <c r="J2510" s="23">
        <v>0</v>
      </c>
      <c r="K2510" s="23">
        <v>168.923</v>
      </c>
    </row>
    <row r="2511" spans="1:11" x14ac:dyDescent="0.25">
      <c r="A2511">
        <v>2510</v>
      </c>
      <c r="B2511" s="23">
        <v>1393.7339999999999</v>
      </c>
      <c r="C2511" s="23">
        <v>892.15</v>
      </c>
      <c r="D2511" s="23">
        <v>3252.4969999999998</v>
      </c>
      <c r="E2511" s="23">
        <v>1393.7349999999999</v>
      </c>
      <c r="F2511" s="23">
        <v>-1684.559</v>
      </c>
      <c r="G2511" s="23">
        <v>0</v>
      </c>
      <c r="H2511" s="23">
        <v>174.203</v>
      </c>
      <c r="I2511" s="23">
        <v>0</v>
      </c>
      <c r="J2511" s="23">
        <v>0</v>
      </c>
      <c r="K2511" s="23">
        <v>0</v>
      </c>
    </row>
    <row r="2512" spans="1:11" x14ac:dyDescent="0.25">
      <c r="A2512">
        <v>2511</v>
      </c>
      <c r="B2512" s="23">
        <v>1534.1990000000001</v>
      </c>
      <c r="C2512" s="23">
        <v>504.69</v>
      </c>
      <c r="D2512" s="23">
        <v>1887.155</v>
      </c>
      <c r="E2512" s="23">
        <v>1534.1990000000001</v>
      </c>
      <c r="F2512" s="23">
        <v>-352.95600000000002</v>
      </c>
      <c r="G2512" s="23">
        <v>0</v>
      </c>
      <c r="H2512" s="23">
        <v>0</v>
      </c>
      <c r="I2512" s="23">
        <v>0</v>
      </c>
      <c r="J2512" s="23">
        <v>0</v>
      </c>
      <c r="K2512" s="23">
        <v>0</v>
      </c>
    </row>
    <row r="2513" spans="1:11" x14ac:dyDescent="0.25">
      <c r="A2513">
        <v>2512</v>
      </c>
      <c r="B2513" s="23">
        <v>1641.3779999999999</v>
      </c>
      <c r="C2513" s="23">
        <v>404.03</v>
      </c>
      <c r="D2513" s="23">
        <v>1547.569</v>
      </c>
      <c r="E2513" s="23">
        <v>1547.569</v>
      </c>
      <c r="F2513" s="23">
        <v>0</v>
      </c>
      <c r="G2513" s="23">
        <v>0</v>
      </c>
      <c r="H2513" s="23">
        <v>0</v>
      </c>
      <c r="I2513" s="23">
        <v>93.808999999999997</v>
      </c>
      <c r="J2513" s="23">
        <v>0</v>
      </c>
      <c r="K2513" s="23">
        <v>0</v>
      </c>
    </row>
    <row r="2514" spans="1:11" x14ac:dyDescent="0.25">
      <c r="A2514">
        <v>2513</v>
      </c>
      <c r="B2514" s="23">
        <v>1522.665</v>
      </c>
      <c r="C2514" s="23">
        <v>231.4</v>
      </c>
      <c r="D2514" s="23">
        <v>886.44399999999996</v>
      </c>
      <c r="E2514" s="23">
        <v>886.44399999999996</v>
      </c>
      <c r="F2514" s="23">
        <v>0</v>
      </c>
      <c r="G2514" s="23">
        <v>0</v>
      </c>
      <c r="H2514" s="23">
        <v>0</v>
      </c>
      <c r="I2514" s="23">
        <v>636.221</v>
      </c>
      <c r="J2514" s="23">
        <v>0</v>
      </c>
      <c r="K2514" s="23">
        <v>0</v>
      </c>
    </row>
    <row r="2515" spans="1:11" x14ac:dyDescent="0.25">
      <c r="A2515">
        <v>2514</v>
      </c>
      <c r="B2515" s="23">
        <v>1554.326</v>
      </c>
      <c r="C2515" s="23">
        <v>64.930000000000007</v>
      </c>
      <c r="D2515" s="23">
        <v>195.34299999999999</v>
      </c>
      <c r="E2515" s="23">
        <v>195.34299999999999</v>
      </c>
      <c r="F2515" s="23">
        <v>0</v>
      </c>
      <c r="G2515" s="23">
        <v>0</v>
      </c>
      <c r="H2515" s="23">
        <v>0</v>
      </c>
      <c r="I2515" s="23">
        <v>0</v>
      </c>
      <c r="J2515" s="23">
        <v>0</v>
      </c>
      <c r="K2515" s="23">
        <v>1358.9829999999999</v>
      </c>
    </row>
    <row r="2516" spans="1:11" x14ac:dyDescent="0.25">
      <c r="A2516">
        <v>2515</v>
      </c>
      <c r="B2516" s="23">
        <v>1267.674</v>
      </c>
      <c r="C2516" s="23">
        <v>0</v>
      </c>
      <c r="D2516" s="23">
        <v>0</v>
      </c>
      <c r="E2516" s="23">
        <v>0</v>
      </c>
      <c r="F2516" s="23">
        <v>0</v>
      </c>
      <c r="G2516" s="23">
        <v>0</v>
      </c>
      <c r="H2516" s="23">
        <v>0</v>
      </c>
      <c r="I2516" s="23">
        <v>0</v>
      </c>
      <c r="J2516" s="23">
        <v>0</v>
      </c>
      <c r="K2516" s="23">
        <v>1267.674</v>
      </c>
    </row>
    <row r="2517" spans="1:11" x14ac:dyDescent="0.25">
      <c r="A2517">
        <v>2516</v>
      </c>
      <c r="B2517" s="23">
        <v>1214.4000000000001</v>
      </c>
      <c r="C2517" s="23">
        <v>0</v>
      </c>
      <c r="D2517" s="23">
        <v>0</v>
      </c>
      <c r="E2517" s="23">
        <v>0</v>
      </c>
      <c r="F2517" s="23">
        <v>0</v>
      </c>
      <c r="G2517" s="23">
        <v>0</v>
      </c>
      <c r="H2517" s="23">
        <v>0</v>
      </c>
      <c r="I2517" s="23">
        <v>0</v>
      </c>
      <c r="J2517" s="23">
        <v>0</v>
      </c>
      <c r="K2517" s="23">
        <v>1214.4000000000001</v>
      </c>
    </row>
    <row r="2518" spans="1:11" x14ac:dyDescent="0.25">
      <c r="A2518">
        <v>2517</v>
      </c>
      <c r="B2518" s="23">
        <v>1422.4</v>
      </c>
      <c r="C2518" s="23">
        <v>0</v>
      </c>
      <c r="D2518" s="23">
        <v>0</v>
      </c>
      <c r="E2518" s="23">
        <v>0</v>
      </c>
      <c r="F2518" s="23">
        <v>0</v>
      </c>
      <c r="G2518" s="23">
        <v>0</v>
      </c>
      <c r="H2518" s="23">
        <v>0</v>
      </c>
      <c r="I2518" s="23">
        <v>1422.4</v>
      </c>
      <c r="J2518" s="23">
        <v>0</v>
      </c>
      <c r="K2518" s="23">
        <v>0</v>
      </c>
    </row>
    <row r="2519" spans="1:11" x14ac:dyDescent="0.25">
      <c r="A2519">
        <v>2518</v>
      </c>
      <c r="B2519" s="23">
        <v>1226.4000000000001</v>
      </c>
      <c r="C2519" s="23">
        <v>0</v>
      </c>
      <c r="D2519" s="23">
        <v>0</v>
      </c>
      <c r="E2519" s="23">
        <v>0</v>
      </c>
      <c r="F2519" s="23">
        <v>0</v>
      </c>
      <c r="G2519" s="23">
        <v>0</v>
      </c>
      <c r="H2519" s="23">
        <v>0</v>
      </c>
      <c r="I2519" s="23">
        <v>1226.4000000000001</v>
      </c>
      <c r="J2519" s="23">
        <v>0</v>
      </c>
      <c r="K2519" s="23">
        <v>0</v>
      </c>
    </row>
    <row r="2520" spans="1:11" x14ac:dyDescent="0.25">
      <c r="A2520">
        <v>2519</v>
      </c>
      <c r="B2520" s="23">
        <v>1222.4000000000001</v>
      </c>
      <c r="C2520" s="23">
        <v>0</v>
      </c>
      <c r="D2520" s="23">
        <v>0</v>
      </c>
      <c r="E2520" s="23">
        <v>0</v>
      </c>
      <c r="F2520" s="23">
        <v>0</v>
      </c>
      <c r="G2520" s="23">
        <v>0</v>
      </c>
      <c r="H2520" s="23">
        <v>0</v>
      </c>
      <c r="I2520" s="23">
        <v>1222.4000000000001</v>
      </c>
      <c r="J2520" s="23">
        <v>0</v>
      </c>
      <c r="K2520" s="23">
        <v>0</v>
      </c>
    </row>
    <row r="2521" spans="1:11" x14ac:dyDescent="0.25">
      <c r="A2521">
        <v>2520</v>
      </c>
      <c r="B2521" s="23">
        <v>1440.8</v>
      </c>
      <c r="C2521" s="23">
        <v>0</v>
      </c>
      <c r="D2521" s="23">
        <v>0</v>
      </c>
      <c r="E2521" s="23">
        <v>0</v>
      </c>
      <c r="F2521" s="23">
        <v>0</v>
      </c>
      <c r="G2521" s="23">
        <v>0</v>
      </c>
      <c r="H2521" s="23">
        <v>0</v>
      </c>
      <c r="I2521" s="23">
        <v>1440.8</v>
      </c>
      <c r="J2521" s="23">
        <v>0</v>
      </c>
      <c r="K2521" s="23">
        <v>0</v>
      </c>
    </row>
    <row r="2522" spans="1:11" x14ac:dyDescent="0.25">
      <c r="A2522">
        <v>2521</v>
      </c>
      <c r="B2522" s="23">
        <v>1159.2</v>
      </c>
      <c r="C2522" s="23">
        <v>0</v>
      </c>
      <c r="D2522" s="23">
        <v>0</v>
      </c>
      <c r="E2522" s="23">
        <v>0</v>
      </c>
      <c r="F2522" s="23">
        <v>0</v>
      </c>
      <c r="G2522" s="23">
        <v>0</v>
      </c>
      <c r="H2522" s="23">
        <v>0</v>
      </c>
      <c r="I2522" s="23">
        <v>1159.2</v>
      </c>
      <c r="J2522" s="23">
        <v>0</v>
      </c>
      <c r="K2522" s="23">
        <v>0</v>
      </c>
    </row>
    <row r="2523" spans="1:11" x14ac:dyDescent="0.25">
      <c r="A2523">
        <v>2522</v>
      </c>
      <c r="B2523" s="23">
        <v>1145.5999999999999</v>
      </c>
      <c r="C2523" s="23">
        <v>0</v>
      </c>
      <c r="D2523" s="23">
        <v>0</v>
      </c>
      <c r="E2523" s="23">
        <v>0</v>
      </c>
      <c r="F2523" s="23">
        <v>0</v>
      </c>
      <c r="G2523" s="23">
        <v>0</v>
      </c>
      <c r="H2523" s="23">
        <v>0</v>
      </c>
      <c r="I2523" s="23">
        <v>1145.5999999999999</v>
      </c>
      <c r="J2523" s="23">
        <v>0</v>
      </c>
      <c r="K2523" s="23">
        <v>0</v>
      </c>
    </row>
    <row r="2524" spans="1:11" x14ac:dyDescent="0.25">
      <c r="A2524">
        <v>2523</v>
      </c>
      <c r="B2524" s="23">
        <v>1368.8</v>
      </c>
      <c r="C2524" s="23">
        <v>0</v>
      </c>
      <c r="D2524" s="23">
        <v>0</v>
      </c>
      <c r="E2524" s="23">
        <v>0</v>
      </c>
      <c r="F2524" s="23">
        <v>0</v>
      </c>
      <c r="G2524" s="23">
        <v>0</v>
      </c>
      <c r="H2524" s="23">
        <v>0</v>
      </c>
      <c r="I2524" s="23">
        <v>1368.8</v>
      </c>
      <c r="J2524" s="23">
        <v>0</v>
      </c>
      <c r="K2524" s="23">
        <v>0</v>
      </c>
    </row>
    <row r="2525" spans="1:11" x14ac:dyDescent="0.25">
      <c r="A2525">
        <v>2524</v>
      </c>
      <c r="B2525" s="23">
        <v>864.8</v>
      </c>
      <c r="C2525" s="23">
        <v>0</v>
      </c>
      <c r="D2525" s="23">
        <v>0</v>
      </c>
      <c r="E2525" s="23">
        <v>0</v>
      </c>
      <c r="F2525" s="23">
        <v>0</v>
      </c>
      <c r="G2525" s="23">
        <v>0</v>
      </c>
      <c r="H2525" s="23">
        <v>0</v>
      </c>
      <c r="I2525" s="23">
        <v>864.8</v>
      </c>
      <c r="J2525" s="23">
        <v>0</v>
      </c>
      <c r="K2525" s="23">
        <v>0</v>
      </c>
    </row>
    <row r="2526" spans="1:11" x14ac:dyDescent="0.25">
      <c r="A2526">
        <v>2525</v>
      </c>
      <c r="B2526" s="23">
        <v>943.2</v>
      </c>
      <c r="C2526" s="23">
        <v>0</v>
      </c>
      <c r="D2526" s="23">
        <v>0</v>
      </c>
      <c r="E2526" s="23">
        <v>0</v>
      </c>
      <c r="F2526" s="23">
        <v>0</v>
      </c>
      <c r="G2526" s="23">
        <v>0</v>
      </c>
      <c r="H2526" s="23">
        <v>0</v>
      </c>
      <c r="I2526" s="23">
        <v>161.66</v>
      </c>
      <c r="J2526" s="23">
        <v>0</v>
      </c>
      <c r="K2526" s="23">
        <v>781.54</v>
      </c>
    </row>
    <row r="2527" spans="1:11" x14ac:dyDescent="0.25">
      <c r="A2527">
        <v>2526</v>
      </c>
      <c r="B2527" s="23">
        <v>1092</v>
      </c>
      <c r="C2527" s="23">
        <v>0</v>
      </c>
      <c r="D2527" s="23">
        <v>0</v>
      </c>
      <c r="E2527" s="23">
        <v>0</v>
      </c>
      <c r="F2527" s="23">
        <v>0</v>
      </c>
      <c r="G2527" s="23">
        <v>0</v>
      </c>
      <c r="H2527" s="23">
        <v>0</v>
      </c>
      <c r="I2527" s="23">
        <v>0</v>
      </c>
      <c r="J2527" s="23">
        <v>0</v>
      </c>
      <c r="K2527" s="23">
        <v>1092</v>
      </c>
    </row>
    <row r="2528" spans="1:11" x14ac:dyDescent="0.25">
      <c r="A2528">
        <v>2527</v>
      </c>
      <c r="B2528" s="23">
        <v>1156.5170000000001</v>
      </c>
      <c r="C2528" s="23">
        <v>91.39</v>
      </c>
      <c r="D2528" s="23">
        <v>319.26499999999999</v>
      </c>
      <c r="E2528" s="23">
        <v>319.26499999999999</v>
      </c>
      <c r="F2528" s="23">
        <v>0</v>
      </c>
      <c r="G2528" s="23">
        <v>0</v>
      </c>
      <c r="H2528" s="23">
        <v>0</v>
      </c>
      <c r="I2528" s="23">
        <v>0</v>
      </c>
      <c r="J2528" s="23">
        <v>0</v>
      </c>
      <c r="K2528" s="23">
        <v>837.25199999999995</v>
      </c>
    </row>
    <row r="2529" spans="1:11" x14ac:dyDescent="0.25">
      <c r="A2529">
        <v>2528</v>
      </c>
      <c r="B2529" s="23">
        <v>715.84699999999998</v>
      </c>
      <c r="C2529" s="23">
        <v>332.81</v>
      </c>
      <c r="D2529" s="23">
        <v>1290.5830000000001</v>
      </c>
      <c r="E2529" s="23">
        <v>715.84699999999998</v>
      </c>
      <c r="F2529" s="23">
        <v>-574.73599999999999</v>
      </c>
      <c r="G2529" s="23">
        <v>0</v>
      </c>
      <c r="H2529" s="23">
        <v>0</v>
      </c>
      <c r="I2529" s="23">
        <v>0</v>
      </c>
      <c r="J2529" s="23">
        <v>0</v>
      </c>
      <c r="K2529" s="23">
        <v>0</v>
      </c>
    </row>
    <row r="2530" spans="1:11" x14ac:dyDescent="0.25">
      <c r="A2530">
        <v>2529</v>
      </c>
      <c r="B2530" s="23">
        <v>1374.694</v>
      </c>
      <c r="C2530" s="23">
        <v>473.93</v>
      </c>
      <c r="D2530" s="23">
        <v>1804.72</v>
      </c>
      <c r="E2530" s="23">
        <v>1374.694</v>
      </c>
      <c r="F2530" s="23">
        <v>-430.02600000000001</v>
      </c>
      <c r="G2530" s="23">
        <v>0</v>
      </c>
      <c r="H2530" s="23">
        <v>0</v>
      </c>
      <c r="I2530" s="23">
        <v>0</v>
      </c>
      <c r="J2530" s="23">
        <v>0</v>
      </c>
      <c r="K2530" s="23">
        <v>0</v>
      </c>
    </row>
    <row r="2531" spans="1:11" x14ac:dyDescent="0.25">
      <c r="A2531">
        <v>2530</v>
      </c>
      <c r="B2531" s="23">
        <v>1474.5840000000001</v>
      </c>
      <c r="C2531" s="23">
        <v>654.37</v>
      </c>
      <c r="D2531" s="23">
        <v>2406.8310000000001</v>
      </c>
      <c r="E2531" s="23">
        <v>1474.5840000000001</v>
      </c>
      <c r="F2531" s="23">
        <v>-932.24699999999996</v>
      </c>
      <c r="G2531" s="23">
        <v>0</v>
      </c>
      <c r="H2531" s="23">
        <v>0</v>
      </c>
      <c r="I2531" s="23">
        <v>0</v>
      </c>
      <c r="J2531" s="23">
        <v>0</v>
      </c>
      <c r="K2531" s="23">
        <v>0</v>
      </c>
    </row>
    <row r="2532" spans="1:11" x14ac:dyDescent="0.25">
      <c r="A2532">
        <v>2531</v>
      </c>
      <c r="B2532" s="23">
        <v>1171.0840000000001</v>
      </c>
      <c r="C2532" s="23">
        <v>907.03</v>
      </c>
      <c r="D2532" s="23">
        <v>3252.4760000000001</v>
      </c>
      <c r="E2532" s="23">
        <v>1171.0840000000001</v>
      </c>
      <c r="F2532" s="23">
        <v>-1684.559</v>
      </c>
      <c r="G2532" s="23">
        <v>0</v>
      </c>
      <c r="H2532" s="23">
        <v>396.83300000000003</v>
      </c>
      <c r="I2532" s="23">
        <v>0</v>
      </c>
      <c r="J2532" s="23">
        <v>0</v>
      </c>
      <c r="K2532" s="23">
        <v>0</v>
      </c>
    </row>
    <row r="2533" spans="1:11" x14ac:dyDescent="0.25">
      <c r="A2533">
        <v>2532</v>
      </c>
      <c r="B2533" s="23">
        <v>1452.682</v>
      </c>
      <c r="C2533" s="23">
        <v>972.61</v>
      </c>
      <c r="D2533" s="23">
        <v>3442.4830000000002</v>
      </c>
      <c r="E2533" s="23">
        <v>1452.682</v>
      </c>
      <c r="F2533" s="23">
        <v>-1684.559</v>
      </c>
      <c r="G2533" s="23">
        <v>0</v>
      </c>
      <c r="H2533" s="23">
        <v>305.24200000000002</v>
      </c>
      <c r="I2533" s="23">
        <v>0</v>
      </c>
      <c r="J2533" s="23">
        <v>0</v>
      </c>
      <c r="K2533" s="23">
        <v>0</v>
      </c>
    </row>
    <row r="2534" spans="1:11" x14ac:dyDescent="0.25">
      <c r="A2534">
        <v>2533</v>
      </c>
      <c r="B2534" s="23">
        <v>1536.423</v>
      </c>
      <c r="C2534" s="23">
        <v>804.98</v>
      </c>
      <c r="D2534" s="23">
        <v>2870.8710000000001</v>
      </c>
      <c r="E2534" s="23">
        <v>1536.423</v>
      </c>
      <c r="F2534" s="23">
        <v>-1334.4480000000001</v>
      </c>
      <c r="G2534" s="23">
        <v>0</v>
      </c>
      <c r="H2534" s="23">
        <v>0</v>
      </c>
      <c r="I2534" s="23">
        <v>0</v>
      </c>
      <c r="J2534" s="23">
        <v>0</v>
      </c>
      <c r="K2534" s="23">
        <v>0</v>
      </c>
    </row>
    <row r="2535" spans="1:11" x14ac:dyDescent="0.25">
      <c r="A2535">
        <v>2534</v>
      </c>
      <c r="B2535" s="23">
        <v>1489.3620000000001</v>
      </c>
      <c r="C2535" s="23">
        <v>723.63</v>
      </c>
      <c r="D2535" s="23">
        <v>2637.1460000000002</v>
      </c>
      <c r="E2535" s="23">
        <v>1489.3620000000001</v>
      </c>
      <c r="F2535" s="23">
        <v>-650.923</v>
      </c>
      <c r="G2535" s="23">
        <v>0</v>
      </c>
      <c r="H2535" s="23">
        <v>496.86099999999999</v>
      </c>
      <c r="I2535" s="23">
        <v>0</v>
      </c>
      <c r="J2535" s="23">
        <v>0</v>
      </c>
      <c r="K2535" s="23">
        <v>0</v>
      </c>
    </row>
    <row r="2536" spans="1:11" x14ac:dyDescent="0.25">
      <c r="A2536">
        <v>2535</v>
      </c>
      <c r="B2536" s="23">
        <v>1094.152</v>
      </c>
      <c r="C2536" s="23">
        <v>590.88</v>
      </c>
      <c r="D2536" s="23">
        <v>2216.0540000000001</v>
      </c>
      <c r="E2536" s="23">
        <v>1094.152</v>
      </c>
      <c r="F2536" s="23">
        <v>0</v>
      </c>
      <c r="G2536" s="23">
        <v>0</v>
      </c>
      <c r="H2536" s="23">
        <v>1121.902</v>
      </c>
      <c r="I2536" s="23">
        <v>0</v>
      </c>
      <c r="J2536" s="23">
        <v>0</v>
      </c>
      <c r="K2536" s="23">
        <v>0</v>
      </c>
    </row>
    <row r="2537" spans="1:11" x14ac:dyDescent="0.25">
      <c r="A2537">
        <v>2536</v>
      </c>
      <c r="B2537" s="23">
        <v>1400.201</v>
      </c>
      <c r="C2537" s="23">
        <v>416.34</v>
      </c>
      <c r="D2537" s="23">
        <v>1604.191</v>
      </c>
      <c r="E2537" s="23">
        <v>1400.201</v>
      </c>
      <c r="F2537" s="23">
        <v>0</v>
      </c>
      <c r="G2537" s="23">
        <v>0</v>
      </c>
      <c r="H2537" s="23">
        <v>203.99</v>
      </c>
      <c r="I2537" s="23">
        <v>0</v>
      </c>
      <c r="J2537" s="23">
        <v>0</v>
      </c>
      <c r="K2537" s="23">
        <v>0</v>
      </c>
    </row>
    <row r="2538" spans="1:11" x14ac:dyDescent="0.25">
      <c r="A2538">
        <v>2537</v>
      </c>
      <c r="B2538" s="23">
        <v>1681.075</v>
      </c>
      <c r="C2538" s="23">
        <v>221.86</v>
      </c>
      <c r="D2538" s="23">
        <v>852.82600000000002</v>
      </c>
      <c r="E2538" s="23">
        <v>852.82600000000002</v>
      </c>
      <c r="F2538" s="23">
        <v>0</v>
      </c>
      <c r="G2538" s="23">
        <v>0</v>
      </c>
      <c r="H2538" s="23">
        <v>0</v>
      </c>
      <c r="I2538" s="23">
        <v>828.24900000000002</v>
      </c>
      <c r="J2538" s="23">
        <v>0</v>
      </c>
      <c r="K2538" s="23">
        <v>0</v>
      </c>
    </row>
    <row r="2539" spans="1:11" x14ac:dyDescent="0.25">
      <c r="A2539">
        <v>2538</v>
      </c>
      <c r="B2539" s="23">
        <v>1647.588</v>
      </c>
      <c r="C2539" s="23">
        <v>53.62</v>
      </c>
      <c r="D2539" s="23">
        <v>168.15100000000001</v>
      </c>
      <c r="E2539" s="23">
        <v>168.15100000000001</v>
      </c>
      <c r="F2539" s="23">
        <v>0</v>
      </c>
      <c r="G2539" s="23">
        <v>0</v>
      </c>
      <c r="H2539" s="23">
        <v>0</v>
      </c>
      <c r="I2539" s="23">
        <v>0</v>
      </c>
      <c r="J2539" s="23">
        <v>0</v>
      </c>
      <c r="K2539" s="23">
        <v>1479.4369999999999</v>
      </c>
    </row>
    <row r="2540" spans="1:11" x14ac:dyDescent="0.25">
      <c r="A2540">
        <v>2539</v>
      </c>
      <c r="B2540" s="23">
        <v>1122.777</v>
      </c>
      <c r="C2540" s="23">
        <v>0</v>
      </c>
      <c r="D2540" s="23">
        <v>0</v>
      </c>
      <c r="E2540" s="23">
        <v>0</v>
      </c>
      <c r="F2540" s="23">
        <v>0</v>
      </c>
      <c r="G2540" s="23">
        <v>0</v>
      </c>
      <c r="H2540" s="23">
        <v>0</v>
      </c>
      <c r="I2540" s="23">
        <v>0</v>
      </c>
      <c r="J2540" s="23">
        <v>0</v>
      </c>
      <c r="K2540" s="23">
        <v>1122.777</v>
      </c>
    </row>
    <row r="2541" spans="1:11" x14ac:dyDescent="0.25">
      <c r="A2541">
        <v>2540</v>
      </c>
      <c r="B2541" s="23">
        <v>1656</v>
      </c>
      <c r="C2541" s="23">
        <v>0</v>
      </c>
      <c r="D2541" s="23">
        <v>0</v>
      </c>
      <c r="E2541" s="23">
        <v>0</v>
      </c>
      <c r="F2541" s="23">
        <v>0</v>
      </c>
      <c r="G2541" s="23">
        <v>0</v>
      </c>
      <c r="H2541" s="23">
        <v>0</v>
      </c>
      <c r="I2541" s="23">
        <v>0</v>
      </c>
      <c r="J2541" s="23">
        <v>0</v>
      </c>
      <c r="K2541" s="23">
        <v>1656</v>
      </c>
    </row>
    <row r="2542" spans="1:11" x14ac:dyDescent="0.25">
      <c r="A2542">
        <v>2541</v>
      </c>
      <c r="B2542" s="23">
        <v>1400.8</v>
      </c>
      <c r="C2542" s="23">
        <v>0</v>
      </c>
      <c r="D2542" s="23">
        <v>0</v>
      </c>
      <c r="E2542" s="23">
        <v>0</v>
      </c>
      <c r="F2542" s="23">
        <v>0</v>
      </c>
      <c r="G2542" s="23">
        <v>0</v>
      </c>
      <c r="H2542" s="23">
        <v>0</v>
      </c>
      <c r="I2542" s="23">
        <v>1400.8</v>
      </c>
      <c r="J2542" s="23">
        <v>0</v>
      </c>
      <c r="K2542" s="23">
        <v>0</v>
      </c>
    </row>
    <row r="2543" spans="1:11" x14ac:dyDescent="0.25">
      <c r="A2543">
        <v>2542</v>
      </c>
      <c r="B2543" s="23">
        <v>1624.8</v>
      </c>
      <c r="C2543" s="23">
        <v>0</v>
      </c>
      <c r="D2543" s="23">
        <v>0</v>
      </c>
      <c r="E2543" s="23">
        <v>0</v>
      </c>
      <c r="F2543" s="23">
        <v>0</v>
      </c>
      <c r="G2543" s="23">
        <v>0</v>
      </c>
      <c r="H2543" s="23">
        <v>0</v>
      </c>
      <c r="I2543" s="23">
        <v>1624.8</v>
      </c>
      <c r="J2543" s="23">
        <v>0</v>
      </c>
      <c r="K2543" s="23">
        <v>0</v>
      </c>
    </row>
    <row r="2544" spans="1:11" x14ac:dyDescent="0.25">
      <c r="A2544">
        <v>2543</v>
      </c>
      <c r="B2544" s="23">
        <v>1046.4000000000001</v>
      </c>
      <c r="C2544" s="23">
        <v>0</v>
      </c>
      <c r="D2544" s="23">
        <v>0</v>
      </c>
      <c r="E2544" s="23">
        <v>0</v>
      </c>
      <c r="F2544" s="23">
        <v>0</v>
      </c>
      <c r="G2544" s="23">
        <v>0</v>
      </c>
      <c r="H2544" s="23">
        <v>0</v>
      </c>
      <c r="I2544" s="23">
        <v>1046.4000000000001</v>
      </c>
      <c r="J2544" s="23">
        <v>0</v>
      </c>
      <c r="K2544" s="23">
        <v>0</v>
      </c>
    </row>
    <row r="2545" spans="1:11" x14ac:dyDescent="0.25">
      <c r="A2545">
        <v>2544</v>
      </c>
      <c r="B2545" s="23">
        <v>1645.6</v>
      </c>
      <c r="C2545" s="23">
        <v>0</v>
      </c>
      <c r="D2545" s="23">
        <v>0</v>
      </c>
      <c r="E2545" s="23">
        <v>0</v>
      </c>
      <c r="F2545" s="23">
        <v>0</v>
      </c>
      <c r="G2545" s="23">
        <v>0</v>
      </c>
      <c r="H2545" s="23">
        <v>0</v>
      </c>
      <c r="I2545" s="23">
        <v>1645.6</v>
      </c>
      <c r="J2545" s="23">
        <v>0</v>
      </c>
      <c r="K2545" s="23">
        <v>0</v>
      </c>
    </row>
    <row r="2546" spans="1:11" x14ac:dyDescent="0.25">
      <c r="A2546">
        <v>2545</v>
      </c>
      <c r="B2546" s="23">
        <v>1430.4</v>
      </c>
      <c r="C2546" s="23">
        <v>0</v>
      </c>
      <c r="D2546" s="23">
        <v>0</v>
      </c>
      <c r="E2546" s="23">
        <v>0</v>
      </c>
      <c r="F2546" s="23">
        <v>0</v>
      </c>
      <c r="G2546" s="23">
        <v>0</v>
      </c>
      <c r="H2546" s="23">
        <v>0</v>
      </c>
      <c r="I2546" s="23">
        <v>1430.4</v>
      </c>
      <c r="J2546" s="23">
        <v>0</v>
      </c>
      <c r="K2546" s="23">
        <v>0</v>
      </c>
    </row>
    <row r="2547" spans="1:11" x14ac:dyDescent="0.25">
      <c r="A2547">
        <v>2546</v>
      </c>
      <c r="B2547" s="23">
        <v>1149.5999999999999</v>
      </c>
      <c r="C2547" s="23">
        <v>0</v>
      </c>
      <c r="D2547" s="23">
        <v>0</v>
      </c>
      <c r="E2547" s="23">
        <v>0</v>
      </c>
      <c r="F2547" s="23">
        <v>0</v>
      </c>
      <c r="G2547" s="23">
        <v>0</v>
      </c>
      <c r="H2547" s="23">
        <v>0</v>
      </c>
      <c r="I2547" s="23">
        <v>1149.5999999999999</v>
      </c>
      <c r="J2547" s="23">
        <v>0</v>
      </c>
      <c r="K2547" s="23">
        <v>0</v>
      </c>
    </row>
    <row r="2548" spans="1:11" x14ac:dyDescent="0.25">
      <c r="A2548">
        <v>2547</v>
      </c>
      <c r="B2548" s="23">
        <v>1410.4</v>
      </c>
      <c r="C2548" s="23">
        <v>0</v>
      </c>
      <c r="D2548" s="23">
        <v>0</v>
      </c>
      <c r="E2548" s="23">
        <v>0</v>
      </c>
      <c r="F2548" s="23">
        <v>0</v>
      </c>
      <c r="G2548" s="23">
        <v>0</v>
      </c>
      <c r="H2548" s="23">
        <v>0</v>
      </c>
      <c r="I2548" s="23">
        <v>1410.4</v>
      </c>
      <c r="J2548" s="23">
        <v>0</v>
      </c>
      <c r="K2548" s="23">
        <v>0</v>
      </c>
    </row>
    <row r="2549" spans="1:11" x14ac:dyDescent="0.25">
      <c r="A2549">
        <v>2548</v>
      </c>
      <c r="B2549" s="23">
        <v>1274.4000000000001</v>
      </c>
      <c r="C2549" s="23">
        <v>0</v>
      </c>
      <c r="D2549" s="23">
        <v>0</v>
      </c>
      <c r="E2549" s="23">
        <v>0</v>
      </c>
      <c r="F2549" s="23">
        <v>0</v>
      </c>
      <c r="G2549" s="23">
        <v>0</v>
      </c>
      <c r="H2549" s="23">
        <v>0</v>
      </c>
      <c r="I2549" s="23">
        <v>1274.4000000000001</v>
      </c>
      <c r="J2549" s="23">
        <v>0</v>
      </c>
      <c r="K2549" s="23">
        <v>0</v>
      </c>
    </row>
    <row r="2550" spans="1:11" x14ac:dyDescent="0.25">
      <c r="A2550">
        <v>2549</v>
      </c>
      <c r="B2550" s="23">
        <v>1276.8</v>
      </c>
      <c r="C2550" s="23">
        <v>0</v>
      </c>
      <c r="D2550" s="23">
        <v>0</v>
      </c>
      <c r="E2550" s="23">
        <v>0</v>
      </c>
      <c r="F2550" s="23">
        <v>0</v>
      </c>
      <c r="G2550" s="23">
        <v>0</v>
      </c>
      <c r="H2550" s="23">
        <v>0</v>
      </c>
      <c r="I2550" s="23">
        <v>1276.8</v>
      </c>
      <c r="J2550" s="23">
        <v>0</v>
      </c>
      <c r="K2550" s="23">
        <v>0</v>
      </c>
    </row>
    <row r="2551" spans="1:11" x14ac:dyDescent="0.25">
      <c r="A2551">
        <v>2550</v>
      </c>
      <c r="B2551" s="23">
        <v>1566.4</v>
      </c>
      <c r="C2551" s="23">
        <v>0</v>
      </c>
      <c r="D2551" s="23">
        <v>0</v>
      </c>
      <c r="E2551" s="23">
        <v>0</v>
      </c>
      <c r="F2551" s="23">
        <v>0</v>
      </c>
      <c r="G2551" s="23">
        <v>0</v>
      </c>
      <c r="H2551" s="23">
        <v>0</v>
      </c>
      <c r="I2551" s="23">
        <v>1566.4</v>
      </c>
      <c r="J2551" s="23">
        <v>0</v>
      </c>
      <c r="K2551" s="23">
        <v>0</v>
      </c>
    </row>
    <row r="2552" spans="1:11" x14ac:dyDescent="0.25">
      <c r="A2552">
        <v>2551</v>
      </c>
      <c r="B2552" s="23">
        <v>1491.9659999999999</v>
      </c>
      <c r="C2552" s="23">
        <v>36.26</v>
      </c>
      <c r="D2552" s="23">
        <v>115.79600000000001</v>
      </c>
      <c r="E2552" s="23">
        <v>115.79600000000001</v>
      </c>
      <c r="F2552" s="23">
        <v>0</v>
      </c>
      <c r="G2552" s="23">
        <v>0</v>
      </c>
      <c r="H2552" s="23">
        <v>0</v>
      </c>
      <c r="I2552" s="23">
        <v>108.301</v>
      </c>
      <c r="J2552" s="23">
        <v>0</v>
      </c>
      <c r="K2552" s="23">
        <v>1267.8689999999999</v>
      </c>
    </row>
    <row r="2553" spans="1:11" x14ac:dyDescent="0.25">
      <c r="A2553">
        <v>2552</v>
      </c>
      <c r="B2553" s="23">
        <v>1493.0139999999999</v>
      </c>
      <c r="C2553" s="23">
        <v>124.33</v>
      </c>
      <c r="D2553" s="23">
        <v>467.24799999999999</v>
      </c>
      <c r="E2553" s="23">
        <v>467.24799999999999</v>
      </c>
      <c r="F2553" s="23">
        <v>0</v>
      </c>
      <c r="G2553" s="23">
        <v>0</v>
      </c>
      <c r="H2553" s="23">
        <v>0</v>
      </c>
      <c r="I2553" s="23">
        <v>0</v>
      </c>
      <c r="J2553" s="23">
        <v>0</v>
      </c>
      <c r="K2553" s="23">
        <v>1025.7660000000001</v>
      </c>
    </row>
    <row r="2554" spans="1:11" x14ac:dyDescent="0.25">
      <c r="A2554">
        <v>2553</v>
      </c>
      <c r="B2554" s="23">
        <v>1539.8240000000001</v>
      </c>
      <c r="C2554" s="23">
        <v>426.25</v>
      </c>
      <c r="D2554" s="23">
        <v>1635.934</v>
      </c>
      <c r="E2554" s="23">
        <v>1539.8240000000001</v>
      </c>
      <c r="F2554" s="23">
        <v>-96.11</v>
      </c>
      <c r="G2554" s="23">
        <v>0</v>
      </c>
      <c r="H2554" s="23">
        <v>0</v>
      </c>
      <c r="I2554" s="23">
        <v>0</v>
      </c>
      <c r="J2554" s="23">
        <v>0</v>
      </c>
      <c r="K2554" s="23">
        <v>0</v>
      </c>
    </row>
    <row r="2555" spans="1:11" x14ac:dyDescent="0.25">
      <c r="A2555">
        <v>2554</v>
      </c>
      <c r="B2555" s="23">
        <v>1782.499</v>
      </c>
      <c r="C2555" s="23">
        <v>755.01</v>
      </c>
      <c r="D2555" s="23">
        <v>2822.1790000000001</v>
      </c>
      <c r="E2555" s="23">
        <v>1782.499</v>
      </c>
      <c r="F2555" s="23">
        <v>-1039.68</v>
      </c>
      <c r="G2555" s="23">
        <v>0</v>
      </c>
      <c r="H2555" s="23">
        <v>0</v>
      </c>
      <c r="I2555" s="23">
        <v>0</v>
      </c>
      <c r="J2555" s="23">
        <v>0</v>
      </c>
      <c r="K2555" s="23">
        <v>0</v>
      </c>
    </row>
    <row r="2556" spans="1:11" x14ac:dyDescent="0.25">
      <c r="A2556">
        <v>2555</v>
      </c>
      <c r="B2556" s="23">
        <v>1835.337</v>
      </c>
      <c r="C2556" s="23">
        <v>904.09</v>
      </c>
      <c r="D2556" s="23">
        <v>3285.413</v>
      </c>
      <c r="E2556" s="23">
        <v>1835.337</v>
      </c>
      <c r="F2556" s="23">
        <v>-1450.076</v>
      </c>
      <c r="G2556" s="23">
        <v>0</v>
      </c>
      <c r="H2556" s="23">
        <v>0</v>
      </c>
      <c r="I2556" s="23">
        <v>0</v>
      </c>
      <c r="J2556" s="23">
        <v>0</v>
      </c>
      <c r="K2556" s="23">
        <v>0</v>
      </c>
    </row>
    <row r="2557" spans="1:11" x14ac:dyDescent="0.25">
      <c r="A2557">
        <v>2556</v>
      </c>
      <c r="B2557" s="23">
        <v>1632.6969999999999</v>
      </c>
      <c r="C2557" s="23">
        <v>974.69</v>
      </c>
      <c r="D2557" s="23">
        <v>3488.422</v>
      </c>
      <c r="E2557" s="23">
        <v>1632.6969999999999</v>
      </c>
      <c r="F2557" s="23">
        <v>-1684.559</v>
      </c>
      <c r="G2557" s="23">
        <v>0</v>
      </c>
      <c r="H2557" s="23">
        <v>171.166</v>
      </c>
      <c r="I2557" s="23">
        <v>0</v>
      </c>
      <c r="J2557" s="23">
        <v>0</v>
      </c>
      <c r="K2557" s="23">
        <v>0</v>
      </c>
    </row>
    <row r="2558" spans="1:11" x14ac:dyDescent="0.25">
      <c r="A2558">
        <v>2557</v>
      </c>
      <c r="B2558" s="23">
        <v>1766.248</v>
      </c>
      <c r="C2558" s="23">
        <v>966.17</v>
      </c>
      <c r="D2558" s="23">
        <v>3454.07</v>
      </c>
      <c r="E2558" s="23">
        <v>1766.248</v>
      </c>
      <c r="F2558" s="23">
        <v>-1684.559</v>
      </c>
      <c r="G2558" s="23">
        <v>0</v>
      </c>
      <c r="H2558" s="23">
        <v>3.2629999999999999</v>
      </c>
      <c r="I2558" s="23">
        <v>0</v>
      </c>
      <c r="J2558" s="23">
        <v>0</v>
      </c>
      <c r="K2558" s="23">
        <v>0</v>
      </c>
    </row>
    <row r="2559" spans="1:11" x14ac:dyDescent="0.25">
      <c r="A2559">
        <v>2558</v>
      </c>
      <c r="B2559" s="23">
        <v>1904.8710000000001</v>
      </c>
      <c r="C2559" s="23">
        <v>878.42</v>
      </c>
      <c r="D2559" s="23">
        <v>3190.7249999999999</v>
      </c>
      <c r="E2559" s="23">
        <v>1904.8710000000001</v>
      </c>
      <c r="F2559" s="23">
        <v>-1285.854</v>
      </c>
      <c r="G2559" s="23">
        <v>0</v>
      </c>
      <c r="H2559" s="23">
        <v>0</v>
      </c>
      <c r="I2559" s="23">
        <v>0</v>
      </c>
      <c r="J2559" s="23">
        <v>0</v>
      </c>
      <c r="K2559" s="23">
        <v>0</v>
      </c>
    </row>
    <row r="2560" spans="1:11" x14ac:dyDescent="0.25">
      <c r="A2560">
        <v>2559</v>
      </c>
      <c r="B2560" s="23">
        <v>1996.5229999999999</v>
      </c>
      <c r="C2560" s="23">
        <v>725.12</v>
      </c>
      <c r="D2560" s="23">
        <v>2705.04</v>
      </c>
      <c r="E2560" s="23">
        <v>1996.5229999999999</v>
      </c>
      <c r="F2560" s="23">
        <v>-50.66</v>
      </c>
      <c r="G2560" s="23">
        <v>0</v>
      </c>
      <c r="H2560" s="23">
        <v>657.85699999999997</v>
      </c>
      <c r="I2560" s="23">
        <v>0</v>
      </c>
      <c r="J2560" s="23">
        <v>0</v>
      </c>
      <c r="K2560" s="23">
        <v>0</v>
      </c>
    </row>
    <row r="2561" spans="1:11" x14ac:dyDescent="0.25">
      <c r="A2561">
        <v>2560</v>
      </c>
      <c r="B2561" s="23">
        <v>1909.8720000000001</v>
      </c>
      <c r="C2561" s="23">
        <v>447.53</v>
      </c>
      <c r="D2561" s="23">
        <v>1705.7439999999999</v>
      </c>
      <c r="E2561" s="23">
        <v>1705.7439999999999</v>
      </c>
      <c r="F2561" s="23">
        <v>0</v>
      </c>
      <c r="G2561" s="23">
        <v>0</v>
      </c>
      <c r="H2561" s="23">
        <v>0</v>
      </c>
      <c r="I2561" s="23">
        <v>204.12799999999999</v>
      </c>
      <c r="J2561" s="23">
        <v>0</v>
      </c>
      <c r="K2561" s="23">
        <v>0</v>
      </c>
    </row>
    <row r="2562" spans="1:11" x14ac:dyDescent="0.25">
      <c r="A2562">
        <v>2561</v>
      </c>
      <c r="B2562" s="23">
        <v>1550.7729999999999</v>
      </c>
      <c r="C2562" s="23">
        <v>64.95</v>
      </c>
      <c r="D2562" s="23">
        <v>224.256</v>
      </c>
      <c r="E2562" s="23">
        <v>224.256</v>
      </c>
      <c r="F2562" s="23">
        <v>0</v>
      </c>
      <c r="G2562" s="23">
        <v>0</v>
      </c>
      <c r="H2562" s="23">
        <v>0</v>
      </c>
      <c r="I2562" s="23">
        <v>1326.5170000000001</v>
      </c>
      <c r="J2562" s="23">
        <v>0</v>
      </c>
      <c r="K2562" s="23">
        <v>0</v>
      </c>
    </row>
    <row r="2563" spans="1:11" x14ac:dyDescent="0.25">
      <c r="A2563">
        <v>2562</v>
      </c>
      <c r="B2563" s="23">
        <v>1749.963</v>
      </c>
      <c r="C2563" s="23">
        <v>17.63</v>
      </c>
      <c r="D2563" s="23">
        <v>40.235999999999997</v>
      </c>
      <c r="E2563" s="23">
        <v>40.235999999999997</v>
      </c>
      <c r="F2563" s="23">
        <v>0</v>
      </c>
      <c r="G2563" s="23">
        <v>0</v>
      </c>
      <c r="H2563" s="23">
        <v>0</v>
      </c>
      <c r="I2563" s="23">
        <v>25.167000000000002</v>
      </c>
      <c r="J2563" s="23">
        <v>0</v>
      </c>
      <c r="K2563" s="23">
        <v>1684.559</v>
      </c>
    </row>
    <row r="2564" spans="1:11" x14ac:dyDescent="0.25">
      <c r="A2564">
        <v>2563</v>
      </c>
      <c r="B2564" s="23">
        <v>2041.8610000000001</v>
      </c>
      <c r="C2564" s="23">
        <v>0</v>
      </c>
      <c r="D2564" s="23">
        <v>0</v>
      </c>
      <c r="E2564" s="23">
        <v>0</v>
      </c>
      <c r="F2564" s="23">
        <v>0</v>
      </c>
      <c r="G2564" s="23">
        <v>0</v>
      </c>
      <c r="H2564" s="23">
        <v>0</v>
      </c>
      <c r="I2564" s="23">
        <v>357.30200000000002</v>
      </c>
      <c r="J2564" s="23">
        <v>0</v>
      </c>
      <c r="K2564" s="23">
        <v>1684.559</v>
      </c>
    </row>
    <row r="2565" spans="1:11" x14ac:dyDescent="0.25">
      <c r="A2565">
        <v>2564</v>
      </c>
      <c r="B2565" s="23">
        <v>1636</v>
      </c>
      <c r="C2565" s="23">
        <v>0</v>
      </c>
      <c r="D2565" s="23">
        <v>0</v>
      </c>
      <c r="E2565" s="23">
        <v>0</v>
      </c>
      <c r="F2565" s="23">
        <v>0</v>
      </c>
      <c r="G2565" s="23">
        <v>0</v>
      </c>
      <c r="H2565" s="23">
        <v>0</v>
      </c>
      <c r="I2565" s="23">
        <v>0</v>
      </c>
      <c r="J2565" s="23">
        <v>0</v>
      </c>
      <c r="K2565" s="23">
        <v>1636</v>
      </c>
    </row>
    <row r="2566" spans="1:11" x14ac:dyDescent="0.25">
      <c r="A2566">
        <v>2565</v>
      </c>
      <c r="B2566" s="23">
        <v>1492.8</v>
      </c>
      <c r="C2566" s="23">
        <v>0</v>
      </c>
      <c r="D2566" s="23">
        <v>0</v>
      </c>
      <c r="E2566" s="23">
        <v>0</v>
      </c>
      <c r="F2566" s="23">
        <v>0</v>
      </c>
      <c r="G2566" s="23">
        <v>0</v>
      </c>
      <c r="H2566" s="23">
        <v>0</v>
      </c>
      <c r="I2566" s="23">
        <v>1492.8</v>
      </c>
      <c r="J2566" s="23">
        <v>0</v>
      </c>
      <c r="K2566" s="23">
        <v>0</v>
      </c>
    </row>
    <row r="2567" spans="1:11" x14ac:dyDescent="0.25">
      <c r="A2567">
        <v>2566</v>
      </c>
      <c r="B2567" s="23">
        <v>1684</v>
      </c>
      <c r="C2567" s="23">
        <v>0</v>
      </c>
      <c r="D2567" s="23">
        <v>0</v>
      </c>
      <c r="E2567" s="23">
        <v>0</v>
      </c>
      <c r="F2567" s="23">
        <v>0</v>
      </c>
      <c r="G2567" s="23">
        <v>0</v>
      </c>
      <c r="H2567" s="23">
        <v>0</v>
      </c>
      <c r="I2567" s="23">
        <v>1684</v>
      </c>
      <c r="J2567" s="23">
        <v>0</v>
      </c>
      <c r="K2567" s="23">
        <v>0</v>
      </c>
    </row>
    <row r="2568" spans="1:11" x14ac:dyDescent="0.25">
      <c r="A2568">
        <v>2567</v>
      </c>
      <c r="B2568" s="23">
        <v>1725.6</v>
      </c>
      <c r="C2568" s="23">
        <v>0</v>
      </c>
      <c r="D2568" s="23">
        <v>0</v>
      </c>
      <c r="E2568" s="23">
        <v>0</v>
      </c>
      <c r="F2568" s="23">
        <v>0</v>
      </c>
      <c r="G2568" s="23">
        <v>0</v>
      </c>
      <c r="H2568" s="23">
        <v>0</v>
      </c>
      <c r="I2568" s="23">
        <v>1725.6</v>
      </c>
      <c r="J2568" s="23">
        <v>0</v>
      </c>
      <c r="K2568" s="23">
        <v>0</v>
      </c>
    </row>
    <row r="2569" spans="1:11" x14ac:dyDescent="0.25">
      <c r="A2569">
        <v>2568</v>
      </c>
      <c r="B2569" s="23">
        <v>1603.2</v>
      </c>
      <c r="C2569" s="23">
        <v>0</v>
      </c>
      <c r="D2569" s="23">
        <v>0</v>
      </c>
      <c r="E2569" s="23">
        <v>0</v>
      </c>
      <c r="F2569" s="23">
        <v>0</v>
      </c>
      <c r="G2569" s="23">
        <v>0</v>
      </c>
      <c r="H2569" s="23">
        <v>0</v>
      </c>
      <c r="I2569" s="23">
        <v>1603.2</v>
      </c>
      <c r="J2569" s="23">
        <v>0</v>
      </c>
      <c r="K2569" s="23">
        <v>0</v>
      </c>
    </row>
    <row r="2570" spans="1:11" x14ac:dyDescent="0.25">
      <c r="A2570">
        <v>2569</v>
      </c>
      <c r="B2570" s="23">
        <v>792</v>
      </c>
      <c r="C2570" s="23">
        <v>0</v>
      </c>
      <c r="D2570" s="23">
        <v>0</v>
      </c>
      <c r="E2570" s="23">
        <v>0</v>
      </c>
      <c r="F2570" s="23">
        <v>0</v>
      </c>
      <c r="G2570" s="23">
        <v>0</v>
      </c>
      <c r="H2570" s="23">
        <v>0</v>
      </c>
      <c r="I2570" s="23">
        <v>792</v>
      </c>
      <c r="J2570" s="23">
        <v>0</v>
      </c>
      <c r="K2570" s="23">
        <v>0</v>
      </c>
    </row>
    <row r="2571" spans="1:11" x14ac:dyDescent="0.25">
      <c r="A2571">
        <v>2570</v>
      </c>
      <c r="B2571" s="23">
        <v>863.2</v>
      </c>
      <c r="C2571" s="23">
        <v>0</v>
      </c>
      <c r="D2571" s="23">
        <v>0</v>
      </c>
      <c r="E2571" s="23">
        <v>0</v>
      </c>
      <c r="F2571" s="23">
        <v>0</v>
      </c>
      <c r="G2571" s="23">
        <v>0</v>
      </c>
      <c r="H2571" s="23">
        <v>0</v>
      </c>
      <c r="I2571" s="23">
        <v>863.2</v>
      </c>
      <c r="J2571" s="23">
        <v>0</v>
      </c>
      <c r="K2571" s="23">
        <v>0</v>
      </c>
    </row>
    <row r="2572" spans="1:11" x14ac:dyDescent="0.25">
      <c r="A2572">
        <v>2571</v>
      </c>
      <c r="B2572" s="23">
        <v>843.2</v>
      </c>
      <c r="C2572" s="23">
        <v>0</v>
      </c>
      <c r="D2572" s="23">
        <v>0</v>
      </c>
      <c r="E2572" s="23">
        <v>0</v>
      </c>
      <c r="F2572" s="23">
        <v>0</v>
      </c>
      <c r="G2572" s="23">
        <v>0</v>
      </c>
      <c r="H2572" s="23">
        <v>0</v>
      </c>
      <c r="I2572" s="23">
        <v>843.2</v>
      </c>
      <c r="J2572" s="23">
        <v>0</v>
      </c>
      <c r="K2572" s="23">
        <v>0</v>
      </c>
    </row>
    <row r="2573" spans="1:11" x14ac:dyDescent="0.25">
      <c r="A2573">
        <v>2572</v>
      </c>
      <c r="B2573" s="23">
        <v>594.4</v>
      </c>
      <c r="C2573" s="23">
        <v>0</v>
      </c>
      <c r="D2573" s="23">
        <v>0</v>
      </c>
      <c r="E2573" s="23">
        <v>0</v>
      </c>
      <c r="F2573" s="23">
        <v>0</v>
      </c>
      <c r="G2573" s="23">
        <v>0</v>
      </c>
      <c r="H2573" s="23">
        <v>0</v>
      </c>
      <c r="I2573" s="23">
        <v>594.4</v>
      </c>
      <c r="J2573" s="23">
        <v>0</v>
      </c>
      <c r="K2573" s="23">
        <v>0</v>
      </c>
    </row>
    <row r="2574" spans="1:11" x14ac:dyDescent="0.25">
      <c r="A2574">
        <v>2573</v>
      </c>
      <c r="B2574" s="23">
        <v>836</v>
      </c>
      <c r="C2574" s="23">
        <v>0</v>
      </c>
      <c r="D2574" s="23">
        <v>0</v>
      </c>
      <c r="E2574" s="23">
        <v>0</v>
      </c>
      <c r="F2574" s="23">
        <v>0</v>
      </c>
      <c r="G2574" s="23">
        <v>0</v>
      </c>
      <c r="H2574" s="23">
        <v>0</v>
      </c>
      <c r="I2574" s="23">
        <v>491.767</v>
      </c>
      <c r="J2574" s="23">
        <v>0</v>
      </c>
      <c r="K2574" s="23">
        <v>344.233</v>
      </c>
    </row>
    <row r="2575" spans="1:11" x14ac:dyDescent="0.25">
      <c r="A2575">
        <v>2574</v>
      </c>
      <c r="B2575" s="23">
        <v>635.20000000000005</v>
      </c>
      <c r="C2575" s="23">
        <v>0</v>
      </c>
      <c r="D2575" s="23">
        <v>0</v>
      </c>
      <c r="E2575" s="23">
        <v>0</v>
      </c>
      <c r="F2575" s="23">
        <v>0</v>
      </c>
      <c r="G2575" s="23">
        <v>0</v>
      </c>
      <c r="H2575" s="23">
        <v>0</v>
      </c>
      <c r="I2575" s="23">
        <v>0</v>
      </c>
      <c r="J2575" s="23">
        <v>0</v>
      </c>
      <c r="K2575" s="23">
        <v>635.20000000000005</v>
      </c>
    </row>
    <row r="2576" spans="1:11" x14ac:dyDescent="0.25">
      <c r="A2576">
        <v>2575</v>
      </c>
      <c r="B2576" s="23">
        <v>612.69899999999996</v>
      </c>
      <c r="C2576" s="23">
        <v>36.26</v>
      </c>
      <c r="D2576" s="23">
        <v>115.925</v>
      </c>
      <c r="E2576" s="23">
        <v>115.925</v>
      </c>
      <c r="F2576" s="23">
        <v>0</v>
      </c>
      <c r="G2576" s="23">
        <v>0</v>
      </c>
      <c r="H2576" s="23">
        <v>0</v>
      </c>
      <c r="I2576" s="23">
        <v>0</v>
      </c>
      <c r="J2576" s="23">
        <v>0</v>
      </c>
      <c r="K2576" s="23">
        <v>496.774</v>
      </c>
    </row>
    <row r="2577" spans="1:11" x14ac:dyDescent="0.25">
      <c r="A2577">
        <v>2576</v>
      </c>
      <c r="B2577" s="23">
        <v>532.41399999999999</v>
      </c>
      <c r="C2577" s="23">
        <v>123.36</v>
      </c>
      <c r="D2577" s="23">
        <v>461.89100000000002</v>
      </c>
      <c r="E2577" s="23">
        <v>461.89100000000002</v>
      </c>
      <c r="F2577" s="23">
        <v>0</v>
      </c>
      <c r="G2577" s="23">
        <v>0</v>
      </c>
      <c r="H2577" s="23">
        <v>0</v>
      </c>
      <c r="I2577" s="23">
        <v>0</v>
      </c>
      <c r="J2577" s="23">
        <v>0</v>
      </c>
      <c r="K2577" s="23">
        <v>70.522999999999996</v>
      </c>
    </row>
    <row r="2578" spans="1:11" x14ac:dyDescent="0.25">
      <c r="A2578">
        <v>2577</v>
      </c>
      <c r="B2578" s="23">
        <v>903.73500000000001</v>
      </c>
      <c r="C2578" s="23">
        <v>497.07</v>
      </c>
      <c r="D2578" s="23">
        <v>1892.0319999999999</v>
      </c>
      <c r="E2578" s="23">
        <v>903.73500000000001</v>
      </c>
      <c r="F2578" s="23">
        <v>-988.29700000000003</v>
      </c>
      <c r="G2578" s="23">
        <v>0</v>
      </c>
      <c r="H2578" s="23">
        <v>0</v>
      </c>
      <c r="I2578" s="23">
        <v>0</v>
      </c>
      <c r="J2578" s="23">
        <v>0</v>
      </c>
      <c r="K2578" s="23">
        <v>0</v>
      </c>
    </row>
    <row r="2579" spans="1:11" x14ac:dyDescent="0.25">
      <c r="A2579">
        <v>2578</v>
      </c>
      <c r="B2579" s="23">
        <v>888.08199999999999</v>
      </c>
      <c r="C2579" s="23">
        <v>491.79</v>
      </c>
      <c r="D2579" s="23">
        <v>1829.4280000000001</v>
      </c>
      <c r="E2579" s="23">
        <v>888.08199999999999</v>
      </c>
      <c r="F2579" s="23">
        <v>-941.346</v>
      </c>
      <c r="G2579" s="23">
        <v>0</v>
      </c>
      <c r="H2579" s="23">
        <v>0</v>
      </c>
      <c r="I2579" s="23">
        <v>0</v>
      </c>
      <c r="J2579" s="23">
        <v>0</v>
      </c>
      <c r="K2579" s="23">
        <v>0</v>
      </c>
    </row>
    <row r="2580" spans="1:11" x14ac:dyDescent="0.25">
      <c r="A2580">
        <v>2579</v>
      </c>
      <c r="B2580" s="23">
        <v>1104.242</v>
      </c>
      <c r="C2580" s="23">
        <v>917.69</v>
      </c>
      <c r="D2580" s="23">
        <v>3318.9749999999999</v>
      </c>
      <c r="E2580" s="23">
        <v>1104.242</v>
      </c>
      <c r="F2580" s="23">
        <v>-1684.559</v>
      </c>
      <c r="G2580" s="23">
        <v>0</v>
      </c>
      <c r="H2580" s="23">
        <v>530.17399999999998</v>
      </c>
      <c r="I2580" s="23">
        <v>0</v>
      </c>
      <c r="J2580" s="23">
        <v>0</v>
      </c>
      <c r="K2580" s="23">
        <v>0</v>
      </c>
    </row>
    <row r="2581" spans="1:11" x14ac:dyDescent="0.25">
      <c r="A2581">
        <v>2580</v>
      </c>
      <c r="B2581" s="23">
        <v>873.01300000000003</v>
      </c>
      <c r="C2581" s="23">
        <v>984.98</v>
      </c>
      <c r="D2581" s="23">
        <v>3523.875</v>
      </c>
      <c r="E2581" s="23">
        <v>873.01400000000001</v>
      </c>
      <c r="F2581" s="23">
        <v>-1684.559</v>
      </c>
      <c r="G2581" s="23">
        <v>0</v>
      </c>
      <c r="H2581" s="23">
        <v>966.30200000000002</v>
      </c>
      <c r="I2581" s="23">
        <v>0</v>
      </c>
      <c r="J2581" s="23">
        <v>0</v>
      </c>
      <c r="K2581" s="23">
        <v>0</v>
      </c>
    </row>
    <row r="2582" spans="1:11" x14ac:dyDescent="0.25">
      <c r="A2582">
        <v>2581</v>
      </c>
      <c r="B2582" s="23">
        <v>777.27200000000005</v>
      </c>
      <c r="C2582" s="23">
        <v>977.02</v>
      </c>
      <c r="D2582" s="23">
        <v>3503.2530000000002</v>
      </c>
      <c r="E2582" s="23">
        <v>777.27200000000005</v>
      </c>
      <c r="F2582" s="23">
        <v>-1684.559</v>
      </c>
      <c r="G2582" s="23">
        <v>0</v>
      </c>
      <c r="H2582" s="23">
        <v>1041.422</v>
      </c>
      <c r="I2582" s="23">
        <v>0</v>
      </c>
      <c r="J2582" s="23">
        <v>0</v>
      </c>
      <c r="K2582" s="23">
        <v>0</v>
      </c>
    </row>
    <row r="2583" spans="1:11" x14ac:dyDescent="0.25">
      <c r="A2583">
        <v>2582</v>
      </c>
      <c r="B2583" s="23">
        <v>991.14</v>
      </c>
      <c r="C2583" s="23">
        <v>895.3</v>
      </c>
      <c r="D2583" s="23">
        <v>3266.1030000000001</v>
      </c>
      <c r="E2583" s="23">
        <v>991.14</v>
      </c>
      <c r="F2583" s="23">
        <v>-308.17700000000002</v>
      </c>
      <c r="G2583" s="23">
        <v>0</v>
      </c>
      <c r="H2583" s="23">
        <v>1966.7860000000001</v>
      </c>
      <c r="I2583" s="23">
        <v>0</v>
      </c>
      <c r="J2583" s="23">
        <v>0</v>
      </c>
      <c r="K2583" s="23">
        <v>0</v>
      </c>
    </row>
    <row r="2584" spans="1:11" x14ac:dyDescent="0.25">
      <c r="A2584">
        <v>2583</v>
      </c>
      <c r="B2584" s="23">
        <v>976.90700000000004</v>
      </c>
      <c r="C2584" s="23">
        <v>738.94</v>
      </c>
      <c r="D2584" s="23">
        <v>2769.9059999999999</v>
      </c>
      <c r="E2584" s="23">
        <v>976.90700000000004</v>
      </c>
      <c r="F2584" s="23">
        <v>0</v>
      </c>
      <c r="G2584" s="23">
        <v>0</v>
      </c>
      <c r="H2584" s="23">
        <v>1792.999</v>
      </c>
      <c r="I2584" s="23">
        <v>0</v>
      </c>
      <c r="J2584" s="23">
        <v>0</v>
      </c>
      <c r="K2584" s="23">
        <v>0</v>
      </c>
    </row>
    <row r="2585" spans="1:11" x14ac:dyDescent="0.25">
      <c r="A2585">
        <v>2584</v>
      </c>
      <c r="B2585" s="23">
        <v>874.20500000000004</v>
      </c>
      <c r="C2585" s="23">
        <v>525.47</v>
      </c>
      <c r="D2585" s="23">
        <v>2032.422</v>
      </c>
      <c r="E2585" s="23">
        <v>874.20500000000004</v>
      </c>
      <c r="F2585" s="23">
        <v>0</v>
      </c>
      <c r="G2585" s="23">
        <v>0</v>
      </c>
      <c r="H2585" s="23">
        <v>1158.2170000000001</v>
      </c>
      <c r="I2585" s="23">
        <v>0</v>
      </c>
      <c r="J2585" s="23">
        <v>0</v>
      </c>
      <c r="K2585" s="23">
        <v>0</v>
      </c>
    </row>
    <row r="2586" spans="1:11" x14ac:dyDescent="0.25">
      <c r="A2586">
        <v>2585</v>
      </c>
      <c r="B2586" s="23">
        <v>861.226</v>
      </c>
      <c r="C2586" s="23">
        <v>285.86</v>
      </c>
      <c r="D2586" s="23">
        <v>1076.5909999999999</v>
      </c>
      <c r="E2586" s="23">
        <v>861.226</v>
      </c>
      <c r="F2586" s="23">
        <v>0</v>
      </c>
      <c r="G2586" s="23">
        <v>0</v>
      </c>
      <c r="H2586" s="23">
        <v>215.36500000000001</v>
      </c>
      <c r="I2586" s="23">
        <v>0</v>
      </c>
      <c r="J2586" s="23">
        <v>0</v>
      </c>
      <c r="K2586" s="23">
        <v>0</v>
      </c>
    </row>
    <row r="2587" spans="1:11" x14ac:dyDescent="0.25">
      <c r="A2587">
        <v>2586</v>
      </c>
      <c r="B2587" s="23">
        <v>364.69299999999998</v>
      </c>
      <c r="C2587" s="23">
        <v>66.53</v>
      </c>
      <c r="D2587" s="23">
        <v>194.749</v>
      </c>
      <c r="E2587" s="23">
        <v>194.749</v>
      </c>
      <c r="F2587" s="23">
        <v>0</v>
      </c>
      <c r="G2587" s="23">
        <v>0</v>
      </c>
      <c r="H2587" s="23">
        <v>0</v>
      </c>
      <c r="I2587" s="23">
        <v>0</v>
      </c>
      <c r="J2587" s="23">
        <v>0</v>
      </c>
      <c r="K2587" s="23">
        <v>169.94399999999999</v>
      </c>
    </row>
    <row r="2588" spans="1:11" x14ac:dyDescent="0.25">
      <c r="A2588">
        <v>2587</v>
      </c>
      <c r="B2588" s="23">
        <v>407.54599999999999</v>
      </c>
      <c r="C2588" s="23">
        <v>0</v>
      </c>
      <c r="D2588" s="23">
        <v>0</v>
      </c>
      <c r="E2588" s="23">
        <v>0</v>
      </c>
      <c r="F2588" s="23">
        <v>0</v>
      </c>
      <c r="G2588" s="23">
        <v>0</v>
      </c>
      <c r="H2588" s="23">
        <v>0</v>
      </c>
      <c r="I2588" s="23">
        <v>0</v>
      </c>
      <c r="J2588" s="23">
        <v>0</v>
      </c>
      <c r="K2588" s="23">
        <v>407.54599999999999</v>
      </c>
    </row>
    <row r="2589" spans="1:11" x14ac:dyDescent="0.25">
      <c r="A2589">
        <v>2588</v>
      </c>
      <c r="B2589" s="23">
        <v>380.8</v>
      </c>
      <c r="C2589" s="23">
        <v>0</v>
      </c>
      <c r="D2589" s="23">
        <v>0</v>
      </c>
      <c r="E2589" s="23">
        <v>0</v>
      </c>
      <c r="F2589" s="23">
        <v>0</v>
      </c>
      <c r="G2589" s="23">
        <v>0</v>
      </c>
      <c r="H2589" s="23">
        <v>0</v>
      </c>
      <c r="I2589" s="23">
        <v>0</v>
      </c>
      <c r="J2589" s="23">
        <v>0</v>
      </c>
      <c r="K2589" s="23">
        <v>380.8</v>
      </c>
    </row>
    <row r="2590" spans="1:11" x14ac:dyDescent="0.25">
      <c r="A2590">
        <v>2589</v>
      </c>
      <c r="B2590" s="23">
        <v>503.2</v>
      </c>
      <c r="C2590" s="23">
        <v>0</v>
      </c>
      <c r="D2590" s="23">
        <v>0</v>
      </c>
      <c r="E2590" s="23">
        <v>0</v>
      </c>
      <c r="F2590" s="23">
        <v>0</v>
      </c>
      <c r="G2590" s="23">
        <v>0</v>
      </c>
      <c r="H2590" s="23">
        <v>0</v>
      </c>
      <c r="I2590" s="23">
        <v>0</v>
      </c>
      <c r="J2590" s="23">
        <v>0</v>
      </c>
      <c r="K2590" s="23">
        <v>503.2</v>
      </c>
    </row>
    <row r="2591" spans="1:11" x14ac:dyDescent="0.25">
      <c r="A2591">
        <v>2590</v>
      </c>
      <c r="B2591" s="23">
        <v>686.4</v>
      </c>
      <c r="C2591" s="23">
        <v>0</v>
      </c>
      <c r="D2591" s="23">
        <v>0</v>
      </c>
      <c r="E2591" s="23">
        <v>0</v>
      </c>
      <c r="F2591" s="23">
        <v>0</v>
      </c>
      <c r="G2591" s="23">
        <v>0</v>
      </c>
      <c r="H2591" s="23">
        <v>0</v>
      </c>
      <c r="I2591" s="23">
        <v>0</v>
      </c>
      <c r="J2591" s="23">
        <v>0</v>
      </c>
      <c r="K2591" s="23">
        <v>686.4</v>
      </c>
    </row>
    <row r="2592" spans="1:11" x14ac:dyDescent="0.25">
      <c r="A2592">
        <v>2591</v>
      </c>
      <c r="B2592" s="23">
        <v>699.2</v>
      </c>
      <c r="C2592" s="23">
        <v>0</v>
      </c>
      <c r="D2592" s="23">
        <v>0</v>
      </c>
      <c r="E2592" s="23">
        <v>0</v>
      </c>
      <c r="F2592" s="23">
        <v>0</v>
      </c>
      <c r="G2592" s="23">
        <v>0</v>
      </c>
      <c r="H2592" s="23">
        <v>0</v>
      </c>
      <c r="I2592" s="23">
        <v>0</v>
      </c>
      <c r="J2592" s="23">
        <v>0</v>
      </c>
      <c r="K2592" s="23">
        <v>699.2</v>
      </c>
    </row>
    <row r="2593" spans="1:11" x14ac:dyDescent="0.25">
      <c r="A2593">
        <v>2592</v>
      </c>
      <c r="B2593" s="23">
        <v>0</v>
      </c>
      <c r="C2593" s="23">
        <v>0</v>
      </c>
      <c r="D2593" s="23">
        <v>0</v>
      </c>
      <c r="E2593" s="23">
        <v>0</v>
      </c>
      <c r="F2593" s="23">
        <v>0</v>
      </c>
      <c r="G2593" s="23">
        <v>0</v>
      </c>
      <c r="H2593" s="23">
        <v>0</v>
      </c>
      <c r="I2593" s="23">
        <v>0</v>
      </c>
      <c r="J2593" s="23">
        <v>0</v>
      </c>
      <c r="K2593" s="23">
        <v>0</v>
      </c>
    </row>
    <row r="2594" spans="1:11" x14ac:dyDescent="0.25">
      <c r="A2594">
        <v>2593</v>
      </c>
      <c r="B2594" s="23">
        <v>0</v>
      </c>
      <c r="C2594" s="23">
        <v>0</v>
      </c>
      <c r="D2594" s="23">
        <v>0</v>
      </c>
      <c r="E2594" s="23">
        <v>0</v>
      </c>
      <c r="F2594" s="23">
        <v>0</v>
      </c>
      <c r="G2594" s="23">
        <v>0</v>
      </c>
      <c r="H2594" s="23">
        <v>0</v>
      </c>
      <c r="I2594" s="23">
        <v>0</v>
      </c>
      <c r="J2594" s="23">
        <v>0</v>
      </c>
      <c r="K2594" s="23">
        <v>0</v>
      </c>
    </row>
    <row r="2595" spans="1:11" x14ac:dyDescent="0.25">
      <c r="A2595">
        <v>2594</v>
      </c>
      <c r="B2595" s="23">
        <v>0</v>
      </c>
      <c r="C2595" s="23">
        <v>0</v>
      </c>
      <c r="D2595" s="23">
        <v>0</v>
      </c>
      <c r="E2595" s="23">
        <v>0</v>
      </c>
      <c r="F2595" s="23">
        <v>0</v>
      </c>
      <c r="G2595" s="23">
        <v>0</v>
      </c>
      <c r="H2595" s="23">
        <v>0</v>
      </c>
      <c r="I2595" s="23">
        <v>0</v>
      </c>
      <c r="J2595" s="23">
        <v>0</v>
      </c>
      <c r="K2595" s="23">
        <v>0</v>
      </c>
    </row>
    <row r="2596" spans="1:11" x14ac:dyDescent="0.25">
      <c r="A2596">
        <v>2595</v>
      </c>
      <c r="B2596" s="23">
        <v>0</v>
      </c>
      <c r="C2596" s="23">
        <v>0</v>
      </c>
      <c r="D2596" s="23">
        <v>0</v>
      </c>
      <c r="E2596" s="23">
        <v>0</v>
      </c>
      <c r="F2596" s="23">
        <v>0</v>
      </c>
      <c r="G2596" s="23">
        <v>0</v>
      </c>
      <c r="H2596" s="23">
        <v>0</v>
      </c>
      <c r="I2596" s="23">
        <v>0</v>
      </c>
      <c r="J2596" s="23">
        <v>0</v>
      </c>
      <c r="K2596" s="23">
        <v>0</v>
      </c>
    </row>
    <row r="2597" spans="1:11" x14ac:dyDescent="0.25">
      <c r="A2597">
        <v>2596</v>
      </c>
      <c r="B2597" s="23">
        <v>0</v>
      </c>
      <c r="C2597" s="23">
        <v>0</v>
      </c>
      <c r="D2597" s="23">
        <v>0</v>
      </c>
      <c r="E2597" s="23">
        <v>0</v>
      </c>
      <c r="F2597" s="23">
        <v>0</v>
      </c>
      <c r="G2597" s="23">
        <v>0</v>
      </c>
      <c r="H2597" s="23">
        <v>0</v>
      </c>
      <c r="I2597" s="23">
        <v>0</v>
      </c>
      <c r="J2597" s="23">
        <v>0</v>
      </c>
      <c r="K2597" s="23">
        <v>0</v>
      </c>
    </row>
    <row r="2598" spans="1:11" x14ac:dyDescent="0.25">
      <c r="A2598">
        <v>2597</v>
      </c>
      <c r="B2598" s="23">
        <v>0</v>
      </c>
      <c r="C2598" s="23">
        <v>0</v>
      </c>
      <c r="D2598" s="23">
        <v>0</v>
      </c>
      <c r="E2598" s="23">
        <v>0</v>
      </c>
      <c r="F2598" s="23">
        <v>0</v>
      </c>
      <c r="G2598" s="23">
        <v>0</v>
      </c>
      <c r="H2598" s="23">
        <v>0</v>
      </c>
      <c r="I2598" s="23">
        <v>0</v>
      </c>
      <c r="J2598" s="23">
        <v>0</v>
      </c>
      <c r="K2598" s="23">
        <v>0</v>
      </c>
    </row>
    <row r="2599" spans="1:11" x14ac:dyDescent="0.25">
      <c r="A2599">
        <v>2598</v>
      </c>
      <c r="B2599" s="23">
        <v>0</v>
      </c>
      <c r="C2599" s="23">
        <v>0</v>
      </c>
      <c r="D2599" s="23">
        <v>0</v>
      </c>
      <c r="E2599" s="23">
        <v>0</v>
      </c>
      <c r="F2599" s="23">
        <v>0</v>
      </c>
      <c r="G2599" s="23">
        <v>0</v>
      </c>
      <c r="H2599" s="23">
        <v>0</v>
      </c>
      <c r="I2599" s="23">
        <v>0</v>
      </c>
      <c r="J2599" s="23">
        <v>0</v>
      </c>
      <c r="K2599" s="23">
        <v>0</v>
      </c>
    </row>
    <row r="2600" spans="1:11" x14ac:dyDescent="0.25">
      <c r="A2600">
        <v>2599</v>
      </c>
      <c r="B2600" s="23">
        <v>1576.944</v>
      </c>
      <c r="C2600" s="23">
        <v>111.5</v>
      </c>
      <c r="D2600" s="23">
        <v>364.56799999999998</v>
      </c>
      <c r="E2600" s="23">
        <v>364.56799999999998</v>
      </c>
      <c r="F2600" s="23">
        <v>0</v>
      </c>
      <c r="G2600" s="23">
        <v>0</v>
      </c>
      <c r="H2600" s="23">
        <v>0</v>
      </c>
      <c r="I2600" s="23">
        <v>0</v>
      </c>
      <c r="J2600" s="23">
        <v>0</v>
      </c>
      <c r="K2600" s="23">
        <v>1212.376</v>
      </c>
    </row>
    <row r="2601" spans="1:11" x14ac:dyDescent="0.25">
      <c r="A2601">
        <v>2600</v>
      </c>
      <c r="B2601" s="23">
        <v>1498.248</v>
      </c>
      <c r="C2601" s="23">
        <v>343.51</v>
      </c>
      <c r="D2601" s="23">
        <v>1326.3240000000001</v>
      </c>
      <c r="E2601" s="23">
        <v>1326.3240000000001</v>
      </c>
      <c r="F2601" s="23">
        <v>0</v>
      </c>
      <c r="G2601" s="23">
        <v>0</v>
      </c>
      <c r="H2601" s="23">
        <v>0</v>
      </c>
      <c r="I2601" s="23">
        <v>0</v>
      </c>
      <c r="J2601" s="23">
        <v>0</v>
      </c>
      <c r="K2601" s="23">
        <v>171.92400000000001</v>
      </c>
    </row>
    <row r="2602" spans="1:11" x14ac:dyDescent="0.25">
      <c r="A2602">
        <v>2601</v>
      </c>
      <c r="B2602" s="23">
        <v>1510.0440000000001</v>
      </c>
      <c r="C2602" s="23">
        <v>579.45000000000005</v>
      </c>
      <c r="D2602" s="23">
        <v>2224.8879999999999</v>
      </c>
      <c r="E2602" s="23">
        <v>1510.0440000000001</v>
      </c>
      <c r="F2602" s="23">
        <v>-714.84400000000005</v>
      </c>
      <c r="G2602" s="23">
        <v>0</v>
      </c>
      <c r="H2602" s="23">
        <v>0</v>
      </c>
      <c r="I2602" s="23">
        <v>0</v>
      </c>
      <c r="J2602" s="23">
        <v>0</v>
      </c>
      <c r="K2602" s="23">
        <v>0</v>
      </c>
    </row>
    <row r="2603" spans="1:11" x14ac:dyDescent="0.25">
      <c r="A2603">
        <v>2602</v>
      </c>
      <c r="B2603" s="23">
        <v>1902.3620000000001</v>
      </c>
      <c r="C2603" s="23">
        <v>776.59</v>
      </c>
      <c r="D2603" s="23">
        <v>2890.3249999999998</v>
      </c>
      <c r="E2603" s="23">
        <v>1902.3620000000001</v>
      </c>
      <c r="F2603" s="23">
        <v>-987.96299999999997</v>
      </c>
      <c r="G2603" s="23">
        <v>0</v>
      </c>
      <c r="H2603" s="23">
        <v>0</v>
      </c>
      <c r="I2603" s="23">
        <v>0</v>
      </c>
      <c r="J2603" s="23">
        <v>0</v>
      </c>
      <c r="K2603" s="23">
        <v>0</v>
      </c>
    </row>
    <row r="2604" spans="1:11" x14ac:dyDescent="0.25">
      <c r="A2604">
        <v>2603</v>
      </c>
      <c r="B2604" s="23">
        <v>1884.636</v>
      </c>
      <c r="C2604" s="23">
        <v>928.47</v>
      </c>
      <c r="D2604" s="23">
        <v>3380.9070000000002</v>
      </c>
      <c r="E2604" s="23">
        <v>1884.636</v>
      </c>
      <c r="F2604" s="23">
        <v>-1496.271</v>
      </c>
      <c r="G2604" s="23">
        <v>0</v>
      </c>
      <c r="H2604" s="23">
        <v>0</v>
      </c>
      <c r="I2604" s="23">
        <v>0</v>
      </c>
      <c r="J2604" s="23">
        <v>0</v>
      </c>
      <c r="K2604" s="23">
        <v>0</v>
      </c>
    </row>
    <row r="2605" spans="1:11" x14ac:dyDescent="0.25">
      <c r="A2605">
        <v>2604</v>
      </c>
      <c r="B2605" s="23">
        <v>1594.663</v>
      </c>
      <c r="C2605" s="23">
        <v>994.81</v>
      </c>
      <c r="D2605" s="23">
        <v>3595.7460000000001</v>
      </c>
      <c r="E2605" s="23">
        <v>1594.662</v>
      </c>
      <c r="F2605" s="23">
        <v>-1510</v>
      </c>
      <c r="G2605" s="23">
        <v>0</v>
      </c>
      <c r="H2605" s="23">
        <v>491.084</v>
      </c>
      <c r="I2605" s="23">
        <v>0</v>
      </c>
      <c r="J2605" s="23">
        <v>0</v>
      </c>
      <c r="K2605" s="23">
        <v>0</v>
      </c>
    </row>
    <row r="2606" spans="1:11" x14ac:dyDescent="0.25">
      <c r="A2606">
        <v>2605</v>
      </c>
      <c r="B2606" s="23">
        <v>1945.0809999999999</v>
      </c>
      <c r="C2606" s="23">
        <v>983.44</v>
      </c>
      <c r="D2606" s="23">
        <v>3575.4760000000001</v>
      </c>
      <c r="E2606" s="23">
        <v>1945.0809999999999</v>
      </c>
      <c r="F2606" s="23">
        <v>0</v>
      </c>
      <c r="G2606" s="23">
        <v>0</v>
      </c>
      <c r="H2606" s="23">
        <v>1630.395</v>
      </c>
      <c r="I2606" s="23">
        <v>0</v>
      </c>
      <c r="J2606" s="23">
        <v>0</v>
      </c>
      <c r="K2606" s="23">
        <v>0</v>
      </c>
    </row>
    <row r="2607" spans="1:11" x14ac:dyDescent="0.25">
      <c r="A2607">
        <v>2606</v>
      </c>
      <c r="B2607" s="23">
        <v>1916.271</v>
      </c>
      <c r="C2607" s="23">
        <v>883.7</v>
      </c>
      <c r="D2607" s="23">
        <v>3263.0709999999999</v>
      </c>
      <c r="E2607" s="23">
        <v>1916.271</v>
      </c>
      <c r="F2607" s="23">
        <v>0</v>
      </c>
      <c r="G2607" s="23">
        <v>0</v>
      </c>
      <c r="H2607" s="23">
        <v>1346.8</v>
      </c>
      <c r="I2607" s="23">
        <v>0</v>
      </c>
      <c r="J2607" s="23">
        <v>0</v>
      </c>
      <c r="K2607" s="23">
        <v>0</v>
      </c>
    </row>
    <row r="2608" spans="1:11" x14ac:dyDescent="0.25">
      <c r="A2608">
        <v>2607</v>
      </c>
      <c r="B2608" s="23">
        <v>2098.6860000000001</v>
      </c>
      <c r="C2608" s="23">
        <v>729.05</v>
      </c>
      <c r="D2608" s="23">
        <v>2757.1419999999998</v>
      </c>
      <c r="E2608" s="23">
        <v>2098.6860000000001</v>
      </c>
      <c r="F2608" s="23">
        <v>0</v>
      </c>
      <c r="G2608" s="23">
        <v>0</v>
      </c>
      <c r="H2608" s="23">
        <v>658.45600000000002</v>
      </c>
      <c r="I2608" s="23">
        <v>0</v>
      </c>
      <c r="J2608" s="23">
        <v>0</v>
      </c>
      <c r="K2608" s="23">
        <v>0</v>
      </c>
    </row>
    <row r="2609" spans="1:11" x14ac:dyDescent="0.25">
      <c r="A2609">
        <v>2608</v>
      </c>
      <c r="B2609" s="23">
        <v>1693.9690000000001</v>
      </c>
      <c r="C2609" s="23">
        <v>457.6</v>
      </c>
      <c r="D2609" s="23">
        <v>1758.5229999999999</v>
      </c>
      <c r="E2609" s="23">
        <v>1693.9690000000001</v>
      </c>
      <c r="F2609" s="23">
        <v>0</v>
      </c>
      <c r="G2609" s="23">
        <v>0</v>
      </c>
      <c r="H2609" s="23">
        <v>64.554000000000002</v>
      </c>
      <c r="I2609" s="23">
        <v>0</v>
      </c>
      <c r="J2609" s="23">
        <v>0</v>
      </c>
      <c r="K2609" s="23">
        <v>0</v>
      </c>
    </row>
    <row r="2610" spans="1:11" x14ac:dyDescent="0.25">
      <c r="A2610">
        <v>2609</v>
      </c>
      <c r="B2610" s="23">
        <v>2117.6309999999999</v>
      </c>
      <c r="C2610" s="23">
        <v>188.13</v>
      </c>
      <c r="D2610" s="23">
        <v>715.08100000000002</v>
      </c>
      <c r="E2610" s="23">
        <v>715.08100000000002</v>
      </c>
      <c r="F2610" s="23">
        <v>0</v>
      </c>
      <c r="G2610" s="23">
        <v>0</v>
      </c>
      <c r="H2610" s="23">
        <v>0</v>
      </c>
      <c r="I2610" s="23">
        <v>1402.55</v>
      </c>
      <c r="J2610" s="23">
        <v>0</v>
      </c>
      <c r="K2610" s="23">
        <v>0</v>
      </c>
    </row>
    <row r="2611" spans="1:11" x14ac:dyDescent="0.25">
      <c r="A2611">
        <v>2610</v>
      </c>
      <c r="B2611" s="23">
        <v>2089.8330000000001</v>
      </c>
      <c r="C2611" s="23">
        <v>45.69</v>
      </c>
      <c r="D2611" s="23">
        <v>143.107</v>
      </c>
      <c r="E2611" s="23">
        <v>143.107</v>
      </c>
      <c r="F2611" s="23">
        <v>0</v>
      </c>
      <c r="G2611" s="23">
        <v>0</v>
      </c>
      <c r="H2611" s="23">
        <v>0</v>
      </c>
      <c r="I2611" s="23">
        <v>262.166</v>
      </c>
      <c r="J2611" s="23">
        <v>0</v>
      </c>
      <c r="K2611" s="23">
        <v>1684.559</v>
      </c>
    </row>
    <row r="2612" spans="1:11" x14ac:dyDescent="0.25">
      <c r="A2612">
        <v>2611</v>
      </c>
      <c r="B2612" s="23">
        <v>1694.4469999999999</v>
      </c>
      <c r="C2612" s="23">
        <v>0</v>
      </c>
      <c r="D2612" s="23">
        <v>0</v>
      </c>
      <c r="E2612" s="23">
        <v>0</v>
      </c>
      <c r="F2612" s="23">
        <v>0</v>
      </c>
      <c r="G2612" s="23">
        <v>0</v>
      </c>
      <c r="H2612" s="23">
        <v>0</v>
      </c>
      <c r="I2612" s="23">
        <v>9.8879999999999999</v>
      </c>
      <c r="J2612" s="23">
        <v>0</v>
      </c>
      <c r="K2612" s="23">
        <v>1684.559</v>
      </c>
    </row>
    <row r="2613" spans="1:11" x14ac:dyDescent="0.25">
      <c r="A2613">
        <v>2612</v>
      </c>
      <c r="B2613" s="23">
        <v>1517.6</v>
      </c>
      <c r="C2613" s="23">
        <v>0</v>
      </c>
      <c r="D2613" s="23">
        <v>0</v>
      </c>
      <c r="E2613" s="23">
        <v>0</v>
      </c>
      <c r="F2613" s="23">
        <v>0</v>
      </c>
      <c r="G2613" s="23">
        <v>0</v>
      </c>
      <c r="H2613" s="23">
        <v>0</v>
      </c>
      <c r="I2613" s="23">
        <v>0</v>
      </c>
      <c r="J2613" s="23">
        <v>0</v>
      </c>
      <c r="K2613" s="23">
        <v>1517.6</v>
      </c>
    </row>
    <row r="2614" spans="1:11" x14ac:dyDescent="0.25">
      <c r="A2614">
        <v>2613</v>
      </c>
      <c r="B2614" s="23">
        <v>1688.8</v>
      </c>
      <c r="C2614" s="23">
        <v>0</v>
      </c>
      <c r="D2614" s="23">
        <v>0</v>
      </c>
      <c r="E2614" s="23">
        <v>0</v>
      </c>
      <c r="F2614" s="23">
        <v>0</v>
      </c>
      <c r="G2614" s="23">
        <v>0</v>
      </c>
      <c r="H2614" s="23">
        <v>0</v>
      </c>
      <c r="I2614" s="23">
        <v>1688.8</v>
      </c>
      <c r="J2614" s="23">
        <v>0</v>
      </c>
      <c r="K2614" s="23">
        <v>0</v>
      </c>
    </row>
    <row r="2615" spans="1:11" x14ac:dyDescent="0.25">
      <c r="A2615">
        <v>2614</v>
      </c>
      <c r="B2615" s="23">
        <v>1653.6</v>
      </c>
      <c r="C2615" s="23">
        <v>0</v>
      </c>
      <c r="D2615" s="23">
        <v>0</v>
      </c>
      <c r="E2615" s="23">
        <v>0</v>
      </c>
      <c r="F2615" s="23">
        <v>0</v>
      </c>
      <c r="G2615" s="23">
        <v>0</v>
      </c>
      <c r="H2615" s="23">
        <v>0</v>
      </c>
      <c r="I2615" s="23">
        <v>214.13900000000001</v>
      </c>
      <c r="J2615" s="23">
        <v>0</v>
      </c>
      <c r="K2615" s="23">
        <v>1439.461</v>
      </c>
    </row>
    <row r="2616" spans="1:11" x14ac:dyDescent="0.25">
      <c r="A2616">
        <v>2615</v>
      </c>
      <c r="B2616" s="23">
        <v>1461.6</v>
      </c>
      <c r="C2616" s="23">
        <v>0</v>
      </c>
      <c r="D2616" s="23">
        <v>0</v>
      </c>
      <c r="E2616" s="23">
        <v>0</v>
      </c>
      <c r="F2616" s="23">
        <v>0</v>
      </c>
      <c r="G2616" s="23">
        <v>0</v>
      </c>
      <c r="H2616" s="23">
        <v>0</v>
      </c>
      <c r="I2616" s="23">
        <v>1461.6</v>
      </c>
      <c r="J2616" s="23">
        <v>0</v>
      </c>
      <c r="K2616" s="23">
        <v>0</v>
      </c>
    </row>
    <row r="2617" spans="1:11" x14ac:dyDescent="0.25">
      <c r="A2617">
        <v>2616</v>
      </c>
      <c r="B2617" s="23">
        <v>0</v>
      </c>
      <c r="C2617" s="23">
        <v>0</v>
      </c>
      <c r="D2617" s="23">
        <v>0</v>
      </c>
      <c r="E2617" s="23">
        <v>0</v>
      </c>
      <c r="F2617" s="23">
        <v>0</v>
      </c>
      <c r="G2617" s="23">
        <v>0</v>
      </c>
      <c r="H2617" s="23">
        <v>0</v>
      </c>
      <c r="I2617" s="23">
        <v>0</v>
      </c>
      <c r="J2617" s="23">
        <v>0</v>
      </c>
      <c r="K2617" s="23">
        <v>0</v>
      </c>
    </row>
    <row r="2618" spans="1:11" x14ac:dyDescent="0.25">
      <c r="A2618">
        <v>2617</v>
      </c>
      <c r="B2618" s="23">
        <v>0</v>
      </c>
      <c r="C2618" s="23">
        <v>0</v>
      </c>
      <c r="D2618" s="23">
        <v>0</v>
      </c>
      <c r="E2618" s="23">
        <v>0</v>
      </c>
      <c r="F2618" s="23">
        <v>0</v>
      </c>
      <c r="G2618" s="23">
        <v>0</v>
      </c>
      <c r="H2618" s="23">
        <v>0</v>
      </c>
      <c r="I2618" s="23">
        <v>0</v>
      </c>
      <c r="J2618" s="23">
        <v>0</v>
      </c>
      <c r="K2618" s="23">
        <v>0</v>
      </c>
    </row>
    <row r="2619" spans="1:11" x14ac:dyDescent="0.25">
      <c r="A2619">
        <v>2618</v>
      </c>
      <c r="B2619" s="23">
        <v>0</v>
      </c>
      <c r="C2619" s="23">
        <v>0</v>
      </c>
      <c r="D2619" s="23">
        <v>0</v>
      </c>
      <c r="E2619" s="23">
        <v>0</v>
      </c>
      <c r="F2619" s="23">
        <v>0</v>
      </c>
      <c r="G2619" s="23">
        <v>0</v>
      </c>
      <c r="H2619" s="23">
        <v>0</v>
      </c>
      <c r="I2619" s="23">
        <v>0</v>
      </c>
      <c r="J2619" s="23">
        <v>0</v>
      </c>
      <c r="K2619" s="23">
        <v>0</v>
      </c>
    </row>
    <row r="2620" spans="1:11" x14ac:dyDescent="0.25">
      <c r="A2620">
        <v>2619</v>
      </c>
      <c r="B2620" s="23">
        <v>0</v>
      </c>
      <c r="C2620" s="23">
        <v>0</v>
      </c>
      <c r="D2620" s="23">
        <v>0</v>
      </c>
      <c r="E2620" s="23">
        <v>0</v>
      </c>
      <c r="F2620" s="23">
        <v>0</v>
      </c>
      <c r="G2620" s="23">
        <v>0</v>
      </c>
      <c r="H2620" s="23">
        <v>0</v>
      </c>
      <c r="I2620" s="23">
        <v>0</v>
      </c>
      <c r="J2620" s="23">
        <v>0</v>
      </c>
      <c r="K2620" s="23">
        <v>0</v>
      </c>
    </row>
    <row r="2621" spans="1:11" x14ac:dyDescent="0.25">
      <c r="A2621">
        <v>2620</v>
      </c>
      <c r="B2621" s="23">
        <v>0</v>
      </c>
      <c r="C2621" s="23">
        <v>0</v>
      </c>
      <c r="D2621" s="23">
        <v>0</v>
      </c>
      <c r="E2621" s="23">
        <v>0</v>
      </c>
      <c r="F2621" s="23">
        <v>0</v>
      </c>
      <c r="G2621" s="23">
        <v>0</v>
      </c>
      <c r="H2621" s="23">
        <v>0</v>
      </c>
      <c r="I2621" s="23">
        <v>0</v>
      </c>
      <c r="J2621" s="23">
        <v>0</v>
      </c>
      <c r="K2621" s="23">
        <v>0</v>
      </c>
    </row>
    <row r="2622" spans="1:11" x14ac:dyDescent="0.25">
      <c r="A2622">
        <v>2621</v>
      </c>
      <c r="B2622" s="23">
        <v>0</v>
      </c>
      <c r="C2622" s="23">
        <v>0</v>
      </c>
      <c r="D2622" s="23">
        <v>0</v>
      </c>
      <c r="E2622" s="23">
        <v>0</v>
      </c>
      <c r="F2622" s="23">
        <v>0</v>
      </c>
      <c r="G2622" s="23">
        <v>0</v>
      </c>
      <c r="H2622" s="23">
        <v>0</v>
      </c>
      <c r="I2622" s="23">
        <v>0</v>
      </c>
      <c r="J2622" s="23">
        <v>0</v>
      </c>
      <c r="K2622" s="23">
        <v>0</v>
      </c>
    </row>
    <row r="2623" spans="1:11" x14ac:dyDescent="0.25">
      <c r="A2623">
        <v>2622</v>
      </c>
      <c r="B2623" s="23">
        <v>0</v>
      </c>
      <c r="C2623" s="23">
        <v>0</v>
      </c>
      <c r="D2623" s="23">
        <v>0</v>
      </c>
      <c r="E2623" s="23">
        <v>0</v>
      </c>
      <c r="F2623" s="23">
        <v>0</v>
      </c>
      <c r="G2623" s="23">
        <v>0</v>
      </c>
      <c r="H2623" s="23">
        <v>0</v>
      </c>
      <c r="I2623" s="23">
        <v>0</v>
      </c>
      <c r="J2623" s="23">
        <v>0</v>
      </c>
      <c r="K2623" s="23">
        <v>0</v>
      </c>
    </row>
    <row r="2624" spans="1:11" x14ac:dyDescent="0.25">
      <c r="A2624">
        <v>2623</v>
      </c>
      <c r="B2624" s="23">
        <v>601.17899999999997</v>
      </c>
      <c r="C2624" s="23">
        <v>114.55</v>
      </c>
      <c r="D2624" s="23">
        <v>375.50900000000001</v>
      </c>
      <c r="E2624" s="23">
        <v>375.50900000000001</v>
      </c>
      <c r="F2624" s="23">
        <v>0</v>
      </c>
      <c r="G2624" s="23">
        <v>0</v>
      </c>
      <c r="H2624" s="23">
        <v>0</v>
      </c>
      <c r="I2624" s="23">
        <v>0</v>
      </c>
      <c r="J2624" s="23">
        <v>0</v>
      </c>
      <c r="K2624" s="23">
        <v>225.67</v>
      </c>
    </row>
    <row r="2625" spans="1:11" x14ac:dyDescent="0.25">
      <c r="A2625">
        <v>2624</v>
      </c>
      <c r="B2625" s="23">
        <v>322.85899999999998</v>
      </c>
      <c r="C2625" s="23">
        <v>344.71</v>
      </c>
      <c r="D2625" s="23">
        <v>1334.14</v>
      </c>
      <c r="E2625" s="23">
        <v>322.85899999999998</v>
      </c>
      <c r="F2625" s="23">
        <v>-1011.2809999999999</v>
      </c>
      <c r="G2625" s="23">
        <v>0</v>
      </c>
      <c r="H2625" s="23">
        <v>0</v>
      </c>
      <c r="I2625" s="23">
        <v>0</v>
      </c>
      <c r="J2625" s="23">
        <v>0</v>
      </c>
      <c r="K2625" s="23">
        <v>0</v>
      </c>
    </row>
    <row r="2626" spans="1:11" x14ac:dyDescent="0.25">
      <c r="A2626">
        <v>2625</v>
      </c>
      <c r="B2626" s="23">
        <v>345.786</v>
      </c>
      <c r="C2626" s="23">
        <v>580.41</v>
      </c>
      <c r="D2626" s="23">
        <v>2237.239</v>
      </c>
      <c r="E2626" s="23">
        <v>345.786</v>
      </c>
      <c r="F2626" s="23">
        <v>-1684.559</v>
      </c>
      <c r="G2626" s="23">
        <v>0</v>
      </c>
      <c r="H2626" s="23">
        <v>206.89400000000001</v>
      </c>
      <c r="I2626" s="23">
        <v>0</v>
      </c>
      <c r="J2626" s="23">
        <v>0</v>
      </c>
      <c r="K2626" s="23">
        <v>0</v>
      </c>
    </row>
    <row r="2627" spans="1:11" x14ac:dyDescent="0.25">
      <c r="A2627">
        <v>2626</v>
      </c>
      <c r="B2627" s="23">
        <v>329.02</v>
      </c>
      <c r="C2627" s="23">
        <v>777.06</v>
      </c>
      <c r="D2627" s="23">
        <v>2895.7440000000001</v>
      </c>
      <c r="E2627" s="23">
        <v>329.02</v>
      </c>
      <c r="F2627" s="23">
        <v>-1684.559</v>
      </c>
      <c r="G2627" s="23">
        <v>0</v>
      </c>
      <c r="H2627" s="23">
        <v>882.16499999999996</v>
      </c>
      <c r="I2627" s="23">
        <v>0</v>
      </c>
      <c r="J2627" s="23">
        <v>0</v>
      </c>
      <c r="K2627" s="23">
        <v>0</v>
      </c>
    </row>
    <row r="2628" spans="1:11" x14ac:dyDescent="0.25">
      <c r="A2628">
        <v>2627</v>
      </c>
      <c r="B2628" s="23">
        <v>281.96899999999999</v>
      </c>
      <c r="C2628" s="23">
        <v>913.22</v>
      </c>
      <c r="D2628" s="23">
        <v>3320.4270000000001</v>
      </c>
      <c r="E2628" s="23">
        <v>281.97000000000003</v>
      </c>
      <c r="F2628" s="23">
        <v>-1684.559</v>
      </c>
      <c r="G2628" s="23">
        <v>0</v>
      </c>
      <c r="H2628" s="23">
        <v>1353.8979999999999</v>
      </c>
      <c r="I2628" s="23">
        <v>0</v>
      </c>
      <c r="J2628" s="23">
        <v>0</v>
      </c>
      <c r="K2628" s="23">
        <v>0</v>
      </c>
    </row>
    <row r="2629" spans="1:11" x14ac:dyDescent="0.25">
      <c r="A2629">
        <v>2628</v>
      </c>
      <c r="B2629" s="23">
        <v>315.11399999999998</v>
      </c>
      <c r="C2629" s="23">
        <v>982.14</v>
      </c>
      <c r="D2629" s="23">
        <v>3535.069</v>
      </c>
      <c r="E2629" s="23">
        <v>315.11399999999998</v>
      </c>
      <c r="F2629" s="23">
        <v>-1226.539</v>
      </c>
      <c r="G2629" s="23">
        <v>0</v>
      </c>
      <c r="H2629" s="23">
        <v>1993.4159999999999</v>
      </c>
      <c r="I2629" s="23">
        <v>0</v>
      </c>
      <c r="J2629" s="23">
        <v>0</v>
      </c>
      <c r="K2629" s="23">
        <v>0</v>
      </c>
    </row>
    <row r="2630" spans="1:11" x14ac:dyDescent="0.25">
      <c r="A2630">
        <v>2629</v>
      </c>
      <c r="B2630" s="23">
        <v>313.79199999999997</v>
      </c>
      <c r="C2630" s="23">
        <v>972.7</v>
      </c>
      <c r="D2630" s="23">
        <v>3520.114</v>
      </c>
      <c r="E2630" s="23">
        <v>313.79199999999997</v>
      </c>
      <c r="F2630" s="23">
        <v>0</v>
      </c>
      <c r="G2630" s="23">
        <v>0</v>
      </c>
      <c r="H2630" s="23">
        <v>3206.3220000000001</v>
      </c>
      <c r="I2630" s="23">
        <v>0</v>
      </c>
      <c r="J2630" s="23">
        <v>0</v>
      </c>
      <c r="K2630" s="23">
        <v>0</v>
      </c>
    </row>
    <row r="2631" spans="1:11" x14ac:dyDescent="0.25">
      <c r="A2631">
        <v>2630</v>
      </c>
      <c r="B2631" s="23">
        <v>298.36799999999999</v>
      </c>
      <c r="C2631" s="23">
        <v>859.73</v>
      </c>
      <c r="D2631" s="23">
        <v>3164.9169999999999</v>
      </c>
      <c r="E2631" s="23">
        <v>298.36799999999999</v>
      </c>
      <c r="F2631" s="23">
        <v>0</v>
      </c>
      <c r="G2631" s="23">
        <v>0</v>
      </c>
      <c r="H2631" s="23">
        <v>2866.549</v>
      </c>
      <c r="I2631" s="23">
        <v>0</v>
      </c>
      <c r="J2631" s="23">
        <v>0</v>
      </c>
      <c r="K2631" s="23">
        <v>0</v>
      </c>
    </row>
    <row r="2632" spans="1:11" x14ac:dyDescent="0.25">
      <c r="A2632">
        <v>2631</v>
      </c>
      <c r="B2632" s="23">
        <v>287.07299999999998</v>
      </c>
      <c r="C2632" s="23">
        <v>709.76</v>
      </c>
      <c r="D2632" s="23">
        <v>2684.692</v>
      </c>
      <c r="E2632" s="23">
        <v>287.07299999999998</v>
      </c>
      <c r="F2632" s="23">
        <v>0</v>
      </c>
      <c r="G2632" s="23">
        <v>0</v>
      </c>
      <c r="H2632" s="23">
        <v>2397.6190000000001</v>
      </c>
      <c r="I2632" s="23">
        <v>0</v>
      </c>
      <c r="J2632" s="23">
        <v>0</v>
      </c>
      <c r="K2632" s="23">
        <v>0</v>
      </c>
    </row>
    <row r="2633" spans="1:11" x14ac:dyDescent="0.25">
      <c r="A2633">
        <v>2632</v>
      </c>
      <c r="B2633" s="23">
        <v>258.15100000000001</v>
      </c>
      <c r="C2633" s="23">
        <v>508.01</v>
      </c>
      <c r="D2633" s="23">
        <v>1977.4939999999999</v>
      </c>
      <c r="E2633" s="23">
        <v>258.15100000000001</v>
      </c>
      <c r="F2633" s="23">
        <v>0</v>
      </c>
      <c r="G2633" s="23">
        <v>0</v>
      </c>
      <c r="H2633" s="23">
        <v>1719.3430000000001</v>
      </c>
      <c r="I2633" s="23">
        <v>0</v>
      </c>
      <c r="J2633" s="23">
        <v>0</v>
      </c>
      <c r="K2633" s="23">
        <v>0</v>
      </c>
    </row>
    <row r="2634" spans="1:11" x14ac:dyDescent="0.25">
      <c r="A2634">
        <v>2633</v>
      </c>
      <c r="B2634" s="23">
        <v>315.60700000000003</v>
      </c>
      <c r="C2634" s="23">
        <v>276.11</v>
      </c>
      <c r="D2634" s="23">
        <v>1046.0719999999999</v>
      </c>
      <c r="E2634" s="23">
        <v>315.60700000000003</v>
      </c>
      <c r="F2634" s="23">
        <v>0</v>
      </c>
      <c r="G2634" s="23">
        <v>0</v>
      </c>
      <c r="H2634" s="23">
        <v>730.46500000000003</v>
      </c>
      <c r="I2634" s="23">
        <v>0</v>
      </c>
      <c r="J2634" s="23">
        <v>0</v>
      </c>
      <c r="K2634" s="23">
        <v>0</v>
      </c>
    </row>
    <row r="2635" spans="1:11" x14ac:dyDescent="0.25">
      <c r="A2635">
        <v>2634</v>
      </c>
      <c r="B2635" s="23">
        <v>311.49200000000002</v>
      </c>
      <c r="C2635" s="23">
        <v>62.49</v>
      </c>
      <c r="D2635" s="23">
        <v>183.39500000000001</v>
      </c>
      <c r="E2635" s="23">
        <v>183.39500000000001</v>
      </c>
      <c r="F2635" s="23">
        <v>0</v>
      </c>
      <c r="G2635" s="23">
        <v>0</v>
      </c>
      <c r="H2635" s="23">
        <v>0</v>
      </c>
      <c r="I2635" s="23">
        <v>0</v>
      </c>
      <c r="J2635" s="23">
        <v>0</v>
      </c>
      <c r="K2635" s="23">
        <v>128.09700000000001</v>
      </c>
    </row>
    <row r="2636" spans="1:11" x14ac:dyDescent="0.25">
      <c r="A2636">
        <v>2635</v>
      </c>
      <c r="B2636" s="23">
        <v>272.738</v>
      </c>
      <c r="C2636" s="23">
        <v>0</v>
      </c>
      <c r="D2636" s="23">
        <v>0</v>
      </c>
      <c r="E2636" s="23">
        <v>0</v>
      </c>
      <c r="F2636" s="23">
        <v>0</v>
      </c>
      <c r="G2636" s="23">
        <v>0</v>
      </c>
      <c r="H2636" s="23">
        <v>0</v>
      </c>
      <c r="I2636" s="23">
        <v>0</v>
      </c>
      <c r="J2636" s="23">
        <v>0</v>
      </c>
      <c r="K2636" s="23">
        <v>272.738</v>
      </c>
    </row>
    <row r="2637" spans="1:11" x14ac:dyDescent="0.25">
      <c r="A2637">
        <v>2636</v>
      </c>
      <c r="B2637" s="23">
        <v>274.39999999999998</v>
      </c>
      <c r="C2637" s="23">
        <v>0</v>
      </c>
      <c r="D2637" s="23">
        <v>0</v>
      </c>
      <c r="E2637" s="23">
        <v>0</v>
      </c>
      <c r="F2637" s="23">
        <v>0</v>
      </c>
      <c r="G2637" s="23">
        <v>0</v>
      </c>
      <c r="H2637" s="23">
        <v>0</v>
      </c>
      <c r="I2637" s="23">
        <v>0</v>
      </c>
      <c r="J2637" s="23">
        <v>0</v>
      </c>
      <c r="K2637" s="23">
        <v>274.39999999999998</v>
      </c>
    </row>
    <row r="2638" spans="1:11" x14ac:dyDescent="0.25">
      <c r="A2638">
        <v>2637</v>
      </c>
      <c r="B2638" s="23">
        <v>260.8</v>
      </c>
      <c r="C2638" s="23">
        <v>0</v>
      </c>
      <c r="D2638" s="23">
        <v>0</v>
      </c>
      <c r="E2638" s="23">
        <v>0</v>
      </c>
      <c r="F2638" s="23">
        <v>0</v>
      </c>
      <c r="G2638" s="23">
        <v>0</v>
      </c>
      <c r="H2638" s="23">
        <v>0</v>
      </c>
      <c r="I2638" s="23">
        <v>0</v>
      </c>
      <c r="J2638" s="23">
        <v>0</v>
      </c>
      <c r="K2638" s="23">
        <v>260.8</v>
      </c>
    </row>
    <row r="2639" spans="1:11" x14ac:dyDescent="0.25">
      <c r="A2639">
        <v>2638</v>
      </c>
      <c r="B2639" s="23">
        <v>225.6</v>
      </c>
      <c r="C2639" s="23">
        <v>0</v>
      </c>
      <c r="D2639" s="23">
        <v>0</v>
      </c>
      <c r="E2639" s="23">
        <v>0</v>
      </c>
      <c r="F2639" s="23">
        <v>0</v>
      </c>
      <c r="G2639" s="23">
        <v>0</v>
      </c>
      <c r="H2639" s="23">
        <v>0</v>
      </c>
      <c r="I2639" s="23">
        <v>0</v>
      </c>
      <c r="J2639" s="23">
        <v>0</v>
      </c>
      <c r="K2639" s="23">
        <v>225.6</v>
      </c>
    </row>
    <row r="2640" spans="1:11" x14ac:dyDescent="0.25">
      <c r="A2640">
        <v>2639</v>
      </c>
      <c r="B2640" s="23">
        <v>268</v>
      </c>
      <c r="C2640" s="23">
        <v>0</v>
      </c>
      <c r="D2640" s="23">
        <v>0</v>
      </c>
      <c r="E2640" s="23">
        <v>0</v>
      </c>
      <c r="F2640" s="23">
        <v>0</v>
      </c>
      <c r="G2640" s="23">
        <v>0</v>
      </c>
      <c r="H2640" s="23">
        <v>0</v>
      </c>
      <c r="I2640" s="23">
        <v>0</v>
      </c>
      <c r="J2640" s="23">
        <v>0</v>
      </c>
      <c r="K2640" s="23">
        <v>268</v>
      </c>
    </row>
    <row r="2641" spans="1:11" x14ac:dyDescent="0.25">
      <c r="A2641">
        <v>2640</v>
      </c>
      <c r="B2641" s="23">
        <v>0</v>
      </c>
      <c r="C2641" s="23">
        <v>0</v>
      </c>
      <c r="D2641" s="23">
        <v>0</v>
      </c>
      <c r="E2641" s="23">
        <v>0</v>
      </c>
      <c r="F2641" s="23">
        <v>0</v>
      </c>
      <c r="G2641" s="23">
        <v>0</v>
      </c>
      <c r="H2641" s="23">
        <v>0</v>
      </c>
      <c r="I2641" s="23">
        <v>0</v>
      </c>
      <c r="J2641" s="23">
        <v>0</v>
      </c>
      <c r="K2641" s="23">
        <v>0</v>
      </c>
    </row>
    <row r="2642" spans="1:11" x14ac:dyDescent="0.25">
      <c r="A2642">
        <v>2641</v>
      </c>
      <c r="B2642" s="23">
        <v>0</v>
      </c>
      <c r="C2642" s="23">
        <v>0</v>
      </c>
      <c r="D2642" s="23">
        <v>0</v>
      </c>
      <c r="E2642" s="23">
        <v>0</v>
      </c>
      <c r="F2642" s="23">
        <v>0</v>
      </c>
      <c r="G2642" s="23">
        <v>0</v>
      </c>
      <c r="H2642" s="23">
        <v>0</v>
      </c>
      <c r="I2642" s="23">
        <v>0</v>
      </c>
      <c r="J2642" s="23">
        <v>0</v>
      </c>
      <c r="K2642" s="23">
        <v>0</v>
      </c>
    </row>
    <row r="2643" spans="1:11" x14ac:dyDescent="0.25">
      <c r="A2643">
        <v>2642</v>
      </c>
      <c r="B2643" s="23">
        <v>0</v>
      </c>
      <c r="C2643" s="23">
        <v>0</v>
      </c>
      <c r="D2643" s="23">
        <v>0</v>
      </c>
      <c r="E2643" s="23">
        <v>0</v>
      </c>
      <c r="F2643" s="23">
        <v>0</v>
      </c>
      <c r="G2643" s="23">
        <v>0</v>
      </c>
      <c r="H2643" s="23">
        <v>0</v>
      </c>
      <c r="I2643" s="23">
        <v>0</v>
      </c>
      <c r="J2643" s="23">
        <v>0</v>
      </c>
      <c r="K2643" s="23">
        <v>0</v>
      </c>
    </row>
    <row r="2644" spans="1:11" x14ac:dyDescent="0.25">
      <c r="A2644">
        <v>2643</v>
      </c>
      <c r="B2644" s="23">
        <v>0</v>
      </c>
      <c r="C2644" s="23">
        <v>0</v>
      </c>
      <c r="D2644" s="23">
        <v>0</v>
      </c>
      <c r="E2644" s="23">
        <v>0</v>
      </c>
      <c r="F2644" s="23">
        <v>0</v>
      </c>
      <c r="G2644" s="23">
        <v>0</v>
      </c>
      <c r="H2644" s="23">
        <v>0</v>
      </c>
      <c r="I2644" s="23">
        <v>0</v>
      </c>
      <c r="J2644" s="23">
        <v>0</v>
      </c>
      <c r="K2644" s="23">
        <v>0</v>
      </c>
    </row>
    <row r="2645" spans="1:11" x14ac:dyDescent="0.25">
      <c r="A2645">
        <v>2644</v>
      </c>
      <c r="B2645" s="23">
        <v>0</v>
      </c>
      <c r="C2645" s="23">
        <v>0</v>
      </c>
      <c r="D2645" s="23">
        <v>0</v>
      </c>
      <c r="E2645" s="23">
        <v>0</v>
      </c>
      <c r="F2645" s="23">
        <v>0</v>
      </c>
      <c r="G2645" s="23">
        <v>0</v>
      </c>
      <c r="H2645" s="23">
        <v>0</v>
      </c>
      <c r="I2645" s="23">
        <v>0</v>
      </c>
      <c r="J2645" s="23">
        <v>0</v>
      </c>
      <c r="K2645" s="23">
        <v>0</v>
      </c>
    </row>
    <row r="2646" spans="1:11" x14ac:dyDescent="0.25">
      <c r="A2646">
        <v>2645</v>
      </c>
      <c r="B2646" s="23">
        <v>0</v>
      </c>
      <c r="C2646" s="23">
        <v>0</v>
      </c>
      <c r="D2646" s="23">
        <v>0</v>
      </c>
      <c r="E2646" s="23">
        <v>0</v>
      </c>
      <c r="F2646" s="23">
        <v>0</v>
      </c>
      <c r="G2646" s="23">
        <v>0</v>
      </c>
      <c r="H2646" s="23">
        <v>0</v>
      </c>
      <c r="I2646" s="23">
        <v>0</v>
      </c>
      <c r="J2646" s="23">
        <v>0</v>
      </c>
      <c r="K2646" s="23">
        <v>0</v>
      </c>
    </row>
    <row r="2647" spans="1:11" x14ac:dyDescent="0.25">
      <c r="A2647">
        <v>2646</v>
      </c>
      <c r="B2647" s="23">
        <v>0</v>
      </c>
      <c r="C2647" s="23">
        <v>0</v>
      </c>
      <c r="D2647" s="23">
        <v>0</v>
      </c>
      <c r="E2647" s="23">
        <v>0</v>
      </c>
      <c r="F2647" s="23">
        <v>0</v>
      </c>
      <c r="G2647" s="23">
        <v>0</v>
      </c>
      <c r="H2647" s="23">
        <v>0</v>
      </c>
      <c r="I2647" s="23">
        <v>0</v>
      </c>
      <c r="J2647" s="23">
        <v>0</v>
      </c>
      <c r="K2647" s="23">
        <v>0</v>
      </c>
    </row>
    <row r="2648" spans="1:11" x14ac:dyDescent="0.25">
      <c r="A2648">
        <v>2647</v>
      </c>
      <c r="B2648" s="23">
        <v>39.491</v>
      </c>
      <c r="C2648" s="23">
        <v>99.63</v>
      </c>
      <c r="D2648" s="23">
        <v>345.80599999999998</v>
      </c>
      <c r="E2648" s="23">
        <v>39.491</v>
      </c>
      <c r="F2648" s="23">
        <v>-306.315</v>
      </c>
      <c r="G2648" s="23">
        <v>0</v>
      </c>
      <c r="H2648" s="23">
        <v>0</v>
      </c>
      <c r="I2648" s="23">
        <v>0</v>
      </c>
      <c r="J2648" s="23">
        <v>0</v>
      </c>
      <c r="K2648" s="23">
        <v>0</v>
      </c>
    </row>
    <row r="2649" spans="1:11" x14ac:dyDescent="0.25">
      <c r="A2649">
        <v>2648</v>
      </c>
      <c r="B2649" s="23">
        <v>37.99</v>
      </c>
      <c r="C2649" s="23">
        <v>326.79000000000002</v>
      </c>
      <c r="D2649" s="23">
        <v>1257.0050000000001</v>
      </c>
      <c r="E2649" s="23">
        <v>37.99</v>
      </c>
      <c r="F2649" s="23">
        <v>-1219.0150000000001</v>
      </c>
      <c r="G2649" s="23">
        <v>0</v>
      </c>
      <c r="H2649" s="23">
        <v>0</v>
      </c>
      <c r="I2649" s="23">
        <v>0</v>
      </c>
      <c r="J2649" s="23">
        <v>0</v>
      </c>
      <c r="K2649" s="23">
        <v>0</v>
      </c>
    </row>
    <row r="2650" spans="1:11" x14ac:dyDescent="0.25">
      <c r="A2650">
        <v>2649</v>
      </c>
      <c r="B2650" s="23">
        <v>302.11200000000002</v>
      </c>
      <c r="C2650" s="23">
        <v>563.69000000000005</v>
      </c>
      <c r="D2650" s="23">
        <v>2127.0949999999998</v>
      </c>
      <c r="E2650" s="23">
        <v>302.11200000000002</v>
      </c>
      <c r="F2650" s="23">
        <v>-65.698999999999998</v>
      </c>
      <c r="G2650" s="23">
        <v>0</v>
      </c>
      <c r="H2650" s="23">
        <v>1759.2840000000001</v>
      </c>
      <c r="I2650" s="23">
        <v>0</v>
      </c>
      <c r="J2650" s="23">
        <v>0</v>
      </c>
      <c r="K2650" s="23">
        <v>0</v>
      </c>
    </row>
    <row r="2651" spans="1:11" x14ac:dyDescent="0.25">
      <c r="A2651">
        <v>2650</v>
      </c>
      <c r="B2651" s="23">
        <v>565.02499999999998</v>
      </c>
      <c r="C2651" s="23">
        <v>763.87</v>
      </c>
      <c r="D2651" s="23">
        <v>2752.694</v>
      </c>
      <c r="E2651" s="23">
        <v>565.02499999999998</v>
      </c>
      <c r="F2651" s="23">
        <v>0</v>
      </c>
      <c r="G2651" s="23">
        <v>0</v>
      </c>
      <c r="H2651" s="23">
        <v>2187.6689999999999</v>
      </c>
      <c r="I2651" s="23">
        <v>0</v>
      </c>
      <c r="J2651" s="23">
        <v>0</v>
      </c>
      <c r="K2651" s="23">
        <v>0</v>
      </c>
    </row>
    <row r="2652" spans="1:11" x14ac:dyDescent="0.25">
      <c r="A2652">
        <v>2651</v>
      </c>
      <c r="B2652" s="23">
        <v>324.56</v>
      </c>
      <c r="C2652" s="23">
        <v>469.1</v>
      </c>
      <c r="D2652" s="23">
        <v>1696.87</v>
      </c>
      <c r="E2652" s="23">
        <v>324.56</v>
      </c>
      <c r="F2652" s="23">
        <v>0</v>
      </c>
      <c r="G2652" s="23">
        <v>0</v>
      </c>
      <c r="H2652" s="23">
        <v>1372.31</v>
      </c>
      <c r="I2652" s="23">
        <v>0</v>
      </c>
      <c r="J2652" s="23">
        <v>0</v>
      </c>
      <c r="K2652" s="23">
        <v>0</v>
      </c>
    </row>
    <row r="2653" spans="1:11" x14ac:dyDescent="0.25">
      <c r="A2653">
        <v>2652</v>
      </c>
      <c r="B2653" s="23">
        <v>314.69200000000001</v>
      </c>
      <c r="C2653" s="23">
        <v>982.14</v>
      </c>
      <c r="D2653" s="23">
        <v>3431.7379999999998</v>
      </c>
      <c r="E2653" s="23">
        <v>314.69200000000001</v>
      </c>
      <c r="F2653" s="23">
        <v>0</v>
      </c>
      <c r="G2653" s="23">
        <v>0</v>
      </c>
      <c r="H2653" s="23">
        <v>3117.0459999999998</v>
      </c>
      <c r="I2653" s="23">
        <v>0</v>
      </c>
      <c r="J2653" s="23">
        <v>0</v>
      </c>
      <c r="K2653" s="23">
        <v>0</v>
      </c>
    </row>
    <row r="2654" spans="1:11" x14ac:dyDescent="0.25">
      <c r="A2654">
        <v>2653</v>
      </c>
      <c r="B2654" s="23">
        <v>593.52099999999996</v>
      </c>
      <c r="C2654" s="23">
        <v>434.09</v>
      </c>
      <c r="D2654" s="23">
        <v>1573.1859999999999</v>
      </c>
      <c r="E2654" s="23">
        <v>593.52099999999996</v>
      </c>
      <c r="F2654" s="23">
        <v>0</v>
      </c>
      <c r="G2654" s="23">
        <v>0</v>
      </c>
      <c r="H2654" s="23">
        <v>979.66499999999996</v>
      </c>
      <c r="I2654" s="23">
        <v>0</v>
      </c>
      <c r="J2654" s="23">
        <v>0</v>
      </c>
      <c r="K2654" s="23">
        <v>0</v>
      </c>
    </row>
    <row r="2655" spans="1:11" x14ac:dyDescent="0.25">
      <c r="A2655">
        <v>2654</v>
      </c>
      <c r="B2655" s="23">
        <v>606.67700000000002</v>
      </c>
      <c r="C2655" s="23">
        <v>866.61</v>
      </c>
      <c r="D2655" s="23">
        <v>3136.2359999999999</v>
      </c>
      <c r="E2655" s="23">
        <v>606.67700000000002</v>
      </c>
      <c r="F2655" s="23">
        <v>0</v>
      </c>
      <c r="G2655" s="23">
        <v>0</v>
      </c>
      <c r="H2655" s="23">
        <v>2529.5590000000002</v>
      </c>
      <c r="I2655" s="23">
        <v>0</v>
      </c>
      <c r="J2655" s="23">
        <v>0</v>
      </c>
      <c r="K2655" s="23">
        <v>0</v>
      </c>
    </row>
    <row r="2656" spans="1:11" x14ac:dyDescent="0.25">
      <c r="A2656">
        <v>2655</v>
      </c>
      <c r="B2656" s="23">
        <v>413.15699999999998</v>
      </c>
      <c r="C2656" s="23">
        <v>384.17</v>
      </c>
      <c r="D2656" s="23">
        <v>1424.83</v>
      </c>
      <c r="E2656" s="23">
        <v>413.15699999999998</v>
      </c>
      <c r="F2656" s="23">
        <v>0</v>
      </c>
      <c r="G2656" s="23">
        <v>0</v>
      </c>
      <c r="H2656" s="23">
        <v>1011.673</v>
      </c>
      <c r="I2656" s="23">
        <v>0</v>
      </c>
      <c r="J2656" s="23">
        <v>0</v>
      </c>
      <c r="K2656" s="23">
        <v>0</v>
      </c>
    </row>
    <row r="2657" spans="1:11" x14ac:dyDescent="0.25">
      <c r="A2657">
        <v>2656</v>
      </c>
      <c r="B2657" s="23">
        <v>615.89599999999996</v>
      </c>
      <c r="C2657" s="23">
        <v>502.17</v>
      </c>
      <c r="D2657" s="23">
        <v>1931.1010000000001</v>
      </c>
      <c r="E2657" s="23">
        <v>615.89599999999996</v>
      </c>
      <c r="F2657" s="23">
        <v>0</v>
      </c>
      <c r="G2657" s="23">
        <v>0</v>
      </c>
      <c r="H2657" s="23">
        <v>1315.2049999999999</v>
      </c>
      <c r="I2657" s="23">
        <v>0</v>
      </c>
      <c r="J2657" s="23">
        <v>0</v>
      </c>
      <c r="K2657" s="23">
        <v>0</v>
      </c>
    </row>
    <row r="2658" spans="1:11" x14ac:dyDescent="0.25">
      <c r="A2658">
        <v>2657</v>
      </c>
      <c r="B2658" s="23">
        <v>592.27099999999996</v>
      </c>
      <c r="C2658" s="23">
        <v>269.87</v>
      </c>
      <c r="D2658" s="23">
        <v>1017.009</v>
      </c>
      <c r="E2658" s="23">
        <v>592.27099999999996</v>
      </c>
      <c r="F2658" s="23">
        <v>0</v>
      </c>
      <c r="G2658" s="23">
        <v>0</v>
      </c>
      <c r="H2658" s="23">
        <v>424.738</v>
      </c>
      <c r="I2658" s="23">
        <v>0</v>
      </c>
      <c r="J2658" s="23">
        <v>0</v>
      </c>
      <c r="K2658" s="23">
        <v>0</v>
      </c>
    </row>
    <row r="2659" spans="1:11" x14ac:dyDescent="0.25">
      <c r="A2659">
        <v>2658</v>
      </c>
      <c r="B2659" s="23">
        <v>583.14499999999998</v>
      </c>
      <c r="C2659" s="23">
        <v>57.22</v>
      </c>
      <c r="D2659" s="23">
        <v>171.947</v>
      </c>
      <c r="E2659" s="23">
        <v>171.947</v>
      </c>
      <c r="F2659" s="23">
        <v>0</v>
      </c>
      <c r="G2659" s="23">
        <v>0</v>
      </c>
      <c r="H2659" s="23">
        <v>0</v>
      </c>
      <c r="I2659" s="23">
        <v>0</v>
      </c>
      <c r="J2659" s="23">
        <v>0</v>
      </c>
      <c r="K2659" s="23">
        <v>411.19799999999998</v>
      </c>
    </row>
    <row r="2660" spans="1:11" x14ac:dyDescent="0.25">
      <c r="A2660">
        <v>2659</v>
      </c>
      <c r="B2660" s="23">
        <v>752.97900000000004</v>
      </c>
      <c r="C2660" s="23">
        <v>0</v>
      </c>
      <c r="D2660" s="23">
        <v>0</v>
      </c>
      <c r="E2660" s="23">
        <v>0</v>
      </c>
      <c r="F2660" s="23">
        <v>0</v>
      </c>
      <c r="G2660" s="23">
        <v>0</v>
      </c>
      <c r="H2660" s="23">
        <v>0</v>
      </c>
      <c r="I2660" s="23">
        <v>0</v>
      </c>
      <c r="J2660" s="23">
        <v>0</v>
      </c>
      <c r="K2660" s="23">
        <v>752.97900000000004</v>
      </c>
    </row>
    <row r="2661" spans="1:11" x14ac:dyDescent="0.25">
      <c r="A2661">
        <v>2660</v>
      </c>
      <c r="B2661" s="23">
        <v>606.4</v>
      </c>
      <c r="C2661" s="23">
        <v>0</v>
      </c>
      <c r="D2661" s="23">
        <v>0</v>
      </c>
      <c r="E2661" s="23">
        <v>0</v>
      </c>
      <c r="F2661" s="23">
        <v>0</v>
      </c>
      <c r="G2661" s="23">
        <v>0</v>
      </c>
      <c r="H2661" s="23">
        <v>0</v>
      </c>
      <c r="I2661" s="23">
        <v>0</v>
      </c>
      <c r="J2661" s="23">
        <v>0</v>
      </c>
      <c r="K2661" s="23">
        <v>606.4</v>
      </c>
    </row>
    <row r="2662" spans="1:11" x14ac:dyDescent="0.25">
      <c r="A2662">
        <v>2661</v>
      </c>
      <c r="B2662" s="23">
        <v>505.6</v>
      </c>
      <c r="C2662" s="23">
        <v>0</v>
      </c>
      <c r="D2662" s="23">
        <v>0</v>
      </c>
      <c r="E2662" s="23">
        <v>0</v>
      </c>
      <c r="F2662" s="23">
        <v>0</v>
      </c>
      <c r="G2662" s="23">
        <v>0</v>
      </c>
      <c r="H2662" s="23">
        <v>0</v>
      </c>
      <c r="I2662" s="23">
        <v>0</v>
      </c>
      <c r="J2662" s="23">
        <v>0</v>
      </c>
      <c r="K2662" s="23">
        <v>505.6</v>
      </c>
    </row>
    <row r="2663" spans="1:11" x14ac:dyDescent="0.25">
      <c r="A2663">
        <v>2662</v>
      </c>
      <c r="B2663" s="23">
        <v>594.4</v>
      </c>
      <c r="C2663" s="23">
        <v>0</v>
      </c>
      <c r="D2663" s="23">
        <v>0</v>
      </c>
      <c r="E2663" s="23">
        <v>0</v>
      </c>
      <c r="F2663" s="23">
        <v>0</v>
      </c>
      <c r="G2663" s="23">
        <v>0</v>
      </c>
      <c r="H2663" s="23">
        <v>0</v>
      </c>
      <c r="I2663" s="23">
        <v>0</v>
      </c>
      <c r="J2663" s="23">
        <v>0</v>
      </c>
      <c r="K2663" s="23">
        <v>594.4</v>
      </c>
    </row>
    <row r="2664" spans="1:11" x14ac:dyDescent="0.25">
      <c r="A2664">
        <v>2663</v>
      </c>
      <c r="B2664" s="23">
        <v>668.8</v>
      </c>
      <c r="C2664" s="23">
        <v>0</v>
      </c>
      <c r="D2664" s="23">
        <v>0</v>
      </c>
      <c r="E2664" s="23">
        <v>0</v>
      </c>
      <c r="F2664" s="23">
        <v>0</v>
      </c>
      <c r="G2664" s="23">
        <v>0</v>
      </c>
      <c r="H2664" s="23">
        <v>0</v>
      </c>
      <c r="I2664" s="23">
        <v>0</v>
      </c>
      <c r="J2664" s="23">
        <v>0</v>
      </c>
      <c r="K2664" s="23">
        <v>668.8</v>
      </c>
    </row>
    <row r="2665" spans="1:11" x14ac:dyDescent="0.25">
      <c r="A2665">
        <v>2664</v>
      </c>
      <c r="B2665" s="23">
        <v>0</v>
      </c>
      <c r="C2665" s="23">
        <v>0</v>
      </c>
      <c r="D2665" s="23">
        <v>0</v>
      </c>
      <c r="E2665" s="23">
        <v>0</v>
      </c>
      <c r="F2665" s="23">
        <v>0</v>
      </c>
      <c r="G2665" s="23">
        <v>0</v>
      </c>
      <c r="H2665" s="23">
        <v>0</v>
      </c>
      <c r="I2665" s="23">
        <v>0</v>
      </c>
      <c r="J2665" s="23">
        <v>0</v>
      </c>
      <c r="K2665" s="23">
        <v>0</v>
      </c>
    </row>
    <row r="2666" spans="1:11" x14ac:dyDescent="0.25">
      <c r="A2666">
        <v>2665</v>
      </c>
      <c r="B2666" s="23">
        <v>0</v>
      </c>
      <c r="C2666" s="23">
        <v>0</v>
      </c>
      <c r="D2666" s="23">
        <v>0</v>
      </c>
      <c r="E2666" s="23">
        <v>0</v>
      </c>
      <c r="F2666" s="23">
        <v>0</v>
      </c>
      <c r="G2666" s="23">
        <v>0</v>
      </c>
      <c r="H2666" s="23">
        <v>0</v>
      </c>
      <c r="I2666" s="23">
        <v>0</v>
      </c>
      <c r="J2666" s="23">
        <v>0</v>
      </c>
      <c r="K2666" s="23">
        <v>0</v>
      </c>
    </row>
    <row r="2667" spans="1:11" x14ac:dyDescent="0.25">
      <c r="A2667">
        <v>2666</v>
      </c>
      <c r="B2667" s="23">
        <v>0</v>
      </c>
      <c r="C2667" s="23">
        <v>0</v>
      </c>
      <c r="D2667" s="23">
        <v>0</v>
      </c>
      <c r="E2667" s="23">
        <v>0</v>
      </c>
      <c r="F2667" s="23">
        <v>0</v>
      </c>
      <c r="G2667" s="23">
        <v>0</v>
      </c>
      <c r="H2667" s="23">
        <v>0</v>
      </c>
      <c r="I2667" s="23">
        <v>0</v>
      </c>
      <c r="J2667" s="23">
        <v>0</v>
      </c>
      <c r="K2667" s="23">
        <v>0</v>
      </c>
    </row>
    <row r="2668" spans="1:11" x14ac:dyDescent="0.25">
      <c r="A2668">
        <v>2667</v>
      </c>
      <c r="B2668" s="23">
        <v>0</v>
      </c>
      <c r="C2668" s="23">
        <v>0</v>
      </c>
      <c r="D2668" s="23">
        <v>0</v>
      </c>
      <c r="E2668" s="23">
        <v>0</v>
      </c>
      <c r="F2668" s="23">
        <v>0</v>
      </c>
      <c r="G2668" s="23">
        <v>0</v>
      </c>
      <c r="H2668" s="23">
        <v>0</v>
      </c>
      <c r="I2668" s="23">
        <v>0</v>
      </c>
      <c r="J2668" s="23">
        <v>0</v>
      </c>
      <c r="K2668" s="23">
        <v>0</v>
      </c>
    </row>
    <row r="2669" spans="1:11" x14ac:dyDescent="0.25">
      <c r="A2669">
        <v>2668</v>
      </c>
      <c r="B2669" s="23">
        <v>0</v>
      </c>
      <c r="C2669" s="23">
        <v>0</v>
      </c>
      <c r="D2669" s="23">
        <v>0</v>
      </c>
      <c r="E2669" s="23">
        <v>0</v>
      </c>
      <c r="F2669" s="23">
        <v>0</v>
      </c>
      <c r="G2669" s="23">
        <v>0</v>
      </c>
      <c r="H2669" s="23">
        <v>0</v>
      </c>
      <c r="I2669" s="23">
        <v>0</v>
      </c>
      <c r="J2669" s="23">
        <v>0</v>
      </c>
      <c r="K2669" s="23">
        <v>0</v>
      </c>
    </row>
    <row r="2670" spans="1:11" x14ac:dyDescent="0.25">
      <c r="A2670">
        <v>2669</v>
      </c>
      <c r="B2670" s="23">
        <v>0</v>
      </c>
      <c r="C2670" s="23">
        <v>0</v>
      </c>
      <c r="D2670" s="23">
        <v>0</v>
      </c>
      <c r="E2670" s="23">
        <v>0</v>
      </c>
      <c r="F2670" s="23">
        <v>0</v>
      </c>
      <c r="G2670" s="23">
        <v>0</v>
      </c>
      <c r="H2670" s="23">
        <v>0</v>
      </c>
      <c r="I2670" s="23">
        <v>0</v>
      </c>
      <c r="J2670" s="23">
        <v>0</v>
      </c>
      <c r="K2670" s="23">
        <v>0</v>
      </c>
    </row>
    <row r="2671" spans="1:11" x14ac:dyDescent="0.25">
      <c r="A2671">
        <v>2670</v>
      </c>
      <c r="B2671" s="23">
        <v>0</v>
      </c>
      <c r="C2671" s="23">
        <v>0</v>
      </c>
      <c r="D2671" s="23">
        <v>0</v>
      </c>
      <c r="E2671" s="23">
        <v>0</v>
      </c>
      <c r="F2671" s="23">
        <v>0</v>
      </c>
      <c r="G2671" s="23">
        <v>0</v>
      </c>
      <c r="H2671" s="23">
        <v>0</v>
      </c>
      <c r="I2671" s="23">
        <v>0</v>
      </c>
      <c r="J2671" s="23">
        <v>0</v>
      </c>
      <c r="K2671" s="23">
        <v>0</v>
      </c>
    </row>
    <row r="2672" spans="1:11" x14ac:dyDescent="0.25">
      <c r="A2672">
        <v>2671</v>
      </c>
      <c r="B2672" s="23">
        <v>1652.413</v>
      </c>
      <c r="C2672" s="23">
        <v>114.55</v>
      </c>
      <c r="D2672" s="23">
        <v>375.77300000000002</v>
      </c>
      <c r="E2672" s="23">
        <v>375.77300000000002</v>
      </c>
      <c r="F2672" s="23">
        <v>0</v>
      </c>
      <c r="G2672" s="23">
        <v>0</v>
      </c>
      <c r="H2672" s="23">
        <v>0</v>
      </c>
      <c r="I2672" s="23">
        <v>0</v>
      </c>
      <c r="J2672" s="23">
        <v>0</v>
      </c>
      <c r="K2672" s="23">
        <v>1276.6400000000001</v>
      </c>
    </row>
    <row r="2673" spans="1:11" x14ac:dyDescent="0.25">
      <c r="A2673">
        <v>2672</v>
      </c>
      <c r="B2673" s="23">
        <v>1082.942</v>
      </c>
      <c r="C2673" s="23">
        <v>348.14</v>
      </c>
      <c r="D2673" s="23">
        <v>1333.355</v>
      </c>
      <c r="E2673" s="23">
        <v>1082.942</v>
      </c>
      <c r="F2673" s="23">
        <v>-250.41300000000001</v>
      </c>
      <c r="G2673" s="23">
        <v>0</v>
      </c>
      <c r="H2673" s="23">
        <v>0</v>
      </c>
      <c r="I2673" s="23">
        <v>0</v>
      </c>
      <c r="J2673" s="23">
        <v>0</v>
      </c>
      <c r="K2673" s="23">
        <v>0</v>
      </c>
    </row>
    <row r="2674" spans="1:11" x14ac:dyDescent="0.25">
      <c r="A2674">
        <v>2673</v>
      </c>
      <c r="B2674" s="23">
        <v>1038.0609999999999</v>
      </c>
      <c r="C2674" s="23">
        <v>588.11</v>
      </c>
      <c r="D2674" s="23">
        <v>2238.029</v>
      </c>
      <c r="E2674" s="23">
        <v>1038.0609999999999</v>
      </c>
      <c r="F2674" s="23">
        <v>-1199.9680000000001</v>
      </c>
      <c r="G2674" s="23">
        <v>0</v>
      </c>
      <c r="H2674" s="23">
        <v>0</v>
      </c>
      <c r="I2674" s="23">
        <v>0</v>
      </c>
      <c r="J2674" s="23">
        <v>0</v>
      </c>
      <c r="K2674" s="23">
        <v>0</v>
      </c>
    </row>
    <row r="2675" spans="1:11" x14ac:dyDescent="0.25">
      <c r="A2675">
        <v>2674</v>
      </c>
      <c r="B2675" s="23">
        <v>1455.5</v>
      </c>
      <c r="C2675" s="23">
        <v>789.28</v>
      </c>
      <c r="D2675" s="23">
        <v>2892.2370000000001</v>
      </c>
      <c r="E2675" s="23">
        <v>1455.5</v>
      </c>
      <c r="F2675" s="23">
        <v>-1436.7370000000001</v>
      </c>
      <c r="G2675" s="23">
        <v>0</v>
      </c>
      <c r="H2675" s="23">
        <v>0</v>
      </c>
      <c r="I2675" s="23">
        <v>0</v>
      </c>
      <c r="J2675" s="23">
        <v>0</v>
      </c>
      <c r="K2675" s="23">
        <v>0</v>
      </c>
    </row>
    <row r="2676" spans="1:11" x14ac:dyDescent="0.25">
      <c r="A2676">
        <v>2675</v>
      </c>
      <c r="B2676" s="23">
        <v>1822.6569999999999</v>
      </c>
      <c r="C2676" s="23">
        <v>917.6</v>
      </c>
      <c r="D2676" s="23">
        <v>3269.72</v>
      </c>
      <c r="E2676" s="23">
        <v>1822.6569999999999</v>
      </c>
      <c r="F2676" s="23">
        <v>-1447.0630000000001</v>
      </c>
      <c r="G2676" s="23">
        <v>0</v>
      </c>
      <c r="H2676" s="23">
        <v>0</v>
      </c>
      <c r="I2676" s="23">
        <v>0</v>
      </c>
      <c r="J2676" s="23">
        <v>0</v>
      </c>
      <c r="K2676" s="23">
        <v>0</v>
      </c>
    </row>
    <row r="2677" spans="1:11" x14ac:dyDescent="0.25">
      <c r="A2677">
        <v>2676</v>
      </c>
      <c r="B2677" s="23">
        <v>1569.6980000000001</v>
      </c>
      <c r="C2677" s="23">
        <v>984.07</v>
      </c>
      <c r="D2677" s="23">
        <v>3474.5419999999999</v>
      </c>
      <c r="E2677" s="23">
        <v>1569.6990000000001</v>
      </c>
      <c r="F2677" s="23">
        <v>-1025.5239999999999</v>
      </c>
      <c r="G2677" s="23">
        <v>0</v>
      </c>
      <c r="H2677" s="23">
        <v>879.31899999999996</v>
      </c>
      <c r="I2677" s="23">
        <v>0</v>
      </c>
      <c r="J2677" s="23">
        <v>0</v>
      </c>
      <c r="K2677" s="23">
        <v>0</v>
      </c>
    </row>
    <row r="2678" spans="1:11" x14ac:dyDescent="0.25">
      <c r="A2678">
        <v>2677</v>
      </c>
      <c r="B2678" s="23">
        <v>1627.1869999999999</v>
      </c>
      <c r="C2678" s="23">
        <v>974.24</v>
      </c>
      <c r="D2678" s="23">
        <v>3460.1289999999999</v>
      </c>
      <c r="E2678" s="23">
        <v>1627.1869999999999</v>
      </c>
      <c r="F2678" s="23">
        <v>0</v>
      </c>
      <c r="G2678" s="23">
        <v>0</v>
      </c>
      <c r="H2678" s="23">
        <v>1832.942</v>
      </c>
      <c r="I2678" s="23">
        <v>0</v>
      </c>
      <c r="J2678" s="23">
        <v>0</v>
      </c>
      <c r="K2678" s="23">
        <v>0</v>
      </c>
    </row>
    <row r="2679" spans="1:11" x14ac:dyDescent="0.25">
      <c r="A2679">
        <v>2678</v>
      </c>
      <c r="B2679" s="23">
        <v>1849.0640000000001</v>
      </c>
      <c r="C2679" s="23">
        <v>884.51</v>
      </c>
      <c r="D2679" s="23">
        <v>3206.4079999999999</v>
      </c>
      <c r="E2679" s="23">
        <v>1849.0640000000001</v>
      </c>
      <c r="F2679" s="23">
        <v>0</v>
      </c>
      <c r="G2679" s="23">
        <v>0</v>
      </c>
      <c r="H2679" s="23">
        <v>1357.3440000000001</v>
      </c>
      <c r="I2679" s="23">
        <v>0</v>
      </c>
      <c r="J2679" s="23">
        <v>0</v>
      </c>
      <c r="K2679" s="23">
        <v>0</v>
      </c>
    </row>
    <row r="2680" spans="1:11" x14ac:dyDescent="0.25">
      <c r="A2680">
        <v>2679</v>
      </c>
      <c r="B2680" s="23">
        <v>1544.646</v>
      </c>
      <c r="C2680" s="23">
        <v>729.17</v>
      </c>
      <c r="D2680" s="23">
        <v>2716.8589999999999</v>
      </c>
      <c r="E2680" s="23">
        <v>1544.646</v>
      </c>
      <c r="F2680" s="23">
        <v>0</v>
      </c>
      <c r="G2680" s="23">
        <v>0</v>
      </c>
      <c r="H2680" s="23">
        <v>1172.213</v>
      </c>
      <c r="I2680" s="23">
        <v>0</v>
      </c>
      <c r="J2680" s="23">
        <v>0</v>
      </c>
      <c r="K2680" s="23">
        <v>0</v>
      </c>
    </row>
    <row r="2681" spans="1:11" x14ac:dyDescent="0.25">
      <c r="A2681">
        <v>2680</v>
      </c>
      <c r="B2681" s="23">
        <v>1277.5</v>
      </c>
      <c r="C2681" s="23">
        <v>520.66</v>
      </c>
      <c r="D2681" s="23">
        <v>2001.903</v>
      </c>
      <c r="E2681" s="23">
        <v>1277.5</v>
      </c>
      <c r="F2681" s="23">
        <v>0</v>
      </c>
      <c r="G2681" s="23">
        <v>0</v>
      </c>
      <c r="H2681" s="23">
        <v>724.40300000000002</v>
      </c>
      <c r="I2681" s="23">
        <v>0</v>
      </c>
      <c r="J2681" s="23">
        <v>0</v>
      </c>
      <c r="K2681" s="23">
        <v>0</v>
      </c>
    </row>
    <row r="2682" spans="1:11" x14ac:dyDescent="0.25">
      <c r="A2682">
        <v>2681</v>
      </c>
      <c r="B2682" s="23">
        <v>1415.472</v>
      </c>
      <c r="C2682" s="23">
        <v>281.88</v>
      </c>
      <c r="D2682" s="23">
        <v>1052.0899999999999</v>
      </c>
      <c r="E2682" s="23">
        <v>1052.0899999999999</v>
      </c>
      <c r="F2682" s="23">
        <v>0</v>
      </c>
      <c r="G2682" s="23">
        <v>0</v>
      </c>
      <c r="H2682" s="23">
        <v>0</v>
      </c>
      <c r="I2682" s="23">
        <v>363.38200000000001</v>
      </c>
      <c r="J2682" s="23">
        <v>0</v>
      </c>
      <c r="K2682" s="23">
        <v>0</v>
      </c>
    </row>
    <row r="2683" spans="1:11" x14ac:dyDescent="0.25">
      <c r="A2683">
        <v>2682</v>
      </c>
      <c r="B2683" s="23">
        <v>1528.819</v>
      </c>
      <c r="C2683" s="23">
        <v>45.52</v>
      </c>
      <c r="D2683" s="23">
        <v>141.108</v>
      </c>
      <c r="E2683" s="23">
        <v>141.108</v>
      </c>
      <c r="F2683" s="23">
        <v>0</v>
      </c>
      <c r="G2683" s="23">
        <v>0</v>
      </c>
      <c r="H2683" s="23">
        <v>0</v>
      </c>
      <c r="I2683" s="23">
        <v>0</v>
      </c>
      <c r="J2683" s="23">
        <v>0</v>
      </c>
      <c r="K2683" s="23">
        <v>1387.711</v>
      </c>
    </row>
    <row r="2684" spans="1:11" x14ac:dyDescent="0.25">
      <c r="A2684">
        <v>2683</v>
      </c>
      <c r="B2684" s="23">
        <v>1597.596</v>
      </c>
      <c r="C2684" s="23">
        <v>0</v>
      </c>
      <c r="D2684" s="23">
        <v>0</v>
      </c>
      <c r="E2684" s="23">
        <v>0</v>
      </c>
      <c r="F2684" s="23">
        <v>0</v>
      </c>
      <c r="G2684" s="23">
        <v>0</v>
      </c>
      <c r="H2684" s="23">
        <v>0</v>
      </c>
      <c r="I2684" s="23">
        <v>0</v>
      </c>
      <c r="J2684" s="23">
        <v>0</v>
      </c>
      <c r="K2684" s="23">
        <v>1597.596</v>
      </c>
    </row>
    <row r="2685" spans="1:11" x14ac:dyDescent="0.25">
      <c r="A2685">
        <v>2684</v>
      </c>
      <c r="B2685" s="23">
        <v>1565.6</v>
      </c>
      <c r="C2685" s="23">
        <v>0</v>
      </c>
      <c r="D2685" s="23">
        <v>0</v>
      </c>
      <c r="E2685" s="23">
        <v>0</v>
      </c>
      <c r="F2685" s="23">
        <v>0</v>
      </c>
      <c r="G2685" s="23">
        <v>0</v>
      </c>
      <c r="H2685" s="23">
        <v>0</v>
      </c>
      <c r="I2685" s="23">
        <v>0</v>
      </c>
      <c r="J2685" s="23">
        <v>0</v>
      </c>
      <c r="K2685" s="23">
        <v>1565.6</v>
      </c>
    </row>
    <row r="2686" spans="1:11" x14ac:dyDescent="0.25">
      <c r="A2686">
        <v>2685</v>
      </c>
      <c r="B2686" s="23">
        <v>1574.4</v>
      </c>
      <c r="C2686" s="23">
        <v>0</v>
      </c>
      <c r="D2686" s="23">
        <v>0</v>
      </c>
      <c r="E2686" s="23">
        <v>0</v>
      </c>
      <c r="F2686" s="23">
        <v>0</v>
      </c>
      <c r="G2686" s="23">
        <v>0</v>
      </c>
      <c r="H2686" s="23">
        <v>0</v>
      </c>
      <c r="I2686" s="23">
        <v>1574.4</v>
      </c>
      <c r="J2686" s="23">
        <v>0</v>
      </c>
      <c r="K2686" s="23">
        <v>0</v>
      </c>
    </row>
    <row r="2687" spans="1:11" x14ac:dyDescent="0.25">
      <c r="A2687">
        <v>2686</v>
      </c>
      <c r="B2687" s="23">
        <v>2055.1999999999998</v>
      </c>
      <c r="C2687" s="23">
        <v>0</v>
      </c>
      <c r="D2687" s="23">
        <v>0</v>
      </c>
      <c r="E2687" s="23">
        <v>0</v>
      </c>
      <c r="F2687" s="23">
        <v>0</v>
      </c>
      <c r="G2687" s="23">
        <v>0</v>
      </c>
      <c r="H2687" s="23">
        <v>0</v>
      </c>
      <c r="I2687" s="23">
        <v>1318.375</v>
      </c>
      <c r="J2687" s="23">
        <v>0</v>
      </c>
      <c r="K2687" s="23">
        <v>736.82500000000005</v>
      </c>
    </row>
    <row r="2688" spans="1:11" x14ac:dyDescent="0.25">
      <c r="A2688">
        <v>2687</v>
      </c>
      <c r="B2688" s="23">
        <v>2027.2</v>
      </c>
      <c r="C2688" s="23">
        <v>0</v>
      </c>
      <c r="D2688" s="23">
        <v>0</v>
      </c>
      <c r="E2688" s="23">
        <v>0</v>
      </c>
      <c r="F2688" s="23">
        <v>0</v>
      </c>
      <c r="G2688" s="23">
        <v>0</v>
      </c>
      <c r="H2688" s="23">
        <v>0</v>
      </c>
      <c r="I2688" s="23">
        <v>2027.2</v>
      </c>
      <c r="J2688" s="23">
        <v>0</v>
      </c>
      <c r="K2688" s="23">
        <v>0</v>
      </c>
    </row>
    <row r="2689" spans="1:11" x14ac:dyDescent="0.25">
      <c r="A2689">
        <v>2688</v>
      </c>
      <c r="B2689" s="23">
        <v>0</v>
      </c>
      <c r="C2689" s="23">
        <v>0</v>
      </c>
      <c r="D2689" s="23">
        <v>0</v>
      </c>
      <c r="E2689" s="23">
        <v>0</v>
      </c>
      <c r="F2689" s="23">
        <v>0</v>
      </c>
      <c r="G2689" s="23">
        <v>0</v>
      </c>
      <c r="H2689" s="23">
        <v>0</v>
      </c>
      <c r="I2689" s="23">
        <v>0</v>
      </c>
      <c r="J2689" s="23">
        <v>0</v>
      </c>
      <c r="K2689" s="23">
        <v>0</v>
      </c>
    </row>
    <row r="2690" spans="1:11" x14ac:dyDescent="0.25">
      <c r="A2690">
        <v>2689</v>
      </c>
      <c r="B2690" s="23">
        <v>0</v>
      </c>
      <c r="C2690" s="23">
        <v>0</v>
      </c>
      <c r="D2690" s="23">
        <v>0</v>
      </c>
      <c r="E2690" s="23">
        <v>0</v>
      </c>
      <c r="F2690" s="23">
        <v>0</v>
      </c>
      <c r="G2690" s="23">
        <v>0</v>
      </c>
      <c r="H2690" s="23">
        <v>0</v>
      </c>
      <c r="I2690" s="23">
        <v>0</v>
      </c>
      <c r="J2690" s="23">
        <v>0</v>
      </c>
      <c r="K2690" s="23">
        <v>0</v>
      </c>
    </row>
    <row r="2691" spans="1:11" x14ac:dyDescent="0.25">
      <c r="A2691">
        <v>2690</v>
      </c>
      <c r="B2691" s="23">
        <v>0</v>
      </c>
      <c r="C2691" s="23">
        <v>0</v>
      </c>
      <c r="D2691" s="23">
        <v>0</v>
      </c>
      <c r="E2691" s="23">
        <v>0</v>
      </c>
      <c r="F2691" s="23">
        <v>0</v>
      </c>
      <c r="G2691" s="23">
        <v>0</v>
      </c>
      <c r="H2691" s="23">
        <v>0</v>
      </c>
      <c r="I2691" s="23">
        <v>0</v>
      </c>
      <c r="J2691" s="23">
        <v>0</v>
      </c>
      <c r="K2691" s="23">
        <v>0</v>
      </c>
    </row>
    <row r="2692" spans="1:11" x14ac:dyDescent="0.25">
      <c r="A2692">
        <v>2691</v>
      </c>
      <c r="B2692" s="23">
        <v>0</v>
      </c>
      <c r="C2692" s="23">
        <v>0</v>
      </c>
      <c r="D2692" s="23">
        <v>0</v>
      </c>
      <c r="E2692" s="23">
        <v>0</v>
      </c>
      <c r="F2692" s="23">
        <v>0</v>
      </c>
      <c r="G2692" s="23">
        <v>0</v>
      </c>
      <c r="H2692" s="23">
        <v>0</v>
      </c>
      <c r="I2692" s="23">
        <v>0</v>
      </c>
      <c r="J2692" s="23">
        <v>0</v>
      </c>
      <c r="K2692" s="23">
        <v>0</v>
      </c>
    </row>
    <row r="2693" spans="1:11" x14ac:dyDescent="0.25">
      <c r="A2693">
        <v>2692</v>
      </c>
      <c r="B2693" s="23">
        <v>0</v>
      </c>
      <c r="C2693" s="23">
        <v>0</v>
      </c>
      <c r="D2693" s="23">
        <v>0</v>
      </c>
      <c r="E2693" s="23">
        <v>0</v>
      </c>
      <c r="F2693" s="23">
        <v>0</v>
      </c>
      <c r="G2693" s="23">
        <v>0</v>
      </c>
      <c r="H2693" s="23">
        <v>0</v>
      </c>
      <c r="I2693" s="23">
        <v>0</v>
      </c>
      <c r="J2693" s="23">
        <v>0</v>
      </c>
      <c r="K2693" s="23">
        <v>0</v>
      </c>
    </row>
    <row r="2694" spans="1:11" x14ac:dyDescent="0.25">
      <c r="A2694">
        <v>2693</v>
      </c>
      <c r="B2694" s="23">
        <v>0</v>
      </c>
      <c r="C2694" s="23">
        <v>0</v>
      </c>
      <c r="D2694" s="23">
        <v>0</v>
      </c>
      <c r="E2694" s="23">
        <v>0</v>
      </c>
      <c r="F2694" s="23">
        <v>0</v>
      </c>
      <c r="G2694" s="23">
        <v>0</v>
      </c>
      <c r="H2694" s="23">
        <v>0</v>
      </c>
      <c r="I2694" s="23">
        <v>0</v>
      </c>
      <c r="J2694" s="23">
        <v>0</v>
      </c>
      <c r="K2694" s="23">
        <v>0</v>
      </c>
    </row>
    <row r="2695" spans="1:11" x14ac:dyDescent="0.25">
      <c r="A2695">
        <v>2694</v>
      </c>
      <c r="B2695" s="23">
        <v>0</v>
      </c>
      <c r="C2695" s="23">
        <v>0</v>
      </c>
      <c r="D2695" s="23">
        <v>0</v>
      </c>
      <c r="E2695" s="23">
        <v>0</v>
      </c>
      <c r="F2695" s="23">
        <v>0</v>
      </c>
      <c r="G2695" s="23">
        <v>0</v>
      </c>
      <c r="H2695" s="23">
        <v>0</v>
      </c>
      <c r="I2695" s="23">
        <v>0</v>
      </c>
      <c r="J2695" s="23">
        <v>0</v>
      </c>
      <c r="K2695" s="23">
        <v>0</v>
      </c>
    </row>
    <row r="2696" spans="1:11" x14ac:dyDescent="0.25">
      <c r="A2696">
        <v>2695</v>
      </c>
      <c r="B2696" s="23">
        <v>1539.86</v>
      </c>
      <c r="C2696" s="23">
        <v>78.14</v>
      </c>
      <c r="D2696" s="23">
        <v>275.74299999999999</v>
      </c>
      <c r="E2696" s="23">
        <v>275.74299999999999</v>
      </c>
      <c r="F2696" s="23">
        <v>0</v>
      </c>
      <c r="G2696" s="23">
        <v>0</v>
      </c>
      <c r="H2696" s="23">
        <v>0</v>
      </c>
      <c r="I2696" s="23">
        <v>0</v>
      </c>
      <c r="J2696" s="23">
        <v>0</v>
      </c>
      <c r="K2696" s="23">
        <v>1264.117</v>
      </c>
    </row>
    <row r="2697" spans="1:11" x14ac:dyDescent="0.25">
      <c r="A2697">
        <v>2696</v>
      </c>
      <c r="B2697" s="23">
        <v>753.77300000000002</v>
      </c>
      <c r="C2697" s="23">
        <v>350.76</v>
      </c>
      <c r="D2697" s="23">
        <v>1345.0139999999999</v>
      </c>
      <c r="E2697" s="23">
        <v>753.77300000000002</v>
      </c>
      <c r="F2697" s="23">
        <v>-591.24099999999999</v>
      </c>
      <c r="G2697" s="23">
        <v>0</v>
      </c>
      <c r="H2697" s="23">
        <v>0</v>
      </c>
      <c r="I2697" s="23">
        <v>0</v>
      </c>
      <c r="J2697" s="23">
        <v>0</v>
      </c>
      <c r="K2697" s="23">
        <v>0</v>
      </c>
    </row>
    <row r="2698" spans="1:11" x14ac:dyDescent="0.25">
      <c r="A2698">
        <v>2697</v>
      </c>
      <c r="B2698" s="23">
        <v>1086.6310000000001</v>
      </c>
      <c r="C2698" s="23">
        <v>586.52</v>
      </c>
      <c r="D2698" s="23">
        <v>2226.2150000000001</v>
      </c>
      <c r="E2698" s="23">
        <v>1086.6310000000001</v>
      </c>
      <c r="F2698" s="23">
        <v>-1139.5840000000001</v>
      </c>
      <c r="G2698" s="23">
        <v>0</v>
      </c>
      <c r="H2698" s="23">
        <v>0</v>
      </c>
      <c r="I2698" s="23">
        <v>0</v>
      </c>
      <c r="J2698" s="23">
        <v>0</v>
      </c>
      <c r="K2698" s="23">
        <v>0</v>
      </c>
    </row>
    <row r="2699" spans="1:11" x14ac:dyDescent="0.25">
      <c r="A2699">
        <v>2698</v>
      </c>
      <c r="B2699" s="23">
        <v>1522.9570000000001</v>
      </c>
      <c r="C2699" s="23">
        <v>786.68</v>
      </c>
      <c r="D2699" s="23">
        <v>2870.8820000000001</v>
      </c>
      <c r="E2699" s="23">
        <v>1522.9570000000001</v>
      </c>
      <c r="F2699" s="23">
        <v>-1347.925</v>
      </c>
      <c r="G2699" s="23">
        <v>0</v>
      </c>
      <c r="H2699" s="23">
        <v>0</v>
      </c>
      <c r="I2699" s="23">
        <v>0</v>
      </c>
      <c r="J2699" s="23">
        <v>0</v>
      </c>
      <c r="K2699" s="23">
        <v>0</v>
      </c>
    </row>
    <row r="2700" spans="1:11" x14ac:dyDescent="0.25">
      <c r="A2700">
        <v>2699</v>
      </c>
      <c r="B2700" s="23">
        <v>1186.075</v>
      </c>
      <c r="C2700" s="23">
        <v>930.62</v>
      </c>
      <c r="D2700" s="23">
        <v>3297.9090000000001</v>
      </c>
      <c r="E2700" s="23">
        <v>1186.075</v>
      </c>
      <c r="F2700" s="23">
        <v>-1684.559</v>
      </c>
      <c r="G2700" s="23">
        <v>0</v>
      </c>
      <c r="H2700" s="23">
        <v>427.27499999999998</v>
      </c>
      <c r="I2700" s="23">
        <v>0</v>
      </c>
      <c r="J2700" s="23">
        <v>0</v>
      </c>
      <c r="K2700" s="23">
        <v>0</v>
      </c>
    </row>
    <row r="2701" spans="1:11" x14ac:dyDescent="0.25">
      <c r="A2701">
        <v>2700</v>
      </c>
      <c r="B2701" s="23">
        <v>1273.6790000000001</v>
      </c>
      <c r="C2701" s="23">
        <v>998.5</v>
      </c>
      <c r="D2701" s="23">
        <v>3494.962</v>
      </c>
      <c r="E2701" s="23">
        <v>1273.6790000000001</v>
      </c>
      <c r="F2701" s="23">
        <v>-1684.559</v>
      </c>
      <c r="G2701" s="23">
        <v>0</v>
      </c>
      <c r="H2701" s="23">
        <v>536.72400000000005</v>
      </c>
      <c r="I2701" s="23">
        <v>0</v>
      </c>
      <c r="J2701" s="23">
        <v>0</v>
      </c>
      <c r="K2701" s="23">
        <v>0</v>
      </c>
    </row>
    <row r="2702" spans="1:11" x14ac:dyDescent="0.25">
      <c r="A2702">
        <v>2701</v>
      </c>
      <c r="B2702" s="23">
        <v>1087.3440000000001</v>
      </c>
      <c r="C2702" s="23">
        <v>990.03</v>
      </c>
      <c r="D2702" s="23">
        <v>3491.3359999999998</v>
      </c>
      <c r="E2702" s="23">
        <v>1087.3440000000001</v>
      </c>
      <c r="F2702" s="23">
        <v>-843.63</v>
      </c>
      <c r="G2702" s="23">
        <v>0</v>
      </c>
      <c r="H2702" s="23">
        <v>1560.3620000000001</v>
      </c>
      <c r="I2702" s="23">
        <v>0</v>
      </c>
      <c r="J2702" s="23">
        <v>0</v>
      </c>
      <c r="K2702" s="23">
        <v>0</v>
      </c>
    </row>
    <row r="2703" spans="1:11" x14ac:dyDescent="0.25">
      <c r="A2703">
        <v>2702</v>
      </c>
      <c r="B2703" s="23">
        <v>1231.626</v>
      </c>
      <c r="C2703" s="23">
        <v>898.87</v>
      </c>
      <c r="D2703" s="23">
        <v>3241.4630000000002</v>
      </c>
      <c r="E2703" s="23">
        <v>1231.626</v>
      </c>
      <c r="F2703" s="23">
        <v>0</v>
      </c>
      <c r="G2703" s="23">
        <v>0</v>
      </c>
      <c r="H2703" s="23">
        <v>2009.837</v>
      </c>
      <c r="I2703" s="23">
        <v>0</v>
      </c>
      <c r="J2703" s="23">
        <v>0</v>
      </c>
      <c r="K2703" s="23">
        <v>0</v>
      </c>
    </row>
    <row r="2704" spans="1:11" x14ac:dyDescent="0.25">
      <c r="A2704">
        <v>2703</v>
      </c>
      <c r="B2704" s="23">
        <v>1034.934</v>
      </c>
      <c r="C2704" s="23">
        <v>742.55</v>
      </c>
      <c r="D2704" s="23">
        <v>2766.0889999999999</v>
      </c>
      <c r="E2704" s="23">
        <v>1034.934</v>
      </c>
      <c r="F2704" s="23">
        <v>0</v>
      </c>
      <c r="G2704" s="23">
        <v>0</v>
      </c>
      <c r="H2704" s="23">
        <v>1731.155</v>
      </c>
      <c r="I2704" s="23">
        <v>0</v>
      </c>
      <c r="J2704" s="23">
        <v>0</v>
      </c>
      <c r="K2704" s="23">
        <v>0</v>
      </c>
    </row>
    <row r="2705" spans="1:11" x14ac:dyDescent="0.25">
      <c r="A2705">
        <v>2704</v>
      </c>
      <c r="B2705" s="23">
        <v>806.51199999999994</v>
      </c>
      <c r="C2705" s="23">
        <v>532.67999999999995</v>
      </c>
      <c r="D2705" s="23">
        <v>2053.0590000000002</v>
      </c>
      <c r="E2705" s="23">
        <v>806.51199999999994</v>
      </c>
      <c r="F2705" s="23">
        <v>0</v>
      </c>
      <c r="G2705" s="23">
        <v>0</v>
      </c>
      <c r="H2705" s="23">
        <v>1246.547</v>
      </c>
      <c r="I2705" s="23">
        <v>0</v>
      </c>
      <c r="J2705" s="23">
        <v>0</v>
      </c>
      <c r="K2705" s="23">
        <v>0</v>
      </c>
    </row>
    <row r="2706" spans="1:11" x14ac:dyDescent="0.25">
      <c r="A2706">
        <v>2705</v>
      </c>
      <c r="B2706" s="23">
        <v>1209.8620000000001</v>
      </c>
      <c r="C2706" s="23">
        <v>196.76</v>
      </c>
      <c r="D2706" s="23">
        <v>741.88599999999997</v>
      </c>
      <c r="E2706" s="23">
        <v>741.88599999999997</v>
      </c>
      <c r="F2706" s="23">
        <v>0</v>
      </c>
      <c r="G2706" s="23">
        <v>0</v>
      </c>
      <c r="H2706" s="23">
        <v>0</v>
      </c>
      <c r="I2706" s="23">
        <v>467.976</v>
      </c>
      <c r="J2706" s="23">
        <v>0</v>
      </c>
      <c r="K2706" s="23">
        <v>0</v>
      </c>
    </row>
    <row r="2707" spans="1:11" x14ac:dyDescent="0.25">
      <c r="A2707">
        <v>2706</v>
      </c>
      <c r="B2707" s="23">
        <v>1026.6220000000001</v>
      </c>
      <c r="C2707" s="23">
        <v>54.7</v>
      </c>
      <c r="D2707" s="23">
        <v>168.66200000000001</v>
      </c>
      <c r="E2707" s="23">
        <v>168.66200000000001</v>
      </c>
      <c r="F2707" s="23">
        <v>0</v>
      </c>
      <c r="G2707" s="23">
        <v>0</v>
      </c>
      <c r="H2707" s="23">
        <v>0</v>
      </c>
      <c r="I2707" s="23">
        <v>0</v>
      </c>
      <c r="J2707" s="23">
        <v>0</v>
      </c>
      <c r="K2707" s="23">
        <v>857.96</v>
      </c>
    </row>
    <row r="2708" spans="1:11" x14ac:dyDescent="0.25">
      <c r="A2708">
        <v>2707</v>
      </c>
      <c r="B2708" s="23">
        <v>1116.444</v>
      </c>
      <c r="C2708" s="23">
        <v>0</v>
      </c>
      <c r="D2708" s="23">
        <v>0</v>
      </c>
      <c r="E2708" s="23">
        <v>0</v>
      </c>
      <c r="F2708" s="23">
        <v>0</v>
      </c>
      <c r="G2708" s="23">
        <v>0</v>
      </c>
      <c r="H2708" s="23">
        <v>0</v>
      </c>
      <c r="I2708" s="23">
        <v>0</v>
      </c>
      <c r="J2708" s="23">
        <v>0</v>
      </c>
      <c r="K2708" s="23">
        <v>1116.444</v>
      </c>
    </row>
    <row r="2709" spans="1:11" x14ac:dyDescent="0.25">
      <c r="A2709">
        <v>2708</v>
      </c>
      <c r="B2709" s="23">
        <v>1189.5999999999999</v>
      </c>
      <c r="C2709" s="23">
        <v>0</v>
      </c>
      <c r="D2709" s="23">
        <v>0</v>
      </c>
      <c r="E2709" s="23">
        <v>0</v>
      </c>
      <c r="F2709" s="23">
        <v>0</v>
      </c>
      <c r="G2709" s="23">
        <v>0</v>
      </c>
      <c r="H2709" s="23">
        <v>0</v>
      </c>
      <c r="I2709" s="23">
        <v>0</v>
      </c>
      <c r="J2709" s="23">
        <v>0</v>
      </c>
      <c r="K2709" s="23">
        <v>1189.5999999999999</v>
      </c>
    </row>
    <row r="2710" spans="1:11" x14ac:dyDescent="0.25">
      <c r="A2710">
        <v>2709</v>
      </c>
      <c r="B2710" s="23">
        <v>1585.6</v>
      </c>
      <c r="C2710" s="23">
        <v>0</v>
      </c>
      <c r="D2710" s="23">
        <v>0</v>
      </c>
      <c r="E2710" s="23">
        <v>0</v>
      </c>
      <c r="F2710" s="23">
        <v>0</v>
      </c>
      <c r="G2710" s="23">
        <v>0</v>
      </c>
      <c r="H2710" s="23">
        <v>0</v>
      </c>
      <c r="I2710" s="23">
        <v>435.38600000000002</v>
      </c>
      <c r="J2710" s="23">
        <v>0</v>
      </c>
      <c r="K2710" s="23">
        <v>1150.2139999999999</v>
      </c>
    </row>
    <row r="2711" spans="1:11" x14ac:dyDescent="0.25">
      <c r="A2711">
        <v>2710</v>
      </c>
      <c r="B2711" s="23">
        <v>1313.6</v>
      </c>
      <c r="C2711" s="23">
        <v>0</v>
      </c>
      <c r="D2711" s="23">
        <v>0</v>
      </c>
      <c r="E2711" s="23">
        <v>0</v>
      </c>
      <c r="F2711" s="23">
        <v>0</v>
      </c>
      <c r="G2711" s="23">
        <v>0</v>
      </c>
      <c r="H2711" s="23">
        <v>0</v>
      </c>
      <c r="I2711" s="23">
        <v>0</v>
      </c>
      <c r="J2711" s="23">
        <v>0</v>
      </c>
      <c r="K2711" s="23">
        <v>1313.6</v>
      </c>
    </row>
    <row r="2712" spans="1:11" x14ac:dyDescent="0.25">
      <c r="A2712">
        <v>2711</v>
      </c>
      <c r="B2712" s="23">
        <v>1244.8</v>
      </c>
      <c r="C2712" s="23">
        <v>0</v>
      </c>
      <c r="D2712" s="23">
        <v>0</v>
      </c>
      <c r="E2712" s="23">
        <v>0</v>
      </c>
      <c r="F2712" s="23">
        <v>0</v>
      </c>
      <c r="G2712" s="23">
        <v>0</v>
      </c>
      <c r="H2712" s="23">
        <v>0</v>
      </c>
      <c r="I2712" s="23">
        <v>1244.8</v>
      </c>
      <c r="J2712" s="23">
        <v>0</v>
      </c>
      <c r="K2712" s="23">
        <v>0</v>
      </c>
    </row>
    <row r="2713" spans="1:11" x14ac:dyDescent="0.25">
      <c r="A2713">
        <v>2712</v>
      </c>
      <c r="B2713" s="23">
        <v>0</v>
      </c>
      <c r="C2713" s="23">
        <v>0</v>
      </c>
      <c r="D2713" s="23">
        <v>0</v>
      </c>
      <c r="E2713" s="23">
        <v>0</v>
      </c>
      <c r="F2713" s="23">
        <v>0</v>
      </c>
      <c r="G2713" s="23">
        <v>0</v>
      </c>
      <c r="H2713" s="23">
        <v>0</v>
      </c>
      <c r="I2713" s="23">
        <v>0</v>
      </c>
      <c r="J2713" s="23">
        <v>0</v>
      </c>
      <c r="K2713" s="23">
        <v>0</v>
      </c>
    </row>
    <row r="2714" spans="1:11" x14ac:dyDescent="0.25">
      <c r="A2714">
        <v>2713</v>
      </c>
      <c r="B2714" s="23">
        <v>0</v>
      </c>
      <c r="C2714" s="23">
        <v>0</v>
      </c>
      <c r="D2714" s="23">
        <v>0</v>
      </c>
      <c r="E2714" s="23">
        <v>0</v>
      </c>
      <c r="F2714" s="23">
        <v>0</v>
      </c>
      <c r="G2714" s="23">
        <v>0</v>
      </c>
      <c r="H2714" s="23">
        <v>0</v>
      </c>
      <c r="I2714" s="23">
        <v>0</v>
      </c>
      <c r="J2714" s="23">
        <v>0</v>
      </c>
      <c r="K2714" s="23">
        <v>0</v>
      </c>
    </row>
    <row r="2715" spans="1:11" x14ac:dyDescent="0.25">
      <c r="A2715">
        <v>2714</v>
      </c>
      <c r="B2715" s="23">
        <v>0</v>
      </c>
      <c r="C2715" s="23">
        <v>0</v>
      </c>
      <c r="D2715" s="23">
        <v>0</v>
      </c>
      <c r="E2715" s="23">
        <v>0</v>
      </c>
      <c r="F2715" s="23">
        <v>0</v>
      </c>
      <c r="G2715" s="23">
        <v>0</v>
      </c>
      <c r="H2715" s="23">
        <v>0</v>
      </c>
      <c r="I2715" s="23">
        <v>0</v>
      </c>
      <c r="J2715" s="23">
        <v>0</v>
      </c>
      <c r="K2715" s="23">
        <v>0</v>
      </c>
    </row>
    <row r="2716" spans="1:11" x14ac:dyDescent="0.25">
      <c r="A2716">
        <v>2715</v>
      </c>
      <c r="B2716" s="23">
        <v>0</v>
      </c>
      <c r="C2716" s="23">
        <v>0</v>
      </c>
      <c r="D2716" s="23">
        <v>0</v>
      </c>
      <c r="E2716" s="23">
        <v>0</v>
      </c>
      <c r="F2716" s="23">
        <v>0</v>
      </c>
      <c r="G2716" s="23">
        <v>0</v>
      </c>
      <c r="H2716" s="23">
        <v>0</v>
      </c>
      <c r="I2716" s="23">
        <v>0</v>
      </c>
      <c r="J2716" s="23">
        <v>0</v>
      </c>
      <c r="K2716" s="23">
        <v>0</v>
      </c>
    </row>
    <row r="2717" spans="1:11" x14ac:dyDescent="0.25">
      <c r="A2717">
        <v>2716</v>
      </c>
      <c r="B2717" s="23">
        <v>0</v>
      </c>
      <c r="C2717" s="23">
        <v>0</v>
      </c>
      <c r="D2717" s="23">
        <v>0</v>
      </c>
      <c r="E2717" s="23">
        <v>0</v>
      </c>
      <c r="F2717" s="23">
        <v>0</v>
      </c>
      <c r="G2717" s="23">
        <v>0</v>
      </c>
      <c r="H2717" s="23">
        <v>0</v>
      </c>
      <c r="I2717" s="23">
        <v>0</v>
      </c>
      <c r="J2717" s="23">
        <v>0</v>
      </c>
      <c r="K2717" s="23">
        <v>0</v>
      </c>
    </row>
    <row r="2718" spans="1:11" x14ac:dyDescent="0.25">
      <c r="A2718">
        <v>2717</v>
      </c>
      <c r="B2718" s="23">
        <v>0</v>
      </c>
      <c r="C2718" s="23">
        <v>0</v>
      </c>
      <c r="D2718" s="23">
        <v>0</v>
      </c>
      <c r="E2718" s="23">
        <v>0</v>
      </c>
      <c r="F2718" s="23">
        <v>0</v>
      </c>
      <c r="G2718" s="23">
        <v>0</v>
      </c>
      <c r="H2718" s="23">
        <v>0</v>
      </c>
      <c r="I2718" s="23">
        <v>0</v>
      </c>
      <c r="J2718" s="23">
        <v>0</v>
      </c>
      <c r="K2718" s="23">
        <v>0</v>
      </c>
    </row>
    <row r="2719" spans="1:11" x14ac:dyDescent="0.25">
      <c r="A2719">
        <v>2718</v>
      </c>
      <c r="B2719" s="23">
        <v>0</v>
      </c>
      <c r="C2719" s="23">
        <v>0</v>
      </c>
      <c r="D2719" s="23">
        <v>0</v>
      </c>
      <c r="E2719" s="23">
        <v>0</v>
      </c>
      <c r="F2719" s="23">
        <v>0</v>
      </c>
      <c r="G2719" s="23">
        <v>0</v>
      </c>
      <c r="H2719" s="23">
        <v>0</v>
      </c>
      <c r="I2719" s="23">
        <v>0</v>
      </c>
      <c r="J2719" s="23">
        <v>0</v>
      </c>
      <c r="K2719" s="23">
        <v>0</v>
      </c>
    </row>
    <row r="2720" spans="1:11" x14ac:dyDescent="0.25">
      <c r="A2720">
        <v>2719</v>
      </c>
      <c r="B2720" s="23">
        <v>726.71400000000006</v>
      </c>
      <c r="C2720" s="23">
        <v>123.18</v>
      </c>
      <c r="D2720" s="23">
        <v>389.51400000000001</v>
      </c>
      <c r="E2720" s="23">
        <v>389.51400000000001</v>
      </c>
      <c r="F2720" s="23">
        <v>0</v>
      </c>
      <c r="G2720" s="23">
        <v>0</v>
      </c>
      <c r="H2720" s="23">
        <v>0</v>
      </c>
      <c r="I2720" s="23">
        <v>0</v>
      </c>
      <c r="J2720" s="23">
        <v>0</v>
      </c>
      <c r="K2720" s="23">
        <v>337.2</v>
      </c>
    </row>
    <row r="2721" spans="1:11" x14ac:dyDescent="0.25">
      <c r="A2721">
        <v>2720</v>
      </c>
      <c r="B2721" s="23">
        <v>674.25599999999997</v>
      </c>
      <c r="C2721" s="23">
        <v>29.4</v>
      </c>
      <c r="D2721" s="23">
        <v>87.424999999999997</v>
      </c>
      <c r="E2721" s="23">
        <v>87.424999999999997</v>
      </c>
      <c r="F2721" s="23">
        <v>0</v>
      </c>
      <c r="G2721" s="23">
        <v>0</v>
      </c>
      <c r="H2721" s="23">
        <v>0</v>
      </c>
      <c r="I2721" s="23">
        <v>0</v>
      </c>
      <c r="J2721" s="23">
        <v>0</v>
      </c>
      <c r="K2721" s="23">
        <v>586.83100000000002</v>
      </c>
    </row>
    <row r="2722" spans="1:11" x14ac:dyDescent="0.25">
      <c r="A2722">
        <v>2721</v>
      </c>
      <c r="B2722" s="23">
        <v>632.529</v>
      </c>
      <c r="C2722" s="23">
        <v>593.95000000000005</v>
      </c>
      <c r="D2722" s="23">
        <v>2299.306</v>
      </c>
      <c r="E2722" s="23">
        <v>632.529</v>
      </c>
      <c r="F2722" s="23">
        <v>-1666.777</v>
      </c>
      <c r="G2722" s="23">
        <v>0</v>
      </c>
      <c r="H2722" s="23">
        <v>0</v>
      </c>
      <c r="I2722" s="23">
        <v>0</v>
      </c>
      <c r="J2722" s="23">
        <v>0</v>
      </c>
      <c r="K2722" s="23">
        <v>0</v>
      </c>
    </row>
    <row r="2723" spans="1:11" x14ac:dyDescent="0.25">
      <c r="A2723">
        <v>2722</v>
      </c>
      <c r="B2723" s="23">
        <v>561.58100000000002</v>
      </c>
      <c r="C2723" s="23">
        <v>791.32</v>
      </c>
      <c r="D2723" s="23">
        <v>2971.5419999999999</v>
      </c>
      <c r="E2723" s="23">
        <v>561.58199999999999</v>
      </c>
      <c r="F2723" s="23">
        <v>-1684.559</v>
      </c>
      <c r="G2723" s="23">
        <v>0</v>
      </c>
      <c r="H2723" s="23">
        <v>725.40099999999995</v>
      </c>
      <c r="I2723" s="23">
        <v>0</v>
      </c>
      <c r="J2723" s="23">
        <v>0</v>
      </c>
      <c r="K2723" s="23">
        <v>0</v>
      </c>
    </row>
    <row r="2724" spans="1:11" x14ac:dyDescent="0.25">
      <c r="A2724">
        <v>2723</v>
      </c>
      <c r="B2724" s="23">
        <v>451.69799999999998</v>
      </c>
      <c r="C2724" s="23">
        <v>913.68</v>
      </c>
      <c r="D2724" s="23">
        <v>3358.8029999999999</v>
      </c>
      <c r="E2724" s="23">
        <v>451.69799999999998</v>
      </c>
      <c r="F2724" s="23">
        <v>-1684.559</v>
      </c>
      <c r="G2724" s="23">
        <v>0</v>
      </c>
      <c r="H2724" s="23">
        <v>1222.546</v>
      </c>
      <c r="I2724" s="23">
        <v>0</v>
      </c>
      <c r="J2724" s="23">
        <v>0</v>
      </c>
      <c r="K2724" s="23">
        <v>0</v>
      </c>
    </row>
    <row r="2725" spans="1:11" x14ac:dyDescent="0.25">
      <c r="A2725">
        <v>2724</v>
      </c>
      <c r="B2725" s="23">
        <v>423.12299999999999</v>
      </c>
      <c r="C2725" s="23">
        <v>980.08</v>
      </c>
      <c r="D2725" s="23">
        <v>3566.3629999999998</v>
      </c>
      <c r="E2725" s="23">
        <v>423.12299999999999</v>
      </c>
      <c r="F2725" s="23">
        <v>-1684.559</v>
      </c>
      <c r="G2725" s="23">
        <v>0</v>
      </c>
      <c r="H2725" s="23">
        <v>1458.681</v>
      </c>
      <c r="I2725" s="23">
        <v>0</v>
      </c>
      <c r="J2725" s="23">
        <v>0</v>
      </c>
      <c r="K2725" s="23">
        <v>0</v>
      </c>
    </row>
    <row r="2726" spans="1:11" x14ac:dyDescent="0.25">
      <c r="A2726">
        <v>2725</v>
      </c>
      <c r="B2726" s="23">
        <v>1088.675</v>
      </c>
      <c r="C2726" s="23">
        <v>971.88</v>
      </c>
      <c r="D2726" s="23">
        <v>3537.828</v>
      </c>
      <c r="E2726" s="23">
        <v>1088.675</v>
      </c>
      <c r="F2726" s="23">
        <v>-571.04399999999998</v>
      </c>
      <c r="G2726" s="23">
        <v>0</v>
      </c>
      <c r="H2726" s="23">
        <v>1878.1089999999999</v>
      </c>
      <c r="I2726" s="23">
        <v>0</v>
      </c>
      <c r="J2726" s="23">
        <v>0</v>
      </c>
      <c r="K2726" s="23">
        <v>0</v>
      </c>
    </row>
    <row r="2727" spans="1:11" x14ac:dyDescent="0.25">
      <c r="A2727">
        <v>2726</v>
      </c>
      <c r="B2727" s="23">
        <v>1337.162</v>
      </c>
      <c r="C2727" s="23">
        <v>889.65</v>
      </c>
      <c r="D2727" s="23">
        <v>3288.8530000000001</v>
      </c>
      <c r="E2727" s="23">
        <v>1337.162</v>
      </c>
      <c r="F2727" s="23">
        <v>0</v>
      </c>
      <c r="G2727" s="23">
        <v>0</v>
      </c>
      <c r="H2727" s="23">
        <v>1951.691</v>
      </c>
      <c r="I2727" s="23">
        <v>0</v>
      </c>
      <c r="J2727" s="23">
        <v>0</v>
      </c>
      <c r="K2727" s="23">
        <v>0</v>
      </c>
    </row>
    <row r="2728" spans="1:11" x14ac:dyDescent="0.25">
      <c r="A2728">
        <v>2727</v>
      </c>
      <c r="B2728" s="23">
        <v>1171.0899999999999</v>
      </c>
      <c r="C2728" s="23">
        <v>735.59</v>
      </c>
      <c r="D2728" s="23">
        <v>2785.1039999999998</v>
      </c>
      <c r="E2728" s="23">
        <v>1171.0899999999999</v>
      </c>
      <c r="F2728" s="23">
        <v>0</v>
      </c>
      <c r="G2728" s="23">
        <v>0</v>
      </c>
      <c r="H2728" s="23">
        <v>1614.0139999999999</v>
      </c>
      <c r="I2728" s="23">
        <v>0</v>
      </c>
      <c r="J2728" s="23">
        <v>0</v>
      </c>
      <c r="K2728" s="23">
        <v>0</v>
      </c>
    </row>
    <row r="2729" spans="1:11" x14ac:dyDescent="0.25">
      <c r="A2729">
        <v>2728</v>
      </c>
      <c r="B2729" s="23">
        <v>1325.8320000000001</v>
      </c>
      <c r="C2729" s="23">
        <v>526.33000000000004</v>
      </c>
      <c r="D2729" s="23">
        <v>2051.1680000000001</v>
      </c>
      <c r="E2729" s="23">
        <v>1325.8320000000001</v>
      </c>
      <c r="F2729" s="23">
        <v>0</v>
      </c>
      <c r="G2729" s="23">
        <v>0</v>
      </c>
      <c r="H2729" s="23">
        <v>725.33600000000001</v>
      </c>
      <c r="I2729" s="23">
        <v>0</v>
      </c>
      <c r="J2729" s="23">
        <v>0</v>
      </c>
      <c r="K2729" s="23">
        <v>0</v>
      </c>
    </row>
    <row r="2730" spans="1:11" x14ac:dyDescent="0.25">
      <c r="A2730">
        <v>2729</v>
      </c>
      <c r="B2730" s="23">
        <v>1450.922</v>
      </c>
      <c r="C2730" s="23">
        <v>288.5</v>
      </c>
      <c r="D2730" s="23">
        <v>1082.377</v>
      </c>
      <c r="E2730" s="23">
        <v>1082.377</v>
      </c>
      <c r="F2730" s="23">
        <v>0</v>
      </c>
      <c r="G2730" s="23">
        <v>0</v>
      </c>
      <c r="H2730" s="23">
        <v>0</v>
      </c>
      <c r="I2730" s="23">
        <v>368.54500000000002</v>
      </c>
      <c r="J2730" s="23">
        <v>0</v>
      </c>
      <c r="K2730" s="23">
        <v>0</v>
      </c>
    </row>
    <row r="2731" spans="1:11" x14ac:dyDescent="0.25">
      <c r="A2731">
        <v>2730</v>
      </c>
      <c r="B2731" s="23">
        <v>1693.9449999999999</v>
      </c>
      <c r="C2731" s="23">
        <v>67.16</v>
      </c>
      <c r="D2731" s="23">
        <v>184.66</v>
      </c>
      <c r="E2731" s="23">
        <v>184.66</v>
      </c>
      <c r="F2731" s="23">
        <v>0</v>
      </c>
      <c r="G2731" s="23">
        <v>0</v>
      </c>
      <c r="H2731" s="23">
        <v>0</v>
      </c>
      <c r="I2731" s="23">
        <v>0</v>
      </c>
      <c r="J2731" s="23">
        <v>0</v>
      </c>
      <c r="K2731" s="23">
        <v>1509.2850000000001</v>
      </c>
    </row>
    <row r="2732" spans="1:11" x14ac:dyDescent="0.25">
      <c r="A2732">
        <v>2731</v>
      </c>
      <c r="B2732" s="23">
        <v>1224.8009999999999</v>
      </c>
      <c r="C2732" s="23">
        <v>0</v>
      </c>
      <c r="D2732" s="23">
        <v>0</v>
      </c>
      <c r="E2732" s="23">
        <v>0</v>
      </c>
      <c r="F2732" s="23">
        <v>0</v>
      </c>
      <c r="G2732" s="23">
        <v>0</v>
      </c>
      <c r="H2732" s="23">
        <v>0</v>
      </c>
      <c r="I2732" s="23">
        <v>0</v>
      </c>
      <c r="J2732" s="23">
        <v>0</v>
      </c>
      <c r="K2732" s="23">
        <v>1224.8009999999999</v>
      </c>
    </row>
    <row r="2733" spans="1:11" x14ac:dyDescent="0.25">
      <c r="A2733">
        <v>2732</v>
      </c>
      <c r="B2733" s="23">
        <v>1521.6</v>
      </c>
      <c r="C2733" s="23">
        <v>0</v>
      </c>
      <c r="D2733" s="23">
        <v>0</v>
      </c>
      <c r="E2733" s="23">
        <v>0</v>
      </c>
      <c r="F2733" s="23">
        <v>0</v>
      </c>
      <c r="G2733" s="23">
        <v>0</v>
      </c>
      <c r="H2733" s="23">
        <v>0</v>
      </c>
      <c r="I2733" s="23">
        <v>0</v>
      </c>
      <c r="J2733" s="23">
        <v>0</v>
      </c>
      <c r="K2733" s="23">
        <v>1521.6</v>
      </c>
    </row>
    <row r="2734" spans="1:11" x14ac:dyDescent="0.25">
      <c r="A2734">
        <v>2733</v>
      </c>
      <c r="B2734" s="23">
        <v>1564</v>
      </c>
      <c r="C2734" s="23">
        <v>0</v>
      </c>
      <c r="D2734" s="23">
        <v>0</v>
      </c>
      <c r="E2734" s="23">
        <v>0</v>
      </c>
      <c r="F2734" s="23">
        <v>0</v>
      </c>
      <c r="G2734" s="23">
        <v>0</v>
      </c>
      <c r="H2734" s="23">
        <v>0</v>
      </c>
      <c r="I2734" s="23">
        <v>1564</v>
      </c>
      <c r="J2734" s="23">
        <v>0</v>
      </c>
      <c r="K2734" s="23">
        <v>0</v>
      </c>
    </row>
    <row r="2735" spans="1:11" x14ac:dyDescent="0.25">
      <c r="A2735">
        <v>2734</v>
      </c>
      <c r="B2735" s="23">
        <v>1750.4</v>
      </c>
      <c r="C2735" s="23">
        <v>0</v>
      </c>
      <c r="D2735" s="23">
        <v>0</v>
      </c>
      <c r="E2735" s="23">
        <v>0</v>
      </c>
      <c r="F2735" s="23">
        <v>0</v>
      </c>
      <c r="G2735" s="23">
        <v>0</v>
      </c>
      <c r="H2735" s="23">
        <v>0</v>
      </c>
      <c r="I2735" s="23">
        <v>328.935</v>
      </c>
      <c r="J2735" s="23">
        <v>0</v>
      </c>
      <c r="K2735" s="23">
        <v>1421.4649999999999</v>
      </c>
    </row>
    <row r="2736" spans="1:11" x14ac:dyDescent="0.25">
      <c r="A2736">
        <v>2735</v>
      </c>
      <c r="B2736" s="23">
        <v>1775.2</v>
      </c>
      <c r="C2736" s="23">
        <v>0</v>
      </c>
      <c r="D2736" s="23">
        <v>0</v>
      </c>
      <c r="E2736" s="23">
        <v>0</v>
      </c>
      <c r="F2736" s="23">
        <v>0</v>
      </c>
      <c r="G2736" s="23">
        <v>0</v>
      </c>
      <c r="H2736" s="23">
        <v>0</v>
      </c>
      <c r="I2736" s="23">
        <v>1775.2</v>
      </c>
      <c r="J2736" s="23">
        <v>0</v>
      </c>
      <c r="K2736" s="23">
        <v>0</v>
      </c>
    </row>
    <row r="2737" spans="1:11" x14ac:dyDescent="0.25">
      <c r="A2737">
        <v>2736</v>
      </c>
      <c r="B2737" s="23">
        <v>0</v>
      </c>
      <c r="C2737" s="23">
        <v>0</v>
      </c>
      <c r="D2737" s="23">
        <v>0</v>
      </c>
      <c r="E2737" s="23">
        <v>0</v>
      </c>
      <c r="F2737" s="23">
        <v>0</v>
      </c>
      <c r="G2737" s="23">
        <v>0</v>
      </c>
      <c r="H2737" s="23">
        <v>0</v>
      </c>
      <c r="I2737" s="23">
        <v>0</v>
      </c>
      <c r="J2737" s="23">
        <v>0</v>
      </c>
      <c r="K2737" s="23">
        <v>0</v>
      </c>
    </row>
    <row r="2738" spans="1:11" x14ac:dyDescent="0.25">
      <c r="A2738">
        <v>2737</v>
      </c>
      <c r="B2738" s="23">
        <v>0</v>
      </c>
      <c r="C2738" s="23">
        <v>0</v>
      </c>
      <c r="D2738" s="23">
        <v>0</v>
      </c>
      <c r="E2738" s="23">
        <v>0</v>
      </c>
      <c r="F2738" s="23">
        <v>0</v>
      </c>
      <c r="G2738" s="23">
        <v>0</v>
      </c>
      <c r="H2738" s="23">
        <v>0</v>
      </c>
      <c r="I2738" s="23">
        <v>0</v>
      </c>
      <c r="J2738" s="23">
        <v>0</v>
      </c>
      <c r="K2738" s="23">
        <v>0</v>
      </c>
    </row>
    <row r="2739" spans="1:11" x14ac:dyDescent="0.25">
      <c r="A2739">
        <v>2738</v>
      </c>
      <c r="B2739" s="23">
        <v>0</v>
      </c>
      <c r="C2739" s="23">
        <v>0</v>
      </c>
      <c r="D2739" s="23">
        <v>0</v>
      </c>
      <c r="E2739" s="23">
        <v>0</v>
      </c>
      <c r="F2739" s="23">
        <v>0</v>
      </c>
      <c r="G2739" s="23">
        <v>0</v>
      </c>
      <c r="H2739" s="23">
        <v>0</v>
      </c>
      <c r="I2739" s="23">
        <v>0</v>
      </c>
      <c r="J2739" s="23">
        <v>0</v>
      </c>
      <c r="K2739" s="23">
        <v>0</v>
      </c>
    </row>
    <row r="2740" spans="1:11" x14ac:dyDescent="0.25">
      <c r="A2740">
        <v>2739</v>
      </c>
      <c r="B2740" s="23">
        <v>0</v>
      </c>
      <c r="C2740" s="23">
        <v>0</v>
      </c>
      <c r="D2740" s="23">
        <v>0</v>
      </c>
      <c r="E2740" s="23">
        <v>0</v>
      </c>
      <c r="F2740" s="23">
        <v>0</v>
      </c>
      <c r="G2740" s="23">
        <v>0</v>
      </c>
      <c r="H2740" s="23">
        <v>0</v>
      </c>
      <c r="I2740" s="23">
        <v>0</v>
      </c>
      <c r="J2740" s="23">
        <v>0</v>
      </c>
      <c r="K2740" s="23">
        <v>0</v>
      </c>
    </row>
    <row r="2741" spans="1:11" x14ac:dyDescent="0.25">
      <c r="A2741">
        <v>2740</v>
      </c>
      <c r="B2741" s="23">
        <v>0</v>
      </c>
      <c r="C2741" s="23">
        <v>0</v>
      </c>
      <c r="D2741" s="23">
        <v>0</v>
      </c>
      <c r="E2741" s="23">
        <v>0</v>
      </c>
      <c r="F2741" s="23">
        <v>0</v>
      </c>
      <c r="G2741" s="23">
        <v>0</v>
      </c>
      <c r="H2741" s="23">
        <v>0</v>
      </c>
      <c r="I2741" s="23">
        <v>0</v>
      </c>
      <c r="J2741" s="23">
        <v>0</v>
      </c>
      <c r="K2741" s="23">
        <v>0</v>
      </c>
    </row>
    <row r="2742" spans="1:11" x14ac:dyDescent="0.25">
      <c r="A2742">
        <v>2741</v>
      </c>
      <c r="B2742" s="23">
        <v>0</v>
      </c>
      <c r="C2742" s="23">
        <v>0</v>
      </c>
      <c r="D2742" s="23">
        <v>0</v>
      </c>
      <c r="E2742" s="23">
        <v>0</v>
      </c>
      <c r="F2742" s="23">
        <v>0</v>
      </c>
      <c r="G2742" s="23">
        <v>0</v>
      </c>
      <c r="H2742" s="23">
        <v>0</v>
      </c>
      <c r="I2742" s="23">
        <v>0</v>
      </c>
      <c r="J2742" s="23">
        <v>0</v>
      </c>
      <c r="K2742" s="23">
        <v>0</v>
      </c>
    </row>
    <row r="2743" spans="1:11" x14ac:dyDescent="0.25">
      <c r="A2743">
        <v>2742</v>
      </c>
      <c r="B2743" s="23">
        <v>0</v>
      </c>
      <c r="C2743" s="23">
        <v>0</v>
      </c>
      <c r="D2743" s="23">
        <v>0</v>
      </c>
      <c r="E2743" s="23">
        <v>0</v>
      </c>
      <c r="F2743" s="23">
        <v>0</v>
      </c>
      <c r="G2743" s="23">
        <v>0</v>
      </c>
      <c r="H2743" s="23">
        <v>0</v>
      </c>
      <c r="I2743" s="23">
        <v>0</v>
      </c>
      <c r="J2743" s="23">
        <v>0</v>
      </c>
      <c r="K2743" s="23">
        <v>0</v>
      </c>
    </row>
    <row r="2744" spans="1:11" x14ac:dyDescent="0.25">
      <c r="A2744">
        <v>2743</v>
      </c>
      <c r="B2744" s="23">
        <v>1263.2570000000001</v>
      </c>
      <c r="C2744" s="23">
        <v>114.17</v>
      </c>
      <c r="D2744" s="23">
        <v>388.55799999999999</v>
      </c>
      <c r="E2744" s="23">
        <v>388.55799999999999</v>
      </c>
      <c r="F2744" s="23">
        <v>0</v>
      </c>
      <c r="G2744" s="23">
        <v>0</v>
      </c>
      <c r="H2744" s="23">
        <v>0</v>
      </c>
      <c r="I2744" s="23">
        <v>0</v>
      </c>
      <c r="J2744" s="23">
        <v>0</v>
      </c>
      <c r="K2744" s="23">
        <v>874.69899999999996</v>
      </c>
    </row>
    <row r="2745" spans="1:11" x14ac:dyDescent="0.25">
      <c r="A2745">
        <v>2744</v>
      </c>
      <c r="B2745" s="23">
        <v>953.99300000000005</v>
      </c>
      <c r="C2745" s="23">
        <v>341.64</v>
      </c>
      <c r="D2745" s="23">
        <v>1318.9010000000001</v>
      </c>
      <c r="E2745" s="23">
        <v>953.99300000000005</v>
      </c>
      <c r="F2745" s="23">
        <v>-364.90800000000002</v>
      </c>
      <c r="G2745" s="23">
        <v>0</v>
      </c>
      <c r="H2745" s="23">
        <v>0</v>
      </c>
      <c r="I2745" s="23">
        <v>0</v>
      </c>
      <c r="J2745" s="23">
        <v>0</v>
      </c>
      <c r="K2745" s="23">
        <v>0</v>
      </c>
    </row>
    <row r="2746" spans="1:11" x14ac:dyDescent="0.25">
      <c r="A2746">
        <v>2745</v>
      </c>
      <c r="B2746" s="23">
        <v>1386.66</v>
      </c>
      <c r="C2746" s="23">
        <v>572.9</v>
      </c>
      <c r="D2746" s="23">
        <v>2191.0880000000002</v>
      </c>
      <c r="E2746" s="23">
        <v>1386.66</v>
      </c>
      <c r="F2746" s="23">
        <v>-804.428</v>
      </c>
      <c r="G2746" s="23">
        <v>0</v>
      </c>
      <c r="H2746" s="23">
        <v>0</v>
      </c>
      <c r="I2746" s="23">
        <v>0</v>
      </c>
      <c r="J2746" s="23">
        <v>0</v>
      </c>
      <c r="K2746" s="23">
        <v>0</v>
      </c>
    </row>
    <row r="2747" spans="1:11" x14ac:dyDescent="0.25">
      <c r="A2747">
        <v>2746</v>
      </c>
      <c r="B2747" s="23">
        <v>1396.16</v>
      </c>
      <c r="C2747" s="23">
        <v>771.71</v>
      </c>
      <c r="D2747" s="23">
        <v>2838.2750000000001</v>
      </c>
      <c r="E2747" s="23">
        <v>1396.16</v>
      </c>
      <c r="F2747" s="23">
        <v>-1442.115</v>
      </c>
      <c r="G2747" s="23">
        <v>0</v>
      </c>
      <c r="H2747" s="23">
        <v>0</v>
      </c>
      <c r="I2747" s="23">
        <v>0</v>
      </c>
      <c r="J2747" s="23">
        <v>0</v>
      </c>
      <c r="K2747" s="23">
        <v>0</v>
      </c>
    </row>
    <row r="2748" spans="1:11" x14ac:dyDescent="0.25">
      <c r="A2748">
        <v>2747</v>
      </c>
      <c r="B2748" s="23">
        <v>1632.597</v>
      </c>
      <c r="C2748" s="23">
        <v>923.27</v>
      </c>
      <c r="D2748" s="23">
        <v>3309.6709999999998</v>
      </c>
      <c r="E2748" s="23">
        <v>1632.597</v>
      </c>
      <c r="F2748" s="23">
        <v>-1677.0740000000001</v>
      </c>
      <c r="G2748" s="23">
        <v>0</v>
      </c>
      <c r="H2748" s="23">
        <v>0</v>
      </c>
      <c r="I2748" s="23">
        <v>0</v>
      </c>
      <c r="J2748" s="23">
        <v>0</v>
      </c>
      <c r="K2748" s="23">
        <v>0</v>
      </c>
    </row>
    <row r="2749" spans="1:11" x14ac:dyDescent="0.25">
      <c r="A2749">
        <v>2748</v>
      </c>
      <c r="B2749" s="23">
        <v>1604.4169999999999</v>
      </c>
      <c r="C2749" s="23">
        <v>991.5</v>
      </c>
      <c r="D2749" s="23">
        <v>3528.25</v>
      </c>
      <c r="E2749" s="23">
        <v>1604.4169999999999</v>
      </c>
      <c r="F2749" s="23">
        <v>-1684.559</v>
      </c>
      <c r="G2749" s="23">
        <v>0</v>
      </c>
      <c r="H2749" s="23">
        <v>239.274</v>
      </c>
      <c r="I2749" s="23">
        <v>0</v>
      </c>
      <c r="J2749" s="23">
        <v>0</v>
      </c>
      <c r="K2749" s="23">
        <v>0</v>
      </c>
    </row>
    <row r="2750" spans="1:11" x14ac:dyDescent="0.25">
      <c r="A2750">
        <v>2749</v>
      </c>
      <c r="B2750" s="23">
        <v>1737.845</v>
      </c>
      <c r="C2750" s="23">
        <v>979.89</v>
      </c>
      <c r="D2750" s="23">
        <v>3515.357</v>
      </c>
      <c r="E2750" s="23">
        <v>1737.846</v>
      </c>
      <c r="F2750" s="23">
        <v>-1318.413</v>
      </c>
      <c r="G2750" s="23">
        <v>0</v>
      </c>
      <c r="H2750" s="23">
        <v>459.09800000000001</v>
      </c>
      <c r="I2750" s="23">
        <v>0</v>
      </c>
      <c r="J2750" s="23">
        <v>0</v>
      </c>
      <c r="K2750" s="23">
        <v>0</v>
      </c>
    </row>
    <row r="2751" spans="1:11" x14ac:dyDescent="0.25">
      <c r="A2751">
        <v>2750</v>
      </c>
      <c r="B2751" s="23">
        <v>1592.395</v>
      </c>
      <c r="C2751" s="23">
        <v>881.65</v>
      </c>
      <c r="D2751" s="23">
        <v>3223.212</v>
      </c>
      <c r="E2751" s="23">
        <v>1592.395</v>
      </c>
      <c r="F2751" s="23">
        <v>0</v>
      </c>
      <c r="G2751" s="23">
        <v>0</v>
      </c>
      <c r="H2751" s="23">
        <v>1630.817</v>
      </c>
      <c r="I2751" s="23">
        <v>0</v>
      </c>
      <c r="J2751" s="23">
        <v>0</v>
      </c>
      <c r="K2751" s="23">
        <v>0</v>
      </c>
    </row>
    <row r="2752" spans="1:11" x14ac:dyDescent="0.25">
      <c r="A2752">
        <v>2751</v>
      </c>
      <c r="B2752" s="23">
        <v>1657.3879999999999</v>
      </c>
      <c r="C2752" s="23">
        <v>728.22</v>
      </c>
      <c r="D2752" s="23">
        <v>2736.3389999999999</v>
      </c>
      <c r="E2752" s="23">
        <v>1657.3879999999999</v>
      </c>
      <c r="F2752" s="23">
        <v>0</v>
      </c>
      <c r="G2752" s="23">
        <v>0</v>
      </c>
      <c r="H2752" s="23">
        <v>1078.951</v>
      </c>
      <c r="I2752" s="23">
        <v>0</v>
      </c>
      <c r="J2752" s="23">
        <v>0</v>
      </c>
      <c r="K2752" s="23">
        <v>0</v>
      </c>
    </row>
    <row r="2753" spans="1:11" x14ac:dyDescent="0.25">
      <c r="A2753">
        <v>2752</v>
      </c>
      <c r="B2753" s="23">
        <v>1478.1010000000001</v>
      </c>
      <c r="C2753" s="23">
        <v>519.37</v>
      </c>
      <c r="D2753" s="23">
        <v>2009.3309999999999</v>
      </c>
      <c r="E2753" s="23">
        <v>1478.1010000000001</v>
      </c>
      <c r="F2753" s="23">
        <v>0</v>
      </c>
      <c r="G2753" s="23">
        <v>0</v>
      </c>
      <c r="H2753" s="23">
        <v>531.23</v>
      </c>
      <c r="I2753" s="23">
        <v>0</v>
      </c>
      <c r="J2753" s="23">
        <v>0</v>
      </c>
      <c r="K2753" s="23">
        <v>0</v>
      </c>
    </row>
    <row r="2754" spans="1:11" x14ac:dyDescent="0.25">
      <c r="A2754">
        <v>2753</v>
      </c>
      <c r="B2754" s="23">
        <v>1658.6130000000001</v>
      </c>
      <c r="C2754" s="23">
        <v>225.3</v>
      </c>
      <c r="D2754" s="23">
        <v>854.25699999999995</v>
      </c>
      <c r="E2754" s="23">
        <v>854.25699999999995</v>
      </c>
      <c r="F2754" s="23">
        <v>0</v>
      </c>
      <c r="G2754" s="23">
        <v>0</v>
      </c>
      <c r="H2754" s="23">
        <v>0</v>
      </c>
      <c r="I2754" s="23">
        <v>804.35599999999999</v>
      </c>
      <c r="J2754" s="23">
        <v>0</v>
      </c>
      <c r="K2754" s="23">
        <v>0</v>
      </c>
    </row>
    <row r="2755" spans="1:11" x14ac:dyDescent="0.25">
      <c r="A2755">
        <v>2754</v>
      </c>
      <c r="B2755" s="23">
        <v>1608.759</v>
      </c>
      <c r="C2755" s="23">
        <v>54.45</v>
      </c>
      <c r="D2755" s="23">
        <v>168.22800000000001</v>
      </c>
      <c r="E2755" s="23">
        <v>168.22800000000001</v>
      </c>
      <c r="F2755" s="23">
        <v>0</v>
      </c>
      <c r="G2755" s="23">
        <v>0</v>
      </c>
      <c r="H2755" s="23">
        <v>0</v>
      </c>
      <c r="I2755" s="23">
        <v>0</v>
      </c>
      <c r="J2755" s="23">
        <v>0</v>
      </c>
      <c r="K2755" s="23">
        <v>1440.5309999999999</v>
      </c>
    </row>
    <row r="2756" spans="1:11" x14ac:dyDescent="0.25">
      <c r="A2756">
        <v>2755</v>
      </c>
      <c r="B2756" s="23">
        <v>1122.711</v>
      </c>
      <c r="C2756" s="23">
        <v>0</v>
      </c>
      <c r="D2756" s="23">
        <v>0</v>
      </c>
      <c r="E2756" s="23">
        <v>0</v>
      </c>
      <c r="F2756" s="23">
        <v>0</v>
      </c>
      <c r="G2756" s="23">
        <v>0</v>
      </c>
      <c r="H2756" s="23">
        <v>0</v>
      </c>
      <c r="I2756" s="23">
        <v>0</v>
      </c>
      <c r="J2756" s="23">
        <v>0</v>
      </c>
      <c r="K2756" s="23">
        <v>1122.711</v>
      </c>
    </row>
    <row r="2757" spans="1:11" x14ac:dyDescent="0.25">
      <c r="A2757">
        <v>2756</v>
      </c>
      <c r="B2757" s="23">
        <v>1280.8</v>
      </c>
      <c r="C2757" s="23">
        <v>0</v>
      </c>
      <c r="D2757" s="23">
        <v>0</v>
      </c>
      <c r="E2757" s="23">
        <v>0</v>
      </c>
      <c r="F2757" s="23">
        <v>0</v>
      </c>
      <c r="G2757" s="23">
        <v>0</v>
      </c>
      <c r="H2757" s="23">
        <v>0</v>
      </c>
      <c r="I2757" s="23">
        <v>0</v>
      </c>
      <c r="J2757" s="23">
        <v>0</v>
      </c>
      <c r="K2757" s="23">
        <v>1280.8</v>
      </c>
    </row>
    <row r="2758" spans="1:11" x14ac:dyDescent="0.25">
      <c r="A2758">
        <v>2757</v>
      </c>
      <c r="B2758" s="23">
        <v>1492</v>
      </c>
      <c r="C2758" s="23">
        <v>0</v>
      </c>
      <c r="D2758" s="23">
        <v>0</v>
      </c>
      <c r="E2758" s="23">
        <v>0</v>
      </c>
      <c r="F2758" s="23">
        <v>0</v>
      </c>
      <c r="G2758" s="23">
        <v>0</v>
      </c>
      <c r="H2758" s="23">
        <v>0</v>
      </c>
      <c r="I2758" s="23">
        <v>1290.3989999999999</v>
      </c>
      <c r="J2758" s="23">
        <v>0</v>
      </c>
      <c r="K2758" s="23">
        <v>201.601</v>
      </c>
    </row>
    <row r="2759" spans="1:11" x14ac:dyDescent="0.25">
      <c r="A2759">
        <v>2758</v>
      </c>
      <c r="B2759" s="23">
        <v>1771.2</v>
      </c>
      <c r="C2759" s="23">
        <v>0</v>
      </c>
      <c r="D2759" s="23">
        <v>0</v>
      </c>
      <c r="E2759" s="23">
        <v>0</v>
      </c>
      <c r="F2759" s="23">
        <v>0</v>
      </c>
      <c r="G2759" s="23">
        <v>0</v>
      </c>
      <c r="H2759" s="23">
        <v>0</v>
      </c>
      <c r="I2759" s="23">
        <v>86.641000000000005</v>
      </c>
      <c r="J2759" s="23">
        <v>0</v>
      </c>
      <c r="K2759" s="23">
        <v>1684.559</v>
      </c>
    </row>
    <row r="2760" spans="1:11" x14ac:dyDescent="0.25">
      <c r="A2760">
        <v>2759</v>
      </c>
      <c r="B2760" s="23">
        <v>1771.2</v>
      </c>
      <c r="C2760" s="23">
        <v>0</v>
      </c>
      <c r="D2760" s="23">
        <v>0</v>
      </c>
      <c r="E2760" s="23">
        <v>0</v>
      </c>
      <c r="F2760" s="23">
        <v>0</v>
      </c>
      <c r="G2760" s="23">
        <v>0</v>
      </c>
      <c r="H2760" s="23">
        <v>0</v>
      </c>
      <c r="I2760" s="23">
        <v>1771.2</v>
      </c>
      <c r="J2760" s="23">
        <v>0</v>
      </c>
      <c r="K2760" s="23">
        <v>0</v>
      </c>
    </row>
    <row r="2761" spans="1:11" x14ac:dyDescent="0.25">
      <c r="A2761">
        <v>2760</v>
      </c>
      <c r="B2761" s="23">
        <v>0</v>
      </c>
      <c r="C2761" s="23">
        <v>0</v>
      </c>
      <c r="D2761" s="23">
        <v>0</v>
      </c>
      <c r="E2761" s="23">
        <v>0</v>
      </c>
      <c r="F2761" s="23">
        <v>0</v>
      </c>
      <c r="G2761" s="23">
        <v>0</v>
      </c>
      <c r="H2761" s="23">
        <v>0</v>
      </c>
      <c r="I2761" s="23">
        <v>0</v>
      </c>
      <c r="J2761" s="23">
        <v>0</v>
      </c>
      <c r="K2761" s="23">
        <v>0</v>
      </c>
    </row>
    <row r="2762" spans="1:11" x14ac:dyDescent="0.25">
      <c r="A2762">
        <v>2761</v>
      </c>
      <c r="B2762" s="23">
        <v>0</v>
      </c>
      <c r="C2762" s="23">
        <v>0</v>
      </c>
      <c r="D2762" s="23">
        <v>0</v>
      </c>
      <c r="E2762" s="23">
        <v>0</v>
      </c>
      <c r="F2762" s="23">
        <v>0</v>
      </c>
      <c r="G2762" s="23">
        <v>0</v>
      </c>
      <c r="H2762" s="23">
        <v>0</v>
      </c>
      <c r="I2762" s="23">
        <v>0</v>
      </c>
      <c r="J2762" s="23">
        <v>0</v>
      </c>
      <c r="K2762" s="23">
        <v>0</v>
      </c>
    </row>
    <row r="2763" spans="1:11" x14ac:dyDescent="0.25">
      <c r="A2763">
        <v>2762</v>
      </c>
      <c r="B2763" s="23">
        <v>0</v>
      </c>
      <c r="C2763" s="23">
        <v>0</v>
      </c>
      <c r="D2763" s="23">
        <v>0</v>
      </c>
      <c r="E2763" s="23">
        <v>0</v>
      </c>
      <c r="F2763" s="23">
        <v>0</v>
      </c>
      <c r="G2763" s="23">
        <v>0</v>
      </c>
      <c r="H2763" s="23">
        <v>0</v>
      </c>
      <c r="I2763" s="23">
        <v>0</v>
      </c>
      <c r="J2763" s="23">
        <v>0</v>
      </c>
      <c r="K2763" s="23">
        <v>0</v>
      </c>
    </row>
    <row r="2764" spans="1:11" x14ac:dyDescent="0.25">
      <c r="A2764">
        <v>2763</v>
      </c>
      <c r="B2764" s="23">
        <v>0</v>
      </c>
      <c r="C2764" s="23">
        <v>0</v>
      </c>
      <c r="D2764" s="23">
        <v>0</v>
      </c>
      <c r="E2764" s="23">
        <v>0</v>
      </c>
      <c r="F2764" s="23">
        <v>0</v>
      </c>
      <c r="G2764" s="23">
        <v>0</v>
      </c>
      <c r="H2764" s="23">
        <v>0</v>
      </c>
      <c r="I2764" s="23">
        <v>0</v>
      </c>
      <c r="J2764" s="23">
        <v>0</v>
      </c>
      <c r="K2764" s="23">
        <v>0</v>
      </c>
    </row>
    <row r="2765" spans="1:11" x14ac:dyDescent="0.25">
      <c r="A2765">
        <v>2764</v>
      </c>
      <c r="B2765" s="23">
        <v>0</v>
      </c>
      <c r="C2765" s="23">
        <v>0</v>
      </c>
      <c r="D2765" s="23">
        <v>0</v>
      </c>
      <c r="E2765" s="23">
        <v>0</v>
      </c>
      <c r="F2765" s="23">
        <v>0</v>
      </c>
      <c r="G2765" s="23">
        <v>0</v>
      </c>
      <c r="H2765" s="23">
        <v>0</v>
      </c>
      <c r="I2765" s="23">
        <v>0</v>
      </c>
      <c r="J2765" s="23">
        <v>0</v>
      </c>
      <c r="K2765" s="23">
        <v>0</v>
      </c>
    </row>
    <row r="2766" spans="1:11" x14ac:dyDescent="0.25">
      <c r="A2766">
        <v>2765</v>
      </c>
      <c r="B2766" s="23">
        <v>0</v>
      </c>
      <c r="C2766" s="23">
        <v>0</v>
      </c>
      <c r="D2766" s="23">
        <v>0</v>
      </c>
      <c r="E2766" s="23">
        <v>0</v>
      </c>
      <c r="F2766" s="23">
        <v>0</v>
      </c>
      <c r="G2766" s="23">
        <v>0</v>
      </c>
      <c r="H2766" s="23">
        <v>0</v>
      </c>
      <c r="I2766" s="23">
        <v>0</v>
      </c>
      <c r="J2766" s="23">
        <v>0</v>
      </c>
      <c r="K2766" s="23">
        <v>0</v>
      </c>
    </row>
    <row r="2767" spans="1:11" x14ac:dyDescent="0.25">
      <c r="A2767">
        <v>2766</v>
      </c>
      <c r="B2767" s="23">
        <v>0</v>
      </c>
      <c r="C2767" s="23">
        <v>0</v>
      </c>
      <c r="D2767" s="23">
        <v>0</v>
      </c>
      <c r="E2767" s="23">
        <v>0</v>
      </c>
      <c r="F2767" s="23">
        <v>0</v>
      </c>
      <c r="G2767" s="23">
        <v>0</v>
      </c>
      <c r="H2767" s="23">
        <v>0</v>
      </c>
      <c r="I2767" s="23">
        <v>0</v>
      </c>
      <c r="J2767" s="23">
        <v>0</v>
      </c>
      <c r="K2767" s="23">
        <v>0</v>
      </c>
    </row>
    <row r="2768" spans="1:11" x14ac:dyDescent="0.25">
      <c r="A2768">
        <v>2767</v>
      </c>
      <c r="B2768" s="23">
        <v>1162.556</v>
      </c>
      <c r="C2768" s="23">
        <v>96.1</v>
      </c>
      <c r="D2768" s="23">
        <v>340.90899999999999</v>
      </c>
      <c r="E2768" s="23">
        <v>340.90899999999999</v>
      </c>
      <c r="F2768" s="23">
        <v>0</v>
      </c>
      <c r="G2768" s="23">
        <v>0</v>
      </c>
      <c r="H2768" s="23">
        <v>0</v>
      </c>
      <c r="I2768" s="23">
        <v>0</v>
      </c>
      <c r="J2768" s="23">
        <v>0</v>
      </c>
      <c r="K2768" s="23">
        <v>821.64700000000005</v>
      </c>
    </row>
    <row r="2769" spans="1:11" x14ac:dyDescent="0.25">
      <c r="A2769">
        <v>2768</v>
      </c>
      <c r="B2769" s="23">
        <v>970.88699999999994</v>
      </c>
      <c r="C2769" s="23">
        <v>317.45</v>
      </c>
      <c r="D2769" s="23">
        <v>1222.921</v>
      </c>
      <c r="E2769" s="23">
        <v>970.88699999999994</v>
      </c>
      <c r="F2769" s="23">
        <v>-252.03399999999999</v>
      </c>
      <c r="G2769" s="23">
        <v>0</v>
      </c>
      <c r="H2769" s="23">
        <v>0</v>
      </c>
      <c r="I2769" s="23">
        <v>0</v>
      </c>
      <c r="J2769" s="23">
        <v>0</v>
      </c>
      <c r="K2769" s="23">
        <v>0</v>
      </c>
    </row>
    <row r="2770" spans="1:11" x14ac:dyDescent="0.25">
      <c r="A2770">
        <v>2769</v>
      </c>
      <c r="B2770" s="23">
        <v>1196.422</v>
      </c>
      <c r="C2770" s="23">
        <v>541.59</v>
      </c>
      <c r="D2770" s="23">
        <v>2055.3110000000001</v>
      </c>
      <c r="E2770" s="23">
        <v>1196.422</v>
      </c>
      <c r="F2770" s="23">
        <v>-858.88900000000001</v>
      </c>
      <c r="G2770" s="23">
        <v>0</v>
      </c>
      <c r="H2770" s="23">
        <v>0</v>
      </c>
      <c r="I2770" s="23">
        <v>0</v>
      </c>
      <c r="J2770" s="23">
        <v>0</v>
      </c>
      <c r="K2770" s="23">
        <v>0</v>
      </c>
    </row>
    <row r="2771" spans="1:11" x14ac:dyDescent="0.25">
      <c r="A2771">
        <v>2770</v>
      </c>
      <c r="B2771" s="23">
        <v>1332.16</v>
      </c>
      <c r="C2771" s="23">
        <v>736.83</v>
      </c>
      <c r="D2771" s="23">
        <v>2706.739</v>
      </c>
      <c r="E2771" s="23">
        <v>1332.16</v>
      </c>
      <c r="F2771" s="23">
        <v>-1374.579</v>
      </c>
      <c r="G2771" s="23">
        <v>0</v>
      </c>
      <c r="H2771" s="23">
        <v>0</v>
      </c>
      <c r="I2771" s="23">
        <v>0</v>
      </c>
      <c r="J2771" s="23">
        <v>0</v>
      </c>
      <c r="K2771" s="23">
        <v>0</v>
      </c>
    </row>
    <row r="2772" spans="1:11" x14ac:dyDescent="0.25">
      <c r="A2772">
        <v>2771</v>
      </c>
      <c r="B2772" s="23">
        <v>1301.0989999999999</v>
      </c>
      <c r="C2772" s="23">
        <v>896.59</v>
      </c>
      <c r="D2772" s="23">
        <v>3205.3440000000001</v>
      </c>
      <c r="E2772" s="23">
        <v>1301.0999999999999</v>
      </c>
      <c r="F2772" s="23">
        <v>-1684.559</v>
      </c>
      <c r="G2772" s="23">
        <v>0</v>
      </c>
      <c r="H2772" s="23">
        <v>219.685</v>
      </c>
      <c r="I2772" s="23">
        <v>0</v>
      </c>
      <c r="J2772" s="23">
        <v>0</v>
      </c>
      <c r="K2772" s="23">
        <v>0</v>
      </c>
    </row>
    <row r="2773" spans="1:11" x14ac:dyDescent="0.25">
      <c r="A2773">
        <v>2772</v>
      </c>
      <c r="B2773" s="23">
        <v>1262.0250000000001</v>
      </c>
      <c r="C2773" s="23">
        <v>964.82</v>
      </c>
      <c r="D2773" s="23">
        <v>3410.4090000000001</v>
      </c>
      <c r="E2773" s="23">
        <v>1262.0250000000001</v>
      </c>
      <c r="F2773" s="23">
        <v>-1684.559</v>
      </c>
      <c r="G2773" s="23">
        <v>0</v>
      </c>
      <c r="H2773" s="23">
        <v>463.82499999999999</v>
      </c>
      <c r="I2773" s="23">
        <v>0</v>
      </c>
      <c r="J2773" s="23">
        <v>0</v>
      </c>
      <c r="K2773" s="23">
        <v>0</v>
      </c>
    </row>
    <row r="2774" spans="1:11" x14ac:dyDescent="0.25">
      <c r="A2774">
        <v>2773</v>
      </c>
      <c r="B2774" s="23">
        <v>1431.18</v>
      </c>
      <c r="C2774" s="23">
        <v>956.75</v>
      </c>
      <c r="D2774" s="23">
        <v>3402.64</v>
      </c>
      <c r="E2774" s="23">
        <v>1431.18</v>
      </c>
      <c r="F2774" s="23">
        <v>-1436.877</v>
      </c>
      <c r="G2774" s="23">
        <v>0</v>
      </c>
      <c r="H2774" s="23">
        <v>534.58299999999997</v>
      </c>
      <c r="I2774" s="23">
        <v>0</v>
      </c>
      <c r="J2774" s="23">
        <v>0</v>
      </c>
      <c r="K2774" s="23">
        <v>0</v>
      </c>
    </row>
    <row r="2775" spans="1:11" x14ac:dyDescent="0.25">
      <c r="A2775">
        <v>2774</v>
      </c>
      <c r="B2775" s="23">
        <v>1472.893</v>
      </c>
      <c r="C2775" s="23">
        <v>727.5</v>
      </c>
      <c r="D2775" s="23">
        <v>2633.5349999999999</v>
      </c>
      <c r="E2775" s="23">
        <v>1472.893</v>
      </c>
      <c r="F2775" s="23">
        <v>0</v>
      </c>
      <c r="G2775" s="23">
        <v>0</v>
      </c>
      <c r="H2775" s="23">
        <v>1160.6420000000001</v>
      </c>
      <c r="I2775" s="23">
        <v>0</v>
      </c>
      <c r="J2775" s="23">
        <v>0</v>
      </c>
      <c r="K2775" s="23">
        <v>0</v>
      </c>
    </row>
    <row r="2776" spans="1:11" x14ac:dyDescent="0.25">
      <c r="A2776">
        <v>2775</v>
      </c>
      <c r="B2776" s="23">
        <v>1483.6559999999999</v>
      </c>
      <c r="C2776" s="23">
        <v>542.76</v>
      </c>
      <c r="D2776" s="23">
        <v>2017.5909999999999</v>
      </c>
      <c r="E2776" s="23">
        <v>1483.6559999999999</v>
      </c>
      <c r="F2776" s="23">
        <v>0</v>
      </c>
      <c r="G2776" s="23">
        <v>0</v>
      </c>
      <c r="H2776" s="23">
        <v>533.93499999999995</v>
      </c>
      <c r="I2776" s="23">
        <v>0</v>
      </c>
      <c r="J2776" s="23">
        <v>0</v>
      </c>
      <c r="K2776" s="23">
        <v>0</v>
      </c>
    </row>
    <row r="2777" spans="1:11" x14ac:dyDescent="0.25">
      <c r="A2777">
        <v>2776</v>
      </c>
      <c r="B2777" s="23">
        <v>1473.0830000000001</v>
      </c>
      <c r="C2777" s="23">
        <v>335.35</v>
      </c>
      <c r="D2777" s="23">
        <v>1271.9649999999999</v>
      </c>
      <c r="E2777" s="23">
        <v>1271.9649999999999</v>
      </c>
      <c r="F2777" s="23">
        <v>0</v>
      </c>
      <c r="G2777" s="23">
        <v>0</v>
      </c>
      <c r="H2777" s="23">
        <v>0</v>
      </c>
      <c r="I2777" s="23">
        <v>201.11799999999999</v>
      </c>
      <c r="J2777" s="23">
        <v>0</v>
      </c>
      <c r="K2777" s="23">
        <v>0</v>
      </c>
    </row>
    <row r="2778" spans="1:11" x14ac:dyDescent="0.25">
      <c r="A2778">
        <v>2777</v>
      </c>
      <c r="B2778" s="23">
        <v>1294.28</v>
      </c>
      <c r="C2778" s="23">
        <v>101.42</v>
      </c>
      <c r="D2778" s="23">
        <v>367.435</v>
      </c>
      <c r="E2778" s="23">
        <v>367.435</v>
      </c>
      <c r="F2778" s="23">
        <v>0</v>
      </c>
      <c r="G2778" s="23">
        <v>0</v>
      </c>
      <c r="H2778" s="23">
        <v>0</v>
      </c>
      <c r="I2778" s="23">
        <v>926.84500000000003</v>
      </c>
      <c r="J2778" s="23">
        <v>0</v>
      </c>
      <c r="K2778" s="23">
        <v>0</v>
      </c>
    </row>
    <row r="2779" spans="1:11" x14ac:dyDescent="0.25">
      <c r="A2779">
        <v>2778</v>
      </c>
      <c r="B2779" s="23">
        <v>1058.51</v>
      </c>
      <c r="C2779" s="23">
        <v>26.46</v>
      </c>
      <c r="D2779" s="23">
        <v>72.356999999999999</v>
      </c>
      <c r="E2779" s="23">
        <v>72.356999999999999</v>
      </c>
      <c r="F2779" s="23">
        <v>0</v>
      </c>
      <c r="G2779" s="23">
        <v>0</v>
      </c>
      <c r="H2779" s="23">
        <v>0</v>
      </c>
      <c r="I2779" s="23">
        <v>0</v>
      </c>
      <c r="J2779" s="23">
        <v>0</v>
      </c>
      <c r="K2779" s="23">
        <v>986.15300000000002</v>
      </c>
    </row>
    <row r="2780" spans="1:11" x14ac:dyDescent="0.25">
      <c r="A2780">
        <v>2779</v>
      </c>
      <c r="B2780" s="23">
        <v>1464.0060000000001</v>
      </c>
      <c r="C2780" s="23">
        <v>0</v>
      </c>
      <c r="D2780" s="23">
        <v>0</v>
      </c>
      <c r="E2780" s="23">
        <v>0</v>
      </c>
      <c r="F2780" s="23">
        <v>0</v>
      </c>
      <c r="G2780" s="23">
        <v>0</v>
      </c>
      <c r="H2780" s="23">
        <v>0</v>
      </c>
      <c r="I2780" s="23">
        <v>0</v>
      </c>
      <c r="J2780" s="23">
        <v>0</v>
      </c>
      <c r="K2780" s="23">
        <v>1464.0060000000001</v>
      </c>
    </row>
    <row r="2781" spans="1:11" x14ac:dyDescent="0.25">
      <c r="A2781">
        <v>2780</v>
      </c>
      <c r="B2781" s="23">
        <v>1241.5999999999999</v>
      </c>
      <c r="C2781" s="23">
        <v>0</v>
      </c>
      <c r="D2781" s="23">
        <v>0</v>
      </c>
      <c r="E2781" s="23">
        <v>0</v>
      </c>
      <c r="F2781" s="23">
        <v>0</v>
      </c>
      <c r="G2781" s="23">
        <v>0</v>
      </c>
      <c r="H2781" s="23">
        <v>0</v>
      </c>
      <c r="I2781" s="23">
        <v>0</v>
      </c>
      <c r="J2781" s="23">
        <v>0</v>
      </c>
      <c r="K2781" s="23">
        <v>1241.5999999999999</v>
      </c>
    </row>
    <row r="2782" spans="1:11" x14ac:dyDescent="0.25">
      <c r="A2782">
        <v>2781</v>
      </c>
      <c r="B2782" s="23">
        <v>1408.8</v>
      </c>
      <c r="C2782" s="23">
        <v>0</v>
      </c>
      <c r="D2782" s="23">
        <v>0</v>
      </c>
      <c r="E2782" s="23">
        <v>0</v>
      </c>
      <c r="F2782" s="23">
        <v>0</v>
      </c>
      <c r="G2782" s="23">
        <v>0</v>
      </c>
      <c r="H2782" s="23">
        <v>0</v>
      </c>
      <c r="I2782" s="23">
        <v>436.30099999999999</v>
      </c>
      <c r="J2782" s="23">
        <v>0</v>
      </c>
      <c r="K2782" s="23">
        <v>972.49900000000002</v>
      </c>
    </row>
    <row r="2783" spans="1:11" x14ac:dyDescent="0.25">
      <c r="A2783">
        <v>2782</v>
      </c>
      <c r="B2783" s="23">
        <v>1203.2</v>
      </c>
      <c r="C2783" s="23">
        <v>0</v>
      </c>
      <c r="D2783" s="23">
        <v>0</v>
      </c>
      <c r="E2783" s="23">
        <v>0</v>
      </c>
      <c r="F2783" s="23">
        <v>0</v>
      </c>
      <c r="G2783" s="23">
        <v>0</v>
      </c>
      <c r="H2783" s="23">
        <v>0</v>
      </c>
      <c r="I2783" s="23">
        <v>0</v>
      </c>
      <c r="J2783" s="23">
        <v>0</v>
      </c>
      <c r="K2783" s="23">
        <v>1203.2</v>
      </c>
    </row>
    <row r="2784" spans="1:11" x14ac:dyDescent="0.25">
      <c r="A2784">
        <v>2783</v>
      </c>
      <c r="B2784" s="23">
        <v>1300</v>
      </c>
      <c r="C2784" s="23">
        <v>0</v>
      </c>
      <c r="D2784" s="23">
        <v>0</v>
      </c>
      <c r="E2784" s="23">
        <v>0</v>
      </c>
      <c r="F2784" s="23">
        <v>0</v>
      </c>
      <c r="G2784" s="23">
        <v>0</v>
      </c>
      <c r="H2784" s="23">
        <v>0</v>
      </c>
      <c r="I2784" s="23">
        <v>1300</v>
      </c>
      <c r="J2784" s="23">
        <v>0</v>
      </c>
      <c r="K2784" s="23">
        <v>0</v>
      </c>
    </row>
    <row r="2785" spans="1:11" x14ac:dyDescent="0.25">
      <c r="A2785">
        <v>2784</v>
      </c>
      <c r="B2785" s="23">
        <v>0</v>
      </c>
      <c r="C2785" s="23">
        <v>0</v>
      </c>
      <c r="D2785" s="23">
        <v>0</v>
      </c>
      <c r="E2785" s="23">
        <v>0</v>
      </c>
      <c r="F2785" s="23">
        <v>0</v>
      </c>
      <c r="G2785" s="23">
        <v>0</v>
      </c>
      <c r="H2785" s="23">
        <v>0</v>
      </c>
      <c r="I2785" s="23">
        <v>0</v>
      </c>
      <c r="J2785" s="23">
        <v>0</v>
      </c>
      <c r="K2785" s="23">
        <v>0</v>
      </c>
    </row>
    <row r="2786" spans="1:11" x14ac:dyDescent="0.25">
      <c r="A2786">
        <v>2785</v>
      </c>
      <c r="B2786" s="23">
        <v>0</v>
      </c>
      <c r="C2786" s="23">
        <v>0</v>
      </c>
      <c r="D2786" s="23">
        <v>0</v>
      </c>
      <c r="E2786" s="23">
        <v>0</v>
      </c>
      <c r="F2786" s="23">
        <v>0</v>
      </c>
      <c r="G2786" s="23">
        <v>0</v>
      </c>
      <c r="H2786" s="23">
        <v>0</v>
      </c>
      <c r="I2786" s="23">
        <v>0</v>
      </c>
      <c r="J2786" s="23">
        <v>0</v>
      </c>
      <c r="K2786" s="23">
        <v>0</v>
      </c>
    </row>
    <row r="2787" spans="1:11" x14ac:dyDescent="0.25">
      <c r="A2787">
        <v>2786</v>
      </c>
      <c r="B2787" s="23">
        <v>0</v>
      </c>
      <c r="C2787" s="23">
        <v>0</v>
      </c>
      <c r="D2787" s="23">
        <v>0</v>
      </c>
      <c r="E2787" s="23">
        <v>0</v>
      </c>
      <c r="F2787" s="23">
        <v>0</v>
      </c>
      <c r="G2787" s="23">
        <v>0</v>
      </c>
      <c r="H2787" s="23">
        <v>0</v>
      </c>
      <c r="I2787" s="23">
        <v>0</v>
      </c>
      <c r="J2787" s="23">
        <v>0</v>
      </c>
      <c r="K2787" s="23">
        <v>0</v>
      </c>
    </row>
    <row r="2788" spans="1:11" x14ac:dyDescent="0.25">
      <c r="A2788">
        <v>2787</v>
      </c>
      <c r="B2788" s="23">
        <v>0</v>
      </c>
      <c r="C2788" s="23">
        <v>0</v>
      </c>
      <c r="D2788" s="23">
        <v>0</v>
      </c>
      <c r="E2788" s="23">
        <v>0</v>
      </c>
      <c r="F2788" s="23">
        <v>0</v>
      </c>
      <c r="G2788" s="23">
        <v>0</v>
      </c>
      <c r="H2788" s="23">
        <v>0</v>
      </c>
      <c r="I2788" s="23">
        <v>0</v>
      </c>
      <c r="J2788" s="23">
        <v>0</v>
      </c>
      <c r="K2788" s="23">
        <v>0</v>
      </c>
    </row>
    <row r="2789" spans="1:11" x14ac:dyDescent="0.25">
      <c r="A2789">
        <v>2788</v>
      </c>
      <c r="B2789" s="23">
        <v>0</v>
      </c>
      <c r="C2789" s="23">
        <v>0</v>
      </c>
      <c r="D2789" s="23">
        <v>0</v>
      </c>
      <c r="E2789" s="23">
        <v>0</v>
      </c>
      <c r="F2789" s="23">
        <v>0</v>
      </c>
      <c r="G2789" s="23">
        <v>0</v>
      </c>
      <c r="H2789" s="23">
        <v>0</v>
      </c>
      <c r="I2789" s="23">
        <v>0</v>
      </c>
      <c r="J2789" s="23">
        <v>0</v>
      </c>
      <c r="K2789" s="23">
        <v>0</v>
      </c>
    </row>
    <row r="2790" spans="1:11" x14ac:dyDescent="0.25">
      <c r="A2790">
        <v>2789</v>
      </c>
      <c r="B2790" s="23">
        <v>0</v>
      </c>
      <c r="C2790" s="23">
        <v>0</v>
      </c>
      <c r="D2790" s="23">
        <v>0</v>
      </c>
      <c r="E2790" s="23">
        <v>0</v>
      </c>
      <c r="F2790" s="23">
        <v>0</v>
      </c>
      <c r="G2790" s="23">
        <v>0</v>
      </c>
      <c r="H2790" s="23">
        <v>0</v>
      </c>
      <c r="I2790" s="23">
        <v>0</v>
      </c>
      <c r="J2790" s="23">
        <v>0</v>
      </c>
      <c r="K2790" s="23">
        <v>0</v>
      </c>
    </row>
    <row r="2791" spans="1:11" x14ac:dyDescent="0.25">
      <c r="A2791">
        <v>2790</v>
      </c>
      <c r="B2791" s="23">
        <v>0</v>
      </c>
      <c r="C2791" s="23">
        <v>0</v>
      </c>
      <c r="D2791" s="23">
        <v>0</v>
      </c>
      <c r="E2791" s="23">
        <v>0</v>
      </c>
      <c r="F2791" s="23">
        <v>0</v>
      </c>
      <c r="G2791" s="23">
        <v>0</v>
      </c>
      <c r="H2791" s="23">
        <v>0</v>
      </c>
      <c r="I2791" s="23">
        <v>0</v>
      </c>
      <c r="J2791" s="23">
        <v>0</v>
      </c>
      <c r="K2791" s="23">
        <v>0</v>
      </c>
    </row>
    <row r="2792" spans="1:11" x14ac:dyDescent="0.25">
      <c r="A2792">
        <v>2791</v>
      </c>
      <c r="B2792" s="23">
        <v>1083.8130000000001</v>
      </c>
      <c r="C2792" s="23">
        <v>123.83</v>
      </c>
      <c r="D2792" s="23">
        <v>399.42200000000003</v>
      </c>
      <c r="E2792" s="23">
        <v>399.42200000000003</v>
      </c>
      <c r="F2792" s="23">
        <v>0</v>
      </c>
      <c r="G2792" s="23">
        <v>0</v>
      </c>
      <c r="H2792" s="23">
        <v>0</v>
      </c>
      <c r="I2792" s="23">
        <v>0</v>
      </c>
      <c r="J2792" s="23">
        <v>0</v>
      </c>
      <c r="K2792" s="23">
        <v>684.39099999999996</v>
      </c>
    </row>
    <row r="2793" spans="1:11" x14ac:dyDescent="0.25">
      <c r="A2793">
        <v>2792</v>
      </c>
      <c r="B2793" s="23">
        <v>1008.77</v>
      </c>
      <c r="C2793" s="23">
        <v>354.17</v>
      </c>
      <c r="D2793" s="23">
        <v>1368.87</v>
      </c>
      <c r="E2793" s="23">
        <v>1008.77</v>
      </c>
      <c r="F2793" s="23">
        <v>-360.1</v>
      </c>
      <c r="G2793" s="23">
        <v>0</v>
      </c>
      <c r="H2793" s="23">
        <v>0</v>
      </c>
      <c r="I2793" s="23">
        <v>0</v>
      </c>
      <c r="J2793" s="23">
        <v>0</v>
      </c>
      <c r="K2793" s="23">
        <v>0</v>
      </c>
    </row>
    <row r="2794" spans="1:11" x14ac:dyDescent="0.25">
      <c r="A2794">
        <v>2793</v>
      </c>
      <c r="B2794" s="23">
        <v>934.38900000000001</v>
      </c>
      <c r="C2794" s="23">
        <v>585.77</v>
      </c>
      <c r="D2794" s="23">
        <v>2257.85</v>
      </c>
      <c r="E2794" s="23">
        <v>934.38900000000001</v>
      </c>
      <c r="F2794" s="23">
        <v>-1323.461</v>
      </c>
      <c r="G2794" s="23">
        <v>0</v>
      </c>
      <c r="H2794" s="23">
        <v>0</v>
      </c>
      <c r="I2794" s="23">
        <v>0</v>
      </c>
      <c r="J2794" s="23">
        <v>0</v>
      </c>
      <c r="K2794" s="23">
        <v>0</v>
      </c>
    </row>
    <row r="2795" spans="1:11" x14ac:dyDescent="0.25">
      <c r="A2795">
        <v>2794</v>
      </c>
      <c r="B2795" s="23">
        <v>1123.825</v>
      </c>
      <c r="C2795" s="23">
        <v>777.96</v>
      </c>
      <c r="D2795" s="23">
        <v>2898.2449999999999</v>
      </c>
      <c r="E2795" s="23">
        <v>1123.826</v>
      </c>
      <c r="F2795" s="23">
        <v>-1684.559</v>
      </c>
      <c r="G2795" s="23">
        <v>0</v>
      </c>
      <c r="H2795" s="23">
        <v>89.86</v>
      </c>
      <c r="I2795" s="23">
        <v>0</v>
      </c>
      <c r="J2795" s="23">
        <v>0</v>
      </c>
      <c r="K2795" s="23">
        <v>0</v>
      </c>
    </row>
    <row r="2796" spans="1:11" x14ac:dyDescent="0.25">
      <c r="A2796">
        <v>2795</v>
      </c>
      <c r="B2796" s="23">
        <v>930.98500000000001</v>
      </c>
      <c r="C2796" s="23">
        <v>916.76</v>
      </c>
      <c r="D2796" s="23">
        <v>3336.5749999999998</v>
      </c>
      <c r="E2796" s="23">
        <v>930.98599999999999</v>
      </c>
      <c r="F2796" s="23">
        <v>-1684.559</v>
      </c>
      <c r="G2796" s="23">
        <v>0</v>
      </c>
      <c r="H2796" s="23">
        <v>721.03</v>
      </c>
      <c r="I2796" s="23">
        <v>0</v>
      </c>
      <c r="J2796" s="23">
        <v>0</v>
      </c>
      <c r="K2796" s="23">
        <v>0</v>
      </c>
    </row>
    <row r="2797" spans="1:11" x14ac:dyDescent="0.25">
      <c r="A2797">
        <v>2796</v>
      </c>
      <c r="B2797" s="23">
        <v>972.38300000000004</v>
      </c>
      <c r="C2797" s="23">
        <v>981.56</v>
      </c>
      <c r="D2797" s="23">
        <v>3536.1179999999999</v>
      </c>
      <c r="E2797" s="23">
        <v>972.38400000000001</v>
      </c>
      <c r="F2797" s="23">
        <v>-1684.559</v>
      </c>
      <c r="G2797" s="23">
        <v>0</v>
      </c>
      <c r="H2797" s="23">
        <v>879.17499999999995</v>
      </c>
      <c r="I2797" s="23">
        <v>0</v>
      </c>
      <c r="J2797" s="23">
        <v>0</v>
      </c>
      <c r="K2797" s="23">
        <v>0</v>
      </c>
    </row>
    <row r="2798" spans="1:11" x14ac:dyDescent="0.25">
      <c r="A2798">
        <v>2797</v>
      </c>
      <c r="B2798" s="23">
        <v>958.18200000000002</v>
      </c>
      <c r="C2798" s="23">
        <v>970.67</v>
      </c>
      <c r="D2798" s="23">
        <v>3511.8850000000002</v>
      </c>
      <c r="E2798" s="23">
        <v>958.18200000000002</v>
      </c>
      <c r="F2798" s="23">
        <v>-554.25900000000001</v>
      </c>
      <c r="G2798" s="23">
        <v>0</v>
      </c>
      <c r="H2798" s="23">
        <v>1999.444</v>
      </c>
      <c r="I2798" s="23">
        <v>0</v>
      </c>
      <c r="J2798" s="23">
        <v>0</v>
      </c>
      <c r="K2798" s="23">
        <v>0</v>
      </c>
    </row>
    <row r="2799" spans="1:11" x14ac:dyDescent="0.25">
      <c r="A2799">
        <v>2798</v>
      </c>
      <c r="B2799" s="23">
        <v>1202.3440000000001</v>
      </c>
      <c r="C2799" s="23">
        <v>877.37</v>
      </c>
      <c r="D2799" s="23">
        <v>3226.002</v>
      </c>
      <c r="E2799" s="23">
        <v>1202.3440000000001</v>
      </c>
      <c r="F2799" s="23">
        <v>0</v>
      </c>
      <c r="G2799" s="23">
        <v>0</v>
      </c>
      <c r="H2799" s="23">
        <v>2023.6579999999999</v>
      </c>
      <c r="I2799" s="23">
        <v>0</v>
      </c>
      <c r="J2799" s="23">
        <v>0</v>
      </c>
      <c r="K2799" s="23">
        <v>0</v>
      </c>
    </row>
    <row r="2800" spans="1:11" x14ac:dyDescent="0.25">
      <c r="A2800">
        <v>2799</v>
      </c>
      <c r="B2800" s="23">
        <v>871.99599999999998</v>
      </c>
      <c r="C2800" s="23">
        <v>724.54</v>
      </c>
      <c r="D2800" s="23">
        <v>2729.34</v>
      </c>
      <c r="E2800" s="23">
        <v>871.99599999999998</v>
      </c>
      <c r="F2800" s="23">
        <v>0</v>
      </c>
      <c r="G2800" s="23">
        <v>0</v>
      </c>
      <c r="H2800" s="23">
        <v>1857.3440000000001</v>
      </c>
      <c r="I2800" s="23">
        <v>0</v>
      </c>
      <c r="J2800" s="23">
        <v>0</v>
      </c>
      <c r="K2800" s="23">
        <v>0</v>
      </c>
    </row>
    <row r="2801" spans="1:11" x14ac:dyDescent="0.25">
      <c r="A2801">
        <v>2800</v>
      </c>
      <c r="B2801" s="23">
        <v>905.87699999999995</v>
      </c>
      <c r="C2801" s="23">
        <v>517.97</v>
      </c>
      <c r="D2801" s="23">
        <v>2006.9290000000001</v>
      </c>
      <c r="E2801" s="23">
        <v>905.87699999999995</v>
      </c>
      <c r="F2801" s="23">
        <v>0</v>
      </c>
      <c r="G2801" s="23">
        <v>0</v>
      </c>
      <c r="H2801" s="23">
        <v>1101.0519999999999</v>
      </c>
      <c r="I2801" s="23">
        <v>0</v>
      </c>
      <c r="J2801" s="23">
        <v>0</v>
      </c>
      <c r="K2801" s="23">
        <v>0</v>
      </c>
    </row>
    <row r="2802" spans="1:11" x14ac:dyDescent="0.25">
      <c r="A2802">
        <v>2801</v>
      </c>
      <c r="B2802" s="23">
        <v>1065.211</v>
      </c>
      <c r="C2802" s="23">
        <v>282.14</v>
      </c>
      <c r="D2802" s="23">
        <v>1051.4590000000001</v>
      </c>
      <c r="E2802" s="23">
        <v>1051.4590000000001</v>
      </c>
      <c r="F2802" s="23">
        <v>0</v>
      </c>
      <c r="G2802" s="23">
        <v>0</v>
      </c>
      <c r="H2802" s="23">
        <v>0</v>
      </c>
      <c r="I2802" s="23">
        <v>13.752000000000001</v>
      </c>
      <c r="J2802" s="23">
        <v>0</v>
      </c>
      <c r="K2802" s="23">
        <v>0</v>
      </c>
    </row>
    <row r="2803" spans="1:11" x14ac:dyDescent="0.25">
      <c r="A2803">
        <v>2802</v>
      </c>
      <c r="B2803" s="23">
        <v>1003.197</v>
      </c>
      <c r="C2803" s="23">
        <v>66.28</v>
      </c>
      <c r="D2803" s="23">
        <v>184.64</v>
      </c>
      <c r="E2803" s="23">
        <v>184.64</v>
      </c>
      <c r="F2803" s="23">
        <v>0</v>
      </c>
      <c r="G2803" s="23">
        <v>0</v>
      </c>
      <c r="H2803" s="23">
        <v>0</v>
      </c>
      <c r="I2803" s="23">
        <v>818.55700000000002</v>
      </c>
      <c r="J2803" s="23">
        <v>0</v>
      </c>
      <c r="K2803" s="23">
        <v>0</v>
      </c>
    </row>
    <row r="2804" spans="1:11" x14ac:dyDescent="0.25">
      <c r="A2804">
        <v>2803</v>
      </c>
      <c r="B2804" s="23">
        <v>1253.1579999999999</v>
      </c>
      <c r="C2804" s="23">
        <v>0</v>
      </c>
      <c r="D2804" s="23">
        <v>0</v>
      </c>
      <c r="E2804" s="23">
        <v>0</v>
      </c>
      <c r="F2804" s="23">
        <v>0</v>
      </c>
      <c r="G2804" s="23">
        <v>0</v>
      </c>
      <c r="H2804" s="23">
        <v>0</v>
      </c>
      <c r="I2804" s="23">
        <v>1.2070000000000001</v>
      </c>
      <c r="J2804" s="23">
        <v>0</v>
      </c>
      <c r="K2804" s="23">
        <v>1251.951</v>
      </c>
    </row>
    <row r="2805" spans="1:11" x14ac:dyDescent="0.25">
      <c r="A2805">
        <v>2804</v>
      </c>
      <c r="B2805" s="23">
        <v>1226.4000000000001</v>
      </c>
      <c r="C2805" s="23">
        <v>0</v>
      </c>
      <c r="D2805" s="23">
        <v>0</v>
      </c>
      <c r="E2805" s="23">
        <v>0</v>
      </c>
      <c r="F2805" s="23">
        <v>0</v>
      </c>
      <c r="G2805" s="23">
        <v>0</v>
      </c>
      <c r="H2805" s="23">
        <v>0</v>
      </c>
      <c r="I2805" s="23">
        <v>0</v>
      </c>
      <c r="J2805" s="23">
        <v>0</v>
      </c>
      <c r="K2805" s="23">
        <v>1226.4000000000001</v>
      </c>
    </row>
    <row r="2806" spans="1:11" x14ac:dyDescent="0.25">
      <c r="A2806">
        <v>2805</v>
      </c>
      <c r="B2806" s="23">
        <v>1049.5999999999999</v>
      </c>
      <c r="C2806" s="23">
        <v>0</v>
      </c>
      <c r="D2806" s="23">
        <v>0</v>
      </c>
      <c r="E2806" s="23">
        <v>0</v>
      </c>
      <c r="F2806" s="23">
        <v>0</v>
      </c>
      <c r="G2806" s="23">
        <v>0</v>
      </c>
      <c r="H2806" s="23">
        <v>0</v>
      </c>
      <c r="I2806" s="23">
        <v>0</v>
      </c>
      <c r="J2806" s="23">
        <v>0</v>
      </c>
      <c r="K2806" s="23">
        <v>1049.5999999999999</v>
      </c>
    </row>
    <row r="2807" spans="1:11" x14ac:dyDescent="0.25">
      <c r="A2807">
        <v>2806</v>
      </c>
      <c r="B2807" s="23">
        <v>1300</v>
      </c>
      <c r="C2807" s="23">
        <v>0</v>
      </c>
      <c r="D2807" s="23">
        <v>0</v>
      </c>
      <c r="E2807" s="23">
        <v>0</v>
      </c>
      <c r="F2807" s="23">
        <v>0</v>
      </c>
      <c r="G2807" s="23">
        <v>0</v>
      </c>
      <c r="H2807" s="23">
        <v>0</v>
      </c>
      <c r="I2807" s="23">
        <v>0</v>
      </c>
      <c r="J2807" s="23">
        <v>0</v>
      </c>
      <c r="K2807" s="23">
        <v>1300</v>
      </c>
    </row>
    <row r="2808" spans="1:11" x14ac:dyDescent="0.25">
      <c r="A2808">
        <v>2807</v>
      </c>
      <c r="B2808" s="23">
        <v>1016.8</v>
      </c>
      <c r="C2808" s="23">
        <v>0</v>
      </c>
      <c r="D2808" s="23">
        <v>0</v>
      </c>
      <c r="E2808" s="23">
        <v>0</v>
      </c>
      <c r="F2808" s="23">
        <v>0</v>
      </c>
      <c r="G2808" s="23">
        <v>0</v>
      </c>
      <c r="H2808" s="23">
        <v>0</v>
      </c>
      <c r="I2808" s="23">
        <v>0</v>
      </c>
      <c r="J2808" s="23">
        <v>0</v>
      </c>
      <c r="K2808" s="23">
        <v>1016.8</v>
      </c>
    </row>
    <row r="2809" spans="1:11" x14ac:dyDescent="0.25">
      <c r="A2809">
        <v>2808</v>
      </c>
      <c r="B2809" s="23">
        <v>0</v>
      </c>
      <c r="C2809" s="23">
        <v>0</v>
      </c>
      <c r="D2809" s="23">
        <v>0</v>
      </c>
      <c r="E2809" s="23">
        <v>0</v>
      </c>
      <c r="F2809" s="23">
        <v>0</v>
      </c>
      <c r="G2809" s="23">
        <v>0</v>
      </c>
      <c r="H2809" s="23">
        <v>0</v>
      </c>
      <c r="I2809" s="23">
        <v>0</v>
      </c>
      <c r="J2809" s="23">
        <v>0</v>
      </c>
      <c r="K2809" s="23">
        <v>0</v>
      </c>
    </row>
    <row r="2810" spans="1:11" x14ac:dyDescent="0.25">
      <c r="A2810">
        <v>2809</v>
      </c>
      <c r="B2810" s="23">
        <v>0</v>
      </c>
      <c r="C2810" s="23">
        <v>0</v>
      </c>
      <c r="D2810" s="23">
        <v>0</v>
      </c>
      <c r="E2810" s="23">
        <v>0</v>
      </c>
      <c r="F2810" s="23">
        <v>0</v>
      </c>
      <c r="G2810" s="23">
        <v>0</v>
      </c>
      <c r="H2810" s="23">
        <v>0</v>
      </c>
      <c r="I2810" s="23">
        <v>0</v>
      </c>
      <c r="J2810" s="23">
        <v>0</v>
      </c>
      <c r="K2810" s="23">
        <v>0</v>
      </c>
    </row>
    <row r="2811" spans="1:11" x14ac:dyDescent="0.25">
      <c r="A2811">
        <v>2810</v>
      </c>
      <c r="B2811" s="23">
        <v>0</v>
      </c>
      <c r="C2811" s="23">
        <v>0</v>
      </c>
      <c r="D2811" s="23">
        <v>0</v>
      </c>
      <c r="E2811" s="23">
        <v>0</v>
      </c>
      <c r="F2811" s="23">
        <v>0</v>
      </c>
      <c r="G2811" s="23">
        <v>0</v>
      </c>
      <c r="H2811" s="23">
        <v>0</v>
      </c>
      <c r="I2811" s="23">
        <v>0</v>
      </c>
      <c r="J2811" s="23">
        <v>0</v>
      </c>
      <c r="K2811" s="23">
        <v>0</v>
      </c>
    </row>
    <row r="2812" spans="1:11" x14ac:dyDescent="0.25">
      <c r="A2812">
        <v>2811</v>
      </c>
      <c r="B2812" s="23">
        <v>0</v>
      </c>
      <c r="C2812" s="23">
        <v>0</v>
      </c>
      <c r="D2812" s="23">
        <v>0</v>
      </c>
      <c r="E2812" s="23">
        <v>0</v>
      </c>
      <c r="F2812" s="23">
        <v>0</v>
      </c>
      <c r="G2812" s="23">
        <v>0</v>
      </c>
      <c r="H2812" s="23">
        <v>0</v>
      </c>
      <c r="I2812" s="23">
        <v>0</v>
      </c>
      <c r="J2812" s="23">
        <v>0</v>
      </c>
      <c r="K2812" s="23">
        <v>0</v>
      </c>
    </row>
    <row r="2813" spans="1:11" x14ac:dyDescent="0.25">
      <c r="A2813">
        <v>2812</v>
      </c>
      <c r="B2813" s="23">
        <v>0</v>
      </c>
      <c r="C2813" s="23">
        <v>0</v>
      </c>
      <c r="D2813" s="23">
        <v>0</v>
      </c>
      <c r="E2813" s="23">
        <v>0</v>
      </c>
      <c r="F2813" s="23">
        <v>0</v>
      </c>
      <c r="G2813" s="23">
        <v>0</v>
      </c>
      <c r="H2813" s="23">
        <v>0</v>
      </c>
      <c r="I2813" s="23">
        <v>0</v>
      </c>
      <c r="J2813" s="23">
        <v>0</v>
      </c>
      <c r="K2813" s="23">
        <v>0</v>
      </c>
    </row>
    <row r="2814" spans="1:11" x14ac:dyDescent="0.25">
      <c r="A2814">
        <v>2813</v>
      </c>
      <c r="B2814" s="23">
        <v>0</v>
      </c>
      <c r="C2814" s="23">
        <v>0</v>
      </c>
      <c r="D2814" s="23">
        <v>0</v>
      </c>
      <c r="E2814" s="23">
        <v>0</v>
      </c>
      <c r="F2814" s="23">
        <v>0</v>
      </c>
      <c r="G2814" s="23">
        <v>0</v>
      </c>
      <c r="H2814" s="23">
        <v>0</v>
      </c>
      <c r="I2814" s="23">
        <v>0</v>
      </c>
      <c r="J2814" s="23">
        <v>0</v>
      </c>
      <c r="K2814" s="23">
        <v>0</v>
      </c>
    </row>
    <row r="2815" spans="1:11" x14ac:dyDescent="0.25">
      <c r="A2815">
        <v>2814</v>
      </c>
      <c r="B2815" s="23">
        <v>0</v>
      </c>
      <c r="C2815" s="23">
        <v>0</v>
      </c>
      <c r="D2815" s="23">
        <v>0</v>
      </c>
      <c r="E2815" s="23">
        <v>0</v>
      </c>
      <c r="F2815" s="23">
        <v>0</v>
      </c>
      <c r="G2815" s="23">
        <v>0</v>
      </c>
      <c r="H2815" s="23">
        <v>0</v>
      </c>
      <c r="I2815" s="23">
        <v>0</v>
      </c>
      <c r="J2815" s="23">
        <v>0</v>
      </c>
      <c r="K2815" s="23">
        <v>0</v>
      </c>
    </row>
    <row r="2816" spans="1:11" x14ac:dyDescent="0.25">
      <c r="A2816">
        <v>2815</v>
      </c>
      <c r="B2816" s="23">
        <v>976.82799999999997</v>
      </c>
      <c r="C2816" s="23">
        <v>76.03</v>
      </c>
      <c r="D2816" s="23">
        <v>269.73</v>
      </c>
      <c r="E2816" s="23">
        <v>269.73</v>
      </c>
      <c r="F2816" s="23">
        <v>0</v>
      </c>
      <c r="G2816" s="23">
        <v>0</v>
      </c>
      <c r="H2816" s="23">
        <v>0</v>
      </c>
      <c r="I2816" s="23">
        <v>0</v>
      </c>
      <c r="J2816" s="23">
        <v>0</v>
      </c>
      <c r="K2816" s="23">
        <v>707.09799999999996</v>
      </c>
    </row>
    <row r="2817" spans="1:11" x14ac:dyDescent="0.25">
      <c r="A2817">
        <v>2816</v>
      </c>
      <c r="B2817" s="23">
        <v>949.20799999999997</v>
      </c>
      <c r="C2817" s="23">
        <v>321.52999999999997</v>
      </c>
      <c r="D2817" s="23">
        <v>1253.069</v>
      </c>
      <c r="E2817" s="23">
        <v>949.20799999999997</v>
      </c>
      <c r="F2817" s="23">
        <v>-303.86099999999999</v>
      </c>
      <c r="G2817" s="23">
        <v>0</v>
      </c>
      <c r="H2817" s="23">
        <v>0</v>
      </c>
      <c r="I2817" s="23">
        <v>0</v>
      </c>
      <c r="J2817" s="23">
        <v>0</v>
      </c>
      <c r="K2817" s="23">
        <v>0</v>
      </c>
    </row>
    <row r="2818" spans="1:11" x14ac:dyDescent="0.25">
      <c r="A2818">
        <v>2817</v>
      </c>
      <c r="B2818" s="23">
        <v>1320.769</v>
      </c>
      <c r="C2818" s="23">
        <v>541.02</v>
      </c>
      <c r="D2818" s="23">
        <v>2094.8910000000001</v>
      </c>
      <c r="E2818" s="23">
        <v>1320.769</v>
      </c>
      <c r="F2818" s="23">
        <v>-774.12199999999996</v>
      </c>
      <c r="G2818" s="23">
        <v>0</v>
      </c>
      <c r="H2818" s="23">
        <v>0</v>
      </c>
      <c r="I2818" s="23">
        <v>0</v>
      </c>
      <c r="J2818" s="23">
        <v>0</v>
      </c>
      <c r="K2818" s="23">
        <v>0</v>
      </c>
    </row>
    <row r="2819" spans="1:11" x14ac:dyDescent="0.25">
      <c r="A2819">
        <v>2818</v>
      </c>
      <c r="B2819" s="23">
        <v>1344.335</v>
      </c>
      <c r="C2819" s="23">
        <v>733.31</v>
      </c>
      <c r="D2819" s="23">
        <v>2763.2269999999999</v>
      </c>
      <c r="E2819" s="23">
        <v>1344.335</v>
      </c>
      <c r="F2819" s="23">
        <v>-1418.8920000000001</v>
      </c>
      <c r="G2819" s="23">
        <v>0</v>
      </c>
      <c r="H2819" s="23">
        <v>0</v>
      </c>
      <c r="I2819" s="23">
        <v>0</v>
      </c>
      <c r="J2819" s="23">
        <v>0</v>
      </c>
      <c r="K2819" s="23">
        <v>0</v>
      </c>
    </row>
    <row r="2820" spans="1:11" x14ac:dyDescent="0.25">
      <c r="A2820">
        <v>2819</v>
      </c>
      <c r="B2820" s="23">
        <v>1328.345</v>
      </c>
      <c r="C2820" s="23">
        <v>872.21</v>
      </c>
      <c r="D2820" s="23">
        <v>3212.8130000000001</v>
      </c>
      <c r="E2820" s="23">
        <v>1328.345</v>
      </c>
      <c r="F2820" s="23">
        <v>-1684.559</v>
      </c>
      <c r="G2820" s="23">
        <v>0</v>
      </c>
      <c r="H2820" s="23">
        <v>199.90899999999999</v>
      </c>
      <c r="I2820" s="23">
        <v>0</v>
      </c>
      <c r="J2820" s="23">
        <v>0</v>
      </c>
      <c r="K2820" s="23">
        <v>0</v>
      </c>
    </row>
    <row r="2821" spans="1:11" x14ac:dyDescent="0.25">
      <c r="A2821">
        <v>2820</v>
      </c>
      <c r="B2821" s="23">
        <v>1413.067</v>
      </c>
      <c r="C2821" s="23">
        <v>811.5</v>
      </c>
      <c r="D2821" s="23">
        <v>2954.4690000000001</v>
      </c>
      <c r="E2821" s="23">
        <v>1413.067</v>
      </c>
      <c r="F2821" s="23">
        <v>-1541.402</v>
      </c>
      <c r="G2821" s="23">
        <v>0</v>
      </c>
      <c r="H2821" s="23">
        <v>0</v>
      </c>
      <c r="I2821" s="23">
        <v>0</v>
      </c>
      <c r="J2821" s="23">
        <v>0</v>
      </c>
      <c r="K2821" s="23">
        <v>0</v>
      </c>
    </row>
    <row r="2822" spans="1:11" x14ac:dyDescent="0.25">
      <c r="A2822">
        <v>2821</v>
      </c>
      <c r="B2822" s="23">
        <v>1334.1679999999999</v>
      </c>
      <c r="C2822" s="23">
        <v>655.27</v>
      </c>
      <c r="D2822" s="23">
        <v>2406.2370000000001</v>
      </c>
      <c r="E2822" s="23">
        <v>1334.1679999999999</v>
      </c>
      <c r="F2822" s="23">
        <v>-1072.069</v>
      </c>
      <c r="G2822" s="23">
        <v>0</v>
      </c>
      <c r="H2822" s="23">
        <v>0</v>
      </c>
      <c r="I2822" s="23">
        <v>0</v>
      </c>
      <c r="J2822" s="23">
        <v>0</v>
      </c>
      <c r="K2822" s="23">
        <v>0</v>
      </c>
    </row>
    <row r="2823" spans="1:11" x14ac:dyDescent="0.25">
      <c r="A2823">
        <v>2822</v>
      </c>
      <c r="B2823" s="23">
        <v>1503.829</v>
      </c>
      <c r="C2823" s="23">
        <v>644.29999999999995</v>
      </c>
      <c r="D2823" s="23">
        <v>2380.0880000000002</v>
      </c>
      <c r="E2823" s="23">
        <v>1503.829</v>
      </c>
      <c r="F2823" s="23">
        <v>-496.59399999999999</v>
      </c>
      <c r="G2823" s="23">
        <v>0</v>
      </c>
      <c r="H2823" s="23">
        <v>379.66500000000002</v>
      </c>
      <c r="I2823" s="23">
        <v>0</v>
      </c>
      <c r="J2823" s="23">
        <v>0</v>
      </c>
      <c r="K2823" s="23">
        <v>0</v>
      </c>
    </row>
    <row r="2824" spans="1:11" x14ac:dyDescent="0.25">
      <c r="A2824">
        <v>2823</v>
      </c>
      <c r="B2824" s="23">
        <v>1371.7819999999999</v>
      </c>
      <c r="C2824" s="23">
        <v>308.43</v>
      </c>
      <c r="D2824" s="23">
        <v>1157.606</v>
      </c>
      <c r="E2824" s="23">
        <v>1157.606</v>
      </c>
      <c r="F2824" s="23">
        <v>0</v>
      </c>
      <c r="G2824" s="23">
        <v>0</v>
      </c>
      <c r="H2824" s="23">
        <v>0</v>
      </c>
      <c r="I2824" s="23">
        <v>214.17599999999999</v>
      </c>
      <c r="J2824" s="23">
        <v>0</v>
      </c>
      <c r="K2824" s="23">
        <v>0</v>
      </c>
    </row>
    <row r="2825" spans="1:11" x14ac:dyDescent="0.25">
      <c r="A2825">
        <v>2824</v>
      </c>
      <c r="B2825" s="23">
        <v>1502.0319999999999</v>
      </c>
      <c r="C2825" s="23">
        <v>176.62</v>
      </c>
      <c r="D2825" s="23">
        <v>660.62300000000005</v>
      </c>
      <c r="E2825" s="23">
        <v>660.62300000000005</v>
      </c>
      <c r="F2825" s="23">
        <v>0</v>
      </c>
      <c r="G2825" s="23">
        <v>0</v>
      </c>
      <c r="H2825" s="23">
        <v>0</v>
      </c>
      <c r="I2825" s="23">
        <v>841.40899999999999</v>
      </c>
      <c r="J2825" s="23">
        <v>0</v>
      </c>
      <c r="K2825" s="23">
        <v>0</v>
      </c>
    </row>
    <row r="2826" spans="1:11" x14ac:dyDescent="0.25">
      <c r="A2826">
        <v>2825</v>
      </c>
      <c r="B2826" s="23">
        <v>1377.423</v>
      </c>
      <c r="C2826" s="23">
        <v>158.02000000000001</v>
      </c>
      <c r="D2826" s="23">
        <v>595.97900000000004</v>
      </c>
      <c r="E2826" s="23">
        <v>595.97900000000004</v>
      </c>
      <c r="F2826" s="23">
        <v>0</v>
      </c>
      <c r="G2826" s="23">
        <v>0</v>
      </c>
      <c r="H2826" s="23">
        <v>0</v>
      </c>
      <c r="I2826" s="23">
        <v>781.44399999999996</v>
      </c>
      <c r="J2826" s="23">
        <v>0</v>
      </c>
      <c r="K2826" s="23">
        <v>0</v>
      </c>
    </row>
    <row r="2827" spans="1:11" x14ac:dyDescent="0.25">
      <c r="A2827">
        <v>2826</v>
      </c>
      <c r="B2827" s="23">
        <v>1514.373</v>
      </c>
      <c r="C2827" s="23">
        <v>38.94</v>
      </c>
      <c r="D2827" s="23">
        <v>119.593</v>
      </c>
      <c r="E2827" s="23">
        <v>119.593</v>
      </c>
      <c r="F2827" s="23">
        <v>0</v>
      </c>
      <c r="G2827" s="23">
        <v>0</v>
      </c>
      <c r="H2827" s="23">
        <v>0</v>
      </c>
      <c r="I2827" s="23">
        <v>0</v>
      </c>
      <c r="J2827" s="23">
        <v>0</v>
      </c>
      <c r="K2827" s="23">
        <v>1394.78</v>
      </c>
    </row>
    <row r="2828" spans="1:11" x14ac:dyDescent="0.25">
      <c r="A2828">
        <v>2827</v>
      </c>
      <c r="B2828" s="23">
        <v>1132.4639999999999</v>
      </c>
      <c r="C2828" s="23">
        <v>0</v>
      </c>
      <c r="D2828" s="23">
        <v>0</v>
      </c>
      <c r="E2828" s="23">
        <v>0</v>
      </c>
      <c r="F2828" s="23">
        <v>0</v>
      </c>
      <c r="G2828" s="23">
        <v>0</v>
      </c>
      <c r="H2828" s="23">
        <v>0</v>
      </c>
      <c r="I2828" s="23">
        <v>0</v>
      </c>
      <c r="J2828" s="23">
        <v>0</v>
      </c>
      <c r="K2828" s="23">
        <v>1132.4639999999999</v>
      </c>
    </row>
    <row r="2829" spans="1:11" x14ac:dyDescent="0.25">
      <c r="A2829">
        <v>2828</v>
      </c>
      <c r="B2829" s="23">
        <v>1019.2</v>
      </c>
      <c r="C2829" s="23">
        <v>0</v>
      </c>
      <c r="D2829" s="23">
        <v>0</v>
      </c>
      <c r="E2829" s="23">
        <v>0</v>
      </c>
      <c r="F2829" s="23">
        <v>0</v>
      </c>
      <c r="G2829" s="23">
        <v>0</v>
      </c>
      <c r="H2829" s="23">
        <v>0</v>
      </c>
      <c r="I2829" s="23">
        <v>0</v>
      </c>
      <c r="J2829" s="23">
        <v>0</v>
      </c>
      <c r="K2829" s="23">
        <v>1019.2</v>
      </c>
    </row>
    <row r="2830" spans="1:11" x14ac:dyDescent="0.25">
      <c r="A2830">
        <v>2829</v>
      </c>
      <c r="B2830" s="23">
        <v>1064.8</v>
      </c>
      <c r="C2830" s="23">
        <v>0</v>
      </c>
      <c r="D2830" s="23">
        <v>0</v>
      </c>
      <c r="E2830" s="23">
        <v>0</v>
      </c>
      <c r="F2830" s="23">
        <v>0</v>
      </c>
      <c r="G2830" s="23">
        <v>0</v>
      </c>
      <c r="H2830" s="23">
        <v>0</v>
      </c>
      <c r="I2830" s="23">
        <v>139.65100000000001</v>
      </c>
      <c r="J2830" s="23">
        <v>0</v>
      </c>
      <c r="K2830" s="23">
        <v>925.149</v>
      </c>
    </row>
    <row r="2831" spans="1:11" x14ac:dyDescent="0.25">
      <c r="A2831">
        <v>2830</v>
      </c>
      <c r="B2831" s="23">
        <v>1386.4</v>
      </c>
      <c r="C2831" s="23">
        <v>0</v>
      </c>
      <c r="D2831" s="23">
        <v>0</v>
      </c>
      <c r="E2831" s="23">
        <v>0</v>
      </c>
      <c r="F2831" s="23">
        <v>0</v>
      </c>
      <c r="G2831" s="23">
        <v>0</v>
      </c>
      <c r="H2831" s="23">
        <v>0</v>
      </c>
      <c r="I2831" s="23">
        <v>0</v>
      </c>
      <c r="J2831" s="23">
        <v>0</v>
      </c>
      <c r="K2831" s="23">
        <v>1386.4</v>
      </c>
    </row>
    <row r="2832" spans="1:11" x14ac:dyDescent="0.25">
      <c r="A2832">
        <v>2831</v>
      </c>
      <c r="B2832" s="23">
        <v>1148</v>
      </c>
      <c r="C2832" s="23">
        <v>0</v>
      </c>
      <c r="D2832" s="23">
        <v>0</v>
      </c>
      <c r="E2832" s="23">
        <v>0</v>
      </c>
      <c r="F2832" s="23">
        <v>0</v>
      </c>
      <c r="G2832" s="23">
        <v>0</v>
      </c>
      <c r="H2832" s="23">
        <v>0</v>
      </c>
      <c r="I2832" s="23">
        <v>1148</v>
      </c>
      <c r="J2832" s="23">
        <v>0</v>
      </c>
      <c r="K2832" s="23">
        <v>0</v>
      </c>
    </row>
    <row r="2833" spans="1:11" x14ac:dyDescent="0.25">
      <c r="A2833">
        <v>2832</v>
      </c>
      <c r="B2833" s="23">
        <v>0</v>
      </c>
      <c r="C2833" s="23">
        <v>0</v>
      </c>
      <c r="D2833" s="23">
        <v>0</v>
      </c>
      <c r="E2833" s="23">
        <v>0</v>
      </c>
      <c r="F2833" s="23">
        <v>0</v>
      </c>
      <c r="G2833" s="23">
        <v>0</v>
      </c>
      <c r="H2833" s="23">
        <v>0</v>
      </c>
      <c r="I2833" s="23">
        <v>0</v>
      </c>
      <c r="J2833" s="23">
        <v>0</v>
      </c>
      <c r="K2833" s="23">
        <v>0</v>
      </c>
    </row>
    <row r="2834" spans="1:11" x14ac:dyDescent="0.25">
      <c r="A2834">
        <v>2833</v>
      </c>
      <c r="B2834" s="23">
        <v>0</v>
      </c>
      <c r="C2834" s="23">
        <v>0</v>
      </c>
      <c r="D2834" s="23">
        <v>0</v>
      </c>
      <c r="E2834" s="23">
        <v>0</v>
      </c>
      <c r="F2834" s="23">
        <v>0</v>
      </c>
      <c r="G2834" s="23">
        <v>0</v>
      </c>
      <c r="H2834" s="23">
        <v>0</v>
      </c>
      <c r="I2834" s="23">
        <v>0</v>
      </c>
      <c r="J2834" s="23">
        <v>0</v>
      </c>
      <c r="K2834" s="23">
        <v>0</v>
      </c>
    </row>
    <row r="2835" spans="1:11" x14ac:dyDescent="0.25">
      <c r="A2835">
        <v>2834</v>
      </c>
      <c r="B2835" s="23">
        <v>0</v>
      </c>
      <c r="C2835" s="23">
        <v>0</v>
      </c>
      <c r="D2835" s="23">
        <v>0</v>
      </c>
      <c r="E2835" s="23">
        <v>0</v>
      </c>
      <c r="F2835" s="23">
        <v>0</v>
      </c>
      <c r="G2835" s="23">
        <v>0</v>
      </c>
      <c r="H2835" s="23">
        <v>0</v>
      </c>
      <c r="I2835" s="23">
        <v>0</v>
      </c>
      <c r="J2835" s="23">
        <v>0</v>
      </c>
      <c r="K2835" s="23">
        <v>0</v>
      </c>
    </row>
    <row r="2836" spans="1:11" x14ac:dyDescent="0.25">
      <c r="A2836">
        <v>2835</v>
      </c>
      <c r="B2836" s="23">
        <v>0</v>
      </c>
      <c r="C2836" s="23">
        <v>0</v>
      </c>
      <c r="D2836" s="23">
        <v>0</v>
      </c>
      <c r="E2836" s="23">
        <v>0</v>
      </c>
      <c r="F2836" s="23">
        <v>0</v>
      </c>
      <c r="G2836" s="23">
        <v>0</v>
      </c>
      <c r="H2836" s="23">
        <v>0</v>
      </c>
      <c r="I2836" s="23">
        <v>0</v>
      </c>
      <c r="J2836" s="23">
        <v>0</v>
      </c>
      <c r="K2836" s="23">
        <v>0</v>
      </c>
    </row>
    <row r="2837" spans="1:11" x14ac:dyDescent="0.25">
      <c r="A2837">
        <v>2836</v>
      </c>
      <c r="B2837" s="23">
        <v>0</v>
      </c>
      <c r="C2837" s="23">
        <v>0</v>
      </c>
      <c r="D2837" s="23">
        <v>0</v>
      </c>
      <c r="E2837" s="23">
        <v>0</v>
      </c>
      <c r="F2837" s="23">
        <v>0</v>
      </c>
      <c r="G2837" s="23">
        <v>0</v>
      </c>
      <c r="H2837" s="23">
        <v>0</v>
      </c>
      <c r="I2837" s="23">
        <v>0</v>
      </c>
      <c r="J2837" s="23">
        <v>0</v>
      </c>
      <c r="K2837" s="23">
        <v>0</v>
      </c>
    </row>
    <row r="2838" spans="1:11" x14ac:dyDescent="0.25">
      <c r="A2838">
        <v>2837</v>
      </c>
      <c r="B2838" s="23">
        <v>0</v>
      </c>
      <c r="C2838" s="23">
        <v>0</v>
      </c>
      <c r="D2838" s="23">
        <v>0</v>
      </c>
      <c r="E2838" s="23">
        <v>0</v>
      </c>
      <c r="F2838" s="23">
        <v>0</v>
      </c>
      <c r="G2838" s="23">
        <v>0</v>
      </c>
      <c r="H2838" s="23">
        <v>0</v>
      </c>
      <c r="I2838" s="23">
        <v>0</v>
      </c>
      <c r="J2838" s="23">
        <v>0</v>
      </c>
      <c r="K2838" s="23">
        <v>0</v>
      </c>
    </row>
    <row r="2839" spans="1:11" x14ac:dyDescent="0.25">
      <c r="A2839">
        <v>2838</v>
      </c>
      <c r="B2839" s="23">
        <v>0</v>
      </c>
      <c r="C2839" s="23">
        <v>0</v>
      </c>
      <c r="D2839" s="23">
        <v>0</v>
      </c>
      <c r="E2839" s="23">
        <v>0</v>
      </c>
      <c r="F2839" s="23">
        <v>0</v>
      </c>
      <c r="G2839" s="23">
        <v>0</v>
      </c>
      <c r="H2839" s="23">
        <v>0</v>
      </c>
      <c r="I2839" s="23">
        <v>0</v>
      </c>
      <c r="J2839" s="23">
        <v>0</v>
      </c>
      <c r="K2839" s="23">
        <v>0</v>
      </c>
    </row>
    <row r="2840" spans="1:11" x14ac:dyDescent="0.25">
      <c r="A2840">
        <v>2839</v>
      </c>
      <c r="B2840" s="23">
        <v>989.56100000000004</v>
      </c>
      <c r="C2840" s="23">
        <v>98.34</v>
      </c>
      <c r="D2840" s="23">
        <v>354.65</v>
      </c>
      <c r="E2840" s="23">
        <v>354.65</v>
      </c>
      <c r="F2840" s="23">
        <v>0</v>
      </c>
      <c r="G2840" s="23">
        <v>0</v>
      </c>
      <c r="H2840" s="23">
        <v>0</v>
      </c>
      <c r="I2840" s="23">
        <v>0</v>
      </c>
      <c r="J2840" s="23">
        <v>0</v>
      </c>
      <c r="K2840" s="23">
        <v>634.91099999999994</v>
      </c>
    </row>
    <row r="2841" spans="1:11" x14ac:dyDescent="0.25">
      <c r="A2841">
        <v>2840</v>
      </c>
      <c r="B2841" s="23">
        <v>970.74099999999999</v>
      </c>
      <c r="C2841" s="23">
        <v>283.07</v>
      </c>
      <c r="D2841" s="23">
        <v>1110.6130000000001</v>
      </c>
      <c r="E2841" s="23">
        <v>970.74099999999999</v>
      </c>
      <c r="F2841" s="23">
        <v>-139.87200000000001</v>
      </c>
      <c r="G2841" s="23">
        <v>0</v>
      </c>
      <c r="H2841" s="23">
        <v>0</v>
      </c>
      <c r="I2841" s="23">
        <v>0</v>
      </c>
      <c r="J2841" s="23">
        <v>0</v>
      </c>
      <c r="K2841" s="23">
        <v>0</v>
      </c>
    </row>
    <row r="2842" spans="1:11" x14ac:dyDescent="0.25">
      <c r="A2842">
        <v>2841</v>
      </c>
      <c r="B2842" s="23">
        <v>1081.2760000000001</v>
      </c>
      <c r="C2842" s="23">
        <v>588.58000000000004</v>
      </c>
      <c r="D2842" s="23">
        <v>2294.7130000000002</v>
      </c>
      <c r="E2842" s="23">
        <v>1081.2760000000001</v>
      </c>
      <c r="F2842" s="23">
        <v>-1213.4369999999999</v>
      </c>
      <c r="G2842" s="23">
        <v>0</v>
      </c>
      <c r="H2842" s="23">
        <v>0</v>
      </c>
      <c r="I2842" s="23">
        <v>0</v>
      </c>
      <c r="J2842" s="23">
        <v>0</v>
      </c>
      <c r="K2842" s="23">
        <v>0</v>
      </c>
    </row>
    <row r="2843" spans="1:11" x14ac:dyDescent="0.25">
      <c r="A2843">
        <v>2842</v>
      </c>
      <c r="B2843" s="23">
        <v>1571.8130000000001</v>
      </c>
      <c r="C2843" s="23">
        <v>374.37</v>
      </c>
      <c r="D2843" s="23">
        <v>1412.3030000000001</v>
      </c>
      <c r="E2843" s="23">
        <v>1412.3030000000001</v>
      </c>
      <c r="F2843" s="23">
        <v>0</v>
      </c>
      <c r="G2843" s="23">
        <v>0</v>
      </c>
      <c r="H2843" s="23">
        <v>0</v>
      </c>
      <c r="I2843" s="23">
        <v>0</v>
      </c>
      <c r="J2843" s="23">
        <v>0</v>
      </c>
      <c r="K2843" s="23">
        <v>159.51</v>
      </c>
    </row>
    <row r="2844" spans="1:11" x14ac:dyDescent="0.25">
      <c r="A2844">
        <v>2843</v>
      </c>
      <c r="B2844" s="23">
        <v>1519.172</v>
      </c>
      <c r="C2844" s="23">
        <v>703.24</v>
      </c>
      <c r="D2844" s="23">
        <v>2582.1669999999999</v>
      </c>
      <c r="E2844" s="23">
        <v>1519.172</v>
      </c>
      <c r="F2844" s="23">
        <v>-1062.9949999999999</v>
      </c>
      <c r="G2844" s="23">
        <v>0</v>
      </c>
      <c r="H2844" s="23">
        <v>0</v>
      </c>
      <c r="I2844" s="23">
        <v>0</v>
      </c>
      <c r="J2844" s="23">
        <v>0</v>
      </c>
      <c r="K2844" s="23">
        <v>0</v>
      </c>
    </row>
    <row r="2845" spans="1:11" x14ac:dyDescent="0.25">
      <c r="A2845">
        <v>2844</v>
      </c>
      <c r="B2845" s="23">
        <v>1461.2439999999999</v>
      </c>
      <c r="C2845" s="23">
        <v>855.84</v>
      </c>
      <c r="D2845" s="23">
        <v>3079.2370000000001</v>
      </c>
      <c r="E2845" s="23">
        <v>1461.2439999999999</v>
      </c>
      <c r="F2845" s="23">
        <v>-1617.9929999999999</v>
      </c>
      <c r="G2845" s="23">
        <v>0</v>
      </c>
      <c r="H2845" s="23">
        <v>0</v>
      </c>
      <c r="I2845" s="23">
        <v>0</v>
      </c>
      <c r="J2845" s="23">
        <v>0</v>
      </c>
      <c r="K2845" s="23">
        <v>0</v>
      </c>
    </row>
    <row r="2846" spans="1:11" x14ac:dyDescent="0.25">
      <c r="A2846">
        <v>2845</v>
      </c>
      <c r="B2846" s="23">
        <v>1711.452</v>
      </c>
      <c r="C2846" s="23">
        <v>961.54</v>
      </c>
      <c r="D2846" s="23">
        <v>3507.0189999999998</v>
      </c>
      <c r="E2846" s="23">
        <v>1711.452</v>
      </c>
      <c r="F2846" s="23">
        <v>-1684.559</v>
      </c>
      <c r="G2846" s="23">
        <v>0</v>
      </c>
      <c r="H2846" s="23">
        <v>111.008</v>
      </c>
      <c r="I2846" s="23">
        <v>0</v>
      </c>
      <c r="J2846" s="23">
        <v>0</v>
      </c>
      <c r="K2846" s="23">
        <v>0</v>
      </c>
    </row>
    <row r="2847" spans="1:11" x14ac:dyDescent="0.25">
      <c r="A2847">
        <v>2846</v>
      </c>
      <c r="B2847" s="23">
        <v>1173.1220000000001</v>
      </c>
      <c r="C2847" s="23">
        <v>877.33</v>
      </c>
      <c r="D2847" s="23">
        <v>3250.11</v>
      </c>
      <c r="E2847" s="23">
        <v>1173.1220000000001</v>
      </c>
      <c r="F2847" s="23">
        <v>-1684.559</v>
      </c>
      <c r="G2847" s="23">
        <v>0</v>
      </c>
      <c r="H2847" s="23">
        <v>392.42899999999997</v>
      </c>
      <c r="I2847" s="23">
        <v>0</v>
      </c>
      <c r="J2847" s="23">
        <v>0</v>
      </c>
      <c r="K2847" s="23">
        <v>0</v>
      </c>
    </row>
    <row r="2848" spans="1:11" x14ac:dyDescent="0.25">
      <c r="A2848">
        <v>2847</v>
      </c>
      <c r="B2848" s="23">
        <v>1493.09</v>
      </c>
      <c r="C2848" s="23">
        <v>53.01</v>
      </c>
      <c r="D2848" s="23">
        <v>173.63200000000001</v>
      </c>
      <c r="E2848" s="23">
        <v>173.63200000000001</v>
      </c>
      <c r="F2848" s="23">
        <v>0</v>
      </c>
      <c r="G2848" s="23">
        <v>0</v>
      </c>
      <c r="H2848" s="23">
        <v>0</v>
      </c>
      <c r="I2848" s="23">
        <v>1319.4580000000001</v>
      </c>
      <c r="J2848" s="23">
        <v>0</v>
      </c>
      <c r="K2848" s="23">
        <v>0</v>
      </c>
    </row>
    <row r="2849" spans="1:11" x14ac:dyDescent="0.25">
      <c r="A2849">
        <v>2848</v>
      </c>
      <c r="B2849" s="23">
        <v>1648.0719999999999</v>
      </c>
      <c r="C2849" s="23">
        <v>166.78</v>
      </c>
      <c r="D2849" s="23">
        <v>627.99599999999998</v>
      </c>
      <c r="E2849" s="23">
        <v>627.99599999999998</v>
      </c>
      <c r="F2849" s="23">
        <v>0</v>
      </c>
      <c r="G2849" s="23">
        <v>0</v>
      </c>
      <c r="H2849" s="23">
        <v>0</v>
      </c>
      <c r="I2849" s="23">
        <v>1020.076</v>
      </c>
      <c r="J2849" s="23">
        <v>0</v>
      </c>
      <c r="K2849" s="23">
        <v>0</v>
      </c>
    </row>
    <row r="2850" spans="1:11" x14ac:dyDescent="0.25">
      <c r="A2850">
        <v>2849</v>
      </c>
      <c r="B2850" s="23">
        <v>1134.203</v>
      </c>
      <c r="C2850" s="23">
        <v>26.45</v>
      </c>
      <c r="D2850" s="23">
        <v>77.12</v>
      </c>
      <c r="E2850" s="23">
        <v>77.12</v>
      </c>
      <c r="F2850" s="23">
        <v>0</v>
      </c>
      <c r="G2850" s="23">
        <v>0</v>
      </c>
      <c r="H2850" s="23">
        <v>0</v>
      </c>
      <c r="I2850" s="23">
        <v>1057.0830000000001</v>
      </c>
      <c r="J2850" s="23">
        <v>0</v>
      </c>
      <c r="K2850" s="23">
        <v>0</v>
      </c>
    </row>
    <row r="2851" spans="1:11" x14ac:dyDescent="0.25">
      <c r="A2851">
        <v>2850</v>
      </c>
      <c r="B2851" s="23">
        <v>1182.912</v>
      </c>
      <c r="C2851" s="23">
        <v>8.81</v>
      </c>
      <c r="D2851" s="23">
        <v>9.3550000000000004</v>
      </c>
      <c r="E2851" s="23">
        <v>9.3550000000000004</v>
      </c>
      <c r="F2851" s="23">
        <v>0</v>
      </c>
      <c r="G2851" s="23">
        <v>0</v>
      </c>
      <c r="H2851" s="23">
        <v>0</v>
      </c>
      <c r="I2851" s="23">
        <v>0</v>
      </c>
      <c r="J2851" s="23">
        <v>0</v>
      </c>
      <c r="K2851" s="23">
        <v>1173.557</v>
      </c>
    </row>
    <row r="2852" spans="1:11" x14ac:dyDescent="0.25">
      <c r="A2852">
        <v>2851</v>
      </c>
      <c r="B2852" s="23">
        <v>1420.356</v>
      </c>
      <c r="C2852" s="23">
        <v>0</v>
      </c>
      <c r="D2852" s="23">
        <v>0</v>
      </c>
      <c r="E2852" s="23">
        <v>0</v>
      </c>
      <c r="F2852" s="23">
        <v>0</v>
      </c>
      <c r="G2852" s="23">
        <v>0</v>
      </c>
      <c r="H2852" s="23">
        <v>0</v>
      </c>
      <c r="I2852" s="23">
        <v>0</v>
      </c>
      <c r="J2852" s="23">
        <v>0</v>
      </c>
      <c r="K2852" s="23">
        <v>1420.356</v>
      </c>
    </row>
    <row r="2853" spans="1:11" x14ac:dyDescent="0.25">
      <c r="A2853">
        <v>2852</v>
      </c>
      <c r="B2853" s="23">
        <v>1311.2</v>
      </c>
      <c r="C2853" s="23">
        <v>0</v>
      </c>
      <c r="D2853" s="23">
        <v>0</v>
      </c>
      <c r="E2853" s="23">
        <v>0</v>
      </c>
      <c r="F2853" s="23">
        <v>0</v>
      </c>
      <c r="G2853" s="23">
        <v>0</v>
      </c>
      <c r="H2853" s="23">
        <v>0</v>
      </c>
      <c r="I2853" s="23">
        <v>0</v>
      </c>
      <c r="J2853" s="23">
        <v>0</v>
      </c>
      <c r="K2853" s="23">
        <v>1311.2</v>
      </c>
    </row>
    <row r="2854" spans="1:11" x14ac:dyDescent="0.25">
      <c r="A2854">
        <v>2853</v>
      </c>
      <c r="B2854" s="23">
        <v>1405.6</v>
      </c>
      <c r="C2854" s="23">
        <v>0</v>
      </c>
      <c r="D2854" s="23">
        <v>0</v>
      </c>
      <c r="E2854" s="23">
        <v>0</v>
      </c>
      <c r="F2854" s="23">
        <v>0</v>
      </c>
      <c r="G2854" s="23">
        <v>0</v>
      </c>
      <c r="H2854" s="23">
        <v>0</v>
      </c>
      <c r="I2854" s="23">
        <v>958.15700000000004</v>
      </c>
      <c r="J2854" s="23">
        <v>0</v>
      </c>
      <c r="K2854" s="23">
        <v>447.44299999999998</v>
      </c>
    </row>
    <row r="2855" spans="1:11" x14ac:dyDescent="0.25">
      <c r="A2855">
        <v>2854</v>
      </c>
      <c r="B2855" s="23">
        <v>1212</v>
      </c>
      <c r="C2855" s="23">
        <v>0</v>
      </c>
      <c r="D2855" s="23">
        <v>0</v>
      </c>
      <c r="E2855" s="23">
        <v>0</v>
      </c>
      <c r="F2855" s="23">
        <v>0</v>
      </c>
      <c r="G2855" s="23">
        <v>0</v>
      </c>
      <c r="H2855" s="23">
        <v>0</v>
      </c>
      <c r="I2855" s="23">
        <v>0</v>
      </c>
      <c r="J2855" s="23">
        <v>0</v>
      </c>
      <c r="K2855" s="23">
        <v>1212</v>
      </c>
    </row>
    <row r="2856" spans="1:11" x14ac:dyDescent="0.25">
      <c r="A2856">
        <v>2855</v>
      </c>
      <c r="B2856" s="23">
        <v>1395.2</v>
      </c>
      <c r="C2856" s="23">
        <v>0</v>
      </c>
      <c r="D2856" s="23">
        <v>0</v>
      </c>
      <c r="E2856" s="23">
        <v>0</v>
      </c>
      <c r="F2856" s="23">
        <v>0</v>
      </c>
      <c r="G2856" s="23">
        <v>0</v>
      </c>
      <c r="H2856" s="23">
        <v>0</v>
      </c>
      <c r="I2856" s="23">
        <v>1395.2</v>
      </c>
      <c r="J2856" s="23">
        <v>0</v>
      </c>
      <c r="K2856" s="23">
        <v>0</v>
      </c>
    </row>
    <row r="2857" spans="1:11" x14ac:dyDescent="0.25">
      <c r="A2857">
        <v>2856</v>
      </c>
      <c r="B2857" s="23">
        <v>0</v>
      </c>
      <c r="C2857" s="23">
        <v>0</v>
      </c>
      <c r="D2857" s="23">
        <v>0</v>
      </c>
      <c r="E2857" s="23">
        <v>0</v>
      </c>
      <c r="F2857" s="23">
        <v>0</v>
      </c>
      <c r="G2857" s="23">
        <v>0</v>
      </c>
      <c r="H2857" s="23">
        <v>0</v>
      </c>
      <c r="I2857" s="23">
        <v>0</v>
      </c>
      <c r="J2857" s="23">
        <v>0</v>
      </c>
      <c r="K2857" s="23">
        <v>0</v>
      </c>
    </row>
    <row r="2858" spans="1:11" x14ac:dyDescent="0.25">
      <c r="A2858">
        <v>2857</v>
      </c>
      <c r="B2858" s="23">
        <v>0</v>
      </c>
      <c r="C2858" s="23">
        <v>0</v>
      </c>
      <c r="D2858" s="23">
        <v>0</v>
      </c>
      <c r="E2858" s="23">
        <v>0</v>
      </c>
      <c r="F2858" s="23">
        <v>0</v>
      </c>
      <c r="G2858" s="23">
        <v>0</v>
      </c>
      <c r="H2858" s="23">
        <v>0</v>
      </c>
      <c r="I2858" s="23">
        <v>0</v>
      </c>
      <c r="J2858" s="23">
        <v>0</v>
      </c>
      <c r="K2858" s="23">
        <v>0</v>
      </c>
    </row>
    <row r="2859" spans="1:11" x14ac:dyDescent="0.25">
      <c r="A2859">
        <v>2858</v>
      </c>
      <c r="B2859" s="23">
        <v>0</v>
      </c>
      <c r="C2859" s="23">
        <v>0</v>
      </c>
      <c r="D2859" s="23">
        <v>0</v>
      </c>
      <c r="E2859" s="23">
        <v>0</v>
      </c>
      <c r="F2859" s="23">
        <v>0</v>
      </c>
      <c r="G2859" s="23">
        <v>0</v>
      </c>
      <c r="H2859" s="23">
        <v>0</v>
      </c>
      <c r="I2859" s="23">
        <v>0</v>
      </c>
      <c r="J2859" s="23">
        <v>0</v>
      </c>
      <c r="K2859" s="23">
        <v>0</v>
      </c>
    </row>
    <row r="2860" spans="1:11" x14ac:dyDescent="0.25">
      <c r="A2860">
        <v>2859</v>
      </c>
      <c r="B2860" s="23">
        <v>0</v>
      </c>
      <c r="C2860" s="23">
        <v>0</v>
      </c>
      <c r="D2860" s="23">
        <v>0</v>
      </c>
      <c r="E2860" s="23">
        <v>0</v>
      </c>
      <c r="F2860" s="23">
        <v>0</v>
      </c>
      <c r="G2860" s="23">
        <v>0</v>
      </c>
      <c r="H2860" s="23">
        <v>0</v>
      </c>
      <c r="I2860" s="23">
        <v>0</v>
      </c>
      <c r="J2860" s="23">
        <v>0</v>
      </c>
      <c r="K2860" s="23">
        <v>0</v>
      </c>
    </row>
    <row r="2861" spans="1:11" x14ac:dyDescent="0.25">
      <c r="A2861">
        <v>2860</v>
      </c>
      <c r="B2861" s="23">
        <v>0</v>
      </c>
      <c r="C2861" s="23">
        <v>0</v>
      </c>
      <c r="D2861" s="23">
        <v>0</v>
      </c>
      <c r="E2861" s="23">
        <v>0</v>
      </c>
      <c r="F2861" s="23">
        <v>0</v>
      </c>
      <c r="G2861" s="23">
        <v>0</v>
      </c>
      <c r="H2861" s="23">
        <v>0</v>
      </c>
      <c r="I2861" s="23">
        <v>0</v>
      </c>
      <c r="J2861" s="23">
        <v>0</v>
      </c>
      <c r="K2861" s="23">
        <v>0</v>
      </c>
    </row>
    <row r="2862" spans="1:11" x14ac:dyDescent="0.25">
      <c r="A2862">
        <v>2861</v>
      </c>
      <c r="B2862" s="23">
        <v>0</v>
      </c>
      <c r="C2862" s="23">
        <v>0</v>
      </c>
      <c r="D2862" s="23">
        <v>0</v>
      </c>
      <c r="E2862" s="23">
        <v>0</v>
      </c>
      <c r="F2862" s="23">
        <v>0</v>
      </c>
      <c r="G2862" s="23">
        <v>0</v>
      </c>
      <c r="H2862" s="23">
        <v>0</v>
      </c>
      <c r="I2862" s="23">
        <v>0</v>
      </c>
      <c r="J2862" s="23">
        <v>0</v>
      </c>
      <c r="K2862" s="23">
        <v>0</v>
      </c>
    </row>
    <row r="2863" spans="1:11" x14ac:dyDescent="0.25">
      <c r="A2863">
        <v>2862</v>
      </c>
      <c r="B2863" s="23">
        <v>0</v>
      </c>
      <c r="C2863" s="23">
        <v>0</v>
      </c>
      <c r="D2863" s="23">
        <v>0</v>
      </c>
      <c r="E2863" s="23">
        <v>0</v>
      </c>
      <c r="F2863" s="23">
        <v>0</v>
      </c>
      <c r="G2863" s="23">
        <v>0</v>
      </c>
      <c r="H2863" s="23">
        <v>0</v>
      </c>
      <c r="I2863" s="23">
        <v>0</v>
      </c>
      <c r="J2863" s="23">
        <v>0</v>
      </c>
      <c r="K2863" s="23">
        <v>0</v>
      </c>
    </row>
    <row r="2864" spans="1:11" x14ac:dyDescent="0.25">
      <c r="A2864">
        <v>2863</v>
      </c>
      <c r="B2864" s="23">
        <v>1384.7729999999999</v>
      </c>
      <c r="C2864" s="23">
        <v>125.89</v>
      </c>
      <c r="D2864" s="23">
        <v>397.47899999999998</v>
      </c>
      <c r="E2864" s="23">
        <v>397.47899999999998</v>
      </c>
      <c r="F2864" s="23">
        <v>0</v>
      </c>
      <c r="G2864" s="23">
        <v>0</v>
      </c>
      <c r="H2864" s="23">
        <v>0</v>
      </c>
      <c r="I2864" s="23">
        <v>0</v>
      </c>
      <c r="J2864" s="23">
        <v>0</v>
      </c>
      <c r="K2864" s="23">
        <v>987.29399999999998</v>
      </c>
    </row>
    <row r="2865" spans="1:11" x14ac:dyDescent="0.25">
      <c r="A2865">
        <v>2864</v>
      </c>
      <c r="B2865" s="23">
        <v>330.44799999999998</v>
      </c>
      <c r="C2865" s="23">
        <v>103.18</v>
      </c>
      <c r="D2865" s="23">
        <v>381.45</v>
      </c>
      <c r="E2865" s="23">
        <v>330.44799999999998</v>
      </c>
      <c r="F2865" s="23">
        <v>-51.002000000000002</v>
      </c>
      <c r="G2865" s="23">
        <v>0</v>
      </c>
      <c r="H2865" s="23">
        <v>0</v>
      </c>
      <c r="I2865" s="23">
        <v>0</v>
      </c>
      <c r="J2865" s="23">
        <v>0</v>
      </c>
      <c r="K2865" s="23">
        <v>0</v>
      </c>
    </row>
    <row r="2866" spans="1:11" x14ac:dyDescent="0.25">
      <c r="A2866">
        <v>2865</v>
      </c>
      <c r="B2866" s="23">
        <v>66.072000000000003</v>
      </c>
      <c r="C2866" s="23">
        <v>463.43</v>
      </c>
      <c r="D2866" s="23">
        <v>1766.7260000000001</v>
      </c>
      <c r="E2866" s="23">
        <v>66.072000000000003</v>
      </c>
      <c r="F2866" s="23">
        <v>-1684.559</v>
      </c>
      <c r="G2866" s="23">
        <v>0</v>
      </c>
      <c r="H2866" s="23">
        <v>16.094999999999999</v>
      </c>
      <c r="I2866" s="23">
        <v>0</v>
      </c>
      <c r="J2866" s="23">
        <v>0</v>
      </c>
      <c r="K2866" s="23">
        <v>0</v>
      </c>
    </row>
    <row r="2867" spans="1:11" x14ac:dyDescent="0.25">
      <c r="A2867">
        <v>2866</v>
      </c>
      <c r="B2867" s="23">
        <v>69.844999999999999</v>
      </c>
      <c r="C2867" s="23">
        <v>504.21</v>
      </c>
      <c r="D2867" s="23">
        <v>1877.7380000000001</v>
      </c>
      <c r="E2867" s="23">
        <v>69.844999999999999</v>
      </c>
      <c r="F2867" s="23">
        <v>-1684.559</v>
      </c>
      <c r="G2867" s="23">
        <v>0</v>
      </c>
      <c r="H2867" s="23">
        <v>123.334</v>
      </c>
      <c r="I2867" s="23">
        <v>0</v>
      </c>
      <c r="J2867" s="23">
        <v>0</v>
      </c>
      <c r="K2867" s="23">
        <v>0</v>
      </c>
    </row>
    <row r="2868" spans="1:11" x14ac:dyDescent="0.25">
      <c r="A2868">
        <v>2867</v>
      </c>
      <c r="B2868" s="23">
        <v>66.864999999999995</v>
      </c>
      <c r="C2868" s="23">
        <v>416.15</v>
      </c>
      <c r="D2868" s="23">
        <v>1538.963</v>
      </c>
      <c r="E2868" s="23">
        <v>66.864999999999995</v>
      </c>
      <c r="F2868" s="23">
        <v>-1472.098</v>
      </c>
      <c r="G2868" s="23">
        <v>0</v>
      </c>
      <c r="H2868" s="23">
        <v>0</v>
      </c>
      <c r="I2868" s="23">
        <v>0</v>
      </c>
      <c r="J2868" s="23">
        <v>0</v>
      </c>
      <c r="K2868" s="23">
        <v>0</v>
      </c>
    </row>
    <row r="2869" spans="1:11" x14ac:dyDescent="0.25">
      <c r="A2869">
        <v>2868</v>
      </c>
      <c r="B2869" s="23">
        <v>69.873999999999995</v>
      </c>
      <c r="C2869" s="23">
        <v>187.15</v>
      </c>
      <c r="D2869" s="23">
        <v>680.08800000000008</v>
      </c>
      <c r="E2869" s="23">
        <v>69.873999999999995</v>
      </c>
      <c r="F2869" s="23">
        <v>-610.21400000000006</v>
      </c>
      <c r="G2869" s="23">
        <v>0</v>
      </c>
      <c r="H2869" s="23">
        <v>0</v>
      </c>
      <c r="I2869" s="23">
        <v>0</v>
      </c>
      <c r="J2869" s="23">
        <v>0</v>
      </c>
      <c r="K2869" s="23">
        <v>0</v>
      </c>
    </row>
    <row r="2870" spans="1:11" x14ac:dyDescent="0.25">
      <c r="A2870">
        <v>2869</v>
      </c>
      <c r="B2870" s="23">
        <v>62.387</v>
      </c>
      <c r="C2870" s="23">
        <v>84.7</v>
      </c>
      <c r="D2870" s="23">
        <v>289.09100000000001</v>
      </c>
      <c r="E2870" s="23">
        <v>62.387</v>
      </c>
      <c r="F2870" s="23">
        <v>-226.70400000000001</v>
      </c>
      <c r="G2870" s="23">
        <v>0</v>
      </c>
      <c r="H2870" s="23">
        <v>0</v>
      </c>
      <c r="I2870" s="23">
        <v>0</v>
      </c>
      <c r="J2870" s="23">
        <v>0</v>
      </c>
      <c r="K2870" s="23">
        <v>0</v>
      </c>
    </row>
    <row r="2871" spans="1:11" x14ac:dyDescent="0.25">
      <c r="A2871">
        <v>2870</v>
      </c>
      <c r="B2871" s="23">
        <v>65.31</v>
      </c>
      <c r="C2871" s="23">
        <v>151.41</v>
      </c>
      <c r="D2871" s="23">
        <v>545.83999999999992</v>
      </c>
      <c r="E2871" s="23">
        <v>65.31</v>
      </c>
      <c r="F2871" s="23">
        <v>-480.53</v>
      </c>
      <c r="G2871" s="23">
        <v>0</v>
      </c>
      <c r="H2871" s="23">
        <v>0</v>
      </c>
      <c r="I2871" s="23">
        <v>0</v>
      </c>
      <c r="J2871" s="23">
        <v>0</v>
      </c>
      <c r="K2871" s="23">
        <v>0</v>
      </c>
    </row>
    <row r="2872" spans="1:11" x14ac:dyDescent="0.25">
      <c r="A2872">
        <v>2871</v>
      </c>
      <c r="B2872" s="23">
        <v>60.338000000000001</v>
      </c>
      <c r="C2872" s="23">
        <v>248.74</v>
      </c>
      <c r="D2872" s="23">
        <v>923.38</v>
      </c>
      <c r="E2872" s="23">
        <v>60.338000000000001</v>
      </c>
      <c r="F2872" s="23">
        <v>-863.04200000000003</v>
      </c>
      <c r="G2872" s="23">
        <v>0</v>
      </c>
      <c r="H2872" s="23">
        <v>0</v>
      </c>
      <c r="I2872" s="23">
        <v>0</v>
      </c>
      <c r="J2872" s="23">
        <v>0</v>
      </c>
      <c r="K2872" s="23">
        <v>0</v>
      </c>
    </row>
    <row r="2873" spans="1:11" x14ac:dyDescent="0.25">
      <c r="A2873">
        <v>2872</v>
      </c>
      <c r="B2873" s="23">
        <v>69.75</v>
      </c>
      <c r="C2873" s="23">
        <v>256.24</v>
      </c>
      <c r="D2873" s="23">
        <v>966.53399999999999</v>
      </c>
      <c r="E2873" s="23">
        <v>69.75</v>
      </c>
      <c r="F2873" s="23">
        <v>-218.79</v>
      </c>
      <c r="G2873" s="23">
        <v>0</v>
      </c>
      <c r="H2873" s="23">
        <v>677.99400000000003</v>
      </c>
      <c r="I2873" s="23">
        <v>0</v>
      </c>
      <c r="J2873" s="23">
        <v>0</v>
      </c>
      <c r="K2873" s="23">
        <v>0</v>
      </c>
    </row>
    <row r="2874" spans="1:11" x14ac:dyDescent="0.25">
      <c r="A2874">
        <v>2873</v>
      </c>
      <c r="B2874" s="23">
        <v>62.252000000000002</v>
      </c>
      <c r="C2874" s="23">
        <v>140.12</v>
      </c>
      <c r="D2874" s="23">
        <v>523.21399999999994</v>
      </c>
      <c r="E2874" s="23">
        <v>62.252000000000002</v>
      </c>
      <c r="F2874" s="23">
        <v>0</v>
      </c>
      <c r="G2874" s="23">
        <v>0</v>
      </c>
      <c r="H2874" s="23">
        <v>460.96199999999999</v>
      </c>
      <c r="I2874" s="23">
        <v>0</v>
      </c>
      <c r="J2874" s="23">
        <v>0</v>
      </c>
      <c r="K2874" s="23">
        <v>0</v>
      </c>
    </row>
    <row r="2875" spans="1:11" x14ac:dyDescent="0.25">
      <c r="A2875">
        <v>2874</v>
      </c>
      <c r="B2875" s="23">
        <v>69.555999999999997</v>
      </c>
      <c r="C2875" s="23">
        <v>35.17</v>
      </c>
      <c r="D2875" s="23">
        <v>105.764</v>
      </c>
      <c r="E2875" s="23">
        <v>69.555999999999997</v>
      </c>
      <c r="F2875" s="23">
        <v>0</v>
      </c>
      <c r="G2875" s="23">
        <v>0</v>
      </c>
      <c r="H2875" s="23">
        <v>36.207999999999998</v>
      </c>
      <c r="I2875" s="23">
        <v>0</v>
      </c>
      <c r="J2875" s="23">
        <v>0</v>
      </c>
      <c r="K2875" s="23">
        <v>0</v>
      </c>
    </row>
    <row r="2876" spans="1:11" x14ac:dyDescent="0.25">
      <c r="A2876">
        <v>2875</v>
      </c>
      <c r="B2876" s="23">
        <v>70.537999999999997</v>
      </c>
      <c r="C2876" s="23">
        <v>0</v>
      </c>
      <c r="D2876" s="23">
        <v>0</v>
      </c>
      <c r="E2876" s="23">
        <v>0</v>
      </c>
      <c r="F2876" s="23">
        <v>0</v>
      </c>
      <c r="G2876" s="23">
        <v>0</v>
      </c>
      <c r="H2876" s="23">
        <v>0</v>
      </c>
      <c r="I2876" s="23">
        <v>0</v>
      </c>
      <c r="J2876" s="23">
        <v>0</v>
      </c>
      <c r="K2876" s="23">
        <v>70.537999999999997</v>
      </c>
    </row>
    <row r="2877" spans="1:11" x14ac:dyDescent="0.25">
      <c r="A2877">
        <v>2876</v>
      </c>
      <c r="B2877" s="23">
        <v>76.8</v>
      </c>
      <c r="C2877" s="23">
        <v>0</v>
      </c>
      <c r="D2877" s="23">
        <v>0</v>
      </c>
      <c r="E2877" s="23">
        <v>0</v>
      </c>
      <c r="F2877" s="23">
        <v>0</v>
      </c>
      <c r="G2877" s="23">
        <v>0</v>
      </c>
      <c r="H2877" s="23">
        <v>0</v>
      </c>
      <c r="I2877" s="23">
        <v>0</v>
      </c>
      <c r="J2877" s="23">
        <v>0</v>
      </c>
      <c r="K2877" s="23">
        <v>76.8</v>
      </c>
    </row>
    <row r="2878" spans="1:11" x14ac:dyDescent="0.25">
      <c r="A2878">
        <v>2877</v>
      </c>
      <c r="B2878" s="23">
        <v>72.8</v>
      </c>
      <c r="C2878" s="23">
        <v>0</v>
      </c>
      <c r="D2878" s="23">
        <v>0</v>
      </c>
      <c r="E2878" s="23">
        <v>0</v>
      </c>
      <c r="F2878" s="23">
        <v>0</v>
      </c>
      <c r="G2878" s="23">
        <v>0</v>
      </c>
      <c r="H2878" s="23">
        <v>0</v>
      </c>
      <c r="I2878" s="23">
        <v>0</v>
      </c>
      <c r="J2878" s="23">
        <v>0</v>
      </c>
      <c r="K2878" s="23">
        <v>72.8</v>
      </c>
    </row>
    <row r="2879" spans="1:11" x14ac:dyDescent="0.25">
      <c r="A2879">
        <v>2878</v>
      </c>
      <c r="B2879" s="23">
        <v>78.400000000000006</v>
      </c>
      <c r="C2879" s="23">
        <v>0</v>
      </c>
      <c r="D2879" s="23">
        <v>0</v>
      </c>
      <c r="E2879" s="23">
        <v>0</v>
      </c>
      <c r="F2879" s="23">
        <v>0</v>
      </c>
      <c r="G2879" s="23">
        <v>0</v>
      </c>
      <c r="H2879" s="23">
        <v>0</v>
      </c>
      <c r="I2879" s="23">
        <v>0</v>
      </c>
      <c r="J2879" s="23">
        <v>0</v>
      </c>
      <c r="K2879" s="23">
        <v>78.400000000000006</v>
      </c>
    </row>
    <row r="2880" spans="1:11" x14ac:dyDescent="0.25">
      <c r="A2880">
        <v>2879</v>
      </c>
      <c r="B2880" s="23">
        <v>72</v>
      </c>
      <c r="C2880" s="23">
        <v>0</v>
      </c>
      <c r="D2880" s="23">
        <v>0</v>
      </c>
      <c r="E2880" s="23">
        <v>0</v>
      </c>
      <c r="F2880" s="23">
        <v>0</v>
      </c>
      <c r="G2880" s="23">
        <v>0</v>
      </c>
      <c r="H2880" s="23">
        <v>0</v>
      </c>
      <c r="I2880" s="23">
        <v>0</v>
      </c>
      <c r="J2880" s="23">
        <v>0</v>
      </c>
      <c r="K2880" s="23">
        <v>72</v>
      </c>
    </row>
    <row r="2881" spans="1:11" x14ac:dyDescent="0.25">
      <c r="A2881">
        <v>2880</v>
      </c>
      <c r="B2881" s="23">
        <v>0</v>
      </c>
      <c r="C2881" s="23">
        <v>0</v>
      </c>
      <c r="D2881" s="23">
        <v>0</v>
      </c>
      <c r="E2881" s="23">
        <v>0</v>
      </c>
      <c r="F2881" s="23">
        <v>0</v>
      </c>
      <c r="G2881" s="23">
        <v>0</v>
      </c>
      <c r="H2881" s="23">
        <v>0</v>
      </c>
      <c r="I2881" s="23">
        <v>0</v>
      </c>
      <c r="J2881" s="23">
        <v>0</v>
      </c>
      <c r="K2881" s="23">
        <v>0</v>
      </c>
    </row>
    <row r="2882" spans="1:11" x14ac:dyDescent="0.25">
      <c r="A2882">
        <v>2881</v>
      </c>
      <c r="B2882" s="23">
        <v>0</v>
      </c>
      <c r="C2882" s="23">
        <v>0</v>
      </c>
      <c r="D2882" s="23">
        <v>0</v>
      </c>
      <c r="E2882" s="23">
        <v>0</v>
      </c>
      <c r="F2882" s="23">
        <v>0</v>
      </c>
      <c r="G2882" s="23">
        <v>0</v>
      </c>
      <c r="H2882" s="23">
        <v>0</v>
      </c>
      <c r="I2882" s="23">
        <v>0</v>
      </c>
      <c r="J2882" s="23">
        <v>0</v>
      </c>
      <c r="K2882" s="23">
        <v>0</v>
      </c>
    </row>
    <row r="2883" spans="1:11" x14ac:dyDescent="0.25">
      <c r="A2883">
        <v>2882</v>
      </c>
      <c r="B2883" s="23">
        <v>0</v>
      </c>
      <c r="C2883" s="23">
        <v>0</v>
      </c>
      <c r="D2883" s="23">
        <v>0</v>
      </c>
      <c r="E2883" s="23">
        <v>0</v>
      </c>
      <c r="F2883" s="23">
        <v>0</v>
      </c>
      <c r="G2883" s="23">
        <v>0</v>
      </c>
      <c r="H2883" s="23">
        <v>0</v>
      </c>
      <c r="I2883" s="23">
        <v>0</v>
      </c>
      <c r="J2883" s="23">
        <v>0</v>
      </c>
      <c r="K2883" s="23">
        <v>0</v>
      </c>
    </row>
    <row r="2884" spans="1:11" x14ac:dyDescent="0.25">
      <c r="A2884">
        <v>2883</v>
      </c>
      <c r="B2884" s="23">
        <v>0</v>
      </c>
      <c r="C2884" s="23">
        <v>0</v>
      </c>
      <c r="D2884" s="23">
        <v>0</v>
      </c>
      <c r="E2884" s="23">
        <v>0</v>
      </c>
      <c r="F2884" s="23">
        <v>0</v>
      </c>
      <c r="G2884" s="23">
        <v>0</v>
      </c>
      <c r="H2884" s="23">
        <v>0</v>
      </c>
      <c r="I2884" s="23">
        <v>0</v>
      </c>
      <c r="J2884" s="23">
        <v>0</v>
      </c>
      <c r="K2884" s="23">
        <v>0</v>
      </c>
    </row>
    <row r="2885" spans="1:11" x14ac:dyDescent="0.25">
      <c r="A2885">
        <v>2884</v>
      </c>
      <c r="B2885" s="23">
        <v>0</v>
      </c>
      <c r="C2885" s="23">
        <v>0</v>
      </c>
      <c r="D2885" s="23">
        <v>0</v>
      </c>
      <c r="E2885" s="23">
        <v>0</v>
      </c>
      <c r="F2885" s="23">
        <v>0</v>
      </c>
      <c r="G2885" s="23">
        <v>0</v>
      </c>
      <c r="H2885" s="23">
        <v>0</v>
      </c>
      <c r="I2885" s="23">
        <v>0</v>
      </c>
      <c r="J2885" s="23">
        <v>0</v>
      </c>
      <c r="K2885" s="23">
        <v>0</v>
      </c>
    </row>
    <row r="2886" spans="1:11" x14ac:dyDescent="0.25">
      <c r="A2886">
        <v>2885</v>
      </c>
      <c r="B2886" s="23">
        <v>0</v>
      </c>
      <c r="C2886" s="23">
        <v>0</v>
      </c>
      <c r="D2886" s="23">
        <v>0</v>
      </c>
      <c r="E2886" s="23">
        <v>0</v>
      </c>
      <c r="F2886" s="23">
        <v>0</v>
      </c>
      <c r="G2886" s="23">
        <v>0</v>
      </c>
      <c r="H2886" s="23">
        <v>0</v>
      </c>
      <c r="I2886" s="23">
        <v>0</v>
      </c>
      <c r="J2886" s="23">
        <v>0</v>
      </c>
      <c r="K2886" s="23">
        <v>0</v>
      </c>
    </row>
    <row r="2887" spans="1:11" x14ac:dyDescent="0.25">
      <c r="A2887">
        <v>2886</v>
      </c>
      <c r="B2887" s="23">
        <v>0</v>
      </c>
      <c r="C2887" s="23">
        <v>0</v>
      </c>
      <c r="D2887" s="23">
        <v>0</v>
      </c>
      <c r="E2887" s="23">
        <v>0</v>
      </c>
      <c r="F2887" s="23">
        <v>0</v>
      </c>
      <c r="G2887" s="23">
        <v>0</v>
      </c>
      <c r="H2887" s="23">
        <v>0</v>
      </c>
      <c r="I2887" s="23">
        <v>0</v>
      </c>
      <c r="J2887" s="23">
        <v>0</v>
      </c>
      <c r="K2887" s="23">
        <v>0</v>
      </c>
    </row>
    <row r="2888" spans="1:11" x14ac:dyDescent="0.25">
      <c r="A2888">
        <v>2887</v>
      </c>
      <c r="B2888" s="23">
        <v>59.935000000000002</v>
      </c>
      <c r="C2888" s="23">
        <v>90.56</v>
      </c>
      <c r="D2888" s="23">
        <v>324.96800000000002</v>
      </c>
      <c r="E2888" s="23">
        <v>59.935000000000002</v>
      </c>
      <c r="F2888" s="23">
        <v>-265.03300000000002</v>
      </c>
      <c r="G2888" s="23">
        <v>0</v>
      </c>
      <c r="H2888" s="23">
        <v>0</v>
      </c>
      <c r="I2888" s="23">
        <v>0</v>
      </c>
      <c r="J2888" s="23">
        <v>0</v>
      </c>
      <c r="K2888" s="23">
        <v>0</v>
      </c>
    </row>
    <row r="2889" spans="1:11" x14ac:dyDescent="0.25">
      <c r="A2889">
        <v>2888</v>
      </c>
      <c r="B2889" s="23">
        <v>60.615000000000002</v>
      </c>
      <c r="C2889" s="23">
        <v>363.45</v>
      </c>
      <c r="D2889" s="23">
        <v>1397.405</v>
      </c>
      <c r="E2889" s="23">
        <v>60.615000000000002</v>
      </c>
      <c r="F2889" s="23">
        <v>-147.33600000000001</v>
      </c>
      <c r="G2889" s="23">
        <v>0</v>
      </c>
      <c r="H2889" s="23">
        <v>1189.454</v>
      </c>
      <c r="I2889" s="23">
        <v>0</v>
      </c>
      <c r="J2889" s="23">
        <v>0</v>
      </c>
      <c r="K2889" s="23">
        <v>0</v>
      </c>
    </row>
    <row r="2890" spans="1:11" x14ac:dyDescent="0.25">
      <c r="A2890">
        <v>2889</v>
      </c>
      <c r="B2890" s="23">
        <v>57.444000000000003</v>
      </c>
      <c r="C2890" s="23">
        <v>594.9</v>
      </c>
      <c r="D2890" s="23">
        <v>2264.308</v>
      </c>
      <c r="E2890" s="23">
        <v>57.444000000000003</v>
      </c>
      <c r="F2890" s="23">
        <v>0</v>
      </c>
      <c r="G2890" s="23">
        <v>0</v>
      </c>
      <c r="H2890" s="23">
        <v>2206.864</v>
      </c>
      <c r="I2890" s="23">
        <v>0</v>
      </c>
      <c r="J2890" s="23">
        <v>0</v>
      </c>
      <c r="K2890" s="23">
        <v>0</v>
      </c>
    </row>
    <row r="2891" spans="1:11" x14ac:dyDescent="0.25">
      <c r="A2891">
        <v>2890</v>
      </c>
      <c r="B2891" s="23">
        <v>63.569000000000003</v>
      </c>
      <c r="C2891" s="23">
        <v>786.27</v>
      </c>
      <c r="D2891" s="23">
        <v>2861.0410000000002</v>
      </c>
      <c r="E2891" s="23">
        <v>63.569000000000003</v>
      </c>
      <c r="F2891" s="23">
        <v>0</v>
      </c>
      <c r="G2891" s="23">
        <v>0</v>
      </c>
      <c r="H2891" s="23">
        <v>2797.4720000000002</v>
      </c>
      <c r="I2891" s="23">
        <v>0</v>
      </c>
      <c r="J2891" s="23">
        <v>0</v>
      </c>
      <c r="K2891" s="23">
        <v>0</v>
      </c>
    </row>
    <row r="2892" spans="1:11" x14ac:dyDescent="0.25">
      <c r="A2892">
        <v>2891</v>
      </c>
      <c r="B2892" s="23">
        <v>57.64</v>
      </c>
      <c r="C2892" s="23">
        <v>922.68</v>
      </c>
      <c r="D2892" s="23">
        <v>3246.701</v>
      </c>
      <c r="E2892" s="23">
        <v>57.64</v>
      </c>
      <c r="F2892" s="23">
        <v>0</v>
      </c>
      <c r="G2892" s="23">
        <v>0</v>
      </c>
      <c r="H2892" s="23">
        <v>3189.0610000000001</v>
      </c>
      <c r="I2892" s="23">
        <v>0</v>
      </c>
      <c r="J2892" s="23">
        <v>0</v>
      </c>
      <c r="K2892" s="23">
        <v>0</v>
      </c>
    </row>
    <row r="2893" spans="1:11" x14ac:dyDescent="0.25">
      <c r="A2893">
        <v>2892</v>
      </c>
      <c r="B2893" s="23">
        <v>64.132999999999996</v>
      </c>
      <c r="C2893" s="23">
        <v>983.94</v>
      </c>
      <c r="D2893" s="23">
        <v>3437.261</v>
      </c>
      <c r="E2893" s="23">
        <v>64.132999999999996</v>
      </c>
      <c r="F2893" s="23">
        <v>0</v>
      </c>
      <c r="G2893" s="23">
        <v>0</v>
      </c>
      <c r="H2893" s="23">
        <v>3373.1280000000002</v>
      </c>
      <c r="I2893" s="23">
        <v>0</v>
      </c>
      <c r="J2893" s="23">
        <v>0</v>
      </c>
      <c r="K2893" s="23">
        <v>0</v>
      </c>
    </row>
    <row r="2894" spans="1:11" x14ac:dyDescent="0.25">
      <c r="A2894">
        <v>2893</v>
      </c>
      <c r="B2894" s="23">
        <v>56.963000000000001</v>
      </c>
      <c r="C2894" s="23">
        <v>234.04</v>
      </c>
      <c r="D2894" s="23">
        <v>850.37199999999996</v>
      </c>
      <c r="E2894" s="23">
        <v>56.963000000000001</v>
      </c>
      <c r="F2894" s="23">
        <v>0</v>
      </c>
      <c r="G2894" s="23">
        <v>0</v>
      </c>
      <c r="H2894" s="23">
        <v>793.40899999999999</v>
      </c>
      <c r="I2894" s="23">
        <v>0</v>
      </c>
      <c r="J2894" s="23">
        <v>0</v>
      </c>
      <c r="K2894" s="23">
        <v>0</v>
      </c>
    </row>
    <row r="2895" spans="1:11" x14ac:dyDescent="0.25">
      <c r="A2895">
        <v>2894</v>
      </c>
      <c r="B2895" s="23">
        <v>68.403999999999996</v>
      </c>
      <c r="C2895" s="23">
        <v>359.06</v>
      </c>
      <c r="D2895" s="23">
        <v>1318.39</v>
      </c>
      <c r="E2895" s="23">
        <v>68.403999999999996</v>
      </c>
      <c r="F2895" s="23">
        <v>0</v>
      </c>
      <c r="G2895" s="23">
        <v>0</v>
      </c>
      <c r="H2895" s="23">
        <v>1249.9860000000001</v>
      </c>
      <c r="I2895" s="23">
        <v>0</v>
      </c>
      <c r="J2895" s="23">
        <v>0</v>
      </c>
      <c r="K2895" s="23">
        <v>0</v>
      </c>
    </row>
    <row r="2896" spans="1:11" x14ac:dyDescent="0.25">
      <c r="A2896">
        <v>2895</v>
      </c>
      <c r="B2896" s="23">
        <v>60.106000000000002</v>
      </c>
      <c r="C2896" s="23">
        <v>171.8</v>
      </c>
      <c r="D2896" s="23">
        <v>625.94500000000005</v>
      </c>
      <c r="E2896" s="23">
        <v>60.106000000000002</v>
      </c>
      <c r="F2896" s="23">
        <v>0</v>
      </c>
      <c r="G2896" s="23">
        <v>0</v>
      </c>
      <c r="H2896" s="23">
        <v>565.83900000000006</v>
      </c>
      <c r="I2896" s="23">
        <v>0</v>
      </c>
      <c r="J2896" s="23">
        <v>0</v>
      </c>
      <c r="K2896" s="23">
        <v>0</v>
      </c>
    </row>
    <row r="2897" spans="1:11" x14ac:dyDescent="0.25">
      <c r="A2897">
        <v>2896</v>
      </c>
      <c r="B2897" s="23">
        <v>68.887</v>
      </c>
      <c r="C2897" s="23">
        <v>62.78</v>
      </c>
      <c r="D2897" s="23">
        <v>211.54300000000001</v>
      </c>
      <c r="E2897" s="23">
        <v>68.887</v>
      </c>
      <c r="F2897" s="23">
        <v>0</v>
      </c>
      <c r="G2897" s="23">
        <v>0</v>
      </c>
      <c r="H2897" s="23">
        <v>142.65600000000001</v>
      </c>
      <c r="I2897" s="23">
        <v>0</v>
      </c>
      <c r="J2897" s="23">
        <v>0</v>
      </c>
      <c r="K2897" s="23">
        <v>0</v>
      </c>
    </row>
    <row r="2898" spans="1:11" x14ac:dyDescent="0.25">
      <c r="A2898">
        <v>2897</v>
      </c>
      <c r="B2898" s="23">
        <v>59.771000000000001</v>
      </c>
      <c r="C2898" s="23">
        <v>32.340000000000003</v>
      </c>
      <c r="D2898" s="23">
        <v>97.808999999999997</v>
      </c>
      <c r="E2898" s="23">
        <v>59.771000000000001</v>
      </c>
      <c r="F2898" s="23">
        <v>0</v>
      </c>
      <c r="G2898" s="23">
        <v>0</v>
      </c>
      <c r="H2898" s="23">
        <v>38.037999999999997</v>
      </c>
      <c r="I2898" s="23">
        <v>0</v>
      </c>
      <c r="J2898" s="23">
        <v>0</v>
      </c>
      <c r="K2898" s="23">
        <v>0</v>
      </c>
    </row>
    <row r="2899" spans="1:11" x14ac:dyDescent="0.25">
      <c r="A2899">
        <v>2898</v>
      </c>
      <c r="B2899" s="23">
        <v>69.058999999999997</v>
      </c>
      <c r="C2899" s="23">
        <v>10.77</v>
      </c>
      <c r="D2899" s="23">
        <v>15.74</v>
      </c>
      <c r="E2899" s="23">
        <v>15.74</v>
      </c>
      <c r="F2899" s="23">
        <v>0</v>
      </c>
      <c r="G2899" s="23">
        <v>0</v>
      </c>
      <c r="H2899" s="23">
        <v>0</v>
      </c>
      <c r="I2899" s="23">
        <v>0</v>
      </c>
      <c r="J2899" s="23">
        <v>0</v>
      </c>
      <c r="K2899" s="23">
        <v>53.319000000000003</v>
      </c>
    </row>
    <row r="2900" spans="1:11" x14ac:dyDescent="0.25">
      <c r="A2900">
        <v>2899</v>
      </c>
      <c r="B2900" s="23">
        <v>74.478999999999999</v>
      </c>
      <c r="C2900" s="23">
        <v>0</v>
      </c>
      <c r="D2900" s="23">
        <v>0</v>
      </c>
      <c r="E2900" s="23">
        <v>0</v>
      </c>
      <c r="F2900" s="23">
        <v>0</v>
      </c>
      <c r="G2900" s="23">
        <v>0</v>
      </c>
      <c r="H2900" s="23">
        <v>0</v>
      </c>
      <c r="I2900" s="23">
        <v>0</v>
      </c>
      <c r="J2900" s="23">
        <v>0</v>
      </c>
      <c r="K2900" s="23">
        <v>74.478999999999999</v>
      </c>
    </row>
    <row r="2901" spans="1:11" x14ac:dyDescent="0.25">
      <c r="A2901">
        <v>2900</v>
      </c>
      <c r="B2901" s="23">
        <v>85.6</v>
      </c>
      <c r="C2901" s="23">
        <v>0</v>
      </c>
      <c r="D2901" s="23">
        <v>0</v>
      </c>
      <c r="E2901" s="23">
        <v>0</v>
      </c>
      <c r="F2901" s="23">
        <v>0</v>
      </c>
      <c r="G2901" s="23">
        <v>0</v>
      </c>
      <c r="H2901" s="23">
        <v>0</v>
      </c>
      <c r="I2901" s="23">
        <v>0</v>
      </c>
      <c r="J2901" s="23">
        <v>0</v>
      </c>
      <c r="K2901" s="23">
        <v>85.6</v>
      </c>
    </row>
    <row r="2902" spans="1:11" x14ac:dyDescent="0.25">
      <c r="A2902">
        <v>2901</v>
      </c>
      <c r="B2902" s="23">
        <v>76</v>
      </c>
      <c r="C2902" s="23">
        <v>0</v>
      </c>
      <c r="D2902" s="23">
        <v>0</v>
      </c>
      <c r="E2902" s="23">
        <v>0</v>
      </c>
      <c r="F2902" s="23">
        <v>0</v>
      </c>
      <c r="G2902" s="23">
        <v>0</v>
      </c>
      <c r="H2902" s="23">
        <v>0</v>
      </c>
      <c r="I2902" s="23">
        <v>0</v>
      </c>
      <c r="J2902" s="23">
        <v>0</v>
      </c>
      <c r="K2902" s="23">
        <v>76</v>
      </c>
    </row>
    <row r="2903" spans="1:11" x14ac:dyDescent="0.25">
      <c r="A2903">
        <v>2902</v>
      </c>
      <c r="B2903" s="23">
        <v>78.400000000000006</v>
      </c>
      <c r="C2903" s="23">
        <v>0</v>
      </c>
      <c r="D2903" s="23">
        <v>0</v>
      </c>
      <c r="E2903" s="23">
        <v>0</v>
      </c>
      <c r="F2903" s="23">
        <v>0</v>
      </c>
      <c r="G2903" s="23">
        <v>0</v>
      </c>
      <c r="H2903" s="23">
        <v>0</v>
      </c>
      <c r="I2903" s="23">
        <v>0</v>
      </c>
      <c r="J2903" s="23">
        <v>0</v>
      </c>
      <c r="K2903" s="23">
        <v>78.400000000000006</v>
      </c>
    </row>
    <row r="2904" spans="1:11" x14ac:dyDescent="0.25">
      <c r="A2904">
        <v>2903</v>
      </c>
      <c r="B2904" s="23">
        <v>72.8</v>
      </c>
      <c r="C2904" s="23">
        <v>0</v>
      </c>
      <c r="D2904" s="23">
        <v>0</v>
      </c>
      <c r="E2904" s="23">
        <v>0</v>
      </c>
      <c r="F2904" s="23">
        <v>0</v>
      </c>
      <c r="G2904" s="23">
        <v>0</v>
      </c>
      <c r="H2904" s="23">
        <v>0</v>
      </c>
      <c r="I2904" s="23">
        <v>0</v>
      </c>
      <c r="J2904" s="23">
        <v>0</v>
      </c>
      <c r="K2904" s="23">
        <v>72.8</v>
      </c>
    </row>
    <row r="2905" spans="1:11" x14ac:dyDescent="0.25">
      <c r="A2905">
        <v>2904</v>
      </c>
      <c r="B2905" s="23">
        <v>0</v>
      </c>
      <c r="C2905" s="23">
        <v>0</v>
      </c>
      <c r="D2905" s="23">
        <v>0</v>
      </c>
      <c r="E2905" s="23">
        <v>0</v>
      </c>
      <c r="F2905" s="23">
        <v>0</v>
      </c>
      <c r="G2905" s="23">
        <v>0</v>
      </c>
      <c r="H2905" s="23">
        <v>0</v>
      </c>
      <c r="I2905" s="23">
        <v>0</v>
      </c>
      <c r="J2905" s="23">
        <v>0</v>
      </c>
      <c r="K2905" s="23">
        <v>0</v>
      </c>
    </row>
    <row r="2906" spans="1:11" x14ac:dyDescent="0.25">
      <c r="A2906">
        <v>2905</v>
      </c>
      <c r="B2906" s="23">
        <v>0</v>
      </c>
      <c r="C2906" s="23">
        <v>0</v>
      </c>
      <c r="D2906" s="23">
        <v>0</v>
      </c>
      <c r="E2906" s="23">
        <v>0</v>
      </c>
      <c r="F2906" s="23">
        <v>0</v>
      </c>
      <c r="G2906" s="23">
        <v>0</v>
      </c>
      <c r="H2906" s="23">
        <v>0</v>
      </c>
      <c r="I2906" s="23">
        <v>0</v>
      </c>
      <c r="J2906" s="23">
        <v>0</v>
      </c>
      <c r="K2906" s="23">
        <v>0</v>
      </c>
    </row>
    <row r="2907" spans="1:11" x14ac:dyDescent="0.25">
      <c r="A2907">
        <v>2906</v>
      </c>
      <c r="B2907" s="23">
        <v>0</v>
      </c>
      <c r="C2907" s="23">
        <v>0</v>
      </c>
      <c r="D2907" s="23">
        <v>0</v>
      </c>
      <c r="E2907" s="23">
        <v>0</v>
      </c>
      <c r="F2907" s="23">
        <v>0</v>
      </c>
      <c r="G2907" s="23">
        <v>0</v>
      </c>
      <c r="H2907" s="23">
        <v>0</v>
      </c>
      <c r="I2907" s="23">
        <v>0</v>
      </c>
      <c r="J2907" s="23">
        <v>0</v>
      </c>
      <c r="K2907" s="23">
        <v>0</v>
      </c>
    </row>
    <row r="2908" spans="1:11" x14ac:dyDescent="0.25">
      <c r="A2908">
        <v>2907</v>
      </c>
      <c r="B2908" s="23">
        <v>0</v>
      </c>
      <c r="C2908" s="23">
        <v>0</v>
      </c>
      <c r="D2908" s="23">
        <v>0</v>
      </c>
      <c r="E2908" s="23">
        <v>0</v>
      </c>
      <c r="F2908" s="23">
        <v>0</v>
      </c>
      <c r="G2908" s="23">
        <v>0</v>
      </c>
      <c r="H2908" s="23">
        <v>0</v>
      </c>
      <c r="I2908" s="23">
        <v>0</v>
      </c>
      <c r="J2908" s="23">
        <v>0</v>
      </c>
      <c r="K2908" s="23">
        <v>0</v>
      </c>
    </row>
    <row r="2909" spans="1:11" x14ac:dyDescent="0.25">
      <c r="A2909">
        <v>2908</v>
      </c>
      <c r="B2909" s="23">
        <v>0</v>
      </c>
      <c r="C2909" s="23">
        <v>0</v>
      </c>
      <c r="D2909" s="23">
        <v>0</v>
      </c>
      <c r="E2909" s="23">
        <v>0</v>
      </c>
      <c r="F2909" s="23">
        <v>0</v>
      </c>
      <c r="G2909" s="23">
        <v>0</v>
      </c>
      <c r="H2909" s="23">
        <v>0</v>
      </c>
      <c r="I2909" s="23">
        <v>0</v>
      </c>
      <c r="J2909" s="23">
        <v>0</v>
      </c>
      <c r="K2909" s="23">
        <v>0</v>
      </c>
    </row>
    <row r="2910" spans="1:11" x14ac:dyDescent="0.25">
      <c r="A2910">
        <v>2909</v>
      </c>
      <c r="B2910" s="23">
        <v>0</v>
      </c>
      <c r="C2910" s="23">
        <v>0</v>
      </c>
      <c r="D2910" s="23">
        <v>0</v>
      </c>
      <c r="E2910" s="23">
        <v>0</v>
      </c>
      <c r="F2910" s="23">
        <v>0</v>
      </c>
      <c r="G2910" s="23">
        <v>0</v>
      </c>
      <c r="H2910" s="23">
        <v>0</v>
      </c>
      <c r="I2910" s="23">
        <v>0</v>
      </c>
      <c r="J2910" s="23">
        <v>0</v>
      </c>
      <c r="K2910" s="23">
        <v>0</v>
      </c>
    </row>
    <row r="2911" spans="1:11" x14ac:dyDescent="0.25">
      <c r="A2911">
        <v>2910</v>
      </c>
      <c r="B2911" s="23">
        <v>0</v>
      </c>
      <c r="C2911" s="23">
        <v>0</v>
      </c>
      <c r="D2911" s="23">
        <v>0</v>
      </c>
      <c r="E2911" s="23">
        <v>0</v>
      </c>
      <c r="F2911" s="23">
        <v>0</v>
      </c>
      <c r="G2911" s="23">
        <v>0</v>
      </c>
      <c r="H2911" s="23">
        <v>0</v>
      </c>
      <c r="I2911" s="23">
        <v>0</v>
      </c>
      <c r="J2911" s="23">
        <v>0</v>
      </c>
      <c r="K2911" s="23">
        <v>0</v>
      </c>
    </row>
    <row r="2912" spans="1:11" x14ac:dyDescent="0.25">
      <c r="A2912">
        <v>2911</v>
      </c>
      <c r="B2912" s="23">
        <v>59.139000000000003</v>
      </c>
      <c r="C2912" s="23">
        <v>126.72</v>
      </c>
      <c r="D2912" s="23">
        <v>402.75400000000002</v>
      </c>
      <c r="E2912" s="23">
        <v>59.139000000000003</v>
      </c>
      <c r="F2912" s="23">
        <v>-343.61500000000001</v>
      </c>
      <c r="G2912" s="23">
        <v>0</v>
      </c>
      <c r="H2912" s="23">
        <v>0</v>
      </c>
      <c r="I2912" s="23">
        <v>0</v>
      </c>
      <c r="J2912" s="23">
        <v>0</v>
      </c>
      <c r="K2912" s="23">
        <v>0</v>
      </c>
    </row>
    <row r="2913" spans="1:11" x14ac:dyDescent="0.25">
      <c r="A2913">
        <v>2912</v>
      </c>
      <c r="B2913" s="23">
        <v>159.50800000000001</v>
      </c>
      <c r="C2913" s="23">
        <v>356.06</v>
      </c>
      <c r="D2913" s="23">
        <v>1375.673</v>
      </c>
      <c r="E2913" s="23">
        <v>159.50800000000001</v>
      </c>
      <c r="F2913" s="23">
        <v>-146.72300000000001</v>
      </c>
      <c r="G2913" s="23">
        <v>0</v>
      </c>
      <c r="H2913" s="23">
        <v>1069.442</v>
      </c>
      <c r="I2913" s="23">
        <v>0</v>
      </c>
      <c r="J2913" s="23">
        <v>0</v>
      </c>
      <c r="K2913" s="23">
        <v>0</v>
      </c>
    </row>
    <row r="2914" spans="1:11" x14ac:dyDescent="0.25">
      <c r="A2914">
        <v>2913</v>
      </c>
      <c r="B2914" s="23">
        <v>1257.452</v>
      </c>
      <c r="C2914" s="23">
        <v>584.33000000000004</v>
      </c>
      <c r="D2914" s="23">
        <v>2245.84</v>
      </c>
      <c r="E2914" s="23">
        <v>1257.452</v>
      </c>
      <c r="F2914" s="23">
        <v>0</v>
      </c>
      <c r="G2914" s="23">
        <v>0</v>
      </c>
      <c r="H2914" s="23">
        <v>988.38800000000003</v>
      </c>
      <c r="I2914" s="23">
        <v>0</v>
      </c>
      <c r="J2914" s="23">
        <v>0</v>
      </c>
      <c r="K2914" s="23">
        <v>0</v>
      </c>
    </row>
    <row r="2915" spans="1:11" x14ac:dyDescent="0.25">
      <c r="A2915">
        <v>2914</v>
      </c>
      <c r="B2915" s="23">
        <v>1452.636</v>
      </c>
      <c r="C2915" s="23">
        <v>775.12</v>
      </c>
      <c r="D2915" s="23">
        <v>2870.5610000000001</v>
      </c>
      <c r="E2915" s="23">
        <v>1452.636</v>
      </c>
      <c r="F2915" s="23">
        <v>0</v>
      </c>
      <c r="G2915" s="23">
        <v>0</v>
      </c>
      <c r="H2915" s="23">
        <v>1417.925</v>
      </c>
      <c r="I2915" s="23">
        <v>0</v>
      </c>
      <c r="J2915" s="23">
        <v>0</v>
      </c>
      <c r="K2915" s="23">
        <v>0</v>
      </c>
    </row>
    <row r="2916" spans="1:11" x14ac:dyDescent="0.25">
      <c r="A2916">
        <v>2915</v>
      </c>
      <c r="B2916" s="23">
        <v>1793.298</v>
      </c>
      <c r="C2916" s="23">
        <v>903.67</v>
      </c>
      <c r="D2916" s="23">
        <v>3245.136</v>
      </c>
      <c r="E2916" s="23">
        <v>1793.298</v>
      </c>
      <c r="F2916" s="23">
        <v>0</v>
      </c>
      <c r="G2916" s="23">
        <v>0</v>
      </c>
      <c r="H2916" s="23">
        <v>1451.838</v>
      </c>
      <c r="I2916" s="23">
        <v>0</v>
      </c>
      <c r="J2916" s="23">
        <v>0</v>
      </c>
      <c r="K2916" s="23">
        <v>0</v>
      </c>
    </row>
    <row r="2917" spans="1:11" x14ac:dyDescent="0.25">
      <c r="A2917">
        <v>2916</v>
      </c>
      <c r="B2917" s="23">
        <v>1328.98</v>
      </c>
      <c r="C2917" s="23">
        <v>964.37</v>
      </c>
      <c r="D2917" s="23">
        <v>3420.5650000000001</v>
      </c>
      <c r="E2917" s="23">
        <v>1328.98</v>
      </c>
      <c r="F2917" s="23">
        <v>0</v>
      </c>
      <c r="G2917" s="23">
        <v>0</v>
      </c>
      <c r="H2917" s="23">
        <v>2091.585</v>
      </c>
      <c r="I2917" s="23">
        <v>0</v>
      </c>
      <c r="J2917" s="23">
        <v>0</v>
      </c>
      <c r="K2917" s="23">
        <v>0</v>
      </c>
    </row>
    <row r="2918" spans="1:11" x14ac:dyDescent="0.25">
      <c r="A2918">
        <v>2917</v>
      </c>
      <c r="B2918" s="23">
        <v>1338.2339999999999</v>
      </c>
      <c r="C2918" s="23">
        <v>951.21</v>
      </c>
      <c r="D2918" s="23">
        <v>3384.0889999999999</v>
      </c>
      <c r="E2918" s="23">
        <v>1338.2339999999999</v>
      </c>
      <c r="F2918" s="23">
        <v>0</v>
      </c>
      <c r="G2918" s="23">
        <v>0</v>
      </c>
      <c r="H2918" s="23">
        <v>2045.855</v>
      </c>
      <c r="I2918" s="23">
        <v>0</v>
      </c>
      <c r="J2918" s="23">
        <v>0</v>
      </c>
      <c r="K2918" s="23">
        <v>0</v>
      </c>
    </row>
    <row r="2919" spans="1:11" x14ac:dyDescent="0.25">
      <c r="A2919">
        <v>2918</v>
      </c>
      <c r="B2919" s="23">
        <v>1057.1559999999999</v>
      </c>
      <c r="C2919" s="23">
        <v>651.13</v>
      </c>
      <c r="D2919" s="23">
        <v>2377.4789999999998</v>
      </c>
      <c r="E2919" s="23">
        <v>1057.1559999999999</v>
      </c>
      <c r="F2919" s="23">
        <v>0</v>
      </c>
      <c r="G2919" s="23">
        <v>0</v>
      </c>
      <c r="H2919" s="23">
        <v>1320.3230000000001</v>
      </c>
      <c r="I2919" s="23">
        <v>0</v>
      </c>
      <c r="J2919" s="23">
        <v>0</v>
      </c>
      <c r="K2919" s="23">
        <v>0</v>
      </c>
    </row>
    <row r="2920" spans="1:11" x14ac:dyDescent="0.25">
      <c r="A2920">
        <v>2919</v>
      </c>
      <c r="B2920" s="23">
        <v>1280.998</v>
      </c>
      <c r="C2920" s="23">
        <v>292.48</v>
      </c>
      <c r="D2920" s="23">
        <v>1095.327</v>
      </c>
      <c r="E2920" s="23">
        <v>1095.327</v>
      </c>
      <c r="F2920" s="23">
        <v>0</v>
      </c>
      <c r="G2920" s="23">
        <v>0</v>
      </c>
      <c r="H2920" s="23">
        <v>0</v>
      </c>
      <c r="I2920" s="23">
        <v>0</v>
      </c>
      <c r="J2920" s="23">
        <v>0</v>
      </c>
      <c r="K2920" s="23">
        <v>185.67099999999999</v>
      </c>
    </row>
    <row r="2921" spans="1:11" x14ac:dyDescent="0.25">
      <c r="A2921">
        <v>2920</v>
      </c>
      <c r="B2921" s="23">
        <v>1089.9860000000001</v>
      </c>
      <c r="C2921" s="23">
        <v>453.37</v>
      </c>
      <c r="D2921" s="23">
        <v>1736.4649999999999</v>
      </c>
      <c r="E2921" s="23">
        <v>1089.9860000000001</v>
      </c>
      <c r="F2921" s="23">
        <v>-206.63200000000001</v>
      </c>
      <c r="G2921" s="23">
        <v>0</v>
      </c>
      <c r="H2921" s="23">
        <v>439.84699999999998</v>
      </c>
      <c r="I2921" s="23">
        <v>0</v>
      </c>
      <c r="J2921" s="23">
        <v>0</v>
      </c>
      <c r="K2921" s="23">
        <v>0</v>
      </c>
    </row>
    <row r="2922" spans="1:11" x14ac:dyDescent="0.25">
      <c r="A2922">
        <v>2921</v>
      </c>
      <c r="B2922" s="23">
        <v>1851.164</v>
      </c>
      <c r="C2922" s="23">
        <v>219.29</v>
      </c>
      <c r="D2922" s="23">
        <v>836.14</v>
      </c>
      <c r="E2922" s="23">
        <v>836.14</v>
      </c>
      <c r="F2922" s="23">
        <v>0</v>
      </c>
      <c r="G2922" s="23">
        <v>0</v>
      </c>
      <c r="H2922" s="23">
        <v>0</v>
      </c>
      <c r="I2922" s="23">
        <v>1015.024</v>
      </c>
      <c r="J2922" s="23">
        <v>0</v>
      </c>
      <c r="K2922" s="23">
        <v>0</v>
      </c>
    </row>
    <row r="2923" spans="1:11" x14ac:dyDescent="0.25">
      <c r="A2923">
        <v>2922</v>
      </c>
      <c r="B2923" s="23">
        <v>1796.0060000000001</v>
      </c>
      <c r="C2923" s="23">
        <v>55.03</v>
      </c>
      <c r="D2923" s="23">
        <v>172.78399999999999</v>
      </c>
      <c r="E2923" s="23">
        <v>172.78399999999999</v>
      </c>
      <c r="F2923" s="23">
        <v>0</v>
      </c>
      <c r="G2923" s="23">
        <v>0</v>
      </c>
      <c r="H2923" s="23">
        <v>0</v>
      </c>
      <c r="I2923" s="23">
        <v>0</v>
      </c>
      <c r="J2923" s="23">
        <v>0</v>
      </c>
      <c r="K2923" s="23">
        <v>1623.222</v>
      </c>
    </row>
    <row r="2924" spans="1:11" x14ac:dyDescent="0.25">
      <c r="A2924">
        <v>2923</v>
      </c>
      <c r="B2924" s="23">
        <v>1783.6289999999999</v>
      </c>
      <c r="C2924" s="23">
        <v>0</v>
      </c>
      <c r="D2924" s="23">
        <v>0</v>
      </c>
      <c r="E2924" s="23">
        <v>0</v>
      </c>
      <c r="F2924" s="23">
        <v>0</v>
      </c>
      <c r="G2924" s="23">
        <v>0</v>
      </c>
      <c r="H2924" s="23">
        <v>0</v>
      </c>
      <c r="I2924" s="23">
        <v>99.07</v>
      </c>
      <c r="J2924" s="23">
        <v>0</v>
      </c>
      <c r="K2924" s="23">
        <v>1684.559</v>
      </c>
    </row>
    <row r="2925" spans="1:11" x14ac:dyDescent="0.25">
      <c r="A2925">
        <v>2924</v>
      </c>
      <c r="B2925" s="23">
        <v>1345.6</v>
      </c>
      <c r="C2925" s="23">
        <v>0</v>
      </c>
      <c r="D2925" s="23">
        <v>0</v>
      </c>
      <c r="E2925" s="23">
        <v>0</v>
      </c>
      <c r="F2925" s="23">
        <v>0</v>
      </c>
      <c r="G2925" s="23">
        <v>0</v>
      </c>
      <c r="H2925" s="23">
        <v>0</v>
      </c>
      <c r="I2925" s="23">
        <v>0</v>
      </c>
      <c r="J2925" s="23">
        <v>0</v>
      </c>
      <c r="K2925" s="23">
        <v>1345.6</v>
      </c>
    </row>
    <row r="2926" spans="1:11" x14ac:dyDescent="0.25">
      <c r="A2926">
        <v>2925</v>
      </c>
      <c r="B2926" s="23">
        <v>1422.4</v>
      </c>
      <c r="C2926" s="23">
        <v>0</v>
      </c>
      <c r="D2926" s="23">
        <v>0</v>
      </c>
      <c r="E2926" s="23">
        <v>0</v>
      </c>
      <c r="F2926" s="23">
        <v>0</v>
      </c>
      <c r="G2926" s="23">
        <v>0</v>
      </c>
      <c r="H2926" s="23">
        <v>0</v>
      </c>
      <c r="I2926" s="23">
        <v>1422.4</v>
      </c>
      <c r="J2926" s="23">
        <v>0</v>
      </c>
      <c r="K2926" s="23">
        <v>0</v>
      </c>
    </row>
    <row r="2927" spans="1:11" x14ac:dyDescent="0.25">
      <c r="A2927">
        <v>2926</v>
      </c>
      <c r="B2927" s="23">
        <v>1416.8</v>
      </c>
      <c r="C2927" s="23">
        <v>0</v>
      </c>
      <c r="D2927" s="23">
        <v>0</v>
      </c>
      <c r="E2927" s="23">
        <v>0</v>
      </c>
      <c r="F2927" s="23">
        <v>0</v>
      </c>
      <c r="G2927" s="23">
        <v>0</v>
      </c>
      <c r="H2927" s="23">
        <v>0</v>
      </c>
      <c r="I2927" s="23">
        <v>1416.8</v>
      </c>
      <c r="J2927" s="23">
        <v>0</v>
      </c>
      <c r="K2927" s="23">
        <v>0</v>
      </c>
    </row>
    <row r="2928" spans="1:11" x14ac:dyDescent="0.25">
      <c r="A2928">
        <v>2927</v>
      </c>
      <c r="B2928" s="23">
        <v>1570.4</v>
      </c>
      <c r="C2928" s="23">
        <v>0</v>
      </c>
      <c r="D2928" s="23">
        <v>0</v>
      </c>
      <c r="E2928" s="23">
        <v>0</v>
      </c>
      <c r="F2928" s="23">
        <v>0</v>
      </c>
      <c r="G2928" s="23">
        <v>0</v>
      </c>
      <c r="H2928" s="23">
        <v>0</v>
      </c>
      <c r="I2928" s="23">
        <v>1570.4</v>
      </c>
      <c r="J2928" s="23">
        <v>0</v>
      </c>
      <c r="K2928" s="23">
        <v>0</v>
      </c>
    </row>
    <row r="2929" spans="1:11" x14ac:dyDescent="0.25">
      <c r="A2929">
        <v>2928</v>
      </c>
      <c r="B2929" s="23">
        <v>0</v>
      </c>
      <c r="C2929" s="23">
        <v>0</v>
      </c>
      <c r="D2929" s="23">
        <v>0</v>
      </c>
      <c r="E2929" s="23">
        <v>0</v>
      </c>
      <c r="F2929" s="23">
        <v>0</v>
      </c>
      <c r="G2929" s="23">
        <v>0</v>
      </c>
      <c r="H2929" s="23">
        <v>0</v>
      </c>
      <c r="I2929" s="23">
        <v>0</v>
      </c>
      <c r="J2929" s="23">
        <v>0</v>
      </c>
      <c r="K2929" s="23">
        <v>0</v>
      </c>
    </row>
    <row r="2930" spans="1:11" x14ac:dyDescent="0.25">
      <c r="A2930">
        <v>2929</v>
      </c>
      <c r="B2930" s="23">
        <v>0</v>
      </c>
      <c r="C2930" s="23">
        <v>0</v>
      </c>
      <c r="D2930" s="23">
        <v>0</v>
      </c>
      <c r="E2930" s="23">
        <v>0</v>
      </c>
      <c r="F2930" s="23">
        <v>0</v>
      </c>
      <c r="G2930" s="23">
        <v>0</v>
      </c>
      <c r="H2930" s="23">
        <v>0</v>
      </c>
      <c r="I2930" s="23">
        <v>0</v>
      </c>
      <c r="J2930" s="23">
        <v>0</v>
      </c>
      <c r="K2930" s="23">
        <v>0</v>
      </c>
    </row>
    <row r="2931" spans="1:11" x14ac:dyDescent="0.25">
      <c r="A2931">
        <v>2930</v>
      </c>
      <c r="B2931" s="23">
        <v>0</v>
      </c>
      <c r="C2931" s="23">
        <v>0</v>
      </c>
      <c r="D2931" s="23">
        <v>0</v>
      </c>
      <c r="E2931" s="23">
        <v>0</v>
      </c>
      <c r="F2931" s="23">
        <v>0</v>
      </c>
      <c r="G2931" s="23">
        <v>0</v>
      </c>
      <c r="H2931" s="23">
        <v>0</v>
      </c>
      <c r="I2931" s="23">
        <v>0</v>
      </c>
      <c r="J2931" s="23">
        <v>0</v>
      </c>
      <c r="K2931" s="23">
        <v>0</v>
      </c>
    </row>
    <row r="2932" spans="1:11" x14ac:dyDescent="0.25">
      <c r="A2932">
        <v>2931</v>
      </c>
      <c r="B2932" s="23">
        <v>0</v>
      </c>
      <c r="C2932" s="23">
        <v>0</v>
      </c>
      <c r="D2932" s="23">
        <v>0</v>
      </c>
      <c r="E2932" s="23">
        <v>0</v>
      </c>
      <c r="F2932" s="23">
        <v>0</v>
      </c>
      <c r="G2932" s="23">
        <v>0</v>
      </c>
      <c r="H2932" s="23">
        <v>0</v>
      </c>
      <c r="I2932" s="23">
        <v>0</v>
      </c>
      <c r="J2932" s="23">
        <v>0</v>
      </c>
      <c r="K2932" s="23">
        <v>0</v>
      </c>
    </row>
    <row r="2933" spans="1:11" x14ac:dyDescent="0.25">
      <c r="A2933">
        <v>2932</v>
      </c>
      <c r="B2933" s="23">
        <v>0</v>
      </c>
      <c r="C2933" s="23">
        <v>0</v>
      </c>
      <c r="D2933" s="23">
        <v>0</v>
      </c>
      <c r="E2933" s="23">
        <v>0</v>
      </c>
      <c r="F2933" s="23">
        <v>0</v>
      </c>
      <c r="G2933" s="23">
        <v>0</v>
      </c>
      <c r="H2933" s="23">
        <v>0</v>
      </c>
      <c r="I2933" s="23">
        <v>0</v>
      </c>
      <c r="J2933" s="23">
        <v>0</v>
      </c>
      <c r="K2933" s="23">
        <v>0</v>
      </c>
    </row>
    <row r="2934" spans="1:11" x14ac:dyDescent="0.25">
      <c r="A2934">
        <v>2933</v>
      </c>
      <c r="B2934" s="23">
        <v>0</v>
      </c>
      <c r="C2934" s="23">
        <v>0</v>
      </c>
      <c r="D2934" s="23">
        <v>0</v>
      </c>
      <c r="E2934" s="23">
        <v>0</v>
      </c>
      <c r="F2934" s="23">
        <v>0</v>
      </c>
      <c r="G2934" s="23">
        <v>0</v>
      </c>
      <c r="H2934" s="23">
        <v>0</v>
      </c>
      <c r="I2934" s="23">
        <v>0</v>
      </c>
      <c r="J2934" s="23">
        <v>0</v>
      </c>
      <c r="K2934" s="23">
        <v>0</v>
      </c>
    </row>
    <row r="2935" spans="1:11" x14ac:dyDescent="0.25">
      <c r="A2935">
        <v>2934</v>
      </c>
      <c r="B2935" s="23">
        <v>0</v>
      </c>
      <c r="C2935" s="23">
        <v>0</v>
      </c>
      <c r="D2935" s="23">
        <v>0</v>
      </c>
      <c r="E2935" s="23">
        <v>0</v>
      </c>
      <c r="F2935" s="23">
        <v>0</v>
      </c>
      <c r="G2935" s="23">
        <v>0</v>
      </c>
      <c r="H2935" s="23">
        <v>0</v>
      </c>
      <c r="I2935" s="23">
        <v>0</v>
      </c>
      <c r="J2935" s="23">
        <v>0</v>
      </c>
      <c r="K2935" s="23">
        <v>0</v>
      </c>
    </row>
    <row r="2936" spans="1:11" x14ac:dyDescent="0.25">
      <c r="A2936">
        <v>2935</v>
      </c>
      <c r="B2936" s="23">
        <v>1555.098</v>
      </c>
      <c r="C2936" s="23">
        <v>127.12</v>
      </c>
      <c r="D2936" s="23">
        <v>403.69400000000002</v>
      </c>
      <c r="E2936" s="23">
        <v>403.69400000000002</v>
      </c>
      <c r="F2936" s="23">
        <v>0</v>
      </c>
      <c r="G2936" s="23">
        <v>0</v>
      </c>
      <c r="H2936" s="23">
        <v>0</v>
      </c>
      <c r="I2936" s="23">
        <v>1151.404</v>
      </c>
      <c r="J2936" s="23">
        <v>0</v>
      </c>
      <c r="K2936" s="23">
        <v>0</v>
      </c>
    </row>
    <row r="2937" spans="1:11" x14ac:dyDescent="0.25">
      <c r="A2937">
        <v>2936</v>
      </c>
      <c r="B2937" s="23">
        <v>1292.903</v>
      </c>
      <c r="C2937" s="23">
        <v>358.07</v>
      </c>
      <c r="D2937" s="23">
        <v>1387.9359999999999</v>
      </c>
      <c r="E2937" s="23">
        <v>1292.903</v>
      </c>
      <c r="F2937" s="23">
        <v>-95.033000000000001</v>
      </c>
      <c r="G2937" s="23">
        <v>0</v>
      </c>
      <c r="H2937" s="23">
        <v>0</v>
      </c>
      <c r="I2937" s="23">
        <v>0</v>
      </c>
      <c r="J2937" s="23">
        <v>0</v>
      </c>
      <c r="K2937" s="23">
        <v>0</v>
      </c>
    </row>
    <row r="2938" spans="1:11" x14ac:dyDescent="0.25">
      <c r="A2938">
        <v>2937</v>
      </c>
      <c r="B2938" s="23">
        <v>1616.0409999999999</v>
      </c>
      <c r="C2938" s="23">
        <v>585.45000000000005</v>
      </c>
      <c r="D2938" s="23">
        <v>2261.0889999999999</v>
      </c>
      <c r="E2938" s="23">
        <v>1616.0409999999999</v>
      </c>
      <c r="F2938" s="23">
        <v>-645.048</v>
      </c>
      <c r="G2938" s="23">
        <v>0</v>
      </c>
      <c r="H2938" s="23">
        <v>0</v>
      </c>
      <c r="I2938" s="23">
        <v>0</v>
      </c>
      <c r="J2938" s="23">
        <v>0</v>
      </c>
      <c r="K2938" s="23">
        <v>0</v>
      </c>
    </row>
    <row r="2939" spans="1:11" x14ac:dyDescent="0.25">
      <c r="A2939">
        <v>2938</v>
      </c>
      <c r="B2939" s="23">
        <v>1859.6849999999999</v>
      </c>
      <c r="C2939" s="23">
        <v>775.99</v>
      </c>
      <c r="D2939" s="23">
        <v>2888.6210000000001</v>
      </c>
      <c r="E2939" s="23">
        <v>1859.6849999999999</v>
      </c>
      <c r="F2939" s="23">
        <v>-1028.9359999999999</v>
      </c>
      <c r="G2939" s="23">
        <v>0</v>
      </c>
      <c r="H2939" s="23">
        <v>0</v>
      </c>
      <c r="I2939" s="23">
        <v>0</v>
      </c>
      <c r="J2939" s="23">
        <v>0</v>
      </c>
      <c r="K2939" s="23">
        <v>0</v>
      </c>
    </row>
    <row r="2940" spans="1:11" x14ac:dyDescent="0.25">
      <c r="A2940">
        <v>2939</v>
      </c>
      <c r="B2940" s="23">
        <v>1608.7860000000001</v>
      </c>
      <c r="C2940" s="23">
        <v>732.37</v>
      </c>
      <c r="D2940" s="23">
        <v>2667.48</v>
      </c>
      <c r="E2940" s="23">
        <v>1608.7860000000001</v>
      </c>
      <c r="F2940" s="23">
        <v>-1058.694</v>
      </c>
      <c r="G2940" s="23">
        <v>0</v>
      </c>
      <c r="H2940" s="23">
        <v>0</v>
      </c>
      <c r="I2940" s="23">
        <v>0</v>
      </c>
      <c r="J2940" s="23">
        <v>0</v>
      </c>
      <c r="K2940" s="23">
        <v>0</v>
      </c>
    </row>
    <row r="2941" spans="1:11" x14ac:dyDescent="0.25">
      <c r="A2941">
        <v>2940</v>
      </c>
      <c r="B2941" s="23">
        <v>1823.5319999999999</v>
      </c>
      <c r="C2941" s="23">
        <v>968.12</v>
      </c>
      <c r="D2941" s="23">
        <v>3482.9929999999999</v>
      </c>
      <c r="E2941" s="23">
        <v>1823.5319999999999</v>
      </c>
      <c r="F2941" s="23">
        <v>-1659.461</v>
      </c>
      <c r="G2941" s="23">
        <v>0</v>
      </c>
      <c r="H2941" s="23">
        <v>0</v>
      </c>
      <c r="I2941" s="23">
        <v>0</v>
      </c>
      <c r="J2941" s="23">
        <v>0</v>
      </c>
      <c r="K2941" s="23">
        <v>0</v>
      </c>
    </row>
    <row r="2942" spans="1:11" x14ac:dyDescent="0.25">
      <c r="A2942">
        <v>2941</v>
      </c>
      <c r="B2942" s="23">
        <v>1798.1579999999999</v>
      </c>
      <c r="C2942" s="23">
        <v>498.71</v>
      </c>
      <c r="D2942" s="23">
        <v>1847.002</v>
      </c>
      <c r="E2942" s="23">
        <v>1798.1579999999999</v>
      </c>
      <c r="F2942" s="23">
        <v>-48.844000000000001</v>
      </c>
      <c r="G2942" s="23">
        <v>0</v>
      </c>
      <c r="H2942" s="23">
        <v>0</v>
      </c>
      <c r="I2942" s="23">
        <v>0</v>
      </c>
      <c r="J2942" s="23">
        <v>0</v>
      </c>
      <c r="K2942" s="23">
        <v>0</v>
      </c>
    </row>
    <row r="2943" spans="1:11" x14ac:dyDescent="0.25">
      <c r="A2943">
        <v>2942</v>
      </c>
      <c r="B2943" s="23">
        <v>1525.0440000000001</v>
      </c>
      <c r="C2943" s="23">
        <v>281.77999999999997</v>
      </c>
      <c r="D2943" s="23">
        <v>1052.1980000000001</v>
      </c>
      <c r="E2943" s="23">
        <v>1052.1980000000001</v>
      </c>
      <c r="F2943" s="23">
        <v>0</v>
      </c>
      <c r="G2943" s="23">
        <v>0</v>
      </c>
      <c r="H2943" s="23">
        <v>0</v>
      </c>
      <c r="I2943" s="23">
        <v>472.846</v>
      </c>
      <c r="J2943" s="23">
        <v>0</v>
      </c>
      <c r="K2943" s="23">
        <v>0</v>
      </c>
    </row>
    <row r="2944" spans="1:11" x14ac:dyDescent="0.25">
      <c r="A2944">
        <v>2943</v>
      </c>
      <c r="B2944" s="23">
        <v>1520.027</v>
      </c>
      <c r="C2944" s="23">
        <v>443.07</v>
      </c>
      <c r="D2944" s="23">
        <v>1670.875</v>
      </c>
      <c r="E2944" s="23">
        <v>1520.027</v>
      </c>
      <c r="F2944" s="23">
        <v>-150.84800000000001</v>
      </c>
      <c r="G2944" s="23">
        <v>0</v>
      </c>
      <c r="H2944" s="23">
        <v>0</v>
      </c>
      <c r="I2944" s="23">
        <v>0</v>
      </c>
      <c r="J2944" s="23">
        <v>0</v>
      </c>
      <c r="K2944" s="23">
        <v>0</v>
      </c>
    </row>
    <row r="2945" spans="1:11" x14ac:dyDescent="0.25">
      <c r="A2945">
        <v>2944</v>
      </c>
      <c r="B2945" s="23">
        <v>1553.3050000000001</v>
      </c>
      <c r="C2945" s="23">
        <v>118.9</v>
      </c>
      <c r="D2945" s="23">
        <v>436.87299999999999</v>
      </c>
      <c r="E2945" s="23">
        <v>436.87299999999999</v>
      </c>
      <c r="F2945" s="23">
        <v>0</v>
      </c>
      <c r="G2945" s="23">
        <v>0</v>
      </c>
      <c r="H2945" s="23">
        <v>0</v>
      </c>
      <c r="I2945" s="23">
        <v>1116.432</v>
      </c>
      <c r="J2945" s="23">
        <v>0</v>
      </c>
      <c r="K2945" s="23">
        <v>0</v>
      </c>
    </row>
    <row r="2946" spans="1:11" x14ac:dyDescent="0.25">
      <c r="A2946">
        <v>2945</v>
      </c>
      <c r="B2946" s="23">
        <v>1531.346</v>
      </c>
      <c r="C2946" s="23">
        <v>13.71</v>
      </c>
      <c r="D2946" s="23">
        <v>28.236000000000001</v>
      </c>
      <c r="E2946" s="23">
        <v>28.236000000000001</v>
      </c>
      <c r="F2946" s="23">
        <v>0</v>
      </c>
      <c r="G2946" s="23">
        <v>0</v>
      </c>
      <c r="H2946" s="23">
        <v>0</v>
      </c>
      <c r="I2946" s="23">
        <v>1503.11</v>
      </c>
      <c r="J2946" s="23">
        <v>0</v>
      </c>
      <c r="K2946" s="23">
        <v>0</v>
      </c>
    </row>
    <row r="2947" spans="1:11" x14ac:dyDescent="0.25">
      <c r="A2947">
        <v>2946</v>
      </c>
      <c r="B2947" s="23">
        <v>1537.2629999999999</v>
      </c>
      <c r="C2947" s="23">
        <v>5.87</v>
      </c>
      <c r="D2947" s="23">
        <v>0</v>
      </c>
      <c r="E2947" s="23">
        <v>0</v>
      </c>
      <c r="F2947" s="23">
        <v>0</v>
      </c>
      <c r="G2947" s="23">
        <v>0</v>
      </c>
      <c r="H2947" s="23">
        <v>0</v>
      </c>
      <c r="I2947" s="23">
        <v>0</v>
      </c>
      <c r="J2947" s="23">
        <v>0</v>
      </c>
      <c r="K2947" s="23">
        <v>1537.2629999999999</v>
      </c>
    </row>
    <row r="2948" spans="1:11" x14ac:dyDescent="0.25">
      <c r="A2948">
        <v>2947</v>
      </c>
      <c r="B2948" s="23">
        <v>1394.4</v>
      </c>
      <c r="C2948" s="23">
        <v>0</v>
      </c>
      <c r="D2948" s="23">
        <v>0</v>
      </c>
      <c r="E2948" s="23">
        <v>0</v>
      </c>
      <c r="F2948" s="23">
        <v>0</v>
      </c>
      <c r="G2948" s="23">
        <v>0</v>
      </c>
      <c r="H2948" s="23">
        <v>0</v>
      </c>
      <c r="I2948" s="23">
        <v>0</v>
      </c>
      <c r="J2948" s="23">
        <v>0</v>
      </c>
      <c r="K2948" s="23">
        <v>1394.4</v>
      </c>
    </row>
    <row r="2949" spans="1:11" x14ac:dyDescent="0.25">
      <c r="A2949">
        <v>2948</v>
      </c>
      <c r="B2949" s="23">
        <v>1347.2</v>
      </c>
      <c r="C2949" s="23">
        <v>0</v>
      </c>
      <c r="D2949" s="23">
        <v>0</v>
      </c>
      <c r="E2949" s="23">
        <v>0</v>
      </c>
      <c r="F2949" s="23">
        <v>0</v>
      </c>
      <c r="G2949" s="23">
        <v>0</v>
      </c>
      <c r="H2949" s="23">
        <v>0</v>
      </c>
      <c r="I2949" s="23">
        <v>0</v>
      </c>
      <c r="J2949" s="23">
        <v>0</v>
      </c>
      <c r="K2949" s="23">
        <v>1347.2</v>
      </c>
    </row>
    <row r="2950" spans="1:11" x14ac:dyDescent="0.25">
      <c r="A2950">
        <v>2949</v>
      </c>
      <c r="B2950" s="23">
        <v>1466.4</v>
      </c>
      <c r="C2950" s="23">
        <v>0</v>
      </c>
      <c r="D2950" s="23">
        <v>0</v>
      </c>
      <c r="E2950" s="23">
        <v>0</v>
      </c>
      <c r="F2950" s="23">
        <v>0</v>
      </c>
      <c r="G2950" s="23">
        <v>0</v>
      </c>
      <c r="H2950" s="23">
        <v>0</v>
      </c>
      <c r="I2950" s="23">
        <v>1466.4</v>
      </c>
      <c r="J2950" s="23">
        <v>0</v>
      </c>
      <c r="K2950" s="23">
        <v>0</v>
      </c>
    </row>
    <row r="2951" spans="1:11" x14ac:dyDescent="0.25">
      <c r="A2951">
        <v>2950</v>
      </c>
      <c r="B2951" s="23">
        <v>1319.2</v>
      </c>
      <c r="C2951" s="23">
        <v>0</v>
      </c>
      <c r="D2951" s="23">
        <v>0</v>
      </c>
      <c r="E2951" s="23">
        <v>0</v>
      </c>
      <c r="F2951" s="23">
        <v>0</v>
      </c>
      <c r="G2951" s="23">
        <v>0</v>
      </c>
      <c r="H2951" s="23">
        <v>0</v>
      </c>
      <c r="I2951" s="23">
        <v>1319.2</v>
      </c>
      <c r="J2951" s="23">
        <v>0</v>
      </c>
      <c r="K2951" s="23">
        <v>0</v>
      </c>
    </row>
    <row r="2952" spans="1:11" x14ac:dyDescent="0.25">
      <c r="A2952">
        <v>2951</v>
      </c>
      <c r="B2952" s="23">
        <v>1240</v>
      </c>
      <c r="C2952" s="23">
        <v>0</v>
      </c>
      <c r="D2952" s="23">
        <v>0</v>
      </c>
      <c r="E2952" s="23">
        <v>0</v>
      </c>
      <c r="F2952" s="23">
        <v>0</v>
      </c>
      <c r="G2952" s="23">
        <v>0</v>
      </c>
      <c r="H2952" s="23">
        <v>0</v>
      </c>
      <c r="I2952" s="23">
        <v>1240</v>
      </c>
      <c r="J2952" s="23">
        <v>0</v>
      </c>
      <c r="K2952" s="23">
        <v>0</v>
      </c>
    </row>
    <row r="2953" spans="1:11" x14ac:dyDescent="0.25">
      <c r="A2953">
        <v>2952</v>
      </c>
      <c r="B2953" s="23">
        <v>0</v>
      </c>
      <c r="C2953" s="23">
        <v>0</v>
      </c>
      <c r="D2953" s="23">
        <v>0</v>
      </c>
      <c r="E2953" s="23">
        <v>0</v>
      </c>
      <c r="F2953" s="23">
        <v>0</v>
      </c>
      <c r="G2953" s="23">
        <v>0</v>
      </c>
      <c r="H2953" s="23">
        <v>0</v>
      </c>
      <c r="I2953" s="23">
        <v>0</v>
      </c>
      <c r="J2953" s="23">
        <v>0</v>
      </c>
      <c r="K2953" s="23">
        <v>0</v>
      </c>
    </row>
    <row r="2954" spans="1:11" x14ac:dyDescent="0.25">
      <c r="A2954">
        <v>2953</v>
      </c>
      <c r="B2954" s="23">
        <v>0</v>
      </c>
      <c r="C2954" s="23">
        <v>0</v>
      </c>
      <c r="D2954" s="23">
        <v>0</v>
      </c>
      <c r="E2954" s="23">
        <v>0</v>
      </c>
      <c r="F2954" s="23">
        <v>0</v>
      </c>
      <c r="G2954" s="23">
        <v>0</v>
      </c>
      <c r="H2954" s="23">
        <v>0</v>
      </c>
      <c r="I2954" s="23">
        <v>0</v>
      </c>
      <c r="J2954" s="23">
        <v>0</v>
      </c>
      <c r="K2954" s="23">
        <v>0</v>
      </c>
    </row>
    <row r="2955" spans="1:11" x14ac:dyDescent="0.25">
      <c r="A2955">
        <v>2954</v>
      </c>
      <c r="B2955" s="23">
        <v>0</v>
      </c>
      <c r="C2955" s="23">
        <v>0</v>
      </c>
      <c r="D2955" s="23">
        <v>0</v>
      </c>
      <c r="E2955" s="23">
        <v>0</v>
      </c>
      <c r="F2955" s="23">
        <v>0</v>
      </c>
      <c r="G2955" s="23">
        <v>0</v>
      </c>
      <c r="H2955" s="23">
        <v>0</v>
      </c>
      <c r="I2955" s="23">
        <v>0</v>
      </c>
      <c r="J2955" s="23">
        <v>0</v>
      </c>
      <c r="K2955" s="23">
        <v>0</v>
      </c>
    </row>
    <row r="2956" spans="1:11" x14ac:dyDescent="0.25">
      <c r="A2956">
        <v>2955</v>
      </c>
      <c r="B2956" s="23">
        <v>0</v>
      </c>
      <c r="C2956" s="23">
        <v>0</v>
      </c>
      <c r="D2956" s="23">
        <v>0</v>
      </c>
      <c r="E2956" s="23">
        <v>0</v>
      </c>
      <c r="F2956" s="23">
        <v>0</v>
      </c>
      <c r="G2956" s="23">
        <v>0</v>
      </c>
      <c r="H2956" s="23">
        <v>0</v>
      </c>
      <c r="I2956" s="23">
        <v>0</v>
      </c>
      <c r="J2956" s="23">
        <v>0</v>
      </c>
      <c r="K2956" s="23">
        <v>0</v>
      </c>
    </row>
    <row r="2957" spans="1:11" x14ac:dyDescent="0.25">
      <c r="A2957">
        <v>2956</v>
      </c>
      <c r="B2957" s="23">
        <v>0</v>
      </c>
      <c r="C2957" s="23">
        <v>0</v>
      </c>
      <c r="D2957" s="23">
        <v>0</v>
      </c>
      <c r="E2957" s="23">
        <v>0</v>
      </c>
      <c r="F2957" s="23">
        <v>0</v>
      </c>
      <c r="G2957" s="23">
        <v>0</v>
      </c>
      <c r="H2957" s="23">
        <v>0</v>
      </c>
      <c r="I2957" s="23">
        <v>0</v>
      </c>
      <c r="J2957" s="23">
        <v>0</v>
      </c>
      <c r="K2957" s="23">
        <v>0</v>
      </c>
    </row>
    <row r="2958" spans="1:11" x14ac:dyDescent="0.25">
      <c r="A2958">
        <v>2957</v>
      </c>
      <c r="B2958" s="23">
        <v>0</v>
      </c>
      <c r="C2958" s="23">
        <v>0</v>
      </c>
      <c r="D2958" s="23">
        <v>0</v>
      </c>
      <c r="E2958" s="23">
        <v>0</v>
      </c>
      <c r="F2958" s="23">
        <v>0</v>
      </c>
      <c r="G2958" s="23">
        <v>0</v>
      </c>
      <c r="H2958" s="23">
        <v>0</v>
      </c>
      <c r="I2958" s="23">
        <v>0</v>
      </c>
      <c r="J2958" s="23">
        <v>0</v>
      </c>
      <c r="K2958" s="23">
        <v>0</v>
      </c>
    </row>
    <row r="2959" spans="1:11" x14ac:dyDescent="0.25">
      <c r="A2959">
        <v>2958</v>
      </c>
      <c r="B2959" s="23">
        <v>0</v>
      </c>
      <c r="C2959" s="23">
        <v>0</v>
      </c>
      <c r="D2959" s="23">
        <v>0</v>
      </c>
      <c r="E2959" s="23">
        <v>0</v>
      </c>
      <c r="F2959" s="23">
        <v>0</v>
      </c>
      <c r="G2959" s="23">
        <v>0</v>
      </c>
      <c r="H2959" s="23">
        <v>0</v>
      </c>
      <c r="I2959" s="23">
        <v>0</v>
      </c>
      <c r="J2959" s="23">
        <v>0</v>
      </c>
      <c r="K2959" s="23">
        <v>0</v>
      </c>
    </row>
    <row r="2960" spans="1:11" x14ac:dyDescent="0.25">
      <c r="A2960">
        <v>2959</v>
      </c>
      <c r="B2960" s="23">
        <v>1206.2139999999999</v>
      </c>
      <c r="C2960" s="23">
        <v>130.55000000000001</v>
      </c>
      <c r="D2960" s="23">
        <v>406.85500000000002</v>
      </c>
      <c r="E2960" s="23">
        <v>406.85500000000002</v>
      </c>
      <c r="F2960" s="23">
        <v>0</v>
      </c>
      <c r="G2960" s="23">
        <v>0</v>
      </c>
      <c r="H2960" s="23">
        <v>0</v>
      </c>
      <c r="I2960" s="23">
        <v>799.35900000000004</v>
      </c>
      <c r="J2960" s="23">
        <v>0</v>
      </c>
      <c r="K2960" s="23">
        <v>0</v>
      </c>
    </row>
    <row r="2961" spans="1:11" x14ac:dyDescent="0.25">
      <c r="A2961">
        <v>2960</v>
      </c>
      <c r="B2961" s="23">
        <v>1033.7539999999999</v>
      </c>
      <c r="C2961" s="23">
        <v>294.32</v>
      </c>
      <c r="D2961" s="23">
        <v>1147.9459999999999</v>
      </c>
      <c r="E2961" s="23">
        <v>1033.7539999999999</v>
      </c>
      <c r="F2961" s="23">
        <v>-114.19199999999999</v>
      </c>
      <c r="G2961" s="23">
        <v>0</v>
      </c>
      <c r="H2961" s="23">
        <v>0</v>
      </c>
      <c r="I2961" s="23">
        <v>0</v>
      </c>
      <c r="J2961" s="23">
        <v>0</v>
      </c>
      <c r="K2961" s="23">
        <v>0</v>
      </c>
    </row>
    <row r="2962" spans="1:11" x14ac:dyDescent="0.25">
      <c r="A2962">
        <v>2961</v>
      </c>
      <c r="B2962" s="23">
        <v>1422.4939999999999</v>
      </c>
      <c r="C2962" s="23">
        <v>589.65</v>
      </c>
      <c r="D2962" s="23">
        <v>2298.1999999999998</v>
      </c>
      <c r="E2962" s="23">
        <v>1422.4939999999999</v>
      </c>
      <c r="F2962" s="23">
        <v>-875.70600000000002</v>
      </c>
      <c r="G2962" s="23">
        <v>0</v>
      </c>
      <c r="H2962" s="23">
        <v>0</v>
      </c>
      <c r="I2962" s="23">
        <v>0</v>
      </c>
      <c r="J2962" s="23">
        <v>0</v>
      </c>
      <c r="K2962" s="23">
        <v>0</v>
      </c>
    </row>
    <row r="2963" spans="1:11" x14ac:dyDescent="0.25">
      <c r="A2963">
        <v>2962</v>
      </c>
      <c r="B2963" s="23">
        <v>1530.86</v>
      </c>
      <c r="C2963" s="23">
        <v>653.53</v>
      </c>
      <c r="D2963" s="23">
        <v>2453.886</v>
      </c>
      <c r="E2963" s="23">
        <v>1530.86</v>
      </c>
      <c r="F2963" s="23">
        <v>-923.02599999999995</v>
      </c>
      <c r="G2963" s="23">
        <v>0</v>
      </c>
      <c r="H2963" s="23">
        <v>0</v>
      </c>
      <c r="I2963" s="23">
        <v>0</v>
      </c>
      <c r="J2963" s="23">
        <v>0</v>
      </c>
      <c r="K2963" s="23">
        <v>0</v>
      </c>
    </row>
    <row r="2964" spans="1:11" x14ac:dyDescent="0.25">
      <c r="A2964">
        <v>2963</v>
      </c>
      <c r="B2964" s="23">
        <v>1656.662</v>
      </c>
      <c r="C2964" s="23">
        <v>908.3</v>
      </c>
      <c r="D2964" s="23">
        <v>3368.3960000000002</v>
      </c>
      <c r="E2964" s="23">
        <v>1656.663</v>
      </c>
      <c r="F2964" s="23">
        <v>-1684.559</v>
      </c>
      <c r="G2964" s="23">
        <v>0</v>
      </c>
      <c r="H2964" s="23">
        <v>27.173999999999999</v>
      </c>
      <c r="I2964" s="23">
        <v>0</v>
      </c>
      <c r="J2964" s="23">
        <v>0</v>
      </c>
      <c r="K2964" s="23">
        <v>0</v>
      </c>
    </row>
    <row r="2965" spans="1:11" x14ac:dyDescent="0.25">
      <c r="A2965">
        <v>2964</v>
      </c>
      <c r="B2965" s="23">
        <v>1345.4860000000001</v>
      </c>
      <c r="C2965" s="23">
        <v>813.12</v>
      </c>
      <c r="D2965" s="23">
        <v>2978.4580000000001</v>
      </c>
      <c r="E2965" s="23">
        <v>1345.4860000000001</v>
      </c>
      <c r="F2965" s="23">
        <v>-1632.972</v>
      </c>
      <c r="G2965" s="23">
        <v>0</v>
      </c>
      <c r="H2965" s="23">
        <v>0</v>
      </c>
      <c r="I2965" s="23">
        <v>0</v>
      </c>
      <c r="J2965" s="23">
        <v>0</v>
      </c>
      <c r="K2965" s="23">
        <v>0</v>
      </c>
    </row>
    <row r="2966" spans="1:11" x14ac:dyDescent="0.25">
      <c r="A2966">
        <v>2965</v>
      </c>
      <c r="B2966" s="23">
        <v>1497.6559999999999</v>
      </c>
      <c r="C2966" s="23">
        <v>216.08</v>
      </c>
      <c r="D2966" s="23">
        <v>798.69899999999996</v>
      </c>
      <c r="E2966" s="23">
        <v>798.69899999999996</v>
      </c>
      <c r="F2966" s="23">
        <v>0</v>
      </c>
      <c r="G2966" s="23">
        <v>0</v>
      </c>
      <c r="H2966" s="23">
        <v>0</v>
      </c>
      <c r="I2966" s="23">
        <v>698.95699999999999</v>
      </c>
      <c r="J2966" s="23">
        <v>0</v>
      </c>
      <c r="K2966" s="23">
        <v>0</v>
      </c>
    </row>
    <row r="2967" spans="1:11" x14ac:dyDescent="0.25">
      <c r="A2967">
        <v>2966</v>
      </c>
      <c r="B2967" s="23">
        <v>1691.038</v>
      </c>
      <c r="C2967" s="23">
        <v>74.3</v>
      </c>
      <c r="D2967" s="23">
        <v>253.029</v>
      </c>
      <c r="E2967" s="23">
        <v>253.029</v>
      </c>
      <c r="F2967" s="23">
        <v>0</v>
      </c>
      <c r="G2967" s="23">
        <v>0</v>
      </c>
      <c r="H2967" s="23">
        <v>0</v>
      </c>
      <c r="I2967" s="23">
        <v>1438.009</v>
      </c>
      <c r="J2967" s="23">
        <v>0</v>
      </c>
      <c r="K2967" s="23">
        <v>0</v>
      </c>
    </row>
    <row r="2968" spans="1:11" x14ac:dyDescent="0.25">
      <c r="A2968">
        <v>2967</v>
      </c>
      <c r="B2968" s="23">
        <v>1889.8820000000001</v>
      </c>
      <c r="C2968" s="23">
        <v>132.30000000000001</v>
      </c>
      <c r="D2968" s="23">
        <v>482.35300000000001</v>
      </c>
      <c r="E2968" s="23">
        <v>482.35300000000001</v>
      </c>
      <c r="F2968" s="23">
        <v>0</v>
      </c>
      <c r="G2968" s="23">
        <v>0</v>
      </c>
      <c r="H2968" s="23">
        <v>0</v>
      </c>
      <c r="I2968" s="23">
        <v>1407.529</v>
      </c>
      <c r="J2968" s="23">
        <v>0</v>
      </c>
      <c r="K2968" s="23">
        <v>0</v>
      </c>
    </row>
    <row r="2969" spans="1:11" x14ac:dyDescent="0.25">
      <c r="A2969">
        <v>2968</v>
      </c>
      <c r="B2969" s="23">
        <v>1787.2159999999999</v>
      </c>
      <c r="C2969" s="23">
        <v>255.4</v>
      </c>
      <c r="D2969" s="23">
        <v>976.63900000000001</v>
      </c>
      <c r="E2969" s="23">
        <v>976.63900000000001</v>
      </c>
      <c r="F2969" s="23">
        <v>0</v>
      </c>
      <c r="G2969" s="23">
        <v>0</v>
      </c>
      <c r="H2969" s="23">
        <v>0</v>
      </c>
      <c r="I2969" s="23">
        <v>810.577</v>
      </c>
      <c r="J2969" s="23">
        <v>0</v>
      </c>
      <c r="K2969" s="23">
        <v>0</v>
      </c>
    </row>
    <row r="2970" spans="1:11" x14ac:dyDescent="0.25">
      <c r="A2970">
        <v>2969</v>
      </c>
      <c r="B2970" s="23">
        <v>1100.3879999999999</v>
      </c>
      <c r="C2970" s="23">
        <v>151.86000000000001</v>
      </c>
      <c r="D2970" s="23">
        <v>574.82500000000005</v>
      </c>
      <c r="E2970" s="23">
        <v>574.82500000000005</v>
      </c>
      <c r="F2970" s="23">
        <v>0</v>
      </c>
      <c r="G2970" s="23">
        <v>0</v>
      </c>
      <c r="H2970" s="23">
        <v>0</v>
      </c>
      <c r="I2970" s="23">
        <v>525.56299999999999</v>
      </c>
      <c r="J2970" s="23">
        <v>0</v>
      </c>
      <c r="K2970" s="23">
        <v>0</v>
      </c>
    </row>
    <row r="2971" spans="1:11" x14ac:dyDescent="0.25">
      <c r="A2971">
        <v>2970</v>
      </c>
      <c r="B2971" s="23">
        <v>1874.444</v>
      </c>
      <c r="C2971" s="23">
        <v>38.93</v>
      </c>
      <c r="D2971" s="23">
        <v>120.874</v>
      </c>
      <c r="E2971" s="23">
        <v>120.874</v>
      </c>
      <c r="F2971" s="23">
        <v>0</v>
      </c>
      <c r="G2971" s="23">
        <v>0</v>
      </c>
      <c r="H2971" s="23">
        <v>0</v>
      </c>
      <c r="I2971" s="23">
        <v>1753.57</v>
      </c>
      <c r="J2971" s="23">
        <v>0</v>
      </c>
      <c r="K2971" s="23">
        <v>0</v>
      </c>
    </row>
    <row r="2972" spans="1:11" x14ac:dyDescent="0.25">
      <c r="A2972">
        <v>2971</v>
      </c>
      <c r="B2972" s="23">
        <v>1314.6379999999999</v>
      </c>
      <c r="C2972" s="23">
        <v>0</v>
      </c>
      <c r="D2972" s="23">
        <v>0</v>
      </c>
      <c r="E2972" s="23">
        <v>0</v>
      </c>
      <c r="F2972" s="23">
        <v>0</v>
      </c>
      <c r="G2972" s="23">
        <v>0</v>
      </c>
      <c r="H2972" s="23">
        <v>0</v>
      </c>
      <c r="I2972" s="23">
        <v>577.07500000000005</v>
      </c>
      <c r="J2972" s="23">
        <v>0</v>
      </c>
      <c r="K2972" s="23">
        <v>737.56299999999999</v>
      </c>
    </row>
    <row r="2973" spans="1:11" x14ac:dyDescent="0.25">
      <c r="A2973">
        <v>2972</v>
      </c>
      <c r="B2973" s="23">
        <v>1416</v>
      </c>
      <c r="C2973" s="23">
        <v>0</v>
      </c>
      <c r="D2973" s="23">
        <v>0</v>
      </c>
      <c r="E2973" s="23">
        <v>0</v>
      </c>
      <c r="F2973" s="23">
        <v>0</v>
      </c>
      <c r="G2973" s="23">
        <v>0</v>
      </c>
      <c r="H2973" s="23">
        <v>0</v>
      </c>
      <c r="I2973" s="23">
        <v>0</v>
      </c>
      <c r="J2973" s="23">
        <v>0</v>
      </c>
      <c r="K2973" s="23">
        <v>1416</v>
      </c>
    </row>
    <row r="2974" spans="1:11" x14ac:dyDescent="0.25">
      <c r="A2974">
        <v>2973</v>
      </c>
      <c r="B2974" s="23">
        <v>988.8</v>
      </c>
      <c r="C2974" s="23">
        <v>0</v>
      </c>
      <c r="D2974" s="23">
        <v>0</v>
      </c>
      <c r="E2974" s="23">
        <v>0</v>
      </c>
      <c r="F2974" s="23">
        <v>0</v>
      </c>
      <c r="G2974" s="23">
        <v>0</v>
      </c>
      <c r="H2974" s="23">
        <v>0</v>
      </c>
      <c r="I2974" s="23">
        <v>0</v>
      </c>
      <c r="J2974" s="23">
        <v>0</v>
      </c>
      <c r="K2974" s="23">
        <v>988.8</v>
      </c>
    </row>
    <row r="2975" spans="1:11" x14ac:dyDescent="0.25">
      <c r="A2975">
        <v>2974</v>
      </c>
      <c r="B2975" s="23">
        <v>963.2</v>
      </c>
      <c r="C2975" s="23">
        <v>0</v>
      </c>
      <c r="D2975" s="23">
        <v>0</v>
      </c>
      <c r="E2975" s="23">
        <v>0</v>
      </c>
      <c r="F2975" s="23">
        <v>0</v>
      </c>
      <c r="G2975" s="23">
        <v>0</v>
      </c>
      <c r="H2975" s="23">
        <v>0</v>
      </c>
      <c r="I2975" s="23">
        <v>0</v>
      </c>
      <c r="J2975" s="23">
        <v>0</v>
      </c>
      <c r="K2975" s="23">
        <v>963.2</v>
      </c>
    </row>
    <row r="2976" spans="1:11" x14ac:dyDescent="0.25">
      <c r="A2976">
        <v>2975</v>
      </c>
      <c r="B2976" s="23">
        <v>1384</v>
      </c>
      <c r="C2976" s="23">
        <v>0</v>
      </c>
      <c r="D2976" s="23">
        <v>0</v>
      </c>
      <c r="E2976" s="23">
        <v>0</v>
      </c>
      <c r="F2976" s="23">
        <v>0</v>
      </c>
      <c r="G2976" s="23">
        <v>0</v>
      </c>
      <c r="H2976" s="23">
        <v>0</v>
      </c>
      <c r="I2976" s="23">
        <v>0</v>
      </c>
      <c r="J2976" s="23">
        <v>0</v>
      </c>
      <c r="K2976" s="23">
        <v>1384</v>
      </c>
    </row>
    <row r="2977" spans="1:11" x14ac:dyDescent="0.25">
      <c r="A2977">
        <v>2976</v>
      </c>
      <c r="B2977" s="23">
        <v>0</v>
      </c>
      <c r="C2977" s="23">
        <v>0</v>
      </c>
      <c r="D2977" s="23">
        <v>0</v>
      </c>
      <c r="E2977" s="23">
        <v>0</v>
      </c>
      <c r="F2977" s="23">
        <v>0</v>
      </c>
      <c r="G2977" s="23">
        <v>0</v>
      </c>
      <c r="H2977" s="23">
        <v>0</v>
      </c>
      <c r="I2977" s="23">
        <v>0</v>
      </c>
      <c r="J2977" s="23">
        <v>0</v>
      </c>
      <c r="K2977" s="23">
        <v>0</v>
      </c>
    </row>
    <row r="2978" spans="1:11" x14ac:dyDescent="0.25">
      <c r="A2978">
        <v>2977</v>
      </c>
      <c r="B2978" s="23">
        <v>0</v>
      </c>
      <c r="C2978" s="23">
        <v>0</v>
      </c>
      <c r="D2978" s="23">
        <v>0</v>
      </c>
      <c r="E2978" s="23">
        <v>0</v>
      </c>
      <c r="F2978" s="23">
        <v>0</v>
      </c>
      <c r="G2978" s="23">
        <v>0</v>
      </c>
      <c r="H2978" s="23">
        <v>0</v>
      </c>
      <c r="I2978" s="23">
        <v>0</v>
      </c>
      <c r="J2978" s="23">
        <v>0</v>
      </c>
      <c r="K2978" s="23">
        <v>0</v>
      </c>
    </row>
    <row r="2979" spans="1:11" x14ac:dyDescent="0.25">
      <c r="A2979">
        <v>2978</v>
      </c>
      <c r="B2979" s="23">
        <v>0</v>
      </c>
      <c r="C2979" s="23">
        <v>0</v>
      </c>
      <c r="D2979" s="23">
        <v>0</v>
      </c>
      <c r="E2979" s="23">
        <v>0</v>
      </c>
      <c r="F2979" s="23">
        <v>0</v>
      </c>
      <c r="G2979" s="23">
        <v>0</v>
      </c>
      <c r="H2979" s="23">
        <v>0</v>
      </c>
      <c r="I2979" s="23">
        <v>0</v>
      </c>
      <c r="J2979" s="23">
        <v>0</v>
      </c>
      <c r="K2979" s="23">
        <v>0</v>
      </c>
    </row>
    <row r="2980" spans="1:11" x14ac:dyDescent="0.25">
      <c r="A2980">
        <v>2979</v>
      </c>
      <c r="B2980" s="23">
        <v>0</v>
      </c>
      <c r="C2980" s="23">
        <v>0</v>
      </c>
      <c r="D2980" s="23">
        <v>0</v>
      </c>
      <c r="E2980" s="23">
        <v>0</v>
      </c>
      <c r="F2980" s="23">
        <v>0</v>
      </c>
      <c r="G2980" s="23">
        <v>0</v>
      </c>
      <c r="H2980" s="23">
        <v>0</v>
      </c>
      <c r="I2980" s="23">
        <v>0</v>
      </c>
      <c r="J2980" s="23">
        <v>0</v>
      </c>
      <c r="K2980" s="23">
        <v>0</v>
      </c>
    </row>
    <row r="2981" spans="1:11" x14ac:dyDescent="0.25">
      <c r="A2981">
        <v>2980</v>
      </c>
      <c r="B2981" s="23">
        <v>0</v>
      </c>
      <c r="C2981" s="23">
        <v>0</v>
      </c>
      <c r="D2981" s="23">
        <v>0</v>
      </c>
      <c r="E2981" s="23">
        <v>0</v>
      </c>
      <c r="F2981" s="23">
        <v>0</v>
      </c>
      <c r="G2981" s="23">
        <v>0</v>
      </c>
      <c r="H2981" s="23">
        <v>0</v>
      </c>
      <c r="I2981" s="23">
        <v>0</v>
      </c>
      <c r="J2981" s="23">
        <v>0</v>
      </c>
      <c r="K2981" s="23">
        <v>0</v>
      </c>
    </row>
    <row r="2982" spans="1:11" x14ac:dyDescent="0.25">
      <c r="A2982">
        <v>2981</v>
      </c>
      <c r="B2982" s="23">
        <v>0</v>
      </c>
      <c r="C2982" s="23">
        <v>0</v>
      </c>
      <c r="D2982" s="23">
        <v>0</v>
      </c>
      <c r="E2982" s="23">
        <v>0</v>
      </c>
      <c r="F2982" s="23">
        <v>0</v>
      </c>
      <c r="G2982" s="23">
        <v>0</v>
      </c>
      <c r="H2982" s="23">
        <v>0</v>
      </c>
      <c r="I2982" s="23">
        <v>0</v>
      </c>
      <c r="J2982" s="23">
        <v>0</v>
      </c>
      <c r="K2982" s="23">
        <v>0</v>
      </c>
    </row>
    <row r="2983" spans="1:11" x14ac:dyDescent="0.25">
      <c r="A2983">
        <v>2982</v>
      </c>
      <c r="B2983" s="23">
        <v>0</v>
      </c>
      <c r="C2983" s="23">
        <v>0</v>
      </c>
      <c r="D2983" s="23">
        <v>0</v>
      </c>
      <c r="E2983" s="23">
        <v>0</v>
      </c>
      <c r="F2983" s="23">
        <v>0</v>
      </c>
      <c r="G2983" s="23">
        <v>0</v>
      </c>
      <c r="H2983" s="23">
        <v>0</v>
      </c>
      <c r="I2983" s="23">
        <v>0</v>
      </c>
      <c r="J2983" s="23">
        <v>0</v>
      </c>
      <c r="K2983" s="23">
        <v>0</v>
      </c>
    </row>
    <row r="2984" spans="1:11" x14ac:dyDescent="0.25">
      <c r="A2984">
        <v>2983</v>
      </c>
      <c r="B2984" s="23">
        <v>1212.52</v>
      </c>
      <c r="C2984" s="23">
        <v>132.77000000000001</v>
      </c>
      <c r="D2984" s="23">
        <v>407.83699999999999</v>
      </c>
      <c r="E2984" s="23">
        <v>407.83699999999999</v>
      </c>
      <c r="F2984" s="23">
        <v>0</v>
      </c>
      <c r="G2984" s="23">
        <v>0</v>
      </c>
      <c r="H2984" s="23">
        <v>0</v>
      </c>
      <c r="I2984" s="23">
        <v>0</v>
      </c>
      <c r="J2984" s="23">
        <v>0</v>
      </c>
      <c r="K2984" s="23">
        <v>804.68299999999999</v>
      </c>
    </row>
    <row r="2985" spans="1:11" x14ac:dyDescent="0.25">
      <c r="A2985">
        <v>2984</v>
      </c>
      <c r="B2985" s="23">
        <v>1002.061</v>
      </c>
      <c r="C2985" s="23">
        <v>367.38</v>
      </c>
      <c r="D2985" s="23">
        <v>1433.7360000000001</v>
      </c>
      <c r="E2985" s="23">
        <v>1002.061</v>
      </c>
      <c r="F2985" s="23">
        <v>-431.67500000000001</v>
      </c>
      <c r="G2985" s="23">
        <v>0</v>
      </c>
      <c r="H2985" s="23">
        <v>0</v>
      </c>
      <c r="I2985" s="23">
        <v>0</v>
      </c>
      <c r="J2985" s="23">
        <v>0</v>
      </c>
      <c r="K2985" s="23">
        <v>0</v>
      </c>
    </row>
    <row r="2986" spans="1:11" x14ac:dyDescent="0.25">
      <c r="A2986">
        <v>2985</v>
      </c>
      <c r="B2986" s="23">
        <v>965.10699999999997</v>
      </c>
      <c r="C2986" s="23">
        <v>262.56</v>
      </c>
      <c r="D2986" s="23">
        <v>1003.898</v>
      </c>
      <c r="E2986" s="23">
        <v>965.10699999999997</v>
      </c>
      <c r="F2986" s="23">
        <v>-38.790999999999997</v>
      </c>
      <c r="G2986" s="23">
        <v>0</v>
      </c>
      <c r="H2986" s="23">
        <v>0</v>
      </c>
      <c r="I2986" s="23">
        <v>0</v>
      </c>
      <c r="J2986" s="23">
        <v>0</v>
      </c>
      <c r="K2986" s="23">
        <v>0</v>
      </c>
    </row>
    <row r="2987" spans="1:11" x14ac:dyDescent="0.25">
      <c r="A2987">
        <v>2986</v>
      </c>
      <c r="B2987" s="23">
        <v>1411.9169999999999</v>
      </c>
      <c r="C2987" s="23">
        <v>787.42</v>
      </c>
      <c r="D2987" s="23">
        <v>2999.018</v>
      </c>
      <c r="E2987" s="23">
        <v>1411.9169999999999</v>
      </c>
      <c r="F2987" s="23">
        <v>-1587.1010000000001</v>
      </c>
      <c r="G2987" s="23">
        <v>0</v>
      </c>
      <c r="H2987" s="23">
        <v>0</v>
      </c>
      <c r="I2987" s="23">
        <v>0</v>
      </c>
      <c r="J2987" s="23">
        <v>0</v>
      </c>
      <c r="K2987" s="23">
        <v>0</v>
      </c>
    </row>
    <row r="2988" spans="1:11" x14ac:dyDescent="0.25">
      <c r="A2988">
        <v>2987</v>
      </c>
      <c r="B2988" s="23">
        <v>1427.8979999999999</v>
      </c>
      <c r="C2988" s="23">
        <v>504.63</v>
      </c>
      <c r="D2988" s="23">
        <v>1881.8969999999999</v>
      </c>
      <c r="E2988" s="23">
        <v>1427.8979999999999</v>
      </c>
      <c r="F2988" s="23">
        <v>-453.99900000000002</v>
      </c>
      <c r="G2988" s="23">
        <v>0</v>
      </c>
      <c r="H2988" s="23">
        <v>0</v>
      </c>
      <c r="I2988" s="23">
        <v>0</v>
      </c>
      <c r="J2988" s="23">
        <v>0</v>
      </c>
      <c r="K2988" s="23">
        <v>0</v>
      </c>
    </row>
    <row r="2989" spans="1:11" x14ac:dyDescent="0.25">
      <c r="A2989">
        <v>2988</v>
      </c>
      <c r="B2989" s="23">
        <v>1337.421</v>
      </c>
      <c r="C2989" s="23">
        <v>398.64</v>
      </c>
      <c r="D2989" s="23">
        <v>1479.164</v>
      </c>
      <c r="E2989" s="23">
        <v>1337.421</v>
      </c>
      <c r="F2989" s="23">
        <v>-141.74299999999999</v>
      </c>
      <c r="G2989" s="23">
        <v>0</v>
      </c>
      <c r="H2989" s="23">
        <v>0</v>
      </c>
      <c r="I2989" s="23">
        <v>0</v>
      </c>
      <c r="J2989" s="23">
        <v>0</v>
      </c>
      <c r="K2989" s="23">
        <v>0</v>
      </c>
    </row>
    <row r="2990" spans="1:11" x14ac:dyDescent="0.25">
      <c r="A2990">
        <v>2989</v>
      </c>
      <c r="B2990" s="23">
        <v>1072.1220000000001</v>
      </c>
      <c r="C2990" s="23">
        <v>540.58000000000004</v>
      </c>
      <c r="D2990" s="23">
        <v>2001.6079999999999</v>
      </c>
      <c r="E2990" s="23">
        <v>1072.1220000000001</v>
      </c>
      <c r="F2990" s="23">
        <v>-929.48599999999999</v>
      </c>
      <c r="G2990" s="23">
        <v>0</v>
      </c>
      <c r="H2990" s="23">
        <v>0</v>
      </c>
      <c r="I2990" s="23">
        <v>0</v>
      </c>
      <c r="J2990" s="23">
        <v>0</v>
      </c>
      <c r="K2990" s="23">
        <v>0</v>
      </c>
    </row>
    <row r="2991" spans="1:11" x14ac:dyDescent="0.25">
      <c r="A2991">
        <v>2990</v>
      </c>
      <c r="B2991" s="23">
        <v>1193.7080000000001</v>
      </c>
      <c r="C2991" s="23">
        <v>684.42</v>
      </c>
      <c r="D2991" s="23">
        <v>2542.6489999999999</v>
      </c>
      <c r="E2991" s="23">
        <v>1193.7080000000001</v>
      </c>
      <c r="F2991" s="23">
        <v>-1348.941</v>
      </c>
      <c r="G2991" s="23">
        <v>0</v>
      </c>
      <c r="H2991" s="23">
        <v>0</v>
      </c>
      <c r="I2991" s="23">
        <v>0</v>
      </c>
      <c r="J2991" s="23">
        <v>0</v>
      </c>
      <c r="K2991" s="23">
        <v>0</v>
      </c>
    </row>
    <row r="2992" spans="1:11" x14ac:dyDescent="0.25">
      <c r="A2992">
        <v>2991</v>
      </c>
      <c r="B2992" s="23">
        <v>980.197</v>
      </c>
      <c r="C2992" s="23">
        <v>646.88</v>
      </c>
      <c r="D2992" s="23">
        <v>2442.7640000000001</v>
      </c>
      <c r="E2992" s="23">
        <v>980.197</v>
      </c>
      <c r="F2992" s="23">
        <v>-1462.567</v>
      </c>
      <c r="G2992" s="23">
        <v>0</v>
      </c>
      <c r="H2992" s="23">
        <v>0</v>
      </c>
      <c r="I2992" s="23">
        <v>0</v>
      </c>
      <c r="J2992" s="23">
        <v>0</v>
      </c>
      <c r="K2992" s="23">
        <v>0</v>
      </c>
    </row>
    <row r="2993" spans="1:11" x14ac:dyDescent="0.25">
      <c r="A2993">
        <v>2992</v>
      </c>
      <c r="B2993" s="23">
        <v>1206.2529999999999</v>
      </c>
      <c r="C2993" s="23">
        <v>474.81</v>
      </c>
      <c r="D2993" s="23">
        <v>1840.0640000000001</v>
      </c>
      <c r="E2993" s="23">
        <v>1206.2529999999999</v>
      </c>
      <c r="F2993" s="23">
        <v>-633.81100000000004</v>
      </c>
      <c r="G2993" s="23">
        <v>0</v>
      </c>
      <c r="H2993" s="23">
        <v>0</v>
      </c>
      <c r="I2993" s="23">
        <v>0</v>
      </c>
      <c r="J2993" s="23">
        <v>0</v>
      </c>
      <c r="K2993" s="23">
        <v>0</v>
      </c>
    </row>
    <row r="2994" spans="1:11" x14ac:dyDescent="0.25">
      <c r="A2994">
        <v>2993</v>
      </c>
      <c r="B2994" s="23">
        <v>1386.057</v>
      </c>
      <c r="C2994" s="23">
        <v>158.75</v>
      </c>
      <c r="D2994" s="23">
        <v>600.48900000000003</v>
      </c>
      <c r="E2994" s="23">
        <v>600.48900000000003</v>
      </c>
      <c r="F2994" s="23">
        <v>0</v>
      </c>
      <c r="G2994" s="23">
        <v>0</v>
      </c>
      <c r="H2994" s="23">
        <v>0</v>
      </c>
      <c r="I2994" s="23">
        <v>785.56799999999998</v>
      </c>
      <c r="J2994" s="23">
        <v>0</v>
      </c>
      <c r="K2994" s="23">
        <v>0</v>
      </c>
    </row>
    <row r="2995" spans="1:11" x14ac:dyDescent="0.25">
      <c r="A2995">
        <v>2994</v>
      </c>
      <c r="B2995" s="23">
        <v>1219.223</v>
      </c>
      <c r="C2995" s="23">
        <v>40.79</v>
      </c>
      <c r="D2995" s="23">
        <v>127.398</v>
      </c>
      <c r="E2995" s="23">
        <v>127.398</v>
      </c>
      <c r="F2995" s="23">
        <v>0</v>
      </c>
      <c r="G2995" s="23">
        <v>0</v>
      </c>
      <c r="H2995" s="23">
        <v>0</v>
      </c>
      <c r="I2995" s="23">
        <v>0</v>
      </c>
      <c r="J2995" s="23">
        <v>0</v>
      </c>
      <c r="K2995" s="23">
        <v>1091.825</v>
      </c>
    </row>
    <row r="2996" spans="1:11" x14ac:dyDescent="0.25">
      <c r="A2996">
        <v>2995</v>
      </c>
      <c r="B2996" s="23">
        <v>1409.5840000000001</v>
      </c>
      <c r="C2996" s="23">
        <v>0</v>
      </c>
      <c r="D2996" s="23">
        <v>0</v>
      </c>
      <c r="E2996" s="23">
        <v>0</v>
      </c>
      <c r="F2996" s="23">
        <v>0</v>
      </c>
      <c r="G2996" s="23">
        <v>0</v>
      </c>
      <c r="H2996" s="23">
        <v>0</v>
      </c>
      <c r="I2996" s="23">
        <v>0</v>
      </c>
      <c r="J2996" s="23">
        <v>0</v>
      </c>
      <c r="K2996" s="23">
        <v>1409.5840000000001</v>
      </c>
    </row>
    <row r="2997" spans="1:11" x14ac:dyDescent="0.25">
      <c r="A2997">
        <v>2996</v>
      </c>
      <c r="B2997" s="23">
        <v>1578.4</v>
      </c>
      <c r="C2997" s="23">
        <v>0</v>
      </c>
      <c r="D2997" s="23">
        <v>0</v>
      </c>
      <c r="E2997" s="23">
        <v>0</v>
      </c>
      <c r="F2997" s="23">
        <v>0</v>
      </c>
      <c r="G2997" s="23">
        <v>0</v>
      </c>
      <c r="H2997" s="23">
        <v>0</v>
      </c>
      <c r="I2997" s="23">
        <v>0</v>
      </c>
      <c r="J2997" s="23">
        <v>0</v>
      </c>
      <c r="K2997" s="23">
        <v>1578.4</v>
      </c>
    </row>
    <row r="2998" spans="1:11" x14ac:dyDescent="0.25">
      <c r="A2998">
        <v>2997</v>
      </c>
      <c r="B2998" s="23">
        <v>1444.8</v>
      </c>
      <c r="C2998" s="23">
        <v>0</v>
      </c>
      <c r="D2998" s="23">
        <v>0</v>
      </c>
      <c r="E2998" s="23">
        <v>0</v>
      </c>
      <c r="F2998" s="23">
        <v>0</v>
      </c>
      <c r="G2998" s="23">
        <v>0</v>
      </c>
      <c r="H2998" s="23">
        <v>0</v>
      </c>
      <c r="I2998" s="23">
        <v>1181.655</v>
      </c>
      <c r="J2998" s="23">
        <v>0</v>
      </c>
      <c r="K2998" s="23">
        <v>263.14499999999998</v>
      </c>
    </row>
    <row r="2999" spans="1:11" x14ac:dyDescent="0.25">
      <c r="A2999">
        <v>2998</v>
      </c>
      <c r="B2999" s="23">
        <v>1684</v>
      </c>
      <c r="C2999" s="23">
        <v>0</v>
      </c>
      <c r="D2999" s="23">
        <v>0</v>
      </c>
      <c r="E2999" s="23">
        <v>0</v>
      </c>
      <c r="F2999" s="23">
        <v>0</v>
      </c>
      <c r="G2999" s="23">
        <v>0</v>
      </c>
      <c r="H2999" s="23">
        <v>0</v>
      </c>
      <c r="I2999" s="23">
        <v>0</v>
      </c>
      <c r="J2999" s="23">
        <v>0</v>
      </c>
      <c r="K2999" s="23">
        <v>1684</v>
      </c>
    </row>
    <row r="3000" spans="1:11" x14ac:dyDescent="0.25">
      <c r="A3000">
        <v>2999</v>
      </c>
      <c r="B3000" s="23">
        <v>1376.8</v>
      </c>
      <c r="C3000" s="23">
        <v>0</v>
      </c>
      <c r="D3000" s="23">
        <v>0</v>
      </c>
      <c r="E3000" s="23">
        <v>0</v>
      </c>
      <c r="F3000" s="23">
        <v>0</v>
      </c>
      <c r="G3000" s="23">
        <v>0</v>
      </c>
      <c r="H3000" s="23">
        <v>0</v>
      </c>
      <c r="I3000" s="23">
        <v>1376.8</v>
      </c>
      <c r="J3000" s="23">
        <v>0</v>
      </c>
      <c r="K3000" s="23">
        <v>0</v>
      </c>
    </row>
    <row r="3001" spans="1:11" x14ac:dyDescent="0.25">
      <c r="A3001">
        <v>3000</v>
      </c>
      <c r="B3001" s="23">
        <v>0</v>
      </c>
      <c r="C3001" s="23">
        <v>0</v>
      </c>
      <c r="D3001" s="23">
        <v>0</v>
      </c>
      <c r="E3001" s="23">
        <v>0</v>
      </c>
      <c r="F3001" s="23">
        <v>0</v>
      </c>
      <c r="G3001" s="23">
        <v>0</v>
      </c>
      <c r="H3001" s="23">
        <v>0</v>
      </c>
      <c r="I3001" s="23">
        <v>0</v>
      </c>
      <c r="J3001" s="23">
        <v>0</v>
      </c>
      <c r="K3001" s="23">
        <v>0</v>
      </c>
    </row>
    <row r="3002" spans="1:11" x14ac:dyDescent="0.25">
      <c r="A3002">
        <v>3001</v>
      </c>
      <c r="B3002" s="23">
        <v>0</v>
      </c>
      <c r="C3002" s="23">
        <v>0</v>
      </c>
      <c r="D3002" s="23">
        <v>0</v>
      </c>
      <c r="E3002" s="23">
        <v>0</v>
      </c>
      <c r="F3002" s="23">
        <v>0</v>
      </c>
      <c r="G3002" s="23">
        <v>0</v>
      </c>
      <c r="H3002" s="23">
        <v>0</v>
      </c>
      <c r="I3002" s="23">
        <v>0</v>
      </c>
      <c r="J3002" s="23">
        <v>0</v>
      </c>
      <c r="K3002" s="23">
        <v>0</v>
      </c>
    </row>
    <row r="3003" spans="1:11" x14ac:dyDescent="0.25">
      <c r="A3003">
        <v>3002</v>
      </c>
      <c r="B3003" s="23">
        <v>0</v>
      </c>
      <c r="C3003" s="23">
        <v>0</v>
      </c>
      <c r="D3003" s="23">
        <v>0</v>
      </c>
      <c r="E3003" s="23">
        <v>0</v>
      </c>
      <c r="F3003" s="23">
        <v>0</v>
      </c>
      <c r="G3003" s="23">
        <v>0</v>
      </c>
      <c r="H3003" s="23">
        <v>0</v>
      </c>
      <c r="I3003" s="23">
        <v>0</v>
      </c>
      <c r="J3003" s="23">
        <v>0</v>
      </c>
      <c r="K3003" s="23">
        <v>0</v>
      </c>
    </row>
    <row r="3004" spans="1:11" x14ac:dyDescent="0.25">
      <c r="A3004">
        <v>3003</v>
      </c>
      <c r="B3004" s="23">
        <v>0</v>
      </c>
      <c r="C3004" s="23">
        <v>0</v>
      </c>
      <c r="D3004" s="23">
        <v>0</v>
      </c>
      <c r="E3004" s="23">
        <v>0</v>
      </c>
      <c r="F3004" s="23">
        <v>0</v>
      </c>
      <c r="G3004" s="23">
        <v>0</v>
      </c>
      <c r="H3004" s="23">
        <v>0</v>
      </c>
      <c r="I3004" s="23">
        <v>0</v>
      </c>
      <c r="J3004" s="23">
        <v>0</v>
      </c>
      <c r="K3004" s="23">
        <v>0</v>
      </c>
    </row>
    <row r="3005" spans="1:11" x14ac:dyDescent="0.25">
      <c r="A3005">
        <v>3004</v>
      </c>
      <c r="B3005" s="23">
        <v>0</v>
      </c>
      <c r="C3005" s="23">
        <v>0</v>
      </c>
      <c r="D3005" s="23">
        <v>0</v>
      </c>
      <c r="E3005" s="23">
        <v>0</v>
      </c>
      <c r="F3005" s="23">
        <v>0</v>
      </c>
      <c r="G3005" s="23">
        <v>0</v>
      </c>
      <c r="H3005" s="23">
        <v>0</v>
      </c>
      <c r="I3005" s="23">
        <v>0</v>
      </c>
      <c r="J3005" s="23">
        <v>0</v>
      </c>
      <c r="K3005" s="23">
        <v>0</v>
      </c>
    </row>
    <row r="3006" spans="1:11" x14ac:dyDescent="0.25">
      <c r="A3006">
        <v>3005</v>
      </c>
      <c r="B3006" s="23">
        <v>0</v>
      </c>
      <c r="C3006" s="23">
        <v>0</v>
      </c>
      <c r="D3006" s="23">
        <v>0</v>
      </c>
      <c r="E3006" s="23">
        <v>0</v>
      </c>
      <c r="F3006" s="23">
        <v>0</v>
      </c>
      <c r="G3006" s="23">
        <v>0</v>
      </c>
      <c r="H3006" s="23">
        <v>0</v>
      </c>
      <c r="I3006" s="23">
        <v>0</v>
      </c>
      <c r="J3006" s="23">
        <v>0</v>
      </c>
      <c r="K3006" s="23">
        <v>0</v>
      </c>
    </row>
    <row r="3007" spans="1:11" x14ac:dyDescent="0.25">
      <c r="A3007">
        <v>3006</v>
      </c>
      <c r="B3007" s="23">
        <v>0</v>
      </c>
      <c r="C3007" s="23">
        <v>0</v>
      </c>
      <c r="D3007" s="23">
        <v>0</v>
      </c>
      <c r="E3007" s="23">
        <v>0</v>
      </c>
      <c r="F3007" s="23">
        <v>0</v>
      </c>
      <c r="G3007" s="23">
        <v>0</v>
      </c>
      <c r="H3007" s="23">
        <v>0</v>
      </c>
      <c r="I3007" s="23">
        <v>0</v>
      </c>
      <c r="J3007" s="23">
        <v>0</v>
      </c>
      <c r="K3007" s="23">
        <v>0</v>
      </c>
    </row>
    <row r="3008" spans="1:11" x14ac:dyDescent="0.25">
      <c r="A3008">
        <v>3007</v>
      </c>
      <c r="B3008" s="23">
        <v>781.83</v>
      </c>
      <c r="C3008" s="23">
        <v>72.02</v>
      </c>
      <c r="D3008" s="23">
        <v>256.935</v>
      </c>
      <c r="E3008" s="23">
        <v>256.935</v>
      </c>
      <c r="F3008" s="23">
        <v>0</v>
      </c>
      <c r="G3008" s="23">
        <v>0</v>
      </c>
      <c r="H3008" s="23">
        <v>0</v>
      </c>
      <c r="I3008" s="23">
        <v>0</v>
      </c>
      <c r="J3008" s="23">
        <v>0</v>
      </c>
      <c r="K3008" s="23">
        <v>524.89499999999998</v>
      </c>
    </row>
    <row r="3009" spans="1:11" x14ac:dyDescent="0.25">
      <c r="A3009">
        <v>3008</v>
      </c>
      <c r="B3009" s="23">
        <v>709.60699999999997</v>
      </c>
      <c r="C3009" s="23">
        <v>362.62</v>
      </c>
      <c r="D3009" s="23">
        <v>1407.287</v>
      </c>
      <c r="E3009" s="23">
        <v>709.60699999999997</v>
      </c>
      <c r="F3009" s="23">
        <v>-697.68</v>
      </c>
      <c r="G3009" s="23">
        <v>0</v>
      </c>
      <c r="H3009" s="23">
        <v>0</v>
      </c>
      <c r="I3009" s="23">
        <v>0</v>
      </c>
      <c r="J3009" s="23">
        <v>0</v>
      </c>
      <c r="K3009" s="23">
        <v>0</v>
      </c>
    </row>
    <row r="3010" spans="1:11" x14ac:dyDescent="0.25">
      <c r="A3010">
        <v>3009</v>
      </c>
      <c r="B3010" s="23">
        <v>1534.229</v>
      </c>
      <c r="C3010" s="23">
        <v>590.29999999999995</v>
      </c>
      <c r="D3010" s="23">
        <v>2293.009</v>
      </c>
      <c r="E3010" s="23">
        <v>1534.229</v>
      </c>
      <c r="F3010" s="23">
        <v>-758.78</v>
      </c>
      <c r="G3010" s="23">
        <v>0</v>
      </c>
      <c r="H3010" s="23">
        <v>0</v>
      </c>
      <c r="I3010" s="23">
        <v>0</v>
      </c>
      <c r="J3010" s="23">
        <v>0</v>
      </c>
      <c r="K3010" s="23">
        <v>0</v>
      </c>
    </row>
    <row r="3011" spans="1:11" x14ac:dyDescent="0.25">
      <c r="A3011">
        <v>3010</v>
      </c>
      <c r="B3011" s="23">
        <v>1020.516</v>
      </c>
      <c r="C3011" s="23">
        <v>780.43</v>
      </c>
      <c r="D3011" s="23">
        <v>2932.163</v>
      </c>
      <c r="E3011" s="23">
        <v>1020.5170000000001</v>
      </c>
      <c r="F3011" s="23">
        <v>-1684.559</v>
      </c>
      <c r="G3011" s="23">
        <v>0</v>
      </c>
      <c r="H3011" s="23">
        <v>227.08699999999999</v>
      </c>
      <c r="I3011" s="23">
        <v>0</v>
      </c>
      <c r="J3011" s="23">
        <v>0</v>
      </c>
      <c r="K3011" s="23">
        <v>0</v>
      </c>
    </row>
    <row r="3012" spans="1:11" x14ac:dyDescent="0.25">
      <c r="A3012">
        <v>3011</v>
      </c>
      <c r="B3012" s="23">
        <v>1287.992</v>
      </c>
      <c r="C3012" s="23">
        <v>628.49</v>
      </c>
      <c r="D3012" s="23">
        <v>2313.0210000000002</v>
      </c>
      <c r="E3012" s="23">
        <v>1287.992</v>
      </c>
      <c r="F3012" s="23">
        <v>-1025.029</v>
      </c>
      <c r="G3012" s="23">
        <v>0</v>
      </c>
      <c r="H3012" s="23">
        <v>0</v>
      </c>
      <c r="I3012" s="23">
        <v>0</v>
      </c>
      <c r="J3012" s="23">
        <v>0</v>
      </c>
      <c r="K3012" s="23">
        <v>0</v>
      </c>
    </row>
    <row r="3013" spans="1:11" x14ac:dyDescent="0.25">
      <c r="A3013">
        <v>3012</v>
      </c>
      <c r="B3013" s="23">
        <v>1475.7070000000001</v>
      </c>
      <c r="C3013" s="23">
        <v>972.31</v>
      </c>
      <c r="D3013" s="23">
        <v>3515.0929999999998</v>
      </c>
      <c r="E3013" s="23">
        <v>1475.7070000000001</v>
      </c>
      <c r="F3013" s="23">
        <v>-1684.559</v>
      </c>
      <c r="G3013" s="23">
        <v>0</v>
      </c>
      <c r="H3013" s="23">
        <v>354.827</v>
      </c>
      <c r="I3013" s="23">
        <v>0</v>
      </c>
      <c r="J3013" s="23">
        <v>0</v>
      </c>
      <c r="K3013" s="23">
        <v>0</v>
      </c>
    </row>
    <row r="3014" spans="1:11" x14ac:dyDescent="0.25">
      <c r="A3014">
        <v>3013</v>
      </c>
      <c r="B3014" s="23">
        <v>1238.0999999999999</v>
      </c>
      <c r="C3014" s="23">
        <v>958.47</v>
      </c>
      <c r="D3014" s="23">
        <v>3481.4119999999998</v>
      </c>
      <c r="E3014" s="23">
        <v>1238.0999999999999</v>
      </c>
      <c r="F3014" s="23">
        <v>-1440.8910000000001</v>
      </c>
      <c r="G3014" s="23">
        <v>0</v>
      </c>
      <c r="H3014" s="23">
        <v>802.42100000000005</v>
      </c>
      <c r="I3014" s="23">
        <v>0</v>
      </c>
      <c r="J3014" s="23">
        <v>0</v>
      </c>
      <c r="K3014" s="23">
        <v>0</v>
      </c>
    </row>
    <row r="3015" spans="1:11" x14ac:dyDescent="0.25">
      <c r="A3015">
        <v>3014</v>
      </c>
      <c r="B3015" s="23">
        <v>1241.662</v>
      </c>
      <c r="C3015" s="23">
        <v>598.85</v>
      </c>
      <c r="D3015" s="23">
        <v>2217.1959999999999</v>
      </c>
      <c r="E3015" s="23">
        <v>1241.662</v>
      </c>
      <c r="F3015" s="23">
        <v>0</v>
      </c>
      <c r="G3015" s="23">
        <v>0</v>
      </c>
      <c r="H3015" s="23">
        <v>975.53399999999999</v>
      </c>
      <c r="I3015" s="23">
        <v>0</v>
      </c>
      <c r="J3015" s="23">
        <v>0</v>
      </c>
      <c r="K3015" s="23">
        <v>0</v>
      </c>
    </row>
    <row r="3016" spans="1:11" x14ac:dyDescent="0.25">
      <c r="A3016">
        <v>3015</v>
      </c>
      <c r="B3016" s="23">
        <v>1191.0820000000001</v>
      </c>
      <c r="C3016" s="23">
        <v>440.55</v>
      </c>
      <c r="D3016" s="23">
        <v>1663.38</v>
      </c>
      <c r="E3016" s="23">
        <v>1191.0820000000001</v>
      </c>
      <c r="F3016" s="23">
        <v>0</v>
      </c>
      <c r="G3016" s="23">
        <v>0</v>
      </c>
      <c r="H3016" s="23">
        <v>472.298</v>
      </c>
      <c r="I3016" s="23">
        <v>0</v>
      </c>
      <c r="J3016" s="23">
        <v>0</v>
      </c>
      <c r="K3016" s="23">
        <v>0</v>
      </c>
    </row>
    <row r="3017" spans="1:11" x14ac:dyDescent="0.25">
      <c r="A3017">
        <v>3016</v>
      </c>
      <c r="B3017" s="23">
        <v>1159.838</v>
      </c>
      <c r="C3017" s="23">
        <v>365.2</v>
      </c>
      <c r="D3017" s="23">
        <v>1405.1279999999999</v>
      </c>
      <c r="E3017" s="23">
        <v>1159.838</v>
      </c>
      <c r="F3017" s="23">
        <v>0</v>
      </c>
      <c r="G3017" s="23">
        <v>0</v>
      </c>
      <c r="H3017" s="23">
        <v>245.29</v>
      </c>
      <c r="I3017" s="23">
        <v>0</v>
      </c>
      <c r="J3017" s="23">
        <v>0</v>
      </c>
      <c r="K3017" s="23">
        <v>0</v>
      </c>
    </row>
    <row r="3018" spans="1:11" x14ac:dyDescent="0.25">
      <c r="A3018">
        <v>3017</v>
      </c>
      <c r="B3018" s="23">
        <v>1030.0940000000001</v>
      </c>
      <c r="C3018" s="23">
        <v>179.51</v>
      </c>
      <c r="D3018" s="23">
        <v>684.24099999999999</v>
      </c>
      <c r="E3018" s="23">
        <v>684.24099999999999</v>
      </c>
      <c r="F3018" s="23">
        <v>0</v>
      </c>
      <c r="G3018" s="23">
        <v>0</v>
      </c>
      <c r="H3018" s="23">
        <v>0</v>
      </c>
      <c r="I3018" s="23">
        <v>345.85300000000001</v>
      </c>
      <c r="J3018" s="23">
        <v>0</v>
      </c>
      <c r="K3018" s="23">
        <v>0</v>
      </c>
    </row>
    <row r="3019" spans="1:11" x14ac:dyDescent="0.25">
      <c r="A3019">
        <v>3018</v>
      </c>
      <c r="B3019" s="23">
        <v>1147.5340000000001</v>
      </c>
      <c r="C3019" s="23">
        <v>46.15</v>
      </c>
      <c r="D3019" s="23">
        <v>146.76400000000001</v>
      </c>
      <c r="E3019" s="23">
        <v>146.76400000000001</v>
      </c>
      <c r="F3019" s="23">
        <v>0</v>
      </c>
      <c r="G3019" s="23">
        <v>0</v>
      </c>
      <c r="H3019" s="23">
        <v>0</v>
      </c>
      <c r="I3019" s="23">
        <v>0</v>
      </c>
      <c r="J3019" s="23">
        <v>0</v>
      </c>
      <c r="K3019" s="23">
        <v>1000.77</v>
      </c>
    </row>
    <row r="3020" spans="1:11" x14ac:dyDescent="0.25">
      <c r="A3020">
        <v>3019</v>
      </c>
      <c r="B3020" s="23">
        <v>1455.4829999999999</v>
      </c>
      <c r="C3020" s="23">
        <v>0</v>
      </c>
      <c r="D3020" s="23">
        <v>0</v>
      </c>
      <c r="E3020" s="23">
        <v>0</v>
      </c>
      <c r="F3020" s="23">
        <v>0</v>
      </c>
      <c r="G3020" s="23">
        <v>0</v>
      </c>
      <c r="H3020" s="23">
        <v>0</v>
      </c>
      <c r="I3020" s="23">
        <v>0</v>
      </c>
      <c r="J3020" s="23">
        <v>0</v>
      </c>
      <c r="K3020" s="23">
        <v>1455.4829999999999</v>
      </c>
    </row>
    <row r="3021" spans="1:11" x14ac:dyDescent="0.25">
      <c r="A3021">
        <v>3020</v>
      </c>
      <c r="B3021" s="23">
        <v>1283.2</v>
      </c>
      <c r="C3021" s="23">
        <v>0</v>
      </c>
      <c r="D3021" s="23">
        <v>0</v>
      </c>
      <c r="E3021" s="23">
        <v>0</v>
      </c>
      <c r="F3021" s="23">
        <v>0</v>
      </c>
      <c r="G3021" s="23">
        <v>0</v>
      </c>
      <c r="H3021" s="23">
        <v>0</v>
      </c>
      <c r="I3021" s="23">
        <v>0</v>
      </c>
      <c r="J3021" s="23">
        <v>0</v>
      </c>
      <c r="K3021" s="23">
        <v>1283.2</v>
      </c>
    </row>
    <row r="3022" spans="1:11" x14ac:dyDescent="0.25">
      <c r="A3022">
        <v>3021</v>
      </c>
      <c r="B3022" s="23">
        <v>1238.4000000000001</v>
      </c>
      <c r="C3022" s="23">
        <v>0</v>
      </c>
      <c r="D3022" s="23">
        <v>0</v>
      </c>
      <c r="E3022" s="23">
        <v>0</v>
      </c>
      <c r="F3022" s="23">
        <v>0</v>
      </c>
      <c r="G3022" s="23">
        <v>0</v>
      </c>
      <c r="H3022" s="23">
        <v>0</v>
      </c>
      <c r="I3022" s="23">
        <v>419.262</v>
      </c>
      <c r="J3022" s="23">
        <v>0</v>
      </c>
      <c r="K3022" s="23">
        <v>819.13800000000003</v>
      </c>
    </row>
    <row r="3023" spans="1:11" x14ac:dyDescent="0.25">
      <c r="A3023">
        <v>3022</v>
      </c>
      <c r="B3023" s="23">
        <v>1134.4000000000001</v>
      </c>
      <c r="C3023" s="23">
        <v>0</v>
      </c>
      <c r="D3023" s="23">
        <v>0</v>
      </c>
      <c r="E3023" s="23">
        <v>0</v>
      </c>
      <c r="F3023" s="23">
        <v>0</v>
      </c>
      <c r="G3023" s="23">
        <v>0</v>
      </c>
      <c r="H3023" s="23">
        <v>0</v>
      </c>
      <c r="I3023" s="23">
        <v>0</v>
      </c>
      <c r="J3023" s="23">
        <v>0</v>
      </c>
      <c r="K3023" s="23">
        <v>1134.4000000000001</v>
      </c>
    </row>
    <row r="3024" spans="1:11" x14ac:dyDescent="0.25">
      <c r="A3024">
        <v>3023</v>
      </c>
      <c r="B3024" s="23">
        <v>1165.5999999999999</v>
      </c>
      <c r="C3024" s="23">
        <v>0</v>
      </c>
      <c r="D3024" s="23">
        <v>0</v>
      </c>
      <c r="E3024" s="23">
        <v>0</v>
      </c>
      <c r="F3024" s="23">
        <v>0</v>
      </c>
      <c r="G3024" s="23">
        <v>0</v>
      </c>
      <c r="H3024" s="23">
        <v>0</v>
      </c>
      <c r="I3024" s="23">
        <v>1165.5999999999999</v>
      </c>
      <c r="J3024" s="23">
        <v>0</v>
      </c>
      <c r="K3024" s="23">
        <v>0</v>
      </c>
    </row>
    <row r="3025" spans="1:11" x14ac:dyDescent="0.25">
      <c r="A3025">
        <v>3024</v>
      </c>
      <c r="B3025" s="23">
        <v>0</v>
      </c>
      <c r="C3025" s="23">
        <v>0</v>
      </c>
      <c r="D3025" s="23">
        <v>0</v>
      </c>
      <c r="E3025" s="23">
        <v>0</v>
      </c>
      <c r="F3025" s="23">
        <v>0</v>
      </c>
      <c r="G3025" s="23">
        <v>0</v>
      </c>
      <c r="H3025" s="23">
        <v>0</v>
      </c>
      <c r="I3025" s="23">
        <v>0</v>
      </c>
      <c r="J3025" s="23">
        <v>0</v>
      </c>
      <c r="K3025" s="23">
        <v>0</v>
      </c>
    </row>
    <row r="3026" spans="1:11" x14ac:dyDescent="0.25">
      <c r="A3026">
        <v>3025</v>
      </c>
      <c r="B3026" s="23">
        <v>0</v>
      </c>
      <c r="C3026" s="23">
        <v>0</v>
      </c>
      <c r="D3026" s="23">
        <v>0</v>
      </c>
      <c r="E3026" s="23">
        <v>0</v>
      </c>
      <c r="F3026" s="23">
        <v>0</v>
      </c>
      <c r="G3026" s="23">
        <v>0</v>
      </c>
      <c r="H3026" s="23">
        <v>0</v>
      </c>
      <c r="I3026" s="23">
        <v>0</v>
      </c>
      <c r="J3026" s="23">
        <v>0</v>
      </c>
      <c r="K3026" s="23">
        <v>0</v>
      </c>
    </row>
    <row r="3027" spans="1:11" x14ac:dyDescent="0.25">
      <c r="A3027">
        <v>3026</v>
      </c>
      <c r="B3027" s="23">
        <v>0</v>
      </c>
      <c r="C3027" s="23">
        <v>0</v>
      </c>
      <c r="D3027" s="23">
        <v>0</v>
      </c>
      <c r="E3027" s="23">
        <v>0</v>
      </c>
      <c r="F3027" s="23">
        <v>0</v>
      </c>
      <c r="G3027" s="23">
        <v>0</v>
      </c>
      <c r="H3027" s="23">
        <v>0</v>
      </c>
      <c r="I3027" s="23">
        <v>0</v>
      </c>
      <c r="J3027" s="23">
        <v>0</v>
      </c>
      <c r="K3027" s="23">
        <v>0</v>
      </c>
    </row>
    <row r="3028" spans="1:11" x14ac:dyDescent="0.25">
      <c r="A3028">
        <v>3027</v>
      </c>
      <c r="B3028" s="23">
        <v>0</v>
      </c>
      <c r="C3028" s="23">
        <v>0</v>
      </c>
      <c r="D3028" s="23">
        <v>0</v>
      </c>
      <c r="E3028" s="23">
        <v>0</v>
      </c>
      <c r="F3028" s="23">
        <v>0</v>
      </c>
      <c r="G3028" s="23">
        <v>0</v>
      </c>
      <c r="H3028" s="23">
        <v>0</v>
      </c>
      <c r="I3028" s="23">
        <v>0</v>
      </c>
      <c r="J3028" s="23">
        <v>0</v>
      </c>
      <c r="K3028" s="23">
        <v>0</v>
      </c>
    </row>
    <row r="3029" spans="1:11" x14ac:dyDescent="0.25">
      <c r="A3029">
        <v>3028</v>
      </c>
      <c r="B3029" s="23">
        <v>0</v>
      </c>
      <c r="C3029" s="23">
        <v>0</v>
      </c>
      <c r="D3029" s="23">
        <v>0</v>
      </c>
      <c r="E3029" s="23">
        <v>0</v>
      </c>
      <c r="F3029" s="23">
        <v>0</v>
      </c>
      <c r="G3029" s="23">
        <v>0</v>
      </c>
      <c r="H3029" s="23">
        <v>0</v>
      </c>
      <c r="I3029" s="23">
        <v>0</v>
      </c>
      <c r="J3029" s="23">
        <v>0</v>
      </c>
      <c r="K3029" s="23">
        <v>0</v>
      </c>
    </row>
    <row r="3030" spans="1:11" x14ac:dyDescent="0.25">
      <c r="A3030">
        <v>3029</v>
      </c>
      <c r="B3030" s="23">
        <v>0</v>
      </c>
      <c r="C3030" s="23">
        <v>0</v>
      </c>
      <c r="D3030" s="23">
        <v>0</v>
      </c>
      <c r="E3030" s="23">
        <v>0</v>
      </c>
      <c r="F3030" s="23">
        <v>0</v>
      </c>
      <c r="G3030" s="23">
        <v>0</v>
      </c>
      <c r="H3030" s="23">
        <v>0</v>
      </c>
      <c r="I3030" s="23">
        <v>0</v>
      </c>
      <c r="J3030" s="23">
        <v>0</v>
      </c>
      <c r="K3030" s="23">
        <v>0</v>
      </c>
    </row>
    <row r="3031" spans="1:11" x14ac:dyDescent="0.25">
      <c r="A3031">
        <v>3030</v>
      </c>
      <c r="B3031" s="23">
        <v>0</v>
      </c>
      <c r="C3031" s="23">
        <v>0</v>
      </c>
      <c r="D3031" s="23">
        <v>0</v>
      </c>
      <c r="E3031" s="23">
        <v>0</v>
      </c>
      <c r="F3031" s="23">
        <v>0</v>
      </c>
      <c r="G3031" s="23">
        <v>0</v>
      </c>
      <c r="H3031" s="23">
        <v>0</v>
      </c>
      <c r="I3031" s="23">
        <v>0</v>
      </c>
      <c r="J3031" s="23">
        <v>0</v>
      </c>
      <c r="K3031" s="23">
        <v>0</v>
      </c>
    </row>
    <row r="3032" spans="1:11" x14ac:dyDescent="0.25">
      <c r="A3032">
        <v>3031</v>
      </c>
      <c r="B3032" s="23">
        <v>1273.643</v>
      </c>
      <c r="C3032" s="23">
        <v>128.72</v>
      </c>
      <c r="D3032" s="23">
        <v>414.78500000000003</v>
      </c>
      <c r="E3032" s="23">
        <v>414.78500000000003</v>
      </c>
      <c r="F3032" s="23">
        <v>0</v>
      </c>
      <c r="G3032" s="23">
        <v>0</v>
      </c>
      <c r="H3032" s="23">
        <v>0</v>
      </c>
      <c r="I3032" s="23">
        <v>0</v>
      </c>
      <c r="J3032" s="23">
        <v>0</v>
      </c>
      <c r="K3032" s="23">
        <v>858.85799999999995</v>
      </c>
    </row>
    <row r="3033" spans="1:11" x14ac:dyDescent="0.25">
      <c r="A3033">
        <v>3032</v>
      </c>
      <c r="B3033" s="23">
        <v>802.24199999999996</v>
      </c>
      <c r="C3033" s="23">
        <v>356.92</v>
      </c>
      <c r="D3033" s="23">
        <v>1386.1179999999999</v>
      </c>
      <c r="E3033" s="23">
        <v>802.24199999999996</v>
      </c>
      <c r="F3033" s="23">
        <v>-583.87599999999998</v>
      </c>
      <c r="G3033" s="23">
        <v>0</v>
      </c>
      <c r="H3033" s="23">
        <v>0</v>
      </c>
      <c r="I3033" s="23">
        <v>0</v>
      </c>
      <c r="J3033" s="23">
        <v>0</v>
      </c>
      <c r="K3033" s="23">
        <v>0</v>
      </c>
    </row>
    <row r="3034" spans="1:11" x14ac:dyDescent="0.25">
      <c r="A3034">
        <v>3033</v>
      </c>
      <c r="B3034" s="23">
        <v>1200.115</v>
      </c>
      <c r="C3034" s="23">
        <v>415.4</v>
      </c>
      <c r="D3034" s="23">
        <v>1590.662</v>
      </c>
      <c r="E3034" s="23">
        <v>1200.115</v>
      </c>
      <c r="F3034" s="23">
        <v>-390.54700000000003</v>
      </c>
      <c r="G3034" s="23">
        <v>0</v>
      </c>
      <c r="H3034" s="23">
        <v>0</v>
      </c>
      <c r="I3034" s="23">
        <v>0</v>
      </c>
      <c r="J3034" s="23">
        <v>0</v>
      </c>
      <c r="K3034" s="23">
        <v>0</v>
      </c>
    </row>
    <row r="3035" spans="1:11" x14ac:dyDescent="0.25">
      <c r="A3035">
        <v>3034</v>
      </c>
      <c r="B3035" s="23">
        <v>1471.92</v>
      </c>
      <c r="C3035" s="23">
        <v>774.65</v>
      </c>
      <c r="D3035" s="23">
        <v>2883.259</v>
      </c>
      <c r="E3035" s="23">
        <v>1471.92</v>
      </c>
      <c r="F3035" s="23">
        <v>-1411.3389999999999</v>
      </c>
      <c r="G3035" s="23">
        <v>0</v>
      </c>
      <c r="H3035" s="23">
        <v>0</v>
      </c>
      <c r="I3035" s="23">
        <v>0</v>
      </c>
      <c r="J3035" s="23">
        <v>0</v>
      </c>
      <c r="K3035" s="23">
        <v>0</v>
      </c>
    </row>
    <row r="3036" spans="1:11" x14ac:dyDescent="0.25">
      <c r="A3036">
        <v>3035</v>
      </c>
      <c r="B3036" s="23">
        <v>1380.9349999999999</v>
      </c>
      <c r="C3036" s="23">
        <v>895.25</v>
      </c>
      <c r="D3036" s="23">
        <v>3215.03</v>
      </c>
      <c r="E3036" s="23">
        <v>1380.9359999999999</v>
      </c>
      <c r="F3036" s="23">
        <v>-1684.559</v>
      </c>
      <c r="G3036" s="23">
        <v>0</v>
      </c>
      <c r="H3036" s="23">
        <v>149.535</v>
      </c>
      <c r="I3036" s="23">
        <v>0</v>
      </c>
      <c r="J3036" s="23">
        <v>0</v>
      </c>
      <c r="K3036" s="23">
        <v>0</v>
      </c>
    </row>
    <row r="3037" spans="1:11" x14ac:dyDescent="0.25">
      <c r="A3037">
        <v>3036</v>
      </c>
      <c r="B3037" s="23">
        <v>1423.39</v>
      </c>
      <c r="C3037" s="23">
        <v>957.41</v>
      </c>
      <c r="D3037" s="23">
        <v>3363.116</v>
      </c>
      <c r="E3037" s="23">
        <v>1423.39</v>
      </c>
      <c r="F3037" s="23">
        <v>-1684.559</v>
      </c>
      <c r="G3037" s="23">
        <v>0</v>
      </c>
      <c r="H3037" s="23">
        <v>255.167</v>
      </c>
      <c r="I3037" s="23">
        <v>0</v>
      </c>
      <c r="J3037" s="23">
        <v>0</v>
      </c>
      <c r="K3037" s="23">
        <v>0</v>
      </c>
    </row>
    <row r="3038" spans="1:11" x14ac:dyDescent="0.25">
      <c r="A3038">
        <v>3037</v>
      </c>
      <c r="B3038" s="23">
        <v>1393.0650000000001</v>
      </c>
      <c r="C3038" s="23">
        <v>758.23</v>
      </c>
      <c r="D3038" s="23">
        <v>2681.9490000000001</v>
      </c>
      <c r="E3038" s="23">
        <v>1393.0650000000001</v>
      </c>
      <c r="F3038" s="23">
        <v>-1288.884</v>
      </c>
      <c r="G3038" s="23">
        <v>0</v>
      </c>
      <c r="H3038" s="23">
        <v>0</v>
      </c>
      <c r="I3038" s="23">
        <v>0</v>
      </c>
      <c r="J3038" s="23">
        <v>0</v>
      </c>
      <c r="K3038" s="23">
        <v>0</v>
      </c>
    </row>
    <row r="3039" spans="1:11" x14ac:dyDescent="0.25">
      <c r="A3039">
        <v>3038</v>
      </c>
      <c r="B3039" s="23">
        <v>1542.057</v>
      </c>
      <c r="C3039" s="23">
        <v>767.84</v>
      </c>
      <c r="D3039" s="23">
        <v>2732.48</v>
      </c>
      <c r="E3039" s="23">
        <v>1542.056</v>
      </c>
      <c r="F3039" s="23">
        <v>-247.73500000000001</v>
      </c>
      <c r="G3039" s="23">
        <v>0</v>
      </c>
      <c r="H3039" s="23">
        <v>942.68899999999996</v>
      </c>
      <c r="I3039" s="23">
        <v>0</v>
      </c>
      <c r="J3039" s="23">
        <v>0</v>
      </c>
      <c r="K3039" s="23">
        <v>0</v>
      </c>
    </row>
    <row r="3040" spans="1:11" x14ac:dyDescent="0.25">
      <c r="A3040">
        <v>3039</v>
      </c>
      <c r="B3040" s="23">
        <v>1458.87</v>
      </c>
      <c r="C3040" s="23">
        <v>611.72</v>
      </c>
      <c r="D3040" s="23">
        <v>2249.5390000000002</v>
      </c>
      <c r="E3040" s="23">
        <v>1458.87</v>
      </c>
      <c r="F3040" s="23">
        <v>0</v>
      </c>
      <c r="G3040" s="23">
        <v>0</v>
      </c>
      <c r="H3040" s="23">
        <v>790.66899999999998</v>
      </c>
      <c r="I3040" s="23">
        <v>0</v>
      </c>
      <c r="J3040" s="23">
        <v>0</v>
      </c>
      <c r="K3040" s="23">
        <v>0</v>
      </c>
    </row>
    <row r="3041" spans="1:11" x14ac:dyDescent="0.25">
      <c r="A3041">
        <v>3040</v>
      </c>
      <c r="B3041" s="23">
        <v>2088.377</v>
      </c>
      <c r="C3041" s="23">
        <v>79.040000000000006</v>
      </c>
      <c r="D3041" s="23">
        <v>276.17200000000003</v>
      </c>
      <c r="E3041" s="23">
        <v>276.17200000000003</v>
      </c>
      <c r="F3041" s="23">
        <v>0</v>
      </c>
      <c r="G3041" s="23">
        <v>0</v>
      </c>
      <c r="H3041" s="23">
        <v>0</v>
      </c>
      <c r="I3041" s="23">
        <v>1812.2049999999999</v>
      </c>
      <c r="J3041" s="23">
        <v>0</v>
      </c>
      <c r="K3041" s="23">
        <v>0</v>
      </c>
    </row>
    <row r="3042" spans="1:11" x14ac:dyDescent="0.25">
      <c r="A3042">
        <v>3041</v>
      </c>
      <c r="B3042" s="23">
        <v>1746.298</v>
      </c>
      <c r="C3042" s="23">
        <v>78.5</v>
      </c>
      <c r="D3042" s="23">
        <v>278.548</v>
      </c>
      <c r="E3042" s="23">
        <v>278.548</v>
      </c>
      <c r="F3042" s="23">
        <v>0</v>
      </c>
      <c r="G3042" s="23">
        <v>0</v>
      </c>
      <c r="H3042" s="23">
        <v>0</v>
      </c>
      <c r="I3042" s="23">
        <v>1467.75</v>
      </c>
      <c r="J3042" s="23">
        <v>0</v>
      </c>
      <c r="K3042" s="23">
        <v>0</v>
      </c>
    </row>
    <row r="3043" spans="1:11" x14ac:dyDescent="0.25">
      <c r="A3043">
        <v>3042</v>
      </c>
      <c r="B3043" s="23">
        <v>1528.4749999999999</v>
      </c>
      <c r="C3043" s="23">
        <v>21.55</v>
      </c>
      <c r="D3043" s="23">
        <v>55.191000000000003</v>
      </c>
      <c r="E3043" s="23">
        <v>55.191000000000003</v>
      </c>
      <c r="F3043" s="23">
        <v>0</v>
      </c>
      <c r="G3043" s="23">
        <v>0</v>
      </c>
      <c r="H3043" s="23">
        <v>0</v>
      </c>
      <c r="I3043" s="23">
        <v>0</v>
      </c>
      <c r="J3043" s="23">
        <v>0</v>
      </c>
      <c r="K3043" s="23">
        <v>1473.2840000000001</v>
      </c>
    </row>
    <row r="3044" spans="1:11" x14ac:dyDescent="0.25">
      <c r="A3044">
        <v>3043</v>
      </c>
      <c r="B3044" s="23">
        <v>1628.348</v>
      </c>
      <c r="C3044" s="23">
        <v>0</v>
      </c>
      <c r="D3044" s="23">
        <v>0</v>
      </c>
      <c r="E3044" s="23">
        <v>0</v>
      </c>
      <c r="F3044" s="23">
        <v>0</v>
      </c>
      <c r="G3044" s="23">
        <v>0</v>
      </c>
      <c r="H3044" s="23">
        <v>0</v>
      </c>
      <c r="I3044" s="23">
        <v>0</v>
      </c>
      <c r="J3044" s="23">
        <v>0</v>
      </c>
      <c r="K3044" s="23">
        <v>1628.348</v>
      </c>
    </row>
    <row r="3045" spans="1:11" x14ac:dyDescent="0.25">
      <c r="A3045">
        <v>3044</v>
      </c>
      <c r="B3045" s="23">
        <v>1763.2</v>
      </c>
      <c r="C3045" s="23">
        <v>0</v>
      </c>
      <c r="D3045" s="23">
        <v>0</v>
      </c>
      <c r="E3045" s="23">
        <v>0</v>
      </c>
      <c r="F3045" s="23">
        <v>0</v>
      </c>
      <c r="G3045" s="23">
        <v>0</v>
      </c>
      <c r="H3045" s="23">
        <v>0</v>
      </c>
      <c r="I3045" s="23">
        <v>78.641000000000005</v>
      </c>
      <c r="J3045" s="23">
        <v>0</v>
      </c>
      <c r="K3045" s="23">
        <v>1684.559</v>
      </c>
    </row>
    <row r="3046" spans="1:11" x14ac:dyDescent="0.25">
      <c r="A3046">
        <v>3045</v>
      </c>
      <c r="B3046" s="23">
        <v>1925.6</v>
      </c>
      <c r="C3046" s="23">
        <v>0</v>
      </c>
      <c r="D3046" s="23">
        <v>0</v>
      </c>
      <c r="E3046" s="23">
        <v>0</v>
      </c>
      <c r="F3046" s="23">
        <v>0</v>
      </c>
      <c r="G3046" s="23">
        <v>0</v>
      </c>
      <c r="H3046" s="23">
        <v>0</v>
      </c>
      <c r="I3046" s="23">
        <v>1925.6</v>
      </c>
      <c r="J3046" s="23">
        <v>0</v>
      </c>
      <c r="K3046" s="23">
        <v>0</v>
      </c>
    </row>
    <row r="3047" spans="1:11" x14ac:dyDescent="0.25">
      <c r="A3047">
        <v>3046</v>
      </c>
      <c r="B3047" s="23">
        <v>2003.2</v>
      </c>
      <c r="C3047" s="23">
        <v>0</v>
      </c>
      <c r="D3047" s="23">
        <v>0</v>
      </c>
      <c r="E3047" s="23">
        <v>0</v>
      </c>
      <c r="F3047" s="23">
        <v>0</v>
      </c>
      <c r="G3047" s="23">
        <v>0</v>
      </c>
      <c r="H3047" s="23">
        <v>0</v>
      </c>
      <c r="I3047" s="23">
        <v>2003.2</v>
      </c>
      <c r="J3047" s="23">
        <v>0</v>
      </c>
      <c r="K3047" s="23">
        <v>0</v>
      </c>
    </row>
    <row r="3048" spans="1:11" x14ac:dyDescent="0.25">
      <c r="A3048">
        <v>3047</v>
      </c>
      <c r="B3048" s="23">
        <v>1744</v>
      </c>
      <c r="C3048" s="23">
        <v>0</v>
      </c>
      <c r="D3048" s="23">
        <v>0</v>
      </c>
      <c r="E3048" s="23">
        <v>0</v>
      </c>
      <c r="F3048" s="23">
        <v>0</v>
      </c>
      <c r="G3048" s="23">
        <v>0</v>
      </c>
      <c r="H3048" s="23">
        <v>0</v>
      </c>
      <c r="I3048" s="23">
        <v>1744</v>
      </c>
      <c r="J3048" s="23">
        <v>0</v>
      </c>
      <c r="K3048" s="23">
        <v>0</v>
      </c>
    </row>
    <row r="3049" spans="1:11" x14ac:dyDescent="0.25">
      <c r="A3049">
        <v>3048</v>
      </c>
      <c r="B3049" s="23">
        <v>0</v>
      </c>
      <c r="C3049" s="23">
        <v>0</v>
      </c>
      <c r="D3049" s="23">
        <v>0</v>
      </c>
      <c r="E3049" s="23">
        <v>0</v>
      </c>
      <c r="F3049" s="23">
        <v>0</v>
      </c>
      <c r="G3049" s="23">
        <v>0</v>
      </c>
      <c r="H3049" s="23">
        <v>0</v>
      </c>
      <c r="I3049" s="23">
        <v>0</v>
      </c>
      <c r="J3049" s="23">
        <v>0</v>
      </c>
      <c r="K3049" s="23">
        <v>0</v>
      </c>
    </row>
    <row r="3050" spans="1:11" x14ac:dyDescent="0.25">
      <c r="A3050">
        <v>3049</v>
      </c>
      <c r="B3050" s="23">
        <v>0</v>
      </c>
      <c r="C3050" s="23">
        <v>0</v>
      </c>
      <c r="D3050" s="23">
        <v>0</v>
      </c>
      <c r="E3050" s="23">
        <v>0</v>
      </c>
      <c r="F3050" s="23">
        <v>0</v>
      </c>
      <c r="G3050" s="23">
        <v>0</v>
      </c>
      <c r="H3050" s="23">
        <v>0</v>
      </c>
      <c r="I3050" s="23">
        <v>0</v>
      </c>
      <c r="J3050" s="23">
        <v>0</v>
      </c>
      <c r="K3050" s="23">
        <v>0</v>
      </c>
    </row>
    <row r="3051" spans="1:11" x14ac:dyDescent="0.25">
      <c r="A3051">
        <v>3050</v>
      </c>
      <c r="B3051" s="23">
        <v>0</v>
      </c>
      <c r="C3051" s="23">
        <v>0</v>
      </c>
      <c r="D3051" s="23">
        <v>0</v>
      </c>
      <c r="E3051" s="23">
        <v>0</v>
      </c>
      <c r="F3051" s="23">
        <v>0</v>
      </c>
      <c r="G3051" s="23">
        <v>0</v>
      </c>
      <c r="H3051" s="23">
        <v>0</v>
      </c>
      <c r="I3051" s="23">
        <v>0</v>
      </c>
      <c r="J3051" s="23">
        <v>0</v>
      </c>
      <c r="K3051" s="23">
        <v>0</v>
      </c>
    </row>
    <row r="3052" spans="1:11" x14ac:dyDescent="0.25">
      <c r="A3052">
        <v>3051</v>
      </c>
      <c r="B3052" s="23">
        <v>0</v>
      </c>
      <c r="C3052" s="23">
        <v>0</v>
      </c>
      <c r="D3052" s="23">
        <v>0</v>
      </c>
      <c r="E3052" s="23">
        <v>0</v>
      </c>
      <c r="F3052" s="23">
        <v>0</v>
      </c>
      <c r="G3052" s="23">
        <v>0</v>
      </c>
      <c r="H3052" s="23">
        <v>0</v>
      </c>
      <c r="I3052" s="23">
        <v>0</v>
      </c>
      <c r="J3052" s="23">
        <v>0</v>
      </c>
      <c r="K3052" s="23">
        <v>0</v>
      </c>
    </row>
    <row r="3053" spans="1:11" x14ac:dyDescent="0.25">
      <c r="A3053">
        <v>3052</v>
      </c>
      <c r="B3053" s="23">
        <v>0</v>
      </c>
      <c r="C3053" s="23">
        <v>0</v>
      </c>
      <c r="D3053" s="23">
        <v>0</v>
      </c>
      <c r="E3053" s="23">
        <v>0</v>
      </c>
      <c r="F3053" s="23">
        <v>0</v>
      </c>
      <c r="G3053" s="23">
        <v>0</v>
      </c>
      <c r="H3053" s="23">
        <v>0</v>
      </c>
      <c r="I3053" s="23">
        <v>0</v>
      </c>
      <c r="J3053" s="23">
        <v>0</v>
      </c>
      <c r="K3053" s="23">
        <v>0</v>
      </c>
    </row>
    <row r="3054" spans="1:11" x14ac:dyDescent="0.25">
      <c r="A3054">
        <v>3053</v>
      </c>
      <c r="B3054" s="23">
        <v>0</v>
      </c>
      <c r="C3054" s="23">
        <v>0</v>
      </c>
      <c r="D3054" s="23">
        <v>0</v>
      </c>
      <c r="E3054" s="23">
        <v>0</v>
      </c>
      <c r="F3054" s="23">
        <v>0</v>
      </c>
      <c r="G3054" s="23">
        <v>0</v>
      </c>
      <c r="H3054" s="23">
        <v>0</v>
      </c>
      <c r="I3054" s="23">
        <v>0</v>
      </c>
      <c r="J3054" s="23">
        <v>0</v>
      </c>
      <c r="K3054" s="23">
        <v>0</v>
      </c>
    </row>
    <row r="3055" spans="1:11" x14ac:dyDescent="0.25">
      <c r="A3055">
        <v>3054</v>
      </c>
      <c r="B3055" s="23">
        <v>0</v>
      </c>
      <c r="C3055" s="23">
        <v>0</v>
      </c>
      <c r="D3055" s="23">
        <v>0</v>
      </c>
      <c r="E3055" s="23">
        <v>0</v>
      </c>
      <c r="F3055" s="23">
        <v>0</v>
      </c>
      <c r="G3055" s="23">
        <v>0</v>
      </c>
      <c r="H3055" s="23">
        <v>0</v>
      </c>
      <c r="I3055" s="23">
        <v>0</v>
      </c>
      <c r="J3055" s="23">
        <v>0</v>
      </c>
      <c r="K3055" s="23">
        <v>0</v>
      </c>
    </row>
    <row r="3056" spans="1:11" x14ac:dyDescent="0.25">
      <c r="A3056">
        <v>3055</v>
      </c>
      <c r="B3056" s="23">
        <v>1371.414</v>
      </c>
      <c r="C3056" s="23">
        <v>75.2</v>
      </c>
      <c r="D3056" s="23">
        <v>268.78500000000003</v>
      </c>
      <c r="E3056" s="23">
        <v>268.78500000000003</v>
      </c>
      <c r="F3056" s="23">
        <v>0</v>
      </c>
      <c r="G3056" s="23">
        <v>0</v>
      </c>
      <c r="H3056" s="23">
        <v>0</v>
      </c>
      <c r="I3056" s="23">
        <v>1102.6289999999999</v>
      </c>
      <c r="J3056" s="23">
        <v>0</v>
      </c>
      <c r="K3056" s="23">
        <v>0</v>
      </c>
    </row>
    <row r="3057" spans="1:11" x14ac:dyDescent="0.25">
      <c r="A3057">
        <v>3056</v>
      </c>
      <c r="B3057" s="23">
        <v>1360.451</v>
      </c>
      <c r="C3057" s="23">
        <v>212.16</v>
      </c>
      <c r="D3057" s="23">
        <v>817.12</v>
      </c>
      <c r="E3057" s="23">
        <v>817.12</v>
      </c>
      <c r="F3057" s="23">
        <v>0</v>
      </c>
      <c r="G3057" s="23">
        <v>0</v>
      </c>
      <c r="H3057" s="23">
        <v>0</v>
      </c>
      <c r="I3057" s="23">
        <v>543.33100000000002</v>
      </c>
      <c r="J3057" s="23">
        <v>0</v>
      </c>
      <c r="K3057" s="23">
        <v>0</v>
      </c>
    </row>
    <row r="3058" spans="1:11" x14ac:dyDescent="0.25">
      <c r="A3058">
        <v>3057</v>
      </c>
      <c r="B3058" s="23">
        <v>1498.8230000000001</v>
      </c>
      <c r="C3058" s="23">
        <v>338.6</v>
      </c>
      <c r="D3058" s="23">
        <v>1288.604</v>
      </c>
      <c r="E3058" s="23">
        <v>1288.604</v>
      </c>
      <c r="F3058" s="23">
        <v>0</v>
      </c>
      <c r="G3058" s="23">
        <v>0</v>
      </c>
      <c r="H3058" s="23">
        <v>0</v>
      </c>
      <c r="I3058" s="23">
        <v>210.21899999999999</v>
      </c>
      <c r="J3058" s="23">
        <v>0</v>
      </c>
      <c r="K3058" s="23">
        <v>0</v>
      </c>
    </row>
    <row r="3059" spans="1:11" x14ac:dyDescent="0.25">
      <c r="A3059">
        <v>3058</v>
      </c>
      <c r="B3059" s="23">
        <v>2067.1030000000001</v>
      </c>
      <c r="C3059" s="23">
        <v>592.58000000000004</v>
      </c>
      <c r="D3059" s="23">
        <v>2184.77</v>
      </c>
      <c r="E3059" s="23">
        <v>2067.1030000000001</v>
      </c>
      <c r="F3059" s="23">
        <v>-117.667</v>
      </c>
      <c r="G3059" s="23">
        <v>0</v>
      </c>
      <c r="H3059" s="23">
        <v>0</v>
      </c>
      <c r="I3059" s="23">
        <v>0</v>
      </c>
      <c r="J3059" s="23">
        <v>0</v>
      </c>
      <c r="K3059" s="23">
        <v>0</v>
      </c>
    </row>
    <row r="3060" spans="1:11" x14ac:dyDescent="0.25">
      <c r="A3060">
        <v>3059</v>
      </c>
      <c r="B3060" s="23">
        <v>1900.9960000000001</v>
      </c>
      <c r="C3060" s="23">
        <v>880.73</v>
      </c>
      <c r="D3060" s="23">
        <v>3166.2649999999999</v>
      </c>
      <c r="E3060" s="23">
        <v>1900.9960000000001</v>
      </c>
      <c r="F3060" s="23">
        <v>-1265.269</v>
      </c>
      <c r="G3060" s="23">
        <v>0</v>
      </c>
      <c r="H3060" s="23">
        <v>0</v>
      </c>
      <c r="I3060" s="23">
        <v>0</v>
      </c>
      <c r="J3060" s="23">
        <v>0</v>
      </c>
      <c r="K3060" s="23">
        <v>0</v>
      </c>
    </row>
    <row r="3061" spans="1:11" x14ac:dyDescent="0.25">
      <c r="A3061">
        <v>3060</v>
      </c>
      <c r="B3061" s="23">
        <v>2047.6769999999999</v>
      </c>
      <c r="C3061" s="23">
        <v>941.6</v>
      </c>
      <c r="D3061" s="23">
        <v>3369.3049999999998</v>
      </c>
      <c r="E3061" s="23">
        <v>2047.6769999999999</v>
      </c>
      <c r="F3061" s="23">
        <v>-1321.6279999999999</v>
      </c>
      <c r="G3061" s="23">
        <v>0</v>
      </c>
      <c r="H3061" s="23">
        <v>0</v>
      </c>
      <c r="I3061" s="23">
        <v>0</v>
      </c>
      <c r="J3061" s="23">
        <v>0</v>
      </c>
      <c r="K3061" s="23">
        <v>0</v>
      </c>
    </row>
    <row r="3062" spans="1:11" x14ac:dyDescent="0.25">
      <c r="A3062">
        <v>3061</v>
      </c>
      <c r="B3062" s="23">
        <v>1737.954</v>
      </c>
      <c r="C3062" s="23">
        <v>817.86</v>
      </c>
      <c r="D3062" s="23">
        <v>2941.3679999999999</v>
      </c>
      <c r="E3062" s="23">
        <v>1737.954</v>
      </c>
      <c r="F3062" s="23">
        <v>-1203.414</v>
      </c>
      <c r="G3062" s="23">
        <v>0</v>
      </c>
      <c r="H3062" s="23">
        <v>0</v>
      </c>
      <c r="I3062" s="23">
        <v>0</v>
      </c>
      <c r="J3062" s="23">
        <v>0</v>
      </c>
      <c r="K3062" s="23">
        <v>0</v>
      </c>
    </row>
    <row r="3063" spans="1:11" x14ac:dyDescent="0.25">
      <c r="A3063">
        <v>3062</v>
      </c>
      <c r="B3063" s="23">
        <v>1834.925</v>
      </c>
      <c r="C3063" s="23">
        <v>712.11</v>
      </c>
      <c r="D3063" s="23">
        <v>2614.0549999999998</v>
      </c>
      <c r="E3063" s="23">
        <v>1834.925</v>
      </c>
      <c r="F3063" s="23">
        <v>-779.13</v>
      </c>
      <c r="G3063" s="23">
        <v>0</v>
      </c>
      <c r="H3063" s="23">
        <v>0</v>
      </c>
      <c r="I3063" s="23">
        <v>0</v>
      </c>
      <c r="J3063" s="23">
        <v>0</v>
      </c>
      <c r="K3063" s="23">
        <v>0</v>
      </c>
    </row>
    <row r="3064" spans="1:11" x14ac:dyDescent="0.25">
      <c r="A3064">
        <v>3063</v>
      </c>
      <c r="B3064" s="23">
        <v>1799.8209999999999</v>
      </c>
      <c r="C3064" s="23">
        <v>245.16</v>
      </c>
      <c r="D3064" s="23">
        <v>919.64499999999998</v>
      </c>
      <c r="E3064" s="23">
        <v>919.64499999999998</v>
      </c>
      <c r="F3064" s="23">
        <v>0</v>
      </c>
      <c r="G3064" s="23">
        <v>0</v>
      </c>
      <c r="H3064" s="23">
        <v>0</v>
      </c>
      <c r="I3064" s="23">
        <v>880.17600000000004</v>
      </c>
      <c r="J3064" s="23">
        <v>0</v>
      </c>
      <c r="K3064" s="23">
        <v>0</v>
      </c>
    </row>
    <row r="3065" spans="1:11" x14ac:dyDescent="0.25">
      <c r="A3065">
        <v>3064</v>
      </c>
      <c r="B3065" s="23">
        <v>1674.8240000000001</v>
      </c>
      <c r="C3065" s="23">
        <v>50.57</v>
      </c>
      <c r="D3065" s="23">
        <v>167.035</v>
      </c>
      <c r="E3065" s="23">
        <v>167.035</v>
      </c>
      <c r="F3065" s="23">
        <v>0</v>
      </c>
      <c r="G3065" s="23">
        <v>0</v>
      </c>
      <c r="H3065" s="23">
        <v>0</v>
      </c>
      <c r="I3065" s="23">
        <v>1507.789</v>
      </c>
      <c r="J3065" s="23">
        <v>0</v>
      </c>
      <c r="K3065" s="23">
        <v>0</v>
      </c>
    </row>
    <row r="3066" spans="1:11" x14ac:dyDescent="0.25">
      <c r="A3066">
        <v>3065</v>
      </c>
      <c r="B3066" s="23">
        <v>1838.59</v>
      </c>
      <c r="C3066" s="23">
        <v>80.77</v>
      </c>
      <c r="D3066" s="23">
        <v>289.27199999999999</v>
      </c>
      <c r="E3066" s="23">
        <v>289.27199999999999</v>
      </c>
      <c r="F3066" s="23">
        <v>0</v>
      </c>
      <c r="G3066" s="23">
        <v>0</v>
      </c>
      <c r="H3066" s="23">
        <v>0</v>
      </c>
      <c r="I3066" s="23">
        <v>1549.318</v>
      </c>
      <c r="J3066" s="23">
        <v>0</v>
      </c>
      <c r="K3066" s="23">
        <v>0</v>
      </c>
    </row>
    <row r="3067" spans="1:11" x14ac:dyDescent="0.25">
      <c r="A3067">
        <v>3066</v>
      </c>
      <c r="B3067" s="23">
        <v>1892.7380000000001</v>
      </c>
      <c r="C3067" s="23">
        <v>22.53</v>
      </c>
      <c r="D3067" s="23">
        <v>59.162999999999997</v>
      </c>
      <c r="E3067" s="23">
        <v>59.162999999999997</v>
      </c>
      <c r="F3067" s="23">
        <v>0</v>
      </c>
      <c r="G3067" s="23">
        <v>0</v>
      </c>
      <c r="H3067" s="23">
        <v>0</v>
      </c>
      <c r="I3067" s="23">
        <v>149.01499999999999</v>
      </c>
      <c r="J3067" s="23">
        <v>0</v>
      </c>
      <c r="K3067" s="23">
        <v>1684.559</v>
      </c>
    </row>
    <row r="3068" spans="1:11" x14ac:dyDescent="0.25">
      <c r="A3068">
        <v>3067</v>
      </c>
      <c r="B3068" s="23">
        <v>1857.1189999999999</v>
      </c>
      <c r="C3068" s="23">
        <v>0</v>
      </c>
      <c r="D3068" s="23">
        <v>0</v>
      </c>
      <c r="E3068" s="23">
        <v>0</v>
      </c>
      <c r="F3068" s="23">
        <v>0</v>
      </c>
      <c r="G3068" s="23">
        <v>0</v>
      </c>
      <c r="H3068" s="23">
        <v>0</v>
      </c>
      <c r="I3068" s="23">
        <v>172.56</v>
      </c>
      <c r="J3068" s="23">
        <v>0</v>
      </c>
      <c r="K3068" s="23">
        <v>1684.559</v>
      </c>
    </row>
    <row r="3069" spans="1:11" x14ac:dyDescent="0.25">
      <c r="A3069">
        <v>3068</v>
      </c>
      <c r="B3069" s="23">
        <v>1924</v>
      </c>
      <c r="C3069" s="23">
        <v>0</v>
      </c>
      <c r="D3069" s="23">
        <v>0</v>
      </c>
      <c r="E3069" s="23">
        <v>0</v>
      </c>
      <c r="F3069" s="23">
        <v>0</v>
      </c>
      <c r="G3069" s="23">
        <v>0</v>
      </c>
      <c r="H3069" s="23">
        <v>0</v>
      </c>
      <c r="I3069" s="23">
        <v>239.441</v>
      </c>
      <c r="J3069" s="23">
        <v>0</v>
      </c>
      <c r="K3069" s="23">
        <v>1684.559</v>
      </c>
    </row>
    <row r="3070" spans="1:11" x14ac:dyDescent="0.25">
      <c r="A3070">
        <v>3069</v>
      </c>
      <c r="B3070" s="23">
        <v>1824.8</v>
      </c>
      <c r="C3070" s="23">
        <v>0</v>
      </c>
      <c r="D3070" s="23">
        <v>0</v>
      </c>
      <c r="E3070" s="23">
        <v>0</v>
      </c>
      <c r="F3070" s="23">
        <v>0</v>
      </c>
      <c r="G3070" s="23">
        <v>0</v>
      </c>
      <c r="H3070" s="23">
        <v>0</v>
      </c>
      <c r="I3070" s="23">
        <v>1824.8</v>
      </c>
      <c r="J3070" s="23">
        <v>0</v>
      </c>
      <c r="K3070" s="23">
        <v>0</v>
      </c>
    </row>
    <row r="3071" spans="1:11" x14ac:dyDescent="0.25">
      <c r="A3071">
        <v>3070</v>
      </c>
      <c r="B3071" s="23">
        <v>2112.8000000000002</v>
      </c>
      <c r="C3071" s="23">
        <v>0</v>
      </c>
      <c r="D3071" s="23">
        <v>0</v>
      </c>
      <c r="E3071" s="23">
        <v>0</v>
      </c>
      <c r="F3071" s="23">
        <v>0</v>
      </c>
      <c r="G3071" s="23">
        <v>0</v>
      </c>
      <c r="H3071" s="23">
        <v>0</v>
      </c>
      <c r="I3071" s="23">
        <v>1922.864</v>
      </c>
      <c r="J3071" s="23">
        <v>0</v>
      </c>
      <c r="K3071" s="23">
        <v>189.93600000000001</v>
      </c>
    </row>
    <row r="3072" spans="1:11" x14ac:dyDescent="0.25">
      <c r="A3072">
        <v>3071</v>
      </c>
      <c r="B3072" s="23">
        <v>1693.6</v>
      </c>
      <c r="C3072" s="23">
        <v>0</v>
      </c>
      <c r="D3072" s="23">
        <v>0</v>
      </c>
      <c r="E3072" s="23">
        <v>0</v>
      </c>
      <c r="F3072" s="23">
        <v>0</v>
      </c>
      <c r="G3072" s="23">
        <v>0</v>
      </c>
      <c r="H3072" s="23">
        <v>0</v>
      </c>
      <c r="I3072" s="23">
        <v>1693.6</v>
      </c>
      <c r="J3072" s="23">
        <v>0</v>
      </c>
      <c r="K3072" s="23">
        <v>0</v>
      </c>
    </row>
    <row r="3073" spans="1:11" x14ac:dyDescent="0.25">
      <c r="A3073">
        <v>3072</v>
      </c>
      <c r="B3073" s="23">
        <v>0</v>
      </c>
      <c r="C3073" s="23">
        <v>0</v>
      </c>
      <c r="D3073" s="23">
        <v>0</v>
      </c>
      <c r="E3073" s="23">
        <v>0</v>
      </c>
      <c r="F3073" s="23">
        <v>0</v>
      </c>
      <c r="G3073" s="23">
        <v>0</v>
      </c>
      <c r="H3073" s="23">
        <v>0</v>
      </c>
      <c r="I3073" s="23">
        <v>0</v>
      </c>
      <c r="J3073" s="23">
        <v>0</v>
      </c>
      <c r="K3073" s="23">
        <v>0</v>
      </c>
    </row>
    <row r="3074" spans="1:11" x14ac:dyDescent="0.25">
      <c r="A3074">
        <v>3073</v>
      </c>
      <c r="B3074" s="23">
        <v>0</v>
      </c>
      <c r="C3074" s="23">
        <v>0</v>
      </c>
      <c r="D3074" s="23">
        <v>0</v>
      </c>
      <c r="E3074" s="23">
        <v>0</v>
      </c>
      <c r="F3074" s="23">
        <v>0</v>
      </c>
      <c r="G3074" s="23">
        <v>0</v>
      </c>
      <c r="H3074" s="23">
        <v>0</v>
      </c>
      <c r="I3074" s="23">
        <v>0</v>
      </c>
      <c r="J3074" s="23">
        <v>0</v>
      </c>
      <c r="K3074" s="23">
        <v>0</v>
      </c>
    </row>
    <row r="3075" spans="1:11" x14ac:dyDescent="0.25">
      <c r="A3075">
        <v>3074</v>
      </c>
      <c r="B3075" s="23">
        <v>0</v>
      </c>
      <c r="C3075" s="23">
        <v>0</v>
      </c>
      <c r="D3075" s="23">
        <v>0</v>
      </c>
      <c r="E3075" s="23">
        <v>0</v>
      </c>
      <c r="F3075" s="23">
        <v>0</v>
      </c>
      <c r="G3075" s="23">
        <v>0</v>
      </c>
      <c r="H3075" s="23">
        <v>0</v>
      </c>
      <c r="I3075" s="23">
        <v>0</v>
      </c>
      <c r="J3075" s="23">
        <v>0</v>
      </c>
      <c r="K3075" s="23">
        <v>0</v>
      </c>
    </row>
    <row r="3076" spans="1:11" x14ac:dyDescent="0.25">
      <c r="A3076">
        <v>3075</v>
      </c>
      <c r="B3076" s="23">
        <v>0</v>
      </c>
      <c r="C3076" s="23">
        <v>0</v>
      </c>
      <c r="D3076" s="23">
        <v>0</v>
      </c>
      <c r="E3076" s="23">
        <v>0</v>
      </c>
      <c r="F3076" s="23">
        <v>0</v>
      </c>
      <c r="G3076" s="23">
        <v>0</v>
      </c>
      <c r="H3076" s="23">
        <v>0</v>
      </c>
      <c r="I3076" s="23">
        <v>0</v>
      </c>
      <c r="J3076" s="23">
        <v>0</v>
      </c>
      <c r="K3076" s="23">
        <v>0</v>
      </c>
    </row>
    <row r="3077" spans="1:11" x14ac:dyDescent="0.25">
      <c r="A3077">
        <v>3076</v>
      </c>
      <c r="B3077" s="23">
        <v>0</v>
      </c>
      <c r="C3077" s="23">
        <v>0</v>
      </c>
      <c r="D3077" s="23">
        <v>0</v>
      </c>
      <c r="E3077" s="23">
        <v>0</v>
      </c>
      <c r="F3077" s="23">
        <v>0</v>
      </c>
      <c r="G3077" s="23">
        <v>0</v>
      </c>
      <c r="H3077" s="23">
        <v>0</v>
      </c>
      <c r="I3077" s="23">
        <v>0</v>
      </c>
      <c r="J3077" s="23">
        <v>0</v>
      </c>
      <c r="K3077" s="23">
        <v>0</v>
      </c>
    </row>
    <row r="3078" spans="1:11" x14ac:dyDescent="0.25">
      <c r="A3078">
        <v>3077</v>
      </c>
      <c r="B3078" s="23">
        <v>0</v>
      </c>
      <c r="C3078" s="23">
        <v>0</v>
      </c>
      <c r="D3078" s="23">
        <v>0</v>
      </c>
      <c r="E3078" s="23">
        <v>0</v>
      </c>
      <c r="F3078" s="23">
        <v>0</v>
      </c>
      <c r="G3078" s="23">
        <v>0</v>
      </c>
      <c r="H3078" s="23">
        <v>0</v>
      </c>
      <c r="I3078" s="23">
        <v>0</v>
      </c>
      <c r="J3078" s="23">
        <v>0</v>
      </c>
      <c r="K3078" s="23">
        <v>0</v>
      </c>
    </row>
    <row r="3079" spans="1:11" x14ac:dyDescent="0.25">
      <c r="A3079">
        <v>3078</v>
      </c>
      <c r="B3079" s="23">
        <v>0</v>
      </c>
      <c r="C3079" s="23">
        <v>0</v>
      </c>
      <c r="D3079" s="23">
        <v>0</v>
      </c>
      <c r="E3079" s="23">
        <v>0</v>
      </c>
      <c r="F3079" s="23">
        <v>0</v>
      </c>
      <c r="G3079" s="23">
        <v>0</v>
      </c>
      <c r="H3079" s="23">
        <v>0</v>
      </c>
      <c r="I3079" s="23">
        <v>0</v>
      </c>
      <c r="J3079" s="23">
        <v>0</v>
      </c>
      <c r="K3079" s="23">
        <v>0</v>
      </c>
    </row>
    <row r="3080" spans="1:11" x14ac:dyDescent="0.25">
      <c r="A3080">
        <v>3079</v>
      </c>
      <c r="B3080" s="23">
        <v>1151.4369999999999</v>
      </c>
      <c r="C3080" s="23">
        <v>128.43</v>
      </c>
      <c r="D3080" s="23">
        <v>417.745</v>
      </c>
      <c r="E3080" s="23">
        <v>417.745</v>
      </c>
      <c r="F3080" s="23">
        <v>0</v>
      </c>
      <c r="G3080" s="23">
        <v>0</v>
      </c>
      <c r="H3080" s="23">
        <v>0</v>
      </c>
      <c r="I3080" s="23">
        <v>0</v>
      </c>
      <c r="J3080" s="23">
        <v>0</v>
      </c>
      <c r="K3080" s="23">
        <v>733.69200000000001</v>
      </c>
    </row>
    <row r="3081" spans="1:11" x14ac:dyDescent="0.25">
      <c r="A3081">
        <v>3080</v>
      </c>
      <c r="B3081" s="23">
        <v>1016.173</v>
      </c>
      <c r="C3081" s="23">
        <v>352.73</v>
      </c>
      <c r="D3081" s="23">
        <v>1375.854</v>
      </c>
      <c r="E3081" s="23">
        <v>1016.173</v>
      </c>
      <c r="F3081" s="23">
        <v>-359.68099999999998</v>
      </c>
      <c r="G3081" s="23">
        <v>0</v>
      </c>
      <c r="H3081" s="23">
        <v>0</v>
      </c>
      <c r="I3081" s="23">
        <v>0</v>
      </c>
      <c r="J3081" s="23">
        <v>0</v>
      </c>
      <c r="K3081" s="23">
        <v>0</v>
      </c>
    </row>
    <row r="3082" spans="1:11" x14ac:dyDescent="0.25">
      <c r="A3082">
        <v>3081</v>
      </c>
      <c r="B3082" s="23">
        <v>1393.713</v>
      </c>
      <c r="C3082" s="23">
        <v>577.1</v>
      </c>
      <c r="D3082" s="23">
        <v>2257.37</v>
      </c>
      <c r="E3082" s="23">
        <v>1393.713</v>
      </c>
      <c r="F3082" s="23">
        <v>-863.65700000000004</v>
      </c>
      <c r="G3082" s="23">
        <v>0</v>
      </c>
      <c r="H3082" s="23">
        <v>0</v>
      </c>
      <c r="I3082" s="23">
        <v>0</v>
      </c>
      <c r="J3082" s="23">
        <v>0</v>
      </c>
      <c r="K3082" s="23">
        <v>0</v>
      </c>
    </row>
    <row r="3083" spans="1:11" x14ac:dyDescent="0.25">
      <c r="A3083">
        <v>3082</v>
      </c>
      <c r="B3083" s="23">
        <v>1742.288</v>
      </c>
      <c r="C3083" s="23">
        <v>764.97</v>
      </c>
      <c r="D3083" s="23">
        <v>2898.9059999999999</v>
      </c>
      <c r="E3083" s="23">
        <v>1742.288</v>
      </c>
      <c r="F3083" s="23">
        <v>-1156.6179999999999</v>
      </c>
      <c r="G3083" s="23">
        <v>0</v>
      </c>
      <c r="H3083" s="23">
        <v>0</v>
      </c>
      <c r="I3083" s="23">
        <v>0</v>
      </c>
      <c r="J3083" s="23">
        <v>0</v>
      </c>
      <c r="K3083" s="23">
        <v>0</v>
      </c>
    </row>
    <row r="3084" spans="1:11" x14ac:dyDescent="0.25">
      <c r="A3084">
        <v>3083</v>
      </c>
      <c r="B3084" s="23">
        <v>1918.1980000000001</v>
      </c>
      <c r="C3084" s="23">
        <v>561.05999999999995</v>
      </c>
      <c r="D3084" s="23">
        <v>2090.723</v>
      </c>
      <c r="E3084" s="23">
        <v>1918.1980000000001</v>
      </c>
      <c r="F3084" s="23">
        <v>-172.52500000000001</v>
      </c>
      <c r="G3084" s="23">
        <v>0</v>
      </c>
      <c r="H3084" s="23">
        <v>0</v>
      </c>
      <c r="I3084" s="23">
        <v>0</v>
      </c>
      <c r="J3084" s="23">
        <v>0</v>
      </c>
      <c r="K3084" s="23">
        <v>0</v>
      </c>
    </row>
    <row r="3085" spans="1:11" x14ac:dyDescent="0.25">
      <c r="A3085">
        <v>3084</v>
      </c>
      <c r="B3085" s="23">
        <v>1389.518</v>
      </c>
      <c r="C3085" s="23">
        <v>955.99</v>
      </c>
      <c r="D3085" s="23">
        <v>3486.346</v>
      </c>
      <c r="E3085" s="23">
        <v>1389.519</v>
      </c>
      <c r="F3085" s="23">
        <v>-1684.559</v>
      </c>
      <c r="G3085" s="23">
        <v>0</v>
      </c>
      <c r="H3085" s="23">
        <v>412.26799999999997</v>
      </c>
      <c r="I3085" s="23">
        <v>0</v>
      </c>
      <c r="J3085" s="23">
        <v>0</v>
      </c>
      <c r="K3085" s="23">
        <v>0</v>
      </c>
    </row>
    <row r="3086" spans="1:11" x14ac:dyDescent="0.25">
      <c r="A3086">
        <v>3085</v>
      </c>
      <c r="B3086" s="23">
        <v>1454.847</v>
      </c>
      <c r="C3086" s="23">
        <v>941.51</v>
      </c>
      <c r="D3086" s="23">
        <v>3437.39</v>
      </c>
      <c r="E3086" s="23">
        <v>1454.848</v>
      </c>
      <c r="F3086" s="23">
        <v>-1684.559</v>
      </c>
      <c r="G3086" s="23">
        <v>0</v>
      </c>
      <c r="H3086" s="23">
        <v>297.983</v>
      </c>
      <c r="I3086" s="23">
        <v>0</v>
      </c>
      <c r="J3086" s="23">
        <v>0</v>
      </c>
      <c r="K3086" s="23">
        <v>0</v>
      </c>
    </row>
    <row r="3087" spans="1:11" x14ac:dyDescent="0.25">
      <c r="A3087">
        <v>3086</v>
      </c>
      <c r="B3087" s="23">
        <v>1572.9449999999999</v>
      </c>
      <c r="C3087" s="23">
        <v>852.24</v>
      </c>
      <c r="D3087" s="23">
        <v>3159.3319999999999</v>
      </c>
      <c r="E3087" s="23">
        <v>1572.944</v>
      </c>
      <c r="F3087" s="23">
        <v>-1369.9</v>
      </c>
      <c r="G3087" s="23">
        <v>0</v>
      </c>
      <c r="H3087" s="23">
        <v>216.488</v>
      </c>
      <c r="I3087" s="23">
        <v>0</v>
      </c>
      <c r="J3087" s="23">
        <v>0</v>
      </c>
      <c r="K3087" s="23">
        <v>0</v>
      </c>
    </row>
    <row r="3088" spans="1:11" x14ac:dyDescent="0.25">
      <c r="A3088">
        <v>3087</v>
      </c>
      <c r="B3088" s="23">
        <v>1407.0070000000001</v>
      </c>
      <c r="C3088" s="23">
        <v>278.82</v>
      </c>
      <c r="D3088" s="23">
        <v>1051.2059999999999</v>
      </c>
      <c r="E3088" s="23">
        <v>1051.2059999999999</v>
      </c>
      <c r="F3088" s="23">
        <v>0</v>
      </c>
      <c r="G3088" s="23">
        <v>0</v>
      </c>
      <c r="H3088" s="23">
        <v>0</v>
      </c>
      <c r="I3088" s="23">
        <v>355.80099999999999</v>
      </c>
      <c r="J3088" s="23">
        <v>0</v>
      </c>
      <c r="K3088" s="23">
        <v>0</v>
      </c>
    </row>
    <row r="3089" spans="1:11" x14ac:dyDescent="0.25">
      <c r="A3089">
        <v>3088</v>
      </c>
      <c r="B3089" s="23">
        <v>1270.866</v>
      </c>
      <c r="C3089" s="23">
        <v>67.959999999999994</v>
      </c>
      <c r="D3089" s="23">
        <v>235.33699999999999</v>
      </c>
      <c r="E3089" s="23">
        <v>235.33699999999999</v>
      </c>
      <c r="F3089" s="23">
        <v>0</v>
      </c>
      <c r="G3089" s="23">
        <v>0</v>
      </c>
      <c r="H3089" s="23">
        <v>0</v>
      </c>
      <c r="I3089" s="23">
        <v>1035.529</v>
      </c>
      <c r="J3089" s="23">
        <v>0</v>
      </c>
      <c r="K3089" s="23">
        <v>0</v>
      </c>
    </row>
    <row r="3090" spans="1:11" x14ac:dyDescent="0.25">
      <c r="A3090">
        <v>3089</v>
      </c>
      <c r="B3090" s="23">
        <v>1921.03</v>
      </c>
      <c r="C3090" s="23">
        <v>34.299999999999997</v>
      </c>
      <c r="D3090" s="23">
        <v>106.931</v>
      </c>
      <c r="E3090" s="23">
        <v>106.931</v>
      </c>
      <c r="F3090" s="23">
        <v>0</v>
      </c>
      <c r="G3090" s="23">
        <v>0</v>
      </c>
      <c r="H3090" s="23">
        <v>0</v>
      </c>
      <c r="I3090" s="23">
        <v>1814.0989999999999</v>
      </c>
      <c r="J3090" s="23">
        <v>0</v>
      </c>
      <c r="K3090" s="23">
        <v>0</v>
      </c>
    </row>
    <row r="3091" spans="1:11" x14ac:dyDescent="0.25">
      <c r="A3091">
        <v>3090</v>
      </c>
      <c r="B3091" s="23">
        <v>1338.7850000000001</v>
      </c>
      <c r="C3091" s="23">
        <v>10.77</v>
      </c>
      <c r="D3091" s="23">
        <v>16.184000000000001</v>
      </c>
      <c r="E3091" s="23">
        <v>16.184000000000001</v>
      </c>
      <c r="F3091" s="23">
        <v>0</v>
      </c>
      <c r="G3091" s="23">
        <v>0</v>
      </c>
      <c r="H3091" s="23">
        <v>0</v>
      </c>
      <c r="I3091" s="23">
        <v>0</v>
      </c>
      <c r="J3091" s="23">
        <v>0</v>
      </c>
      <c r="K3091" s="23">
        <v>1322.6010000000001</v>
      </c>
    </row>
    <row r="3092" spans="1:11" x14ac:dyDescent="0.25">
      <c r="A3092">
        <v>3091</v>
      </c>
      <c r="B3092" s="23">
        <v>1455.3230000000001</v>
      </c>
      <c r="C3092" s="23">
        <v>0</v>
      </c>
      <c r="D3092" s="23">
        <v>0</v>
      </c>
      <c r="E3092" s="23">
        <v>0</v>
      </c>
      <c r="F3092" s="23">
        <v>0</v>
      </c>
      <c r="G3092" s="23">
        <v>0</v>
      </c>
      <c r="H3092" s="23">
        <v>0</v>
      </c>
      <c r="I3092" s="23">
        <v>0</v>
      </c>
      <c r="J3092" s="23">
        <v>0</v>
      </c>
      <c r="K3092" s="23">
        <v>1455.3230000000001</v>
      </c>
    </row>
    <row r="3093" spans="1:11" x14ac:dyDescent="0.25">
      <c r="A3093">
        <v>3092</v>
      </c>
      <c r="B3093" s="23">
        <v>1472</v>
      </c>
      <c r="C3093" s="23">
        <v>0</v>
      </c>
      <c r="D3093" s="23">
        <v>0</v>
      </c>
      <c r="E3093" s="23">
        <v>0</v>
      </c>
      <c r="F3093" s="23">
        <v>0</v>
      </c>
      <c r="G3093" s="23">
        <v>0</v>
      </c>
      <c r="H3093" s="23">
        <v>0</v>
      </c>
      <c r="I3093" s="23">
        <v>0</v>
      </c>
      <c r="J3093" s="23">
        <v>0</v>
      </c>
      <c r="K3093" s="23">
        <v>1472</v>
      </c>
    </row>
    <row r="3094" spans="1:11" x14ac:dyDescent="0.25">
      <c r="A3094">
        <v>3093</v>
      </c>
      <c r="B3094" s="23">
        <v>1682.4</v>
      </c>
      <c r="C3094" s="23">
        <v>0</v>
      </c>
      <c r="D3094" s="23">
        <v>0</v>
      </c>
      <c r="E3094" s="23">
        <v>0</v>
      </c>
      <c r="F3094" s="23">
        <v>0</v>
      </c>
      <c r="G3094" s="23">
        <v>0</v>
      </c>
      <c r="H3094" s="23">
        <v>0</v>
      </c>
      <c r="I3094" s="23">
        <v>1246.9459999999999</v>
      </c>
      <c r="J3094" s="23">
        <v>0</v>
      </c>
      <c r="K3094" s="23">
        <v>435.45400000000001</v>
      </c>
    </row>
    <row r="3095" spans="1:11" x14ac:dyDescent="0.25">
      <c r="A3095">
        <v>3094</v>
      </c>
      <c r="B3095" s="23">
        <v>1751.2</v>
      </c>
      <c r="C3095" s="23">
        <v>0</v>
      </c>
      <c r="D3095" s="23">
        <v>0</v>
      </c>
      <c r="E3095" s="23">
        <v>0</v>
      </c>
      <c r="F3095" s="23">
        <v>0</v>
      </c>
      <c r="G3095" s="23">
        <v>0</v>
      </c>
      <c r="H3095" s="23">
        <v>0</v>
      </c>
      <c r="I3095" s="23">
        <v>66.641000000000005</v>
      </c>
      <c r="J3095" s="23">
        <v>0</v>
      </c>
      <c r="K3095" s="23">
        <v>1684.559</v>
      </c>
    </row>
    <row r="3096" spans="1:11" x14ac:dyDescent="0.25">
      <c r="A3096">
        <v>3095</v>
      </c>
      <c r="B3096" s="23">
        <v>1388</v>
      </c>
      <c r="C3096" s="23">
        <v>0</v>
      </c>
      <c r="D3096" s="23">
        <v>0</v>
      </c>
      <c r="E3096" s="23">
        <v>0</v>
      </c>
      <c r="F3096" s="23">
        <v>0</v>
      </c>
      <c r="G3096" s="23">
        <v>0</v>
      </c>
      <c r="H3096" s="23">
        <v>0</v>
      </c>
      <c r="I3096" s="23">
        <v>1388</v>
      </c>
      <c r="J3096" s="23">
        <v>0</v>
      </c>
      <c r="K3096" s="23">
        <v>0</v>
      </c>
    </row>
    <row r="3097" spans="1:11" x14ac:dyDescent="0.25">
      <c r="A3097">
        <v>3096</v>
      </c>
      <c r="B3097" s="23">
        <v>0</v>
      </c>
      <c r="C3097" s="23">
        <v>0</v>
      </c>
      <c r="D3097" s="23">
        <v>0</v>
      </c>
      <c r="E3097" s="23">
        <v>0</v>
      </c>
      <c r="F3097" s="23">
        <v>0</v>
      </c>
      <c r="G3097" s="23">
        <v>0</v>
      </c>
      <c r="H3097" s="23">
        <v>0</v>
      </c>
      <c r="I3097" s="23">
        <v>0</v>
      </c>
      <c r="J3097" s="23">
        <v>0</v>
      </c>
      <c r="K3097" s="23">
        <v>0</v>
      </c>
    </row>
    <row r="3098" spans="1:11" x14ac:dyDescent="0.25">
      <c r="A3098">
        <v>3097</v>
      </c>
      <c r="B3098" s="23">
        <v>0</v>
      </c>
      <c r="C3098" s="23">
        <v>0</v>
      </c>
      <c r="D3098" s="23">
        <v>0</v>
      </c>
      <c r="E3098" s="23">
        <v>0</v>
      </c>
      <c r="F3098" s="23">
        <v>0</v>
      </c>
      <c r="G3098" s="23">
        <v>0</v>
      </c>
      <c r="H3098" s="23">
        <v>0</v>
      </c>
      <c r="I3098" s="23">
        <v>0</v>
      </c>
      <c r="J3098" s="23">
        <v>0</v>
      </c>
      <c r="K3098" s="23">
        <v>0</v>
      </c>
    </row>
    <row r="3099" spans="1:11" x14ac:dyDescent="0.25">
      <c r="A3099">
        <v>3098</v>
      </c>
      <c r="B3099" s="23">
        <v>0</v>
      </c>
      <c r="C3099" s="23">
        <v>0</v>
      </c>
      <c r="D3099" s="23">
        <v>0</v>
      </c>
      <c r="E3099" s="23">
        <v>0</v>
      </c>
      <c r="F3099" s="23">
        <v>0</v>
      </c>
      <c r="G3099" s="23">
        <v>0</v>
      </c>
      <c r="H3099" s="23">
        <v>0</v>
      </c>
      <c r="I3099" s="23">
        <v>0</v>
      </c>
      <c r="J3099" s="23">
        <v>0</v>
      </c>
      <c r="K3099" s="23">
        <v>0</v>
      </c>
    </row>
    <row r="3100" spans="1:11" x14ac:dyDescent="0.25">
      <c r="A3100">
        <v>3099</v>
      </c>
      <c r="B3100" s="23">
        <v>0</v>
      </c>
      <c r="C3100" s="23">
        <v>0</v>
      </c>
      <c r="D3100" s="23">
        <v>0</v>
      </c>
      <c r="E3100" s="23">
        <v>0</v>
      </c>
      <c r="F3100" s="23">
        <v>0</v>
      </c>
      <c r="G3100" s="23">
        <v>0</v>
      </c>
      <c r="H3100" s="23">
        <v>0</v>
      </c>
      <c r="I3100" s="23">
        <v>0</v>
      </c>
      <c r="J3100" s="23">
        <v>0</v>
      </c>
      <c r="K3100" s="23">
        <v>0</v>
      </c>
    </row>
    <row r="3101" spans="1:11" x14ac:dyDescent="0.25">
      <c r="A3101">
        <v>3100</v>
      </c>
      <c r="B3101" s="23">
        <v>0</v>
      </c>
      <c r="C3101" s="23">
        <v>0</v>
      </c>
      <c r="D3101" s="23">
        <v>0</v>
      </c>
      <c r="E3101" s="23">
        <v>0</v>
      </c>
      <c r="F3101" s="23">
        <v>0</v>
      </c>
      <c r="G3101" s="23">
        <v>0</v>
      </c>
      <c r="H3101" s="23">
        <v>0</v>
      </c>
      <c r="I3101" s="23">
        <v>0</v>
      </c>
      <c r="J3101" s="23">
        <v>0</v>
      </c>
      <c r="K3101" s="23">
        <v>0</v>
      </c>
    </row>
    <row r="3102" spans="1:11" x14ac:dyDescent="0.25">
      <c r="A3102">
        <v>3101</v>
      </c>
      <c r="B3102" s="23">
        <v>0</v>
      </c>
      <c r="C3102" s="23">
        <v>0</v>
      </c>
      <c r="D3102" s="23">
        <v>0</v>
      </c>
      <c r="E3102" s="23">
        <v>0</v>
      </c>
      <c r="F3102" s="23">
        <v>0</v>
      </c>
      <c r="G3102" s="23">
        <v>0</v>
      </c>
      <c r="H3102" s="23">
        <v>0</v>
      </c>
      <c r="I3102" s="23">
        <v>0</v>
      </c>
      <c r="J3102" s="23">
        <v>0</v>
      </c>
      <c r="K3102" s="23">
        <v>0</v>
      </c>
    </row>
    <row r="3103" spans="1:11" x14ac:dyDescent="0.25">
      <c r="A3103">
        <v>3102</v>
      </c>
      <c r="B3103" s="23">
        <v>0</v>
      </c>
      <c r="C3103" s="23">
        <v>0</v>
      </c>
      <c r="D3103" s="23">
        <v>0</v>
      </c>
      <c r="E3103" s="23">
        <v>0</v>
      </c>
      <c r="F3103" s="23">
        <v>0</v>
      </c>
      <c r="G3103" s="23">
        <v>0</v>
      </c>
      <c r="H3103" s="23">
        <v>0</v>
      </c>
      <c r="I3103" s="23">
        <v>0</v>
      </c>
      <c r="J3103" s="23">
        <v>0</v>
      </c>
      <c r="K3103" s="23">
        <v>0</v>
      </c>
    </row>
    <row r="3104" spans="1:11" x14ac:dyDescent="0.25">
      <c r="A3104">
        <v>3103</v>
      </c>
      <c r="B3104" s="23">
        <v>596.79999999999995</v>
      </c>
      <c r="C3104" s="23">
        <v>128.37</v>
      </c>
      <c r="D3104" s="23">
        <v>414.88799999999998</v>
      </c>
      <c r="E3104" s="23">
        <v>414.88799999999998</v>
      </c>
      <c r="F3104" s="23">
        <v>0</v>
      </c>
      <c r="G3104" s="23">
        <v>0</v>
      </c>
      <c r="H3104" s="23">
        <v>0</v>
      </c>
      <c r="I3104" s="23">
        <v>0</v>
      </c>
      <c r="J3104" s="23">
        <v>0</v>
      </c>
      <c r="K3104" s="23">
        <v>181.91200000000001</v>
      </c>
    </row>
    <row r="3105" spans="1:11" x14ac:dyDescent="0.25">
      <c r="A3105">
        <v>3104</v>
      </c>
      <c r="B3105" s="23">
        <v>559.19799999999998</v>
      </c>
      <c r="C3105" s="23">
        <v>212.02</v>
      </c>
      <c r="D3105" s="23">
        <v>817.36799999999994</v>
      </c>
      <c r="E3105" s="23">
        <v>559.19799999999998</v>
      </c>
      <c r="F3105" s="23">
        <v>-258.17</v>
      </c>
      <c r="G3105" s="23">
        <v>0</v>
      </c>
      <c r="H3105" s="23">
        <v>0</v>
      </c>
      <c r="I3105" s="23">
        <v>0</v>
      </c>
      <c r="J3105" s="23">
        <v>0</v>
      </c>
      <c r="K3105" s="23">
        <v>0</v>
      </c>
    </row>
    <row r="3106" spans="1:11" x14ac:dyDescent="0.25">
      <c r="A3106">
        <v>3105</v>
      </c>
      <c r="B3106" s="23">
        <v>533.64300000000003</v>
      </c>
      <c r="C3106" s="23">
        <v>436.27</v>
      </c>
      <c r="D3106" s="23">
        <v>1664.749</v>
      </c>
      <c r="E3106" s="23">
        <v>533.64300000000003</v>
      </c>
      <c r="F3106" s="23">
        <v>-1131.106</v>
      </c>
      <c r="G3106" s="23">
        <v>0</v>
      </c>
      <c r="H3106" s="23">
        <v>0</v>
      </c>
      <c r="I3106" s="23">
        <v>0</v>
      </c>
      <c r="J3106" s="23">
        <v>0</v>
      </c>
      <c r="K3106" s="23">
        <v>0</v>
      </c>
    </row>
    <row r="3107" spans="1:11" x14ac:dyDescent="0.25">
      <c r="A3107">
        <v>3106</v>
      </c>
      <c r="B3107" s="23">
        <v>918.03</v>
      </c>
      <c r="C3107" s="23">
        <v>503</v>
      </c>
      <c r="D3107" s="23">
        <v>1879.8409999999999</v>
      </c>
      <c r="E3107" s="23">
        <v>918.03</v>
      </c>
      <c r="F3107" s="23">
        <v>-961.81100000000004</v>
      </c>
      <c r="G3107" s="23">
        <v>0</v>
      </c>
      <c r="H3107" s="23">
        <v>0</v>
      </c>
      <c r="I3107" s="23">
        <v>0</v>
      </c>
      <c r="J3107" s="23">
        <v>0</v>
      </c>
      <c r="K3107" s="23">
        <v>0</v>
      </c>
    </row>
    <row r="3108" spans="1:11" x14ac:dyDescent="0.25">
      <c r="A3108">
        <v>3107</v>
      </c>
      <c r="B3108" s="23">
        <v>967.69299999999998</v>
      </c>
      <c r="C3108" s="23">
        <v>594.24</v>
      </c>
      <c r="D3108" s="23">
        <v>2190.8969999999999</v>
      </c>
      <c r="E3108" s="23">
        <v>967.69299999999998</v>
      </c>
      <c r="F3108" s="23">
        <v>-1223.204</v>
      </c>
      <c r="G3108" s="23">
        <v>0</v>
      </c>
      <c r="H3108" s="23">
        <v>0</v>
      </c>
      <c r="I3108" s="23">
        <v>0</v>
      </c>
      <c r="J3108" s="23">
        <v>0</v>
      </c>
      <c r="K3108" s="23">
        <v>0</v>
      </c>
    </row>
    <row r="3109" spans="1:11" x14ac:dyDescent="0.25">
      <c r="A3109">
        <v>3108</v>
      </c>
      <c r="B3109" s="23">
        <v>627.10900000000004</v>
      </c>
      <c r="C3109" s="23">
        <v>796.48</v>
      </c>
      <c r="D3109" s="23">
        <v>2888.4450000000002</v>
      </c>
      <c r="E3109" s="23">
        <v>627.10900000000004</v>
      </c>
      <c r="F3109" s="23">
        <v>-1684.559</v>
      </c>
      <c r="G3109" s="23">
        <v>0</v>
      </c>
      <c r="H3109" s="23">
        <v>576.77700000000004</v>
      </c>
      <c r="I3109" s="23">
        <v>0</v>
      </c>
      <c r="J3109" s="23">
        <v>0</v>
      </c>
      <c r="K3109" s="23">
        <v>0</v>
      </c>
    </row>
    <row r="3110" spans="1:11" x14ac:dyDescent="0.25">
      <c r="A3110">
        <v>3109</v>
      </c>
      <c r="B3110" s="23">
        <v>812.06299999999999</v>
      </c>
      <c r="C3110" s="23">
        <v>777.83</v>
      </c>
      <c r="D3110" s="23">
        <v>2835.5940000000001</v>
      </c>
      <c r="E3110" s="23">
        <v>812.06299999999999</v>
      </c>
      <c r="F3110" s="23">
        <v>-1684.559</v>
      </c>
      <c r="G3110" s="23">
        <v>0</v>
      </c>
      <c r="H3110" s="23">
        <v>338.97199999999998</v>
      </c>
      <c r="I3110" s="23">
        <v>0</v>
      </c>
      <c r="J3110" s="23">
        <v>0</v>
      </c>
      <c r="K3110" s="23">
        <v>0</v>
      </c>
    </row>
    <row r="3111" spans="1:11" x14ac:dyDescent="0.25">
      <c r="A3111">
        <v>3110</v>
      </c>
      <c r="B3111" s="23">
        <v>905.47699999999998</v>
      </c>
      <c r="C3111" s="23">
        <v>699.2</v>
      </c>
      <c r="D3111" s="23">
        <v>2585.8139999999999</v>
      </c>
      <c r="E3111" s="23">
        <v>905.47699999999998</v>
      </c>
      <c r="F3111" s="23">
        <v>-348.089</v>
      </c>
      <c r="G3111" s="23">
        <v>0</v>
      </c>
      <c r="H3111" s="23">
        <v>1332.248</v>
      </c>
      <c r="I3111" s="23">
        <v>0</v>
      </c>
      <c r="J3111" s="23">
        <v>0</v>
      </c>
      <c r="K3111" s="23">
        <v>0</v>
      </c>
    </row>
    <row r="3112" spans="1:11" x14ac:dyDescent="0.25">
      <c r="A3112">
        <v>3111</v>
      </c>
      <c r="B3112" s="23">
        <v>596.20100000000002</v>
      </c>
      <c r="C3112" s="23">
        <v>514.38</v>
      </c>
      <c r="D3112" s="23">
        <v>1943.7619999999999</v>
      </c>
      <c r="E3112" s="23">
        <v>596.20100000000002</v>
      </c>
      <c r="F3112" s="23">
        <v>0</v>
      </c>
      <c r="G3112" s="23">
        <v>0</v>
      </c>
      <c r="H3112" s="23">
        <v>1347.5609999999999</v>
      </c>
      <c r="I3112" s="23">
        <v>0</v>
      </c>
      <c r="J3112" s="23">
        <v>0</v>
      </c>
      <c r="K3112" s="23">
        <v>0</v>
      </c>
    </row>
    <row r="3113" spans="1:11" x14ac:dyDescent="0.25">
      <c r="A3113">
        <v>3112</v>
      </c>
      <c r="B3113" s="23">
        <v>817.35599999999999</v>
      </c>
      <c r="C3113" s="23">
        <v>31.38</v>
      </c>
      <c r="D3113" s="23">
        <v>93.066000000000003</v>
      </c>
      <c r="E3113" s="23">
        <v>93.066000000000003</v>
      </c>
      <c r="F3113" s="23">
        <v>0</v>
      </c>
      <c r="G3113" s="23">
        <v>0</v>
      </c>
      <c r="H3113" s="23">
        <v>0</v>
      </c>
      <c r="I3113" s="23">
        <v>220.09899999999999</v>
      </c>
      <c r="J3113" s="23">
        <v>0</v>
      </c>
      <c r="K3113" s="23">
        <v>504.19099999999997</v>
      </c>
    </row>
    <row r="3114" spans="1:11" x14ac:dyDescent="0.25">
      <c r="A3114">
        <v>3113</v>
      </c>
      <c r="B3114" s="23">
        <v>855.17100000000005</v>
      </c>
      <c r="C3114" s="23">
        <v>14.69</v>
      </c>
      <c r="D3114" s="23">
        <v>31.728000000000002</v>
      </c>
      <c r="E3114" s="23">
        <v>31.728000000000002</v>
      </c>
      <c r="F3114" s="23">
        <v>0</v>
      </c>
      <c r="G3114" s="23">
        <v>0</v>
      </c>
      <c r="H3114" s="23">
        <v>0</v>
      </c>
      <c r="I3114" s="23">
        <v>0</v>
      </c>
      <c r="J3114" s="23">
        <v>0</v>
      </c>
      <c r="K3114" s="23">
        <v>823.44299999999998</v>
      </c>
    </row>
    <row r="3115" spans="1:11" x14ac:dyDescent="0.25">
      <c r="A3115">
        <v>3114</v>
      </c>
      <c r="B3115" s="23">
        <v>864.86099999999999</v>
      </c>
      <c r="C3115" s="23">
        <v>5.87</v>
      </c>
      <c r="D3115" s="23">
        <v>0</v>
      </c>
      <c r="E3115" s="23">
        <v>0</v>
      </c>
      <c r="F3115" s="23">
        <v>0</v>
      </c>
      <c r="G3115" s="23">
        <v>0</v>
      </c>
      <c r="H3115" s="23">
        <v>0</v>
      </c>
      <c r="I3115" s="23">
        <v>0</v>
      </c>
      <c r="J3115" s="23">
        <v>0</v>
      </c>
      <c r="K3115" s="23">
        <v>864.86099999999999</v>
      </c>
    </row>
    <row r="3116" spans="1:11" x14ac:dyDescent="0.25">
      <c r="A3116">
        <v>3115</v>
      </c>
      <c r="B3116" s="23">
        <v>824.19399999999996</v>
      </c>
      <c r="C3116" s="23">
        <v>0</v>
      </c>
      <c r="D3116" s="23">
        <v>0</v>
      </c>
      <c r="E3116" s="23">
        <v>0</v>
      </c>
      <c r="F3116" s="23">
        <v>0</v>
      </c>
      <c r="G3116" s="23">
        <v>0</v>
      </c>
      <c r="H3116" s="23">
        <v>0</v>
      </c>
      <c r="I3116" s="23">
        <v>0</v>
      </c>
      <c r="J3116" s="23">
        <v>0</v>
      </c>
      <c r="K3116" s="23">
        <v>824.19399999999996</v>
      </c>
    </row>
    <row r="3117" spans="1:11" x14ac:dyDescent="0.25">
      <c r="A3117">
        <v>3116</v>
      </c>
      <c r="B3117" s="23">
        <v>626.4</v>
      </c>
      <c r="C3117" s="23">
        <v>0</v>
      </c>
      <c r="D3117" s="23">
        <v>0</v>
      </c>
      <c r="E3117" s="23">
        <v>0</v>
      </c>
      <c r="F3117" s="23">
        <v>0</v>
      </c>
      <c r="G3117" s="23">
        <v>0</v>
      </c>
      <c r="H3117" s="23">
        <v>0</v>
      </c>
      <c r="I3117" s="23">
        <v>0</v>
      </c>
      <c r="J3117" s="23">
        <v>0</v>
      </c>
      <c r="K3117" s="23">
        <v>626.4</v>
      </c>
    </row>
    <row r="3118" spans="1:11" x14ac:dyDescent="0.25">
      <c r="A3118">
        <v>3117</v>
      </c>
      <c r="B3118" s="23">
        <v>780</v>
      </c>
      <c r="C3118" s="23">
        <v>0</v>
      </c>
      <c r="D3118" s="23">
        <v>0</v>
      </c>
      <c r="E3118" s="23">
        <v>0</v>
      </c>
      <c r="F3118" s="23">
        <v>0</v>
      </c>
      <c r="G3118" s="23">
        <v>0</v>
      </c>
      <c r="H3118" s="23">
        <v>0</v>
      </c>
      <c r="I3118" s="23">
        <v>0</v>
      </c>
      <c r="J3118" s="23">
        <v>0</v>
      </c>
      <c r="K3118" s="23">
        <v>780</v>
      </c>
    </row>
    <row r="3119" spans="1:11" x14ac:dyDescent="0.25">
      <c r="A3119">
        <v>3118</v>
      </c>
      <c r="B3119" s="23">
        <v>831.2</v>
      </c>
      <c r="C3119" s="23">
        <v>0</v>
      </c>
      <c r="D3119" s="23">
        <v>0</v>
      </c>
      <c r="E3119" s="23">
        <v>0</v>
      </c>
      <c r="F3119" s="23">
        <v>0</v>
      </c>
      <c r="G3119" s="23">
        <v>0</v>
      </c>
      <c r="H3119" s="23">
        <v>0</v>
      </c>
      <c r="I3119" s="23">
        <v>0</v>
      </c>
      <c r="J3119" s="23">
        <v>0</v>
      </c>
      <c r="K3119" s="23">
        <v>831.2</v>
      </c>
    </row>
    <row r="3120" spans="1:11" x14ac:dyDescent="0.25">
      <c r="A3120">
        <v>3119</v>
      </c>
      <c r="B3120" s="23">
        <v>764</v>
      </c>
      <c r="C3120" s="23">
        <v>0</v>
      </c>
      <c r="D3120" s="23">
        <v>0</v>
      </c>
      <c r="E3120" s="23">
        <v>0</v>
      </c>
      <c r="F3120" s="23">
        <v>0</v>
      </c>
      <c r="G3120" s="23">
        <v>0</v>
      </c>
      <c r="H3120" s="23">
        <v>0</v>
      </c>
      <c r="I3120" s="23">
        <v>764</v>
      </c>
      <c r="J3120" s="23">
        <v>0</v>
      </c>
      <c r="K3120" s="23">
        <v>0</v>
      </c>
    </row>
    <row r="3121" spans="1:11" x14ac:dyDescent="0.25">
      <c r="A3121">
        <v>3120</v>
      </c>
      <c r="B3121" s="23">
        <v>0</v>
      </c>
      <c r="C3121" s="23">
        <v>0</v>
      </c>
      <c r="D3121" s="23">
        <v>0</v>
      </c>
      <c r="E3121" s="23">
        <v>0</v>
      </c>
      <c r="F3121" s="23">
        <v>0</v>
      </c>
      <c r="G3121" s="23">
        <v>0</v>
      </c>
      <c r="H3121" s="23">
        <v>0</v>
      </c>
      <c r="I3121" s="23">
        <v>0</v>
      </c>
      <c r="J3121" s="23">
        <v>0</v>
      </c>
      <c r="K3121" s="23">
        <v>0</v>
      </c>
    </row>
    <row r="3122" spans="1:11" x14ac:dyDescent="0.25">
      <c r="A3122">
        <v>3121</v>
      </c>
      <c r="B3122" s="23">
        <v>0</v>
      </c>
      <c r="C3122" s="23">
        <v>0</v>
      </c>
      <c r="D3122" s="23">
        <v>0</v>
      </c>
      <c r="E3122" s="23">
        <v>0</v>
      </c>
      <c r="F3122" s="23">
        <v>0</v>
      </c>
      <c r="G3122" s="23">
        <v>0</v>
      </c>
      <c r="H3122" s="23">
        <v>0</v>
      </c>
      <c r="I3122" s="23">
        <v>0</v>
      </c>
      <c r="J3122" s="23">
        <v>0</v>
      </c>
      <c r="K3122" s="23">
        <v>0</v>
      </c>
    </row>
    <row r="3123" spans="1:11" x14ac:dyDescent="0.25">
      <c r="A3123">
        <v>3122</v>
      </c>
      <c r="B3123" s="23">
        <v>0</v>
      </c>
      <c r="C3123" s="23">
        <v>0</v>
      </c>
      <c r="D3123" s="23">
        <v>0</v>
      </c>
      <c r="E3123" s="23">
        <v>0</v>
      </c>
      <c r="F3123" s="23">
        <v>0</v>
      </c>
      <c r="G3123" s="23">
        <v>0</v>
      </c>
      <c r="H3123" s="23">
        <v>0</v>
      </c>
      <c r="I3123" s="23">
        <v>0</v>
      </c>
      <c r="J3123" s="23">
        <v>0</v>
      </c>
      <c r="K3123" s="23">
        <v>0</v>
      </c>
    </row>
    <row r="3124" spans="1:11" x14ac:dyDescent="0.25">
      <c r="A3124">
        <v>3123</v>
      </c>
      <c r="B3124" s="23">
        <v>0</v>
      </c>
      <c r="C3124" s="23">
        <v>0</v>
      </c>
      <c r="D3124" s="23">
        <v>0</v>
      </c>
      <c r="E3124" s="23">
        <v>0</v>
      </c>
      <c r="F3124" s="23">
        <v>0</v>
      </c>
      <c r="G3124" s="23">
        <v>0</v>
      </c>
      <c r="H3124" s="23">
        <v>0</v>
      </c>
      <c r="I3124" s="23">
        <v>0</v>
      </c>
      <c r="J3124" s="23">
        <v>0</v>
      </c>
      <c r="K3124" s="23">
        <v>0</v>
      </c>
    </row>
    <row r="3125" spans="1:11" x14ac:dyDescent="0.25">
      <c r="A3125">
        <v>3124</v>
      </c>
      <c r="B3125" s="23">
        <v>0</v>
      </c>
      <c r="C3125" s="23">
        <v>0</v>
      </c>
      <c r="D3125" s="23">
        <v>0</v>
      </c>
      <c r="E3125" s="23">
        <v>0</v>
      </c>
      <c r="F3125" s="23">
        <v>0</v>
      </c>
      <c r="G3125" s="23">
        <v>0</v>
      </c>
      <c r="H3125" s="23">
        <v>0</v>
      </c>
      <c r="I3125" s="23">
        <v>0</v>
      </c>
      <c r="J3125" s="23">
        <v>0</v>
      </c>
      <c r="K3125" s="23">
        <v>0</v>
      </c>
    </row>
    <row r="3126" spans="1:11" x14ac:dyDescent="0.25">
      <c r="A3126">
        <v>3125</v>
      </c>
      <c r="B3126" s="23">
        <v>0</v>
      </c>
      <c r="C3126" s="23">
        <v>0</v>
      </c>
      <c r="D3126" s="23">
        <v>0</v>
      </c>
      <c r="E3126" s="23">
        <v>0</v>
      </c>
      <c r="F3126" s="23">
        <v>0</v>
      </c>
      <c r="G3126" s="23">
        <v>0</v>
      </c>
      <c r="H3126" s="23">
        <v>0</v>
      </c>
      <c r="I3126" s="23">
        <v>0</v>
      </c>
      <c r="J3126" s="23">
        <v>0</v>
      </c>
      <c r="K3126" s="23">
        <v>0</v>
      </c>
    </row>
    <row r="3127" spans="1:11" x14ac:dyDescent="0.25">
      <c r="A3127">
        <v>3126</v>
      </c>
      <c r="B3127" s="23">
        <v>0</v>
      </c>
      <c r="C3127" s="23">
        <v>0</v>
      </c>
      <c r="D3127" s="23">
        <v>0</v>
      </c>
      <c r="E3127" s="23">
        <v>0</v>
      </c>
      <c r="F3127" s="23">
        <v>0</v>
      </c>
      <c r="G3127" s="23">
        <v>0</v>
      </c>
      <c r="H3127" s="23">
        <v>0</v>
      </c>
      <c r="I3127" s="23">
        <v>0</v>
      </c>
      <c r="J3127" s="23">
        <v>0</v>
      </c>
      <c r="K3127" s="23">
        <v>0</v>
      </c>
    </row>
    <row r="3128" spans="1:11" x14ac:dyDescent="0.25">
      <c r="A3128">
        <v>3127</v>
      </c>
      <c r="B3128" s="23">
        <v>1606.8240000000001</v>
      </c>
      <c r="C3128" s="23">
        <v>85.52</v>
      </c>
      <c r="D3128" s="23">
        <v>309.26400000000001</v>
      </c>
      <c r="E3128" s="23">
        <v>309.26400000000001</v>
      </c>
      <c r="F3128" s="23">
        <v>0</v>
      </c>
      <c r="G3128" s="23">
        <v>0</v>
      </c>
      <c r="H3128" s="23">
        <v>0</v>
      </c>
      <c r="I3128" s="23">
        <v>0</v>
      </c>
      <c r="J3128" s="23">
        <v>0</v>
      </c>
      <c r="K3128" s="23">
        <v>1297.56</v>
      </c>
    </row>
    <row r="3129" spans="1:11" x14ac:dyDescent="0.25">
      <c r="A3129">
        <v>3128</v>
      </c>
      <c r="B3129" s="23">
        <v>1031.203</v>
      </c>
      <c r="C3129" s="23">
        <v>292.88</v>
      </c>
      <c r="D3129" s="23">
        <v>1143.704</v>
      </c>
      <c r="E3129" s="23">
        <v>1031.203</v>
      </c>
      <c r="F3129" s="23">
        <v>-112.501</v>
      </c>
      <c r="G3129" s="23">
        <v>0</v>
      </c>
      <c r="H3129" s="23">
        <v>0</v>
      </c>
      <c r="I3129" s="23">
        <v>0</v>
      </c>
      <c r="J3129" s="23">
        <v>0</v>
      </c>
      <c r="K3129" s="23">
        <v>0</v>
      </c>
    </row>
    <row r="3130" spans="1:11" x14ac:dyDescent="0.25">
      <c r="A3130">
        <v>3129</v>
      </c>
      <c r="B3130" s="23">
        <v>1251.6489999999999</v>
      </c>
      <c r="C3130" s="23">
        <v>427.28</v>
      </c>
      <c r="D3130" s="23">
        <v>1647.521</v>
      </c>
      <c r="E3130" s="23">
        <v>1251.6489999999999</v>
      </c>
      <c r="F3130" s="23">
        <v>-395.87200000000001</v>
      </c>
      <c r="G3130" s="23">
        <v>0</v>
      </c>
      <c r="H3130" s="23">
        <v>0</v>
      </c>
      <c r="I3130" s="23">
        <v>0</v>
      </c>
      <c r="J3130" s="23">
        <v>0</v>
      </c>
      <c r="K3130" s="23">
        <v>0</v>
      </c>
    </row>
    <row r="3131" spans="1:11" x14ac:dyDescent="0.25">
      <c r="A3131">
        <v>3130</v>
      </c>
      <c r="B3131" s="23">
        <v>1182.3610000000001</v>
      </c>
      <c r="C3131" s="23">
        <v>623.89</v>
      </c>
      <c r="D3131" s="23">
        <v>2354.8789999999999</v>
      </c>
      <c r="E3131" s="23">
        <v>1182.3610000000001</v>
      </c>
      <c r="F3131" s="23">
        <v>-1172.518</v>
      </c>
      <c r="G3131" s="23">
        <v>0</v>
      </c>
      <c r="H3131" s="23">
        <v>0</v>
      </c>
      <c r="I3131" s="23">
        <v>0</v>
      </c>
      <c r="J3131" s="23">
        <v>0</v>
      </c>
      <c r="K3131" s="23">
        <v>0</v>
      </c>
    </row>
    <row r="3132" spans="1:11" x14ac:dyDescent="0.25">
      <c r="A3132">
        <v>3131</v>
      </c>
      <c r="B3132" s="23">
        <v>1327.1579999999999</v>
      </c>
      <c r="C3132" s="23">
        <v>739.57</v>
      </c>
      <c r="D3132" s="23">
        <v>2747.1509999999998</v>
      </c>
      <c r="E3132" s="23">
        <v>1327.1579999999999</v>
      </c>
      <c r="F3132" s="23">
        <v>-1419.9929999999999</v>
      </c>
      <c r="G3132" s="23">
        <v>0</v>
      </c>
      <c r="H3132" s="23">
        <v>0</v>
      </c>
      <c r="I3132" s="23">
        <v>0</v>
      </c>
      <c r="J3132" s="23">
        <v>0</v>
      </c>
      <c r="K3132" s="23">
        <v>0</v>
      </c>
    </row>
    <row r="3133" spans="1:11" x14ac:dyDescent="0.25">
      <c r="A3133">
        <v>3132</v>
      </c>
      <c r="B3133" s="23">
        <v>662.12599999999998</v>
      </c>
      <c r="C3133" s="23">
        <v>776.07</v>
      </c>
      <c r="D3133" s="23">
        <v>2863.4740000000002</v>
      </c>
      <c r="E3133" s="23">
        <v>662.12699999999995</v>
      </c>
      <c r="F3133" s="23">
        <v>-1684.559</v>
      </c>
      <c r="G3133" s="23">
        <v>0</v>
      </c>
      <c r="H3133" s="23">
        <v>516.78800000000001</v>
      </c>
      <c r="I3133" s="23">
        <v>0</v>
      </c>
      <c r="J3133" s="23">
        <v>0</v>
      </c>
      <c r="K3133" s="23">
        <v>0</v>
      </c>
    </row>
    <row r="3134" spans="1:11" x14ac:dyDescent="0.25">
      <c r="A3134">
        <v>3133</v>
      </c>
      <c r="B3134" s="23">
        <v>803.01300000000003</v>
      </c>
      <c r="C3134" s="23">
        <v>795.79</v>
      </c>
      <c r="D3134" s="23">
        <v>2941.518</v>
      </c>
      <c r="E3134" s="23">
        <v>803.01300000000003</v>
      </c>
      <c r="F3134" s="23">
        <v>-1684.559</v>
      </c>
      <c r="G3134" s="23">
        <v>0</v>
      </c>
      <c r="H3134" s="23">
        <v>453.94600000000003</v>
      </c>
      <c r="I3134" s="23">
        <v>0</v>
      </c>
      <c r="J3134" s="23">
        <v>0</v>
      </c>
      <c r="K3134" s="23">
        <v>0</v>
      </c>
    </row>
    <row r="3135" spans="1:11" x14ac:dyDescent="0.25">
      <c r="A3135">
        <v>3134</v>
      </c>
      <c r="B3135" s="23">
        <v>839.44</v>
      </c>
      <c r="C3135" s="23">
        <v>679.3</v>
      </c>
      <c r="D3135" s="23">
        <v>2540.252</v>
      </c>
      <c r="E3135" s="23">
        <v>839.44</v>
      </c>
      <c r="F3135" s="23">
        <v>-821.495</v>
      </c>
      <c r="G3135" s="23">
        <v>0</v>
      </c>
      <c r="H3135" s="23">
        <v>879.31700000000001</v>
      </c>
      <c r="I3135" s="23">
        <v>0</v>
      </c>
      <c r="J3135" s="23">
        <v>0</v>
      </c>
      <c r="K3135" s="23">
        <v>0</v>
      </c>
    </row>
    <row r="3136" spans="1:11" x14ac:dyDescent="0.25">
      <c r="A3136">
        <v>3135</v>
      </c>
      <c r="B3136" s="23">
        <v>881.61199999999997</v>
      </c>
      <c r="C3136" s="23">
        <v>614.63</v>
      </c>
      <c r="D3136" s="23">
        <v>2335.502</v>
      </c>
      <c r="E3136" s="23">
        <v>881.61199999999997</v>
      </c>
      <c r="F3136" s="23">
        <v>0</v>
      </c>
      <c r="G3136" s="23">
        <v>0</v>
      </c>
      <c r="H3136" s="23">
        <v>1453.89</v>
      </c>
      <c r="I3136" s="23">
        <v>0</v>
      </c>
      <c r="J3136" s="23">
        <v>0</v>
      </c>
      <c r="K3136" s="23">
        <v>0</v>
      </c>
    </row>
    <row r="3137" spans="1:11" x14ac:dyDescent="0.25">
      <c r="A3137">
        <v>3136</v>
      </c>
      <c r="B3137" s="23">
        <v>723.72900000000004</v>
      </c>
      <c r="C3137" s="23">
        <v>394.34</v>
      </c>
      <c r="D3137" s="23">
        <v>1525.635</v>
      </c>
      <c r="E3137" s="23">
        <v>723.72900000000004</v>
      </c>
      <c r="F3137" s="23">
        <v>0</v>
      </c>
      <c r="G3137" s="23">
        <v>0</v>
      </c>
      <c r="H3137" s="23">
        <v>801.90599999999995</v>
      </c>
      <c r="I3137" s="23">
        <v>0</v>
      </c>
      <c r="J3137" s="23">
        <v>0</v>
      </c>
      <c r="K3137" s="23">
        <v>0</v>
      </c>
    </row>
    <row r="3138" spans="1:11" x14ac:dyDescent="0.25">
      <c r="A3138">
        <v>3137</v>
      </c>
      <c r="B3138" s="23">
        <v>1037.81</v>
      </c>
      <c r="C3138" s="23">
        <v>177.47</v>
      </c>
      <c r="D3138" s="23">
        <v>676.27499999999998</v>
      </c>
      <c r="E3138" s="23">
        <v>676.27499999999998</v>
      </c>
      <c r="F3138" s="23">
        <v>0</v>
      </c>
      <c r="G3138" s="23">
        <v>0</v>
      </c>
      <c r="H3138" s="23">
        <v>0</v>
      </c>
      <c r="I3138" s="23">
        <v>361.53500000000003</v>
      </c>
      <c r="J3138" s="23">
        <v>0</v>
      </c>
      <c r="K3138" s="23">
        <v>0</v>
      </c>
    </row>
    <row r="3139" spans="1:11" x14ac:dyDescent="0.25">
      <c r="A3139">
        <v>3138</v>
      </c>
      <c r="B3139" s="23">
        <v>1280.7829999999999</v>
      </c>
      <c r="C3139" s="23">
        <v>46.03</v>
      </c>
      <c r="D3139" s="23">
        <v>146.65100000000001</v>
      </c>
      <c r="E3139" s="23">
        <v>146.65100000000001</v>
      </c>
      <c r="F3139" s="23">
        <v>0</v>
      </c>
      <c r="G3139" s="23">
        <v>0</v>
      </c>
      <c r="H3139" s="23">
        <v>0</v>
      </c>
      <c r="I3139" s="23">
        <v>1134.1320000000001</v>
      </c>
      <c r="J3139" s="23">
        <v>0</v>
      </c>
      <c r="K3139" s="23">
        <v>0</v>
      </c>
    </row>
    <row r="3140" spans="1:11" x14ac:dyDescent="0.25">
      <c r="A3140">
        <v>3139</v>
      </c>
      <c r="B3140" s="23">
        <v>1299.258</v>
      </c>
      <c r="C3140" s="23">
        <v>0</v>
      </c>
      <c r="D3140" s="23">
        <v>0</v>
      </c>
      <c r="E3140" s="23">
        <v>0</v>
      </c>
      <c r="F3140" s="23">
        <v>0</v>
      </c>
      <c r="G3140" s="23">
        <v>0</v>
      </c>
      <c r="H3140" s="23">
        <v>0</v>
      </c>
      <c r="I3140" s="23">
        <v>1299.258</v>
      </c>
      <c r="J3140" s="23">
        <v>0</v>
      </c>
      <c r="K3140" s="23">
        <v>0</v>
      </c>
    </row>
    <row r="3141" spans="1:11" x14ac:dyDescent="0.25">
      <c r="A3141">
        <v>3140</v>
      </c>
      <c r="B3141" s="23">
        <v>1091.2</v>
      </c>
      <c r="C3141" s="23">
        <v>0</v>
      </c>
      <c r="D3141" s="23">
        <v>0</v>
      </c>
      <c r="E3141" s="23">
        <v>0</v>
      </c>
      <c r="F3141" s="23">
        <v>0</v>
      </c>
      <c r="G3141" s="23">
        <v>0</v>
      </c>
      <c r="H3141" s="23">
        <v>0</v>
      </c>
      <c r="I3141" s="23">
        <v>936.67100000000005</v>
      </c>
      <c r="J3141" s="23">
        <v>0</v>
      </c>
      <c r="K3141" s="23">
        <v>154.529</v>
      </c>
    </row>
    <row r="3142" spans="1:11" x14ac:dyDescent="0.25">
      <c r="A3142">
        <v>3141</v>
      </c>
      <c r="B3142" s="23">
        <v>1475.2</v>
      </c>
      <c r="C3142" s="23">
        <v>0</v>
      </c>
      <c r="D3142" s="23">
        <v>0</v>
      </c>
      <c r="E3142" s="23">
        <v>0</v>
      </c>
      <c r="F3142" s="23">
        <v>0</v>
      </c>
      <c r="G3142" s="23">
        <v>0</v>
      </c>
      <c r="H3142" s="23">
        <v>0</v>
      </c>
      <c r="I3142" s="23">
        <v>0</v>
      </c>
      <c r="J3142" s="23">
        <v>0</v>
      </c>
      <c r="K3142" s="23">
        <v>1475.2</v>
      </c>
    </row>
    <row r="3143" spans="1:11" x14ac:dyDescent="0.25">
      <c r="A3143">
        <v>3142</v>
      </c>
      <c r="B3143" s="23">
        <v>901.6</v>
      </c>
      <c r="C3143" s="23">
        <v>0</v>
      </c>
      <c r="D3143" s="23">
        <v>0</v>
      </c>
      <c r="E3143" s="23">
        <v>0</v>
      </c>
      <c r="F3143" s="23">
        <v>0</v>
      </c>
      <c r="G3143" s="23">
        <v>0</v>
      </c>
      <c r="H3143" s="23">
        <v>0</v>
      </c>
      <c r="I3143" s="23">
        <v>0</v>
      </c>
      <c r="J3143" s="23">
        <v>0</v>
      </c>
      <c r="K3143" s="23">
        <v>901.6</v>
      </c>
    </row>
    <row r="3144" spans="1:11" x14ac:dyDescent="0.25">
      <c r="A3144">
        <v>3143</v>
      </c>
      <c r="B3144" s="23">
        <v>1424.8</v>
      </c>
      <c r="C3144" s="23">
        <v>0</v>
      </c>
      <c r="D3144" s="23">
        <v>0</v>
      </c>
      <c r="E3144" s="23">
        <v>0</v>
      </c>
      <c r="F3144" s="23">
        <v>0</v>
      </c>
      <c r="G3144" s="23">
        <v>0</v>
      </c>
      <c r="H3144" s="23">
        <v>0</v>
      </c>
      <c r="I3144" s="23">
        <v>0</v>
      </c>
      <c r="J3144" s="23">
        <v>0</v>
      </c>
      <c r="K3144" s="23">
        <v>1424.8</v>
      </c>
    </row>
    <row r="3145" spans="1:11" x14ac:dyDescent="0.25">
      <c r="A3145">
        <v>3144</v>
      </c>
      <c r="B3145" s="23">
        <v>0</v>
      </c>
      <c r="C3145" s="23">
        <v>0</v>
      </c>
      <c r="D3145" s="23">
        <v>0</v>
      </c>
      <c r="E3145" s="23">
        <v>0</v>
      </c>
      <c r="F3145" s="23">
        <v>0</v>
      </c>
      <c r="G3145" s="23">
        <v>0</v>
      </c>
      <c r="H3145" s="23">
        <v>0</v>
      </c>
      <c r="I3145" s="23">
        <v>0</v>
      </c>
      <c r="J3145" s="23">
        <v>0</v>
      </c>
      <c r="K3145" s="23">
        <v>0</v>
      </c>
    </row>
    <row r="3146" spans="1:11" x14ac:dyDescent="0.25">
      <c r="A3146">
        <v>3145</v>
      </c>
      <c r="B3146" s="23">
        <v>0</v>
      </c>
      <c r="C3146" s="23">
        <v>0</v>
      </c>
      <c r="D3146" s="23">
        <v>0</v>
      </c>
      <c r="E3146" s="23">
        <v>0</v>
      </c>
      <c r="F3146" s="23">
        <v>0</v>
      </c>
      <c r="G3146" s="23">
        <v>0</v>
      </c>
      <c r="H3146" s="23">
        <v>0</v>
      </c>
      <c r="I3146" s="23">
        <v>0</v>
      </c>
      <c r="J3146" s="23">
        <v>0</v>
      </c>
      <c r="K3146" s="23">
        <v>0</v>
      </c>
    </row>
    <row r="3147" spans="1:11" x14ac:dyDescent="0.25">
      <c r="A3147">
        <v>3146</v>
      </c>
      <c r="B3147" s="23">
        <v>0</v>
      </c>
      <c r="C3147" s="23">
        <v>0</v>
      </c>
      <c r="D3147" s="23">
        <v>0</v>
      </c>
      <c r="E3147" s="23">
        <v>0</v>
      </c>
      <c r="F3147" s="23">
        <v>0</v>
      </c>
      <c r="G3147" s="23">
        <v>0</v>
      </c>
      <c r="H3147" s="23">
        <v>0</v>
      </c>
      <c r="I3147" s="23">
        <v>0</v>
      </c>
      <c r="J3147" s="23">
        <v>0</v>
      </c>
      <c r="K3147" s="23">
        <v>0</v>
      </c>
    </row>
    <row r="3148" spans="1:11" x14ac:dyDescent="0.25">
      <c r="A3148">
        <v>3147</v>
      </c>
      <c r="B3148" s="23">
        <v>0</v>
      </c>
      <c r="C3148" s="23">
        <v>0</v>
      </c>
      <c r="D3148" s="23">
        <v>0</v>
      </c>
      <c r="E3148" s="23">
        <v>0</v>
      </c>
      <c r="F3148" s="23">
        <v>0</v>
      </c>
      <c r="G3148" s="23">
        <v>0</v>
      </c>
      <c r="H3148" s="23">
        <v>0</v>
      </c>
      <c r="I3148" s="23">
        <v>0</v>
      </c>
      <c r="J3148" s="23">
        <v>0</v>
      </c>
      <c r="K3148" s="23">
        <v>0</v>
      </c>
    </row>
    <row r="3149" spans="1:11" x14ac:dyDescent="0.25">
      <c r="A3149">
        <v>3148</v>
      </c>
      <c r="B3149" s="23">
        <v>0</v>
      </c>
      <c r="C3149" s="23">
        <v>0</v>
      </c>
      <c r="D3149" s="23">
        <v>0</v>
      </c>
      <c r="E3149" s="23">
        <v>0</v>
      </c>
      <c r="F3149" s="23">
        <v>0</v>
      </c>
      <c r="G3149" s="23">
        <v>0</v>
      </c>
      <c r="H3149" s="23">
        <v>0</v>
      </c>
      <c r="I3149" s="23">
        <v>0</v>
      </c>
      <c r="J3149" s="23">
        <v>0</v>
      </c>
      <c r="K3149" s="23">
        <v>0</v>
      </c>
    </row>
    <row r="3150" spans="1:11" x14ac:dyDescent="0.25">
      <c r="A3150">
        <v>3149</v>
      </c>
      <c r="B3150" s="23">
        <v>0</v>
      </c>
      <c r="C3150" s="23">
        <v>0</v>
      </c>
      <c r="D3150" s="23">
        <v>0</v>
      </c>
      <c r="E3150" s="23">
        <v>0</v>
      </c>
      <c r="F3150" s="23">
        <v>0</v>
      </c>
      <c r="G3150" s="23">
        <v>0</v>
      </c>
      <c r="H3150" s="23">
        <v>0</v>
      </c>
      <c r="I3150" s="23">
        <v>0</v>
      </c>
      <c r="J3150" s="23">
        <v>0</v>
      </c>
      <c r="K3150" s="23">
        <v>0</v>
      </c>
    </row>
    <row r="3151" spans="1:11" x14ac:dyDescent="0.25">
      <c r="A3151">
        <v>3150</v>
      </c>
      <c r="B3151" s="23">
        <v>0</v>
      </c>
      <c r="C3151" s="23">
        <v>0</v>
      </c>
      <c r="D3151" s="23">
        <v>0</v>
      </c>
      <c r="E3151" s="23">
        <v>0</v>
      </c>
      <c r="F3151" s="23">
        <v>0</v>
      </c>
      <c r="G3151" s="23">
        <v>0</v>
      </c>
      <c r="H3151" s="23">
        <v>0</v>
      </c>
      <c r="I3151" s="23">
        <v>0</v>
      </c>
      <c r="J3151" s="23">
        <v>0</v>
      </c>
      <c r="K3151" s="23">
        <v>0</v>
      </c>
    </row>
    <row r="3152" spans="1:11" x14ac:dyDescent="0.25">
      <c r="A3152">
        <v>3151</v>
      </c>
      <c r="B3152" s="23">
        <v>1360.9590000000001</v>
      </c>
      <c r="C3152" s="23">
        <v>108.71</v>
      </c>
      <c r="D3152" s="23">
        <v>390.51100000000002</v>
      </c>
      <c r="E3152" s="23">
        <v>390.51100000000002</v>
      </c>
      <c r="F3152" s="23">
        <v>0</v>
      </c>
      <c r="G3152" s="23">
        <v>0</v>
      </c>
      <c r="H3152" s="23">
        <v>0</v>
      </c>
      <c r="I3152" s="23">
        <v>0</v>
      </c>
      <c r="J3152" s="23">
        <v>0</v>
      </c>
      <c r="K3152" s="23">
        <v>970.44799999999998</v>
      </c>
    </row>
    <row r="3153" spans="1:11" x14ac:dyDescent="0.25">
      <c r="A3153">
        <v>3152</v>
      </c>
      <c r="B3153" s="23">
        <v>1089.279</v>
      </c>
      <c r="C3153" s="23">
        <v>295.60000000000002</v>
      </c>
      <c r="D3153" s="23">
        <v>1157.3320000000001</v>
      </c>
      <c r="E3153" s="23">
        <v>1089.279</v>
      </c>
      <c r="F3153" s="23">
        <v>-68.052999999999997</v>
      </c>
      <c r="G3153" s="23">
        <v>0</v>
      </c>
      <c r="H3153" s="23">
        <v>0</v>
      </c>
      <c r="I3153" s="23">
        <v>0</v>
      </c>
      <c r="J3153" s="23">
        <v>0</v>
      </c>
      <c r="K3153" s="23">
        <v>0</v>
      </c>
    </row>
    <row r="3154" spans="1:11" x14ac:dyDescent="0.25">
      <c r="A3154">
        <v>3153</v>
      </c>
      <c r="B3154" s="23">
        <v>1352.296</v>
      </c>
      <c r="C3154" s="23">
        <v>576.63</v>
      </c>
      <c r="D3154" s="23">
        <v>2260.3710000000001</v>
      </c>
      <c r="E3154" s="23">
        <v>1352.296</v>
      </c>
      <c r="F3154" s="23">
        <v>-908.07500000000005</v>
      </c>
      <c r="G3154" s="23">
        <v>0</v>
      </c>
      <c r="H3154" s="23">
        <v>0</v>
      </c>
      <c r="I3154" s="23">
        <v>0</v>
      </c>
      <c r="J3154" s="23">
        <v>0</v>
      </c>
      <c r="K3154" s="23">
        <v>0</v>
      </c>
    </row>
    <row r="3155" spans="1:11" x14ac:dyDescent="0.25">
      <c r="A3155">
        <v>3154</v>
      </c>
      <c r="B3155" s="23">
        <v>1592.847</v>
      </c>
      <c r="C3155" s="23">
        <v>761.21</v>
      </c>
      <c r="D3155" s="23">
        <v>2904.4229999999998</v>
      </c>
      <c r="E3155" s="23">
        <v>1592.847</v>
      </c>
      <c r="F3155" s="23">
        <v>-1311.576</v>
      </c>
      <c r="G3155" s="23">
        <v>0</v>
      </c>
      <c r="H3155" s="23">
        <v>0</v>
      </c>
      <c r="I3155" s="23">
        <v>0</v>
      </c>
      <c r="J3155" s="23">
        <v>0</v>
      </c>
      <c r="K3155" s="23">
        <v>0</v>
      </c>
    </row>
    <row r="3156" spans="1:11" x14ac:dyDescent="0.25">
      <c r="A3156">
        <v>3155</v>
      </c>
      <c r="B3156" s="23">
        <v>1626.6089999999999</v>
      </c>
      <c r="C3156" s="23">
        <v>673.47</v>
      </c>
      <c r="D3156" s="23">
        <v>2520.4720000000002</v>
      </c>
      <c r="E3156" s="23">
        <v>1626.6089999999999</v>
      </c>
      <c r="F3156" s="23">
        <v>-893.86300000000006</v>
      </c>
      <c r="G3156" s="23">
        <v>0</v>
      </c>
      <c r="H3156" s="23">
        <v>0</v>
      </c>
      <c r="I3156" s="23">
        <v>0</v>
      </c>
      <c r="J3156" s="23">
        <v>0</v>
      </c>
      <c r="K3156" s="23">
        <v>0</v>
      </c>
    </row>
    <row r="3157" spans="1:11" x14ac:dyDescent="0.25">
      <c r="A3157">
        <v>3156</v>
      </c>
      <c r="B3157" s="23">
        <v>1541.713</v>
      </c>
      <c r="C3157" s="23">
        <v>638.30999999999995</v>
      </c>
      <c r="D3157" s="23">
        <v>2388.384</v>
      </c>
      <c r="E3157" s="23">
        <v>1541.713</v>
      </c>
      <c r="F3157" s="23">
        <v>-846.67100000000005</v>
      </c>
      <c r="G3157" s="23">
        <v>0</v>
      </c>
      <c r="H3157" s="23">
        <v>0</v>
      </c>
      <c r="I3157" s="23">
        <v>0</v>
      </c>
      <c r="J3157" s="23">
        <v>0</v>
      </c>
      <c r="K3157" s="23">
        <v>0</v>
      </c>
    </row>
    <row r="3158" spans="1:11" x14ac:dyDescent="0.25">
      <c r="A3158">
        <v>3157</v>
      </c>
      <c r="B3158" s="23">
        <v>1622.298</v>
      </c>
      <c r="C3158" s="23">
        <v>706.56</v>
      </c>
      <c r="D3158" s="23">
        <v>2640.5349999999999</v>
      </c>
      <c r="E3158" s="23">
        <v>1622.298</v>
      </c>
      <c r="F3158" s="23">
        <v>-1018.237</v>
      </c>
      <c r="G3158" s="23">
        <v>0</v>
      </c>
      <c r="H3158" s="23">
        <v>0</v>
      </c>
      <c r="I3158" s="23">
        <v>0</v>
      </c>
      <c r="J3158" s="23">
        <v>0</v>
      </c>
      <c r="K3158" s="23">
        <v>0</v>
      </c>
    </row>
    <row r="3159" spans="1:11" x14ac:dyDescent="0.25">
      <c r="A3159">
        <v>3158</v>
      </c>
      <c r="B3159" s="23">
        <v>1448.694</v>
      </c>
      <c r="C3159" s="23">
        <v>496.42</v>
      </c>
      <c r="D3159" s="23">
        <v>1884.9649999999999</v>
      </c>
      <c r="E3159" s="23">
        <v>1448.694</v>
      </c>
      <c r="F3159" s="23">
        <v>-436.27100000000002</v>
      </c>
      <c r="G3159" s="23">
        <v>0</v>
      </c>
      <c r="H3159" s="23">
        <v>0</v>
      </c>
      <c r="I3159" s="23">
        <v>0</v>
      </c>
      <c r="J3159" s="23">
        <v>0</v>
      </c>
      <c r="K3159" s="23">
        <v>0</v>
      </c>
    </row>
    <row r="3160" spans="1:11" x14ac:dyDescent="0.25">
      <c r="A3160">
        <v>3159</v>
      </c>
      <c r="B3160" s="23">
        <v>1620.3869999999999</v>
      </c>
      <c r="C3160" s="23">
        <v>385.68</v>
      </c>
      <c r="D3160" s="23">
        <v>1480.7439999999999</v>
      </c>
      <c r="E3160" s="23">
        <v>1480.7439999999999</v>
      </c>
      <c r="F3160" s="23">
        <v>0</v>
      </c>
      <c r="G3160" s="23">
        <v>0</v>
      </c>
      <c r="H3160" s="23">
        <v>0</v>
      </c>
      <c r="I3160" s="23">
        <v>139.643</v>
      </c>
      <c r="J3160" s="23">
        <v>0</v>
      </c>
      <c r="K3160" s="23">
        <v>0</v>
      </c>
    </row>
    <row r="3161" spans="1:11" x14ac:dyDescent="0.25">
      <c r="A3161">
        <v>3160</v>
      </c>
      <c r="B3161" s="23">
        <v>1509.9939999999999</v>
      </c>
      <c r="C3161" s="23">
        <v>251.99</v>
      </c>
      <c r="D3161" s="23">
        <v>974.71199999999999</v>
      </c>
      <c r="E3161" s="23">
        <v>974.71199999999999</v>
      </c>
      <c r="F3161" s="23">
        <v>0</v>
      </c>
      <c r="G3161" s="23">
        <v>0</v>
      </c>
      <c r="H3161" s="23">
        <v>0</v>
      </c>
      <c r="I3161" s="23">
        <v>535.28200000000004</v>
      </c>
      <c r="J3161" s="23">
        <v>0</v>
      </c>
      <c r="K3161" s="23">
        <v>0</v>
      </c>
    </row>
    <row r="3162" spans="1:11" x14ac:dyDescent="0.25">
      <c r="A3162">
        <v>3161</v>
      </c>
      <c r="B3162" s="23">
        <v>1315.27</v>
      </c>
      <c r="C3162" s="23">
        <v>190.5</v>
      </c>
      <c r="D3162" s="23">
        <v>735.78499999999997</v>
      </c>
      <c r="E3162" s="23">
        <v>735.78499999999997</v>
      </c>
      <c r="F3162" s="23">
        <v>0</v>
      </c>
      <c r="G3162" s="23">
        <v>0</v>
      </c>
      <c r="H3162" s="23">
        <v>0</v>
      </c>
      <c r="I3162" s="23">
        <v>579.48500000000001</v>
      </c>
      <c r="J3162" s="23">
        <v>0</v>
      </c>
      <c r="K3162" s="23">
        <v>0</v>
      </c>
    </row>
    <row r="3163" spans="1:11" x14ac:dyDescent="0.25">
      <c r="A3163">
        <v>3162</v>
      </c>
      <c r="B3163" s="23">
        <v>1693.54</v>
      </c>
      <c r="C3163" s="23">
        <v>49.29</v>
      </c>
      <c r="D3163" s="23">
        <v>159.71</v>
      </c>
      <c r="E3163" s="23">
        <v>159.71</v>
      </c>
      <c r="F3163" s="23">
        <v>0</v>
      </c>
      <c r="G3163" s="23">
        <v>0</v>
      </c>
      <c r="H3163" s="23">
        <v>0</v>
      </c>
      <c r="I3163" s="23">
        <v>0</v>
      </c>
      <c r="J3163" s="23">
        <v>0</v>
      </c>
      <c r="K3163" s="23">
        <v>1533.83</v>
      </c>
    </row>
    <row r="3164" spans="1:11" x14ac:dyDescent="0.25">
      <c r="A3164">
        <v>3163</v>
      </c>
      <c r="B3164" s="23">
        <v>1887.87</v>
      </c>
      <c r="C3164" s="23">
        <v>0</v>
      </c>
      <c r="D3164" s="23">
        <v>0</v>
      </c>
      <c r="E3164" s="23">
        <v>0</v>
      </c>
      <c r="F3164" s="23">
        <v>0</v>
      </c>
      <c r="G3164" s="23">
        <v>0</v>
      </c>
      <c r="H3164" s="23">
        <v>0</v>
      </c>
      <c r="I3164" s="23">
        <v>203.31100000000001</v>
      </c>
      <c r="J3164" s="23">
        <v>0</v>
      </c>
      <c r="K3164" s="23">
        <v>1684.559</v>
      </c>
    </row>
    <row r="3165" spans="1:11" x14ac:dyDescent="0.25">
      <c r="A3165">
        <v>3164</v>
      </c>
      <c r="B3165" s="23">
        <v>1574.4</v>
      </c>
      <c r="C3165" s="23">
        <v>0</v>
      </c>
      <c r="D3165" s="23">
        <v>0</v>
      </c>
      <c r="E3165" s="23">
        <v>0</v>
      </c>
      <c r="F3165" s="23">
        <v>0</v>
      </c>
      <c r="G3165" s="23">
        <v>0</v>
      </c>
      <c r="H3165" s="23">
        <v>0</v>
      </c>
      <c r="I3165" s="23">
        <v>0</v>
      </c>
      <c r="J3165" s="23">
        <v>0</v>
      </c>
      <c r="K3165" s="23">
        <v>1574.4</v>
      </c>
    </row>
    <row r="3166" spans="1:11" x14ac:dyDescent="0.25">
      <c r="A3166">
        <v>3165</v>
      </c>
      <c r="B3166" s="23">
        <v>1738.4</v>
      </c>
      <c r="C3166" s="23">
        <v>0</v>
      </c>
      <c r="D3166" s="23">
        <v>0</v>
      </c>
      <c r="E3166" s="23">
        <v>0</v>
      </c>
      <c r="F3166" s="23">
        <v>0</v>
      </c>
      <c r="G3166" s="23">
        <v>0</v>
      </c>
      <c r="H3166" s="23">
        <v>0</v>
      </c>
      <c r="I3166" s="23">
        <v>1738.4</v>
      </c>
      <c r="J3166" s="23">
        <v>0</v>
      </c>
      <c r="K3166" s="23">
        <v>0</v>
      </c>
    </row>
    <row r="3167" spans="1:11" x14ac:dyDescent="0.25">
      <c r="A3167">
        <v>3166</v>
      </c>
      <c r="B3167" s="23">
        <v>1488</v>
      </c>
      <c r="C3167" s="23">
        <v>0</v>
      </c>
      <c r="D3167" s="23">
        <v>0</v>
      </c>
      <c r="E3167" s="23">
        <v>0</v>
      </c>
      <c r="F3167" s="23">
        <v>0</v>
      </c>
      <c r="G3167" s="23">
        <v>0</v>
      </c>
      <c r="H3167" s="23">
        <v>0</v>
      </c>
      <c r="I3167" s="23">
        <v>652.92999999999995</v>
      </c>
      <c r="J3167" s="23">
        <v>0</v>
      </c>
      <c r="K3167" s="23">
        <v>835.07</v>
      </c>
    </row>
    <row r="3168" spans="1:11" x14ac:dyDescent="0.25">
      <c r="A3168">
        <v>3167</v>
      </c>
      <c r="B3168" s="23">
        <v>1567.2</v>
      </c>
      <c r="C3168" s="23">
        <v>0</v>
      </c>
      <c r="D3168" s="23">
        <v>0</v>
      </c>
      <c r="E3168" s="23">
        <v>0</v>
      </c>
      <c r="F3168" s="23">
        <v>0</v>
      </c>
      <c r="G3168" s="23">
        <v>0</v>
      </c>
      <c r="H3168" s="23">
        <v>0</v>
      </c>
      <c r="I3168" s="23">
        <v>1567.2</v>
      </c>
      <c r="J3168" s="23">
        <v>0</v>
      </c>
      <c r="K3168" s="23">
        <v>0</v>
      </c>
    </row>
    <row r="3169" spans="1:11" x14ac:dyDescent="0.25">
      <c r="A3169">
        <v>3168</v>
      </c>
      <c r="B3169" s="23">
        <v>0</v>
      </c>
      <c r="C3169" s="23">
        <v>0</v>
      </c>
      <c r="D3169" s="23">
        <v>0</v>
      </c>
      <c r="E3169" s="23">
        <v>0</v>
      </c>
      <c r="F3169" s="23">
        <v>0</v>
      </c>
      <c r="G3169" s="23">
        <v>0</v>
      </c>
      <c r="H3169" s="23">
        <v>0</v>
      </c>
      <c r="I3169" s="23">
        <v>0</v>
      </c>
      <c r="J3169" s="23">
        <v>0</v>
      </c>
      <c r="K3169" s="23">
        <v>0</v>
      </c>
    </row>
    <row r="3170" spans="1:11" x14ac:dyDescent="0.25">
      <c r="A3170">
        <v>3169</v>
      </c>
      <c r="B3170" s="23">
        <v>0</v>
      </c>
      <c r="C3170" s="23">
        <v>0</v>
      </c>
      <c r="D3170" s="23">
        <v>0</v>
      </c>
      <c r="E3170" s="23">
        <v>0</v>
      </c>
      <c r="F3170" s="23">
        <v>0</v>
      </c>
      <c r="G3170" s="23">
        <v>0</v>
      </c>
      <c r="H3170" s="23">
        <v>0</v>
      </c>
      <c r="I3170" s="23">
        <v>0</v>
      </c>
      <c r="J3170" s="23">
        <v>0</v>
      </c>
      <c r="K3170" s="23">
        <v>0</v>
      </c>
    </row>
    <row r="3171" spans="1:11" x14ac:dyDescent="0.25">
      <c r="A3171">
        <v>3170</v>
      </c>
      <c r="B3171" s="23">
        <v>0</v>
      </c>
      <c r="C3171" s="23">
        <v>0</v>
      </c>
      <c r="D3171" s="23">
        <v>0</v>
      </c>
      <c r="E3171" s="23">
        <v>0</v>
      </c>
      <c r="F3171" s="23">
        <v>0</v>
      </c>
      <c r="G3171" s="23">
        <v>0</v>
      </c>
      <c r="H3171" s="23">
        <v>0</v>
      </c>
      <c r="I3171" s="23">
        <v>0</v>
      </c>
      <c r="J3171" s="23">
        <v>0</v>
      </c>
      <c r="K3171" s="23">
        <v>0</v>
      </c>
    </row>
    <row r="3172" spans="1:11" x14ac:dyDescent="0.25">
      <c r="A3172">
        <v>3171</v>
      </c>
      <c r="B3172" s="23">
        <v>0</v>
      </c>
      <c r="C3172" s="23">
        <v>0</v>
      </c>
      <c r="D3172" s="23">
        <v>0</v>
      </c>
      <c r="E3172" s="23">
        <v>0</v>
      </c>
      <c r="F3172" s="23">
        <v>0</v>
      </c>
      <c r="G3172" s="23">
        <v>0</v>
      </c>
      <c r="H3172" s="23">
        <v>0</v>
      </c>
      <c r="I3172" s="23">
        <v>0</v>
      </c>
      <c r="J3172" s="23">
        <v>0</v>
      </c>
      <c r="K3172" s="23">
        <v>0</v>
      </c>
    </row>
    <row r="3173" spans="1:11" x14ac:dyDescent="0.25">
      <c r="A3173">
        <v>3172</v>
      </c>
      <c r="B3173" s="23">
        <v>0</v>
      </c>
      <c r="C3173" s="23">
        <v>0</v>
      </c>
      <c r="D3173" s="23">
        <v>0</v>
      </c>
      <c r="E3173" s="23">
        <v>0</v>
      </c>
      <c r="F3173" s="23">
        <v>0</v>
      </c>
      <c r="G3173" s="23">
        <v>0</v>
      </c>
      <c r="H3173" s="23">
        <v>0</v>
      </c>
      <c r="I3173" s="23">
        <v>0</v>
      </c>
      <c r="J3173" s="23">
        <v>0</v>
      </c>
      <c r="K3173" s="23">
        <v>0</v>
      </c>
    </row>
    <row r="3174" spans="1:11" x14ac:dyDescent="0.25">
      <c r="A3174">
        <v>3173</v>
      </c>
      <c r="B3174" s="23">
        <v>0</v>
      </c>
      <c r="C3174" s="23">
        <v>0</v>
      </c>
      <c r="D3174" s="23">
        <v>0</v>
      </c>
      <c r="E3174" s="23">
        <v>0</v>
      </c>
      <c r="F3174" s="23">
        <v>0</v>
      </c>
      <c r="G3174" s="23">
        <v>0</v>
      </c>
      <c r="H3174" s="23">
        <v>0</v>
      </c>
      <c r="I3174" s="23">
        <v>0</v>
      </c>
      <c r="J3174" s="23">
        <v>0</v>
      </c>
      <c r="K3174" s="23">
        <v>0</v>
      </c>
    </row>
    <row r="3175" spans="1:11" x14ac:dyDescent="0.25">
      <c r="A3175">
        <v>3174</v>
      </c>
      <c r="B3175" s="23">
        <v>0</v>
      </c>
      <c r="C3175" s="23">
        <v>0</v>
      </c>
      <c r="D3175" s="23">
        <v>0</v>
      </c>
      <c r="E3175" s="23">
        <v>0</v>
      </c>
      <c r="F3175" s="23">
        <v>0</v>
      </c>
      <c r="G3175" s="23">
        <v>0</v>
      </c>
      <c r="H3175" s="23">
        <v>0</v>
      </c>
      <c r="I3175" s="23">
        <v>0</v>
      </c>
      <c r="J3175" s="23">
        <v>0</v>
      </c>
      <c r="K3175" s="23">
        <v>0</v>
      </c>
    </row>
    <row r="3176" spans="1:11" x14ac:dyDescent="0.25">
      <c r="A3176">
        <v>3175</v>
      </c>
      <c r="B3176" s="23">
        <v>1222.3979999999999</v>
      </c>
      <c r="C3176" s="23">
        <v>109.4</v>
      </c>
      <c r="D3176" s="23">
        <v>394.173</v>
      </c>
      <c r="E3176" s="23">
        <v>394.173</v>
      </c>
      <c r="F3176" s="23">
        <v>0</v>
      </c>
      <c r="G3176" s="23">
        <v>0</v>
      </c>
      <c r="H3176" s="23">
        <v>0</v>
      </c>
      <c r="I3176" s="23">
        <v>0</v>
      </c>
      <c r="J3176" s="23">
        <v>0</v>
      </c>
      <c r="K3176" s="23">
        <v>828.22500000000002</v>
      </c>
    </row>
    <row r="3177" spans="1:11" x14ac:dyDescent="0.25">
      <c r="A3177">
        <v>3176</v>
      </c>
      <c r="B3177" s="23">
        <v>1224.2460000000001</v>
      </c>
      <c r="C3177" s="23">
        <v>289.20999999999998</v>
      </c>
      <c r="D3177" s="23">
        <v>1128.481</v>
      </c>
      <c r="E3177" s="23">
        <v>1128.481</v>
      </c>
      <c r="F3177" s="23">
        <v>0</v>
      </c>
      <c r="G3177" s="23">
        <v>0</v>
      </c>
      <c r="H3177" s="23">
        <v>0</v>
      </c>
      <c r="I3177" s="23">
        <v>0</v>
      </c>
      <c r="J3177" s="23">
        <v>0</v>
      </c>
      <c r="K3177" s="23">
        <v>95.765000000000001</v>
      </c>
    </row>
    <row r="3178" spans="1:11" x14ac:dyDescent="0.25">
      <c r="A3178">
        <v>3177</v>
      </c>
      <c r="B3178" s="23">
        <v>1405.356</v>
      </c>
      <c r="C3178" s="23">
        <v>582.37</v>
      </c>
      <c r="D3178" s="23">
        <v>2273.6419999999998</v>
      </c>
      <c r="E3178" s="23">
        <v>1405.356</v>
      </c>
      <c r="F3178" s="23">
        <v>-868.28599999999994</v>
      </c>
      <c r="G3178" s="23">
        <v>0</v>
      </c>
      <c r="H3178" s="23">
        <v>0</v>
      </c>
      <c r="I3178" s="23">
        <v>0</v>
      </c>
      <c r="J3178" s="23">
        <v>0</v>
      </c>
      <c r="K3178" s="23">
        <v>0</v>
      </c>
    </row>
    <row r="3179" spans="1:11" x14ac:dyDescent="0.25">
      <c r="A3179">
        <v>3178</v>
      </c>
      <c r="B3179" s="23">
        <v>1702.904</v>
      </c>
      <c r="C3179" s="23">
        <v>768.03</v>
      </c>
      <c r="D3179" s="23">
        <v>2915.86</v>
      </c>
      <c r="E3179" s="23">
        <v>1702.904</v>
      </c>
      <c r="F3179" s="23">
        <v>-1212.9559999999999</v>
      </c>
      <c r="G3179" s="23">
        <v>0</v>
      </c>
      <c r="H3179" s="23">
        <v>0</v>
      </c>
      <c r="I3179" s="23">
        <v>0</v>
      </c>
      <c r="J3179" s="23">
        <v>0</v>
      </c>
      <c r="K3179" s="23">
        <v>0</v>
      </c>
    </row>
    <row r="3180" spans="1:11" x14ac:dyDescent="0.25">
      <c r="A3180">
        <v>3179</v>
      </c>
      <c r="B3180" s="23">
        <v>1163.6389999999999</v>
      </c>
      <c r="C3180" s="23">
        <v>754.55</v>
      </c>
      <c r="D3180" s="23">
        <v>2795.3530000000001</v>
      </c>
      <c r="E3180" s="23">
        <v>1163.6389999999999</v>
      </c>
      <c r="F3180" s="23">
        <v>-1631.7139999999999</v>
      </c>
      <c r="G3180" s="23">
        <v>0</v>
      </c>
      <c r="H3180" s="23">
        <v>0</v>
      </c>
      <c r="I3180" s="23">
        <v>0</v>
      </c>
      <c r="J3180" s="23">
        <v>0</v>
      </c>
      <c r="K3180" s="23">
        <v>0</v>
      </c>
    </row>
    <row r="3181" spans="1:11" x14ac:dyDescent="0.25">
      <c r="A3181">
        <v>3180</v>
      </c>
      <c r="B3181" s="23">
        <v>1654.0930000000001</v>
      </c>
      <c r="C3181" s="23">
        <v>744.09</v>
      </c>
      <c r="D3181" s="23">
        <v>2742.1460000000002</v>
      </c>
      <c r="E3181" s="23">
        <v>1654.0930000000001</v>
      </c>
      <c r="F3181" s="23">
        <v>-1088.0530000000001</v>
      </c>
      <c r="G3181" s="23">
        <v>0</v>
      </c>
      <c r="H3181" s="23">
        <v>0</v>
      </c>
      <c r="I3181" s="23">
        <v>0</v>
      </c>
      <c r="J3181" s="23">
        <v>0</v>
      </c>
      <c r="K3181" s="23">
        <v>0</v>
      </c>
    </row>
    <row r="3182" spans="1:11" x14ac:dyDescent="0.25">
      <c r="A3182">
        <v>3181</v>
      </c>
      <c r="B3182" s="23">
        <v>1527.8810000000001</v>
      </c>
      <c r="C3182" s="23">
        <v>817.98</v>
      </c>
      <c r="D3182" s="23">
        <v>2991.6779999999999</v>
      </c>
      <c r="E3182" s="23">
        <v>1527.8810000000001</v>
      </c>
      <c r="F3182" s="23">
        <v>-1463.797</v>
      </c>
      <c r="G3182" s="23">
        <v>0</v>
      </c>
      <c r="H3182" s="23">
        <v>0</v>
      </c>
      <c r="I3182" s="23">
        <v>0</v>
      </c>
      <c r="J3182" s="23">
        <v>0</v>
      </c>
      <c r="K3182" s="23">
        <v>0</v>
      </c>
    </row>
    <row r="3183" spans="1:11" x14ac:dyDescent="0.25">
      <c r="A3183">
        <v>3182</v>
      </c>
      <c r="B3183" s="23">
        <v>1582.693</v>
      </c>
      <c r="C3183" s="23">
        <v>846.62</v>
      </c>
      <c r="D3183" s="23">
        <v>3153.4229999999998</v>
      </c>
      <c r="E3183" s="23">
        <v>1582.693</v>
      </c>
      <c r="F3183" s="23">
        <v>-1026.694</v>
      </c>
      <c r="G3183" s="23">
        <v>0</v>
      </c>
      <c r="H3183" s="23">
        <v>544.03599999999994</v>
      </c>
      <c r="I3183" s="23">
        <v>0</v>
      </c>
      <c r="J3183" s="23">
        <v>0</v>
      </c>
      <c r="K3183" s="23">
        <v>0</v>
      </c>
    </row>
    <row r="3184" spans="1:11" x14ac:dyDescent="0.25">
      <c r="A3184">
        <v>3183</v>
      </c>
      <c r="B3184" s="23">
        <v>1693.1980000000001</v>
      </c>
      <c r="C3184" s="23">
        <v>607.42999999999995</v>
      </c>
      <c r="D3184" s="23">
        <v>2284.8670000000002</v>
      </c>
      <c r="E3184" s="23">
        <v>1693.1980000000001</v>
      </c>
      <c r="F3184" s="23">
        <v>0</v>
      </c>
      <c r="G3184" s="23">
        <v>0</v>
      </c>
      <c r="H3184" s="23">
        <v>591.66899999999998</v>
      </c>
      <c r="I3184" s="23">
        <v>0</v>
      </c>
      <c r="J3184" s="23">
        <v>0</v>
      </c>
      <c r="K3184" s="23">
        <v>0</v>
      </c>
    </row>
    <row r="3185" spans="1:11" x14ac:dyDescent="0.25">
      <c r="A3185">
        <v>3184</v>
      </c>
      <c r="B3185" s="23">
        <v>1547.8869999999999</v>
      </c>
      <c r="C3185" s="23">
        <v>312.74</v>
      </c>
      <c r="D3185" s="23">
        <v>1195.2380000000001</v>
      </c>
      <c r="E3185" s="23">
        <v>1195.2380000000001</v>
      </c>
      <c r="F3185" s="23">
        <v>0</v>
      </c>
      <c r="G3185" s="23">
        <v>0</v>
      </c>
      <c r="H3185" s="23">
        <v>0</v>
      </c>
      <c r="I3185" s="23">
        <v>352.649</v>
      </c>
      <c r="J3185" s="23">
        <v>0</v>
      </c>
      <c r="K3185" s="23">
        <v>0</v>
      </c>
    </row>
    <row r="3186" spans="1:11" x14ac:dyDescent="0.25">
      <c r="A3186">
        <v>3185</v>
      </c>
      <c r="B3186" s="23">
        <v>1494.49</v>
      </c>
      <c r="C3186" s="23">
        <v>197.75</v>
      </c>
      <c r="D3186" s="23">
        <v>751.34900000000005</v>
      </c>
      <c r="E3186" s="23">
        <v>751.34900000000005</v>
      </c>
      <c r="F3186" s="23">
        <v>0</v>
      </c>
      <c r="G3186" s="23">
        <v>0</v>
      </c>
      <c r="H3186" s="23">
        <v>0</v>
      </c>
      <c r="I3186" s="23">
        <v>743.14099999999996</v>
      </c>
      <c r="J3186" s="23">
        <v>0</v>
      </c>
      <c r="K3186" s="23">
        <v>0</v>
      </c>
    </row>
    <row r="3187" spans="1:11" x14ac:dyDescent="0.25">
      <c r="A3187">
        <v>3186</v>
      </c>
      <c r="B3187" s="23">
        <v>1557.6</v>
      </c>
      <c r="C3187" s="23">
        <v>51.69</v>
      </c>
      <c r="D3187" s="23">
        <v>165.32</v>
      </c>
      <c r="E3187" s="23">
        <v>165.32</v>
      </c>
      <c r="F3187" s="23">
        <v>0</v>
      </c>
      <c r="G3187" s="23">
        <v>0</v>
      </c>
      <c r="H3187" s="23">
        <v>0</v>
      </c>
      <c r="I3187" s="23">
        <v>0</v>
      </c>
      <c r="J3187" s="23">
        <v>0</v>
      </c>
      <c r="K3187" s="23">
        <v>1392.28</v>
      </c>
    </row>
    <row r="3188" spans="1:11" x14ac:dyDescent="0.25">
      <c r="A3188">
        <v>3187</v>
      </c>
      <c r="B3188" s="23">
        <v>1736.8</v>
      </c>
      <c r="C3188" s="23">
        <v>0</v>
      </c>
      <c r="D3188" s="23">
        <v>0</v>
      </c>
      <c r="E3188" s="23">
        <v>0</v>
      </c>
      <c r="F3188" s="23">
        <v>0</v>
      </c>
      <c r="G3188" s="23">
        <v>0</v>
      </c>
      <c r="H3188" s="23">
        <v>0</v>
      </c>
      <c r="I3188" s="23">
        <v>52.241</v>
      </c>
      <c r="J3188" s="23">
        <v>0</v>
      </c>
      <c r="K3188" s="23">
        <v>1684.559</v>
      </c>
    </row>
    <row r="3189" spans="1:11" x14ac:dyDescent="0.25">
      <c r="A3189">
        <v>3188</v>
      </c>
      <c r="B3189" s="23">
        <v>1518.4</v>
      </c>
      <c r="C3189" s="23">
        <v>0</v>
      </c>
      <c r="D3189" s="23">
        <v>0</v>
      </c>
      <c r="E3189" s="23">
        <v>0</v>
      </c>
      <c r="F3189" s="23">
        <v>0</v>
      </c>
      <c r="G3189" s="23">
        <v>0</v>
      </c>
      <c r="H3189" s="23">
        <v>0</v>
      </c>
      <c r="I3189" s="23">
        <v>0</v>
      </c>
      <c r="J3189" s="23">
        <v>0</v>
      </c>
      <c r="K3189" s="23">
        <v>1518.4</v>
      </c>
    </row>
    <row r="3190" spans="1:11" x14ac:dyDescent="0.25">
      <c r="A3190">
        <v>3189</v>
      </c>
      <c r="B3190" s="23">
        <v>1556</v>
      </c>
      <c r="C3190" s="23">
        <v>0</v>
      </c>
      <c r="D3190" s="23">
        <v>0</v>
      </c>
      <c r="E3190" s="23">
        <v>0</v>
      </c>
      <c r="F3190" s="23">
        <v>0</v>
      </c>
      <c r="G3190" s="23">
        <v>0</v>
      </c>
      <c r="H3190" s="23">
        <v>0</v>
      </c>
      <c r="I3190" s="23">
        <v>1556</v>
      </c>
      <c r="J3190" s="23">
        <v>0</v>
      </c>
      <c r="K3190" s="23">
        <v>0</v>
      </c>
    </row>
    <row r="3191" spans="1:11" x14ac:dyDescent="0.25">
      <c r="A3191">
        <v>3190</v>
      </c>
      <c r="B3191" s="23">
        <v>1313.6</v>
      </c>
      <c r="C3191" s="23">
        <v>0</v>
      </c>
      <c r="D3191" s="23">
        <v>0</v>
      </c>
      <c r="E3191" s="23">
        <v>0</v>
      </c>
      <c r="F3191" s="23">
        <v>0</v>
      </c>
      <c r="G3191" s="23">
        <v>0</v>
      </c>
      <c r="H3191" s="23">
        <v>0</v>
      </c>
      <c r="I3191" s="23">
        <v>72.893000000000001</v>
      </c>
      <c r="J3191" s="23">
        <v>0</v>
      </c>
      <c r="K3191" s="23">
        <v>1240.7070000000001</v>
      </c>
    </row>
    <row r="3192" spans="1:11" x14ac:dyDescent="0.25">
      <c r="A3192">
        <v>3191</v>
      </c>
      <c r="B3192" s="23">
        <v>1468.8</v>
      </c>
      <c r="C3192" s="23">
        <v>0</v>
      </c>
      <c r="D3192" s="23">
        <v>0</v>
      </c>
      <c r="E3192" s="23">
        <v>0</v>
      </c>
      <c r="F3192" s="23">
        <v>0</v>
      </c>
      <c r="G3192" s="23">
        <v>0</v>
      </c>
      <c r="H3192" s="23">
        <v>0</v>
      </c>
      <c r="I3192" s="23">
        <v>1468.8</v>
      </c>
      <c r="J3192" s="23">
        <v>0</v>
      </c>
      <c r="K3192" s="23">
        <v>0</v>
      </c>
    </row>
    <row r="3193" spans="1:11" x14ac:dyDescent="0.25">
      <c r="A3193">
        <v>3192</v>
      </c>
      <c r="B3193" s="23">
        <v>0</v>
      </c>
      <c r="C3193" s="23">
        <v>0</v>
      </c>
      <c r="D3193" s="23">
        <v>0</v>
      </c>
      <c r="E3193" s="23">
        <v>0</v>
      </c>
      <c r="F3193" s="23">
        <v>0</v>
      </c>
      <c r="G3193" s="23">
        <v>0</v>
      </c>
      <c r="H3193" s="23">
        <v>0</v>
      </c>
      <c r="I3193" s="23">
        <v>0</v>
      </c>
      <c r="J3193" s="23">
        <v>0</v>
      </c>
      <c r="K3193" s="23">
        <v>0</v>
      </c>
    </row>
    <row r="3194" spans="1:11" x14ac:dyDescent="0.25">
      <c r="A3194">
        <v>3193</v>
      </c>
      <c r="B3194" s="23">
        <v>0</v>
      </c>
      <c r="C3194" s="23">
        <v>0</v>
      </c>
      <c r="D3194" s="23">
        <v>0</v>
      </c>
      <c r="E3194" s="23">
        <v>0</v>
      </c>
      <c r="F3194" s="23">
        <v>0</v>
      </c>
      <c r="G3194" s="23">
        <v>0</v>
      </c>
      <c r="H3194" s="23">
        <v>0</v>
      </c>
      <c r="I3194" s="23">
        <v>0</v>
      </c>
      <c r="J3194" s="23">
        <v>0</v>
      </c>
      <c r="K3194" s="23">
        <v>0</v>
      </c>
    </row>
    <row r="3195" spans="1:11" x14ac:dyDescent="0.25">
      <c r="A3195">
        <v>3194</v>
      </c>
      <c r="B3195" s="23">
        <v>0</v>
      </c>
      <c r="C3195" s="23">
        <v>0</v>
      </c>
      <c r="D3195" s="23">
        <v>0</v>
      </c>
      <c r="E3195" s="23">
        <v>0</v>
      </c>
      <c r="F3195" s="23">
        <v>0</v>
      </c>
      <c r="G3195" s="23">
        <v>0</v>
      </c>
      <c r="H3195" s="23">
        <v>0</v>
      </c>
      <c r="I3195" s="23">
        <v>0</v>
      </c>
      <c r="J3195" s="23">
        <v>0</v>
      </c>
      <c r="K3195" s="23">
        <v>0</v>
      </c>
    </row>
    <row r="3196" spans="1:11" x14ac:dyDescent="0.25">
      <c r="A3196">
        <v>3195</v>
      </c>
      <c r="B3196" s="23">
        <v>0</v>
      </c>
      <c r="C3196" s="23">
        <v>0</v>
      </c>
      <c r="D3196" s="23">
        <v>0</v>
      </c>
      <c r="E3196" s="23">
        <v>0</v>
      </c>
      <c r="F3196" s="23">
        <v>0</v>
      </c>
      <c r="G3196" s="23">
        <v>0</v>
      </c>
      <c r="H3196" s="23">
        <v>0</v>
      </c>
      <c r="I3196" s="23">
        <v>0</v>
      </c>
      <c r="J3196" s="23">
        <v>0</v>
      </c>
      <c r="K3196" s="23">
        <v>0</v>
      </c>
    </row>
    <row r="3197" spans="1:11" x14ac:dyDescent="0.25">
      <c r="A3197">
        <v>3196</v>
      </c>
      <c r="B3197" s="23">
        <v>0</v>
      </c>
      <c r="C3197" s="23">
        <v>0</v>
      </c>
      <c r="D3197" s="23">
        <v>0</v>
      </c>
      <c r="E3197" s="23">
        <v>0</v>
      </c>
      <c r="F3197" s="23">
        <v>0</v>
      </c>
      <c r="G3197" s="23">
        <v>0</v>
      </c>
      <c r="H3197" s="23">
        <v>0</v>
      </c>
      <c r="I3197" s="23">
        <v>0</v>
      </c>
      <c r="J3197" s="23">
        <v>0</v>
      </c>
      <c r="K3197" s="23">
        <v>0</v>
      </c>
    </row>
    <row r="3198" spans="1:11" x14ac:dyDescent="0.25">
      <c r="A3198">
        <v>3197</v>
      </c>
      <c r="B3198" s="23">
        <v>0</v>
      </c>
      <c r="C3198" s="23">
        <v>0</v>
      </c>
      <c r="D3198" s="23">
        <v>0</v>
      </c>
      <c r="E3198" s="23">
        <v>0</v>
      </c>
      <c r="F3198" s="23">
        <v>0</v>
      </c>
      <c r="G3198" s="23">
        <v>0</v>
      </c>
      <c r="H3198" s="23">
        <v>0</v>
      </c>
      <c r="I3198" s="23">
        <v>0</v>
      </c>
      <c r="J3198" s="23">
        <v>0</v>
      </c>
      <c r="K3198" s="23">
        <v>0</v>
      </c>
    </row>
    <row r="3199" spans="1:11" x14ac:dyDescent="0.25">
      <c r="A3199">
        <v>3198</v>
      </c>
      <c r="B3199" s="23">
        <v>0</v>
      </c>
      <c r="C3199" s="23">
        <v>0</v>
      </c>
      <c r="D3199" s="23">
        <v>0</v>
      </c>
      <c r="E3199" s="23">
        <v>0</v>
      </c>
      <c r="F3199" s="23">
        <v>0</v>
      </c>
      <c r="G3199" s="23">
        <v>0</v>
      </c>
      <c r="H3199" s="23">
        <v>0</v>
      </c>
      <c r="I3199" s="23">
        <v>0</v>
      </c>
      <c r="J3199" s="23">
        <v>0</v>
      </c>
      <c r="K3199" s="23">
        <v>0</v>
      </c>
    </row>
    <row r="3200" spans="1:11" x14ac:dyDescent="0.25">
      <c r="A3200">
        <v>3199</v>
      </c>
      <c r="B3200" s="23">
        <v>1067.4639999999999</v>
      </c>
      <c r="C3200" s="23">
        <v>120.17</v>
      </c>
      <c r="D3200" s="23">
        <v>428.43299999999999</v>
      </c>
      <c r="E3200" s="23">
        <v>428.43299999999999</v>
      </c>
      <c r="F3200" s="23">
        <v>0</v>
      </c>
      <c r="G3200" s="23">
        <v>0</v>
      </c>
      <c r="H3200" s="23">
        <v>0</v>
      </c>
      <c r="I3200" s="23">
        <v>0</v>
      </c>
      <c r="J3200" s="23">
        <v>0</v>
      </c>
      <c r="K3200" s="23">
        <v>639.03099999999995</v>
      </c>
    </row>
    <row r="3201" spans="1:11" x14ac:dyDescent="0.25">
      <c r="A3201">
        <v>3200</v>
      </c>
      <c r="B3201" s="23">
        <v>1283.5619999999999</v>
      </c>
      <c r="C3201" s="23">
        <v>309.02999999999997</v>
      </c>
      <c r="D3201" s="23">
        <v>1206.691</v>
      </c>
      <c r="E3201" s="23">
        <v>1206.691</v>
      </c>
      <c r="F3201" s="23">
        <v>0</v>
      </c>
      <c r="G3201" s="23">
        <v>0</v>
      </c>
      <c r="H3201" s="23">
        <v>0</v>
      </c>
      <c r="I3201" s="23">
        <v>0</v>
      </c>
      <c r="J3201" s="23">
        <v>0</v>
      </c>
      <c r="K3201" s="23">
        <v>76.870999999999995</v>
      </c>
    </row>
    <row r="3202" spans="1:11" x14ac:dyDescent="0.25">
      <c r="A3202">
        <v>3201</v>
      </c>
      <c r="B3202" s="23">
        <v>1599.8309999999999</v>
      </c>
      <c r="C3202" s="23">
        <v>447.34</v>
      </c>
      <c r="D3202" s="23">
        <v>1722.5740000000001</v>
      </c>
      <c r="E3202" s="23">
        <v>1599.8309999999999</v>
      </c>
      <c r="F3202" s="23">
        <v>-122.74299999999999</v>
      </c>
      <c r="G3202" s="23">
        <v>0</v>
      </c>
      <c r="H3202" s="23">
        <v>0</v>
      </c>
      <c r="I3202" s="23">
        <v>0</v>
      </c>
      <c r="J3202" s="23">
        <v>0</v>
      </c>
      <c r="K3202" s="23">
        <v>0</v>
      </c>
    </row>
    <row r="3203" spans="1:11" x14ac:dyDescent="0.25">
      <c r="A3203">
        <v>3202</v>
      </c>
      <c r="B3203" s="23">
        <v>1734.3689999999999</v>
      </c>
      <c r="C3203" s="23">
        <v>748.59</v>
      </c>
      <c r="D3203" s="23">
        <v>2836.2860000000001</v>
      </c>
      <c r="E3203" s="23">
        <v>1734.3689999999999</v>
      </c>
      <c r="F3203" s="23">
        <v>-1101.9169999999999</v>
      </c>
      <c r="G3203" s="23">
        <v>0</v>
      </c>
      <c r="H3203" s="23">
        <v>0</v>
      </c>
      <c r="I3203" s="23">
        <v>0</v>
      </c>
      <c r="J3203" s="23">
        <v>0</v>
      </c>
      <c r="K3203" s="23">
        <v>0</v>
      </c>
    </row>
    <row r="3204" spans="1:11" x14ac:dyDescent="0.25">
      <c r="A3204">
        <v>3203</v>
      </c>
      <c r="B3204" s="23">
        <v>1623.038</v>
      </c>
      <c r="C3204" s="23">
        <v>889.39</v>
      </c>
      <c r="D3204" s="23">
        <v>3308.7979999999998</v>
      </c>
      <c r="E3204" s="23">
        <v>1623.038</v>
      </c>
      <c r="F3204" s="23">
        <v>-1684.559</v>
      </c>
      <c r="G3204" s="23">
        <v>0</v>
      </c>
      <c r="H3204" s="23">
        <v>1.2010000000000001</v>
      </c>
      <c r="I3204" s="23">
        <v>0</v>
      </c>
      <c r="J3204" s="23">
        <v>0</v>
      </c>
      <c r="K3204" s="23">
        <v>0</v>
      </c>
    </row>
    <row r="3205" spans="1:11" x14ac:dyDescent="0.25">
      <c r="A3205">
        <v>3204</v>
      </c>
      <c r="B3205" s="23">
        <v>1636.443</v>
      </c>
      <c r="C3205" s="23">
        <v>949.59</v>
      </c>
      <c r="D3205" s="23">
        <v>3506.2539999999999</v>
      </c>
      <c r="E3205" s="23">
        <v>1636.443</v>
      </c>
      <c r="F3205" s="23">
        <v>-1684.559</v>
      </c>
      <c r="G3205" s="23">
        <v>0</v>
      </c>
      <c r="H3205" s="23">
        <v>185.25200000000001</v>
      </c>
      <c r="I3205" s="23">
        <v>0</v>
      </c>
      <c r="J3205" s="23">
        <v>0</v>
      </c>
      <c r="K3205" s="23">
        <v>0</v>
      </c>
    </row>
    <row r="3206" spans="1:11" x14ac:dyDescent="0.25">
      <c r="A3206">
        <v>3205</v>
      </c>
      <c r="B3206" s="23">
        <v>1725.9169999999999</v>
      </c>
      <c r="C3206" s="23">
        <v>939.27</v>
      </c>
      <c r="D3206" s="23">
        <v>3469.49</v>
      </c>
      <c r="E3206" s="23">
        <v>1725.9179999999999</v>
      </c>
      <c r="F3206" s="23">
        <v>-1684.559</v>
      </c>
      <c r="G3206" s="23">
        <v>0</v>
      </c>
      <c r="H3206" s="23">
        <v>59.012999999999998</v>
      </c>
      <c r="I3206" s="23">
        <v>0</v>
      </c>
      <c r="J3206" s="23">
        <v>0</v>
      </c>
      <c r="K3206" s="23">
        <v>0</v>
      </c>
    </row>
    <row r="3207" spans="1:11" x14ac:dyDescent="0.25">
      <c r="A3207">
        <v>3206</v>
      </c>
      <c r="B3207" s="23">
        <v>2012.075</v>
      </c>
      <c r="C3207" s="23">
        <v>853.26</v>
      </c>
      <c r="D3207" s="23">
        <v>3189.32</v>
      </c>
      <c r="E3207" s="23">
        <v>2012.075</v>
      </c>
      <c r="F3207" s="23">
        <v>-1013.16</v>
      </c>
      <c r="G3207" s="23">
        <v>0</v>
      </c>
      <c r="H3207" s="23">
        <v>164.08500000000001</v>
      </c>
      <c r="I3207" s="23">
        <v>0</v>
      </c>
      <c r="J3207" s="23">
        <v>0</v>
      </c>
      <c r="K3207" s="23">
        <v>0</v>
      </c>
    </row>
    <row r="3208" spans="1:11" x14ac:dyDescent="0.25">
      <c r="A3208">
        <v>3207</v>
      </c>
      <c r="B3208" s="23">
        <v>1948.0070000000001</v>
      </c>
      <c r="C3208" s="23">
        <v>704.95</v>
      </c>
      <c r="D3208" s="23">
        <v>2685.7510000000002</v>
      </c>
      <c r="E3208" s="23">
        <v>1948.0070000000001</v>
      </c>
      <c r="F3208" s="23">
        <v>0</v>
      </c>
      <c r="G3208" s="23">
        <v>0</v>
      </c>
      <c r="H3208" s="23">
        <v>737.74400000000003</v>
      </c>
      <c r="I3208" s="23">
        <v>0</v>
      </c>
      <c r="J3208" s="23">
        <v>0</v>
      </c>
      <c r="K3208" s="23">
        <v>0</v>
      </c>
    </row>
    <row r="3209" spans="1:11" x14ac:dyDescent="0.25">
      <c r="A3209">
        <v>3208</v>
      </c>
      <c r="B3209" s="23">
        <v>1556.6279999999999</v>
      </c>
      <c r="C3209" s="23">
        <v>505.8</v>
      </c>
      <c r="D3209" s="23">
        <v>1972.9280000000001</v>
      </c>
      <c r="E3209" s="23">
        <v>1556.6279999999999</v>
      </c>
      <c r="F3209" s="23">
        <v>0</v>
      </c>
      <c r="G3209" s="23">
        <v>0</v>
      </c>
      <c r="H3209" s="23">
        <v>416.3</v>
      </c>
      <c r="I3209" s="23">
        <v>0</v>
      </c>
      <c r="J3209" s="23">
        <v>0</v>
      </c>
      <c r="K3209" s="23">
        <v>0</v>
      </c>
    </row>
    <row r="3210" spans="1:11" x14ac:dyDescent="0.25">
      <c r="A3210">
        <v>3209</v>
      </c>
      <c r="B3210" s="23">
        <v>1721.903</v>
      </c>
      <c r="C3210" s="23">
        <v>277.05</v>
      </c>
      <c r="D3210" s="23">
        <v>1019.06</v>
      </c>
      <c r="E3210" s="23">
        <v>1019.06</v>
      </c>
      <c r="F3210" s="23">
        <v>0</v>
      </c>
      <c r="G3210" s="23">
        <v>0</v>
      </c>
      <c r="H3210" s="23">
        <v>0</v>
      </c>
      <c r="I3210" s="23">
        <v>702.84299999999996</v>
      </c>
      <c r="J3210" s="23">
        <v>0</v>
      </c>
      <c r="K3210" s="23">
        <v>0</v>
      </c>
    </row>
    <row r="3211" spans="1:11" x14ac:dyDescent="0.25">
      <c r="A3211">
        <v>3210</v>
      </c>
      <c r="B3211" s="23">
        <v>1737.8520000000001</v>
      </c>
      <c r="C3211" s="23">
        <v>66.48</v>
      </c>
      <c r="D3211" s="23">
        <v>169.16300000000001</v>
      </c>
      <c r="E3211" s="23">
        <v>169.16300000000001</v>
      </c>
      <c r="F3211" s="23">
        <v>0</v>
      </c>
      <c r="G3211" s="23">
        <v>0</v>
      </c>
      <c r="H3211" s="23">
        <v>0</v>
      </c>
      <c r="I3211" s="23">
        <v>0</v>
      </c>
      <c r="J3211" s="23">
        <v>0</v>
      </c>
      <c r="K3211" s="23">
        <v>1568.6890000000001</v>
      </c>
    </row>
    <row r="3212" spans="1:11" x14ac:dyDescent="0.25">
      <c r="A3212">
        <v>3211</v>
      </c>
      <c r="B3212" s="23">
        <v>1568.9949999999999</v>
      </c>
      <c r="C3212" s="23">
        <v>0</v>
      </c>
      <c r="D3212" s="23">
        <v>0</v>
      </c>
      <c r="E3212" s="23">
        <v>0</v>
      </c>
      <c r="F3212" s="23">
        <v>0</v>
      </c>
      <c r="G3212" s="23">
        <v>0</v>
      </c>
      <c r="H3212" s="23">
        <v>0</v>
      </c>
      <c r="I3212" s="23">
        <v>0</v>
      </c>
      <c r="J3212" s="23">
        <v>0</v>
      </c>
      <c r="K3212" s="23">
        <v>1568.9949999999999</v>
      </c>
    </row>
    <row r="3213" spans="1:11" x14ac:dyDescent="0.25">
      <c r="A3213">
        <v>3212</v>
      </c>
      <c r="B3213" s="23">
        <v>1459.2</v>
      </c>
      <c r="C3213" s="23">
        <v>0</v>
      </c>
      <c r="D3213" s="23">
        <v>0</v>
      </c>
      <c r="E3213" s="23">
        <v>0</v>
      </c>
      <c r="F3213" s="23">
        <v>0</v>
      </c>
      <c r="G3213" s="23">
        <v>0</v>
      </c>
      <c r="H3213" s="23">
        <v>0</v>
      </c>
      <c r="I3213" s="23">
        <v>0</v>
      </c>
      <c r="J3213" s="23">
        <v>0</v>
      </c>
      <c r="K3213" s="23">
        <v>1459.2</v>
      </c>
    </row>
    <row r="3214" spans="1:11" x14ac:dyDescent="0.25">
      <c r="A3214">
        <v>3213</v>
      </c>
      <c r="B3214" s="23">
        <v>1577.6</v>
      </c>
      <c r="C3214" s="23">
        <v>0</v>
      </c>
      <c r="D3214" s="23">
        <v>0</v>
      </c>
      <c r="E3214" s="23">
        <v>0</v>
      </c>
      <c r="F3214" s="23">
        <v>0</v>
      </c>
      <c r="G3214" s="23">
        <v>0</v>
      </c>
      <c r="H3214" s="23">
        <v>0</v>
      </c>
      <c r="I3214" s="23">
        <v>1577.6</v>
      </c>
      <c r="J3214" s="23">
        <v>0</v>
      </c>
      <c r="K3214" s="23">
        <v>0</v>
      </c>
    </row>
    <row r="3215" spans="1:11" x14ac:dyDescent="0.25">
      <c r="A3215">
        <v>3214</v>
      </c>
      <c r="B3215" s="23">
        <v>1764.8</v>
      </c>
      <c r="C3215" s="23">
        <v>0</v>
      </c>
      <c r="D3215" s="23">
        <v>0</v>
      </c>
      <c r="E3215" s="23">
        <v>0</v>
      </c>
      <c r="F3215" s="23">
        <v>0</v>
      </c>
      <c r="G3215" s="23">
        <v>0</v>
      </c>
      <c r="H3215" s="23">
        <v>0</v>
      </c>
      <c r="I3215" s="23">
        <v>1764.8</v>
      </c>
      <c r="J3215" s="23">
        <v>0</v>
      </c>
      <c r="K3215" s="23">
        <v>0</v>
      </c>
    </row>
    <row r="3216" spans="1:11" x14ac:dyDescent="0.25">
      <c r="A3216">
        <v>3215</v>
      </c>
      <c r="B3216" s="23">
        <v>1724</v>
      </c>
      <c r="C3216" s="23">
        <v>0</v>
      </c>
      <c r="D3216" s="23">
        <v>0</v>
      </c>
      <c r="E3216" s="23">
        <v>0</v>
      </c>
      <c r="F3216" s="23">
        <v>0</v>
      </c>
      <c r="G3216" s="23">
        <v>0</v>
      </c>
      <c r="H3216" s="23">
        <v>0</v>
      </c>
      <c r="I3216" s="23">
        <v>1724</v>
      </c>
      <c r="J3216" s="23">
        <v>0</v>
      </c>
      <c r="K3216" s="23">
        <v>0</v>
      </c>
    </row>
    <row r="3217" spans="1:11" x14ac:dyDescent="0.25">
      <c r="A3217">
        <v>3216</v>
      </c>
      <c r="B3217" s="23">
        <v>0</v>
      </c>
      <c r="C3217" s="23">
        <v>0</v>
      </c>
      <c r="D3217" s="23">
        <v>0</v>
      </c>
      <c r="E3217" s="23">
        <v>0</v>
      </c>
      <c r="F3217" s="23">
        <v>0</v>
      </c>
      <c r="G3217" s="23">
        <v>0</v>
      </c>
      <c r="H3217" s="23">
        <v>0</v>
      </c>
      <c r="I3217" s="23">
        <v>0</v>
      </c>
      <c r="J3217" s="23">
        <v>0</v>
      </c>
      <c r="K3217" s="23">
        <v>0</v>
      </c>
    </row>
    <row r="3218" spans="1:11" x14ac:dyDescent="0.25">
      <c r="A3218">
        <v>3217</v>
      </c>
      <c r="B3218" s="23">
        <v>0</v>
      </c>
      <c r="C3218" s="23">
        <v>0</v>
      </c>
      <c r="D3218" s="23">
        <v>0</v>
      </c>
      <c r="E3218" s="23">
        <v>0</v>
      </c>
      <c r="F3218" s="23">
        <v>0</v>
      </c>
      <c r="G3218" s="23">
        <v>0</v>
      </c>
      <c r="H3218" s="23">
        <v>0</v>
      </c>
      <c r="I3218" s="23">
        <v>0</v>
      </c>
      <c r="J3218" s="23">
        <v>0</v>
      </c>
      <c r="K3218" s="23">
        <v>0</v>
      </c>
    </row>
    <row r="3219" spans="1:11" x14ac:dyDescent="0.25">
      <c r="A3219">
        <v>3218</v>
      </c>
      <c r="B3219" s="23">
        <v>0</v>
      </c>
      <c r="C3219" s="23">
        <v>0</v>
      </c>
      <c r="D3219" s="23">
        <v>0</v>
      </c>
      <c r="E3219" s="23">
        <v>0</v>
      </c>
      <c r="F3219" s="23">
        <v>0</v>
      </c>
      <c r="G3219" s="23">
        <v>0</v>
      </c>
      <c r="H3219" s="23">
        <v>0</v>
      </c>
      <c r="I3219" s="23">
        <v>0</v>
      </c>
      <c r="J3219" s="23">
        <v>0</v>
      </c>
      <c r="K3219" s="23">
        <v>0</v>
      </c>
    </row>
    <row r="3220" spans="1:11" x14ac:dyDescent="0.25">
      <c r="A3220">
        <v>3219</v>
      </c>
      <c r="B3220" s="23">
        <v>0</v>
      </c>
      <c r="C3220" s="23">
        <v>0</v>
      </c>
      <c r="D3220" s="23">
        <v>0</v>
      </c>
      <c r="E3220" s="23">
        <v>0</v>
      </c>
      <c r="F3220" s="23">
        <v>0</v>
      </c>
      <c r="G3220" s="23">
        <v>0</v>
      </c>
      <c r="H3220" s="23">
        <v>0</v>
      </c>
      <c r="I3220" s="23">
        <v>0</v>
      </c>
      <c r="J3220" s="23">
        <v>0</v>
      </c>
      <c r="K3220" s="23">
        <v>0</v>
      </c>
    </row>
    <row r="3221" spans="1:11" x14ac:dyDescent="0.25">
      <c r="A3221">
        <v>3220</v>
      </c>
      <c r="B3221" s="23">
        <v>0</v>
      </c>
      <c r="C3221" s="23">
        <v>0</v>
      </c>
      <c r="D3221" s="23">
        <v>0</v>
      </c>
      <c r="E3221" s="23">
        <v>0</v>
      </c>
      <c r="F3221" s="23">
        <v>0</v>
      </c>
      <c r="G3221" s="23">
        <v>0</v>
      </c>
      <c r="H3221" s="23">
        <v>0</v>
      </c>
      <c r="I3221" s="23">
        <v>0</v>
      </c>
      <c r="J3221" s="23">
        <v>0</v>
      </c>
      <c r="K3221" s="23">
        <v>0</v>
      </c>
    </row>
    <row r="3222" spans="1:11" x14ac:dyDescent="0.25">
      <c r="A3222">
        <v>3221</v>
      </c>
      <c r="B3222" s="23">
        <v>0</v>
      </c>
      <c r="C3222" s="23">
        <v>0</v>
      </c>
      <c r="D3222" s="23">
        <v>0</v>
      </c>
      <c r="E3222" s="23">
        <v>0</v>
      </c>
      <c r="F3222" s="23">
        <v>0</v>
      </c>
      <c r="G3222" s="23">
        <v>0</v>
      </c>
      <c r="H3222" s="23">
        <v>0</v>
      </c>
      <c r="I3222" s="23">
        <v>0</v>
      </c>
      <c r="J3222" s="23">
        <v>0</v>
      </c>
      <c r="K3222" s="23">
        <v>0</v>
      </c>
    </row>
    <row r="3223" spans="1:11" x14ac:dyDescent="0.25">
      <c r="A3223">
        <v>3222</v>
      </c>
      <c r="B3223" s="23">
        <v>0</v>
      </c>
      <c r="C3223" s="23">
        <v>0</v>
      </c>
      <c r="D3223" s="23">
        <v>0</v>
      </c>
      <c r="E3223" s="23">
        <v>0</v>
      </c>
      <c r="F3223" s="23">
        <v>0</v>
      </c>
      <c r="G3223" s="23">
        <v>0</v>
      </c>
      <c r="H3223" s="23">
        <v>0</v>
      </c>
      <c r="I3223" s="23">
        <v>0</v>
      </c>
      <c r="J3223" s="23">
        <v>0</v>
      </c>
      <c r="K3223" s="23">
        <v>0</v>
      </c>
    </row>
    <row r="3224" spans="1:11" x14ac:dyDescent="0.25">
      <c r="A3224">
        <v>3223</v>
      </c>
      <c r="B3224" s="23">
        <v>1482.886</v>
      </c>
      <c r="C3224" s="23">
        <v>43.13</v>
      </c>
      <c r="D3224" s="23">
        <v>144.202</v>
      </c>
      <c r="E3224" s="23">
        <v>0</v>
      </c>
      <c r="F3224" s="23">
        <v>-144.202</v>
      </c>
      <c r="G3224" s="23">
        <v>0</v>
      </c>
      <c r="H3224" s="23">
        <v>0</v>
      </c>
      <c r="I3224" s="23">
        <v>1482.886</v>
      </c>
      <c r="J3224" s="23">
        <v>0</v>
      </c>
      <c r="K3224" s="23">
        <v>0</v>
      </c>
    </row>
    <row r="3225" spans="1:11" x14ac:dyDescent="0.25">
      <c r="A3225">
        <v>3224</v>
      </c>
      <c r="B3225" s="23">
        <v>905.25900000000001</v>
      </c>
      <c r="C3225" s="23">
        <v>120.25</v>
      </c>
      <c r="D3225" s="23">
        <v>452.18</v>
      </c>
      <c r="E3225" s="23">
        <v>0</v>
      </c>
      <c r="F3225" s="23">
        <v>-452.18</v>
      </c>
      <c r="G3225" s="23">
        <v>0</v>
      </c>
      <c r="H3225" s="23">
        <v>0</v>
      </c>
      <c r="I3225" s="23">
        <v>905.25900000000001</v>
      </c>
      <c r="J3225" s="23">
        <v>0</v>
      </c>
      <c r="K3225" s="23">
        <v>0</v>
      </c>
    </row>
    <row r="3226" spans="1:11" x14ac:dyDescent="0.25">
      <c r="A3226">
        <v>3225</v>
      </c>
      <c r="B3226" s="23">
        <v>1293.998</v>
      </c>
      <c r="C3226" s="23">
        <v>288.91000000000003</v>
      </c>
      <c r="D3226" s="23">
        <v>1111.222</v>
      </c>
      <c r="E3226" s="23">
        <v>558.36500000000001</v>
      </c>
      <c r="F3226" s="23">
        <v>-552.85699999999997</v>
      </c>
      <c r="G3226" s="23">
        <v>0</v>
      </c>
      <c r="H3226" s="23">
        <v>0</v>
      </c>
      <c r="I3226" s="23">
        <v>735.63199999999995</v>
      </c>
      <c r="J3226" s="23">
        <v>0</v>
      </c>
      <c r="K3226" s="23">
        <v>0</v>
      </c>
    </row>
    <row r="3227" spans="1:11" x14ac:dyDescent="0.25">
      <c r="A3227">
        <v>3226</v>
      </c>
      <c r="B3227" s="23">
        <v>1538.4639999999999</v>
      </c>
      <c r="C3227" s="23">
        <v>435.37</v>
      </c>
      <c r="D3227" s="23">
        <v>1653.4929999999999</v>
      </c>
      <c r="E3227" s="23">
        <v>1538.4639999999999</v>
      </c>
      <c r="F3227" s="23">
        <v>-115.029</v>
      </c>
      <c r="G3227" s="23">
        <v>0</v>
      </c>
      <c r="H3227" s="23">
        <v>0</v>
      </c>
      <c r="I3227" s="23">
        <v>0</v>
      </c>
      <c r="J3227" s="23">
        <v>0</v>
      </c>
      <c r="K3227" s="23">
        <v>0</v>
      </c>
    </row>
    <row r="3228" spans="1:11" x14ac:dyDescent="0.25">
      <c r="A3228">
        <v>3227</v>
      </c>
      <c r="B3228" s="23">
        <v>1566.0840000000001</v>
      </c>
      <c r="C3228" s="23">
        <v>603.41999999999996</v>
      </c>
      <c r="D3228" s="23">
        <v>2252.9690000000001</v>
      </c>
      <c r="E3228" s="23">
        <v>1566.0840000000001</v>
      </c>
      <c r="F3228" s="23">
        <v>-686.88499999999999</v>
      </c>
      <c r="G3228" s="23">
        <v>0</v>
      </c>
      <c r="H3228" s="23">
        <v>0</v>
      </c>
      <c r="I3228" s="23">
        <v>0</v>
      </c>
      <c r="J3228" s="23">
        <v>0</v>
      </c>
      <c r="K3228" s="23">
        <v>0</v>
      </c>
    </row>
    <row r="3229" spans="1:11" x14ac:dyDescent="0.25">
      <c r="A3229">
        <v>3228</v>
      </c>
      <c r="B3229" s="23">
        <v>1519.876</v>
      </c>
      <c r="C3229" s="23">
        <v>682.88</v>
      </c>
      <c r="D3229" s="23">
        <v>2529.9</v>
      </c>
      <c r="E3229" s="23">
        <v>1519.876</v>
      </c>
      <c r="F3229" s="23">
        <v>-1010.024</v>
      </c>
      <c r="G3229" s="23">
        <v>0</v>
      </c>
      <c r="H3229" s="23">
        <v>0</v>
      </c>
      <c r="I3229" s="23">
        <v>0</v>
      </c>
      <c r="J3229" s="23">
        <v>0</v>
      </c>
      <c r="K3229" s="23">
        <v>0</v>
      </c>
    </row>
    <row r="3230" spans="1:11" x14ac:dyDescent="0.25">
      <c r="A3230">
        <v>3229</v>
      </c>
      <c r="B3230" s="23">
        <v>2001.8610000000001</v>
      </c>
      <c r="C3230" s="23">
        <v>508.1</v>
      </c>
      <c r="D3230" s="23">
        <v>1902.1780000000001</v>
      </c>
      <c r="E3230" s="23">
        <v>1902.1780000000001</v>
      </c>
      <c r="F3230" s="23">
        <v>0</v>
      </c>
      <c r="G3230" s="23">
        <v>0</v>
      </c>
      <c r="H3230" s="23">
        <v>0</v>
      </c>
      <c r="I3230" s="23">
        <v>99.683000000000007</v>
      </c>
      <c r="J3230" s="23">
        <v>0</v>
      </c>
      <c r="K3230" s="23">
        <v>0</v>
      </c>
    </row>
    <row r="3231" spans="1:11" x14ac:dyDescent="0.25">
      <c r="A3231">
        <v>3230</v>
      </c>
      <c r="B3231" s="23">
        <v>1474.9059999999999</v>
      </c>
      <c r="C3231" s="23">
        <v>121.78</v>
      </c>
      <c r="D3231" s="23">
        <v>439.58</v>
      </c>
      <c r="E3231" s="23">
        <v>439.58</v>
      </c>
      <c r="F3231" s="23">
        <v>0</v>
      </c>
      <c r="G3231" s="23">
        <v>0</v>
      </c>
      <c r="H3231" s="23">
        <v>0</v>
      </c>
      <c r="I3231" s="23">
        <v>1035.326</v>
      </c>
      <c r="J3231" s="23">
        <v>0</v>
      </c>
      <c r="K3231" s="23">
        <v>0</v>
      </c>
    </row>
    <row r="3232" spans="1:11" x14ac:dyDescent="0.25">
      <c r="A3232">
        <v>3231</v>
      </c>
      <c r="B3232" s="23">
        <v>1790.3689999999999</v>
      </c>
      <c r="C3232" s="23">
        <v>462.77</v>
      </c>
      <c r="D3232" s="23">
        <v>1759.6959999999999</v>
      </c>
      <c r="E3232" s="23">
        <v>1759.6959999999999</v>
      </c>
      <c r="F3232" s="23">
        <v>0</v>
      </c>
      <c r="G3232" s="23">
        <v>0</v>
      </c>
      <c r="H3232" s="23">
        <v>0</v>
      </c>
      <c r="I3232" s="23">
        <v>30.672999999999998</v>
      </c>
      <c r="J3232" s="23">
        <v>0</v>
      </c>
      <c r="K3232" s="23">
        <v>0</v>
      </c>
    </row>
    <row r="3233" spans="1:11" x14ac:dyDescent="0.25">
      <c r="A3233">
        <v>3232</v>
      </c>
      <c r="B3233" s="23">
        <v>1829.06</v>
      </c>
      <c r="C3233" s="23">
        <v>229.02</v>
      </c>
      <c r="D3233" s="23">
        <v>874.84699999999998</v>
      </c>
      <c r="E3233" s="23">
        <v>874.84699999999998</v>
      </c>
      <c r="F3233" s="23">
        <v>0</v>
      </c>
      <c r="G3233" s="23">
        <v>0</v>
      </c>
      <c r="H3233" s="23">
        <v>0</v>
      </c>
      <c r="I3233" s="23">
        <v>954.21299999999997</v>
      </c>
      <c r="J3233" s="23">
        <v>0</v>
      </c>
      <c r="K3233" s="23">
        <v>0</v>
      </c>
    </row>
    <row r="3234" spans="1:11" x14ac:dyDescent="0.25">
      <c r="A3234">
        <v>3233</v>
      </c>
      <c r="B3234" s="23">
        <v>1677.4839999999999</v>
      </c>
      <c r="C3234" s="23">
        <v>27.43</v>
      </c>
      <c r="D3234" s="23">
        <v>80.972999999999999</v>
      </c>
      <c r="E3234" s="23">
        <v>80.972999999999999</v>
      </c>
      <c r="F3234" s="23">
        <v>0</v>
      </c>
      <c r="G3234" s="23">
        <v>0</v>
      </c>
      <c r="H3234" s="23">
        <v>0</v>
      </c>
      <c r="I3234" s="23">
        <v>1596.511</v>
      </c>
      <c r="J3234" s="23">
        <v>0</v>
      </c>
      <c r="K3234" s="23">
        <v>0</v>
      </c>
    </row>
    <row r="3235" spans="1:11" x14ac:dyDescent="0.25">
      <c r="A3235">
        <v>3234</v>
      </c>
      <c r="B3235" s="23">
        <v>2026.0989999999999</v>
      </c>
      <c r="C3235" s="23">
        <v>9.7899999999999991</v>
      </c>
      <c r="D3235" s="23">
        <v>12.976000000000001</v>
      </c>
      <c r="E3235" s="23">
        <v>12.976000000000001</v>
      </c>
      <c r="F3235" s="23">
        <v>0</v>
      </c>
      <c r="G3235" s="23">
        <v>0</v>
      </c>
      <c r="H3235" s="23">
        <v>0</v>
      </c>
      <c r="I3235" s="23">
        <v>328.56299999999999</v>
      </c>
      <c r="J3235" s="23">
        <v>0</v>
      </c>
      <c r="K3235" s="23">
        <v>1684.559</v>
      </c>
    </row>
    <row r="3236" spans="1:11" x14ac:dyDescent="0.25">
      <c r="A3236">
        <v>3235</v>
      </c>
      <c r="B3236" s="23">
        <v>1587.2</v>
      </c>
      <c r="C3236" s="23">
        <v>0</v>
      </c>
      <c r="D3236" s="23">
        <v>0</v>
      </c>
      <c r="E3236" s="23">
        <v>0</v>
      </c>
      <c r="F3236" s="23">
        <v>0</v>
      </c>
      <c r="G3236" s="23">
        <v>0</v>
      </c>
      <c r="H3236" s="23">
        <v>0</v>
      </c>
      <c r="I3236" s="23">
        <v>0</v>
      </c>
      <c r="J3236" s="23">
        <v>0</v>
      </c>
      <c r="K3236" s="23">
        <v>1587.2</v>
      </c>
    </row>
    <row r="3237" spans="1:11" x14ac:dyDescent="0.25">
      <c r="A3237">
        <v>3236</v>
      </c>
      <c r="B3237" s="23">
        <v>1344</v>
      </c>
      <c r="C3237" s="23">
        <v>0</v>
      </c>
      <c r="D3237" s="23">
        <v>0</v>
      </c>
      <c r="E3237" s="23">
        <v>0</v>
      </c>
      <c r="F3237" s="23">
        <v>0</v>
      </c>
      <c r="G3237" s="23">
        <v>0</v>
      </c>
      <c r="H3237" s="23">
        <v>0</v>
      </c>
      <c r="I3237" s="23">
        <v>0</v>
      </c>
      <c r="J3237" s="23">
        <v>0</v>
      </c>
      <c r="K3237" s="23">
        <v>1344</v>
      </c>
    </row>
    <row r="3238" spans="1:11" x14ac:dyDescent="0.25">
      <c r="A3238">
        <v>3237</v>
      </c>
      <c r="B3238" s="23">
        <v>1775.2</v>
      </c>
      <c r="C3238" s="23">
        <v>0</v>
      </c>
      <c r="D3238" s="23">
        <v>0</v>
      </c>
      <c r="E3238" s="23">
        <v>0</v>
      </c>
      <c r="F3238" s="23">
        <v>0</v>
      </c>
      <c r="G3238" s="23">
        <v>0</v>
      </c>
      <c r="H3238" s="23">
        <v>0</v>
      </c>
      <c r="I3238" s="23">
        <v>1775.2</v>
      </c>
      <c r="J3238" s="23">
        <v>0</v>
      </c>
      <c r="K3238" s="23">
        <v>0</v>
      </c>
    </row>
    <row r="3239" spans="1:11" x14ac:dyDescent="0.25">
      <c r="A3239">
        <v>3238</v>
      </c>
      <c r="B3239" s="23">
        <v>1706.4</v>
      </c>
      <c r="C3239" s="23">
        <v>0</v>
      </c>
      <c r="D3239" s="23">
        <v>0</v>
      </c>
      <c r="E3239" s="23">
        <v>0</v>
      </c>
      <c r="F3239" s="23">
        <v>0</v>
      </c>
      <c r="G3239" s="23">
        <v>0</v>
      </c>
      <c r="H3239" s="23">
        <v>0</v>
      </c>
      <c r="I3239" s="23">
        <v>1706.4</v>
      </c>
      <c r="J3239" s="23">
        <v>0</v>
      </c>
      <c r="K3239" s="23">
        <v>0</v>
      </c>
    </row>
    <row r="3240" spans="1:11" x14ac:dyDescent="0.25">
      <c r="A3240">
        <v>3239</v>
      </c>
      <c r="B3240" s="23">
        <v>1422.4</v>
      </c>
      <c r="C3240" s="23">
        <v>0</v>
      </c>
      <c r="D3240" s="23">
        <v>0</v>
      </c>
      <c r="E3240" s="23">
        <v>0</v>
      </c>
      <c r="F3240" s="23">
        <v>0</v>
      </c>
      <c r="G3240" s="23">
        <v>0</v>
      </c>
      <c r="H3240" s="23">
        <v>0</v>
      </c>
      <c r="I3240" s="23">
        <v>1422.4</v>
      </c>
      <c r="J3240" s="23">
        <v>0</v>
      </c>
      <c r="K3240" s="23">
        <v>0</v>
      </c>
    </row>
    <row r="3241" spans="1:11" x14ac:dyDescent="0.25">
      <c r="A3241">
        <v>3240</v>
      </c>
      <c r="B3241" s="23">
        <v>0</v>
      </c>
      <c r="C3241" s="23">
        <v>0</v>
      </c>
      <c r="D3241" s="23">
        <v>0</v>
      </c>
      <c r="E3241" s="23">
        <v>0</v>
      </c>
      <c r="F3241" s="23">
        <v>0</v>
      </c>
      <c r="G3241" s="23">
        <v>0</v>
      </c>
      <c r="H3241" s="23">
        <v>0</v>
      </c>
      <c r="I3241" s="23">
        <v>0</v>
      </c>
      <c r="J3241" s="23">
        <v>0</v>
      </c>
      <c r="K3241" s="23">
        <v>0</v>
      </c>
    </row>
    <row r="3242" spans="1:11" x14ac:dyDescent="0.25">
      <c r="A3242">
        <v>3241</v>
      </c>
      <c r="B3242" s="23">
        <v>0</v>
      </c>
      <c r="C3242" s="23">
        <v>0</v>
      </c>
      <c r="D3242" s="23">
        <v>0</v>
      </c>
      <c r="E3242" s="23">
        <v>0</v>
      </c>
      <c r="F3242" s="23">
        <v>0</v>
      </c>
      <c r="G3242" s="23">
        <v>0</v>
      </c>
      <c r="H3242" s="23">
        <v>0</v>
      </c>
      <c r="I3242" s="23">
        <v>0</v>
      </c>
      <c r="J3242" s="23">
        <v>0</v>
      </c>
      <c r="K3242" s="23">
        <v>0</v>
      </c>
    </row>
    <row r="3243" spans="1:11" x14ac:dyDescent="0.25">
      <c r="A3243">
        <v>3242</v>
      </c>
      <c r="B3243" s="23">
        <v>0</v>
      </c>
      <c r="C3243" s="23">
        <v>0</v>
      </c>
      <c r="D3243" s="23">
        <v>0</v>
      </c>
      <c r="E3243" s="23">
        <v>0</v>
      </c>
      <c r="F3243" s="23">
        <v>0</v>
      </c>
      <c r="G3243" s="23">
        <v>0</v>
      </c>
      <c r="H3243" s="23">
        <v>0</v>
      </c>
      <c r="I3243" s="23">
        <v>0</v>
      </c>
      <c r="J3243" s="23">
        <v>0</v>
      </c>
      <c r="K3243" s="23">
        <v>0</v>
      </c>
    </row>
    <row r="3244" spans="1:11" x14ac:dyDescent="0.25">
      <c r="A3244">
        <v>3243</v>
      </c>
      <c r="B3244" s="23">
        <v>0</v>
      </c>
      <c r="C3244" s="23">
        <v>0</v>
      </c>
      <c r="D3244" s="23">
        <v>0</v>
      </c>
      <c r="E3244" s="23">
        <v>0</v>
      </c>
      <c r="F3244" s="23">
        <v>0</v>
      </c>
      <c r="G3244" s="23">
        <v>0</v>
      </c>
      <c r="H3244" s="23">
        <v>0</v>
      </c>
      <c r="I3244" s="23">
        <v>0</v>
      </c>
      <c r="J3244" s="23">
        <v>0</v>
      </c>
      <c r="K3244" s="23">
        <v>0</v>
      </c>
    </row>
    <row r="3245" spans="1:11" x14ac:dyDescent="0.25">
      <c r="A3245">
        <v>3244</v>
      </c>
      <c r="B3245" s="23">
        <v>0</v>
      </c>
      <c r="C3245" s="23">
        <v>0</v>
      </c>
      <c r="D3245" s="23">
        <v>0</v>
      </c>
      <c r="E3245" s="23">
        <v>0</v>
      </c>
      <c r="F3245" s="23">
        <v>0</v>
      </c>
      <c r="G3245" s="23">
        <v>0</v>
      </c>
      <c r="H3245" s="23">
        <v>0</v>
      </c>
      <c r="I3245" s="23">
        <v>0</v>
      </c>
      <c r="J3245" s="23">
        <v>0</v>
      </c>
      <c r="K3245" s="23">
        <v>0</v>
      </c>
    </row>
    <row r="3246" spans="1:11" x14ac:dyDescent="0.25">
      <c r="A3246">
        <v>3245</v>
      </c>
      <c r="B3246" s="23">
        <v>0</v>
      </c>
      <c r="C3246" s="23">
        <v>0</v>
      </c>
      <c r="D3246" s="23">
        <v>0</v>
      </c>
      <c r="E3246" s="23">
        <v>0</v>
      </c>
      <c r="F3246" s="23">
        <v>0</v>
      </c>
      <c r="G3246" s="23">
        <v>0</v>
      </c>
      <c r="H3246" s="23">
        <v>0</v>
      </c>
      <c r="I3246" s="23">
        <v>0</v>
      </c>
      <c r="J3246" s="23">
        <v>0</v>
      </c>
      <c r="K3246" s="23">
        <v>0</v>
      </c>
    </row>
    <row r="3247" spans="1:11" x14ac:dyDescent="0.25">
      <c r="A3247">
        <v>3246</v>
      </c>
      <c r="B3247" s="23">
        <v>0</v>
      </c>
      <c r="C3247" s="23">
        <v>0</v>
      </c>
      <c r="D3247" s="23">
        <v>0</v>
      </c>
      <c r="E3247" s="23">
        <v>0</v>
      </c>
      <c r="F3247" s="23">
        <v>0</v>
      </c>
      <c r="G3247" s="23">
        <v>0</v>
      </c>
      <c r="H3247" s="23">
        <v>0</v>
      </c>
      <c r="I3247" s="23">
        <v>0</v>
      </c>
      <c r="J3247" s="23">
        <v>0</v>
      </c>
      <c r="K3247" s="23">
        <v>0</v>
      </c>
    </row>
    <row r="3248" spans="1:11" x14ac:dyDescent="0.25">
      <c r="A3248">
        <v>3247</v>
      </c>
      <c r="B3248" s="23">
        <v>1055.0989999999999</v>
      </c>
      <c r="C3248" s="23">
        <v>79.42</v>
      </c>
      <c r="D3248" s="23">
        <v>286.483</v>
      </c>
      <c r="E3248" s="23">
        <v>286.483</v>
      </c>
      <c r="F3248" s="23">
        <v>0</v>
      </c>
      <c r="G3248" s="23">
        <v>0</v>
      </c>
      <c r="H3248" s="23">
        <v>0</v>
      </c>
      <c r="I3248" s="23">
        <v>768.61599999999999</v>
      </c>
      <c r="J3248" s="23">
        <v>0</v>
      </c>
      <c r="K3248" s="23">
        <v>0</v>
      </c>
    </row>
    <row r="3249" spans="1:11" x14ac:dyDescent="0.25">
      <c r="A3249">
        <v>3248</v>
      </c>
      <c r="B3249" s="23">
        <v>1425.0429999999999</v>
      </c>
      <c r="C3249" s="23">
        <v>222.58</v>
      </c>
      <c r="D3249" s="23">
        <v>864.505</v>
      </c>
      <c r="E3249" s="23">
        <v>864.505</v>
      </c>
      <c r="F3249" s="23">
        <v>0</v>
      </c>
      <c r="G3249" s="23">
        <v>0</v>
      </c>
      <c r="H3249" s="23">
        <v>0</v>
      </c>
      <c r="I3249" s="23">
        <v>560.53800000000001</v>
      </c>
      <c r="J3249" s="23">
        <v>0</v>
      </c>
      <c r="K3249" s="23">
        <v>0</v>
      </c>
    </row>
    <row r="3250" spans="1:11" x14ac:dyDescent="0.25">
      <c r="A3250">
        <v>3249</v>
      </c>
      <c r="B3250" s="23">
        <v>1508.3330000000001</v>
      </c>
      <c r="C3250" s="23">
        <v>449.72</v>
      </c>
      <c r="D3250" s="23">
        <v>1736.4290000000001</v>
      </c>
      <c r="E3250" s="23">
        <v>1508.3330000000001</v>
      </c>
      <c r="F3250" s="23">
        <v>-228.096</v>
      </c>
      <c r="G3250" s="23">
        <v>0</v>
      </c>
      <c r="H3250" s="23">
        <v>0</v>
      </c>
      <c r="I3250" s="23">
        <v>0</v>
      </c>
      <c r="J3250" s="23">
        <v>0</v>
      </c>
      <c r="K3250" s="23">
        <v>0</v>
      </c>
    </row>
    <row r="3251" spans="1:11" x14ac:dyDescent="0.25">
      <c r="A3251">
        <v>3250</v>
      </c>
      <c r="B3251" s="23">
        <v>1700.252</v>
      </c>
      <c r="C3251" s="23">
        <v>643.82000000000005</v>
      </c>
      <c r="D3251" s="23">
        <v>2428.739</v>
      </c>
      <c r="E3251" s="23">
        <v>1700.252</v>
      </c>
      <c r="F3251" s="23">
        <v>-728.48699999999997</v>
      </c>
      <c r="G3251" s="23">
        <v>0</v>
      </c>
      <c r="H3251" s="23">
        <v>0</v>
      </c>
      <c r="I3251" s="23">
        <v>0</v>
      </c>
      <c r="J3251" s="23">
        <v>0</v>
      </c>
      <c r="K3251" s="23">
        <v>0</v>
      </c>
    </row>
    <row r="3252" spans="1:11" x14ac:dyDescent="0.25">
      <c r="A3252">
        <v>3251</v>
      </c>
      <c r="B3252" s="23">
        <v>1839.549</v>
      </c>
      <c r="C3252" s="23">
        <v>724.3</v>
      </c>
      <c r="D3252" s="23">
        <v>2691.0920000000001</v>
      </c>
      <c r="E3252" s="23">
        <v>1839.549</v>
      </c>
      <c r="F3252" s="23">
        <v>-851.54300000000001</v>
      </c>
      <c r="G3252" s="23">
        <v>0</v>
      </c>
      <c r="H3252" s="23">
        <v>0</v>
      </c>
      <c r="I3252" s="23">
        <v>0</v>
      </c>
      <c r="J3252" s="23">
        <v>0</v>
      </c>
      <c r="K3252" s="23">
        <v>0</v>
      </c>
    </row>
    <row r="3253" spans="1:11" x14ac:dyDescent="0.25">
      <c r="A3253">
        <v>3252</v>
      </c>
      <c r="B3253" s="23">
        <v>1816.85</v>
      </c>
      <c r="C3253" s="23">
        <v>742.05</v>
      </c>
      <c r="D3253" s="23">
        <v>2744.0569999999998</v>
      </c>
      <c r="E3253" s="23">
        <v>1816.85</v>
      </c>
      <c r="F3253" s="23">
        <v>-927.20699999999999</v>
      </c>
      <c r="G3253" s="23">
        <v>0</v>
      </c>
      <c r="H3253" s="23">
        <v>0</v>
      </c>
      <c r="I3253" s="23">
        <v>0</v>
      </c>
      <c r="J3253" s="23">
        <v>0</v>
      </c>
      <c r="K3253" s="23">
        <v>0</v>
      </c>
    </row>
    <row r="3254" spans="1:11" x14ac:dyDescent="0.25">
      <c r="A3254">
        <v>3253</v>
      </c>
      <c r="B3254" s="23">
        <v>1707.886</v>
      </c>
      <c r="C3254" s="23">
        <v>803.24</v>
      </c>
      <c r="D3254" s="23">
        <v>2960.482</v>
      </c>
      <c r="E3254" s="23">
        <v>1707.886</v>
      </c>
      <c r="F3254" s="23">
        <v>-1252.596</v>
      </c>
      <c r="G3254" s="23">
        <v>0</v>
      </c>
      <c r="H3254" s="23">
        <v>0</v>
      </c>
      <c r="I3254" s="23">
        <v>0</v>
      </c>
      <c r="J3254" s="23">
        <v>0</v>
      </c>
      <c r="K3254" s="23">
        <v>0</v>
      </c>
    </row>
    <row r="3255" spans="1:11" x14ac:dyDescent="0.25">
      <c r="A3255">
        <v>3254</v>
      </c>
      <c r="B3255" s="23">
        <v>1728.1690000000001</v>
      </c>
      <c r="C3255" s="23">
        <v>673.76</v>
      </c>
      <c r="D3255" s="23">
        <v>2512.44</v>
      </c>
      <c r="E3255" s="23">
        <v>1728.1690000000001</v>
      </c>
      <c r="F3255" s="23">
        <v>-784.27099999999996</v>
      </c>
      <c r="G3255" s="23">
        <v>0</v>
      </c>
      <c r="H3255" s="23">
        <v>0</v>
      </c>
      <c r="I3255" s="23">
        <v>0</v>
      </c>
      <c r="J3255" s="23">
        <v>0</v>
      </c>
      <c r="K3255" s="23">
        <v>0</v>
      </c>
    </row>
    <row r="3256" spans="1:11" x14ac:dyDescent="0.25">
      <c r="A3256">
        <v>3255</v>
      </c>
      <c r="B3256" s="23">
        <v>1703.789</v>
      </c>
      <c r="C3256" s="23">
        <v>550.6</v>
      </c>
      <c r="D3256" s="23">
        <v>2082.7719999999999</v>
      </c>
      <c r="E3256" s="23">
        <v>1703.789</v>
      </c>
      <c r="F3256" s="23">
        <v>-378.983</v>
      </c>
      <c r="G3256" s="23">
        <v>0</v>
      </c>
      <c r="H3256" s="23">
        <v>0</v>
      </c>
      <c r="I3256" s="23">
        <v>0</v>
      </c>
      <c r="J3256" s="23">
        <v>0</v>
      </c>
      <c r="K3256" s="23">
        <v>0</v>
      </c>
    </row>
    <row r="3257" spans="1:11" x14ac:dyDescent="0.25">
      <c r="A3257">
        <v>3256</v>
      </c>
      <c r="B3257" s="23">
        <v>1569.14</v>
      </c>
      <c r="C3257" s="23">
        <v>458.58</v>
      </c>
      <c r="D3257" s="23">
        <v>1769.6759999999999</v>
      </c>
      <c r="E3257" s="23">
        <v>1569.14</v>
      </c>
      <c r="F3257" s="23">
        <v>-200.536</v>
      </c>
      <c r="G3257" s="23">
        <v>0</v>
      </c>
      <c r="H3257" s="23">
        <v>0</v>
      </c>
      <c r="I3257" s="23">
        <v>0</v>
      </c>
      <c r="J3257" s="23">
        <v>0</v>
      </c>
      <c r="K3257" s="23">
        <v>0</v>
      </c>
    </row>
    <row r="3258" spans="1:11" x14ac:dyDescent="0.25">
      <c r="A3258">
        <v>3257</v>
      </c>
      <c r="B3258" s="23">
        <v>1690.4259999999999</v>
      </c>
      <c r="C3258" s="23">
        <v>219.28</v>
      </c>
      <c r="D3258" s="23">
        <v>837.173</v>
      </c>
      <c r="E3258" s="23">
        <v>837.173</v>
      </c>
      <c r="F3258" s="23">
        <v>0</v>
      </c>
      <c r="G3258" s="23">
        <v>0</v>
      </c>
      <c r="H3258" s="23">
        <v>0</v>
      </c>
      <c r="I3258" s="23">
        <v>853.25300000000004</v>
      </c>
      <c r="J3258" s="23">
        <v>0</v>
      </c>
      <c r="K3258" s="23">
        <v>0</v>
      </c>
    </row>
    <row r="3259" spans="1:11" x14ac:dyDescent="0.25">
      <c r="A3259">
        <v>3258</v>
      </c>
      <c r="B3259" s="23">
        <v>1602.3009999999999</v>
      </c>
      <c r="C3259" s="23">
        <v>57.19</v>
      </c>
      <c r="D3259" s="23">
        <v>181.27699999999999</v>
      </c>
      <c r="E3259" s="23">
        <v>181.27699999999999</v>
      </c>
      <c r="F3259" s="23">
        <v>0</v>
      </c>
      <c r="G3259" s="23">
        <v>0</v>
      </c>
      <c r="H3259" s="23">
        <v>0</v>
      </c>
      <c r="I3259" s="23">
        <v>0</v>
      </c>
      <c r="J3259" s="23">
        <v>0</v>
      </c>
      <c r="K3259" s="23">
        <v>1421.0239999999999</v>
      </c>
    </row>
    <row r="3260" spans="1:11" x14ac:dyDescent="0.25">
      <c r="A3260">
        <v>3259</v>
      </c>
      <c r="B3260" s="23">
        <v>1476.806</v>
      </c>
      <c r="C3260" s="23">
        <v>0</v>
      </c>
      <c r="D3260" s="23">
        <v>0</v>
      </c>
      <c r="E3260" s="23">
        <v>0</v>
      </c>
      <c r="F3260" s="23">
        <v>0</v>
      </c>
      <c r="G3260" s="23">
        <v>0</v>
      </c>
      <c r="H3260" s="23">
        <v>0</v>
      </c>
      <c r="I3260" s="23">
        <v>0</v>
      </c>
      <c r="J3260" s="23">
        <v>0</v>
      </c>
      <c r="K3260" s="23">
        <v>1476.806</v>
      </c>
    </row>
    <row r="3261" spans="1:11" x14ac:dyDescent="0.25">
      <c r="A3261">
        <v>3260</v>
      </c>
      <c r="B3261" s="23">
        <v>1332.8</v>
      </c>
      <c r="C3261" s="23">
        <v>0</v>
      </c>
      <c r="D3261" s="23">
        <v>0</v>
      </c>
      <c r="E3261" s="23">
        <v>0</v>
      </c>
      <c r="F3261" s="23">
        <v>0</v>
      </c>
      <c r="G3261" s="23">
        <v>0</v>
      </c>
      <c r="H3261" s="23">
        <v>0</v>
      </c>
      <c r="I3261" s="23">
        <v>0</v>
      </c>
      <c r="J3261" s="23">
        <v>0</v>
      </c>
      <c r="K3261" s="23">
        <v>1332.8</v>
      </c>
    </row>
    <row r="3262" spans="1:11" x14ac:dyDescent="0.25">
      <c r="A3262">
        <v>3261</v>
      </c>
      <c r="B3262" s="23">
        <v>1378.4</v>
      </c>
      <c r="C3262" s="23">
        <v>0</v>
      </c>
      <c r="D3262" s="23">
        <v>0</v>
      </c>
      <c r="E3262" s="23">
        <v>0</v>
      </c>
      <c r="F3262" s="23">
        <v>0</v>
      </c>
      <c r="G3262" s="23">
        <v>0</v>
      </c>
      <c r="H3262" s="23">
        <v>0</v>
      </c>
      <c r="I3262" s="23">
        <v>1378.4</v>
      </c>
      <c r="J3262" s="23">
        <v>0</v>
      </c>
      <c r="K3262" s="23">
        <v>0</v>
      </c>
    </row>
    <row r="3263" spans="1:11" x14ac:dyDescent="0.25">
      <c r="A3263">
        <v>3262</v>
      </c>
      <c r="B3263" s="23">
        <v>1814.4</v>
      </c>
      <c r="C3263" s="23">
        <v>0</v>
      </c>
      <c r="D3263" s="23">
        <v>0</v>
      </c>
      <c r="E3263" s="23">
        <v>0</v>
      </c>
      <c r="F3263" s="23">
        <v>0</v>
      </c>
      <c r="G3263" s="23">
        <v>0</v>
      </c>
      <c r="H3263" s="23">
        <v>0</v>
      </c>
      <c r="I3263" s="23">
        <v>1814.4</v>
      </c>
      <c r="J3263" s="23">
        <v>0</v>
      </c>
      <c r="K3263" s="23">
        <v>0</v>
      </c>
    </row>
    <row r="3264" spans="1:11" x14ac:dyDescent="0.25">
      <c r="A3264">
        <v>3263</v>
      </c>
      <c r="B3264" s="23">
        <v>1490.4</v>
      </c>
      <c r="C3264" s="23">
        <v>0</v>
      </c>
      <c r="D3264" s="23">
        <v>0</v>
      </c>
      <c r="E3264" s="23">
        <v>0</v>
      </c>
      <c r="F3264" s="23">
        <v>0</v>
      </c>
      <c r="G3264" s="23">
        <v>0</v>
      </c>
      <c r="H3264" s="23">
        <v>0</v>
      </c>
      <c r="I3264" s="23">
        <v>1490.4</v>
      </c>
      <c r="J3264" s="23">
        <v>0</v>
      </c>
      <c r="K3264" s="23">
        <v>0</v>
      </c>
    </row>
    <row r="3265" spans="1:11" x14ac:dyDescent="0.25">
      <c r="A3265">
        <v>3264</v>
      </c>
      <c r="B3265" s="23">
        <v>0</v>
      </c>
      <c r="C3265" s="23">
        <v>0</v>
      </c>
      <c r="D3265" s="23">
        <v>0</v>
      </c>
      <c r="E3265" s="23">
        <v>0</v>
      </c>
      <c r="F3265" s="23">
        <v>0</v>
      </c>
      <c r="G3265" s="23">
        <v>0</v>
      </c>
      <c r="H3265" s="23">
        <v>0</v>
      </c>
      <c r="I3265" s="23">
        <v>0</v>
      </c>
      <c r="J3265" s="23">
        <v>0</v>
      </c>
      <c r="K3265" s="23">
        <v>0</v>
      </c>
    </row>
    <row r="3266" spans="1:11" x14ac:dyDescent="0.25">
      <c r="A3266">
        <v>3265</v>
      </c>
      <c r="B3266" s="23">
        <v>0</v>
      </c>
      <c r="C3266" s="23">
        <v>0</v>
      </c>
      <c r="D3266" s="23">
        <v>0</v>
      </c>
      <c r="E3266" s="23">
        <v>0</v>
      </c>
      <c r="F3266" s="23">
        <v>0</v>
      </c>
      <c r="G3266" s="23">
        <v>0</v>
      </c>
      <c r="H3266" s="23">
        <v>0</v>
      </c>
      <c r="I3266" s="23">
        <v>0</v>
      </c>
      <c r="J3266" s="23">
        <v>0</v>
      </c>
      <c r="K3266" s="23">
        <v>0</v>
      </c>
    </row>
    <row r="3267" spans="1:11" x14ac:dyDescent="0.25">
      <c r="A3267">
        <v>3266</v>
      </c>
      <c r="B3267" s="23">
        <v>0</v>
      </c>
      <c r="C3267" s="23">
        <v>0</v>
      </c>
      <c r="D3267" s="23">
        <v>0</v>
      </c>
      <c r="E3267" s="23">
        <v>0</v>
      </c>
      <c r="F3267" s="23">
        <v>0</v>
      </c>
      <c r="G3267" s="23">
        <v>0</v>
      </c>
      <c r="H3267" s="23">
        <v>0</v>
      </c>
      <c r="I3267" s="23">
        <v>0</v>
      </c>
      <c r="J3267" s="23">
        <v>0</v>
      </c>
      <c r="K3267" s="23">
        <v>0</v>
      </c>
    </row>
    <row r="3268" spans="1:11" x14ac:dyDescent="0.25">
      <c r="A3268">
        <v>3267</v>
      </c>
      <c r="B3268" s="23">
        <v>0</v>
      </c>
      <c r="C3268" s="23">
        <v>0</v>
      </c>
      <c r="D3268" s="23">
        <v>0</v>
      </c>
      <c r="E3268" s="23">
        <v>0</v>
      </c>
      <c r="F3268" s="23">
        <v>0</v>
      </c>
      <c r="G3268" s="23">
        <v>0</v>
      </c>
      <c r="H3268" s="23">
        <v>0</v>
      </c>
      <c r="I3268" s="23">
        <v>0</v>
      </c>
      <c r="J3268" s="23">
        <v>0</v>
      </c>
      <c r="K3268" s="23">
        <v>0</v>
      </c>
    </row>
    <row r="3269" spans="1:11" x14ac:dyDescent="0.25">
      <c r="A3269">
        <v>3268</v>
      </c>
      <c r="B3269" s="23">
        <v>0</v>
      </c>
      <c r="C3269" s="23">
        <v>0</v>
      </c>
      <c r="D3269" s="23">
        <v>0</v>
      </c>
      <c r="E3269" s="23">
        <v>0</v>
      </c>
      <c r="F3269" s="23">
        <v>0</v>
      </c>
      <c r="G3269" s="23">
        <v>0</v>
      </c>
      <c r="H3269" s="23">
        <v>0</v>
      </c>
      <c r="I3269" s="23">
        <v>0</v>
      </c>
      <c r="J3269" s="23">
        <v>0</v>
      </c>
      <c r="K3269" s="23">
        <v>0</v>
      </c>
    </row>
    <row r="3270" spans="1:11" x14ac:dyDescent="0.25">
      <c r="A3270">
        <v>3269</v>
      </c>
      <c r="B3270" s="23">
        <v>0</v>
      </c>
      <c r="C3270" s="23">
        <v>0</v>
      </c>
      <c r="D3270" s="23">
        <v>0</v>
      </c>
      <c r="E3270" s="23">
        <v>0</v>
      </c>
      <c r="F3270" s="23">
        <v>0</v>
      </c>
      <c r="G3270" s="23">
        <v>0</v>
      </c>
      <c r="H3270" s="23">
        <v>0</v>
      </c>
      <c r="I3270" s="23">
        <v>0</v>
      </c>
      <c r="J3270" s="23">
        <v>0</v>
      </c>
      <c r="K3270" s="23">
        <v>0</v>
      </c>
    </row>
    <row r="3271" spans="1:11" x14ac:dyDescent="0.25">
      <c r="A3271">
        <v>3270</v>
      </c>
      <c r="B3271" s="23">
        <v>0</v>
      </c>
      <c r="C3271" s="23">
        <v>0</v>
      </c>
      <c r="D3271" s="23">
        <v>0</v>
      </c>
      <c r="E3271" s="23">
        <v>0</v>
      </c>
      <c r="F3271" s="23">
        <v>0</v>
      </c>
      <c r="G3271" s="23">
        <v>0</v>
      </c>
      <c r="H3271" s="23">
        <v>0</v>
      </c>
      <c r="I3271" s="23">
        <v>0</v>
      </c>
      <c r="J3271" s="23">
        <v>0</v>
      </c>
      <c r="K3271" s="23">
        <v>0</v>
      </c>
    </row>
    <row r="3272" spans="1:11" x14ac:dyDescent="0.25">
      <c r="A3272">
        <v>3271</v>
      </c>
      <c r="B3272" s="23">
        <v>1106.2270000000001</v>
      </c>
      <c r="C3272" s="23">
        <v>89.01</v>
      </c>
      <c r="D3272" s="23">
        <v>322.47300000000001</v>
      </c>
      <c r="E3272" s="23">
        <v>322.47300000000001</v>
      </c>
      <c r="F3272" s="23">
        <v>0</v>
      </c>
      <c r="G3272" s="23">
        <v>0</v>
      </c>
      <c r="H3272" s="23">
        <v>0</v>
      </c>
      <c r="I3272" s="23">
        <v>783.75400000000002</v>
      </c>
      <c r="J3272" s="23">
        <v>0</v>
      </c>
      <c r="K3272" s="23">
        <v>0</v>
      </c>
    </row>
    <row r="3273" spans="1:11" x14ac:dyDescent="0.25">
      <c r="A3273">
        <v>3272</v>
      </c>
      <c r="B3273" s="23">
        <v>998.23599999999999</v>
      </c>
      <c r="C3273" s="23">
        <v>244.02</v>
      </c>
      <c r="D3273" s="23">
        <v>949.70399999999995</v>
      </c>
      <c r="E3273" s="23">
        <v>949.70399999999995</v>
      </c>
      <c r="F3273" s="23">
        <v>0</v>
      </c>
      <c r="G3273" s="23">
        <v>0</v>
      </c>
      <c r="H3273" s="23">
        <v>0</v>
      </c>
      <c r="I3273" s="23">
        <v>48.531999999999996</v>
      </c>
      <c r="J3273" s="23">
        <v>0</v>
      </c>
      <c r="K3273" s="23">
        <v>0</v>
      </c>
    </row>
    <row r="3274" spans="1:11" x14ac:dyDescent="0.25">
      <c r="A3274">
        <v>3273</v>
      </c>
      <c r="B3274" s="23">
        <v>1435.7909999999999</v>
      </c>
      <c r="C3274" s="23">
        <v>572.73</v>
      </c>
      <c r="D3274" s="23">
        <v>2234.5010000000002</v>
      </c>
      <c r="E3274" s="23">
        <v>1435.7909999999999</v>
      </c>
      <c r="F3274" s="23">
        <v>-798.71</v>
      </c>
      <c r="G3274" s="23">
        <v>0</v>
      </c>
      <c r="H3274" s="23">
        <v>0</v>
      </c>
      <c r="I3274" s="23">
        <v>0</v>
      </c>
      <c r="J3274" s="23">
        <v>0</v>
      </c>
      <c r="K3274" s="23">
        <v>0</v>
      </c>
    </row>
    <row r="3275" spans="1:11" x14ac:dyDescent="0.25">
      <c r="A3275">
        <v>3274</v>
      </c>
      <c r="B3275" s="23">
        <v>1831.6469999999999</v>
      </c>
      <c r="C3275" s="23">
        <v>591.11</v>
      </c>
      <c r="D3275" s="23">
        <v>2234.9870000000001</v>
      </c>
      <c r="E3275" s="23">
        <v>1831.6469999999999</v>
      </c>
      <c r="F3275" s="23">
        <v>-403.34</v>
      </c>
      <c r="G3275" s="23">
        <v>0</v>
      </c>
      <c r="H3275" s="23">
        <v>0</v>
      </c>
      <c r="I3275" s="23">
        <v>0</v>
      </c>
      <c r="J3275" s="23">
        <v>0</v>
      </c>
      <c r="K3275" s="23">
        <v>0</v>
      </c>
    </row>
    <row r="3276" spans="1:11" x14ac:dyDescent="0.25">
      <c r="A3276">
        <v>3275</v>
      </c>
      <c r="B3276" s="23">
        <v>1511.4079999999999</v>
      </c>
      <c r="C3276" s="23">
        <v>745.36</v>
      </c>
      <c r="D3276" s="23">
        <v>2772.3240000000001</v>
      </c>
      <c r="E3276" s="23">
        <v>1511.4079999999999</v>
      </c>
      <c r="F3276" s="23">
        <v>-1260.9159999999999</v>
      </c>
      <c r="G3276" s="23">
        <v>0</v>
      </c>
      <c r="H3276" s="23">
        <v>0</v>
      </c>
      <c r="I3276" s="23">
        <v>0</v>
      </c>
      <c r="J3276" s="23">
        <v>0</v>
      </c>
      <c r="K3276" s="23">
        <v>0</v>
      </c>
    </row>
    <row r="3277" spans="1:11" x14ac:dyDescent="0.25">
      <c r="A3277">
        <v>3276</v>
      </c>
      <c r="B3277" s="23">
        <v>1131.45</v>
      </c>
      <c r="C3277" s="23">
        <v>690.92</v>
      </c>
      <c r="D3277" s="23">
        <v>2576.0920000000001</v>
      </c>
      <c r="E3277" s="23">
        <v>1131.45</v>
      </c>
      <c r="F3277" s="23">
        <v>-1444.6420000000001</v>
      </c>
      <c r="G3277" s="23">
        <v>0</v>
      </c>
      <c r="H3277" s="23">
        <v>0</v>
      </c>
      <c r="I3277" s="23">
        <v>0</v>
      </c>
      <c r="J3277" s="23">
        <v>0</v>
      </c>
      <c r="K3277" s="23">
        <v>0</v>
      </c>
    </row>
    <row r="3278" spans="1:11" x14ac:dyDescent="0.25">
      <c r="A3278">
        <v>3277</v>
      </c>
      <c r="B3278" s="23">
        <v>1343.0150000000001</v>
      </c>
      <c r="C3278" s="23">
        <v>295.76</v>
      </c>
      <c r="D3278" s="23">
        <v>1117.6379999999999</v>
      </c>
      <c r="E3278" s="23">
        <v>1117.6379999999999</v>
      </c>
      <c r="F3278" s="23">
        <v>0</v>
      </c>
      <c r="G3278" s="23">
        <v>0</v>
      </c>
      <c r="H3278" s="23">
        <v>0</v>
      </c>
      <c r="I3278" s="23">
        <v>225.37700000000001</v>
      </c>
      <c r="J3278" s="23">
        <v>0</v>
      </c>
      <c r="K3278" s="23">
        <v>0</v>
      </c>
    </row>
    <row r="3279" spans="1:11" x14ac:dyDescent="0.25">
      <c r="A3279">
        <v>3278</v>
      </c>
      <c r="B3279" s="23">
        <v>1463.1949999999999</v>
      </c>
      <c r="C3279" s="23">
        <v>653.73</v>
      </c>
      <c r="D3279" s="23">
        <v>2470.0749999999998</v>
      </c>
      <c r="E3279" s="23">
        <v>1463.1949999999999</v>
      </c>
      <c r="F3279" s="23">
        <v>-1006.88</v>
      </c>
      <c r="G3279" s="23">
        <v>0</v>
      </c>
      <c r="H3279" s="23">
        <v>0</v>
      </c>
      <c r="I3279" s="23">
        <v>0</v>
      </c>
      <c r="J3279" s="23">
        <v>0</v>
      </c>
      <c r="K3279" s="23">
        <v>0</v>
      </c>
    </row>
    <row r="3280" spans="1:11" x14ac:dyDescent="0.25">
      <c r="A3280">
        <v>3279</v>
      </c>
      <c r="B3280" s="23">
        <v>1538.1880000000001</v>
      </c>
      <c r="C3280" s="23">
        <v>583.09</v>
      </c>
      <c r="D3280" s="23">
        <v>2236.5619999999999</v>
      </c>
      <c r="E3280" s="23">
        <v>1538.1880000000001</v>
      </c>
      <c r="F3280" s="23">
        <v>-698.37400000000002</v>
      </c>
      <c r="G3280" s="23">
        <v>0</v>
      </c>
      <c r="H3280" s="23">
        <v>0</v>
      </c>
      <c r="I3280" s="23">
        <v>0</v>
      </c>
      <c r="J3280" s="23">
        <v>0</v>
      </c>
      <c r="K3280" s="23">
        <v>0</v>
      </c>
    </row>
    <row r="3281" spans="1:11" x14ac:dyDescent="0.25">
      <c r="A3281">
        <v>3280</v>
      </c>
      <c r="B3281" s="23">
        <v>1937.529</v>
      </c>
      <c r="C3281" s="23">
        <v>132.69</v>
      </c>
      <c r="D3281" s="23">
        <v>497.66399999999999</v>
      </c>
      <c r="E3281" s="23">
        <v>497.66399999999999</v>
      </c>
      <c r="F3281" s="23">
        <v>0</v>
      </c>
      <c r="G3281" s="23">
        <v>0</v>
      </c>
      <c r="H3281" s="23">
        <v>0</v>
      </c>
      <c r="I3281" s="23">
        <v>1439.865</v>
      </c>
      <c r="J3281" s="23">
        <v>0</v>
      </c>
      <c r="K3281" s="23">
        <v>0</v>
      </c>
    </row>
    <row r="3282" spans="1:11" x14ac:dyDescent="0.25">
      <c r="A3282">
        <v>3281</v>
      </c>
      <c r="B3282" s="23">
        <v>1784.662</v>
      </c>
      <c r="C3282" s="23">
        <v>130.28</v>
      </c>
      <c r="D3282" s="23">
        <v>493.72300000000001</v>
      </c>
      <c r="E3282" s="23">
        <v>493.72300000000001</v>
      </c>
      <c r="F3282" s="23">
        <v>0</v>
      </c>
      <c r="G3282" s="23">
        <v>0</v>
      </c>
      <c r="H3282" s="23">
        <v>0</v>
      </c>
      <c r="I3282" s="23">
        <v>1290.9390000000001</v>
      </c>
      <c r="J3282" s="23">
        <v>0</v>
      </c>
      <c r="K3282" s="23">
        <v>0</v>
      </c>
    </row>
    <row r="3283" spans="1:11" x14ac:dyDescent="0.25">
      <c r="A3283">
        <v>3282</v>
      </c>
      <c r="B3283" s="23">
        <v>1641.1859999999999</v>
      </c>
      <c r="C3283" s="23">
        <v>42.66</v>
      </c>
      <c r="D3283" s="23">
        <v>137.34700000000001</v>
      </c>
      <c r="E3283" s="23">
        <v>137.34700000000001</v>
      </c>
      <c r="F3283" s="23">
        <v>0</v>
      </c>
      <c r="G3283" s="23">
        <v>0</v>
      </c>
      <c r="H3283" s="23">
        <v>0</v>
      </c>
      <c r="I3283" s="23">
        <v>0</v>
      </c>
      <c r="J3283" s="23">
        <v>0</v>
      </c>
      <c r="K3283" s="23">
        <v>1503.8389999999999</v>
      </c>
    </row>
    <row r="3284" spans="1:11" x14ac:dyDescent="0.25">
      <c r="A3284">
        <v>3283</v>
      </c>
      <c r="B3284" s="23">
        <v>1082.752</v>
      </c>
      <c r="C3284" s="23">
        <v>0</v>
      </c>
      <c r="D3284" s="23">
        <v>0</v>
      </c>
      <c r="E3284" s="23">
        <v>0</v>
      </c>
      <c r="F3284" s="23">
        <v>0</v>
      </c>
      <c r="G3284" s="23">
        <v>0</v>
      </c>
      <c r="H3284" s="23">
        <v>0</v>
      </c>
      <c r="I3284" s="23">
        <v>0</v>
      </c>
      <c r="J3284" s="23">
        <v>0</v>
      </c>
      <c r="K3284" s="23">
        <v>1082.752</v>
      </c>
    </row>
    <row r="3285" spans="1:11" x14ac:dyDescent="0.25">
      <c r="A3285">
        <v>3284</v>
      </c>
      <c r="B3285" s="23">
        <v>1290.4000000000001</v>
      </c>
      <c r="C3285" s="23">
        <v>0</v>
      </c>
      <c r="D3285" s="23">
        <v>0</v>
      </c>
      <c r="E3285" s="23">
        <v>0</v>
      </c>
      <c r="F3285" s="23">
        <v>0</v>
      </c>
      <c r="G3285" s="23">
        <v>0</v>
      </c>
      <c r="H3285" s="23">
        <v>0</v>
      </c>
      <c r="I3285" s="23">
        <v>0</v>
      </c>
      <c r="J3285" s="23">
        <v>0</v>
      </c>
      <c r="K3285" s="23">
        <v>1290.4000000000001</v>
      </c>
    </row>
    <row r="3286" spans="1:11" x14ac:dyDescent="0.25">
      <c r="A3286">
        <v>3285</v>
      </c>
      <c r="B3286" s="23">
        <v>1324.8</v>
      </c>
      <c r="C3286" s="23">
        <v>0</v>
      </c>
      <c r="D3286" s="23">
        <v>0</v>
      </c>
      <c r="E3286" s="23">
        <v>0</v>
      </c>
      <c r="F3286" s="23">
        <v>0</v>
      </c>
      <c r="G3286" s="23">
        <v>0</v>
      </c>
      <c r="H3286" s="23">
        <v>0</v>
      </c>
      <c r="I3286" s="23">
        <v>1324.8</v>
      </c>
      <c r="J3286" s="23">
        <v>0</v>
      </c>
      <c r="K3286" s="23">
        <v>0</v>
      </c>
    </row>
    <row r="3287" spans="1:11" x14ac:dyDescent="0.25">
      <c r="A3287">
        <v>3286</v>
      </c>
      <c r="B3287" s="23">
        <v>1139.2</v>
      </c>
      <c r="C3287" s="23">
        <v>0</v>
      </c>
      <c r="D3287" s="23">
        <v>0</v>
      </c>
      <c r="E3287" s="23">
        <v>0</v>
      </c>
      <c r="F3287" s="23">
        <v>0</v>
      </c>
      <c r="G3287" s="23">
        <v>0</v>
      </c>
      <c r="H3287" s="23">
        <v>0</v>
      </c>
      <c r="I3287" s="23">
        <v>145.916</v>
      </c>
      <c r="J3287" s="23">
        <v>0</v>
      </c>
      <c r="K3287" s="23">
        <v>993.28399999999999</v>
      </c>
    </row>
    <row r="3288" spans="1:11" x14ac:dyDescent="0.25">
      <c r="A3288">
        <v>3287</v>
      </c>
      <c r="B3288" s="23">
        <v>1259.2</v>
      </c>
      <c r="C3288" s="23">
        <v>0</v>
      </c>
      <c r="D3288" s="23">
        <v>0</v>
      </c>
      <c r="E3288" s="23">
        <v>0</v>
      </c>
      <c r="F3288" s="23">
        <v>0</v>
      </c>
      <c r="G3288" s="23">
        <v>0</v>
      </c>
      <c r="H3288" s="23">
        <v>0</v>
      </c>
      <c r="I3288" s="23">
        <v>1259.2</v>
      </c>
      <c r="J3288" s="23">
        <v>0</v>
      </c>
      <c r="K3288" s="23">
        <v>0</v>
      </c>
    </row>
    <row r="3289" spans="1:11" x14ac:dyDescent="0.25">
      <c r="A3289">
        <v>3288</v>
      </c>
      <c r="B3289" s="23">
        <v>0</v>
      </c>
      <c r="C3289" s="23">
        <v>0</v>
      </c>
      <c r="D3289" s="23">
        <v>0</v>
      </c>
      <c r="E3289" s="23">
        <v>0</v>
      </c>
      <c r="F3289" s="23">
        <v>0</v>
      </c>
      <c r="G3289" s="23">
        <v>0</v>
      </c>
      <c r="H3289" s="23">
        <v>0</v>
      </c>
      <c r="I3289" s="23">
        <v>0</v>
      </c>
      <c r="J3289" s="23">
        <v>0</v>
      </c>
      <c r="K3289" s="23">
        <v>0</v>
      </c>
    </row>
    <row r="3290" spans="1:11" x14ac:dyDescent="0.25">
      <c r="A3290">
        <v>3289</v>
      </c>
      <c r="B3290" s="23">
        <v>0</v>
      </c>
      <c r="C3290" s="23">
        <v>0</v>
      </c>
      <c r="D3290" s="23">
        <v>0</v>
      </c>
      <c r="E3290" s="23">
        <v>0</v>
      </c>
      <c r="F3290" s="23">
        <v>0</v>
      </c>
      <c r="G3290" s="23">
        <v>0</v>
      </c>
      <c r="H3290" s="23">
        <v>0</v>
      </c>
      <c r="I3290" s="23">
        <v>0</v>
      </c>
      <c r="J3290" s="23">
        <v>0</v>
      </c>
      <c r="K3290" s="23">
        <v>0</v>
      </c>
    </row>
    <row r="3291" spans="1:11" x14ac:dyDescent="0.25">
      <c r="A3291">
        <v>3290</v>
      </c>
      <c r="B3291" s="23">
        <v>0</v>
      </c>
      <c r="C3291" s="23">
        <v>0</v>
      </c>
      <c r="D3291" s="23">
        <v>0</v>
      </c>
      <c r="E3291" s="23">
        <v>0</v>
      </c>
      <c r="F3291" s="23">
        <v>0</v>
      </c>
      <c r="G3291" s="23">
        <v>0</v>
      </c>
      <c r="H3291" s="23">
        <v>0</v>
      </c>
      <c r="I3291" s="23">
        <v>0</v>
      </c>
      <c r="J3291" s="23">
        <v>0</v>
      </c>
      <c r="K3291" s="23">
        <v>0</v>
      </c>
    </row>
    <row r="3292" spans="1:11" x14ac:dyDescent="0.25">
      <c r="A3292">
        <v>3291</v>
      </c>
      <c r="B3292" s="23">
        <v>0</v>
      </c>
      <c r="C3292" s="23">
        <v>0</v>
      </c>
      <c r="D3292" s="23">
        <v>0</v>
      </c>
      <c r="E3292" s="23">
        <v>0</v>
      </c>
      <c r="F3292" s="23">
        <v>0</v>
      </c>
      <c r="G3292" s="23">
        <v>0</v>
      </c>
      <c r="H3292" s="23">
        <v>0</v>
      </c>
      <c r="I3292" s="23">
        <v>0</v>
      </c>
      <c r="J3292" s="23">
        <v>0</v>
      </c>
      <c r="K3292" s="23">
        <v>0</v>
      </c>
    </row>
    <row r="3293" spans="1:11" x14ac:dyDescent="0.25">
      <c r="A3293">
        <v>3292</v>
      </c>
      <c r="B3293" s="23">
        <v>0</v>
      </c>
      <c r="C3293" s="23">
        <v>0</v>
      </c>
      <c r="D3293" s="23">
        <v>0</v>
      </c>
      <c r="E3293" s="23">
        <v>0</v>
      </c>
      <c r="F3293" s="23">
        <v>0</v>
      </c>
      <c r="G3293" s="23">
        <v>0</v>
      </c>
      <c r="H3293" s="23">
        <v>0</v>
      </c>
      <c r="I3293" s="23">
        <v>0</v>
      </c>
      <c r="J3293" s="23">
        <v>0</v>
      </c>
      <c r="K3293" s="23">
        <v>0</v>
      </c>
    </row>
    <row r="3294" spans="1:11" x14ac:dyDescent="0.25">
      <c r="A3294">
        <v>3293</v>
      </c>
      <c r="B3294" s="23">
        <v>0</v>
      </c>
      <c r="C3294" s="23">
        <v>0</v>
      </c>
      <c r="D3294" s="23">
        <v>0</v>
      </c>
      <c r="E3294" s="23">
        <v>0</v>
      </c>
      <c r="F3294" s="23">
        <v>0</v>
      </c>
      <c r="G3294" s="23">
        <v>0</v>
      </c>
      <c r="H3294" s="23">
        <v>0</v>
      </c>
      <c r="I3294" s="23">
        <v>0</v>
      </c>
      <c r="J3294" s="23">
        <v>0</v>
      </c>
      <c r="K3294" s="23">
        <v>0</v>
      </c>
    </row>
    <row r="3295" spans="1:11" x14ac:dyDescent="0.25">
      <c r="A3295">
        <v>3294</v>
      </c>
      <c r="B3295" s="23">
        <v>0</v>
      </c>
      <c r="C3295" s="23">
        <v>0</v>
      </c>
      <c r="D3295" s="23">
        <v>0</v>
      </c>
      <c r="E3295" s="23">
        <v>0</v>
      </c>
      <c r="F3295" s="23">
        <v>0</v>
      </c>
      <c r="G3295" s="23">
        <v>0</v>
      </c>
      <c r="H3295" s="23">
        <v>0</v>
      </c>
      <c r="I3295" s="23">
        <v>0</v>
      </c>
      <c r="J3295" s="23">
        <v>0</v>
      </c>
      <c r="K3295" s="23">
        <v>0</v>
      </c>
    </row>
    <row r="3296" spans="1:11" x14ac:dyDescent="0.25">
      <c r="A3296">
        <v>3295</v>
      </c>
      <c r="B3296" s="23">
        <v>1182.6569999999999</v>
      </c>
      <c r="C3296" s="23">
        <v>120.9</v>
      </c>
      <c r="D3296" s="23">
        <v>431.22699999999998</v>
      </c>
      <c r="E3296" s="23">
        <v>431.22699999999998</v>
      </c>
      <c r="F3296" s="23">
        <v>0</v>
      </c>
      <c r="G3296" s="23">
        <v>0</v>
      </c>
      <c r="H3296" s="23">
        <v>0</v>
      </c>
      <c r="I3296" s="23">
        <v>0</v>
      </c>
      <c r="J3296" s="23">
        <v>0</v>
      </c>
      <c r="K3296" s="23">
        <v>751.43</v>
      </c>
    </row>
    <row r="3297" spans="1:11" x14ac:dyDescent="0.25">
      <c r="A3297">
        <v>3296</v>
      </c>
      <c r="B3297" s="23">
        <v>936.67200000000003</v>
      </c>
      <c r="C3297" s="23">
        <v>307.86</v>
      </c>
      <c r="D3297" s="23">
        <v>1208.876</v>
      </c>
      <c r="E3297" s="23">
        <v>936.67200000000003</v>
      </c>
      <c r="F3297" s="23">
        <v>-272.20400000000001</v>
      </c>
      <c r="G3297" s="23">
        <v>0</v>
      </c>
      <c r="H3297" s="23">
        <v>0</v>
      </c>
      <c r="I3297" s="23">
        <v>0</v>
      </c>
      <c r="J3297" s="23">
        <v>0</v>
      </c>
      <c r="K3297" s="23">
        <v>0</v>
      </c>
    </row>
    <row r="3298" spans="1:11" x14ac:dyDescent="0.25">
      <c r="A3298">
        <v>3297</v>
      </c>
      <c r="B3298" s="23">
        <v>1006.925</v>
      </c>
      <c r="C3298" s="23">
        <v>330.42</v>
      </c>
      <c r="D3298" s="23">
        <v>1277.4459999999999</v>
      </c>
      <c r="E3298" s="23">
        <v>1006.925</v>
      </c>
      <c r="F3298" s="23">
        <v>-270.52100000000002</v>
      </c>
      <c r="G3298" s="23">
        <v>0</v>
      </c>
      <c r="H3298" s="23">
        <v>0</v>
      </c>
      <c r="I3298" s="23">
        <v>0</v>
      </c>
      <c r="J3298" s="23">
        <v>0</v>
      </c>
      <c r="K3298" s="23">
        <v>0</v>
      </c>
    </row>
    <row r="3299" spans="1:11" x14ac:dyDescent="0.25">
      <c r="A3299">
        <v>3298</v>
      </c>
      <c r="B3299" s="23">
        <v>980.99400000000003</v>
      </c>
      <c r="C3299" s="23">
        <v>346.88</v>
      </c>
      <c r="D3299" s="23">
        <v>1318.54</v>
      </c>
      <c r="E3299" s="23">
        <v>980.99400000000003</v>
      </c>
      <c r="F3299" s="23">
        <v>-337.54599999999999</v>
      </c>
      <c r="G3299" s="23">
        <v>0</v>
      </c>
      <c r="H3299" s="23">
        <v>0</v>
      </c>
      <c r="I3299" s="23">
        <v>0</v>
      </c>
      <c r="J3299" s="23">
        <v>0</v>
      </c>
      <c r="K3299" s="23">
        <v>0</v>
      </c>
    </row>
    <row r="3300" spans="1:11" x14ac:dyDescent="0.25">
      <c r="A3300">
        <v>3299</v>
      </c>
      <c r="B3300" s="23">
        <v>1100.2270000000001</v>
      </c>
      <c r="C3300" s="23">
        <v>438.16</v>
      </c>
      <c r="D3300" s="23">
        <v>1643.43</v>
      </c>
      <c r="E3300" s="23">
        <v>1100.2270000000001</v>
      </c>
      <c r="F3300" s="23">
        <v>-543.20299999999997</v>
      </c>
      <c r="G3300" s="23">
        <v>0</v>
      </c>
      <c r="H3300" s="23">
        <v>0</v>
      </c>
      <c r="I3300" s="23">
        <v>0</v>
      </c>
      <c r="J3300" s="23">
        <v>0</v>
      </c>
      <c r="K3300" s="23">
        <v>0</v>
      </c>
    </row>
    <row r="3301" spans="1:11" x14ac:dyDescent="0.25">
      <c r="A3301">
        <v>3300</v>
      </c>
      <c r="B3301" s="23">
        <v>1192.4069999999999</v>
      </c>
      <c r="C3301" s="23">
        <v>783.26</v>
      </c>
      <c r="D3301" s="23">
        <v>2829.3130000000001</v>
      </c>
      <c r="E3301" s="23">
        <v>1192.4069999999999</v>
      </c>
      <c r="F3301" s="23">
        <v>-1636.9059999999999</v>
      </c>
      <c r="G3301" s="23">
        <v>0</v>
      </c>
      <c r="H3301" s="23">
        <v>0</v>
      </c>
      <c r="I3301" s="23">
        <v>0</v>
      </c>
      <c r="J3301" s="23">
        <v>0</v>
      </c>
      <c r="K3301" s="23">
        <v>0</v>
      </c>
    </row>
    <row r="3302" spans="1:11" x14ac:dyDescent="0.25">
      <c r="A3302">
        <v>3301</v>
      </c>
      <c r="B3302" s="23">
        <v>1178.5</v>
      </c>
      <c r="C3302" s="23">
        <v>782.88</v>
      </c>
      <c r="D3302" s="23">
        <v>2835.759</v>
      </c>
      <c r="E3302" s="23">
        <v>1178.5</v>
      </c>
      <c r="F3302" s="23">
        <v>-1657.259</v>
      </c>
      <c r="G3302" s="23">
        <v>0</v>
      </c>
      <c r="H3302" s="23">
        <v>0</v>
      </c>
      <c r="I3302" s="23">
        <v>0</v>
      </c>
      <c r="J3302" s="23">
        <v>0</v>
      </c>
      <c r="K3302" s="23">
        <v>0</v>
      </c>
    </row>
    <row r="3303" spans="1:11" x14ac:dyDescent="0.25">
      <c r="A3303">
        <v>3302</v>
      </c>
      <c r="B3303" s="23">
        <v>1218.473</v>
      </c>
      <c r="C3303" s="23">
        <v>846.41</v>
      </c>
      <c r="D3303" s="23">
        <v>3109.152</v>
      </c>
      <c r="E3303" s="23">
        <v>1218.473</v>
      </c>
      <c r="F3303" s="23">
        <v>-1684.559</v>
      </c>
      <c r="G3303" s="23">
        <v>0</v>
      </c>
      <c r="H3303" s="23">
        <v>206.12</v>
      </c>
      <c r="I3303" s="23">
        <v>0</v>
      </c>
      <c r="J3303" s="23">
        <v>0</v>
      </c>
      <c r="K3303" s="23">
        <v>0</v>
      </c>
    </row>
    <row r="3304" spans="1:11" x14ac:dyDescent="0.25">
      <c r="A3304">
        <v>3303</v>
      </c>
      <c r="B3304" s="23">
        <v>1017.622</v>
      </c>
      <c r="C3304" s="23">
        <v>701.04</v>
      </c>
      <c r="D3304" s="23">
        <v>2647.2919999999999</v>
      </c>
      <c r="E3304" s="23">
        <v>1017.622</v>
      </c>
      <c r="F3304" s="23">
        <v>-889.30100000000004</v>
      </c>
      <c r="G3304" s="23">
        <v>0</v>
      </c>
      <c r="H3304" s="23">
        <v>740.36900000000003</v>
      </c>
      <c r="I3304" s="23">
        <v>0</v>
      </c>
      <c r="J3304" s="23">
        <v>0</v>
      </c>
      <c r="K3304" s="23">
        <v>0</v>
      </c>
    </row>
    <row r="3305" spans="1:11" x14ac:dyDescent="0.25">
      <c r="A3305">
        <v>3304</v>
      </c>
      <c r="B3305" s="23">
        <v>339.25799999999998</v>
      </c>
      <c r="C3305" s="23">
        <v>502.96</v>
      </c>
      <c r="D3305" s="23">
        <v>1959.3209999999999</v>
      </c>
      <c r="E3305" s="23">
        <v>339.25799999999998</v>
      </c>
      <c r="F3305" s="23">
        <v>0</v>
      </c>
      <c r="G3305" s="23">
        <v>0</v>
      </c>
      <c r="H3305" s="23">
        <v>1620.0630000000001</v>
      </c>
      <c r="I3305" s="23">
        <v>0</v>
      </c>
      <c r="J3305" s="23">
        <v>0</v>
      </c>
      <c r="K3305" s="23">
        <v>0</v>
      </c>
    </row>
    <row r="3306" spans="1:11" x14ac:dyDescent="0.25">
      <c r="A3306">
        <v>3305</v>
      </c>
      <c r="B3306" s="23">
        <v>224.739</v>
      </c>
      <c r="C3306" s="23">
        <v>275.97000000000003</v>
      </c>
      <c r="D3306" s="23">
        <v>1020.356</v>
      </c>
      <c r="E3306" s="23">
        <v>224.739</v>
      </c>
      <c r="F3306" s="23">
        <v>0</v>
      </c>
      <c r="G3306" s="23">
        <v>0</v>
      </c>
      <c r="H3306" s="23">
        <v>795.61699999999996</v>
      </c>
      <c r="I3306" s="23">
        <v>0</v>
      </c>
      <c r="J3306" s="23">
        <v>0</v>
      </c>
      <c r="K3306" s="23">
        <v>0</v>
      </c>
    </row>
    <row r="3307" spans="1:11" x14ac:dyDescent="0.25">
      <c r="A3307">
        <v>3306</v>
      </c>
      <c r="B3307" s="23">
        <v>209.471</v>
      </c>
      <c r="C3307" s="23">
        <v>68.88</v>
      </c>
      <c r="D3307" s="23">
        <v>209.33199999999999</v>
      </c>
      <c r="E3307" s="23">
        <v>209.33199999999999</v>
      </c>
      <c r="F3307" s="23">
        <v>0</v>
      </c>
      <c r="G3307" s="23">
        <v>0</v>
      </c>
      <c r="H3307" s="23">
        <v>0</v>
      </c>
      <c r="I3307" s="23">
        <v>0</v>
      </c>
      <c r="J3307" s="23">
        <v>0</v>
      </c>
      <c r="K3307" s="23">
        <v>0.13900000000000001</v>
      </c>
    </row>
    <row r="3308" spans="1:11" x14ac:dyDescent="0.25">
      <c r="A3308">
        <v>3307</v>
      </c>
      <c r="B3308" s="23">
        <v>115.054</v>
      </c>
      <c r="C3308" s="23">
        <v>0</v>
      </c>
      <c r="D3308" s="23">
        <v>0</v>
      </c>
      <c r="E3308" s="23">
        <v>0</v>
      </c>
      <c r="F3308" s="23">
        <v>0</v>
      </c>
      <c r="G3308" s="23">
        <v>0</v>
      </c>
      <c r="H3308" s="23">
        <v>0</v>
      </c>
      <c r="I3308" s="23">
        <v>0</v>
      </c>
      <c r="J3308" s="23">
        <v>0</v>
      </c>
      <c r="K3308" s="23">
        <v>115.054</v>
      </c>
    </row>
    <row r="3309" spans="1:11" x14ac:dyDescent="0.25">
      <c r="A3309">
        <v>3308</v>
      </c>
      <c r="B3309" s="23">
        <v>0</v>
      </c>
      <c r="C3309" s="23">
        <v>0</v>
      </c>
      <c r="D3309" s="23">
        <v>0</v>
      </c>
      <c r="E3309" s="23">
        <v>0</v>
      </c>
      <c r="F3309" s="23">
        <v>0</v>
      </c>
      <c r="G3309" s="23">
        <v>0</v>
      </c>
      <c r="H3309" s="23">
        <v>0</v>
      </c>
      <c r="I3309" s="23">
        <v>0</v>
      </c>
      <c r="J3309" s="23">
        <v>0</v>
      </c>
      <c r="K3309" s="23">
        <v>0</v>
      </c>
    </row>
    <row r="3310" spans="1:11" x14ac:dyDescent="0.25">
      <c r="A3310">
        <v>3309</v>
      </c>
      <c r="B3310" s="23">
        <v>0</v>
      </c>
      <c r="C3310" s="23">
        <v>0</v>
      </c>
      <c r="D3310" s="23">
        <v>0</v>
      </c>
      <c r="E3310" s="23">
        <v>0</v>
      </c>
      <c r="F3310" s="23">
        <v>0</v>
      </c>
      <c r="G3310" s="23">
        <v>0</v>
      </c>
      <c r="H3310" s="23">
        <v>0</v>
      </c>
      <c r="I3310" s="23">
        <v>0</v>
      </c>
      <c r="J3310" s="23">
        <v>0</v>
      </c>
      <c r="K3310" s="23">
        <v>0</v>
      </c>
    </row>
    <row r="3311" spans="1:11" x14ac:dyDescent="0.25">
      <c r="A3311">
        <v>3310</v>
      </c>
      <c r="B3311" s="23">
        <v>0</v>
      </c>
      <c r="C3311" s="23">
        <v>0</v>
      </c>
      <c r="D3311" s="23">
        <v>0</v>
      </c>
      <c r="E3311" s="23">
        <v>0</v>
      </c>
      <c r="F3311" s="23">
        <v>0</v>
      </c>
      <c r="G3311" s="23">
        <v>0</v>
      </c>
      <c r="H3311" s="23">
        <v>0</v>
      </c>
      <c r="I3311" s="23">
        <v>0</v>
      </c>
      <c r="J3311" s="23">
        <v>0</v>
      </c>
      <c r="K3311" s="23">
        <v>0</v>
      </c>
    </row>
    <row r="3312" spans="1:11" x14ac:dyDescent="0.25">
      <c r="A3312">
        <v>3311</v>
      </c>
      <c r="B3312" s="23">
        <v>0</v>
      </c>
      <c r="C3312" s="23">
        <v>0</v>
      </c>
      <c r="D3312" s="23">
        <v>0</v>
      </c>
      <c r="E3312" s="23">
        <v>0</v>
      </c>
      <c r="F3312" s="23">
        <v>0</v>
      </c>
      <c r="G3312" s="23">
        <v>0</v>
      </c>
      <c r="H3312" s="23">
        <v>0</v>
      </c>
      <c r="I3312" s="23">
        <v>0</v>
      </c>
      <c r="J3312" s="23">
        <v>0</v>
      </c>
      <c r="K3312" s="23">
        <v>0</v>
      </c>
    </row>
    <row r="3313" spans="1:11" x14ac:dyDescent="0.25">
      <c r="A3313">
        <v>3312</v>
      </c>
      <c r="B3313" s="23">
        <v>0</v>
      </c>
      <c r="C3313" s="23">
        <v>0</v>
      </c>
      <c r="D3313" s="23">
        <v>0</v>
      </c>
      <c r="E3313" s="23">
        <v>0</v>
      </c>
      <c r="F3313" s="23">
        <v>0</v>
      </c>
      <c r="G3313" s="23">
        <v>0</v>
      </c>
      <c r="H3313" s="23">
        <v>0</v>
      </c>
      <c r="I3313" s="23">
        <v>0</v>
      </c>
      <c r="J3313" s="23">
        <v>0</v>
      </c>
      <c r="K3313" s="23">
        <v>0</v>
      </c>
    </row>
    <row r="3314" spans="1:11" x14ac:dyDescent="0.25">
      <c r="A3314">
        <v>3313</v>
      </c>
      <c r="B3314" s="23">
        <v>0</v>
      </c>
      <c r="C3314" s="23">
        <v>0</v>
      </c>
      <c r="D3314" s="23">
        <v>0</v>
      </c>
      <c r="E3314" s="23">
        <v>0</v>
      </c>
      <c r="F3314" s="23">
        <v>0</v>
      </c>
      <c r="G3314" s="23">
        <v>0</v>
      </c>
      <c r="H3314" s="23">
        <v>0</v>
      </c>
      <c r="I3314" s="23">
        <v>0</v>
      </c>
      <c r="J3314" s="23">
        <v>0</v>
      </c>
      <c r="K3314" s="23">
        <v>0</v>
      </c>
    </row>
    <row r="3315" spans="1:11" x14ac:dyDescent="0.25">
      <c r="A3315">
        <v>3314</v>
      </c>
      <c r="B3315" s="23">
        <v>0</v>
      </c>
      <c r="C3315" s="23">
        <v>0</v>
      </c>
      <c r="D3315" s="23">
        <v>0</v>
      </c>
      <c r="E3315" s="23">
        <v>0</v>
      </c>
      <c r="F3315" s="23">
        <v>0</v>
      </c>
      <c r="G3315" s="23">
        <v>0</v>
      </c>
      <c r="H3315" s="23">
        <v>0</v>
      </c>
      <c r="I3315" s="23">
        <v>0</v>
      </c>
      <c r="J3315" s="23">
        <v>0</v>
      </c>
      <c r="K3315" s="23">
        <v>0</v>
      </c>
    </row>
    <row r="3316" spans="1:11" x14ac:dyDescent="0.25">
      <c r="A3316">
        <v>3315</v>
      </c>
      <c r="B3316" s="23">
        <v>0</v>
      </c>
      <c r="C3316" s="23">
        <v>0</v>
      </c>
      <c r="D3316" s="23">
        <v>0</v>
      </c>
      <c r="E3316" s="23">
        <v>0</v>
      </c>
      <c r="F3316" s="23">
        <v>0</v>
      </c>
      <c r="G3316" s="23">
        <v>0</v>
      </c>
      <c r="H3316" s="23">
        <v>0</v>
      </c>
      <c r="I3316" s="23">
        <v>0</v>
      </c>
      <c r="J3316" s="23">
        <v>0</v>
      </c>
      <c r="K3316" s="23">
        <v>0</v>
      </c>
    </row>
    <row r="3317" spans="1:11" x14ac:dyDescent="0.25">
      <c r="A3317">
        <v>3316</v>
      </c>
      <c r="B3317" s="23">
        <v>0</v>
      </c>
      <c r="C3317" s="23">
        <v>0</v>
      </c>
      <c r="D3317" s="23">
        <v>0</v>
      </c>
      <c r="E3317" s="23">
        <v>0</v>
      </c>
      <c r="F3317" s="23">
        <v>0</v>
      </c>
      <c r="G3317" s="23">
        <v>0</v>
      </c>
      <c r="H3317" s="23">
        <v>0</v>
      </c>
      <c r="I3317" s="23">
        <v>0</v>
      </c>
      <c r="J3317" s="23">
        <v>0</v>
      </c>
      <c r="K3317" s="23">
        <v>0</v>
      </c>
    </row>
    <row r="3318" spans="1:11" x14ac:dyDescent="0.25">
      <c r="A3318">
        <v>3317</v>
      </c>
      <c r="B3318" s="23">
        <v>0</v>
      </c>
      <c r="C3318" s="23">
        <v>0</v>
      </c>
      <c r="D3318" s="23">
        <v>0</v>
      </c>
      <c r="E3318" s="23">
        <v>0</v>
      </c>
      <c r="F3318" s="23">
        <v>0</v>
      </c>
      <c r="G3318" s="23">
        <v>0</v>
      </c>
      <c r="H3318" s="23">
        <v>0</v>
      </c>
      <c r="I3318" s="23">
        <v>0</v>
      </c>
      <c r="J3318" s="23">
        <v>0</v>
      </c>
      <c r="K3318" s="23">
        <v>0</v>
      </c>
    </row>
    <row r="3319" spans="1:11" x14ac:dyDescent="0.25">
      <c r="A3319">
        <v>3318</v>
      </c>
      <c r="B3319" s="23">
        <v>0</v>
      </c>
      <c r="C3319" s="23">
        <v>0</v>
      </c>
      <c r="D3319" s="23">
        <v>0</v>
      </c>
      <c r="E3319" s="23">
        <v>0</v>
      </c>
      <c r="F3319" s="23">
        <v>0</v>
      </c>
      <c r="G3319" s="23">
        <v>0</v>
      </c>
      <c r="H3319" s="23">
        <v>0</v>
      </c>
      <c r="I3319" s="23">
        <v>0</v>
      </c>
      <c r="J3319" s="23">
        <v>0</v>
      </c>
      <c r="K3319" s="23">
        <v>0</v>
      </c>
    </row>
    <row r="3320" spans="1:11" x14ac:dyDescent="0.25">
      <c r="A3320">
        <v>3319</v>
      </c>
      <c r="B3320" s="23">
        <v>79.923000000000002</v>
      </c>
      <c r="C3320" s="23">
        <v>79.569999999999993</v>
      </c>
      <c r="D3320" s="23">
        <v>287.71199999999999</v>
      </c>
      <c r="E3320" s="23">
        <v>79.923000000000002</v>
      </c>
      <c r="F3320" s="23">
        <v>-128.197</v>
      </c>
      <c r="G3320" s="23">
        <v>0</v>
      </c>
      <c r="H3320" s="23">
        <v>79.591999999999999</v>
      </c>
      <c r="I3320" s="23">
        <v>0</v>
      </c>
      <c r="J3320" s="23">
        <v>0</v>
      </c>
      <c r="K3320" s="23">
        <v>0</v>
      </c>
    </row>
    <row r="3321" spans="1:11" x14ac:dyDescent="0.25">
      <c r="A3321">
        <v>3320</v>
      </c>
      <c r="B3321" s="23">
        <v>156.96</v>
      </c>
      <c r="C3321" s="23">
        <v>353.68</v>
      </c>
      <c r="D3321" s="23">
        <v>1376.6079999999999</v>
      </c>
      <c r="E3321" s="23">
        <v>156.96</v>
      </c>
      <c r="F3321" s="23">
        <v>0</v>
      </c>
      <c r="G3321" s="23">
        <v>0</v>
      </c>
      <c r="H3321" s="23">
        <v>1219.6479999999999</v>
      </c>
      <c r="I3321" s="23">
        <v>0</v>
      </c>
      <c r="J3321" s="23">
        <v>0</v>
      </c>
      <c r="K3321" s="23">
        <v>0</v>
      </c>
    </row>
    <row r="3322" spans="1:11" x14ac:dyDescent="0.25">
      <c r="A3322">
        <v>3321</v>
      </c>
      <c r="B3322" s="23">
        <v>637.62699999999995</v>
      </c>
      <c r="C3322" s="23">
        <v>573.54</v>
      </c>
      <c r="D3322" s="23">
        <v>2255.1750000000002</v>
      </c>
      <c r="E3322" s="23">
        <v>637.62699999999995</v>
      </c>
      <c r="F3322" s="23">
        <v>0</v>
      </c>
      <c r="G3322" s="23">
        <v>0</v>
      </c>
      <c r="H3322" s="23">
        <v>1617.548</v>
      </c>
      <c r="I3322" s="23">
        <v>0</v>
      </c>
      <c r="J3322" s="23">
        <v>0</v>
      </c>
      <c r="K3322" s="23">
        <v>0</v>
      </c>
    </row>
    <row r="3323" spans="1:11" x14ac:dyDescent="0.25">
      <c r="A3323">
        <v>3322</v>
      </c>
      <c r="B3323" s="23">
        <v>1024.991</v>
      </c>
      <c r="C3323" s="23">
        <v>755.9</v>
      </c>
      <c r="D3323" s="23">
        <v>2897.2170000000001</v>
      </c>
      <c r="E3323" s="23">
        <v>1024.991</v>
      </c>
      <c r="F3323" s="23">
        <v>0</v>
      </c>
      <c r="G3323" s="23">
        <v>0</v>
      </c>
      <c r="H3323" s="23">
        <v>1872.2260000000001</v>
      </c>
      <c r="I3323" s="23">
        <v>0</v>
      </c>
      <c r="J3323" s="23">
        <v>0</v>
      </c>
      <c r="K3323" s="23">
        <v>0</v>
      </c>
    </row>
    <row r="3324" spans="1:11" x14ac:dyDescent="0.25">
      <c r="A3324">
        <v>3323</v>
      </c>
      <c r="B3324" s="23">
        <v>1410.943</v>
      </c>
      <c r="C3324" s="23">
        <v>644.41999999999996</v>
      </c>
      <c r="D3324" s="23">
        <v>2423.33</v>
      </c>
      <c r="E3324" s="23">
        <v>1410.943</v>
      </c>
      <c r="F3324" s="23">
        <v>0</v>
      </c>
      <c r="G3324" s="23">
        <v>0</v>
      </c>
      <c r="H3324" s="23">
        <v>1012.3869999999999</v>
      </c>
      <c r="I3324" s="23">
        <v>0</v>
      </c>
      <c r="J3324" s="23">
        <v>0</v>
      </c>
      <c r="K3324" s="23">
        <v>0</v>
      </c>
    </row>
    <row r="3325" spans="1:11" x14ac:dyDescent="0.25">
      <c r="A3325">
        <v>3324</v>
      </c>
      <c r="B3325" s="23">
        <v>1071.4390000000001</v>
      </c>
      <c r="C3325" s="23">
        <v>687.46</v>
      </c>
      <c r="D3325" s="23">
        <v>2566.3809999999999</v>
      </c>
      <c r="E3325" s="23">
        <v>1071.4390000000001</v>
      </c>
      <c r="F3325" s="23">
        <v>0</v>
      </c>
      <c r="G3325" s="23">
        <v>0</v>
      </c>
      <c r="H3325" s="23">
        <v>1494.942</v>
      </c>
      <c r="I3325" s="23">
        <v>0</v>
      </c>
      <c r="J3325" s="23">
        <v>0</v>
      </c>
      <c r="K3325" s="23">
        <v>0</v>
      </c>
    </row>
    <row r="3326" spans="1:11" x14ac:dyDescent="0.25">
      <c r="A3326">
        <v>3325</v>
      </c>
      <c r="B3326" s="23">
        <v>1560.347</v>
      </c>
      <c r="C3326" s="23">
        <v>929.12</v>
      </c>
      <c r="D3326" s="23">
        <v>3463.2240000000002</v>
      </c>
      <c r="E3326" s="23">
        <v>1560.347</v>
      </c>
      <c r="F3326" s="23">
        <v>0</v>
      </c>
      <c r="G3326" s="23">
        <v>0</v>
      </c>
      <c r="H3326" s="23">
        <v>1902.877</v>
      </c>
      <c r="I3326" s="23">
        <v>0</v>
      </c>
      <c r="J3326" s="23">
        <v>0</v>
      </c>
      <c r="K3326" s="23">
        <v>0</v>
      </c>
    </row>
    <row r="3327" spans="1:11" x14ac:dyDescent="0.25">
      <c r="A3327">
        <v>3326</v>
      </c>
      <c r="B3327" s="23">
        <v>1408.1389999999999</v>
      </c>
      <c r="C3327" s="23">
        <v>676.19</v>
      </c>
      <c r="D3327" s="23">
        <v>2540.857</v>
      </c>
      <c r="E3327" s="23">
        <v>1408.1389999999999</v>
      </c>
      <c r="F3327" s="23">
        <v>0</v>
      </c>
      <c r="G3327" s="23">
        <v>0</v>
      </c>
      <c r="H3327" s="23">
        <v>1132.7180000000001</v>
      </c>
      <c r="I3327" s="23">
        <v>0</v>
      </c>
      <c r="J3327" s="23">
        <v>0</v>
      </c>
      <c r="K3327" s="23">
        <v>0</v>
      </c>
    </row>
    <row r="3328" spans="1:11" x14ac:dyDescent="0.25">
      <c r="A3328">
        <v>3327</v>
      </c>
      <c r="B3328" s="23">
        <v>996.94899999999996</v>
      </c>
      <c r="C3328" s="23">
        <v>59.37</v>
      </c>
      <c r="D3328" s="23">
        <v>201.36600000000001</v>
      </c>
      <c r="E3328" s="23">
        <v>201.36600000000001</v>
      </c>
      <c r="F3328" s="23">
        <v>0</v>
      </c>
      <c r="G3328" s="23">
        <v>0</v>
      </c>
      <c r="H3328" s="23">
        <v>0</v>
      </c>
      <c r="I3328" s="23">
        <v>795.58299999999997</v>
      </c>
      <c r="J3328" s="23">
        <v>0</v>
      </c>
      <c r="K3328" s="23">
        <v>0</v>
      </c>
    </row>
    <row r="3329" spans="1:11" x14ac:dyDescent="0.25">
      <c r="A3329">
        <v>3328</v>
      </c>
      <c r="B3329" s="23">
        <v>1328.3489999999999</v>
      </c>
      <c r="C3329" s="23">
        <v>130.69</v>
      </c>
      <c r="D3329" s="23">
        <v>489.66199999999998</v>
      </c>
      <c r="E3329" s="23">
        <v>489.66199999999998</v>
      </c>
      <c r="F3329" s="23">
        <v>0</v>
      </c>
      <c r="G3329" s="23">
        <v>0</v>
      </c>
      <c r="H3329" s="23">
        <v>0</v>
      </c>
      <c r="I3329" s="23">
        <v>838.68700000000001</v>
      </c>
      <c r="J3329" s="23">
        <v>0</v>
      </c>
      <c r="K3329" s="23">
        <v>0</v>
      </c>
    </row>
    <row r="3330" spans="1:11" x14ac:dyDescent="0.25">
      <c r="A3330">
        <v>3329</v>
      </c>
      <c r="B3330" s="23">
        <v>1340.192</v>
      </c>
      <c r="C3330" s="23">
        <v>252.92</v>
      </c>
      <c r="D3330" s="23">
        <v>974.47900000000004</v>
      </c>
      <c r="E3330" s="23">
        <v>974.47900000000004</v>
      </c>
      <c r="F3330" s="23">
        <v>0</v>
      </c>
      <c r="G3330" s="23">
        <v>0</v>
      </c>
      <c r="H3330" s="23">
        <v>0</v>
      </c>
      <c r="I3330" s="23">
        <v>365.71300000000002</v>
      </c>
      <c r="J3330" s="23">
        <v>0</v>
      </c>
      <c r="K3330" s="23">
        <v>0</v>
      </c>
    </row>
    <row r="3331" spans="1:11" x14ac:dyDescent="0.25">
      <c r="A3331">
        <v>3330</v>
      </c>
      <c r="B3331" s="23">
        <v>1479.0540000000001</v>
      </c>
      <c r="C3331" s="23">
        <v>67.489999999999995</v>
      </c>
      <c r="D3331" s="23">
        <v>176.34899999999999</v>
      </c>
      <c r="E3331" s="23">
        <v>176.34899999999999</v>
      </c>
      <c r="F3331" s="23">
        <v>0</v>
      </c>
      <c r="G3331" s="23">
        <v>0</v>
      </c>
      <c r="H3331" s="23">
        <v>0</v>
      </c>
      <c r="I3331" s="23">
        <v>0</v>
      </c>
      <c r="J3331" s="23">
        <v>0</v>
      </c>
      <c r="K3331" s="23">
        <v>1302.7049999999999</v>
      </c>
    </row>
    <row r="3332" spans="1:11" x14ac:dyDescent="0.25">
      <c r="A3332">
        <v>3331</v>
      </c>
      <c r="B3332" s="23">
        <v>1458.2360000000001</v>
      </c>
      <c r="C3332" s="23">
        <v>0</v>
      </c>
      <c r="D3332" s="23">
        <v>0</v>
      </c>
      <c r="E3332" s="23">
        <v>0</v>
      </c>
      <c r="F3332" s="23">
        <v>0</v>
      </c>
      <c r="G3332" s="23">
        <v>0</v>
      </c>
      <c r="H3332" s="23">
        <v>0</v>
      </c>
      <c r="I3332" s="23">
        <v>0</v>
      </c>
      <c r="J3332" s="23">
        <v>0</v>
      </c>
      <c r="K3332" s="23">
        <v>1458.2360000000001</v>
      </c>
    </row>
    <row r="3333" spans="1:11" x14ac:dyDescent="0.25">
      <c r="A3333">
        <v>3332</v>
      </c>
      <c r="B3333" s="23">
        <v>1057.5999999999999</v>
      </c>
      <c r="C3333" s="23">
        <v>0</v>
      </c>
      <c r="D3333" s="23">
        <v>0</v>
      </c>
      <c r="E3333" s="23">
        <v>0</v>
      </c>
      <c r="F3333" s="23">
        <v>0</v>
      </c>
      <c r="G3333" s="23">
        <v>0</v>
      </c>
      <c r="H3333" s="23">
        <v>0</v>
      </c>
      <c r="I3333" s="23">
        <v>0</v>
      </c>
      <c r="J3333" s="23">
        <v>0</v>
      </c>
      <c r="K3333" s="23">
        <v>1057.5999999999999</v>
      </c>
    </row>
    <row r="3334" spans="1:11" x14ac:dyDescent="0.25">
      <c r="A3334">
        <v>3333</v>
      </c>
      <c r="B3334" s="23">
        <v>1518.4</v>
      </c>
      <c r="C3334" s="23">
        <v>0</v>
      </c>
      <c r="D3334" s="23">
        <v>0</v>
      </c>
      <c r="E3334" s="23">
        <v>0</v>
      </c>
      <c r="F3334" s="23">
        <v>0</v>
      </c>
      <c r="G3334" s="23">
        <v>0</v>
      </c>
      <c r="H3334" s="23">
        <v>0</v>
      </c>
      <c r="I3334" s="23">
        <v>1171.7660000000001</v>
      </c>
      <c r="J3334" s="23">
        <v>0</v>
      </c>
      <c r="K3334" s="23">
        <v>346.63400000000001</v>
      </c>
    </row>
    <row r="3335" spans="1:11" x14ac:dyDescent="0.25">
      <c r="A3335">
        <v>3334</v>
      </c>
      <c r="B3335" s="23">
        <v>1292</v>
      </c>
      <c r="C3335" s="23">
        <v>0</v>
      </c>
      <c r="D3335" s="23">
        <v>0</v>
      </c>
      <c r="E3335" s="23">
        <v>0</v>
      </c>
      <c r="F3335" s="23">
        <v>0</v>
      </c>
      <c r="G3335" s="23">
        <v>0</v>
      </c>
      <c r="H3335" s="23">
        <v>0</v>
      </c>
      <c r="I3335" s="23">
        <v>0</v>
      </c>
      <c r="J3335" s="23">
        <v>0</v>
      </c>
      <c r="K3335" s="23">
        <v>1292</v>
      </c>
    </row>
    <row r="3336" spans="1:11" x14ac:dyDescent="0.25">
      <c r="A3336">
        <v>3335</v>
      </c>
      <c r="B3336" s="23">
        <v>1396.8</v>
      </c>
      <c r="C3336" s="23">
        <v>0</v>
      </c>
      <c r="D3336" s="23">
        <v>0</v>
      </c>
      <c r="E3336" s="23">
        <v>0</v>
      </c>
      <c r="F3336" s="23">
        <v>0</v>
      </c>
      <c r="G3336" s="23">
        <v>0</v>
      </c>
      <c r="H3336" s="23">
        <v>0</v>
      </c>
      <c r="I3336" s="23">
        <v>1396.8</v>
      </c>
      <c r="J3336" s="23">
        <v>0</v>
      </c>
      <c r="K3336" s="23">
        <v>0</v>
      </c>
    </row>
    <row r="3337" spans="1:11" x14ac:dyDescent="0.25">
      <c r="A3337">
        <v>3336</v>
      </c>
      <c r="B3337" s="23">
        <v>0</v>
      </c>
      <c r="C3337" s="23">
        <v>0</v>
      </c>
      <c r="D3337" s="23">
        <v>0</v>
      </c>
      <c r="E3337" s="23">
        <v>0</v>
      </c>
      <c r="F3337" s="23">
        <v>0</v>
      </c>
      <c r="G3337" s="23">
        <v>0</v>
      </c>
      <c r="H3337" s="23">
        <v>0</v>
      </c>
      <c r="I3337" s="23">
        <v>0</v>
      </c>
      <c r="J3337" s="23">
        <v>0</v>
      </c>
      <c r="K3337" s="23">
        <v>0</v>
      </c>
    </row>
    <row r="3338" spans="1:11" x14ac:dyDescent="0.25">
      <c r="A3338">
        <v>3337</v>
      </c>
      <c r="B3338" s="23">
        <v>0</v>
      </c>
      <c r="C3338" s="23">
        <v>0</v>
      </c>
      <c r="D3338" s="23">
        <v>0</v>
      </c>
      <c r="E3338" s="23">
        <v>0</v>
      </c>
      <c r="F3338" s="23">
        <v>0</v>
      </c>
      <c r="G3338" s="23">
        <v>0</v>
      </c>
      <c r="H3338" s="23">
        <v>0</v>
      </c>
      <c r="I3338" s="23">
        <v>0</v>
      </c>
      <c r="J3338" s="23">
        <v>0</v>
      </c>
      <c r="K3338" s="23">
        <v>0</v>
      </c>
    </row>
    <row r="3339" spans="1:11" x14ac:dyDescent="0.25">
      <c r="A3339">
        <v>3338</v>
      </c>
      <c r="B3339" s="23">
        <v>0</v>
      </c>
      <c r="C3339" s="23">
        <v>0</v>
      </c>
      <c r="D3339" s="23">
        <v>0</v>
      </c>
      <c r="E3339" s="23">
        <v>0</v>
      </c>
      <c r="F3339" s="23">
        <v>0</v>
      </c>
      <c r="G3339" s="23">
        <v>0</v>
      </c>
      <c r="H3339" s="23">
        <v>0</v>
      </c>
      <c r="I3339" s="23">
        <v>0</v>
      </c>
      <c r="J3339" s="23">
        <v>0</v>
      </c>
      <c r="K3339" s="23">
        <v>0</v>
      </c>
    </row>
    <row r="3340" spans="1:11" x14ac:dyDescent="0.25">
      <c r="A3340">
        <v>3339</v>
      </c>
      <c r="B3340" s="23">
        <v>0</v>
      </c>
      <c r="C3340" s="23">
        <v>0</v>
      </c>
      <c r="D3340" s="23">
        <v>0</v>
      </c>
      <c r="E3340" s="23">
        <v>0</v>
      </c>
      <c r="F3340" s="23">
        <v>0</v>
      </c>
      <c r="G3340" s="23">
        <v>0</v>
      </c>
      <c r="H3340" s="23">
        <v>0</v>
      </c>
      <c r="I3340" s="23">
        <v>0</v>
      </c>
      <c r="J3340" s="23">
        <v>0</v>
      </c>
      <c r="K3340" s="23">
        <v>0</v>
      </c>
    </row>
    <row r="3341" spans="1:11" x14ac:dyDescent="0.25">
      <c r="A3341">
        <v>3340</v>
      </c>
      <c r="B3341" s="23">
        <v>0</v>
      </c>
      <c r="C3341" s="23">
        <v>0</v>
      </c>
      <c r="D3341" s="23">
        <v>0</v>
      </c>
      <c r="E3341" s="23">
        <v>0</v>
      </c>
      <c r="F3341" s="23">
        <v>0</v>
      </c>
      <c r="G3341" s="23">
        <v>0</v>
      </c>
      <c r="H3341" s="23">
        <v>0</v>
      </c>
      <c r="I3341" s="23">
        <v>0</v>
      </c>
      <c r="J3341" s="23">
        <v>0</v>
      </c>
      <c r="K3341" s="23">
        <v>0</v>
      </c>
    </row>
    <row r="3342" spans="1:11" x14ac:dyDescent="0.25">
      <c r="A3342">
        <v>3341</v>
      </c>
      <c r="B3342" s="23">
        <v>0</v>
      </c>
      <c r="C3342" s="23">
        <v>0</v>
      </c>
      <c r="D3342" s="23">
        <v>0</v>
      </c>
      <c r="E3342" s="23">
        <v>0</v>
      </c>
      <c r="F3342" s="23">
        <v>0</v>
      </c>
      <c r="G3342" s="23">
        <v>0</v>
      </c>
      <c r="H3342" s="23">
        <v>0</v>
      </c>
      <c r="I3342" s="23">
        <v>0</v>
      </c>
      <c r="J3342" s="23">
        <v>0</v>
      </c>
      <c r="K3342" s="23">
        <v>0</v>
      </c>
    </row>
    <row r="3343" spans="1:11" x14ac:dyDescent="0.25">
      <c r="A3343">
        <v>3342</v>
      </c>
      <c r="B3343" s="23">
        <v>0</v>
      </c>
      <c r="C3343" s="23">
        <v>0</v>
      </c>
      <c r="D3343" s="23">
        <v>0</v>
      </c>
      <c r="E3343" s="23">
        <v>0</v>
      </c>
      <c r="F3343" s="23">
        <v>0</v>
      </c>
      <c r="G3343" s="23">
        <v>0</v>
      </c>
      <c r="H3343" s="23">
        <v>0</v>
      </c>
      <c r="I3343" s="23">
        <v>0</v>
      </c>
      <c r="J3343" s="23">
        <v>0</v>
      </c>
      <c r="K3343" s="23">
        <v>0</v>
      </c>
    </row>
    <row r="3344" spans="1:11" x14ac:dyDescent="0.25">
      <c r="A3344">
        <v>3343</v>
      </c>
      <c r="B3344" s="23">
        <v>1413.981</v>
      </c>
      <c r="C3344" s="23">
        <v>131.85</v>
      </c>
      <c r="D3344" s="23">
        <v>409.52100000000002</v>
      </c>
      <c r="E3344" s="23">
        <v>409.52100000000002</v>
      </c>
      <c r="F3344" s="23">
        <v>0</v>
      </c>
      <c r="G3344" s="23">
        <v>0</v>
      </c>
      <c r="H3344" s="23">
        <v>0</v>
      </c>
      <c r="I3344" s="23">
        <v>0</v>
      </c>
      <c r="J3344" s="23">
        <v>0</v>
      </c>
      <c r="K3344" s="23">
        <v>1004.46</v>
      </c>
    </row>
    <row r="3345" spans="1:11" x14ac:dyDescent="0.25">
      <c r="A3345">
        <v>3344</v>
      </c>
      <c r="B3345" s="23">
        <v>1218.646</v>
      </c>
      <c r="C3345" s="23">
        <v>357.25</v>
      </c>
      <c r="D3345" s="23">
        <v>1393.2360000000001</v>
      </c>
      <c r="E3345" s="23">
        <v>1218.646</v>
      </c>
      <c r="F3345" s="23">
        <v>-174.59</v>
      </c>
      <c r="G3345" s="23">
        <v>0</v>
      </c>
      <c r="H3345" s="23">
        <v>0</v>
      </c>
      <c r="I3345" s="23">
        <v>0</v>
      </c>
      <c r="J3345" s="23">
        <v>0</v>
      </c>
      <c r="K3345" s="23">
        <v>0</v>
      </c>
    </row>
    <row r="3346" spans="1:11" x14ac:dyDescent="0.25">
      <c r="A3346">
        <v>3345</v>
      </c>
      <c r="B3346" s="23">
        <v>1283.48</v>
      </c>
      <c r="C3346" s="23">
        <v>577.34</v>
      </c>
      <c r="D3346" s="23">
        <v>2272.7849999999999</v>
      </c>
      <c r="E3346" s="23">
        <v>1283.48</v>
      </c>
      <c r="F3346" s="23">
        <v>-989.30499999999995</v>
      </c>
      <c r="G3346" s="23">
        <v>0</v>
      </c>
      <c r="H3346" s="23">
        <v>0</v>
      </c>
      <c r="I3346" s="23">
        <v>0</v>
      </c>
      <c r="J3346" s="23">
        <v>0</v>
      </c>
      <c r="K3346" s="23">
        <v>0</v>
      </c>
    </row>
    <row r="3347" spans="1:11" x14ac:dyDescent="0.25">
      <c r="A3347">
        <v>3346</v>
      </c>
      <c r="B3347" s="23">
        <v>1235.3119999999999</v>
      </c>
      <c r="C3347" s="23">
        <v>759.75</v>
      </c>
      <c r="D3347" s="23">
        <v>2908.3180000000002</v>
      </c>
      <c r="E3347" s="23">
        <v>1235.3119999999999</v>
      </c>
      <c r="F3347" s="23">
        <v>-1673.0060000000001</v>
      </c>
      <c r="G3347" s="23">
        <v>0</v>
      </c>
      <c r="H3347" s="23">
        <v>0</v>
      </c>
      <c r="I3347" s="23">
        <v>0</v>
      </c>
      <c r="J3347" s="23">
        <v>0</v>
      </c>
      <c r="K3347" s="23">
        <v>0</v>
      </c>
    </row>
    <row r="3348" spans="1:11" x14ac:dyDescent="0.25">
      <c r="A3348">
        <v>3347</v>
      </c>
      <c r="B3348" s="23">
        <v>1227.421</v>
      </c>
      <c r="C3348" s="23">
        <v>709.16</v>
      </c>
      <c r="D3348" s="23">
        <v>2645.8040000000001</v>
      </c>
      <c r="E3348" s="23">
        <v>1227.421</v>
      </c>
      <c r="F3348" s="23">
        <v>-1418.383</v>
      </c>
      <c r="G3348" s="23">
        <v>0</v>
      </c>
      <c r="H3348" s="23">
        <v>0</v>
      </c>
      <c r="I3348" s="23">
        <v>0</v>
      </c>
      <c r="J3348" s="23">
        <v>0</v>
      </c>
      <c r="K3348" s="23">
        <v>0</v>
      </c>
    </row>
    <row r="3349" spans="1:11" x14ac:dyDescent="0.25">
      <c r="A3349">
        <v>3348</v>
      </c>
      <c r="B3349" s="23">
        <v>1268.221</v>
      </c>
      <c r="C3349" s="23">
        <v>940.13</v>
      </c>
      <c r="D3349" s="23">
        <v>3492.26</v>
      </c>
      <c r="E3349" s="23">
        <v>1268.221</v>
      </c>
      <c r="F3349" s="23">
        <v>-1684.559</v>
      </c>
      <c r="G3349" s="23">
        <v>0</v>
      </c>
      <c r="H3349" s="23">
        <v>539.48</v>
      </c>
      <c r="I3349" s="23">
        <v>0</v>
      </c>
      <c r="J3349" s="23">
        <v>0</v>
      </c>
      <c r="K3349" s="23">
        <v>0</v>
      </c>
    </row>
    <row r="3350" spans="1:11" x14ac:dyDescent="0.25">
      <c r="A3350">
        <v>3349</v>
      </c>
      <c r="B3350" s="23">
        <v>1361.8610000000001</v>
      </c>
      <c r="C3350" s="23">
        <v>416.77</v>
      </c>
      <c r="D3350" s="23">
        <v>1565.432</v>
      </c>
      <c r="E3350" s="23">
        <v>1361.8610000000001</v>
      </c>
      <c r="F3350" s="23">
        <v>-203.571</v>
      </c>
      <c r="G3350" s="23">
        <v>0</v>
      </c>
      <c r="H3350" s="23">
        <v>0</v>
      </c>
      <c r="I3350" s="23">
        <v>0</v>
      </c>
      <c r="J3350" s="23">
        <v>0</v>
      </c>
      <c r="K3350" s="23">
        <v>0</v>
      </c>
    </row>
    <row r="3351" spans="1:11" x14ac:dyDescent="0.25">
      <c r="A3351">
        <v>3350</v>
      </c>
      <c r="B3351" s="23">
        <v>1362.3779999999999</v>
      </c>
      <c r="C3351" s="23">
        <v>643.03</v>
      </c>
      <c r="D3351" s="23">
        <v>2410.0650000000001</v>
      </c>
      <c r="E3351" s="23">
        <v>1362.3779999999999</v>
      </c>
      <c r="F3351" s="23">
        <v>-1047.6869999999999</v>
      </c>
      <c r="G3351" s="23">
        <v>0</v>
      </c>
      <c r="H3351" s="23">
        <v>0</v>
      </c>
      <c r="I3351" s="23">
        <v>0</v>
      </c>
      <c r="J3351" s="23">
        <v>0</v>
      </c>
      <c r="K3351" s="23">
        <v>0</v>
      </c>
    </row>
    <row r="3352" spans="1:11" x14ac:dyDescent="0.25">
      <c r="A3352">
        <v>3351</v>
      </c>
      <c r="B3352" s="23">
        <v>1092.7</v>
      </c>
      <c r="C3352" s="23">
        <v>135.63999999999999</v>
      </c>
      <c r="D3352" s="23">
        <v>496.53800000000001</v>
      </c>
      <c r="E3352" s="23">
        <v>496.53800000000001</v>
      </c>
      <c r="F3352" s="23">
        <v>0</v>
      </c>
      <c r="G3352" s="23">
        <v>0</v>
      </c>
      <c r="H3352" s="23">
        <v>0</v>
      </c>
      <c r="I3352" s="23">
        <v>596.16200000000003</v>
      </c>
      <c r="J3352" s="23">
        <v>0</v>
      </c>
      <c r="K3352" s="23">
        <v>0</v>
      </c>
    </row>
    <row r="3353" spans="1:11" x14ac:dyDescent="0.25">
      <c r="A3353">
        <v>3352</v>
      </c>
      <c r="B3353" s="23">
        <v>1161.9639999999999</v>
      </c>
      <c r="C3353" s="23">
        <v>37.26</v>
      </c>
      <c r="D3353" s="23">
        <v>115.899</v>
      </c>
      <c r="E3353" s="23">
        <v>115.899</v>
      </c>
      <c r="F3353" s="23">
        <v>0</v>
      </c>
      <c r="G3353" s="23">
        <v>0</v>
      </c>
      <c r="H3353" s="23">
        <v>0</v>
      </c>
      <c r="I3353" s="23">
        <v>1046.0650000000001</v>
      </c>
      <c r="J3353" s="23">
        <v>0</v>
      </c>
      <c r="K3353" s="23">
        <v>0</v>
      </c>
    </row>
    <row r="3354" spans="1:11" x14ac:dyDescent="0.25">
      <c r="A3354">
        <v>3353</v>
      </c>
      <c r="B3354" s="23">
        <v>1302.9100000000001</v>
      </c>
      <c r="C3354" s="23">
        <v>92.01</v>
      </c>
      <c r="D3354" s="23">
        <v>334.95299999999997</v>
      </c>
      <c r="E3354" s="23">
        <v>334.95299999999997</v>
      </c>
      <c r="F3354" s="23">
        <v>0</v>
      </c>
      <c r="G3354" s="23">
        <v>0</v>
      </c>
      <c r="H3354" s="23">
        <v>0</v>
      </c>
      <c r="I3354" s="23">
        <v>967.95699999999999</v>
      </c>
      <c r="J3354" s="23">
        <v>0</v>
      </c>
      <c r="K3354" s="23">
        <v>0</v>
      </c>
    </row>
    <row r="3355" spans="1:11" x14ac:dyDescent="0.25">
      <c r="A3355">
        <v>3354</v>
      </c>
      <c r="B3355" s="23">
        <v>1031.53</v>
      </c>
      <c r="C3355" s="23">
        <v>35.22</v>
      </c>
      <c r="D3355" s="23">
        <v>107.928</v>
      </c>
      <c r="E3355" s="23">
        <v>107.928</v>
      </c>
      <c r="F3355" s="23">
        <v>0</v>
      </c>
      <c r="G3355" s="23">
        <v>0</v>
      </c>
      <c r="H3355" s="23">
        <v>0</v>
      </c>
      <c r="I3355" s="23">
        <v>0</v>
      </c>
      <c r="J3355" s="23">
        <v>0</v>
      </c>
      <c r="K3355" s="23">
        <v>923.60199999999998</v>
      </c>
    </row>
    <row r="3356" spans="1:11" x14ac:dyDescent="0.25">
      <c r="A3356">
        <v>3355</v>
      </c>
      <c r="B3356" s="23">
        <v>1155.338</v>
      </c>
      <c r="C3356" s="23">
        <v>0</v>
      </c>
      <c r="D3356" s="23">
        <v>0</v>
      </c>
      <c r="E3356" s="23">
        <v>0</v>
      </c>
      <c r="F3356" s="23">
        <v>0</v>
      </c>
      <c r="G3356" s="23">
        <v>0</v>
      </c>
      <c r="H3356" s="23">
        <v>0</v>
      </c>
      <c r="I3356" s="23">
        <v>0</v>
      </c>
      <c r="J3356" s="23">
        <v>0</v>
      </c>
      <c r="K3356" s="23">
        <v>1155.338</v>
      </c>
    </row>
    <row r="3357" spans="1:11" x14ac:dyDescent="0.25">
      <c r="A3357">
        <v>3356</v>
      </c>
      <c r="B3357" s="23">
        <v>992.8</v>
      </c>
      <c r="C3357" s="23">
        <v>0</v>
      </c>
      <c r="D3357" s="23">
        <v>0</v>
      </c>
      <c r="E3357" s="23">
        <v>0</v>
      </c>
      <c r="F3357" s="23">
        <v>0</v>
      </c>
      <c r="G3357" s="23">
        <v>0</v>
      </c>
      <c r="H3357" s="23">
        <v>0</v>
      </c>
      <c r="I3357" s="23">
        <v>0</v>
      </c>
      <c r="J3357" s="23">
        <v>0</v>
      </c>
      <c r="K3357" s="23">
        <v>992.8</v>
      </c>
    </row>
    <row r="3358" spans="1:11" x14ac:dyDescent="0.25">
      <c r="A3358">
        <v>3357</v>
      </c>
      <c r="B3358" s="23">
        <v>1484</v>
      </c>
      <c r="C3358" s="23">
        <v>0</v>
      </c>
      <c r="D3358" s="23">
        <v>0</v>
      </c>
      <c r="E3358" s="23">
        <v>0</v>
      </c>
      <c r="F3358" s="23">
        <v>0</v>
      </c>
      <c r="G3358" s="23">
        <v>0</v>
      </c>
      <c r="H3358" s="23">
        <v>0</v>
      </c>
      <c r="I3358" s="23">
        <v>272.66399999999999</v>
      </c>
      <c r="J3358" s="23">
        <v>0</v>
      </c>
      <c r="K3358" s="23">
        <v>1211.336</v>
      </c>
    </row>
    <row r="3359" spans="1:11" x14ac:dyDescent="0.25">
      <c r="A3359">
        <v>3358</v>
      </c>
      <c r="B3359" s="23">
        <v>1380</v>
      </c>
      <c r="C3359" s="23">
        <v>0</v>
      </c>
      <c r="D3359" s="23">
        <v>0</v>
      </c>
      <c r="E3359" s="23">
        <v>0</v>
      </c>
      <c r="F3359" s="23">
        <v>0</v>
      </c>
      <c r="G3359" s="23">
        <v>0</v>
      </c>
      <c r="H3359" s="23">
        <v>0</v>
      </c>
      <c r="I3359" s="23">
        <v>0</v>
      </c>
      <c r="J3359" s="23">
        <v>0</v>
      </c>
      <c r="K3359" s="23">
        <v>1380</v>
      </c>
    </row>
    <row r="3360" spans="1:11" x14ac:dyDescent="0.25">
      <c r="A3360">
        <v>3359</v>
      </c>
      <c r="B3360" s="23">
        <v>799.2</v>
      </c>
      <c r="C3360" s="23">
        <v>0</v>
      </c>
      <c r="D3360" s="23">
        <v>0</v>
      </c>
      <c r="E3360" s="23">
        <v>0</v>
      </c>
      <c r="F3360" s="23">
        <v>0</v>
      </c>
      <c r="G3360" s="23">
        <v>0</v>
      </c>
      <c r="H3360" s="23">
        <v>0</v>
      </c>
      <c r="I3360" s="23">
        <v>799.2</v>
      </c>
      <c r="J3360" s="23">
        <v>0</v>
      </c>
      <c r="K3360" s="23">
        <v>0</v>
      </c>
    </row>
    <row r="3361" spans="1:11" x14ac:dyDescent="0.25">
      <c r="A3361">
        <v>3360</v>
      </c>
      <c r="B3361" s="23">
        <v>0</v>
      </c>
      <c r="C3361" s="23">
        <v>0</v>
      </c>
      <c r="D3361" s="23">
        <v>0</v>
      </c>
      <c r="E3361" s="23">
        <v>0</v>
      </c>
      <c r="F3361" s="23">
        <v>0</v>
      </c>
      <c r="G3361" s="23">
        <v>0</v>
      </c>
      <c r="H3361" s="23">
        <v>0</v>
      </c>
      <c r="I3361" s="23">
        <v>0</v>
      </c>
      <c r="J3361" s="23">
        <v>0</v>
      </c>
      <c r="K3361" s="23">
        <v>0</v>
      </c>
    </row>
    <row r="3362" spans="1:11" x14ac:dyDescent="0.25">
      <c r="A3362">
        <v>3361</v>
      </c>
      <c r="B3362" s="23">
        <v>0</v>
      </c>
      <c r="C3362" s="23">
        <v>0</v>
      </c>
      <c r="D3362" s="23">
        <v>0</v>
      </c>
      <c r="E3362" s="23">
        <v>0</v>
      </c>
      <c r="F3362" s="23">
        <v>0</v>
      </c>
      <c r="G3362" s="23">
        <v>0</v>
      </c>
      <c r="H3362" s="23">
        <v>0</v>
      </c>
      <c r="I3362" s="23">
        <v>0</v>
      </c>
      <c r="J3362" s="23">
        <v>0</v>
      </c>
      <c r="K3362" s="23">
        <v>0</v>
      </c>
    </row>
    <row r="3363" spans="1:11" x14ac:dyDescent="0.25">
      <c r="A3363">
        <v>3362</v>
      </c>
      <c r="B3363" s="23">
        <v>0</v>
      </c>
      <c r="C3363" s="23">
        <v>0</v>
      </c>
      <c r="D3363" s="23">
        <v>0</v>
      </c>
      <c r="E3363" s="23">
        <v>0</v>
      </c>
      <c r="F3363" s="23">
        <v>0</v>
      </c>
      <c r="G3363" s="23">
        <v>0</v>
      </c>
      <c r="H3363" s="23">
        <v>0</v>
      </c>
      <c r="I3363" s="23">
        <v>0</v>
      </c>
      <c r="J3363" s="23">
        <v>0</v>
      </c>
      <c r="K3363" s="23">
        <v>0</v>
      </c>
    </row>
    <row r="3364" spans="1:11" x14ac:dyDescent="0.25">
      <c r="A3364">
        <v>3363</v>
      </c>
      <c r="B3364" s="23">
        <v>0</v>
      </c>
      <c r="C3364" s="23">
        <v>0</v>
      </c>
      <c r="D3364" s="23">
        <v>0</v>
      </c>
      <c r="E3364" s="23">
        <v>0</v>
      </c>
      <c r="F3364" s="23">
        <v>0</v>
      </c>
      <c r="G3364" s="23">
        <v>0</v>
      </c>
      <c r="H3364" s="23">
        <v>0</v>
      </c>
      <c r="I3364" s="23">
        <v>0</v>
      </c>
      <c r="J3364" s="23">
        <v>0</v>
      </c>
      <c r="K3364" s="23">
        <v>0</v>
      </c>
    </row>
    <row r="3365" spans="1:11" x14ac:dyDescent="0.25">
      <c r="A3365">
        <v>3364</v>
      </c>
      <c r="B3365" s="23">
        <v>0</v>
      </c>
      <c r="C3365" s="23">
        <v>0</v>
      </c>
      <c r="D3365" s="23">
        <v>0</v>
      </c>
      <c r="E3365" s="23">
        <v>0</v>
      </c>
      <c r="F3365" s="23">
        <v>0</v>
      </c>
      <c r="G3365" s="23">
        <v>0</v>
      </c>
      <c r="H3365" s="23">
        <v>0</v>
      </c>
      <c r="I3365" s="23">
        <v>0</v>
      </c>
      <c r="J3365" s="23">
        <v>0</v>
      </c>
      <c r="K3365" s="23">
        <v>0</v>
      </c>
    </row>
    <row r="3366" spans="1:11" x14ac:dyDescent="0.25">
      <c r="A3366">
        <v>3365</v>
      </c>
      <c r="B3366" s="23">
        <v>0</v>
      </c>
      <c r="C3366" s="23">
        <v>0</v>
      </c>
      <c r="D3366" s="23">
        <v>0</v>
      </c>
      <c r="E3366" s="23">
        <v>0</v>
      </c>
      <c r="F3366" s="23">
        <v>0</v>
      </c>
      <c r="G3366" s="23">
        <v>0</v>
      </c>
      <c r="H3366" s="23">
        <v>0</v>
      </c>
      <c r="I3366" s="23">
        <v>0</v>
      </c>
      <c r="J3366" s="23">
        <v>0</v>
      </c>
      <c r="K3366" s="23">
        <v>0</v>
      </c>
    </row>
    <row r="3367" spans="1:11" x14ac:dyDescent="0.25">
      <c r="A3367">
        <v>3366</v>
      </c>
      <c r="B3367" s="23">
        <v>0</v>
      </c>
      <c r="C3367" s="23">
        <v>0</v>
      </c>
      <c r="D3367" s="23">
        <v>0</v>
      </c>
      <c r="E3367" s="23">
        <v>0</v>
      </c>
      <c r="F3367" s="23">
        <v>0</v>
      </c>
      <c r="G3367" s="23">
        <v>0</v>
      </c>
      <c r="H3367" s="23">
        <v>0</v>
      </c>
      <c r="I3367" s="23">
        <v>0</v>
      </c>
      <c r="J3367" s="23">
        <v>0</v>
      </c>
      <c r="K3367" s="23">
        <v>0</v>
      </c>
    </row>
    <row r="3368" spans="1:11" x14ac:dyDescent="0.25">
      <c r="A3368">
        <v>3367</v>
      </c>
      <c r="B3368" s="23">
        <v>1303.011</v>
      </c>
      <c r="C3368" s="23">
        <v>132.88</v>
      </c>
      <c r="D3368" s="23">
        <v>414.23700000000002</v>
      </c>
      <c r="E3368" s="23">
        <v>414.23700000000002</v>
      </c>
      <c r="F3368" s="23">
        <v>0</v>
      </c>
      <c r="G3368" s="23">
        <v>0</v>
      </c>
      <c r="H3368" s="23">
        <v>0</v>
      </c>
      <c r="I3368" s="23">
        <v>0</v>
      </c>
      <c r="J3368" s="23">
        <v>0</v>
      </c>
      <c r="K3368" s="23">
        <v>888.774</v>
      </c>
    </row>
    <row r="3369" spans="1:11" x14ac:dyDescent="0.25">
      <c r="A3369">
        <v>3368</v>
      </c>
      <c r="B3369" s="23">
        <v>993.96600000000001</v>
      </c>
      <c r="C3369" s="23">
        <v>355.12</v>
      </c>
      <c r="D3369" s="23">
        <v>1381.5619999999999</v>
      </c>
      <c r="E3369" s="23">
        <v>993.96600000000001</v>
      </c>
      <c r="F3369" s="23">
        <v>-387.596</v>
      </c>
      <c r="G3369" s="23">
        <v>0</v>
      </c>
      <c r="H3369" s="23">
        <v>0</v>
      </c>
      <c r="I3369" s="23">
        <v>0</v>
      </c>
      <c r="J3369" s="23">
        <v>0</v>
      </c>
      <c r="K3369" s="23">
        <v>0</v>
      </c>
    </row>
    <row r="3370" spans="1:11" x14ac:dyDescent="0.25">
      <c r="A3370">
        <v>3369</v>
      </c>
      <c r="B3370" s="23">
        <v>1093.9000000000001</v>
      </c>
      <c r="C3370" s="23">
        <v>575.27</v>
      </c>
      <c r="D3370" s="23">
        <v>2261.7350000000001</v>
      </c>
      <c r="E3370" s="23">
        <v>1093.9000000000001</v>
      </c>
      <c r="F3370" s="23">
        <v>-1167.835</v>
      </c>
      <c r="G3370" s="23">
        <v>0</v>
      </c>
      <c r="H3370" s="23">
        <v>0</v>
      </c>
      <c r="I3370" s="23">
        <v>0</v>
      </c>
      <c r="J3370" s="23">
        <v>0</v>
      </c>
      <c r="K3370" s="23">
        <v>0</v>
      </c>
    </row>
    <row r="3371" spans="1:11" x14ac:dyDescent="0.25">
      <c r="A3371">
        <v>3370</v>
      </c>
      <c r="B3371" s="23">
        <v>1363.693</v>
      </c>
      <c r="C3371" s="23">
        <v>756.9</v>
      </c>
      <c r="D3371" s="23">
        <v>2903.1619999999998</v>
      </c>
      <c r="E3371" s="23">
        <v>1363.693</v>
      </c>
      <c r="F3371" s="23">
        <v>-1539.4690000000001</v>
      </c>
      <c r="G3371" s="23">
        <v>0</v>
      </c>
      <c r="H3371" s="23">
        <v>0</v>
      </c>
      <c r="I3371" s="23">
        <v>0</v>
      </c>
      <c r="J3371" s="23">
        <v>0</v>
      </c>
      <c r="K3371" s="23">
        <v>0</v>
      </c>
    </row>
    <row r="3372" spans="1:11" x14ac:dyDescent="0.25">
      <c r="A3372">
        <v>3371</v>
      </c>
      <c r="B3372" s="23">
        <v>1239.039</v>
      </c>
      <c r="C3372" s="23">
        <v>884.85</v>
      </c>
      <c r="D3372" s="23">
        <v>3339.375</v>
      </c>
      <c r="E3372" s="23">
        <v>1239.04</v>
      </c>
      <c r="F3372" s="23">
        <v>-1684.559</v>
      </c>
      <c r="G3372" s="23">
        <v>0</v>
      </c>
      <c r="H3372" s="23">
        <v>415.77600000000001</v>
      </c>
      <c r="I3372" s="23">
        <v>0</v>
      </c>
      <c r="J3372" s="23">
        <v>0</v>
      </c>
      <c r="K3372" s="23">
        <v>0</v>
      </c>
    </row>
    <row r="3373" spans="1:11" x14ac:dyDescent="0.25">
      <c r="A3373">
        <v>3372</v>
      </c>
      <c r="B3373" s="23">
        <v>1503.5029999999999</v>
      </c>
      <c r="C3373" s="23">
        <v>943.34</v>
      </c>
      <c r="D3373" s="23">
        <v>3539.0309999999999</v>
      </c>
      <c r="E3373" s="23">
        <v>1503.5029999999999</v>
      </c>
      <c r="F3373" s="23">
        <v>-1684.559</v>
      </c>
      <c r="G3373" s="23">
        <v>0</v>
      </c>
      <c r="H3373" s="23">
        <v>350.96899999999999</v>
      </c>
      <c r="I3373" s="23">
        <v>0</v>
      </c>
      <c r="J3373" s="23">
        <v>0</v>
      </c>
      <c r="K3373" s="23">
        <v>0</v>
      </c>
    </row>
    <row r="3374" spans="1:11" x14ac:dyDescent="0.25">
      <c r="A3374">
        <v>3373</v>
      </c>
      <c r="B3374" s="23">
        <v>1361.769</v>
      </c>
      <c r="C3374" s="23">
        <v>933.1</v>
      </c>
      <c r="D3374" s="23">
        <v>3503.6460000000002</v>
      </c>
      <c r="E3374" s="23">
        <v>1361.769</v>
      </c>
      <c r="F3374" s="23">
        <v>-827.48</v>
      </c>
      <c r="G3374" s="23">
        <v>0</v>
      </c>
      <c r="H3374" s="23">
        <v>1314.3969999999999</v>
      </c>
      <c r="I3374" s="23">
        <v>0</v>
      </c>
      <c r="J3374" s="23">
        <v>0</v>
      </c>
      <c r="K3374" s="23">
        <v>0</v>
      </c>
    </row>
    <row r="3375" spans="1:11" x14ac:dyDescent="0.25">
      <c r="A3375">
        <v>3374</v>
      </c>
      <c r="B3375" s="23">
        <v>1532.1980000000001</v>
      </c>
      <c r="C3375" s="23">
        <v>844.9</v>
      </c>
      <c r="D3375" s="23">
        <v>3205.2919999999999</v>
      </c>
      <c r="E3375" s="23">
        <v>1532.1980000000001</v>
      </c>
      <c r="F3375" s="23">
        <v>0</v>
      </c>
      <c r="G3375" s="23">
        <v>0</v>
      </c>
      <c r="H3375" s="23">
        <v>1673.0940000000001</v>
      </c>
      <c r="I3375" s="23">
        <v>0</v>
      </c>
      <c r="J3375" s="23">
        <v>0</v>
      </c>
      <c r="K3375" s="23">
        <v>0</v>
      </c>
    </row>
    <row r="3376" spans="1:11" x14ac:dyDescent="0.25">
      <c r="A3376">
        <v>3375</v>
      </c>
      <c r="B3376" s="23">
        <v>1256.6030000000001</v>
      </c>
      <c r="C3376" s="23">
        <v>697.9</v>
      </c>
      <c r="D3376" s="23">
        <v>2694.502</v>
      </c>
      <c r="E3376" s="23">
        <v>1256.6030000000001</v>
      </c>
      <c r="F3376" s="23">
        <v>0</v>
      </c>
      <c r="G3376" s="23">
        <v>0</v>
      </c>
      <c r="H3376" s="23">
        <v>1437.8989999999999</v>
      </c>
      <c r="I3376" s="23">
        <v>0</v>
      </c>
      <c r="J3376" s="23">
        <v>0</v>
      </c>
      <c r="K3376" s="23">
        <v>0</v>
      </c>
    </row>
    <row r="3377" spans="1:11" x14ac:dyDescent="0.25">
      <c r="A3377">
        <v>3376</v>
      </c>
      <c r="B3377" s="23">
        <v>1138.22</v>
      </c>
      <c r="C3377" s="23">
        <v>501.21</v>
      </c>
      <c r="D3377" s="23">
        <v>1975.877</v>
      </c>
      <c r="E3377" s="23">
        <v>1138.22</v>
      </c>
      <c r="F3377" s="23">
        <v>0</v>
      </c>
      <c r="G3377" s="23">
        <v>0</v>
      </c>
      <c r="H3377" s="23">
        <v>837.65700000000004</v>
      </c>
      <c r="I3377" s="23">
        <v>0</v>
      </c>
      <c r="J3377" s="23">
        <v>0</v>
      </c>
      <c r="K3377" s="23">
        <v>0</v>
      </c>
    </row>
    <row r="3378" spans="1:11" x14ac:dyDescent="0.25">
      <c r="A3378">
        <v>3377</v>
      </c>
      <c r="B3378" s="23">
        <v>1339.5730000000001</v>
      </c>
      <c r="C3378" s="23">
        <v>127.97</v>
      </c>
      <c r="D3378" s="23">
        <v>478.70600000000002</v>
      </c>
      <c r="E3378" s="23">
        <v>478.70600000000002</v>
      </c>
      <c r="F3378" s="23">
        <v>0</v>
      </c>
      <c r="G3378" s="23">
        <v>0</v>
      </c>
      <c r="H3378" s="23">
        <v>0</v>
      </c>
      <c r="I3378" s="23">
        <v>860.86699999999996</v>
      </c>
      <c r="J3378" s="23">
        <v>0</v>
      </c>
      <c r="K3378" s="23">
        <v>0</v>
      </c>
    </row>
    <row r="3379" spans="1:11" x14ac:dyDescent="0.25">
      <c r="A3379">
        <v>3378</v>
      </c>
      <c r="B3379" s="23">
        <v>1110.796</v>
      </c>
      <c r="C3379" s="23">
        <v>19.59</v>
      </c>
      <c r="D3379" s="23">
        <v>48.832000000000001</v>
      </c>
      <c r="E3379" s="23">
        <v>48.832000000000001</v>
      </c>
      <c r="F3379" s="23">
        <v>0</v>
      </c>
      <c r="G3379" s="23">
        <v>0</v>
      </c>
      <c r="H3379" s="23">
        <v>0</v>
      </c>
      <c r="I3379" s="23">
        <v>0</v>
      </c>
      <c r="J3379" s="23">
        <v>0</v>
      </c>
      <c r="K3379" s="23">
        <v>1061.9639999999999</v>
      </c>
    </row>
    <row r="3380" spans="1:11" x14ac:dyDescent="0.25">
      <c r="A3380">
        <v>3379</v>
      </c>
      <c r="B3380" s="23">
        <v>989.60199999999998</v>
      </c>
      <c r="C3380" s="23">
        <v>0</v>
      </c>
      <c r="D3380" s="23">
        <v>0</v>
      </c>
      <c r="E3380" s="23">
        <v>0</v>
      </c>
      <c r="F3380" s="23">
        <v>0</v>
      </c>
      <c r="G3380" s="23">
        <v>0</v>
      </c>
      <c r="H3380" s="23">
        <v>0</v>
      </c>
      <c r="I3380" s="23">
        <v>0</v>
      </c>
      <c r="J3380" s="23">
        <v>0</v>
      </c>
      <c r="K3380" s="23">
        <v>989.60199999999998</v>
      </c>
    </row>
    <row r="3381" spans="1:11" x14ac:dyDescent="0.25">
      <c r="A3381">
        <v>3380</v>
      </c>
      <c r="B3381" s="23">
        <v>1045.5999999999999</v>
      </c>
      <c r="C3381" s="23">
        <v>0</v>
      </c>
      <c r="D3381" s="23">
        <v>0</v>
      </c>
      <c r="E3381" s="23">
        <v>0</v>
      </c>
      <c r="F3381" s="23">
        <v>0</v>
      </c>
      <c r="G3381" s="23">
        <v>0</v>
      </c>
      <c r="H3381" s="23">
        <v>0</v>
      </c>
      <c r="I3381" s="23">
        <v>0</v>
      </c>
      <c r="J3381" s="23">
        <v>0</v>
      </c>
      <c r="K3381" s="23">
        <v>1045.5999999999999</v>
      </c>
    </row>
    <row r="3382" spans="1:11" x14ac:dyDescent="0.25">
      <c r="A3382">
        <v>3381</v>
      </c>
      <c r="B3382" s="23">
        <v>1416.8</v>
      </c>
      <c r="C3382" s="23">
        <v>0</v>
      </c>
      <c r="D3382" s="23">
        <v>0</v>
      </c>
      <c r="E3382" s="23">
        <v>0</v>
      </c>
      <c r="F3382" s="23">
        <v>0</v>
      </c>
      <c r="G3382" s="23">
        <v>0</v>
      </c>
      <c r="H3382" s="23">
        <v>0</v>
      </c>
      <c r="I3382" s="23">
        <v>1416.8</v>
      </c>
      <c r="J3382" s="23">
        <v>0</v>
      </c>
      <c r="K3382" s="23">
        <v>0</v>
      </c>
    </row>
    <row r="3383" spans="1:11" x14ac:dyDescent="0.25">
      <c r="A3383">
        <v>3382</v>
      </c>
      <c r="B3383" s="23">
        <v>1268</v>
      </c>
      <c r="C3383" s="23">
        <v>0</v>
      </c>
      <c r="D3383" s="23">
        <v>0</v>
      </c>
      <c r="E3383" s="23">
        <v>0</v>
      </c>
      <c r="F3383" s="23">
        <v>0</v>
      </c>
      <c r="G3383" s="23">
        <v>0</v>
      </c>
      <c r="H3383" s="23">
        <v>0</v>
      </c>
      <c r="I3383" s="23">
        <v>103.09699999999999</v>
      </c>
      <c r="J3383" s="23">
        <v>0</v>
      </c>
      <c r="K3383" s="23">
        <v>1164.903</v>
      </c>
    </row>
    <row r="3384" spans="1:11" x14ac:dyDescent="0.25">
      <c r="A3384">
        <v>3383</v>
      </c>
      <c r="B3384" s="23">
        <v>1352.8</v>
      </c>
      <c r="C3384" s="23">
        <v>0</v>
      </c>
      <c r="D3384" s="23">
        <v>0</v>
      </c>
      <c r="E3384" s="23">
        <v>0</v>
      </c>
      <c r="F3384" s="23">
        <v>0</v>
      </c>
      <c r="G3384" s="23">
        <v>0</v>
      </c>
      <c r="H3384" s="23">
        <v>0</v>
      </c>
      <c r="I3384" s="23">
        <v>1352.8</v>
      </c>
      <c r="J3384" s="23">
        <v>0</v>
      </c>
      <c r="K3384" s="23">
        <v>0</v>
      </c>
    </row>
    <row r="3385" spans="1:11" x14ac:dyDescent="0.25">
      <c r="A3385">
        <v>3384</v>
      </c>
      <c r="B3385" s="23">
        <v>0</v>
      </c>
      <c r="C3385" s="23">
        <v>0</v>
      </c>
      <c r="D3385" s="23">
        <v>0</v>
      </c>
      <c r="E3385" s="23">
        <v>0</v>
      </c>
      <c r="F3385" s="23">
        <v>0</v>
      </c>
      <c r="G3385" s="23">
        <v>0</v>
      </c>
      <c r="H3385" s="23">
        <v>0</v>
      </c>
      <c r="I3385" s="23">
        <v>0</v>
      </c>
      <c r="J3385" s="23">
        <v>0</v>
      </c>
      <c r="K3385" s="23">
        <v>0</v>
      </c>
    </row>
    <row r="3386" spans="1:11" x14ac:dyDescent="0.25">
      <c r="A3386">
        <v>3385</v>
      </c>
      <c r="B3386" s="23">
        <v>0</v>
      </c>
      <c r="C3386" s="23">
        <v>0</v>
      </c>
      <c r="D3386" s="23">
        <v>0</v>
      </c>
      <c r="E3386" s="23">
        <v>0</v>
      </c>
      <c r="F3386" s="23">
        <v>0</v>
      </c>
      <c r="G3386" s="23">
        <v>0</v>
      </c>
      <c r="H3386" s="23">
        <v>0</v>
      </c>
      <c r="I3386" s="23">
        <v>0</v>
      </c>
      <c r="J3386" s="23">
        <v>0</v>
      </c>
      <c r="K3386" s="23">
        <v>0</v>
      </c>
    </row>
    <row r="3387" spans="1:11" x14ac:dyDescent="0.25">
      <c r="A3387">
        <v>3386</v>
      </c>
      <c r="B3387" s="23">
        <v>0</v>
      </c>
      <c r="C3387" s="23">
        <v>0</v>
      </c>
      <c r="D3387" s="23">
        <v>0</v>
      </c>
      <c r="E3387" s="23">
        <v>0</v>
      </c>
      <c r="F3387" s="23">
        <v>0</v>
      </c>
      <c r="G3387" s="23">
        <v>0</v>
      </c>
      <c r="H3387" s="23">
        <v>0</v>
      </c>
      <c r="I3387" s="23">
        <v>0</v>
      </c>
      <c r="J3387" s="23">
        <v>0</v>
      </c>
      <c r="K3387" s="23">
        <v>0</v>
      </c>
    </row>
    <row r="3388" spans="1:11" x14ac:dyDescent="0.25">
      <c r="A3388">
        <v>3387</v>
      </c>
      <c r="B3388" s="23">
        <v>0</v>
      </c>
      <c r="C3388" s="23">
        <v>0</v>
      </c>
      <c r="D3388" s="23">
        <v>0</v>
      </c>
      <c r="E3388" s="23">
        <v>0</v>
      </c>
      <c r="F3388" s="23">
        <v>0</v>
      </c>
      <c r="G3388" s="23">
        <v>0</v>
      </c>
      <c r="H3388" s="23">
        <v>0</v>
      </c>
      <c r="I3388" s="23">
        <v>0</v>
      </c>
      <c r="J3388" s="23">
        <v>0</v>
      </c>
      <c r="K3388" s="23">
        <v>0</v>
      </c>
    </row>
    <row r="3389" spans="1:11" x14ac:dyDescent="0.25">
      <c r="A3389">
        <v>3388</v>
      </c>
      <c r="B3389" s="23">
        <v>0</v>
      </c>
      <c r="C3389" s="23">
        <v>0</v>
      </c>
      <c r="D3389" s="23">
        <v>0</v>
      </c>
      <c r="E3389" s="23">
        <v>0</v>
      </c>
      <c r="F3389" s="23">
        <v>0</v>
      </c>
      <c r="G3389" s="23">
        <v>0</v>
      </c>
      <c r="H3389" s="23">
        <v>0</v>
      </c>
      <c r="I3389" s="23">
        <v>0</v>
      </c>
      <c r="J3389" s="23">
        <v>0</v>
      </c>
      <c r="K3389" s="23">
        <v>0</v>
      </c>
    </row>
    <row r="3390" spans="1:11" x14ac:dyDescent="0.25">
      <c r="A3390">
        <v>3389</v>
      </c>
      <c r="B3390" s="23">
        <v>0</v>
      </c>
      <c r="C3390" s="23">
        <v>0</v>
      </c>
      <c r="D3390" s="23">
        <v>0</v>
      </c>
      <c r="E3390" s="23">
        <v>0</v>
      </c>
      <c r="F3390" s="23">
        <v>0</v>
      </c>
      <c r="G3390" s="23">
        <v>0</v>
      </c>
      <c r="H3390" s="23">
        <v>0</v>
      </c>
      <c r="I3390" s="23">
        <v>0</v>
      </c>
      <c r="J3390" s="23">
        <v>0</v>
      </c>
      <c r="K3390" s="23">
        <v>0</v>
      </c>
    </row>
    <row r="3391" spans="1:11" x14ac:dyDescent="0.25">
      <c r="A3391">
        <v>3390</v>
      </c>
      <c r="B3391" s="23">
        <v>0</v>
      </c>
      <c r="C3391" s="23">
        <v>0</v>
      </c>
      <c r="D3391" s="23">
        <v>0</v>
      </c>
      <c r="E3391" s="23">
        <v>0</v>
      </c>
      <c r="F3391" s="23">
        <v>0</v>
      </c>
      <c r="G3391" s="23">
        <v>0</v>
      </c>
      <c r="H3391" s="23">
        <v>0</v>
      </c>
      <c r="I3391" s="23">
        <v>0</v>
      </c>
      <c r="J3391" s="23">
        <v>0</v>
      </c>
      <c r="K3391" s="23">
        <v>0</v>
      </c>
    </row>
    <row r="3392" spans="1:11" x14ac:dyDescent="0.25">
      <c r="A3392">
        <v>3391</v>
      </c>
      <c r="B3392" s="23">
        <v>1304.6690000000001</v>
      </c>
      <c r="C3392" s="23">
        <v>110.07</v>
      </c>
      <c r="D3392" s="23">
        <v>396.92700000000002</v>
      </c>
      <c r="E3392" s="23">
        <v>396.92700000000002</v>
      </c>
      <c r="F3392" s="23">
        <v>0</v>
      </c>
      <c r="G3392" s="23">
        <v>0</v>
      </c>
      <c r="H3392" s="23">
        <v>0</v>
      </c>
      <c r="I3392" s="23">
        <v>0</v>
      </c>
      <c r="J3392" s="23">
        <v>0</v>
      </c>
      <c r="K3392" s="23">
        <v>907.74199999999996</v>
      </c>
    </row>
    <row r="3393" spans="1:11" x14ac:dyDescent="0.25">
      <c r="A3393">
        <v>3392</v>
      </c>
      <c r="B3393" s="23">
        <v>935.94200000000001</v>
      </c>
      <c r="C3393" s="23">
        <v>287.3</v>
      </c>
      <c r="D3393" s="23">
        <v>1123.847</v>
      </c>
      <c r="E3393" s="23">
        <v>935.94200000000001</v>
      </c>
      <c r="F3393" s="23">
        <v>-187.905</v>
      </c>
      <c r="G3393" s="23">
        <v>0</v>
      </c>
      <c r="H3393" s="23">
        <v>0</v>
      </c>
      <c r="I3393" s="23">
        <v>0</v>
      </c>
      <c r="J3393" s="23">
        <v>0</v>
      </c>
      <c r="K3393" s="23">
        <v>0</v>
      </c>
    </row>
    <row r="3394" spans="1:11" x14ac:dyDescent="0.25">
      <c r="A3394">
        <v>3393</v>
      </c>
      <c r="B3394" s="23">
        <v>898.57399999999996</v>
      </c>
      <c r="C3394" s="23">
        <v>451.13</v>
      </c>
      <c r="D3394" s="23">
        <v>1749.2660000000001</v>
      </c>
      <c r="E3394" s="23">
        <v>898.57399999999996</v>
      </c>
      <c r="F3394" s="23">
        <v>-850.69200000000001</v>
      </c>
      <c r="G3394" s="23">
        <v>0</v>
      </c>
      <c r="H3394" s="23">
        <v>0</v>
      </c>
      <c r="I3394" s="23">
        <v>0</v>
      </c>
      <c r="J3394" s="23">
        <v>0</v>
      </c>
      <c r="K3394" s="23">
        <v>0</v>
      </c>
    </row>
    <row r="3395" spans="1:11" x14ac:dyDescent="0.25">
      <c r="A3395">
        <v>3394</v>
      </c>
      <c r="B3395" s="23">
        <v>1261.7049999999999</v>
      </c>
      <c r="C3395" s="23">
        <v>561.14</v>
      </c>
      <c r="D3395" s="23">
        <v>2134.4870000000001</v>
      </c>
      <c r="E3395" s="23">
        <v>1261.7049999999999</v>
      </c>
      <c r="F3395" s="23">
        <v>-872.78200000000004</v>
      </c>
      <c r="G3395" s="23">
        <v>0</v>
      </c>
      <c r="H3395" s="23">
        <v>0</v>
      </c>
      <c r="I3395" s="23">
        <v>0</v>
      </c>
      <c r="J3395" s="23">
        <v>0</v>
      </c>
      <c r="K3395" s="23">
        <v>0</v>
      </c>
    </row>
    <row r="3396" spans="1:11" x14ac:dyDescent="0.25">
      <c r="A3396">
        <v>3395</v>
      </c>
      <c r="B3396" s="23">
        <v>1281.2460000000001</v>
      </c>
      <c r="C3396" s="23">
        <v>626.85</v>
      </c>
      <c r="D3396" s="23">
        <v>2352.203</v>
      </c>
      <c r="E3396" s="23">
        <v>1281.2460000000001</v>
      </c>
      <c r="F3396" s="23">
        <v>-1070.9570000000001</v>
      </c>
      <c r="G3396" s="23">
        <v>0</v>
      </c>
      <c r="H3396" s="23">
        <v>0</v>
      </c>
      <c r="I3396" s="23">
        <v>0</v>
      </c>
      <c r="J3396" s="23">
        <v>0</v>
      </c>
      <c r="K3396" s="23">
        <v>0</v>
      </c>
    </row>
    <row r="3397" spans="1:11" x14ac:dyDescent="0.25">
      <c r="A3397">
        <v>3396</v>
      </c>
      <c r="B3397" s="23">
        <v>1130.3420000000001</v>
      </c>
      <c r="C3397" s="23">
        <v>601.16</v>
      </c>
      <c r="D3397" s="23">
        <v>2247.2449999999999</v>
      </c>
      <c r="E3397" s="23">
        <v>1130.3420000000001</v>
      </c>
      <c r="F3397" s="23">
        <v>-1116.903</v>
      </c>
      <c r="G3397" s="23">
        <v>0</v>
      </c>
      <c r="H3397" s="23">
        <v>0</v>
      </c>
      <c r="I3397" s="23">
        <v>0</v>
      </c>
      <c r="J3397" s="23">
        <v>0</v>
      </c>
      <c r="K3397" s="23">
        <v>0</v>
      </c>
    </row>
    <row r="3398" spans="1:11" x14ac:dyDescent="0.25">
      <c r="A3398">
        <v>3397</v>
      </c>
      <c r="B3398" s="23">
        <v>1247.462</v>
      </c>
      <c r="C3398" s="23">
        <v>674.01</v>
      </c>
      <c r="D3398" s="23">
        <v>2511.7939999999999</v>
      </c>
      <c r="E3398" s="23">
        <v>1247.462</v>
      </c>
      <c r="F3398" s="23">
        <v>-1264.3320000000001</v>
      </c>
      <c r="G3398" s="23">
        <v>0</v>
      </c>
      <c r="H3398" s="23">
        <v>0</v>
      </c>
      <c r="I3398" s="23">
        <v>0</v>
      </c>
      <c r="J3398" s="23">
        <v>0</v>
      </c>
      <c r="K3398" s="23">
        <v>0</v>
      </c>
    </row>
    <row r="3399" spans="1:11" x14ac:dyDescent="0.25">
      <c r="A3399">
        <v>3398</v>
      </c>
      <c r="B3399" s="23">
        <v>1339.3869999999999</v>
      </c>
      <c r="C3399" s="23">
        <v>404.71</v>
      </c>
      <c r="D3399" s="23">
        <v>1525.258</v>
      </c>
      <c r="E3399" s="23">
        <v>1339.3869999999999</v>
      </c>
      <c r="F3399" s="23">
        <v>-185.87100000000001</v>
      </c>
      <c r="G3399" s="23">
        <v>0</v>
      </c>
      <c r="H3399" s="23">
        <v>0</v>
      </c>
      <c r="I3399" s="23">
        <v>0</v>
      </c>
      <c r="J3399" s="23">
        <v>0</v>
      </c>
      <c r="K3399" s="23">
        <v>0</v>
      </c>
    </row>
    <row r="3400" spans="1:11" x14ac:dyDescent="0.25">
      <c r="A3400">
        <v>3399</v>
      </c>
      <c r="B3400" s="23">
        <v>1391.3030000000001</v>
      </c>
      <c r="C3400" s="23">
        <v>353.62</v>
      </c>
      <c r="D3400" s="23">
        <v>1342.597</v>
      </c>
      <c r="E3400" s="23">
        <v>1342.597</v>
      </c>
      <c r="F3400" s="23">
        <v>0</v>
      </c>
      <c r="G3400" s="23">
        <v>0</v>
      </c>
      <c r="H3400" s="23">
        <v>0</v>
      </c>
      <c r="I3400" s="23">
        <v>0</v>
      </c>
      <c r="J3400" s="23">
        <v>0</v>
      </c>
      <c r="K3400" s="23">
        <v>48.706000000000003</v>
      </c>
    </row>
    <row r="3401" spans="1:11" x14ac:dyDescent="0.25">
      <c r="A3401">
        <v>3400</v>
      </c>
      <c r="B3401" s="23">
        <v>1345.155</v>
      </c>
      <c r="C3401" s="23">
        <v>414.57</v>
      </c>
      <c r="D3401" s="23">
        <v>1603.3589999999999</v>
      </c>
      <c r="E3401" s="23">
        <v>1345.155</v>
      </c>
      <c r="F3401" s="23">
        <v>-258.20400000000001</v>
      </c>
      <c r="G3401" s="23">
        <v>0</v>
      </c>
      <c r="H3401" s="23">
        <v>0</v>
      </c>
      <c r="I3401" s="23">
        <v>0</v>
      </c>
      <c r="J3401" s="23">
        <v>0</v>
      </c>
      <c r="K3401" s="23">
        <v>0</v>
      </c>
    </row>
    <row r="3402" spans="1:11" x14ac:dyDescent="0.25">
      <c r="A3402">
        <v>3401</v>
      </c>
      <c r="B3402" s="23">
        <v>1198.3800000000001</v>
      </c>
      <c r="C3402" s="23">
        <v>224.87</v>
      </c>
      <c r="D3402" s="23">
        <v>860.01099999999997</v>
      </c>
      <c r="E3402" s="23">
        <v>860.01099999999997</v>
      </c>
      <c r="F3402" s="23">
        <v>0</v>
      </c>
      <c r="G3402" s="23">
        <v>0</v>
      </c>
      <c r="H3402" s="23">
        <v>0</v>
      </c>
      <c r="I3402" s="23">
        <v>338.36900000000003</v>
      </c>
      <c r="J3402" s="23">
        <v>0</v>
      </c>
      <c r="K3402" s="23">
        <v>0</v>
      </c>
    </row>
    <row r="3403" spans="1:11" x14ac:dyDescent="0.25">
      <c r="A3403">
        <v>3402</v>
      </c>
      <c r="B3403" s="23">
        <v>1181.6469999999999</v>
      </c>
      <c r="C3403" s="23">
        <v>64.739999999999995</v>
      </c>
      <c r="D3403" s="23">
        <v>204.76599999999999</v>
      </c>
      <c r="E3403" s="23">
        <v>204.76599999999999</v>
      </c>
      <c r="F3403" s="23">
        <v>0</v>
      </c>
      <c r="G3403" s="23">
        <v>0</v>
      </c>
      <c r="H3403" s="23">
        <v>0</v>
      </c>
      <c r="I3403" s="23">
        <v>0</v>
      </c>
      <c r="J3403" s="23">
        <v>0</v>
      </c>
      <c r="K3403" s="23">
        <v>976.88099999999997</v>
      </c>
    </row>
    <row r="3404" spans="1:11" x14ac:dyDescent="0.25">
      <c r="A3404">
        <v>3403</v>
      </c>
      <c r="B3404" s="23">
        <v>1283.0139999999999</v>
      </c>
      <c r="C3404" s="23">
        <v>0</v>
      </c>
      <c r="D3404" s="23">
        <v>0</v>
      </c>
      <c r="E3404" s="23">
        <v>0</v>
      </c>
      <c r="F3404" s="23">
        <v>0</v>
      </c>
      <c r="G3404" s="23">
        <v>0</v>
      </c>
      <c r="H3404" s="23">
        <v>0</v>
      </c>
      <c r="I3404" s="23">
        <v>0</v>
      </c>
      <c r="J3404" s="23">
        <v>0</v>
      </c>
      <c r="K3404" s="23">
        <v>1283.0139999999999</v>
      </c>
    </row>
    <row r="3405" spans="1:11" x14ac:dyDescent="0.25">
      <c r="A3405">
        <v>3404</v>
      </c>
      <c r="B3405" s="23">
        <v>1180.8</v>
      </c>
      <c r="C3405" s="23">
        <v>0</v>
      </c>
      <c r="D3405" s="23">
        <v>0</v>
      </c>
      <c r="E3405" s="23">
        <v>0</v>
      </c>
      <c r="F3405" s="23">
        <v>0</v>
      </c>
      <c r="G3405" s="23">
        <v>0</v>
      </c>
      <c r="H3405" s="23">
        <v>0</v>
      </c>
      <c r="I3405" s="23">
        <v>0</v>
      </c>
      <c r="J3405" s="23">
        <v>0</v>
      </c>
      <c r="K3405" s="23">
        <v>1180.8</v>
      </c>
    </row>
    <row r="3406" spans="1:11" x14ac:dyDescent="0.25">
      <c r="A3406">
        <v>3405</v>
      </c>
      <c r="B3406" s="23">
        <v>1619.2</v>
      </c>
      <c r="C3406" s="23">
        <v>0</v>
      </c>
      <c r="D3406" s="23">
        <v>0</v>
      </c>
      <c r="E3406" s="23">
        <v>0</v>
      </c>
      <c r="F3406" s="23">
        <v>0</v>
      </c>
      <c r="G3406" s="23">
        <v>0</v>
      </c>
      <c r="H3406" s="23">
        <v>0</v>
      </c>
      <c r="I3406" s="23">
        <v>393.964</v>
      </c>
      <c r="J3406" s="23">
        <v>0</v>
      </c>
      <c r="K3406" s="23">
        <v>1225.2360000000001</v>
      </c>
    </row>
    <row r="3407" spans="1:11" x14ac:dyDescent="0.25">
      <c r="A3407">
        <v>3406</v>
      </c>
      <c r="B3407" s="23">
        <v>1483.2</v>
      </c>
      <c r="C3407" s="23">
        <v>0</v>
      </c>
      <c r="D3407" s="23">
        <v>0</v>
      </c>
      <c r="E3407" s="23">
        <v>0</v>
      </c>
      <c r="F3407" s="23">
        <v>0</v>
      </c>
      <c r="G3407" s="23">
        <v>0</v>
      </c>
      <c r="H3407" s="23">
        <v>0</v>
      </c>
      <c r="I3407" s="23">
        <v>0</v>
      </c>
      <c r="J3407" s="23">
        <v>0</v>
      </c>
      <c r="K3407" s="23">
        <v>1483.2</v>
      </c>
    </row>
    <row r="3408" spans="1:11" x14ac:dyDescent="0.25">
      <c r="A3408">
        <v>3407</v>
      </c>
      <c r="B3408" s="23">
        <v>1326.4</v>
      </c>
      <c r="C3408" s="23">
        <v>0</v>
      </c>
      <c r="D3408" s="23">
        <v>0</v>
      </c>
      <c r="E3408" s="23">
        <v>0</v>
      </c>
      <c r="F3408" s="23">
        <v>0</v>
      </c>
      <c r="G3408" s="23">
        <v>0</v>
      </c>
      <c r="H3408" s="23">
        <v>0</v>
      </c>
      <c r="I3408" s="23">
        <v>1326.4</v>
      </c>
      <c r="J3408" s="23">
        <v>0</v>
      </c>
      <c r="K3408" s="23">
        <v>0</v>
      </c>
    </row>
    <row r="3409" spans="1:11" x14ac:dyDescent="0.25">
      <c r="A3409">
        <v>3408</v>
      </c>
      <c r="B3409" s="23">
        <v>0</v>
      </c>
      <c r="C3409" s="23">
        <v>0</v>
      </c>
      <c r="D3409" s="23">
        <v>0</v>
      </c>
      <c r="E3409" s="23">
        <v>0</v>
      </c>
      <c r="F3409" s="23">
        <v>0</v>
      </c>
      <c r="G3409" s="23">
        <v>0</v>
      </c>
      <c r="H3409" s="23">
        <v>0</v>
      </c>
      <c r="I3409" s="23">
        <v>0</v>
      </c>
      <c r="J3409" s="23">
        <v>0</v>
      </c>
      <c r="K3409" s="23">
        <v>0</v>
      </c>
    </row>
    <row r="3410" spans="1:11" x14ac:dyDescent="0.25">
      <c r="A3410">
        <v>3409</v>
      </c>
      <c r="B3410" s="23">
        <v>0</v>
      </c>
      <c r="C3410" s="23">
        <v>0</v>
      </c>
      <c r="D3410" s="23">
        <v>0</v>
      </c>
      <c r="E3410" s="23">
        <v>0</v>
      </c>
      <c r="F3410" s="23">
        <v>0</v>
      </c>
      <c r="G3410" s="23">
        <v>0</v>
      </c>
      <c r="H3410" s="23">
        <v>0</v>
      </c>
      <c r="I3410" s="23">
        <v>0</v>
      </c>
      <c r="J3410" s="23">
        <v>0</v>
      </c>
      <c r="K3410" s="23">
        <v>0</v>
      </c>
    </row>
    <row r="3411" spans="1:11" x14ac:dyDescent="0.25">
      <c r="A3411">
        <v>3410</v>
      </c>
      <c r="B3411" s="23">
        <v>0</v>
      </c>
      <c r="C3411" s="23">
        <v>0</v>
      </c>
      <c r="D3411" s="23">
        <v>0</v>
      </c>
      <c r="E3411" s="23">
        <v>0</v>
      </c>
      <c r="F3411" s="23">
        <v>0</v>
      </c>
      <c r="G3411" s="23">
        <v>0</v>
      </c>
      <c r="H3411" s="23">
        <v>0</v>
      </c>
      <c r="I3411" s="23">
        <v>0</v>
      </c>
      <c r="J3411" s="23">
        <v>0</v>
      </c>
      <c r="K3411" s="23">
        <v>0</v>
      </c>
    </row>
    <row r="3412" spans="1:11" x14ac:dyDescent="0.25">
      <c r="A3412">
        <v>3411</v>
      </c>
      <c r="B3412" s="23">
        <v>0</v>
      </c>
      <c r="C3412" s="23">
        <v>0</v>
      </c>
      <c r="D3412" s="23">
        <v>0</v>
      </c>
      <c r="E3412" s="23">
        <v>0</v>
      </c>
      <c r="F3412" s="23">
        <v>0</v>
      </c>
      <c r="G3412" s="23">
        <v>0</v>
      </c>
      <c r="H3412" s="23">
        <v>0</v>
      </c>
      <c r="I3412" s="23">
        <v>0</v>
      </c>
      <c r="J3412" s="23">
        <v>0</v>
      </c>
      <c r="K3412" s="23">
        <v>0</v>
      </c>
    </row>
    <row r="3413" spans="1:11" x14ac:dyDescent="0.25">
      <c r="A3413">
        <v>3412</v>
      </c>
      <c r="B3413" s="23">
        <v>0</v>
      </c>
      <c r="C3413" s="23">
        <v>0</v>
      </c>
      <c r="D3413" s="23">
        <v>0</v>
      </c>
      <c r="E3413" s="23">
        <v>0</v>
      </c>
      <c r="F3413" s="23">
        <v>0</v>
      </c>
      <c r="G3413" s="23">
        <v>0</v>
      </c>
      <c r="H3413" s="23">
        <v>0</v>
      </c>
      <c r="I3413" s="23">
        <v>0</v>
      </c>
      <c r="J3413" s="23">
        <v>0</v>
      </c>
      <c r="K3413" s="23">
        <v>0</v>
      </c>
    </row>
    <row r="3414" spans="1:11" x14ac:dyDescent="0.25">
      <c r="A3414">
        <v>3413</v>
      </c>
      <c r="B3414" s="23">
        <v>0</v>
      </c>
      <c r="C3414" s="23">
        <v>0</v>
      </c>
      <c r="D3414" s="23">
        <v>0</v>
      </c>
      <c r="E3414" s="23">
        <v>0</v>
      </c>
      <c r="F3414" s="23">
        <v>0</v>
      </c>
      <c r="G3414" s="23">
        <v>0</v>
      </c>
      <c r="H3414" s="23">
        <v>0</v>
      </c>
      <c r="I3414" s="23">
        <v>0</v>
      </c>
      <c r="J3414" s="23">
        <v>0</v>
      </c>
      <c r="K3414" s="23">
        <v>0</v>
      </c>
    </row>
    <row r="3415" spans="1:11" x14ac:dyDescent="0.25">
      <c r="A3415">
        <v>3414</v>
      </c>
      <c r="B3415" s="23">
        <v>0</v>
      </c>
      <c r="C3415" s="23">
        <v>0</v>
      </c>
      <c r="D3415" s="23">
        <v>0</v>
      </c>
      <c r="E3415" s="23">
        <v>0</v>
      </c>
      <c r="F3415" s="23">
        <v>0</v>
      </c>
      <c r="G3415" s="23">
        <v>0</v>
      </c>
      <c r="H3415" s="23">
        <v>0</v>
      </c>
      <c r="I3415" s="23">
        <v>0</v>
      </c>
      <c r="J3415" s="23">
        <v>0</v>
      </c>
      <c r="K3415" s="23">
        <v>0</v>
      </c>
    </row>
    <row r="3416" spans="1:11" x14ac:dyDescent="0.25">
      <c r="A3416">
        <v>3415</v>
      </c>
      <c r="B3416" s="23">
        <v>619.02499999999998</v>
      </c>
      <c r="C3416" s="23">
        <v>77.290000000000006</v>
      </c>
      <c r="D3416" s="23">
        <v>278.99200000000002</v>
      </c>
      <c r="E3416" s="23">
        <v>278.99200000000002</v>
      </c>
      <c r="F3416" s="23">
        <v>0</v>
      </c>
      <c r="G3416" s="23">
        <v>0</v>
      </c>
      <c r="H3416" s="23">
        <v>0</v>
      </c>
      <c r="I3416" s="23">
        <v>0</v>
      </c>
      <c r="J3416" s="23">
        <v>0</v>
      </c>
      <c r="K3416" s="23">
        <v>340.03300000000002</v>
      </c>
    </row>
    <row r="3417" spans="1:11" x14ac:dyDescent="0.25">
      <c r="A3417">
        <v>3416</v>
      </c>
      <c r="B3417" s="23">
        <v>887.26400000000001</v>
      </c>
      <c r="C3417" s="23">
        <v>212.41</v>
      </c>
      <c r="D3417" s="23">
        <v>824.57899999999995</v>
      </c>
      <c r="E3417" s="23">
        <v>824.57899999999995</v>
      </c>
      <c r="F3417" s="23">
        <v>0</v>
      </c>
      <c r="G3417" s="23">
        <v>0</v>
      </c>
      <c r="H3417" s="23">
        <v>0</v>
      </c>
      <c r="I3417" s="23">
        <v>0</v>
      </c>
      <c r="J3417" s="23">
        <v>0</v>
      </c>
      <c r="K3417" s="23">
        <v>62.685000000000002</v>
      </c>
    </row>
    <row r="3418" spans="1:11" x14ac:dyDescent="0.25">
      <c r="A3418">
        <v>3417</v>
      </c>
      <c r="B3418" s="23">
        <v>690.74699999999996</v>
      </c>
      <c r="C3418" s="23">
        <v>573.62</v>
      </c>
      <c r="D3418" s="23">
        <v>2252.116</v>
      </c>
      <c r="E3418" s="23">
        <v>690.74699999999996</v>
      </c>
      <c r="F3418" s="23">
        <v>-1561.3689999999999</v>
      </c>
      <c r="G3418" s="23">
        <v>0</v>
      </c>
      <c r="H3418" s="23">
        <v>0</v>
      </c>
      <c r="I3418" s="23">
        <v>0</v>
      </c>
      <c r="J3418" s="23">
        <v>0</v>
      </c>
      <c r="K3418" s="23">
        <v>0</v>
      </c>
    </row>
    <row r="3419" spans="1:11" x14ac:dyDescent="0.25">
      <c r="A3419">
        <v>3418</v>
      </c>
      <c r="B3419" s="23">
        <v>307.34800000000001</v>
      </c>
      <c r="C3419" s="23">
        <v>755.98</v>
      </c>
      <c r="D3419" s="23">
        <v>2885.79</v>
      </c>
      <c r="E3419" s="23">
        <v>307.34899999999999</v>
      </c>
      <c r="F3419" s="23">
        <v>-1684.559</v>
      </c>
      <c r="G3419" s="23">
        <v>0</v>
      </c>
      <c r="H3419" s="23">
        <v>893.88199999999995</v>
      </c>
      <c r="I3419" s="23">
        <v>0</v>
      </c>
      <c r="J3419" s="23">
        <v>0</v>
      </c>
      <c r="K3419" s="23">
        <v>0</v>
      </c>
    </row>
    <row r="3420" spans="1:11" x14ac:dyDescent="0.25">
      <c r="A3420">
        <v>3419</v>
      </c>
      <c r="B3420" s="23">
        <v>235.767</v>
      </c>
      <c r="C3420" s="23">
        <v>884.75</v>
      </c>
      <c r="D3420" s="23">
        <v>3302.0520000000001</v>
      </c>
      <c r="E3420" s="23">
        <v>235.767</v>
      </c>
      <c r="F3420" s="23">
        <v>-1684.559</v>
      </c>
      <c r="G3420" s="23">
        <v>0</v>
      </c>
      <c r="H3420" s="23">
        <v>1381.7260000000001</v>
      </c>
      <c r="I3420" s="23">
        <v>0</v>
      </c>
      <c r="J3420" s="23">
        <v>0</v>
      </c>
      <c r="K3420" s="23">
        <v>0</v>
      </c>
    </row>
    <row r="3421" spans="1:11" x14ac:dyDescent="0.25">
      <c r="A3421">
        <v>3420</v>
      </c>
      <c r="B3421" s="23">
        <v>197.08199999999999</v>
      </c>
      <c r="C3421" s="23">
        <v>943.17</v>
      </c>
      <c r="D3421" s="23">
        <v>3478.029</v>
      </c>
      <c r="E3421" s="23">
        <v>197.083</v>
      </c>
      <c r="F3421" s="23">
        <v>-1684.559</v>
      </c>
      <c r="G3421" s="23">
        <v>0</v>
      </c>
      <c r="H3421" s="23">
        <v>1596.3869999999999</v>
      </c>
      <c r="I3421" s="23">
        <v>0</v>
      </c>
      <c r="J3421" s="23">
        <v>0</v>
      </c>
      <c r="K3421" s="23">
        <v>0</v>
      </c>
    </row>
    <row r="3422" spans="1:11" x14ac:dyDescent="0.25">
      <c r="A3422">
        <v>3421</v>
      </c>
      <c r="B3422" s="23">
        <v>683.53</v>
      </c>
      <c r="C3422" s="23">
        <v>796.75</v>
      </c>
      <c r="D3422" s="23">
        <v>2923.0140000000001</v>
      </c>
      <c r="E3422" s="23">
        <v>683.53</v>
      </c>
      <c r="F3422" s="23">
        <v>-676.45100000000002</v>
      </c>
      <c r="G3422" s="23">
        <v>0</v>
      </c>
      <c r="H3422" s="23">
        <v>1563.0329999999999</v>
      </c>
      <c r="I3422" s="23">
        <v>0</v>
      </c>
      <c r="J3422" s="23">
        <v>0</v>
      </c>
      <c r="K3422" s="23">
        <v>0</v>
      </c>
    </row>
    <row r="3423" spans="1:11" x14ac:dyDescent="0.25">
      <c r="A3423">
        <v>3422</v>
      </c>
      <c r="B3423" s="23">
        <v>1150.9359999999999</v>
      </c>
      <c r="C3423" s="23">
        <v>747.47</v>
      </c>
      <c r="D3423" s="23">
        <v>2763.723</v>
      </c>
      <c r="E3423" s="23">
        <v>1150.9359999999999</v>
      </c>
      <c r="F3423" s="23">
        <v>0</v>
      </c>
      <c r="G3423" s="23">
        <v>0</v>
      </c>
      <c r="H3423" s="23">
        <v>1612.787</v>
      </c>
      <c r="I3423" s="23">
        <v>0</v>
      </c>
      <c r="J3423" s="23">
        <v>0</v>
      </c>
      <c r="K3423" s="23">
        <v>0</v>
      </c>
    </row>
    <row r="3424" spans="1:11" x14ac:dyDescent="0.25">
      <c r="A3424">
        <v>3423</v>
      </c>
      <c r="B3424" s="23">
        <v>1786.232</v>
      </c>
      <c r="C3424" s="23">
        <v>89.1</v>
      </c>
      <c r="D3424" s="23">
        <v>313.649</v>
      </c>
      <c r="E3424" s="23">
        <v>313.649</v>
      </c>
      <c r="F3424" s="23">
        <v>0</v>
      </c>
      <c r="G3424" s="23">
        <v>0</v>
      </c>
      <c r="H3424" s="23">
        <v>0</v>
      </c>
      <c r="I3424" s="23">
        <v>1472.5830000000001</v>
      </c>
      <c r="J3424" s="23">
        <v>0</v>
      </c>
      <c r="K3424" s="23">
        <v>0</v>
      </c>
    </row>
    <row r="3425" spans="1:11" x14ac:dyDescent="0.25">
      <c r="A3425">
        <v>3424</v>
      </c>
      <c r="B3425" s="23">
        <v>1729.5440000000001</v>
      </c>
      <c r="C3425" s="23">
        <v>73.819999999999993</v>
      </c>
      <c r="D3425" s="23">
        <v>258.41699999999997</v>
      </c>
      <c r="E3425" s="23">
        <v>258.41699999999997</v>
      </c>
      <c r="F3425" s="23">
        <v>0</v>
      </c>
      <c r="G3425" s="23">
        <v>0</v>
      </c>
      <c r="H3425" s="23">
        <v>0</v>
      </c>
      <c r="I3425" s="23">
        <v>1471.127</v>
      </c>
      <c r="J3425" s="23">
        <v>0</v>
      </c>
      <c r="K3425" s="23">
        <v>0</v>
      </c>
    </row>
    <row r="3426" spans="1:11" x14ac:dyDescent="0.25">
      <c r="A3426">
        <v>3425</v>
      </c>
      <c r="B3426" s="23">
        <v>1610.0630000000001</v>
      </c>
      <c r="C3426" s="23">
        <v>236.88</v>
      </c>
      <c r="D3426" s="23">
        <v>905</v>
      </c>
      <c r="E3426" s="23">
        <v>905</v>
      </c>
      <c r="F3426" s="23">
        <v>0</v>
      </c>
      <c r="G3426" s="23">
        <v>0</v>
      </c>
      <c r="H3426" s="23">
        <v>0</v>
      </c>
      <c r="I3426" s="23">
        <v>705.06299999999999</v>
      </c>
      <c r="J3426" s="23">
        <v>0</v>
      </c>
      <c r="K3426" s="23">
        <v>0</v>
      </c>
    </row>
    <row r="3427" spans="1:11" x14ac:dyDescent="0.25">
      <c r="A3427">
        <v>3426</v>
      </c>
      <c r="B3427" s="23">
        <v>1527.327</v>
      </c>
      <c r="C3427" s="23">
        <v>53.31</v>
      </c>
      <c r="D3427" s="23">
        <v>173.19800000000001</v>
      </c>
      <c r="E3427" s="23">
        <v>173.19800000000001</v>
      </c>
      <c r="F3427" s="23">
        <v>0</v>
      </c>
      <c r="G3427" s="23">
        <v>0</v>
      </c>
      <c r="H3427" s="23">
        <v>0</v>
      </c>
      <c r="I3427" s="23">
        <v>0</v>
      </c>
      <c r="J3427" s="23">
        <v>0</v>
      </c>
      <c r="K3427" s="23">
        <v>1354.1289999999999</v>
      </c>
    </row>
    <row r="3428" spans="1:11" x14ac:dyDescent="0.25">
      <c r="A3428">
        <v>3427</v>
      </c>
      <c r="B3428" s="23">
        <v>1637.6</v>
      </c>
      <c r="C3428" s="23">
        <v>0</v>
      </c>
      <c r="D3428" s="23">
        <v>0</v>
      </c>
      <c r="E3428" s="23">
        <v>0</v>
      </c>
      <c r="F3428" s="23">
        <v>0</v>
      </c>
      <c r="G3428" s="23">
        <v>0</v>
      </c>
      <c r="H3428" s="23">
        <v>0</v>
      </c>
      <c r="I3428" s="23">
        <v>0</v>
      </c>
      <c r="J3428" s="23">
        <v>0</v>
      </c>
      <c r="K3428" s="23">
        <v>1637.6</v>
      </c>
    </row>
    <row r="3429" spans="1:11" x14ac:dyDescent="0.25">
      <c r="A3429">
        <v>3428</v>
      </c>
      <c r="B3429" s="23">
        <v>1442.4</v>
      </c>
      <c r="C3429" s="23">
        <v>0</v>
      </c>
      <c r="D3429" s="23">
        <v>0</v>
      </c>
      <c r="E3429" s="23">
        <v>0</v>
      </c>
      <c r="F3429" s="23">
        <v>0</v>
      </c>
      <c r="G3429" s="23">
        <v>0</v>
      </c>
      <c r="H3429" s="23">
        <v>0</v>
      </c>
      <c r="I3429" s="23">
        <v>0</v>
      </c>
      <c r="J3429" s="23">
        <v>0</v>
      </c>
      <c r="K3429" s="23">
        <v>1442.4</v>
      </c>
    </row>
    <row r="3430" spans="1:11" x14ac:dyDescent="0.25">
      <c r="A3430">
        <v>3429</v>
      </c>
      <c r="B3430" s="23">
        <v>1472.8</v>
      </c>
      <c r="C3430" s="23">
        <v>0</v>
      </c>
      <c r="D3430" s="23">
        <v>0</v>
      </c>
      <c r="E3430" s="23">
        <v>0</v>
      </c>
      <c r="F3430" s="23">
        <v>0</v>
      </c>
      <c r="G3430" s="23">
        <v>0</v>
      </c>
      <c r="H3430" s="23">
        <v>0</v>
      </c>
      <c r="I3430" s="23">
        <v>1472.8</v>
      </c>
      <c r="J3430" s="23">
        <v>0</v>
      </c>
      <c r="K3430" s="23">
        <v>0</v>
      </c>
    </row>
    <row r="3431" spans="1:11" x14ac:dyDescent="0.25">
      <c r="A3431">
        <v>3430</v>
      </c>
      <c r="B3431" s="23">
        <v>1553.6</v>
      </c>
      <c r="C3431" s="23">
        <v>0</v>
      </c>
      <c r="D3431" s="23">
        <v>0</v>
      </c>
      <c r="E3431" s="23">
        <v>0</v>
      </c>
      <c r="F3431" s="23">
        <v>0</v>
      </c>
      <c r="G3431" s="23">
        <v>0</v>
      </c>
      <c r="H3431" s="23">
        <v>0</v>
      </c>
      <c r="I3431" s="23">
        <v>391.14699999999999</v>
      </c>
      <c r="J3431" s="23">
        <v>0</v>
      </c>
      <c r="K3431" s="23">
        <v>1162.453</v>
      </c>
    </row>
    <row r="3432" spans="1:11" x14ac:dyDescent="0.25">
      <c r="A3432">
        <v>3431</v>
      </c>
      <c r="B3432" s="23">
        <v>1444</v>
      </c>
      <c r="C3432" s="23">
        <v>0</v>
      </c>
      <c r="D3432" s="23">
        <v>0</v>
      </c>
      <c r="E3432" s="23">
        <v>0</v>
      </c>
      <c r="F3432" s="23">
        <v>0</v>
      </c>
      <c r="G3432" s="23">
        <v>0</v>
      </c>
      <c r="H3432" s="23">
        <v>0</v>
      </c>
      <c r="I3432" s="23">
        <v>1444</v>
      </c>
      <c r="J3432" s="23">
        <v>0</v>
      </c>
      <c r="K3432" s="23">
        <v>0</v>
      </c>
    </row>
    <row r="3433" spans="1:11" x14ac:dyDescent="0.25">
      <c r="A3433">
        <v>3432</v>
      </c>
      <c r="B3433" s="23">
        <v>0</v>
      </c>
      <c r="C3433" s="23">
        <v>0</v>
      </c>
      <c r="D3433" s="23">
        <v>0</v>
      </c>
      <c r="E3433" s="23">
        <v>0</v>
      </c>
      <c r="F3433" s="23">
        <v>0</v>
      </c>
      <c r="G3433" s="23">
        <v>0</v>
      </c>
      <c r="H3433" s="23">
        <v>0</v>
      </c>
      <c r="I3433" s="23">
        <v>0</v>
      </c>
      <c r="J3433" s="23">
        <v>0</v>
      </c>
      <c r="K3433" s="23">
        <v>0</v>
      </c>
    </row>
    <row r="3434" spans="1:11" x14ac:dyDescent="0.25">
      <c r="A3434">
        <v>3433</v>
      </c>
      <c r="B3434" s="23">
        <v>0</v>
      </c>
      <c r="C3434" s="23">
        <v>0</v>
      </c>
      <c r="D3434" s="23">
        <v>0</v>
      </c>
      <c r="E3434" s="23">
        <v>0</v>
      </c>
      <c r="F3434" s="23">
        <v>0</v>
      </c>
      <c r="G3434" s="23">
        <v>0</v>
      </c>
      <c r="H3434" s="23">
        <v>0</v>
      </c>
      <c r="I3434" s="23">
        <v>0</v>
      </c>
      <c r="J3434" s="23">
        <v>0</v>
      </c>
      <c r="K3434" s="23">
        <v>0</v>
      </c>
    </row>
    <row r="3435" spans="1:11" x14ac:dyDescent="0.25">
      <c r="A3435">
        <v>3434</v>
      </c>
      <c r="B3435" s="23">
        <v>0</v>
      </c>
      <c r="C3435" s="23">
        <v>0</v>
      </c>
      <c r="D3435" s="23">
        <v>0</v>
      </c>
      <c r="E3435" s="23">
        <v>0</v>
      </c>
      <c r="F3435" s="23">
        <v>0</v>
      </c>
      <c r="G3435" s="23">
        <v>0</v>
      </c>
      <c r="H3435" s="23">
        <v>0</v>
      </c>
      <c r="I3435" s="23">
        <v>0</v>
      </c>
      <c r="J3435" s="23">
        <v>0</v>
      </c>
      <c r="K3435" s="23">
        <v>0</v>
      </c>
    </row>
    <row r="3436" spans="1:11" x14ac:dyDescent="0.25">
      <c r="A3436">
        <v>3435</v>
      </c>
      <c r="B3436" s="23">
        <v>0</v>
      </c>
      <c r="C3436" s="23">
        <v>0</v>
      </c>
      <c r="D3436" s="23">
        <v>0</v>
      </c>
      <c r="E3436" s="23">
        <v>0</v>
      </c>
      <c r="F3436" s="23">
        <v>0</v>
      </c>
      <c r="G3436" s="23">
        <v>0</v>
      </c>
      <c r="H3436" s="23">
        <v>0</v>
      </c>
      <c r="I3436" s="23">
        <v>0</v>
      </c>
      <c r="J3436" s="23">
        <v>0</v>
      </c>
      <c r="K3436" s="23">
        <v>0</v>
      </c>
    </row>
    <row r="3437" spans="1:11" x14ac:dyDescent="0.25">
      <c r="A3437">
        <v>3436</v>
      </c>
      <c r="B3437" s="23">
        <v>0</v>
      </c>
      <c r="C3437" s="23">
        <v>0</v>
      </c>
      <c r="D3437" s="23">
        <v>0</v>
      </c>
      <c r="E3437" s="23">
        <v>0</v>
      </c>
      <c r="F3437" s="23">
        <v>0</v>
      </c>
      <c r="G3437" s="23">
        <v>0</v>
      </c>
      <c r="H3437" s="23">
        <v>0</v>
      </c>
      <c r="I3437" s="23">
        <v>0</v>
      </c>
      <c r="J3437" s="23">
        <v>0</v>
      </c>
      <c r="K3437" s="23">
        <v>0</v>
      </c>
    </row>
    <row r="3438" spans="1:11" x14ac:dyDescent="0.25">
      <c r="A3438">
        <v>3437</v>
      </c>
      <c r="B3438" s="23">
        <v>0</v>
      </c>
      <c r="C3438" s="23">
        <v>0</v>
      </c>
      <c r="D3438" s="23">
        <v>0</v>
      </c>
      <c r="E3438" s="23">
        <v>0</v>
      </c>
      <c r="F3438" s="23">
        <v>0</v>
      </c>
      <c r="G3438" s="23">
        <v>0</v>
      </c>
      <c r="H3438" s="23">
        <v>0</v>
      </c>
      <c r="I3438" s="23">
        <v>0</v>
      </c>
      <c r="J3438" s="23">
        <v>0</v>
      </c>
      <c r="K3438" s="23">
        <v>0</v>
      </c>
    </row>
    <row r="3439" spans="1:11" x14ac:dyDescent="0.25">
      <c r="A3439">
        <v>3438</v>
      </c>
      <c r="B3439" s="23">
        <v>0</v>
      </c>
      <c r="C3439" s="23">
        <v>0</v>
      </c>
      <c r="D3439" s="23">
        <v>0</v>
      </c>
      <c r="E3439" s="23">
        <v>0</v>
      </c>
      <c r="F3439" s="23">
        <v>0</v>
      </c>
      <c r="G3439" s="23">
        <v>0</v>
      </c>
      <c r="H3439" s="23">
        <v>0</v>
      </c>
      <c r="I3439" s="23">
        <v>0</v>
      </c>
      <c r="J3439" s="23">
        <v>0</v>
      </c>
      <c r="K3439" s="23">
        <v>0</v>
      </c>
    </row>
    <row r="3440" spans="1:11" x14ac:dyDescent="0.25">
      <c r="A3440">
        <v>3439</v>
      </c>
      <c r="B3440" s="23">
        <v>1362.2819999999999</v>
      </c>
      <c r="C3440" s="23">
        <v>130.56</v>
      </c>
      <c r="D3440" s="23">
        <v>407.01499999999999</v>
      </c>
      <c r="E3440" s="23">
        <v>407.01499999999999</v>
      </c>
      <c r="F3440" s="23">
        <v>0</v>
      </c>
      <c r="G3440" s="23">
        <v>0</v>
      </c>
      <c r="H3440" s="23">
        <v>0</v>
      </c>
      <c r="I3440" s="23">
        <v>0</v>
      </c>
      <c r="J3440" s="23">
        <v>0</v>
      </c>
      <c r="K3440" s="23">
        <v>955.26700000000005</v>
      </c>
    </row>
    <row r="3441" spans="1:11" x14ac:dyDescent="0.25">
      <c r="A3441">
        <v>3440</v>
      </c>
      <c r="B3441" s="23">
        <v>1064.3389999999999</v>
      </c>
      <c r="C3441" s="23">
        <v>351.77</v>
      </c>
      <c r="D3441" s="23">
        <v>1372.4290000000001</v>
      </c>
      <c r="E3441" s="23">
        <v>1064.3389999999999</v>
      </c>
      <c r="F3441" s="23">
        <v>-308.08999999999997</v>
      </c>
      <c r="G3441" s="23">
        <v>0</v>
      </c>
      <c r="H3441" s="23">
        <v>0</v>
      </c>
      <c r="I3441" s="23">
        <v>0</v>
      </c>
      <c r="J3441" s="23">
        <v>0</v>
      </c>
      <c r="K3441" s="23">
        <v>0</v>
      </c>
    </row>
    <row r="3442" spans="1:11" x14ac:dyDescent="0.25">
      <c r="A3442">
        <v>3441</v>
      </c>
      <c r="B3442" s="23">
        <v>1658.9659999999999</v>
      </c>
      <c r="C3442" s="23">
        <v>571.84</v>
      </c>
      <c r="D3442" s="23">
        <v>2258.9659999999999</v>
      </c>
      <c r="E3442" s="23">
        <v>1658.9659999999999</v>
      </c>
      <c r="F3442" s="23">
        <v>-600</v>
      </c>
      <c r="G3442" s="23">
        <v>0</v>
      </c>
      <c r="H3442" s="23">
        <v>0</v>
      </c>
      <c r="I3442" s="23">
        <v>0</v>
      </c>
      <c r="J3442" s="23">
        <v>0</v>
      </c>
      <c r="K3442" s="23">
        <v>0</v>
      </c>
    </row>
    <row r="3443" spans="1:11" x14ac:dyDescent="0.25">
      <c r="A3443">
        <v>3442</v>
      </c>
      <c r="B3443" s="23">
        <v>1820.422</v>
      </c>
      <c r="C3443" s="23">
        <v>753.64</v>
      </c>
      <c r="D3443" s="23">
        <v>2900.92</v>
      </c>
      <c r="E3443" s="23">
        <v>1820.422</v>
      </c>
      <c r="F3443" s="23">
        <v>-1080.498</v>
      </c>
      <c r="G3443" s="23">
        <v>0</v>
      </c>
      <c r="H3443" s="23">
        <v>0</v>
      </c>
      <c r="I3443" s="23">
        <v>0</v>
      </c>
      <c r="J3443" s="23">
        <v>0</v>
      </c>
      <c r="K3443" s="23">
        <v>0</v>
      </c>
    </row>
    <row r="3444" spans="1:11" x14ac:dyDescent="0.25">
      <c r="A3444">
        <v>3443</v>
      </c>
      <c r="B3444" s="23">
        <v>1766.4380000000001</v>
      </c>
      <c r="C3444" s="23">
        <v>872.89</v>
      </c>
      <c r="D3444" s="23">
        <v>3295.2020000000002</v>
      </c>
      <c r="E3444" s="23">
        <v>1766.4380000000001</v>
      </c>
      <c r="F3444" s="23">
        <v>-1528.7639999999999</v>
      </c>
      <c r="G3444" s="23">
        <v>0</v>
      </c>
      <c r="H3444" s="23">
        <v>0</v>
      </c>
      <c r="I3444" s="23">
        <v>0</v>
      </c>
      <c r="J3444" s="23">
        <v>0</v>
      </c>
      <c r="K3444" s="23">
        <v>0</v>
      </c>
    </row>
    <row r="3445" spans="1:11" x14ac:dyDescent="0.25">
      <c r="A3445">
        <v>3444</v>
      </c>
      <c r="B3445" s="23">
        <v>1632.8620000000001</v>
      </c>
      <c r="C3445" s="23">
        <v>931.33</v>
      </c>
      <c r="D3445" s="23">
        <v>3483.665</v>
      </c>
      <c r="E3445" s="23">
        <v>1632.8630000000001</v>
      </c>
      <c r="F3445" s="23">
        <v>-1684.559</v>
      </c>
      <c r="G3445" s="23">
        <v>0</v>
      </c>
      <c r="H3445" s="23">
        <v>166.24299999999999</v>
      </c>
      <c r="I3445" s="23">
        <v>0</v>
      </c>
      <c r="J3445" s="23">
        <v>0</v>
      </c>
      <c r="K3445" s="23">
        <v>0</v>
      </c>
    </row>
    <row r="3446" spans="1:11" x14ac:dyDescent="0.25">
      <c r="A3446">
        <v>3445</v>
      </c>
      <c r="B3446" s="23">
        <v>1633.953</v>
      </c>
      <c r="C3446" s="23">
        <v>702.82</v>
      </c>
      <c r="D3446" s="23">
        <v>2626.4789999999998</v>
      </c>
      <c r="E3446" s="23">
        <v>1633.953</v>
      </c>
      <c r="F3446" s="23">
        <v>-992.52599999999995</v>
      </c>
      <c r="G3446" s="23">
        <v>0</v>
      </c>
      <c r="H3446" s="23">
        <v>0</v>
      </c>
      <c r="I3446" s="23">
        <v>0</v>
      </c>
      <c r="J3446" s="23">
        <v>0</v>
      </c>
      <c r="K3446" s="23">
        <v>0</v>
      </c>
    </row>
    <row r="3447" spans="1:11" x14ac:dyDescent="0.25">
      <c r="A3447">
        <v>3446</v>
      </c>
      <c r="B3447" s="23">
        <v>1730.896</v>
      </c>
      <c r="C3447" s="23">
        <v>652.58000000000004</v>
      </c>
      <c r="D3447" s="23">
        <v>2458.9119999999998</v>
      </c>
      <c r="E3447" s="23">
        <v>1730.896</v>
      </c>
      <c r="F3447" s="23">
        <v>-728.01599999999996</v>
      </c>
      <c r="G3447" s="23">
        <v>0</v>
      </c>
      <c r="H3447" s="23">
        <v>0</v>
      </c>
      <c r="I3447" s="23">
        <v>0</v>
      </c>
      <c r="J3447" s="23">
        <v>0</v>
      </c>
      <c r="K3447" s="23">
        <v>0</v>
      </c>
    </row>
    <row r="3448" spans="1:11" x14ac:dyDescent="0.25">
      <c r="A3448">
        <v>3447</v>
      </c>
      <c r="B3448" s="23">
        <v>1836.7670000000001</v>
      </c>
      <c r="C3448" s="23">
        <v>606.71</v>
      </c>
      <c r="D3448" s="23">
        <v>2320.7130000000002</v>
      </c>
      <c r="E3448" s="23">
        <v>1836.7670000000001</v>
      </c>
      <c r="F3448" s="23">
        <v>-369.04500000000002</v>
      </c>
      <c r="G3448" s="23">
        <v>0</v>
      </c>
      <c r="H3448" s="23">
        <v>114.901</v>
      </c>
      <c r="I3448" s="23">
        <v>0</v>
      </c>
      <c r="J3448" s="23">
        <v>0</v>
      </c>
      <c r="K3448" s="23">
        <v>0</v>
      </c>
    </row>
    <row r="3449" spans="1:11" x14ac:dyDescent="0.25">
      <c r="A3449">
        <v>3448</v>
      </c>
      <c r="B3449" s="23">
        <v>1998.0150000000001</v>
      </c>
      <c r="C3449" s="23">
        <v>357.52</v>
      </c>
      <c r="D3449" s="23">
        <v>1391.5519999999999</v>
      </c>
      <c r="E3449" s="23">
        <v>1391.5519999999999</v>
      </c>
      <c r="F3449" s="23">
        <v>0</v>
      </c>
      <c r="G3449" s="23">
        <v>0</v>
      </c>
      <c r="H3449" s="23">
        <v>0</v>
      </c>
      <c r="I3449" s="23">
        <v>606.46299999999997</v>
      </c>
      <c r="J3449" s="23">
        <v>0</v>
      </c>
      <c r="K3449" s="23">
        <v>0</v>
      </c>
    </row>
    <row r="3450" spans="1:11" x14ac:dyDescent="0.25">
      <c r="A3450">
        <v>3449</v>
      </c>
      <c r="B3450" s="23">
        <v>1627.268</v>
      </c>
      <c r="C3450" s="23">
        <v>34.299999999999997</v>
      </c>
      <c r="D3450" s="23">
        <v>108.538</v>
      </c>
      <c r="E3450" s="23">
        <v>108.538</v>
      </c>
      <c r="F3450" s="23">
        <v>0</v>
      </c>
      <c r="G3450" s="23">
        <v>0</v>
      </c>
      <c r="H3450" s="23">
        <v>0</v>
      </c>
      <c r="I3450" s="23">
        <v>1518.73</v>
      </c>
      <c r="J3450" s="23">
        <v>0</v>
      </c>
      <c r="K3450" s="23">
        <v>0</v>
      </c>
    </row>
    <row r="3451" spans="1:11" x14ac:dyDescent="0.25">
      <c r="A3451">
        <v>3450</v>
      </c>
      <c r="B3451" s="23">
        <v>1652.6849999999999</v>
      </c>
      <c r="C3451" s="23">
        <v>64.25</v>
      </c>
      <c r="D3451" s="23">
        <v>206.53700000000001</v>
      </c>
      <c r="E3451" s="23">
        <v>206.53700000000001</v>
      </c>
      <c r="F3451" s="23">
        <v>0</v>
      </c>
      <c r="G3451" s="23">
        <v>0</v>
      </c>
      <c r="H3451" s="23">
        <v>0</v>
      </c>
      <c r="I3451" s="23">
        <v>0</v>
      </c>
      <c r="J3451" s="23">
        <v>0</v>
      </c>
      <c r="K3451" s="23">
        <v>1446.1479999999999</v>
      </c>
    </row>
    <row r="3452" spans="1:11" x14ac:dyDescent="0.25">
      <c r="A3452">
        <v>3451</v>
      </c>
      <c r="B3452" s="23">
        <v>1494.002</v>
      </c>
      <c r="C3452" s="23">
        <v>0</v>
      </c>
      <c r="D3452" s="23">
        <v>0</v>
      </c>
      <c r="E3452" s="23">
        <v>0</v>
      </c>
      <c r="F3452" s="23">
        <v>0</v>
      </c>
      <c r="G3452" s="23">
        <v>0</v>
      </c>
      <c r="H3452" s="23">
        <v>0</v>
      </c>
      <c r="I3452" s="23">
        <v>0</v>
      </c>
      <c r="J3452" s="23">
        <v>0</v>
      </c>
      <c r="K3452" s="23">
        <v>1494.002</v>
      </c>
    </row>
    <row r="3453" spans="1:11" x14ac:dyDescent="0.25">
      <c r="A3453">
        <v>3452</v>
      </c>
      <c r="B3453" s="23">
        <v>1398.4</v>
      </c>
      <c r="C3453" s="23">
        <v>0</v>
      </c>
      <c r="D3453" s="23">
        <v>0</v>
      </c>
      <c r="E3453" s="23">
        <v>0</v>
      </c>
      <c r="F3453" s="23">
        <v>0</v>
      </c>
      <c r="G3453" s="23">
        <v>0</v>
      </c>
      <c r="H3453" s="23">
        <v>0</v>
      </c>
      <c r="I3453" s="23">
        <v>0</v>
      </c>
      <c r="J3453" s="23">
        <v>0</v>
      </c>
      <c r="K3453" s="23">
        <v>1398.4</v>
      </c>
    </row>
    <row r="3454" spans="1:11" x14ac:dyDescent="0.25">
      <c r="A3454">
        <v>3453</v>
      </c>
      <c r="B3454" s="23">
        <v>1210.4000000000001</v>
      </c>
      <c r="C3454" s="23">
        <v>0</v>
      </c>
      <c r="D3454" s="23">
        <v>0</v>
      </c>
      <c r="E3454" s="23">
        <v>0</v>
      </c>
      <c r="F3454" s="23">
        <v>0</v>
      </c>
      <c r="G3454" s="23">
        <v>0</v>
      </c>
      <c r="H3454" s="23">
        <v>0</v>
      </c>
      <c r="I3454" s="23">
        <v>1210.4000000000001</v>
      </c>
      <c r="J3454" s="23">
        <v>0</v>
      </c>
      <c r="K3454" s="23">
        <v>0</v>
      </c>
    </row>
    <row r="3455" spans="1:11" x14ac:dyDescent="0.25">
      <c r="A3455">
        <v>3454</v>
      </c>
      <c r="B3455" s="23">
        <v>1628</v>
      </c>
      <c r="C3455" s="23">
        <v>0</v>
      </c>
      <c r="D3455" s="23">
        <v>0</v>
      </c>
      <c r="E3455" s="23">
        <v>0</v>
      </c>
      <c r="F3455" s="23">
        <v>0</v>
      </c>
      <c r="G3455" s="23">
        <v>0</v>
      </c>
      <c r="H3455" s="23">
        <v>0</v>
      </c>
      <c r="I3455" s="23">
        <v>459.50099999999998</v>
      </c>
      <c r="J3455" s="23">
        <v>0</v>
      </c>
      <c r="K3455" s="23">
        <v>1168.499</v>
      </c>
    </row>
    <row r="3456" spans="1:11" x14ac:dyDescent="0.25">
      <c r="A3456">
        <v>3455</v>
      </c>
      <c r="B3456" s="23">
        <v>1786.4</v>
      </c>
      <c r="C3456" s="23">
        <v>0</v>
      </c>
      <c r="D3456" s="23">
        <v>0</v>
      </c>
      <c r="E3456" s="23">
        <v>0</v>
      </c>
      <c r="F3456" s="23">
        <v>0</v>
      </c>
      <c r="G3456" s="23">
        <v>0</v>
      </c>
      <c r="H3456" s="23">
        <v>0</v>
      </c>
      <c r="I3456" s="23">
        <v>1786.4</v>
      </c>
      <c r="J3456" s="23">
        <v>0</v>
      </c>
      <c r="K3456" s="23">
        <v>0</v>
      </c>
    </row>
    <row r="3457" spans="1:11" x14ac:dyDescent="0.25">
      <c r="A3457">
        <v>3456</v>
      </c>
      <c r="B3457" s="23">
        <v>0</v>
      </c>
      <c r="C3457" s="23">
        <v>0</v>
      </c>
      <c r="D3457" s="23">
        <v>0</v>
      </c>
      <c r="E3457" s="23">
        <v>0</v>
      </c>
      <c r="F3457" s="23">
        <v>0</v>
      </c>
      <c r="G3457" s="23">
        <v>0</v>
      </c>
      <c r="H3457" s="23">
        <v>0</v>
      </c>
      <c r="I3457" s="23">
        <v>0</v>
      </c>
      <c r="J3457" s="23">
        <v>0</v>
      </c>
      <c r="K3457" s="23">
        <v>0</v>
      </c>
    </row>
    <row r="3458" spans="1:11" x14ac:dyDescent="0.25">
      <c r="A3458">
        <v>3457</v>
      </c>
      <c r="B3458" s="23">
        <v>0</v>
      </c>
      <c r="C3458" s="23">
        <v>0</v>
      </c>
      <c r="D3458" s="23">
        <v>0</v>
      </c>
      <c r="E3458" s="23">
        <v>0</v>
      </c>
      <c r="F3458" s="23">
        <v>0</v>
      </c>
      <c r="G3458" s="23">
        <v>0</v>
      </c>
      <c r="H3458" s="23">
        <v>0</v>
      </c>
      <c r="I3458" s="23">
        <v>0</v>
      </c>
      <c r="J3458" s="23">
        <v>0</v>
      </c>
      <c r="K3458" s="23">
        <v>0</v>
      </c>
    </row>
    <row r="3459" spans="1:11" x14ac:dyDescent="0.25">
      <c r="A3459">
        <v>3458</v>
      </c>
      <c r="B3459" s="23">
        <v>0</v>
      </c>
      <c r="C3459" s="23">
        <v>0</v>
      </c>
      <c r="D3459" s="23">
        <v>0</v>
      </c>
      <c r="E3459" s="23">
        <v>0</v>
      </c>
      <c r="F3459" s="23">
        <v>0</v>
      </c>
      <c r="G3459" s="23">
        <v>0</v>
      </c>
      <c r="H3459" s="23">
        <v>0</v>
      </c>
      <c r="I3459" s="23">
        <v>0</v>
      </c>
      <c r="J3459" s="23">
        <v>0</v>
      </c>
      <c r="K3459" s="23">
        <v>0</v>
      </c>
    </row>
    <row r="3460" spans="1:11" x14ac:dyDescent="0.25">
      <c r="A3460">
        <v>3459</v>
      </c>
      <c r="B3460" s="23">
        <v>0</v>
      </c>
      <c r="C3460" s="23">
        <v>0</v>
      </c>
      <c r="D3460" s="23">
        <v>0</v>
      </c>
      <c r="E3460" s="23">
        <v>0</v>
      </c>
      <c r="F3460" s="23">
        <v>0</v>
      </c>
      <c r="G3460" s="23">
        <v>0</v>
      </c>
      <c r="H3460" s="23">
        <v>0</v>
      </c>
      <c r="I3460" s="23">
        <v>0</v>
      </c>
      <c r="J3460" s="23">
        <v>0</v>
      </c>
      <c r="K3460" s="23">
        <v>0</v>
      </c>
    </row>
    <row r="3461" spans="1:11" x14ac:dyDescent="0.25">
      <c r="A3461">
        <v>3460</v>
      </c>
      <c r="B3461" s="23">
        <v>0</v>
      </c>
      <c r="C3461" s="23">
        <v>0</v>
      </c>
      <c r="D3461" s="23">
        <v>0</v>
      </c>
      <c r="E3461" s="23">
        <v>0</v>
      </c>
      <c r="F3461" s="23">
        <v>0</v>
      </c>
      <c r="G3461" s="23">
        <v>0</v>
      </c>
      <c r="H3461" s="23">
        <v>0</v>
      </c>
      <c r="I3461" s="23">
        <v>0</v>
      </c>
      <c r="J3461" s="23">
        <v>0</v>
      </c>
      <c r="K3461" s="23">
        <v>0</v>
      </c>
    </row>
    <row r="3462" spans="1:11" x14ac:dyDescent="0.25">
      <c r="A3462">
        <v>3461</v>
      </c>
      <c r="B3462" s="23">
        <v>0</v>
      </c>
      <c r="C3462" s="23">
        <v>0</v>
      </c>
      <c r="D3462" s="23">
        <v>0</v>
      </c>
      <c r="E3462" s="23">
        <v>0</v>
      </c>
      <c r="F3462" s="23">
        <v>0</v>
      </c>
      <c r="G3462" s="23">
        <v>0</v>
      </c>
      <c r="H3462" s="23">
        <v>0</v>
      </c>
      <c r="I3462" s="23">
        <v>0</v>
      </c>
      <c r="J3462" s="23">
        <v>0</v>
      </c>
      <c r="K3462" s="23">
        <v>0</v>
      </c>
    </row>
    <row r="3463" spans="1:11" x14ac:dyDescent="0.25">
      <c r="A3463">
        <v>3462</v>
      </c>
      <c r="B3463" s="23">
        <v>0</v>
      </c>
      <c r="C3463" s="23">
        <v>0</v>
      </c>
      <c r="D3463" s="23">
        <v>0</v>
      </c>
      <c r="E3463" s="23">
        <v>0</v>
      </c>
      <c r="F3463" s="23">
        <v>0</v>
      </c>
      <c r="G3463" s="23">
        <v>0</v>
      </c>
      <c r="H3463" s="23">
        <v>0</v>
      </c>
      <c r="I3463" s="23">
        <v>0</v>
      </c>
      <c r="J3463" s="23">
        <v>0</v>
      </c>
      <c r="K3463" s="23">
        <v>0</v>
      </c>
    </row>
    <row r="3464" spans="1:11" x14ac:dyDescent="0.25">
      <c r="A3464">
        <v>3463</v>
      </c>
      <c r="B3464" s="23">
        <v>1177.5540000000001</v>
      </c>
      <c r="C3464" s="23">
        <v>105.62</v>
      </c>
      <c r="D3464" s="23">
        <v>383.48500000000001</v>
      </c>
      <c r="E3464" s="23">
        <v>383.48500000000001</v>
      </c>
      <c r="F3464" s="23">
        <v>0</v>
      </c>
      <c r="G3464" s="23">
        <v>0</v>
      </c>
      <c r="H3464" s="23">
        <v>0</v>
      </c>
      <c r="I3464" s="23">
        <v>0</v>
      </c>
      <c r="J3464" s="23">
        <v>0</v>
      </c>
      <c r="K3464" s="23">
        <v>794.06899999999996</v>
      </c>
    </row>
    <row r="3465" spans="1:11" x14ac:dyDescent="0.25">
      <c r="A3465">
        <v>3464</v>
      </c>
      <c r="B3465" s="23">
        <v>1356.489</v>
      </c>
      <c r="C3465" s="23">
        <v>281.72000000000003</v>
      </c>
      <c r="D3465" s="23">
        <v>1105.7570000000001</v>
      </c>
      <c r="E3465" s="23">
        <v>1105.7570000000001</v>
      </c>
      <c r="F3465" s="23">
        <v>0</v>
      </c>
      <c r="G3465" s="23">
        <v>0</v>
      </c>
      <c r="H3465" s="23">
        <v>0</v>
      </c>
      <c r="I3465" s="23">
        <v>0</v>
      </c>
      <c r="J3465" s="23">
        <v>0</v>
      </c>
      <c r="K3465" s="23">
        <v>250.732</v>
      </c>
    </row>
    <row r="3466" spans="1:11" x14ac:dyDescent="0.25">
      <c r="A3466">
        <v>3465</v>
      </c>
      <c r="B3466" s="23">
        <v>1166.4259999999999</v>
      </c>
      <c r="C3466" s="23">
        <v>452.56</v>
      </c>
      <c r="D3466" s="23">
        <v>1757.49</v>
      </c>
      <c r="E3466" s="23">
        <v>1166.4259999999999</v>
      </c>
      <c r="F3466" s="23">
        <v>-591.06399999999996</v>
      </c>
      <c r="G3466" s="23">
        <v>0</v>
      </c>
      <c r="H3466" s="23">
        <v>0</v>
      </c>
      <c r="I3466" s="23">
        <v>0</v>
      </c>
      <c r="J3466" s="23">
        <v>0</v>
      </c>
      <c r="K3466" s="23">
        <v>0</v>
      </c>
    </row>
    <row r="3467" spans="1:11" x14ac:dyDescent="0.25">
      <c r="A3467">
        <v>3466</v>
      </c>
      <c r="B3467" s="23">
        <v>975.26800000000003</v>
      </c>
      <c r="C3467" s="23">
        <v>618.9</v>
      </c>
      <c r="D3467" s="23">
        <v>2349.0880000000002</v>
      </c>
      <c r="E3467" s="23">
        <v>975.26800000000003</v>
      </c>
      <c r="F3467" s="23">
        <v>-1373.82</v>
      </c>
      <c r="G3467" s="23">
        <v>0</v>
      </c>
      <c r="H3467" s="23">
        <v>0</v>
      </c>
      <c r="I3467" s="23">
        <v>0</v>
      </c>
      <c r="J3467" s="23">
        <v>0</v>
      </c>
      <c r="K3467" s="23">
        <v>0</v>
      </c>
    </row>
    <row r="3468" spans="1:11" x14ac:dyDescent="0.25">
      <c r="A3468">
        <v>3467</v>
      </c>
      <c r="B3468" s="23">
        <v>1314.143</v>
      </c>
      <c r="C3468" s="23">
        <v>688.36</v>
      </c>
      <c r="D3468" s="23">
        <v>2573.9229999999998</v>
      </c>
      <c r="E3468" s="23">
        <v>1314.143</v>
      </c>
      <c r="F3468" s="23">
        <v>-1259.78</v>
      </c>
      <c r="G3468" s="23">
        <v>0</v>
      </c>
      <c r="H3468" s="23">
        <v>0</v>
      </c>
      <c r="I3468" s="23">
        <v>0</v>
      </c>
      <c r="J3468" s="23">
        <v>0</v>
      </c>
      <c r="K3468" s="23">
        <v>0</v>
      </c>
    </row>
    <row r="3469" spans="1:11" x14ac:dyDescent="0.25">
      <c r="A3469">
        <v>3468</v>
      </c>
      <c r="B3469" s="23">
        <v>1169.049</v>
      </c>
      <c r="C3469" s="23">
        <v>785.92</v>
      </c>
      <c r="D3469" s="23">
        <v>2908.7159999999999</v>
      </c>
      <c r="E3469" s="23">
        <v>1169.05</v>
      </c>
      <c r="F3469" s="23">
        <v>-1684.559</v>
      </c>
      <c r="G3469" s="23">
        <v>0</v>
      </c>
      <c r="H3469" s="23">
        <v>55.106999999999999</v>
      </c>
      <c r="I3469" s="23">
        <v>0</v>
      </c>
      <c r="J3469" s="23">
        <v>0</v>
      </c>
      <c r="K3469" s="23">
        <v>0</v>
      </c>
    </row>
    <row r="3470" spans="1:11" x14ac:dyDescent="0.25">
      <c r="A3470">
        <v>3469</v>
      </c>
      <c r="B3470" s="23">
        <v>1078.088</v>
      </c>
      <c r="C3470" s="23">
        <v>918.95</v>
      </c>
      <c r="D3470" s="23">
        <v>3420.4929999999999</v>
      </c>
      <c r="E3470" s="23">
        <v>1078.0889999999999</v>
      </c>
      <c r="F3470" s="23">
        <v>-1684.559</v>
      </c>
      <c r="G3470" s="23">
        <v>0</v>
      </c>
      <c r="H3470" s="23">
        <v>657.84500000000003</v>
      </c>
      <c r="I3470" s="23">
        <v>0</v>
      </c>
      <c r="J3470" s="23">
        <v>0</v>
      </c>
      <c r="K3470" s="23">
        <v>0</v>
      </c>
    </row>
    <row r="3471" spans="1:11" x14ac:dyDescent="0.25">
      <c r="A3471">
        <v>3470</v>
      </c>
      <c r="B3471" s="23">
        <v>944.39700000000005</v>
      </c>
      <c r="C3471" s="23">
        <v>650.53</v>
      </c>
      <c r="D3471" s="23">
        <v>2438.1410000000001</v>
      </c>
      <c r="E3471" s="23">
        <v>944.39800000000002</v>
      </c>
      <c r="F3471" s="23">
        <v>-697.71600000000001</v>
      </c>
      <c r="G3471" s="23">
        <v>0</v>
      </c>
      <c r="H3471" s="23">
        <v>796.02700000000004</v>
      </c>
      <c r="I3471" s="23">
        <v>0</v>
      </c>
      <c r="J3471" s="23">
        <v>0</v>
      </c>
      <c r="K3471" s="23">
        <v>0</v>
      </c>
    </row>
    <row r="3472" spans="1:11" x14ac:dyDescent="0.25">
      <c r="A3472">
        <v>3471</v>
      </c>
      <c r="B3472" s="23">
        <v>1126.43</v>
      </c>
      <c r="C3472" s="23">
        <v>545.79</v>
      </c>
      <c r="D3472" s="23">
        <v>2075.83</v>
      </c>
      <c r="E3472" s="23">
        <v>1126.43</v>
      </c>
      <c r="F3472" s="23">
        <v>0</v>
      </c>
      <c r="G3472" s="23">
        <v>0</v>
      </c>
      <c r="H3472" s="23">
        <v>949.4</v>
      </c>
      <c r="I3472" s="23">
        <v>0</v>
      </c>
      <c r="J3472" s="23">
        <v>0</v>
      </c>
      <c r="K3472" s="23">
        <v>0</v>
      </c>
    </row>
    <row r="3473" spans="1:11" x14ac:dyDescent="0.25">
      <c r="A3473">
        <v>3472</v>
      </c>
      <c r="B3473" s="23">
        <v>898.15499999999997</v>
      </c>
      <c r="C3473" s="23">
        <v>211.71</v>
      </c>
      <c r="D3473" s="23">
        <v>808.75699999999995</v>
      </c>
      <c r="E3473" s="23">
        <v>808.75699999999995</v>
      </c>
      <c r="F3473" s="23">
        <v>0</v>
      </c>
      <c r="G3473" s="23">
        <v>0</v>
      </c>
      <c r="H3473" s="23">
        <v>0</v>
      </c>
      <c r="I3473" s="23">
        <v>89.397999999999996</v>
      </c>
      <c r="J3473" s="23">
        <v>0</v>
      </c>
      <c r="K3473" s="23">
        <v>0</v>
      </c>
    </row>
    <row r="3474" spans="1:11" x14ac:dyDescent="0.25">
      <c r="A3474">
        <v>3473</v>
      </c>
      <c r="B3474" s="23">
        <v>1152.652</v>
      </c>
      <c r="C3474" s="23">
        <v>84.9</v>
      </c>
      <c r="D3474" s="23">
        <v>308.2</v>
      </c>
      <c r="E3474" s="23">
        <v>308.2</v>
      </c>
      <c r="F3474" s="23">
        <v>0</v>
      </c>
      <c r="G3474" s="23">
        <v>0</v>
      </c>
      <c r="H3474" s="23">
        <v>0</v>
      </c>
      <c r="I3474" s="23">
        <v>495.464</v>
      </c>
      <c r="J3474" s="23">
        <v>0</v>
      </c>
      <c r="K3474" s="23">
        <v>348.98899999999998</v>
      </c>
    </row>
    <row r="3475" spans="1:11" x14ac:dyDescent="0.25">
      <c r="A3475">
        <v>3474</v>
      </c>
      <c r="B3475" s="23">
        <v>869.48699999999997</v>
      </c>
      <c r="C3475" s="23">
        <v>11.75</v>
      </c>
      <c r="D3475" s="23">
        <v>20.347999999999999</v>
      </c>
      <c r="E3475" s="23">
        <v>20.347999999999999</v>
      </c>
      <c r="F3475" s="23">
        <v>0</v>
      </c>
      <c r="G3475" s="23">
        <v>0</v>
      </c>
      <c r="H3475" s="23">
        <v>0</v>
      </c>
      <c r="I3475" s="23">
        <v>0</v>
      </c>
      <c r="J3475" s="23">
        <v>0</v>
      </c>
      <c r="K3475" s="23">
        <v>849.13900000000001</v>
      </c>
    </row>
    <row r="3476" spans="1:11" x14ac:dyDescent="0.25">
      <c r="A3476">
        <v>3475</v>
      </c>
      <c r="B3476" s="23">
        <v>1185.808</v>
      </c>
      <c r="C3476" s="23">
        <v>0</v>
      </c>
      <c r="D3476" s="23">
        <v>0</v>
      </c>
      <c r="E3476" s="23">
        <v>0</v>
      </c>
      <c r="F3476" s="23">
        <v>0</v>
      </c>
      <c r="G3476" s="23">
        <v>0</v>
      </c>
      <c r="H3476" s="23">
        <v>0</v>
      </c>
      <c r="I3476" s="23">
        <v>0</v>
      </c>
      <c r="J3476" s="23">
        <v>0</v>
      </c>
      <c r="K3476" s="23">
        <v>1185.808</v>
      </c>
    </row>
    <row r="3477" spans="1:11" x14ac:dyDescent="0.25">
      <c r="A3477">
        <v>3476</v>
      </c>
      <c r="B3477" s="23">
        <v>980.8</v>
      </c>
      <c r="C3477" s="23">
        <v>0</v>
      </c>
      <c r="D3477" s="23">
        <v>0</v>
      </c>
      <c r="E3477" s="23">
        <v>0</v>
      </c>
      <c r="F3477" s="23">
        <v>0</v>
      </c>
      <c r="G3477" s="23">
        <v>0</v>
      </c>
      <c r="H3477" s="23">
        <v>0</v>
      </c>
      <c r="I3477" s="23">
        <v>0</v>
      </c>
      <c r="J3477" s="23">
        <v>0</v>
      </c>
      <c r="K3477" s="23">
        <v>980.8</v>
      </c>
    </row>
    <row r="3478" spans="1:11" x14ac:dyDescent="0.25">
      <c r="A3478">
        <v>3477</v>
      </c>
      <c r="B3478" s="23">
        <v>808.8</v>
      </c>
      <c r="C3478" s="23">
        <v>0</v>
      </c>
      <c r="D3478" s="23">
        <v>0</v>
      </c>
      <c r="E3478" s="23">
        <v>0</v>
      </c>
      <c r="F3478" s="23">
        <v>0</v>
      </c>
      <c r="G3478" s="23">
        <v>0</v>
      </c>
      <c r="H3478" s="23">
        <v>0</v>
      </c>
      <c r="I3478" s="23">
        <v>0</v>
      </c>
      <c r="J3478" s="23">
        <v>0</v>
      </c>
      <c r="K3478" s="23">
        <v>808.8</v>
      </c>
    </row>
    <row r="3479" spans="1:11" x14ac:dyDescent="0.25">
      <c r="A3479">
        <v>3478</v>
      </c>
      <c r="B3479" s="23">
        <v>850.4</v>
      </c>
      <c r="C3479" s="23">
        <v>0</v>
      </c>
      <c r="D3479" s="23">
        <v>0</v>
      </c>
      <c r="E3479" s="23">
        <v>0</v>
      </c>
      <c r="F3479" s="23">
        <v>0</v>
      </c>
      <c r="G3479" s="23">
        <v>0</v>
      </c>
      <c r="H3479" s="23">
        <v>0</v>
      </c>
      <c r="I3479" s="23">
        <v>0</v>
      </c>
      <c r="J3479" s="23">
        <v>0</v>
      </c>
      <c r="K3479" s="23">
        <v>850.4</v>
      </c>
    </row>
    <row r="3480" spans="1:11" x14ac:dyDescent="0.25">
      <c r="A3480">
        <v>3479</v>
      </c>
      <c r="B3480" s="23">
        <v>840</v>
      </c>
      <c r="C3480" s="23">
        <v>0</v>
      </c>
      <c r="D3480" s="23">
        <v>0</v>
      </c>
      <c r="E3480" s="23">
        <v>0</v>
      </c>
      <c r="F3480" s="23">
        <v>0</v>
      </c>
      <c r="G3480" s="23">
        <v>0</v>
      </c>
      <c r="H3480" s="23">
        <v>0</v>
      </c>
      <c r="I3480" s="23">
        <v>0</v>
      </c>
      <c r="J3480" s="23">
        <v>0</v>
      </c>
      <c r="K3480" s="23">
        <v>840</v>
      </c>
    </row>
    <row r="3481" spans="1:11" x14ac:dyDescent="0.25">
      <c r="A3481">
        <v>3480</v>
      </c>
      <c r="B3481" s="23">
        <v>0</v>
      </c>
      <c r="C3481" s="23">
        <v>0</v>
      </c>
      <c r="D3481" s="23">
        <v>0</v>
      </c>
      <c r="E3481" s="23">
        <v>0</v>
      </c>
      <c r="F3481" s="23">
        <v>0</v>
      </c>
      <c r="G3481" s="23">
        <v>0</v>
      </c>
      <c r="H3481" s="23">
        <v>0</v>
      </c>
      <c r="I3481" s="23">
        <v>0</v>
      </c>
      <c r="J3481" s="23">
        <v>0</v>
      </c>
      <c r="K3481" s="23">
        <v>0</v>
      </c>
    </row>
    <row r="3482" spans="1:11" x14ac:dyDescent="0.25">
      <c r="A3482">
        <v>3481</v>
      </c>
      <c r="B3482" s="23">
        <v>0</v>
      </c>
      <c r="C3482" s="23">
        <v>0</v>
      </c>
      <c r="D3482" s="23">
        <v>0</v>
      </c>
      <c r="E3482" s="23">
        <v>0</v>
      </c>
      <c r="F3482" s="23">
        <v>0</v>
      </c>
      <c r="G3482" s="23">
        <v>0</v>
      </c>
      <c r="H3482" s="23">
        <v>0</v>
      </c>
      <c r="I3482" s="23">
        <v>0</v>
      </c>
      <c r="J3482" s="23">
        <v>0</v>
      </c>
      <c r="K3482" s="23">
        <v>0</v>
      </c>
    </row>
    <row r="3483" spans="1:11" x14ac:dyDescent="0.25">
      <c r="A3483">
        <v>3482</v>
      </c>
      <c r="B3483" s="23">
        <v>0</v>
      </c>
      <c r="C3483" s="23">
        <v>0</v>
      </c>
      <c r="D3483" s="23">
        <v>0</v>
      </c>
      <c r="E3483" s="23">
        <v>0</v>
      </c>
      <c r="F3483" s="23">
        <v>0</v>
      </c>
      <c r="G3483" s="23">
        <v>0</v>
      </c>
      <c r="H3483" s="23">
        <v>0</v>
      </c>
      <c r="I3483" s="23">
        <v>0</v>
      </c>
      <c r="J3483" s="23">
        <v>0</v>
      </c>
      <c r="K3483" s="23">
        <v>0</v>
      </c>
    </row>
    <row r="3484" spans="1:11" x14ac:dyDescent="0.25">
      <c r="A3484">
        <v>3483</v>
      </c>
      <c r="B3484" s="23">
        <v>0</v>
      </c>
      <c r="C3484" s="23">
        <v>0</v>
      </c>
      <c r="D3484" s="23">
        <v>0</v>
      </c>
      <c r="E3484" s="23">
        <v>0</v>
      </c>
      <c r="F3484" s="23">
        <v>0</v>
      </c>
      <c r="G3484" s="23">
        <v>0</v>
      </c>
      <c r="H3484" s="23">
        <v>0</v>
      </c>
      <c r="I3484" s="23">
        <v>0</v>
      </c>
      <c r="J3484" s="23">
        <v>0</v>
      </c>
      <c r="K3484" s="23">
        <v>0</v>
      </c>
    </row>
    <row r="3485" spans="1:11" x14ac:dyDescent="0.25">
      <c r="A3485">
        <v>3484</v>
      </c>
      <c r="B3485" s="23">
        <v>0</v>
      </c>
      <c r="C3485" s="23">
        <v>0</v>
      </c>
      <c r="D3485" s="23">
        <v>0</v>
      </c>
      <c r="E3485" s="23">
        <v>0</v>
      </c>
      <c r="F3485" s="23">
        <v>0</v>
      </c>
      <c r="G3485" s="23">
        <v>0</v>
      </c>
      <c r="H3485" s="23">
        <v>0</v>
      </c>
      <c r="I3485" s="23">
        <v>0</v>
      </c>
      <c r="J3485" s="23">
        <v>0</v>
      </c>
      <c r="K3485" s="23">
        <v>0</v>
      </c>
    </row>
    <row r="3486" spans="1:11" x14ac:dyDescent="0.25">
      <c r="A3486">
        <v>3485</v>
      </c>
      <c r="B3486" s="23">
        <v>0</v>
      </c>
      <c r="C3486" s="23">
        <v>0</v>
      </c>
      <c r="D3486" s="23">
        <v>0</v>
      </c>
      <c r="E3486" s="23">
        <v>0</v>
      </c>
      <c r="F3486" s="23">
        <v>0</v>
      </c>
      <c r="G3486" s="23">
        <v>0</v>
      </c>
      <c r="H3486" s="23">
        <v>0</v>
      </c>
      <c r="I3486" s="23">
        <v>0</v>
      </c>
      <c r="J3486" s="23">
        <v>0</v>
      </c>
      <c r="K3486" s="23">
        <v>0</v>
      </c>
    </row>
    <row r="3487" spans="1:11" x14ac:dyDescent="0.25">
      <c r="A3487">
        <v>3486</v>
      </c>
      <c r="B3487" s="23">
        <v>0</v>
      </c>
      <c r="C3487" s="23">
        <v>0</v>
      </c>
      <c r="D3487" s="23">
        <v>0</v>
      </c>
      <c r="E3487" s="23">
        <v>0</v>
      </c>
      <c r="F3487" s="23">
        <v>0</v>
      </c>
      <c r="G3487" s="23">
        <v>0</v>
      </c>
      <c r="H3487" s="23">
        <v>0</v>
      </c>
      <c r="I3487" s="23">
        <v>0</v>
      </c>
      <c r="J3487" s="23">
        <v>0</v>
      </c>
      <c r="K3487" s="23">
        <v>0</v>
      </c>
    </row>
    <row r="3488" spans="1:11" x14ac:dyDescent="0.25">
      <c r="A3488">
        <v>3487</v>
      </c>
      <c r="B3488" s="23">
        <v>1097.92</v>
      </c>
      <c r="C3488" s="23">
        <v>127.87</v>
      </c>
      <c r="D3488" s="23">
        <v>410.00599999999997</v>
      </c>
      <c r="E3488" s="23">
        <v>410.00599999999997</v>
      </c>
      <c r="F3488" s="23">
        <v>0</v>
      </c>
      <c r="G3488" s="23">
        <v>0</v>
      </c>
      <c r="H3488" s="23">
        <v>0</v>
      </c>
      <c r="I3488" s="23">
        <v>0</v>
      </c>
      <c r="J3488" s="23">
        <v>0</v>
      </c>
      <c r="K3488" s="23">
        <v>687.91399999999999</v>
      </c>
    </row>
    <row r="3489" spans="1:11" x14ac:dyDescent="0.25">
      <c r="A3489">
        <v>3488</v>
      </c>
      <c r="B3489" s="23">
        <v>961.00099999999998</v>
      </c>
      <c r="C3489" s="23">
        <v>347.38</v>
      </c>
      <c r="D3489" s="23">
        <v>1348.134</v>
      </c>
      <c r="E3489" s="23">
        <v>961.00099999999998</v>
      </c>
      <c r="F3489" s="23">
        <v>-387.13299999999998</v>
      </c>
      <c r="G3489" s="23">
        <v>0</v>
      </c>
      <c r="H3489" s="23">
        <v>0</v>
      </c>
      <c r="I3489" s="23">
        <v>0</v>
      </c>
      <c r="J3489" s="23">
        <v>0</v>
      </c>
      <c r="K3489" s="23">
        <v>0</v>
      </c>
    </row>
    <row r="3490" spans="1:11" x14ac:dyDescent="0.25">
      <c r="A3490">
        <v>3489</v>
      </c>
      <c r="B3490" s="23">
        <v>988.44899999999996</v>
      </c>
      <c r="C3490" s="23">
        <v>564.66</v>
      </c>
      <c r="D3490" s="23">
        <v>2207.0450000000001</v>
      </c>
      <c r="E3490" s="23">
        <v>988.44899999999996</v>
      </c>
      <c r="F3490" s="23">
        <v>-1218.596</v>
      </c>
      <c r="G3490" s="23">
        <v>0</v>
      </c>
      <c r="H3490" s="23">
        <v>0</v>
      </c>
      <c r="I3490" s="23">
        <v>0</v>
      </c>
      <c r="J3490" s="23">
        <v>0</v>
      </c>
      <c r="K3490" s="23">
        <v>0</v>
      </c>
    </row>
    <row r="3491" spans="1:11" x14ac:dyDescent="0.25">
      <c r="A3491">
        <v>3490</v>
      </c>
      <c r="B3491" s="23">
        <v>1114.7660000000001</v>
      </c>
      <c r="C3491" s="23">
        <v>746.76</v>
      </c>
      <c r="D3491" s="23">
        <v>2834.2669999999998</v>
      </c>
      <c r="E3491" s="23">
        <v>1114.7670000000001</v>
      </c>
      <c r="F3491" s="23">
        <v>-1684.559</v>
      </c>
      <c r="G3491" s="23">
        <v>0</v>
      </c>
      <c r="H3491" s="23">
        <v>34.941000000000003</v>
      </c>
      <c r="I3491" s="23">
        <v>0</v>
      </c>
      <c r="J3491" s="23">
        <v>0</v>
      </c>
      <c r="K3491" s="23">
        <v>0</v>
      </c>
    </row>
    <row r="3492" spans="1:11" x14ac:dyDescent="0.25">
      <c r="A3492">
        <v>3491</v>
      </c>
      <c r="B3492" s="23">
        <v>1334.239</v>
      </c>
      <c r="C3492" s="23">
        <v>872.49</v>
      </c>
      <c r="D3492" s="23">
        <v>3240.6410000000001</v>
      </c>
      <c r="E3492" s="23">
        <v>1334.239</v>
      </c>
      <c r="F3492" s="23">
        <v>-1684.559</v>
      </c>
      <c r="G3492" s="23">
        <v>0</v>
      </c>
      <c r="H3492" s="23">
        <v>221.84299999999999</v>
      </c>
      <c r="I3492" s="23">
        <v>0</v>
      </c>
      <c r="J3492" s="23">
        <v>0</v>
      </c>
      <c r="K3492" s="23">
        <v>0</v>
      </c>
    </row>
    <row r="3493" spans="1:11" x14ac:dyDescent="0.25">
      <c r="A3493">
        <v>3492</v>
      </c>
      <c r="B3493" s="23">
        <v>1375.817</v>
      </c>
      <c r="C3493" s="23">
        <v>933.01</v>
      </c>
      <c r="D3493" s="23">
        <v>3435.8870000000002</v>
      </c>
      <c r="E3493" s="23">
        <v>1375.818</v>
      </c>
      <c r="F3493" s="23">
        <v>-1684.559</v>
      </c>
      <c r="G3493" s="23">
        <v>0</v>
      </c>
      <c r="H3493" s="23">
        <v>375.51</v>
      </c>
      <c r="I3493" s="23">
        <v>0</v>
      </c>
      <c r="J3493" s="23">
        <v>0</v>
      </c>
      <c r="K3493" s="23">
        <v>0</v>
      </c>
    </row>
    <row r="3494" spans="1:11" x14ac:dyDescent="0.25">
      <c r="A3494">
        <v>3493</v>
      </c>
      <c r="B3494" s="23">
        <v>1313.7270000000001</v>
      </c>
      <c r="C3494" s="23">
        <v>921.54</v>
      </c>
      <c r="D3494" s="23">
        <v>3399.8760000000002</v>
      </c>
      <c r="E3494" s="23">
        <v>1313.7270000000001</v>
      </c>
      <c r="F3494" s="23">
        <v>-632.09100000000001</v>
      </c>
      <c r="G3494" s="23">
        <v>0</v>
      </c>
      <c r="H3494" s="23">
        <v>1454.058</v>
      </c>
      <c r="I3494" s="23">
        <v>0</v>
      </c>
      <c r="J3494" s="23">
        <v>0</v>
      </c>
      <c r="K3494" s="23">
        <v>0</v>
      </c>
    </row>
    <row r="3495" spans="1:11" x14ac:dyDescent="0.25">
      <c r="A3495">
        <v>3494</v>
      </c>
      <c r="B3495" s="23">
        <v>1220.1199999999999</v>
      </c>
      <c r="C3495" s="23">
        <v>712.38</v>
      </c>
      <c r="D3495" s="23">
        <v>2645.0340000000001</v>
      </c>
      <c r="E3495" s="23">
        <v>1220.1199999999999</v>
      </c>
      <c r="F3495" s="23">
        <v>0</v>
      </c>
      <c r="G3495" s="23">
        <v>0</v>
      </c>
      <c r="H3495" s="23">
        <v>1424.914</v>
      </c>
      <c r="I3495" s="23">
        <v>0</v>
      </c>
      <c r="J3495" s="23">
        <v>0</v>
      </c>
      <c r="K3495" s="23">
        <v>0</v>
      </c>
    </row>
    <row r="3496" spans="1:11" x14ac:dyDescent="0.25">
      <c r="A3496">
        <v>3495</v>
      </c>
      <c r="B3496" s="23">
        <v>1436.12</v>
      </c>
      <c r="C3496" s="23">
        <v>698.58</v>
      </c>
      <c r="D3496" s="23">
        <v>2669.3339999999998</v>
      </c>
      <c r="E3496" s="23">
        <v>1436.12</v>
      </c>
      <c r="F3496" s="23">
        <v>0</v>
      </c>
      <c r="G3496" s="23">
        <v>0</v>
      </c>
      <c r="H3496" s="23">
        <v>1233.2139999999999</v>
      </c>
      <c r="I3496" s="23">
        <v>0</v>
      </c>
      <c r="J3496" s="23">
        <v>0</v>
      </c>
      <c r="K3496" s="23">
        <v>0</v>
      </c>
    </row>
    <row r="3497" spans="1:11" x14ac:dyDescent="0.25">
      <c r="A3497">
        <v>3496</v>
      </c>
      <c r="B3497" s="23">
        <v>1317.2719999999999</v>
      </c>
      <c r="C3497" s="23">
        <v>426.23</v>
      </c>
      <c r="D3497" s="23">
        <v>1646.3430000000001</v>
      </c>
      <c r="E3497" s="23">
        <v>1317.2719999999999</v>
      </c>
      <c r="F3497" s="23">
        <v>0</v>
      </c>
      <c r="G3497" s="23">
        <v>0</v>
      </c>
      <c r="H3497" s="23">
        <v>329.07100000000003</v>
      </c>
      <c r="I3497" s="23">
        <v>0</v>
      </c>
      <c r="J3497" s="23">
        <v>0</v>
      </c>
      <c r="K3497" s="23">
        <v>0</v>
      </c>
    </row>
    <row r="3498" spans="1:11" x14ac:dyDescent="0.25">
      <c r="A3498">
        <v>3497</v>
      </c>
      <c r="B3498" s="23">
        <v>1561.2180000000001</v>
      </c>
      <c r="C3498" s="23">
        <v>278.02999999999997</v>
      </c>
      <c r="D3498" s="23">
        <v>1028.146</v>
      </c>
      <c r="E3498" s="23">
        <v>1028.146</v>
      </c>
      <c r="F3498" s="23">
        <v>0</v>
      </c>
      <c r="G3498" s="23">
        <v>0</v>
      </c>
      <c r="H3498" s="23">
        <v>0</v>
      </c>
      <c r="I3498" s="23">
        <v>469.68799999999999</v>
      </c>
      <c r="J3498" s="23">
        <v>0</v>
      </c>
      <c r="K3498" s="23">
        <v>63.384</v>
      </c>
    </row>
    <row r="3499" spans="1:11" x14ac:dyDescent="0.25">
      <c r="A3499">
        <v>3498</v>
      </c>
      <c r="B3499" s="23">
        <v>1522.874</v>
      </c>
      <c r="C3499" s="23">
        <v>58.68</v>
      </c>
      <c r="D3499" s="23">
        <v>190.95699999999999</v>
      </c>
      <c r="E3499" s="23">
        <v>190.95699999999999</v>
      </c>
      <c r="F3499" s="23">
        <v>0</v>
      </c>
      <c r="G3499" s="23">
        <v>0</v>
      </c>
      <c r="H3499" s="23">
        <v>0</v>
      </c>
      <c r="I3499" s="23">
        <v>0</v>
      </c>
      <c r="J3499" s="23">
        <v>0</v>
      </c>
      <c r="K3499" s="23">
        <v>1331.9169999999999</v>
      </c>
    </row>
    <row r="3500" spans="1:11" x14ac:dyDescent="0.25">
      <c r="A3500">
        <v>3499</v>
      </c>
      <c r="B3500" s="23">
        <v>1531.0129999999999</v>
      </c>
      <c r="C3500" s="23">
        <v>0</v>
      </c>
      <c r="D3500" s="23">
        <v>0</v>
      </c>
      <c r="E3500" s="23">
        <v>0</v>
      </c>
      <c r="F3500" s="23">
        <v>0</v>
      </c>
      <c r="G3500" s="23">
        <v>0</v>
      </c>
      <c r="H3500" s="23">
        <v>0</v>
      </c>
      <c r="I3500" s="23">
        <v>0</v>
      </c>
      <c r="J3500" s="23">
        <v>0</v>
      </c>
      <c r="K3500" s="23">
        <v>1531.0129999999999</v>
      </c>
    </row>
    <row r="3501" spans="1:11" x14ac:dyDescent="0.25">
      <c r="A3501">
        <v>3500</v>
      </c>
      <c r="B3501" s="23">
        <v>820.8</v>
      </c>
      <c r="C3501" s="23">
        <v>0</v>
      </c>
      <c r="D3501" s="23">
        <v>0</v>
      </c>
      <c r="E3501" s="23">
        <v>0</v>
      </c>
      <c r="F3501" s="23">
        <v>0</v>
      </c>
      <c r="G3501" s="23">
        <v>0</v>
      </c>
      <c r="H3501" s="23">
        <v>0</v>
      </c>
      <c r="I3501" s="23">
        <v>0</v>
      </c>
      <c r="J3501" s="23">
        <v>0</v>
      </c>
      <c r="K3501" s="23">
        <v>820.8</v>
      </c>
    </row>
    <row r="3502" spans="1:11" x14ac:dyDescent="0.25">
      <c r="A3502">
        <v>3501</v>
      </c>
      <c r="B3502" s="23">
        <v>1276</v>
      </c>
      <c r="C3502" s="23">
        <v>0</v>
      </c>
      <c r="D3502" s="23">
        <v>0</v>
      </c>
      <c r="E3502" s="23">
        <v>0</v>
      </c>
      <c r="F3502" s="23">
        <v>0</v>
      </c>
      <c r="G3502" s="23">
        <v>0</v>
      </c>
      <c r="H3502" s="23">
        <v>0</v>
      </c>
      <c r="I3502" s="23">
        <v>0</v>
      </c>
      <c r="J3502" s="23">
        <v>0</v>
      </c>
      <c r="K3502" s="23">
        <v>1276</v>
      </c>
    </row>
    <row r="3503" spans="1:11" x14ac:dyDescent="0.25">
      <c r="A3503">
        <v>3502</v>
      </c>
      <c r="B3503" s="23">
        <v>1128</v>
      </c>
      <c r="C3503" s="23">
        <v>0</v>
      </c>
      <c r="D3503" s="23">
        <v>0</v>
      </c>
      <c r="E3503" s="23">
        <v>0</v>
      </c>
      <c r="F3503" s="23">
        <v>0</v>
      </c>
      <c r="G3503" s="23">
        <v>0</v>
      </c>
      <c r="H3503" s="23">
        <v>0</v>
      </c>
      <c r="I3503" s="23">
        <v>0</v>
      </c>
      <c r="J3503" s="23">
        <v>0</v>
      </c>
      <c r="K3503" s="23">
        <v>1128</v>
      </c>
    </row>
    <row r="3504" spans="1:11" x14ac:dyDescent="0.25">
      <c r="A3504">
        <v>3503</v>
      </c>
      <c r="B3504" s="23">
        <v>905.6</v>
      </c>
      <c r="C3504" s="23">
        <v>0</v>
      </c>
      <c r="D3504" s="23">
        <v>0</v>
      </c>
      <c r="E3504" s="23">
        <v>0</v>
      </c>
      <c r="F3504" s="23">
        <v>0</v>
      </c>
      <c r="G3504" s="23">
        <v>0</v>
      </c>
      <c r="H3504" s="23">
        <v>0</v>
      </c>
      <c r="I3504" s="23">
        <v>905.6</v>
      </c>
      <c r="J3504" s="23">
        <v>0</v>
      </c>
      <c r="K3504" s="23">
        <v>0</v>
      </c>
    </row>
    <row r="3505" spans="1:11" x14ac:dyDescent="0.25">
      <c r="A3505">
        <v>3504</v>
      </c>
      <c r="B3505" s="23">
        <v>0</v>
      </c>
      <c r="C3505" s="23">
        <v>0</v>
      </c>
      <c r="D3505" s="23">
        <v>0</v>
      </c>
      <c r="E3505" s="23">
        <v>0</v>
      </c>
      <c r="F3505" s="23">
        <v>0</v>
      </c>
      <c r="G3505" s="23">
        <v>0</v>
      </c>
      <c r="H3505" s="23">
        <v>0</v>
      </c>
      <c r="I3505" s="23">
        <v>0</v>
      </c>
      <c r="J3505" s="23">
        <v>0</v>
      </c>
      <c r="K3505" s="23">
        <v>0</v>
      </c>
    </row>
    <row r="3506" spans="1:11" x14ac:dyDescent="0.25">
      <c r="A3506">
        <v>3505</v>
      </c>
      <c r="B3506" s="23">
        <v>0</v>
      </c>
      <c r="C3506" s="23">
        <v>0</v>
      </c>
      <c r="D3506" s="23">
        <v>0</v>
      </c>
      <c r="E3506" s="23">
        <v>0</v>
      </c>
      <c r="F3506" s="23">
        <v>0</v>
      </c>
      <c r="G3506" s="23">
        <v>0</v>
      </c>
      <c r="H3506" s="23">
        <v>0</v>
      </c>
      <c r="I3506" s="23">
        <v>0</v>
      </c>
      <c r="J3506" s="23">
        <v>0</v>
      </c>
      <c r="K3506" s="23">
        <v>0</v>
      </c>
    </row>
    <row r="3507" spans="1:11" x14ac:dyDescent="0.25">
      <c r="A3507">
        <v>3506</v>
      </c>
      <c r="B3507" s="23">
        <v>0</v>
      </c>
      <c r="C3507" s="23">
        <v>0</v>
      </c>
      <c r="D3507" s="23">
        <v>0</v>
      </c>
      <c r="E3507" s="23">
        <v>0</v>
      </c>
      <c r="F3507" s="23">
        <v>0</v>
      </c>
      <c r="G3507" s="23">
        <v>0</v>
      </c>
      <c r="H3507" s="23">
        <v>0</v>
      </c>
      <c r="I3507" s="23">
        <v>0</v>
      </c>
      <c r="J3507" s="23">
        <v>0</v>
      </c>
      <c r="K3507" s="23">
        <v>0</v>
      </c>
    </row>
    <row r="3508" spans="1:11" x14ac:dyDescent="0.25">
      <c r="A3508">
        <v>3507</v>
      </c>
      <c r="B3508" s="23">
        <v>0</v>
      </c>
      <c r="C3508" s="23">
        <v>0</v>
      </c>
      <c r="D3508" s="23">
        <v>0</v>
      </c>
      <c r="E3508" s="23">
        <v>0</v>
      </c>
      <c r="F3508" s="23">
        <v>0</v>
      </c>
      <c r="G3508" s="23">
        <v>0</v>
      </c>
      <c r="H3508" s="23">
        <v>0</v>
      </c>
      <c r="I3508" s="23">
        <v>0</v>
      </c>
      <c r="J3508" s="23">
        <v>0</v>
      </c>
      <c r="K3508" s="23">
        <v>0</v>
      </c>
    </row>
    <row r="3509" spans="1:11" x14ac:dyDescent="0.25">
      <c r="A3509">
        <v>3508</v>
      </c>
      <c r="B3509" s="23">
        <v>0</v>
      </c>
      <c r="C3509" s="23">
        <v>0</v>
      </c>
      <c r="D3509" s="23">
        <v>0</v>
      </c>
      <c r="E3509" s="23">
        <v>0</v>
      </c>
      <c r="F3509" s="23">
        <v>0</v>
      </c>
      <c r="G3509" s="23">
        <v>0</v>
      </c>
      <c r="H3509" s="23">
        <v>0</v>
      </c>
      <c r="I3509" s="23">
        <v>0</v>
      </c>
      <c r="J3509" s="23">
        <v>0</v>
      </c>
      <c r="K3509" s="23">
        <v>0</v>
      </c>
    </row>
    <row r="3510" spans="1:11" x14ac:dyDescent="0.25">
      <c r="A3510">
        <v>3509</v>
      </c>
      <c r="B3510" s="23">
        <v>0</v>
      </c>
      <c r="C3510" s="23">
        <v>0</v>
      </c>
      <c r="D3510" s="23">
        <v>0</v>
      </c>
      <c r="E3510" s="23">
        <v>0</v>
      </c>
      <c r="F3510" s="23">
        <v>0</v>
      </c>
      <c r="G3510" s="23">
        <v>0</v>
      </c>
      <c r="H3510" s="23">
        <v>0</v>
      </c>
      <c r="I3510" s="23">
        <v>0</v>
      </c>
      <c r="J3510" s="23">
        <v>0</v>
      </c>
      <c r="K3510" s="23">
        <v>0</v>
      </c>
    </row>
    <row r="3511" spans="1:11" x14ac:dyDescent="0.25">
      <c r="A3511">
        <v>3510</v>
      </c>
      <c r="B3511" s="23">
        <v>0</v>
      </c>
      <c r="C3511" s="23">
        <v>0</v>
      </c>
      <c r="D3511" s="23">
        <v>0</v>
      </c>
      <c r="E3511" s="23">
        <v>0</v>
      </c>
      <c r="F3511" s="23">
        <v>0</v>
      </c>
      <c r="G3511" s="23">
        <v>0</v>
      </c>
      <c r="H3511" s="23">
        <v>0</v>
      </c>
      <c r="I3511" s="23">
        <v>0</v>
      </c>
      <c r="J3511" s="23">
        <v>0</v>
      </c>
      <c r="K3511" s="23">
        <v>0</v>
      </c>
    </row>
    <row r="3512" spans="1:11" x14ac:dyDescent="0.25">
      <c r="A3512">
        <v>3511</v>
      </c>
      <c r="B3512" s="23">
        <v>803.82</v>
      </c>
      <c r="C3512" s="23">
        <v>131.16</v>
      </c>
      <c r="D3512" s="23">
        <v>403.084</v>
      </c>
      <c r="E3512" s="23">
        <v>403.084</v>
      </c>
      <c r="F3512" s="23">
        <v>0</v>
      </c>
      <c r="G3512" s="23">
        <v>0</v>
      </c>
      <c r="H3512" s="23">
        <v>0</v>
      </c>
      <c r="I3512" s="23">
        <v>0</v>
      </c>
      <c r="J3512" s="23">
        <v>0</v>
      </c>
      <c r="K3512" s="23">
        <v>400.73599999999999</v>
      </c>
    </row>
    <row r="3513" spans="1:11" x14ac:dyDescent="0.25">
      <c r="A3513">
        <v>3512</v>
      </c>
      <c r="B3513" s="23">
        <v>740.23699999999997</v>
      </c>
      <c r="C3513" s="23">
        <v>355.63</v>
      </c>
      <c r="D3513" s="23">
        <v>1384.481</v>
      </c>
      <c r="E3513" s="23">
        <v>740.23699999999997</v>
      </c>
      <c r="F3513" s="23">
        <v>-644.24400000000003</v>
      </c>
      <c r="G3513" s="23">
        <v>0</v>
      </c>
      <c r="H3513" s="23">
        <v>0</v>
      </c>
      <c r="I3513" s="23">
        <v>0</v>
      </c>
      <c r="J3513" s="23">
        <v>0</v>
      </c>
      <c r="K3513" s="23">
        <v>0</v>
      </c>
    </row>
    <row r="3514" spans="1:11" x14ac:dyDescent="0.25">
      <c r="A3514">
        <v>3513</v>
      </c>
      <c r="B3514" s="23">
        <v>558.47299999999996</v>
      </c>
      <c r="C3514" s="23">
        <v>575.20000000000005</v>
      </c>
      <c r="D3514" s="23">
        <v>2268.6779999999999</v>
      </c>
      <c r="E3514" s="23">
        <v>558.47400000000005</v>
      </c>
      <c r="F3514" s="23">
        <v>-1684.559</v>
      </c>
      <c r="G3514" s="23">
        <v>0</v>
      </c>
      <c r="H3514" s="23">
        <v>25.645</v>
      </c>
      <c r="I3514" s="23">
        <v>0</v>
      </c>
      <c r="J3514" s="23">
        <v>0</v>
      </c>
      <c r="K3514" s="23">
        <v>0</v>
      </c>
    </row>
    <row r="3515" spans="1:11" x14ac:dyDescent="0.25">
      <c r="A3515">
        <v>3514</v>
      </c>
      <c r="B3515" s="23">
        <v>1199.2249999999999</v>
      </c>
      <c r="C3515" s="23">
        <v>755.83</v>
      </c>
      <c r="D3515" s="23">
        <v>2896.4679999999998</v>
      </c>
      <c r="E3515" s="23">
        <v>1199.2260000000001</v>
      </c>
      <c r="F3515" s="23">
        <v>-1684.559</v>
      </c>
      <c r="G3515" s="23">
        <v>0</v>
      </c>
      <c r="H3515" s="23">
        <v>12.683</v>
      </c>
      <c r="I3515" s="23">
        <v>0</v>
      </c>
      <c r="J3515" s="23">
        <v>0</v>
      </c>
      <c r="K3515" s="23">
        <v>0</v>
      </c>
    </row>
    <row r="3516" spans="1:11" x14ac:dyDescent="0.25">
      <c r="A3516">
        <v>3515</v>
      </c>
      <c r="B3516" s="23">
        <v>1228.8030000000001</v>
      </c>
      <c r="C3516" s="23">
        <v>884.63</v>
      </c>
      <c r="D3516" s="23">
        <v>3317.6579999999999</v>
      </c>
      <c r="E3516" s="23">
        <v>1228.8040000000001</v>
      </c>
      <c r="F3516" s="23">
        <v>-1684.559</v>
      </c>
      <c r="G3516" s="23">
        <v>0</v>
      </c>
      <c r="H3516" s="23">
        <v>404.29500000000002</v>
      </c>
      <c r="I3516" s="23">
        <v>0</v>
      </c>
      <c r="J3516" s="23">
        <v>0</v>
      </c>
      <c r="K3516" s="23">
        <v>0</v>
      </c>
    </row>
    <row r="3517" spans="1:11" x14ac:dyDescent="0.25">
      <c r="A3517">
        <v>3516</v>
      </c>
      <c r="B3517" s="23">
        <v>1419.01</v>
      </c>
      <c r="C3517" s="23">
        <v>943.3</v>
      </c>
      <c r="D3517" s="23">
        <v>3493.49</v>
      </c>
      <c r="E3517" s="23">
        <v>1419.01</v>
      </c>
      <c r="F3517" s="23">
        <v>-1593.577</v>
      </c>
      <c r="G3517" s="23">
        <v>0</v>
      </c>
      <c r="H3517" s="23">
        <v>480.90300000000002</v>
      </c>
      <c r="I3517" s="23">
        <v>0</v>
      </c>
      <c r="J3517" s="23">
        <v>0</v>
      </c>
      <c r="K3517" s="23">
        <v>0</v>
      </c>
    </row>
    <row r="3518" spans="1:11" x14ac:dyDescent="0.25">
      <c r="A3518">
        <v>3517</v>
      </c>
      <c r="B3518" s="23">
        <v>1282.0170000000001</v>
      </c>
      <c r="C3518" s="23">
        <v>933.35</v>
      </c>
      <c r="D3518" s="23">
        <v>3447.6640000000002</v>
      </c>
      <c r="E3518" s="23">
        <v>1282.0170000000001</v>
      </c>
      <c r="F3518" s="23">
        <v>0</v>
      </c>
      <c r="G3518" s="23">
        <v>0</v>
      </c>
      <c r="H3518" s="23">
        <v>2165.6469999999999</v>
      </c>
      <c r="I3518" s="23">
        <v>0</v>
      </c>
      <c r="J3518" s="23">
        <v>0</v>
      </c>
      <c r="K3518" s="23">
        <v>0</v>
      </c>
    </row>
    <row r="3519" spans="1:11" x14ac:dyDescent="0.25">
      <c r="A3519">
        <v>3518</v>
      </c>
      <c r="B3519" s="23">
        <v>1153.519</v>
      </c>
      <c r="C3519" s="23">
        <v>846.74</v>
      </c>
      <c r="D3519" s="23">
        <v>3162.36</v>
      </c>
      <c r="E3519" s="23">
        <v>1153.519</v>
      </c>
      <c r="F3519" s="23">
        <v>0</v>
      </c>
      <c r="G3519" s="23">
        <v>0</v>
      </c>
      <c r="H3519" s="23">
        <v>2008.8409999999999</v>
      </c>
      <c r="I3519" s="23">
        <v>0</v>
      </c>
      <c r="J3519" s="23">
        <v>0</v>
      </c>
      <c r="K3519" s="23">
        <v>0</v>
      </c>
    </row>
    <row r="3520" spans="1:11" x14ac:dyDescent="0.25">
      <c r="A3520">
        <v>3519</v>
      </c>
      <c r="B3520" s="23">
        <v>1350.2470000000001</v>
      </c>
      <c r="C3520" s="23">
        <v>700.04</v>
      </c>
      <c r="D3520" s="23">
        <v>2666.3020000000001</v>
      </c>
      <c r="E3520" s="23">
        <v>1350.2470000000001</v>
      </c>
      <c r="F3520" s="23">
        <v>0</v>
      </c>
      <c r="G3520" s="23">
        <v>0</v>
      </c>
      <c r="H3520" s="23">
        <v>1316.0550000000001</v>
      </c>
      <c r="I3520" s="23">
        <v>0</v>
      </c>
      <c r="J3520" s="23">
        <v>0</v>
      </c>
      <c r="K3520" s="23">
        <v>0</v>
      </c>
    </row>
    <row r="3521" spans="1:11" x14ac:dyDescent="0.25">
      <c r="A3521">
        <v>3520</v>
      </c>
      <c r="B3521" s="23">
        <v>1241.1579999999999</v>
      </c>
      <c r="C3521" s="23">
        <v>503.61</v>
      </c>
      <c r="D3521" s="23">
        <v>1965.5509999999999</v>
      </c>
      <c r="E3521" s="23">
        <v>1241.1579999999999</v>
      </c>
      <c r="F3521" s="23">
        <v>0</v>
      </c>
      <c r="G3521" s="23">
        <v>0</v>
      </c>
      <c r="H3521" s="23">
        <v>724.39300000000003</v>
      </c>
      <c r="I3521" s="23">
        <v>0</v>
      </c>
      <c r="J3521" s="23">
        <v>0</v>
      </c>
      <c r="K3521" s="23">
        <v>0</v>
      </c>
    </row>
    <row r="3522" spans="1:11" x14ac:dyDescent="0.25">
      <c r="A3522">
        <v>3521</v>
      </c>
      <c r="B3522" s="23">
        <v>1171.973</v>
      </c>
      <c r="C3522" s="23">
        <v>183.93</v>
      </c>
      <c r="D3522" s="23">
        <v>696.40099999999995</v>
      </c>
      <c r="E3522" s="23">
        <v>696.40099999999995</v>
      </c>
      <c r="F3522" s="23">
        <v>0</v>
      </c>
      <c r="G3522" s="23">
        <v>0</v>
      </c>
      <c r="H3522" s="23">
        <v>0</v>
      </c>
      <c r="I3522" s="23">
        <v>475.572</v>
      </c>
      <c r="J3522" s="23">
        <v>0</v>
      </c>
      <c r="K3522" s="23">
        <v>0</v>
      </c>
    </row>
    <row r="3523" spans="1:11" x14ac:dyDescent="0.25">
      <c r="A3523">
        <v>3522</v>
      </c>
      <c r="B3523" s="23">
        <v>1371.1369999999999</v>
      </c>
      <c r="C3523" s="23">
        <v>52.15</v>
      </c>
      <c r="D3523" s="23">
        <v>169.79900000000001</v>
      </c>
      <c r="E3523" s="23">
        <v>169.79900000000001</v>
      </c>
      <c r="F3523" s="23">
        <v>0</v>
      </c>
      <c r="G3523" s="23">
        <v>0</v>
      </c>
      <c r="H3523" s="23">
        <v>0</v>
      </c>
      <c r="I3523" s="23">
        <v>0</v>
      </c>
      <c r="J3523" s="23">
        <v>0</v>
      </c>
      <c r="K3523" s="23">
        <v>1201.338</v>
      </c>
    </row>
    <row r="3524" spans="1:11" x14ac:dyDescent="0.25">
      <c r="A3524">
        <v>3523</v>
      </c>
      <c r="B3524" s="23">
        <v>1506.9949999999999</v>
      </c>
      <c r="C3524" s="23">
        <v>0</v>
      </c>
      <c r="D3524" s="23">
        <v>0</v>
      </c>
      <c r="E3524" s="23">
        <v>0</v>
      </c>
      <c r="F3524" s="23">
        <v>0</v>
      </c>
      <c r="G3524" s="23">
        <v>0</v>
      </c>
      <c r="H3524" s="23">
        <v>0</v>
      </c>
      <c r="I3524" s="23">
        <v>0</v>
      </c>
      <c r="J3524" s="23">
        <v>0</v>
      </c>
      <c r="K3524" s="23">
        <v>1506.9949999999999</v>
      </c>
    </row>
    <row r="3525" spans="1:11" x14ac:dyDescent="0.25">
      <c r="A3525">
        <v>3524</v>
      </c>
      <c r="B3525" s="23">
        <v>1457.6</v>
      </c>
      <c r="C3525" s="23">
        <v>0</v>
      </c>
      <c r="D3525" s="23">
        <v>0</v>
      </c>
      <c r="E3525" s="23">
        <v>0</v>
      </c>
      <c r="F3525" s="23">
        <v>0</v>
      </c>
      <c r="G3525" s="23">
        <v>0</v>
      </c>
      <c r="H3525" s="23">
        <v>0</v>
      </c>
      <c r="I3525" s="23">
        <v>0</v>
      </c>
      <c r="J3525" s="23">
        <v>0</v>
      </c>
      <c r="K3525" s="23">
        <v>1457.6</v>
      </c>
    </row>
    <row r="3526" spans="1:11" x14ac:dyDescent="0.25">
      <c r="A3526">
        <v>3525</v>
      </c>
      <c r="B3526" s="23">
        <v>1496</v>
      </c>
      <c r="C3526" s="23">
        <v>0</v>
      </c>
      <c r="D3526" s="23">
        <v>0</v>
      </c>
      <c r="E3526" s="23">
        <v>0</v>
      </c>
      <c r="F3526" s="23">
        <v>0</v>
      </c>
      <c r="G3526" s="23">
        <v>0</v>
      </c>
      <c r="H3526" s="23">
        <v>0</v>
      </c>
      <c r="I3526" s="23">
        <v>1479.252</v>
      </c>
      <c r="J3526" s="23">
        <v>0</v>
      </c>
      <c r="K3526" s="23">
        <v>16.748000000000001</v>
      </c>
    </row>
    <row r="3527" spans="1:11" x14ac:dyDescent="0.25">
      <c r="A3527">
        <v>3526</v>
      </c>
      <c r="B3527" s="23">
        <v>1008.8</v>
      </c>
      <c r="C3527" s="23">
        <v>0</v>
      </c>
      <c r="D3527" s="23">
        <v>0</v>
      </c>
      <c r="E3527" s="23">
        <v>0</v>
      </c>
      <c r="F3527" s="23">
        <v>0</v>
      </c>
      <c r="G3527" s="23">
        <v>0</v>
      </c>
      <c r="H3527" s="23">
        <v>0</v>
      </c>
      <c r="I3527" s="23">
        <v>0</v>
      </c>
      <c r="J3527" s="23">
        <v>0</v>
      </c>
      <c r="K3527" s="23">
        <v>1008.8</v>
      </c>
    </row>
    <row r="3528" spans="1:11" x14ac:dyDescent="0.25">
      <c r="A3528">
        <v>3527</v>
      </c>
      <c r="B3528" s="23">
        <v>940.8</v>
      </c>
      <c r="C3528" s="23">
        <v>0</v>
      </c>
      <c r="D3528" s="23">
        <v>0</v>
      </c>
      <c r="E3528" s="23">
        <v>0</v>
      </c>
      <c r="F3528" s="23">
        <v>0</v>
      </c>
      <c r="G3528" s="23">
        <v>0</v>
      </c>
      <c r="H3528" s="23">
        <v>0</v>
      </c>
      <c r="I3528" s="23">
        <v>940.8</v>
      </c>
      <c r="J3528" s="23">
        <v>0</v>
      </c>
      <c r="K3528" s="23">
        <v>0</v>
      </c>
    </row>
    <row r="3529" spans="1:11" x14ac:dyDescent="0.25">
      <c r="A3529">
        <v>3528</v>
      </c>
      <c r="B3529" s="23">
        <v>0</v>
      </c>
      <c r="C3529" s="23">
        <v>0</v>
      </c>
      <c r="D3529" s="23">
        <v>0</v>
      </c>
      <c r="E3529" s="23">
        <v>0</v>
      </c>
      <c r="F3529" s="23">
        <v>0</v>
      </c>
      <c r="G3529" s="23">
        <v>0</v>
      </c>
      <c r="H3529" s="23">
        <v>0</v>
      </c>
      <c r="I3529" s="23">
        <v>0</v>
      </c>
      <c r="J3529" s="23">
        <v>0</v>
      </c>
      <c r="K3529" s="23">
        <v>0</v>
      </c>
    </row>
    <row r="3530" spans="1:11" x14ac:dyDescent="0.25">
      <c r="A3530">
        <v>3529</v>
      </c>
      <c r="B3530" s="23">
        <v>0</v>
      </c>
      <c r="C3530" s="23">
        <v>0</v>
      </c>
      <c r="D3530" s="23">
        <v>0</v>
      </c>
      <c r="E3530" s="23">
        <v>0</v>
      </c>
      <c r="F3530" s="23">
        <v>0</v>
      </c>
      <c r="G3530" s="23">
        <v>0</v>
      </c>
      <c r="H3530" s="23">
        <v>0</v>
      </c>
      <c r="I3530" s="23">
        <v>0</v>
      </c>
      <c r="J3530" s="23">
        <v>0</v>
      </c>
      <c r="K3530" s="23">
        <v>0</v>
      </c>
    </row>
    <row r="3531" spans="1:11" x14ac:dyDescent="0.25">
      <c r="A3531">
        <v>3530</v>
      </c>
      <c r="B3531" s="23">
        <v>0</v>
      </c>
      <c r="C3531" s="23">
        <v>0</v>
      </c>
      <c r="D3531" s="23">
        <v>0</v>
      </c>
      <c r="E3531" s="23">
        <v>0</v>
      </c>
      <c r="F3531" s="23">
        <v>0</v>
      </c>
      <c r="G3531" s="23">
        <v>0</v>
      </c>
      <c r="H3531" s="23">
        <v>0</v>
      </c>
      <c r="I3531" s="23">
        <v>0</v>
      </c>
      <c r="J3531" s="23">
        <v>0</v>
      </c>
      <c r="K3531" s="23">
        <v>0</v>
      </c>
    </row>
    <row r="3532" spans="1:11" x14ac:dyDescent="0.25">
      <c r="A3532">
        <v>3531</v>
      </c>
      <c r="B3532" s="23">
        <v>0</v>
      </c>
      <c r="C3532" s="23">
        <v>0</v>
      </c>
      <c r="D3532" s="23">
        <v>0</v>
      </c>
      <c r="E3532" s="23">
        <v>0</v>
      </c>
      <c r="F3532" s="23">
        <v>0</v>
      </c>
      <c r="G3532" s="23">
        <v>0</v>
      </c>
      <c r="H3532" s="23">
        <v>0</v>
      </c>
      <c r="I3532" s="23">
        <v>0</v>
      </c>
      <c r="J3532" s="23">
        <v>0</v>
      </c>
      <c r="K3532" s="23">
        <v>0</v>
      </c>
    </row>
    <row r="3533" spans="1:11" x14ac:dyDescent="0.25">
      <c r="A3533">
        <v>3532</v>
      </c>
      <c r="B3533" s="23">
        <v>0</v>
      </c>
      <c r="C3533" s="23">
        <v>0</v>
      </c>
      <c r="D3533" s="23">
        <v>0</v>
      </c>
      <c r="E3533" s="23">
        <v>0</v>
      </c>
      <c r="F3533" s="23">
        <v>0</v>
      </c>
      <c r="G3533" s="23">
        <v>0</v>
      </c>
      <c r="H3533" s="23">
        <v>0</v>
      </c>
      <c r="I3533" s="23">
        <v>0</v>
      </c>
      <c r="J3533" s="23">
        <v>0</v>
      </c>
      <c r="K3533" s="23">
        <v>0</v>
      </c>
    </row>
    <row r="3534" spans="1:11" x14ac:dyDescent="0.25">
      <c r="A3534">
        <v>3533</v>
      </c>
      <c r="B3534" s="23">
        <v>0</v>
      </c>
      <c r="C3534" s="23">
        <v>0</v>
      </c>
      <c r="D3534" s="23">
        <v>0</v>
      </c>
      <c r="E3534" s="23">
        <v>0</v>
      </c>
      <c r="F3534" s="23">
        <v>0</v>
      </c>
      <c r="G3534" s="23">
        <v>0</v>
      </c>
      <c r="H3534" s="23">
        <v>0</v>
      </c>
      <c r="I3534" s="23">
        <v>0</v>
      </c>
      <c r="J3534" s="23">
        <v>0</v>
      </c>
      <c r="K3534" s="23">
        <v>0</v>
      </c>
    </row>
    <row r="3535" spans="1:11" x14ac:dyDescent="0.25">
      <c r="A3535">
        <v>3534</v>
      </c>
      <c r="B3535" s="23">
        <v>0</v>
      </c>
      <c r="C3535" s="23">
        <v>0</v>
      </c>
      <c r="D3535" s="23">
        <v>0</v>
      </c>
      <c r="E3535" s="23">
        <v>0</v>
      </c>
      <c r="F3535" s="23">
        <v>0</v>
      </c>
      <c r="G3535" s="23">
        <v>0</v>
      </c>
      <c r="H3535" s="23">
        <v>0</v>
      </c>
      <c r="I3535" s="23">
        <v>0</v>
      </c>
      <c r="J3535" s="23">
        <v>0</v>
      </c>
      <c r="K3535" s="23">
        <v>0</v>
      </c>
    </row>
    <row r="3536" spans="1:11" x14ac:dyDescent="0.25">
      <c r="A3536">
        <v>3535</v>
      </c>
      <c r="B3536" s="23">
        <v>1415.654</v>
      </c>
      <c r="C3536" s="23">
        <v>128.99</v>
      </c>
      <c r="D3536" s="23">
        <v>402.74799999999999</v>
      </c>
      <c r="E3536" s="23">
        <v>402.74799999999999</v>
      </c>
      <c r="F3536" s="23">
        <v>0</v>
      </c>
      <c r="G3536" s="23">
        <v>0</v>
      </c>
      <c r="H3536" s="23">
        <v>0</v>
      </c>
      <c r="I3536" s="23">
        <v>0</v>
      </c>
      <c r="J3536" s="23">
        <v>0</v>
      </c>
      <c r="K3536" s="23">
        <v>1012.9059999999999</v>
      </c>
    </row>
    <row r="3537" spans="1:11" x14ac:dyDescent="0.25">
      <c r="A3537">
        <v>3536</v>
      </c>
      <c r="B3537" s="23">
        <v>996.84799999999996</v>
      </c>
      <c r="C3537" s="23">
        <v>347.99</v>
      </c>
      <c r="D3537" s="23">
        <v>1349.3019999999999</v>
      </c>
      <c r="E3537" s="23">
        <v>996.84799999999996</v>
      </c>
      <c r="F3537" s="23">
        <v>-352.45400000000001</v>
      </c>
      <c r="G3537" s="23">
        <v>0</v>
      </c>
      <c r="H3537" s="23">
        <v>0</v>
      </c>
      <c r="I3537" s="23">
        <v>0</v>
      </c>
      <c r="J3537" s="23">
        <v>0</v>
      </c>
      <c r="K3537" s="23">
        <v>0</v>
      </c>
    </row>
    <row r="3538" spans="1:11" x14ac:dyDescent="0.25">
      <c r="A3538">
        <v>3537</v>
      </c>
      <c r="B3538" s="23">
        <v>1420.0830000000001</v>
      </c>
      <c r="C3538" s="23">
        <v>564.91999999999996</v>
      </c>
      <c r="D3538" s="23">
        <v>2213.2649999999999</v>
      </c>
      <c r="E3538" s="23">
        <v>1420.0830000000001</v>
      </c>
      <c r="F3538" s="23">
        <v>-793.18200000000002</v>
      </c>
      <c r="G3538" s="23">
        <v>0</v>
      </c>
      <c r="H3538" s="23">
        <v>0</v>
      </c>
      <c r="I3538" s="23">
        <v>0</v>
      </c>
      <c r="J3538" s="23">
        <v>0</v>
      </c>
      <c r="K3538" s="23">
        <v>0</v>
      </c>
    </row>
    <row r="3539" spans="1:11" x14ac:dyDescent="0.25">
      <c r="A3539">
        <v>3538</v>
      </c>
      <c r="B3539" s="23">
        <v>1718.45</v>
      </c>
      <c r="C3539" s="23">
        <v>745.49</v>
      </c>
      <c r="D3539" s="23">
        <v>2830.3719999999998</v>
      </c>
      <c r="E3539" s="23">
        <v>1718.45</v>
      </c>
      <c r="F3539" s="23">
        <v>-1111.922</v>
      </c>
      <c r="G3539" s="23">
        <v>0</v>
      </c>
      <c r="H3539" s="23">
        <v>0</v>
      </c>
      <c r="I3539" s="23">
        <v>0</v>
      </c>
      <c r="J3539" s="23">
        <v>0</v>
      </c>
      <c r="K3539" s="23">
        <v>0</v>
      </c>
    </row>
    <row r="3540" spans="1:11" x14ac:dyDescent="0.25">
      <c r="A3540">
        <v>3539</v>
      </c>
      <c r="B3540" s="23">
        <v>1514.7370000000001</v>
      </c>
      <c r="C3540" s="23">
        <v>648.36</v>
      </c>
      <c r="D3540" s="23">
        <v>2406.0819999999999</v>
      </c>
      <c r="E3540" s="23">
        <v>1514.7370000000001</v>
      </c>
      <c r="F3540" s="23">
        <v>-891.34500000000003</v>
      </c>
      <c r="G3540" s="23">
        <v>0</v>
      </c>
      <c r="H3540" s="23">
        <v>0</v>
      </c>
      <c r="I3540" s="23">
        <v>0</v>
      </c>
      <c r="J3540" s="23">
        <v>0</v>
      </c>
      <c r="K3540" s="23">
        <v>0</v>
      </c>
    </row>
    <row r="3541" spans="1:11" x14ac:dyDescent="0.25">
      <c r="A3541">
        <v>3540</v>
      </c>
      <c r="B3541" s="23">
        <v>1481.4690000000001</v>
      </c>
      <c r="C3541" s="23">
        <v>774.46</v>
      </c>
      <c r="D3541" s="23">
        <v>2842.6509999999998</v>
      </c>
      <c r="E3541" s="23">
        <v>1481.4690000000001</v>
      </c>
      <c r="F3541" s="23">
        <v>-1361.182</v>
      </c>
      <c r="G3541" s="23">
        <v>0</v>
      </c>
      <c r="H3541" s="23">
        <v>0</v>
      </c>
      <c r="I3541" s="23">
        <v>0</v>
      </c>
      <c r="J3541" s="23">
        <v>0</v>
      </c>
      <c r="K3541" s="23">
        <v>0</v>
      </c>
    </row>
    <row r="3542" spans="1:11" x14ac:dyDescent="0.25">
      <c r="A3542">
        <v>3541</v>
      </c>
      <c r="B3542" s="23">
        <v>1629.559</v>
      </c>
      <c r="C3542" s="23">
        <v>781.05</v>
      </c>
      <c r="D3542" s="23">
        <v>2869.616</v>
      </c>
      <c r="E3542" s="23">
        <v>1629.559</v>
      </c>
      <c r="F3542" s="23">
        <v>-1240.057</v>
      </c>
      <c r="G3542" s="23">
        <v>0</v>
      </c>
      <c r="H3542" s="23">
        <v>0</v>
      </c>
      <c r="I3542" s="23">
        <v>0</v>
      </c>
      <c r="J3542" s="23">
        <v>0</v>
      </c>
      <c r="K3542" s="23">
        <v>0</v>
      </c>
    </row>
    <row r="3543" spans="1:11" x14ac:dyDescent="0.25">
      <c r="A3543">
        <v>3542</v>
      </c>
      <c r="B3543" s="23">
        <v>1581.4449999999999</v>
      </c>
      <c r="C3543" s="23">
        <v>714.48</v>
      </c>
      <c r="D3543" s="23">
        <v>2654.7460000000001</v>
      </c>
      <c r="E3543" s="23">
        <v>1581.4449999999999</v>
      </c>
      <c r="F3543" s="23">
        <v>-1073.3009999999999</v>
      </c>
      <c r="G3543" s="23">
        <v>0</v>
      </c>
      <c r="H3543" s="23">
        <v>0</v>
      </c>
      <c r="I3543" s="23">
        <v>0</v>
      </c>
      <c r="J3543" s="23">
        <v>0</v>
      </c>
      <c r="K3543" s="23">
        <v>0</v>
      </c>
    </row>
    <row r="3544" spans="1:11" x14ac:dyDescent="0.25">
      <c r="A3544">
        <v>3543</v>
      </c>
      <c r="B3544" s="23">
        <v>1376.5419999999999</v>
      </c>
      <c r="C3544" s="23">
        <v>384.33</v>
      </c>
      <c r="D3544" s="23">
        <v>1457.912</v>
      </c>
      <c r="E3544" s="23">
        <v>1376.5419999999999</v>
      </c>
      <c r="F3544" s="23">
        <v>-81.37</v>
      </c>
      <c r="G3544" s="23">
        <v>0</v>
      </c>
      <c r="H3544" s="23">
        <v>0</v>
      </c>
      <c r="I3544" s="23">
        <v>0</v>
      </c>
      <c r="J3544" s="23">
        <v>0</v>
      </c>
      <c r="K3544" s="23">
        <v>0</v>
      </c>
    </row>
    <row r="3545" spans="1:11" x14ac:dyDescent="0.25">
      <c r="A3545">
        <v>3544</v>
      </c>
      <c r="B3545" s="23">
        <v>1606.6790000000001</v>
      </c>
      <c r="C3545" s="23">
        <v>225.19</v>
      </c>
      <c r="D3545" s="23">
        <v>856.93200000000002</v>
      </c>
      <c r="E3545" s="23">
        <v>856.93200000000002</v>
      </c>
      <c r="F3545" s="23">
        <v>0</v>
      </c>
      <c r="G3545" s="23">
        <v>0</v>
      </c>
      <c r="H3545" s="23">
        <v>0</v>
      </c>
      <c r="I3545" s="23">
        <v>749.74699999999996</v>
      </c>
      <c r="J3545" s="23">
        <v>0</v>
      </c>
      <c r="K3545" s="23">
        <v>0</v>
      </c>
    </row>
    <row r="3546" spans="1:11" x14ac:dyDescent="0.25">
      <c r="A3546">
        <v>3545</v>
      </c>
      <c r="B3546" s="23">
        <v>1530.0640000000001</v>
      </c>
      <c r="C3546" s="23">
        <v>89.74</v>
      </c>
      <c r="D3546" s="23">
        <v>325.58800000000002</v>
      </c>
      <c r="E3546" s="23">
        <v>325.58800000000002</v>
      </c>
      <c r="F3546" s="23">
        <v>0</v>
      </c>
      <c r="G3546" s="23">
        <v>0</v>
      </c>
      <c r="H3546" s="23">
        <v>0</v>
      </c>
      <c r="I3546" s="23">
        <v>1204.4760000000001</v>
      </c>
      <c r="J3546" s="23">
        <v>0</v>
      </c>
      <c r="K3546" s="23">
        <v>0</v>
      </c>
    </row>
    <row r="3547" spans="1:11" x14ac:dyDescent="0.25">
      <c r="A3547">
        <v>3546</v>
      </c>
      <c r="B3547" s="23">
        <v>1776.413</v>
      </c>
      <c r="C3547" s="23">
        <v>29.4</v>
      </c>
      <c r="D3547" s="23">
        <v>85.983999999999995</v>
      </c>
      <c r="E3547" s="23">
        <v>85.983999999999995</v>
      </c>
      <c r="F3547" s="23">
        <v>0</v>
      </c>
      <c r="G3547" s="23">
        <v>0</v>
      </c>
      <c r="H3547" s="23">
        <v>0</v>
      </c>
      <c r="I3547" s="23">
        <v>5.8689999999999998</v>
      </c>
      <c r="J3547" s="23">
        <v>0</v>
      </c>
      <c r="K3547" s="23">
        <v>1684.559</v>
      </c>
    </row>
    <row r="3548" spans="1:11" x14ac:dyDescent="0.25">
      <c r="A3548">
        <v>3547</v>
      </c>
      <c r="B3548" s="23">
        <v>1785.434</v>
      </c>
      <c r="C3548" s="23">
        <v>0</v>
      </c>
      <c r="D3548" s="23">
        <v>0</v>
      </c>
      <c r="E3548" s="23">
        <v>0</v>
      </c>
      <c r="F3548" s="23">
        <v>0</v>
      </c>
      <c r="G3548" s="23">
        <v>0</v>
      </c>
      <c r="H3548" s="23">
        <v>0</v>
      </c>
      <c r="I3548" s="23">
        <v>100.875</v>
      </c>
      <c r="J3548" s="23">
        <v>0</v>
      </c>
      <c r="K3548" s="23">
        <v>1684.559</v>
      </c>
    </row>
    <row r="3549" spans="1:11" x14ac:dyDescent="0.25">
      <c r="A3549">
        <v>3548</v>
      </c>
      <c r="B3549" s="23">
        <v>1460</v>
      </c>
      <c r="C3549" s="23">
        <v>0</v>
      </c>
      <c r="D3549" s="23">
        <v>0</v>
      </c>
      <c r="E3549" s="23">
        <v>0</v>
      </c>
      <c r="F3549" s="23">
        <v>0</v>
      </c>
      <c r="G3549" s="23">
        <v>0</v>
      </c>
      <c r="H3549" s="23">
        <v>0</v>
      </c>
      <c r="I3549" s="23">
        <v>0</v>
      </c>
      <c r="J3549" s="23">
        <v>0</v>
      </c>
      <c r="K3549" s="23">
        <v>1460</v>
      </c>
    </row>
    <row r="3550" spans="1:11" x14ac:dyDescent="0.25">
      <c r="A3550">
        <v>3549</v>
      </c>
      <c r="B3550" s="23">
        <v>1711.2</v>
      </c>
      <c r="C3550" s="23">
        <v>0</v>
      </c>
      <c r="D3550" s="23">
        <v>0</v>
      </c>
      <c r="E3550" s="23">
        <v>0</v>
      </c>
      <c r="F3550" s="23">
        <v>0</v>
      </c>
      <c r="G3550" s="23">
        <v>0</v>
      </c>
      <c r="H3550" s="23">
        <v>0</v>
      </c>
      <c r="I3550" s="23">
        <v>1711.2</v>
      </c>
      <c r="J3550" s="23">
        <v>0</v>
      </c>
      <c r="K3550" s="23">
        <v>0</v>
      </c>
    </row>
    <row r="3551" spans="1:11" x14ac:dyDescent="0.25">
      <c r="A3551">
        <v>3550</v>
      </c>
      <c r="B3551" s="23">
        <v>1587.2</v>
      </c>
      <c r="C3551" s="23">
        <v>0</v>
      </c>
      <c r="D3551" s="23">
        <v>0</v>
      </c>
      <c r="E3551" s="23">
        <v>0</v>
      </c>
      <c r="F3551" s="23">
        <v>0</v>
      </c>
      <c r="G3551" s="23">
        <v>0</v>
      </c>
      <c r="H3551" s="23">
        <v>0</v>
      </c>
      <c r="I3551" s="23">
        <v>1587.2</v>
      </c>
      <c r="J3551" s="23">
        <v>0</v>
      </c>
      <c r="K3551" s="23">
        <v>0</v>
      </c>
    </row>
    <row r="3552" spans="1:11" x14ac:dyDescent="0.25">
      <c r="A3552">
        <v>3551</v>
      </c>
      <c r="B3552" s="23">
        <v>1569.6</v>
      </c>
      <c r="C3552" s="23">
        <v>0</v>
      </c>
      <c r="D3552" s="23">
        <v>0</v>
      </c>
      <c r="E3552" s="23">
        <v>0</v>
      </c>
      <c r="F3552" s="23">
        <v>0</v>
      </c>
      <c r="G3552" s="23">
        <v>0</v>
      </c>
      <c r="H3552" s="23">
        <v>0</v>
      </c>
      <c r="I3552" s="23">
        <v>1569.6</v>
      </c>
      <c r="J3552" s="23">
        <v>0</v>
      </c>
      <c r="K3552" s="23">
        <v>0</v>
      </c>
    </row>
    <row r="3553" spans="1:11" x14ac:dyDescent="0.25">
      <c r="A3553">
        <v>3552</v>
      </c>
      <c r="B3553" s="23">
        <v>0</v>
      </c>
      <c r="C3553" s="23">
        <v>0</v>
      </c>
      <c r="D3553" s="23">
        <v>0</v>
      </c>
      <c r="E3553" s="23">
        <v>0</v>
      </c>
      <c r="F3553" s="23">
        <v>0</v>
      </c>
      <c r="G3553" s="23">
        <v>0</v>
      </c>
      <c r="H3553" s="23">
        <v>0</v>
      </c>
      <c r="I3553" s="23">
        <v>0</v>
      </c>
      <c r="J3553" s="23">
        <v>0</v>
      </c>
      <c r="K3553" s="23">
        <v>0</v>
      </c>
    </row>
    <row r="3554" spans="1:11" x14ac:dyDescent="0.25">
      <c r="A3554">
        <v>3553</v>
      </c>
      <c r="B3554" s="23">
        <v>0</v>
      </c>
      <c r="C3554" s="23">
        <v>0</v>
      </c>
      <c r="D3554" s="23">
        <v>0</v>
      </c>
      <c r="E3554" s="23">
        <v>0</v>
      </c>
      <c r="F3554" s="23">
        <v>0</v>
      </c>
      <c r="G3554" s="23">
        <v>0</v>
      </c>
      <c r="H3554" s="23">
        <v>0</v>
      </c>
      <c r="I3554" s="23">
        <v>0</v>
      </c>
      <c r="J3554" s="23">
        <v>0</v>
      </c>
      <c r="K3554" s="23">
        <v>0</v>
      </c>
    </row>
    <row r="3555" spans="1:11" x14ac:dyDescent="0.25">
      <c r="A3555">
        <v>3554</v>
      </c>
      <c r="B3555" s="23">
        <v>0</v>
      </c>
      <c r="C3555" s="23">
        <v>0</v>
      </c>
      <c r="D3555" s="23">
        <v>0</v>
      </c>
      <c r="E3555" s="23">
        <v>0</v>
      </c>
      <c r="F3555" s="23">
        <v>0</v>
      </c>
      <c r="G3555" s="23">
        <v>0</v>
      </c>
      <c r="H3555" s="23">
        <v>0</v>
      </c>
      <c r="I3555" s="23">
        <v>0</v>
      </c>
      <c r="J3555" s="23">
        <v>0</v>
      </c>
      <c r="K3555" s="23">
        <v>0</v>
      </c>
    </row>
    <row r="3556" spans="1:11" x14ac:dyDescent="0.25">
      <c r="A3556">
        <v>3555</v>
      </c>
      <c r="B3556" s="23">
        <v>0</v>
      </c>
      <c r="C3556" s="23">
        <v>0</v>
      </c>
      <c r="D3556" s="23">
        <v>0</v>
      </c>
      <c r="E3556" s="23">
        <v>0</v>
      </c>
      <c r="F3556" s="23">
        <v>0</v>
      </c>
      <c r="G3556" s="23">
        <v>0</v>
      </c>
      <c r="H3556" s="23">
        <v>0</v>
      </c>
      <c r="I3556" s="23">
        <v>0</v>
      </c>
      <c r="J3556" s="23">
        <v>0</v>
      </c>
      <c r="K3556" s="23">
        <v>0</v>
      </c>
    </row>
    <row r="3557" spans="1:11" x14ac:dyDescent="0.25">
      <c r="A3557">
        <v>3556</v>
      </c>
      <c r="B3557" s="23">
        <v>0</v>
      </c>
      <c r="C3557" s="23">
        <v>0</v>
      </c>
      <c r="D3557" s="23">
        <v>0</v>
      </c>
      <c r="E3557" s="23">
        <v>0</v>
      </c>
      <c r="F3557" s="23">
        <v>0</v>
      </c>
      <c r="G3557" s="23">
        <v>0</v>
      </c>
      <c r="H3557" s="23">
        <v>0</v>
      </c>
      <c r="I3557" s="23">
        <v>0</v>
      </c>
      <c r="J3557" s="23">
        <v>0</v>
      </c>
      <c r="K3557" s="23">
        <v>0</v>
      </c>
    </row>
    <row r="3558" spans="1:11" x14ac:dyDescent="0.25">
      <c r="A3558">
        <v>3557</v>
      </c>
      <c r="B3558" s="23">
        <v>0</v>
      </c>
      <c r="C3558" s="23">
        <v>0</v>
      </c>
      <c r="D3558" s="23">
        <v>0</v>
      </c>
      <c r="E3558" s="23">
        <v>0</v>
      </c>
      <c r="F3558" s="23">
        <v>0</v>
      </c>
      <c r="G3558" s="23">
        <v>0</v>
      </c>
      <c r="H3558" s="23">
        <v>0</v>
      </c>
      <c r="I3558" s="23">
        <v>0</v>
      </c>
      <c r="J3558" s="23">
        <v>0</v>
      </c>
      <c r="K3558" s="23">
        <v>0</v>
      </c>
    </row>
    <row r="3559" spans="1:11" x14ac:dyDescent="0.25">
      <c r="A3559">
        <v>3558</v>
      </c>
      <c r="B3559" s="23">
        <v>0</v>
      </c>
      <c r="C3559" s="23">
        <v>0</v>
      </c>
      <c r="D3559" s="23">
        <v>0</v>
      </c>
      <c r="E3559" s="23">
        <v>0</v>
      </c>
      <c r="F3559" s="23">
        <v>0</v>
      </c>
      <c r="G3559" s="23">
        <v>0</v>
      </c>
      <c r="H3559" s="23">
        <v>0</v>
      </c>
      <c r="I3559" s="23">
        <v>0</v>
      </c>
      <c r="J3559" s="23">
        <v>0</v>
      </c>
      <c r="K3559" s="23">
        <v>0</v>
      </c>
    </row>
    <row r="3560" spans="1:11" x14ac:dyDescent="0.25">
      <c r="A3560">
        <v>3559</v>
      </c>
      <c r="B3560" s="23">
        <v>1421.2449999999999</v>
      </c>
      <c r="C3560" s="23">
        <v>88.56</v>
      </c>
      <c r="D3560" s="23">
        <v>321.09300000000002</v>
      </c>
      <c r="E3560" s="23">
        <v>321.09300000000002</v>
      </c>
      <c r="F3560" s="23">
        <v>0</v>
      </c>
      <c r="G3560" s="23">
        <v>0</v>
      </c>
      <c r="H3560" s="23">
        <v>0</v>
      </c>
      <c r="I3560" s="23">
        <v>1100.152</v>
      </c>
      <c r="J3560" s="23">
        <v>0</v>
      </c>
      <c r="K3560" s="23">
        <v>0</v>
      </c>
    </row>
    <row r="3561" spans="1:11" x14ac:dyDescent="0.25">
      <c r="A3561">
        <v>3560</v>
      </c>
      <c r="B3561" s="23">
        <v>1472.4090000000001</v>
      </c>
      <c r="C3561" s="23">
        <v>307.10000000000002</v>
      </c>
      <c r="D3561" s="23">
        <v>1197.434</v>
      </c>
      <c r="E3561" s="23">
        <v>1197.434</v>
      </c>
      <c r="F3561" s="23">
        <v>0</v>
      </c>
      <c r="G3561" s="23">
        <v>0</v>
      </c>
      <c r="H3561" s="23">
        <v>0</v>
      </c>
      <c r="I3561" s="23">
        <v>274.97500000000002</v>
      </c>
      <c r="J3561" s="23">
        <v>0</v>
      </c>
      <c r="K3561" s="23">
        <v>0</v>
      </c>
    </row>
    <row r="3562" spans="1:11" x14ac:dyDescent="0.25">
      <c r="A3562">
        <v>3561</v>
      </c>
      <c r="B3562" s="23">
        <v>1472.6790000000001</v>
      </c>
      <c r="C3562" s="23">
        <v>483.84</v>
      </c>
      <c r="D3562" s="23">
        <v>1862.665</v>
      </c>
      <c r="E3562" s="23">
        <v>1472.6790000000001</v>
      </c>
      <c r="F3562" s="23">
        <v>-389.98599999999999</v>
      </c>
      <c r="G3562" s="23">
        <v>0</v>
      </c>
      <c r="H3562" s="23">
        <v>0</v>
      </c>
      <c r="I3562" s="23">
        <v>0</v>
      </c>
      <c r="J3562" s="23">
        <v>0</v>
      </c>
      <c r="K3562" s="23">
        <v>0</v>
      </c>
    </row>
    <row r="3563" spans="1:11" x14ac:dyDescent="0.25">
      <c r="A3563">
        <v>3562</v>
      </c>
      <c r="B3563" s="23">
        <v>1255.664</v>
      </c>
      <c r="C3563" s="23">
        <v>571.51</v>
      </c>
      <c r="D3563" s="23">
        <v>2150.33</v>
      </c>
      <c r="E3563" s="23">
        <v>1255.664</v>
      </c>
      <c r="F3563" s="23">
        <v>-894.66600000000005</v>
      </c>
      <c r="G3563" s="23">
        <v>0</v>
      </c>
      <c r="H3563" s="23">
        <v>0</v>
      </c>
      <c r="I3563" s="23">
        <v>0</v>
      </c>
      <c r="J3563" s="23">
        <v>0</v>
      </c>
      <c r="K3563" s="23">
        <v>0</v>
      </c>
    </row>
    <row r="3564" spans="1:11" x14ac:dyDescent="0.25">
      <c r="A3564">
        <v>3563</v>
      </c>
      <c r="B3564" s="23">
        <v>1306.374</v>
      </c>
      <c r="C3564" s="23">
        <v>706.91</v>
      </c>
      <c r="D3564" s="23">
        <v>2612.2840000000001</v>
      </c>
      <c r="E3564" s="23">
        <v>1306.374</v>
      </c>
      <c r="F3564" s="23">
        <v>-1305.9100000000001</v>
      </c>
      <c r="G3564" s="23">
        <v>0</v>
      </c>
      <c r="H3564" s="23">
        <v>0</v>
      </c>
      <c r="I3564" s="23">
        <v>0</v>
      </c>
      <c r="J3564" s="23">
        <v>0</v>
      </c>
      <c r="K3564" s="23">
        <v>0</v>
      </c>
    </row>
    <row r="3565" spans="1:11" x14ac:dyDescent="0.25">
      <c r="A3565">
        <v>3564</v>
      </c>
      <c r="B3565" s="23">
        <v>1147.3689999999999</v>
      </c>
      <c r="C3565" s="23">
        <v>733.13</v>
      </c>
      <c r="D3565" s="23">
        <v>2699.27</v>
      </c>
      <c r="E3565" s="23">
        <v>1147.3689999999999</v>
      </c>
      <c r="F3565" s="23">
        <v>-1551.9010000000001</v>
      </c>
      <c r="G3565" s="23">
        <v>0</v>
      </c>
      <c r="H3565" s="23">
        <v>0</v>
      </c>
      <c r="I3565" s="23">
        <v>0</v>
      </c>
      <c r="J3565" s="23">
        <v>0</v>
      </c>
      <c r="K3565" s="23">
        <v>0</v>
      </c>
    </row>
    <row r="3566" spans="1:11" x14ac:dyDescent="0.25">
      <c r="A3566">
        <v>3565</v>
      </c>
      <c r="B3566" s="23">
        <v>1451.78</v>
      </c>
      <c r="C3566" s="23">
        <v>701.56</v>
      </c>
      <c r="D3566" s="23">
        <v>2588.4639999999999</v>
      </c>
      <c r="E3566" s="23">
        <v>1451.78</v>
      </c>
      <c r="F3566" s="23">
        <v>-1136.684</v>
      </c>
      <c r="G3566" s="23">
        <v>0</v>
      </c>
      <c r="H3566" s="23">
        <v>0</v>
      </c>
      <c r="I3566" s="23">
        <v>0</v>
      </c>
      <c r="J3566" s="23">
        <v>0</v>
      </c>
      <c r="K3566" s="23">
        <v>0</v>
      </c>
    </row>
    <row r="3567" spans="1:11" x14ac:dyDescent="0.25">
      <c r="A3567">
        <v>3566</v>
      </c>
      <c r="B3567" s="23">
        <v>1625.3589999999999</v>
      </c>
      <c r="C3567" s="23">
        <v>148.25</v>
      </c>
      <c r="D3567" s="23">
        <v>540.88599999999997</v>
      </c>
      <c r="E3567" s="23">
        <v>540.88599999999997</v>
      </c>
      <c r="F3567" s="23">
        <v>0</v>
      </c>
      <c r="G3567" s="23">
        <v>0</v>
      </c>
      <c r="H3567" s="23">
        <v>0</v>
      </c>
      <c r="I3567" s="23">
        <v>1084.473</v>
      </c>
      <c r="J3567" s="23">
        <v>0</v>
      </c>
      <c r="K3567" s="23">
        <v>0</v>
      </c>
    </row>
    <row r="3568" spans="1:11" x14ac:dyDescent="0.25">
      <c r="A3568">
        <v>3567</v>
      </c>
      <c r="B3568" s="23">
        <v>1496.6679999999999</v>
      </c>
      <c r="C3568" s="23">
        <v>63.74</v>
      </c>
      <c r="D3568" s="23">
        <v>215.21100000000001</v>
      </c>
      <c r="E3568" s="23">
        <v>215.21100000000001</v>
      </c>
      <c r="F3568" s="23">
        <v>0</v>
      </c>
      <c r="G3568" s="23">
        <v>0</v>
      </c>
      <c r="H3568" s="23">
        <v>0</v>
      </c>
      <c r="I3568" s="23">
        <v>1281.4570000000001</v>
      </c>
      <c r="J3568" s="23">
        <v>0</v>
      </c>
      <c r="K3568" s="23">
        <v>0</v>
      </c>
    </row>
    <row r="3569" spans="1:11" x14ac:dyDescent="0.25">
      <c r="A3569">
        <v>3568</v>
      </c>
      <c r="B3569" s="23">
        <v>1406.4549999999999</v>
      </c>
      <c r="C3569" s="23">
        <v>27.45</v>
      </c>
      <c r="D3569" s="23">
        <v>78.498999999999995</v>
      </c>
      <c r="E3569" s="23">
        <v>78.498999999999995</v>
      </c>
      <c r="F3569" s="23">
        <v>0</v>
      </c>
      <c r="G3569" s="23">
        <v>0</v>
      </c>
      <c r="H3569" s="23">
        <v>0</v>
      </c>
      <c r="I3569" s="23">
        <v>1327.9559999999999</v>
      </c>
      <c r="J3569" s="23">
        <v>0</v>
      </c>
      <c r="K3569" s="23">
        <v>0</v>
      </c>
    </row>
    <row r="3570" spans="1:11" x14ac:dyDescent="0.25">
      <c r="A3570">
        <v>3569</v>
      </c>
      <c r="B3570" s="23">
        <v>1189.6099999999999</v>
      </c>
      <c r="C3570" s="23">
        <v>100.06</v>
      </c>
      <c r="D3570" s="23">
        <v>366.38200000000001</v>
      </c>
      <c r="E3570" s="23">
        <v>366.38200000000001</v>
      </c>
      <c r="F3570" s="23">
        <v>0</v>
      </c>
      <c r="G3570" s="23">
        <v>0</v>
      </c>
      <c r="H3570" s="23">
        <v>0</v>
      </c>
      <c r="I3570" s="23">
        <v>823.22799999999995</v>
      </c>
      <c r="J3570" s="23">
        <v>0</v>
      </c>
      <c r="K3570" s="23">
        <v>0</v>
      </c>
    </row>
    <row r="3571" spans="1:11" x14ac:dyDescent="0.25">
      <c r="A3571">
        <v>3570</v>
      </c>
      <c r="B3571" s="23">
        <v>1307.693</v>
      </c>
      <c r="C3571" s="23">
        <v>52.79</v>
      </c>
      <c r="D3571" s="23">
        <v>173.089</v>
      </c>
      <c r="E3571" s="23">
        <v>173.089</v>
      </c>
      <c r="F3571" s="23">
        <v>0</v>
      </c>
      <c r="G3571" s="23">
        <v>0</v>
      </c>
      <c r="H3571" s="23">
        <v>0</v>
      </c>
      <c r="I3571" s="23">
        <v>0</v>
      </c>
      <c r="J3571" s="23">
        <v>0</v>
      </c>
      <c r="K3571" s="23">
        <v>1134.604</v>
      </c>
    </row>
    <row r="3572" spans="1:11" x14ac:dyDescent="0.25">
      <c r="A3572">
        <v>3571</v>
      </c>
      <c r="B3572" s="23">
        <v>1408</v>
      </c>
      <c r="C3572" s="23">
        <v>0</v>
      </c>
      <c r="D3572" s="23">
        <v>0</v>
      </c>
      <c r="E3572" s="23">
        <v>0</v>
      </c>
      <c r="F3572" s="23">
        <v>0</v>
      </c>
      <c r="G3572" s="23">
        <v>0</v>
      </c>
      <c r="H3572" s="23">
        <v>0</v>
      </c>
      <c r="I3572" s="23">
        <v>0</v>
      </c>
      <c r="J3572" s="23">
        <v>0</v>
      </c>
      <c r="K3572" s="23">
        <v>1408</v>
      </c>
    </row>
    <row r="3573" spans="1:11" x14ac:dyDescent="0.25">
      <c r="A3573">
        <v>3572</v>
      </c>
      <c r="B3573" s="23">
        <v>1389.6</v>
      </c>
      <c r="C3573" s="23">
        <v>0</v>
      </c>
      <c r="D3573" s="23">
        <v>0</v>
      </c>
      <c r="E3573" s="23">
        <v>0</v>
      </c>
      <c r="F3573" s="23">
        <v>0</v>
      </c>
      <c r="G3573" s="23">
        <v>0</v>
      </c>
      <c r="H3573" s="23">
        <v>0</v>
      </c>
      <c r="I3573" s="23">
        <v>0</v>
      </c>
      <c r="J3573" s="23">
        <v>0</v>
      </c>
      <c r="K3573" s="23">
        <v>1389.6</v>
      </c>
    </row>
    <row r="3574" spans="1:11" x14ac:dyDescent="0.25">
      <c r="A3574">
        <v>3573</v>
      </c>
      <c r="B3574" s="23">
        <v>1545.6</v>
      </c>
      <c r="C3574" s="23">
        <v>0</v>
      </c>
      <c r="D3574" s="23">
        <v>0</v>
      </c>
      <c r="E3574" s="23">
        <v>0</v>
      </c>
      <c r="F3574" s="23">
        <v>0</v>
      </c>
      <c r="G3574" s="23">
        <v>0</v>
      </c>
      <c r="H3574" s="23">
        <v>0</v>
      </c>
      <c r="I3574" s="23">
        <v>1545.6</v>
      </c>
      <c r="J3574" s="23">
        <v>0</v>
      </c>
      <c r="K3574" s="23">
        <v>0</v>
      </c>
    </row>
    <row r="3575" spans="1:11" x14ac:dyDescent="0.25">
      <c r="A3575">
        <v>3574</v>
      </c>
      <c r="B3575" s="23">
        <v>1364</v>
      </c>
      <c r="C3575" s="23">
        <v>0</v>
      </c>
      <c r="D3575" s="23">
        <v>0</v>
      </c>
      <c r="E3575" s="23">
        <v>0</v>
      </c>
      <c r="F3575" s="23">
        <v>0</v>
      </c>
      <c r="G3575" s="23">
        <v>0</v>
      </c>
      <c r="H3575" s="23">
        <v>0</v>
      </c>
      <c r="I3575" s="23">
        <v>1364</v>
      </c>
      <c r="J3575" s="23">
        <v>0</v>
      </c>
      <c r="K3575" s="23">
        <v>0</v>
      </c>
    </row>
    <row r="3576" spans="1:11" x14ac:dyDescent="0.25">
      <c r="A3576">
        <v>3575</v>
      </c>
      <c r="B3576" s="23">
        <v>1421.6</v>
      </c>
      <c r="C3576" s="23">
        <v>0</v>
      </c>
      <c r="D3576" s="23">
        <v>0</v>
      </c>
      <c r="E3576" s="23">
        <v>0</v>
      </c>
      <c r="F3576" s="23">
        <v>0</v>
      </c>
      <c r="G3576" s="23">
        <v>0</v>
      </c>
      <c r="H3576" s="23">
        <v>0</v>
      </c>
      <c r="I3576" s="23">
        <v>1421.6</v>
      </c>
      <c r="J3576" s="23">
        <v>0</v>
      </c>
      <c r="K3576" s="23">
        <v>0</v>
      </c>
    </row>
    <row r="3577" spans="1:11" x14ac:dyDescent="0.25">
      <c r="A3577">
        <v>3576</v>
      </c>
      <c r="B3577" s="23">
        <v>0</v>
      </c>
      <c r="C3577" s="23">
        <v>0</v>
      </c>
      <c r="D3577" s="23">
        <v>0</v>
      </c>
      <c r="E3577" s="23">
        <v>0</v>
      </c>
      <c r="F3577" s="23">
        <v>0</v>
      </c>
      <c r="G3577" s="23">
        <v>0</v>
      </c>
      <c r="H3577" s="23">
        <v>0</v>
      </c>
      <c r="I3577" s="23">
        <v>0</v>
      </c>
      <c r="J3577" s="23">
        <v>0</v>
      </c>
      <c r="K3577" s="23">
        <v>0</v>
      </c>
    </row>
    <row r="3578" spans="1:11" x14ac:dyDescent="0.25">
      <c r="A3578">
        <v>3577</v>
      </c>
      <c r="B3578" s="23">
        <v>0</v>
      </c>
      <c r="C3578" s="23">
        <v>0</v>
      </c>
      <c r="D3578" s="23">
        <v>0</v>
      </c>
      <c r="E3578" s="23">
        <v>0</v>
      </c>
      <c r="F3578" s="23">
        <v>0</v>
      </c>
      <c r="G3578" s="23">
        <v>0</v>
      </c>
      <c r="H3578" s="23">
        <v>0</v>
      </c>
      <c r="I3578" s="23">
        <v>0</v>
      </c>
      <c r="J3578" s="23">
        <v>0</v>
      </c>
      <c r="K3578" s="23">
        <v>0</v>
      </c>
    </row>
    <row r="3579" spans="1:11" x14ac:dyDescent="0.25">
      <c r="A3579">
        <v>3578</v>
      </c>
      <c r="B3579" s="23">
        <v>0</v>
      </c>
      <c r="C3579" s="23">
        <v>0</v>
      </c>
      <c r="D3579" s="23">
        <v>0</v>
      </c>
      <c r="E3579" s="23">
        <v>0</v>
      </c>
      <c r="F3579" s="23">
        <v>0</v>
      </c>
      <c r="G3579" s="23">
        <v>0</v>
      </c>
      <c r="H3579" s="23">
        <v>0</v>
      </c>
      <c r="I3579" s="23">
        <v>0</v>
      </c>
      <c r="J3579" s="23">
        <v>0</v>
      </c>
      <c r="K3579" s="23">
        <v>0</v>
      </c>
    </row>
    <row r="3580" spans="1:11" x14ac:dyDescent="0.25">
      <c r="A3580">
        <v>3579</v>
      </c>
      <c r="B3580" s="23">
        <v>0</v>
      </c>
      <c r="C3580" s="23">
        <v>0</v>
      </c>
      <c r="D3580" s="23">
        <v>0</v>
      </c>
      <c r="E3580" s="23">
        <v>0</v>
      </c>
      <c r="F3580" s="23">
        <v>0</v>
      </c>
      <c r="G3580" s="23">
        <v>0</v>
      </c>
      <c r="H3580" s="23">
        <v>0</v>
      </c>
      <c r="I3580" s="23">
        <v>0</v>
      </c>
      <c r="J3580" s="23">
        <v>0</v>
      </c>
      <c r="K3580" s="23">
        <v>0</v>
      </c>
    </row>
    <row r="3581" spans="1:11" x14ac:dyDescent="0.25">
      <c r="A3581">
        <v>3580</v>
      </c>
      <c r="B3581" s="23">
        <v>0</v>
      </c>
      <c r="C3581" s="23">
        <v>0</v>
      </c>
      <c r="D3581" s="23">
        <v>0</v>
      </c>
      <c r="E3581" s="23">
        <v>0</v>
      </c>
      <c r="F3581" s="23">
        <v>0</v>
      </c>
      <c r="G3581" s="23">
        <v>0</v>
      </c>
      <c r="H3581" s="23">
        <v>0</v>
      </c>
      <c r="I3581" s="23">
        <v>0</v>
      </c>
      <c r="J3581" s="23">
        <v>0</v>
      </c>
      <c r="K3581" s="23">
        <v>0</v>
      </c>
    </row>
    <row r="3582" spans="1:11" x14ac:dyDescent="0.25">
      <c r="A3582">
        <v>3581</v>
      </c>
      <c r="B3582" s="23">
        <v>0</v>
      </c>
      <c r="C3582" s="23">
        <v>0</v>
      </c>
      <c r="D3582" s="23">
        <v>0</v>
      </c>
      <c r="E3582" s="23">
        <v>0</v>
      </c>
      <c r="F3582" s="23">
        <v>0</v>
      </c>
      <c r="G3582" s="23">
        <v>0</v>
      </c>
      <c r="H3582" s="23">
        <v>0</v>
      </c>
      <c r="I3582" s="23">
        <v>0</v>
      </c>
      <c r="J3582" s="23">
        <v>0</v>
      </c>
      <c r="K3582" s="23">
        <v>0</v>
      </c>
    </row>
    <row r="3583" spans="1:11" x14ac:dyDescent="0.25">
      <c r="A3583">
        <v>3582</v>
      </c>
      <c r="B3583" s="23">
        <v>0</v>
      </c>
      <c r="C3583" s="23">
        <v>0</v>
      </c>
      <c r="D3583" s="23">
        <v>0</v>
      </c>
      <c r="E3583" s="23">
        <v>0</v>
      </c>
      <c r="F3583" s="23">
        <v>0</v>
      </c>
      <c r="G3583" s="23">
        <v>0</v>
      </c>
      <c r="H3583" s="23">
        <v>0</v>
      </c>
      <c r="I3583" s="23">
        <v>0</v>
      </c>
      <c r="J3583" s="23">
        <v>0</v>
      </c>
      <c r="K3583" s="23">
        <v>0</v>
      </c>
    </row>
    <row r="3584" spans="1:11" x14ac:dyDescent="0.25">
      <c r="A3584">
        <v>3583</v>
      </c>
      <c r="B3584" s="23">
        <v>1709.9649999999999</v>
      </c>
      <c r="C3584" s="23">
        <v>97.1</v>
      </c>
      <c r="D3584" s="23">
        <v>351.995</v>
      </c>
      <c r="E3584" s="23">
        <v>351.995</v>
      </c>
      <c r="F3584" s="23">
        <v>0</v>
      </c>
      <c r="G3584" s="23">
        <v>0</v>
      </c>
      <c r="H3584" s="23">
        <v>0</v>
      </c>
      <c r="I3584" s="23">
        <v>1357.97</v>
      </c>
      <c r="J3584" s="23">
        <v>0</v>
      </c>
      <c r="K3584" s="23">
        <v>0</v>
      </c>
    </row>
    <row r="3585" spans="1:11" x14ac:dyDescent="0.25">
      <c r="A3585">
        <v>3584</v>
      </c>
      <c r="B3585" s="23">
        <v>1408.4359999999999</v>
      </c>
      <c r="C3585" s="23">
        <v>260.19</v>
      </c>
      <c r="D3585" s="23">
        <v>1010.7430000000001</v>
      </c>
      <c r="E3585" s="23">
        <v>1010.7430000000001</v>
      </c>
      <c r="F3585" s="23">
        <v>0</v>
      </c>
      <c r="G3585" s="23">
        <v>0</v>
      </c>
      <c r="H3585" s="23">
        <v>0</v>
      </c>
      <c r="I3585" s="23">
        <v>397.69299999999998</v>
      </c>
      <c r="J3585" s="23">
        <v>0</v>
      </c>
      <c r="K3585" s="23">
        <v>0</v>
      </c>
    </row>
    <row r="3586" spans="1:11" x14ac:dyDescent="0.25">
      <c r="A3586">
        <v>3585</v>
      </c>
      <c r="B3586" s="23">
        <v>1450.739</v>
      </c>
      <c r="C3586" s="23">
        <v>431.83</v>
      </c>
      <c r="D3586" s="23">
        <v>1653.575</v>
      </c>
      <c r="E3586" s="23">
        <v>1450.739</v>
      </c>
      <c r="F3586" s="23">
        <v>-202.83600000000001</v>
      </c>
      <c r="G3586" s="23">
        <v>0</v>
      </c>
      <c r="H3586" s="23">
        <v>0</v>
      </c>
      <c r="I3586" s="23">
        <v>0</v>
      </c>
      <c r="J3586" s="23">
        <v>0</v>
      </c>
      <c r="K3586" s="23">
        <v>0</v>
      </c>
    </row>
    <row r="3587" spans="1:11" x14ac:dyDescent="0.25">
      <c r="A3587">
        <v>3586</v>
      </c>
      <c r="B3587" s="23">
        <v>1655.173</v>
      </c>
      <c r="C3587" s="23">
        <v>581.84</v>
      </c>
      <c r="D3587" s="23">
        <v>2170.12</v>
      </c>
      <c r="E3587" s="23">
        <v>1655.173</v>
      </c>
      <c r="F3587" s="23">
        <v>-514.947</v>
      </c>
      <c r="G3587" s="23">
        <v>0</v>
      </c>
      <c r="H3587" s="23">
        <v>0</v>
      </c>
      <c r="I3587" s="23">
        <v>0</v>
      </c>
      <c r="J3587" s="23">
        <v>0</v>
      </c>
      <c r="K3587" s="23">
        <v>0</v>
      </c>
    </row>
    <row r="3588" spans="1:11" x14ac:dyDescent="0.25">
      <c r="A3588">
        <v>3587</v>
      </c>
      <c r="B3588" s="23">
        <v>1645.7650000000001</v>
      </c>
      <c r="C3588" s="23">
        <v>576.6</v>
      </c>
      <c r="D3588" s="23">
        <v>2128.174</v>
      </c>
      <c r="E3588" s="23">
        <v>1645.7650000000001</v>
      </c>
      <c r="F3588" s="23">
        <v>-482.40899999999999</v>
      </c>
      <c r="G3588" s="23">
        <v>0</v>
      </c>
      <c r="H3588" s="23">
        <v>0</v>
      </c>
      <c r="I3588" s="23">
        <v>0</v>
      </c>
      <c r="J3588" s="23">
        <v>0</v>
      </c>
      <c r="K3588" s="23">
        <v>0</v>
      </c>
    </row>
    <row r="3589" spans="1:11" x14ac:dyDescent="0.25">
      <c r="A3589">
        <v>3588</v>
      </c>
      <c r="B3589" s="23">
        <v>1950.329</v>
      </c>
      <c r="C3589" s="23">
        <v>703.61</v>
      </c>
      <c r="D3589" s="23">
        <v>2567.915</v>
      </c>
      <c r="E3589" s="23">
        <v>1950.329</v>
      </c>
      <c r="F3589" s="23">
        <v>-617.58600000000001</v>
      </c>
      <c r="G3589" s="23">
        <v>0</v>
      </c>
      <c r="H3589" s="23">
        <v>0</v>
      </c>
      <c r="I3589" s="23">
        <v>0</v>
      </c>
      <c r="J3589" s="23">
        <v>0</v>
      </c>
      <c r="K3589" s="23">
        <v>0</v>
      </c>
    </row>
    <row r="3590" spans="1:11" x14ac:dyDescent="0.25">
      <c r="A3590">
        <v>3589</v>
      </c>
      <c r="B3590" s="23">
        <v>1604.172</v>
      </c>
      <c r="C3590" s="23">
        <v>566.6</v>
      </c>
      <c r="D3590" s="23">
        <v>2093.5839999999998</v>
      </c>
      <c r="E3590" s="23">
        <v>1604.172</v>
      </c>
      <c r="F3590" s="23">
        <v>-489.41199999999998</v>
      </c>
      <c r="G3590" s="23">
        <v>0</v>
      </c>
      <c r="H3590" s="23">
        <v>0</v>
      </c>
      <c r="I3590" s="23">
        <v>0</v>
      </c>
      <c r="J3590" s="23">
        <v>0</v>
      </c>
      <c r="K3590" s="23">
        <v>0</v>
      </c>
    </row>
    <row r="3591" spans="1:11" x14ac:dyDescent="0.25">
      <c r="A3591">
        <v>3590</v>
      </c>
      <c r="B3591" s="23">
        <v>1638.537</v>
      </c>
      <c r="C3591" s="23">
        <v>76.81</v>
      </c>
      <c r="D3591" s="23">
        <v>261.87299999999999</v>
      </c>
      <c r="E3591" s="23">
        <v>261.87299999999999</v>
      </c>
      <c r="F3591" s="23">
        <v>0</v>
      </c>
      <c r="G3591" s="23">
        <v>0</v>
      </c>
      <c r="H3591" s="23">
        <v>0</v>
      </c>
      <c r="I3591" s="23">
        <v>1376.664</v>
      </c>
      <c r="J3591" s="23">
        <v>0</v>
      </c>
      <c r="K3591" s="23">
        <v>0</v>
      </c>
    </row>
    <row r="3592" spans="1:11" x14ac:dyDescent="0.25">
      <c r="A3592">
        <v>3591</v>
      </c>
      <c r="B3592" s="23">
        <v>1750.3510000000001</v>
      </c>
      <c r="C3592" s="23">
        <v>184.26</v>
      </c>
      <c r="D3592" s="23">
        <v>684.28800000000001</v>
      </c>
      <c r="E3592" s="23">
        <v>684.28800000000001</v>
      </c>
      <c r="F3592" s="23">
        <v>0</v>
      </c>
      <c r="G3592" s="23">
        <v>0</v>
      </c>
      <c r="H3592" s="23">
        <v>0</v>
      </c>
      <c r="I3592" s="23">
        <v>1066.0630000000001</v>
      </c>
      <c r="J3592" s="23">
        <v>0</v>
      </c>
      <c r="K3592" s="23">
        <v>0</v>
      </c>
    </row>
    <row r="3593" spans="1:11" x14ac:dyDescent="0.25">
      <c r="A3593">
        <v>3592</v>
      </c>
      <c r="B3593" s="23">
        <v>1625.1210000000001</v>
      </c>
      <c r="C3593" s="23">
        <v>402.57</v>
      </c>
      <c r="D3593" s="23">
        <v>1553.731</v>
      </c>
      <c r="E3593" s="23">
        <v>1553.731</v>
      </c>
      <c r="F3593" s="23">
        <v>0</v>
      </c>
      <c r="G3593" s="23">
        <v>0</v>
      </c>
      <c r="H3593" s="23">
        <v>0</v>
      </c>
      <c r="I3593" s="23">
        <v>71.39</v>
      </c>
      <c r="J3593" s="23">
        <v>0</v>
      </c>
      <c r="K3593" s="23">
        <v>0</v>
      </c>
    </row>
    <row r="3594" spans="1:11" x14ac:dyDescent="0.25">
      <c r="A3594">
        <v>3593</v>
      </c>
      <c r="B3594" s="23">
        <v>1456.088</v>
      </c>
      <c r="C3594" s="23">
        <v>217.81</v>
      </c>
      <c r="D3594" s="23">
        <v>835.17399999999998</v>
      </c>
      <c r="E3594" s="23">
        <v>835.17399999999998</v>
      </c>
      <c r="F3594" s="23">
        <v>0</v>
      </c>
      <c r="G3594" s="23">
        <v>0</v>
      </c>
      <c r="H3594" s="23">
        <v>0</v>
      </c>
      <c r="I3594" s="23">
        <v>620.91399999999999</v>
      </c>
      <c r="J3594" s="23">
        <v>0</v>
      </c>
      <c r="K3594" s="23">
        <v>0</v>
      </c>
    </row>
    <row r="3595" spans="1:11" x14ac:dyDescent="0.25">
      <c r="A3595">
        <v>3594</v>
      </c>
      <c r="B3595" s="23">
        <v>1657.048</v>
      </c>
      <c r="C3595" s="23">
        <v>63.44</v>
      </c>
      <c r="D3595" s="23">
        <v>205.93299999999999</v>
      </c>
      <c r="E3595" s="23">
        <v>205.93299999999999</v>
      </c>
      <c r="F3595" s="23">
        <v>0</v>
      </c>
      <c r="G3595" s="23">
        <v>0</v>
      </c>
      <c r="H3595" s="23">
        <v>0</v>
      </c>
      <c r="I3595" s="23">
        <v>0</v>
      </c>
      <c r="J3595" s="23">
        <v>0</v>
      </c>
      <c r="K3595" s="23">
        <v>1451.115</v>
      </c>
    </row>
    <row r="3596" spans="1:11" x14ac:dyDescent="0.25">
      <c r="A3596">
        <v>3595</v>
      </c>
      <c r="B3596" s="23">
        <v>1497.5930000000001</v>
      </c>
      <c r="C3596" s="23">
        <v>0</v>
      </c>
      <c r="D3596" s="23">
        <v>0</v>
      </c>
      <c r="E3596" s="23">
        <v>0</v>
      </c>
      <c r="F3596" s="23">
        <v>0</v>
      </c>
      <c r="G3596" s="23">
        <v>0</v>
      </c>
      <c r="H3596" s="23">
        <v>0</v>
      </c>
      <c r="I3596" s="23">
        <v>0</v>
      </c>
      <c r="J3596" s="23">
        <v>0</v>
      </c>
      <c r="K3596" s="23">
        <v>1497.5930000000001</v>
      </c>
    </row>
    <row r="3597" spans="1:11" x14ac:dyDescent="0.25">
      <c r="A3597">
        <v>3596</v>
      </c>
      <c r="B3597" s="23">
        <v>1270.4000000000001</v>
      </c>
      <c r="C3597" s="23">
        <v>0</v>
      </c>
      <c r="D3597" s="23">
        <v>0</v>
      </c>
      <c r="E3597" s="23">
        <v>0</v>
      </c>
      <c r="F3597" s="23">
        <v>0</v>
      </c>
      <c r="G3597" s="23">
        <v>0</v>
      </c>
      <c r="H3597" s="23">
        <v>0</v>
      </c>
      <c r="I3597" s="23">
        <v>0</v>
      </c>
      <c r="J3597" s="23">
        <v>0</v>
      </c>
      <c r="K3597" s="23">
        <v>1270.4000000000001</v>
      </c>
    </row>
    <row r="3598" spans="1:11" x14ac:dyDescent="0.25">
      <c r="A3598">
        <v>3597</v>
      </c>
      <c r="B3598" s="23">
        <v>1587.2</v>
      </c>
      <c r="C3598" s="23">
        <v>0</v>
      </c>
      <c r="D3598" s="23">
        <v>0</v>
      </c>
      <c r="E3598" s="23">
        <v>0</v>
      </c>
      <c r="F3598" s="23">
        <v>0</v>
      </c>
      <c r="G3598" s="23">
        <v>0</v>
      </c>
      <c r="H3598" s="23">
        <v>0</v>
      </c>
      <c r="I3598" s="23">
        <v>1587.2</v>
      </c>
      <c r="J3598" s="23">
        <v>0</v>
      </c>
      <c r="K3598" s="23">
        <v>0</v>
      </c>
    </row>
    <row r="3599" spans="1:11" x14ac:dyDescent="0.25">
      <c r="A3599">
        <v>3598</v>
      </c>
      <c r="B3599" s="23">
        <v>1514.4</v>
      </c>
      <c r="C3599" s="23">
        <v>0</v>
      </c>
      <c r="D3599" s="23">
        <v>0</v>
      </c>
      <c r="E3599" s="23">
        <v>0</v>
      </c>
      <c r="F3599" s="23">
        <v>0</v>
      </c>
      <c r="G3599" s="23">
        <v>0</v>
      </c>
      <c r="H3599" s="23">
        <v>0</v>
      </c>
      <c r="I3599" s="23">
        <v>1514.4</v>
      </c>
      <c r="J3599" s="23">
        <v>0</v>
      </c>
      <c r="K3599" s="23">
        <v>0</v>
      </c>
    </row>
    <row r="3600" spans="1:11" x14ac:dyDescent="0.25">
      <c r="A3600">
        <v>3599</v>
      </c>
      <c r="B3600" s="23">
        <v>1600.8</v>
      </c>
      <c r="C3600" s="23">
        <v>0</v>
      </c>
      <c r="D3600" s="23">
        <v>0</v>
      </c>
      <c r="E3600" s="23">
        <v>0</v>
      </c>
      <c r="F3600" s="23">
        <v>0</v>
      </c>
      <c r="G3600" s="23">
        <v>0</v>
      </c>
      <c r="H3600" s="23">
        <v>0</v>
      </c>
      <c r="I3600" s="23">
        <v>1600.8</v>
      </c>
      <c r="J3600" s="23">
        <v>0</v>
      </c>
      <c r="K3600" s="23">
        <v>0</v>
      </c>
    </row>
    <row r="3601" spans="1:11" x14ac:dyDescent="0.25">
      <c r="A3601">
        <v>3600</v>
      </c>
      <c r="B3601" s="23">
        <v>0</v>
      </c>
      <c r="C3601" s="23">
        <v>0</v>
      </c>
      <c r="D3601" s="23">
        <v>0</v>
      </c>
      <c r="E3601" s="23">
        <v>0</v>
      </c>
      <c r="F3601" s="23">
        <v>0</v>
      </c>
      <c r="G3601" s="23">
        <v>0</v>
      </c>
      <c r="H3601" s="23">
        <v>0</v>
      </c>
      <c r="I3601" s="23">
        <v>0</v>
      </c>
      <c r="J3601" s="23">
        <v>0</v>
      </c>
      <c r="K3601" s="23">
        <v>0</v>
      </c>
    </row>
    <row r="3602" spans="1:11" x14ac:dyDescent="0.25">
      <c r="A3602">
        <v>3601</v>
      </c>
      <c r="B3602" s="23">
        <v>0</v>
      </c>
      <c r="C3602" s="23">
        <v>0</v>
      </c>
      <c r="D3602" s="23">
        <v>0</v>
      </c>
      <c r="E3602" s="23">
        <v>0</v>
      </c>
      <c r="F3602" s="23">
        <v>0</v>
      </c>
      <c r="G3602" s="23">
        <v>0</v>
      </c>
      <c r="H3602" s="23">
        <v>0</v>
      </c>
      <c r="I3602" s="23">
        <v>0</v>
      </c>
      <c r="J3602" s="23">
        <v>0</v>
      </c>
      <c r="K3602" s="23">
        <v>0</v>
      </c>
    </row>
    <row r="3603" spans="1:11" x14ac:dyDescent="0.25">
      <c r="A3603">
        <v>3602</v>
      </c>
      <c r="B3603" s="23">
        <v>0</v>
      </c>
      <c r="C3603" s="23">
        <v>0</v>
      </c>
      <c r="D3603" s="23">
        <v>0</v>
      </c>
      <c r="E3603" s="23">
        <v>0</v>
      </c>
      <c r="F3603" s="23">
        <v>0</v>
      </c>
      <c r="G3603" s="23">
        <v>0</v>
      </c>
      <c r="H3603" s="23">
        <v>0</v>
      </c>
      <c r="I3603" s="23">
        <v>0</v>
      </c>
      <c r="J3603" s="23">
        <v>0</v>
      </c>
      <c r="K3603" s="23">
        <v>0</v>
      </c>
    </row>
    <row r="3604" spans="1:11" x14ac:dyDescent="0.25">
      <c r="A3604">
        <v>3603</v>
      </c>
      <c r="B3604" s="23">
        <v>0</v>
      </c>
      <c r="C3604" s="23">
        <v>0</v>
      </c>
      <c r="D3604" s="23">
        <v>0</v>
      </c>
      <c r="E3604" s="23">
        <v>0</v>
      </c>
      <c r="F3604" s="23">
        <v>0</v>
      </c>
      <c r="G3604" s="23">
        <v>0</v>
      </c>
      <c r="H3604" s="23">
        <v>0</v>
      </c>
      <c r="I3604" s="23">
        <v>0</v>
      </c>
      <c r="J3604" s="23">
        <v>0</v>
      </c>
      <c r="K3604" s="23">
        <v>0</v>
      </c>
    </row>
    <row r="3605" spans="1:11" x14ac:dyDescent="0.25">
      <c r="A3605">
        <v>3604</v>
      </c>
      <c r="B3605" s="23">
        <v>0</v>
      </c>
      <c r="C3605" s="23">
        <v>0</v>
      </c>
      <c r="D3605" s="23">
        <v>0</v>
      </c>
      <c r="E3605" s="23">
        <v>0</v>
      </c>
      <c r="F3605" s="23">
        <v>0</v>
      </c>
      <c r="G3605" s="23">
        <v>0</v>
      </c>
      <c r="H3605" s="23">
        <v>0</v>
      </c>
      <c r="I3605" s="23">
        <v>0</v>
      </c>
      <c r="J3605" s="23">
        <v>0</v>
      </c>
      <c r="K3605" s="23">
        <v>0</v>
      </c>
    </row>
    <row r="3606" spans="1:11" x14ac:dyDescent="0.25">
      <c r="A3606">
        <v>3605</v>
      </c>
      <c r="B3606" s="23">
        <v>0</v>
      </c>
      <c r="C3606" s="23">
        <v>0</v>
      </c>
      <c r="D3606" s="23">
        <v>0</v>
      </c>
      <c r="E3606" s="23">
        <v>0</v>
      </c>
      <c r="F3606" s="23">
        <v>0</v>
      </c>
      <c r="G3606" s="23">
        <v>0</v>
      </c>
      <c r="H3606" s="23">
        <v>0</v>
      </c>
      <c r="I3606" s="23">
        <v>0</v>
      </c>
      <c r="J3606" s="23">
        <v>0</v>
      </c>
      <c r="K3606" s="23">
        <v>0</v>
      </c>
    </row>
    <row r="3607" spans="1:11" x14ac:dyDescent="0.25">
      <c r="A3607">
        <v>3606</v>
      </c>
      <c r="B3607" s="23">
        <v>0</v>
      </c>
      <c r="C3607" s="23">
        <v>0</v>
      </c>
      <c r="D3607" s="23">
        <v>0</v>
      </c>
      <c r="E3607" s="23">
        <v>0</v>
      </c>
      <c r="F3607" s="23">
        <v>0</v>
      </c>
      <c r="G3607" s="23">
        <v>0</v>
      </c>
      <c r="H3607" s="23">
        <v>0</v>
      </c>
      <c r="I3607" s="23">
        <v>0</v>
      </c>
      <c r="J3607" s="23">
        <v>0</v>
      </c>
      <c r="K3607" s="23">
        <v>0</v>
      </c>
    </row>
    <row r="3608" spans="1:11" x14ac:dyDescent="0.25">
      <c r="A3608">
        <v>3607</v>
      </c>
      <c r="B3608" s="23">
        <v>1586.4580000000001</v>
      </c>
      <c r="C3608" s="23">
        <v>128.71</v>
      </c>
      <c r="D3608" s="23">
        <v>397.44799999999998</v>
      </c>
      <c r="E3608" s="23">
        <v>397.44799999999998</v>
      </c>
      <c r="F3608" s="23">
        <v>0</v>
      </c>
      <c r="G3608" s="23">
        <v>0</v>
      </c>
      <c r="H3608" s="23">
        <v>0</v>
      </c>
      <c r="I3608" s="23">
        <v>805.00900000000001</v>
      </c>
      <c r="J3608" s="23">
        <v>0</v>
      </c>
      <c r="K3608" s="23">
        <v>384.00099999999998</v>
      </c>
    </row>
    <row r="3609" spans="1:11" x14ac:dyDescent="0.25">
      <c r="A3609">
        <v>3608</v>
      </c>
      <c r="B3609" s="23">
        <v>1339.3240000000001</v>
      </c>
      <c r="C3609" s="23">
        <v>346.37</v>
      </c>
      <c r="D3609" s="23">
        <v>1335.127</v>
      </c>
      <c r="E3609" s="23">
        <v>1335.127</v>
      </c>
      <c r="F3609" s="23">
        <v>0</v>
      </c>
      <c r="G3609" s="23">
        <v>0</v>
      </c>
      <c r="H3609" s="23">
        <v>0</v>
      </c>
      <c r="I3609" s="23">
        <v>0</v>
      </c>
      <c r="J3609" s="23">
        <v>0</v>
      </c>
      <c r="K3609" s="23">
        <v>4.1970000000000001</v>
      </c>
    </row>
    <row r="3610" spans="1:11" x14ac:dyDescent="0.25">
      <c r="A3610">
        <v>3609</v>
      </c>
      <c r="B3610" s="23">
        <v>1167.329</v>
      </c>
      <c r="C3610" s="23">
        <v>562.88</v>
      </c>
      <c r="D3610" s="23">
        <v>2173.4830000000002</v>
      </c>
      <c r="E3610" s="23">
        <v>1167.329</v>
      </c>
      <c r="F3610" s="23">
        <v>-1006.154</v>
      </c>
      <c r="G3610" s="23">
        <v>0</v>
      </c>
      <c r="H3610" s="23">
        <v>0</v>
      </c>
      <c r="I3610" s="23">
        <v>0</v>
      </c>
      <c r="J3610" s="23">
        <v>0</v>
      </c>
      <c r="K3610" s="23">
        <v>0</v>
      </c>
    </row>
    <row r="3611" spans="1:11" x14ac:dyDescent="0.25">
      <c r="A3611">
        <v>3610</v>
      </c>
      <c r="B3611" s="23">
        <v>1838.145</v>
      </c>
      <c r="C3611" s="23">
        <v>744.48</v>
      </c>
      <c r="D3611" s="23">
        <v>2739.6039999999998</v>
      </c>
      <c r="E3611" s="23">
        <v>1838.145</v>
      </c>
      <c r="F3611" s="23">
        <v>-901.45899999999995</v>
      </c>
      <c r="G3611" s="23">
        <v>0</v>
      </c>
      <c r="H3611" s="23">
        <v>0</v>
      </c>
      <c r="I3611" s="23">
        <v>0</v>
      </c>
      <c r="J3611" s="23">
        <v>0</v>
      </c>
      <c r="K3611" s="23">
        <v>0</v>
      </c>
    </row>
    <row r="3612" spans="1:11" x14ac:dyDescent="0.25">
      <c r="A3612">
        <v>3611</v>
      </c>
      <c r="B3612" s="23">
        <v>1601.039</v>
      </c>
      <c r="C3612" s="23">
        <v>871.84</v>
      </c>
      <c r="D3612" s="23">
        <v>3112.4690000000001</v>
      </c>
      <c r="E3612" s="23">
        <v>1601.039</v>
      </c>
      <c r="F3612" s="23">
        <v>-1511.43</v>
      </c>
      <c r="G3612" s="23">
        <v>0</v>
      </c>
      <c r="H3612" s="23">
        <v>0</v>
      </c>
      <c r="I3612" s="23">
        <v>0</v>
      </c>
      <c r="J3612" s="23">
        <v>0</v>
      </c>
      <c r="K3612" s="23">
        <v>0</v>
      </c>
    </row>
    <row r="3613" spans="1:11" x14ac:dyDescent="0.25">
      <c r="A3613">
        <v>3612</v>
      </c>
      <c r="B3613" s="23">
        <v>1499.82</v>
      </c>
      <c r="C3613" s="23">
        <v>932.79</v>
      </c>
      <c r="D3613" s="23">
        <v>3304.2730000000001</v>
      </c>
      <c r="E3613" s="23">
        <v>1499.82</v>
      </c>
      <c r="F3613" s="23">
        <v>-1684.559</v>
      </c>
      <c r="G3613" s="23">
        <v>0</v>
      </c>
      <c r="H3613" s="23">
        <v>119.89400000000001</v>
      </c>
      <c r="I3613" s="23">
        <v>0</v>
      </c>
      <c r="J3613" s="23">
        <v>0</v>
      </c>
      <c r="K3613" s="23">
        <v>0</v>
      </c>
    </row>
    <row r="3614" spans="1:11" x14ac:dyDescent="0.25">
      <c r="A3614">
        <v>3613</v>
      </c>
      <c r="B3614" s="23">
        <v>1916.9939999999999</v>
      </c>
      <c r="C3614" s="23">
        <v>811.62</v>
      </c>
      <c r="D3614" s="23">
        <v>2890.5059999999999</v>
      </c>
      <c r="E3614" s="23">
        <v>1916.9939999999999</v>
      </c>
      <c r="F3614" s="23">
        <v>-973.51199999999994</v>
      </c>
      <c r="G3614" s="23">
        <v>0</v>
      </c>
      <c r="H3614" s="23">
        <v>0</v>
      </c>
      <c r="I3614" s="23">
        <v>0</v>
      </c>
      <c r="J3614" s="23">
        <v>0</v>
      </c>
      <c r="K3614" s="23">
        <v>0</v>
      </c>
    </row>
    <row r="3615" spans="1:11" x14ac:dyDescent="0.25">
      <c r="A3615">
        <v>3614</v>
      </c>
      <c r="B3615" s="23">
        <v>1203.1990000000001</v>
      </c>
      <c r="C3615" s="23">
        <v>774.04</v>
      </c>
      <c r="D3615" s="23">
        <v>2786.7260000000001</v>
      </c>
      <c r="E3615" s="23">
        <v>1203.1990000000001</v>
      </c>
      <c r="F3615" s="23">
        <v>-1214.384</v>
      </c>
      <c r="G3615" s="23">
        <v>0</v>
      </c>
      <c r="H3615" s="23">
        <v>369.14299999999997</v>
      </c>
      <c r="I3615" s="23">
        <v>0</v>
      </c>
      <c r="J3615" s="23">
        <v>0</v>
      </c>
      <c r="K3615" s="23">
        <v>0</v>
      </c>
    </row>
    <row r="3616" spans="1:11" x14ac:dyDescent="0.25">
      <c r="A3616">
        <v>3615</v>
      </c>
      <c r="B3616" s="23">
        <v>1339.569</v>
      </c>
      <c r="C3616" s="23">
        <v>179.35</v>
      </c>
      <c r="D3616" s="23">
        <v>667.73599999999999</v>
      </c>
      <c r="E3616" s="23">
        <v>667.73599999999999</v>
      </c>
      <c r="F3616" s="23">
        <v>0</v>
      </c>
      <c r="G3616" s="23">
        <v>0</v>
      </c>
      <c r="H3616" s="23">
        <v>0</v>
      </c>
      <c r="I3616" s="23">
        <v>671.83299999999997</v>
      </c>
      <c r="J3616" s="23">
        <v>0</v>
      </c>
      <c r="K3616" s="23">
        <v>0</v>
      </c>
    </row>
    <row r="3617" spans="1:11" x14ac:dyDescent="0.25">
      <c r="A3617">
        <v>3616</v>
      </c>
      <c r="B3617" s="23">
        <v>1487.923</v>
      </c>
      <c r="C3617" s="23">
        <v>29.41</v>
      </c>
      <c r="D3617" s="23">
        <v>86.582999999999998</v>
      </c>
      <c r="E3617" s="23">
        <v>86.582999999999998</v>
      </c>
      <c r="F3617" s="23">
        <v>0</v>
      </c>
      <c r="G3617" s="23">
        <v>0</v>
      </c>
      <c r="H3617" s="23">
        <v>0</v>
      </c>
      <c r="I3617" s="23">
        <v>1401.34</v>
      </c>
      <c r="J3617" s="23">
        <v>0</v>
      </c>
      <c r="K3617" s="23">
        <v>0</v>
      </c>
    </row>
    <row r="3618" spans="1:11" x14ac:dyDescent="0.25">
      <c r="A3618">
        <v>3617</v>
      </c>
      <c r="B3618" s="23">
        <v>1570.8409999999999</v>
      </c>
      <c r="C3618" s="23">
        <v>110.02</v>
      </c>
      <c r="D3618" s="23">
        <v>407.82100000000003</v>
      </c>
      <c r="E3618" s="23">
        <v>407.82100000000003</v>
      </c>
      <c r="F3618" s="23">
        <v>0</v>
      </c>
      <c r="G3618" s="23">
        <v>0</v>
      </c>
      <c r="H3618" s="23">
        <v>0</v>
      </c>
      <c r="I3618" s="23">
        <v>1163.02</v>
      </c>
      <c r="J3618" s="23">
        <v>0</v>
      </c>
      <c r="K3618" s="23">
        <v>0</v>
      </c>
    </row>
    <row r="3619" spans="1:11" x14ac:dyDescent="0.25">
      <c r="A3619">
        <v>3618</v>
      </c>
      <c r="B3619" s="23">
        <v>1493.1959999999999</v>
      </c>
      <c r="C3619" s="23">
        <v>44.62</v>
      </c>
      <c r="D3619" s="23">
        <v>145.148</v>
      </c>
      <c r="E3619" s="23">
        <v>145.148</v>
      </c>
      <c r="F3619" s="23">
        <v>0</v>
      </c>
      <c r="G3619" s="23">
        <v>0</v>
      </c>
      <c r="H3619" s="23">
        <v>0</v>
      </c>
      <c r="I3619" s="23">
        <v>0</v>
      </c>
      <c r="J3619" s="23">
        <v>0</v>
      </c>
      <c r="K3619" s="23">
        <v>1348.048</v>
      </c>
    </row>
    <row r="3620" spans="1:11" x14ac:dyDescent="0.25">
      <c r="A3620">
        <v>3619</v>
      </c>
      <c r="B3620" s="23">
        <v>1175.7929999999999</v>
      </c>
      <c r="C3620" s="23">
        <v>0</v>
      </c>
      <c r="D3620" s="23">
        <v>0</v>
      </c>
      <c r="E3620" s="23">
        <v>0</v>
      </c>
      <c r="F3620" s="23">
        <v>0</v>
      </c>
      <c r="G3620" s="23">
        <v>0</v>
      </c>
      <c r="H3620" s="23">
        <v>0</v>
      </c>
      <c r="I3620" s="23">
        <v>0</v>
      </c>
      <c r="J3620" s="23">
        <v>0</v>
      </c>
      <c r="K3620" s="23">
        <v>1175.7929999999999</v>
      </c>
    </row>
    <row r="3621" spans="1:11" x14ac:dyDescent="0.25">
      <c r="A3621">
        <v>3620</v>
      </c>
      <c r="B3621" s="23">
        <v>1504</v>
      </c>
      <c r="C3621" s="23">
        <v>0</v>
      </c>
      <c r="D3621" s="23">
        <v>0</v>
      </c>
      <c r="E3621" s="23">
        <v>0</v>
      </c>
      <c r="F3621" s="23">
        <v>0</v>
      </c>
      <c r="G3621" s="23">
        <v>0</v>
      </c>
      <c r="H3621" s="23">
        <v>0</v>
      </c>
      <c r="I3621" s="23">
        <v>0</v>
      </c>
      <c r="J3621" s="23">
        <v>0</v>
      </c>
      <c r="K3621" s="23">
        <v>1504</v>
      </c>
    </row>
    <row r="3622" spans="1:11" x14ac:dyDescent="0.25">
      <c r="A3622">
        <v>3621</v>
      </c>
      <c r="B3622" s="23">
        <v>1400</v>
      </c>
      <c r="C3622" s="23">
        <v>0</v>
      </c>
      <c r="D3622" s="23">
        <v>0</v>
      </c>
      <c r="E3622" s="23">
        <v>0</v>
      </c>
      <c r="F3622" s="23">
        <v>0</v>
      </c>
      <c r="G3622" s="23">
        <v>0</v>
      </c>
      <c r="H3622" s="23">
        <v>0</v>
      </c>
      <c r="I3622" s="23">
        <v>1400</v>
      </c>
      <c r="J3622" s="23">
        <v>0</v>
      </c>
      <c r="K3622" s="23">
        <v>0</v>
      </c>
    </row>
    <row r="3623" spans="1:11" x14ac:dyDescent="0.25">
      <c r="A3623">
        <v>3622</v>
      </c>
      <c r="B3623" s="23">
        <v>1072</v>
      </c>
      <c r="C3623" s="23">
        <v>0</v>
      </c>
      <c r="D3623" s="23">
        <v>0</v>
      </c>
      <c r="E3623" s="23">
        <v>0</v>
      </c>
      <c r="F3623" s="23">
        <v>0</v>
      </c>
      <c r="G3623" s="23">
        <v>0</v>
      </c>
      <c r="H3623" s="23">
        <v>0</v>
      </c>
      <c r="I3623" s="23">
        <v>1072</v>
      </c>
      <c r="J3623" s="23">
        <v>0</v>
      </c>
      <c r="K3623" s="23">
        <v>0</v>
      </c>
    </row>
    <row r="3624" spans="1:11" x14ac:dyDescent="0.25">
      <c r="A3624">
        <v>3623</v>
      </c>
      <c r="B3624" s="23">
        <v>1568.8</v>
      </c>
      <c r="C3624" s="23">
        <v>0</v>
      </c>
      <c r="D3624" s="23">
        <v>0</v>
      </c>
      <c r="E3624" s="23">
        <v>0</v>
      </c>
      <c r="F3624" s="23">
        <v>0</v>
      </c>
      <c r="G3624" s="23">
        <v>0</v>
      </c>
      <c r="H3624" s="23">
        <v>0</v>
      </c>
      <c r="I3624" s="23">
        <v>1568.8</v>
      </c>
      <c r="J3624" s="23">
        <v>0</v>
      </c>
      <c r="K3624" s="23">
        <v>0</v>
      </c>
    </row>
    <row r="3625" spans="1:11" x14ac:dyDescent="0.25">
      <c r="A3625">
        <v>3624</v>
      </c>
      <c r="B3625" s="23">
        <v>0</v>
      </c>
      <c r="C3625" s="23">
        <v>0</v>
      </c>
      <c r="D3625" s="23">
        <v>0</v>
      </c>
      <c r="E3625" s="23">
        <v>0</v>
      </c>
      <c r="F3625" s="23">
        <v>0</v>
      </c>
      <c r="G3625" s="23">
        <v>0</v>
      </c>
      <c r="H3625" s="23">
        <v>0</v>
      </c>
      <c r="I3625" s="23">
        <v>0</v>
      </c>
      <c r="J3625" s="23">
        <v>0</v>
      </c>
      <c r="K3625" s="23">
        <v>0</v>
      </c>
    </row>
    <row r="3626" spans="1:11" x14ac:dyDescent="0.25">
      <c r="A3626">
        <v>3625</v>
      </c>
      <c r="B3626" s="23">
        <v>1048.1160090000001</v>
      </c>
      <c r="C3626" s="23">
        <v>0</v>
      </c>
      <c r="D3626" s="23">
        <v>0</v>
      </c>
      <c r="E3626" s="23">
        <v>0</v>
      </c>
      <c r="F3626" s="23">
        <v>0</v>
      </c>
      <c r="G3626" s="23">
        <v>0</v>
      </c>
      <c r="H3626" s="23">
        <v>0</v>
      </c>
      <c r="I3626" s="23">
        <v>1048.116</v>
      </c>
      <c r="J3626" s="23">
        <v>0</v>
      </c>
      <c r="K3626" s="23">
        <v>0</v>
      </c>
    </row>
    <row r="3627" spans="1:11" x14ac:dyDescent="0.25">
      <c r="A3627">
        <v>3626</v>
      </c>
      <c r="B3627" s="23">
        <v>1148.1467299999999</v>
      </c>
      <c r="C3627" s="23">
        <v>0</v>
      </c>
      <c r="D3627" s="23">
        <v>0</v>
      </c>
      <c r="E3627" s="23">
        <v>0</v>
      </c>
      <c r="F3627" s="23">
        <v>0</v>
      </c>
      <c r="G3627" s="23">
        <v>0</v>
      </c>
      <c r="H3627" s="23">
        <v>0</v>
      </c>
      <c r="I3627" s="23">
        <v>1148.1469999999999</v>
      </c>
      <c r="J3627" s="23">
        <v>0</v>
      </c>
      <c r="K3627" s="23">
        <v>0</v>
      </c>
    </row>
    <row r="3628" spans="1:11" x14ac:dyDescent="0.25">
      <c r="A3628">
        <v>3627</v>
      </c>
      <c r="B3628" s="23">
        <v>1165.06369</v>
      </c>
      <c r="C3628" s="23">
        <v>0</v>
      </c>
      <c r="D3628" s="23">
        <v>0</v>
      </c>
      <c r="E3628" s="23">
        <v>0</v>
      </c>
      <c r="F3628" s="23">
        <v>0</v>
      </c>
      <c r="G3628" s="23">
        <v>0</v>
      </c>
      <c r="H3628" s="23">
        <v>0</v>
      </c>
      <c r="I3628" s="23">
        <v>1165.0640000000001</v>
      </c>
      <c r="J3628" s="23">
        <v>0</v>
      </c>
      <c r="K3628" s="23">
        <v>0</v>
      </c>
    </row>
    <row r="3629" spans="1:11" x14ac:dyDescent="0.25">
      <c r="A3629">
        <v>3628</v>
      </c>
      <c r="B3629" s="23">
        <v>1257.0036909999999</v>
      </c>
      <c r="C3629" s="23">
        <v>0</v>
      </c>
      <c r="D3629" s="23">
        <v>0</v>
      </c>
      <c r="E3629" s="23">
        <v>0</v>
      </c>
      <c r="F3629" s="23">
        <v>0</v>
      </c>
      <c r="G3629" s="23">
        <v>0</v>
      </c>
      <c r="H3629" s="23">
        <v>0</v>
      </c>
      <c r="I3629" s="23">
        <v>1257.0039999999999</v>
      </c>
      <c r="J3629" s="23">
        <v>0</v>
      </c>
      <c r="K3629" s="23">
        <v>0</v>
      </c>
    </row>
    <row r="3630" spans="1:11" x14ac:dyDescent="0.25">
      <c r="A3630">
        <v>3629</v>
      </c>
      <c r="B3630" s="23">
        <v>1164.32817</v>
      </c>
      <c r="C3630" s="23">
        <v>0</v>
      </c>
      <c r="D3630" s="23">
        <v>0</v>
      </c>
      <c r="E3630" s="23">
        <v>0</v>
      </c>
      <c r="F3630" s="23">
        <v>0</v>
      </c>
      <c r="G3630" s="23">
        <v>0</v>
      </c>
      <c r="H3630" s="23">
        <v>0</v>
      </c>
      <c r="I3630" s="23">
        <v>1164.328</v>
      </c>
      <c r="J3630" s="23">
        <v>0</v>
      </c>
      <c r="K3630" s="23">
        <v>0</v>
      </c>
    </row>
    <row r="3631" spans="1:11" x14ac:dyDescent="0.25">
      <c r="A3631">
        <v>3630</v>
      </c>
      <c r="B3631" s="23">
        <v>1084.8920089999999</v>
      </c>
      <c r="C3631" s="23">
        <v>0</v>
      </c>
      <c r="D3631" s="23">
        <v>0</v>
      </c>
      <c r="E3631" s="23">
        <v>0</v>
      </c>
      <c r="F3631" s="23">
        <v>0</v>
      </c>
      <c r="G3631" s="23">
        <v>0</v>
      </c>
      <c r="H3631" s="23">
        <v>0</v>
      </c>
      <c r="I3631" s="23">
        <v>878.06</v>
      </c>
      <c r="J3631" s="23">
        <v>0</v>
      </c>
      <c r="K3631" s="23">
        <v>206.83199999999999</v>
      </c>
    </row>
    <row r="3632" spans="1:11" x14ac:dyDescent="0.25">
      <c r="A3632">
        <v>3631</v>
      </c>
      <c r="B3632" s="23">
        <v>1136.1375270000001</v>
      </c>
      <c r="C3632" s="23">
        <v>127.17</v>
      </c>
      <c r="D3632" s="23">
        <v>399.39100000000002</v>
      </c>
      <c r="E3632" s="23">
        <v>399.39100000000002</v>
      </c>
      <c r="F3632" s="23">
        <v>0</v>
      </c>
      <c r="G3632" s="23">
        <v>0</v>
      </c>
      <c r="H3632" s="23">
        <v>0</v>
      </c>
      <c r="I3632" s="23">
        <v>0</v>
      </c>
      <c r="J3632" s="23">
        <v>0</v>
      </c>
      <c r="K3632" s="23">
        <v>736.74699999999996</v>
      </c>
    </row>
    <row r="3633" spans="1:11" x14ac:dyDescent="0.25">
      <c r="A3633">
        <v>3632</v>
      </c>
      <c r="B3633" s="23">
        <v>857.2623585</v>
      </c>
      <c r="C3633" s="23">
        <v>343.49</v>
      </c>
      <c r="D3633" s="23">
        <v>1332.3679999999999</v>
      </c>
      <c r="E3633" s="23">
        <v>857.26199999999994</v>
      </c>
      <c r="F3633" s="23">
        <v>-475.10599999999999</v>
      </c>
      <c r="G3633" s="23">
        <v>0</v>
      </c>
      <c r="H3633" s="23">
        <v>0</v>
      </c>
      <c r="I3633" s="23">
        <v>0</v>
      </c>
      <c r="J3633" s="23">
        <v>0</v>
      </c>
      <c r="K3633" s="23">
        <v>0</v>
      </c>
    </row>
    <row r="3634" spans="1:11" x14ac:dyDescent="0.25">
      <c r="A3634">
        <v>3633</v>
      </c>
      <c r="B3634" s="23">
        <v>1126.976625</v>
      </c>
      <c r="C3634" s="23">
        <v>558.77</v>
      </c>
      <c r="D3634" s="23">
        <v>2192.7719999999999</v>
      </c>
      <c r="E3634" s="23">
        <v>1126.9760000000001</v>
      </c>
      <c r="F3634" s="23">
        <v>-1065.796</v>
      </c>
      <c r="G3634" s="23">
        <v>0</v>
      </c>
      <c r="H3634" s="23">
        <v>0</v>
      </c>
      <c r="I3634" s="23">
        <v>0</v>
      </c>
      <c r="J3634" s="23">
        <v>0</v>
      </c>
      <c r="K3634" s="23">
        <v>0</v>
      </c>
    </row>
    <row r="3635" spans="1:11" x14ac:dyDescent="0.25">
      <c r="A3635">
        <v>3634</v>
      </c>
      <c r="B3635" s="23">
        <v>1088.1963330000001</v>
      </c>
      <c r="C3635" s="23">
        <v>474.39</v>
      </c>
      <c r="D3635" s="23">
        <v>1804.038</v>
      </c>
      <c r="E3635" s="23">
        <v>1088.1959999999999</v>
      </c>
      <c r="F3635" s="23">
        <v>-715.84199999999998</v>
      </c>
      <c r="G3635" s="23">
        <v>0</v>
      </c>
      <c r="H3635" s="23">
        <v>0</v>
      </c>
      <c r="I3635" s="23">
        <v>0</v>
      </c>
      <c r="J3635" s="23">
        <v>0</v>
      </c>
      <c r="K3635" s="23">
        <v>0</v>
      </c>
    </row>
    <row r="3636" spans="1:11" x14ac:dyDescent="0.25">
      <c r="A3636">
        <v>3635</v>
      </c>
      <c r="B3636" s="23">
        <v>1073.6523440000001</v>
      </c>
      <c r="C3636" s="23">
        <v>647.42999999999995</v>
      </c>
      <c r="D3636" s="23">
        <v>2417.4879999999998</v>
      </c>
      <c r="E3636" s="23">
        <v>1073.652</v>
      </c>
      <c r="F3636" s="23">
        <v>-1343.836</v>
      </c>
      <c r="G3636" s="23">
        <v>0</v>
      </c>
      <c r="H3636" s="23">
        <v>0</v>
      </c>
      <c r="I3636" s="23">
        <v>0</v>
      </c>
      <c r="J3636" s="23">
        <v>0</v>
      </c>
      <c r="K3636" s="23">
        <v>0</v>
      </c>
    </row>
    <row r="3637" spans="1:11" x14ac:dyDescent="0.25">
      <c r="A3637">
        <v>3636</v>
      </c>
      <c r="B3637" s="23">
        <v>1056.483469</v>
      </c>
      <c r="C3637" s="23">
        <v>568.89</v>
      </c>
      <c r="D3637" s="23">
        <v>2124.7240000000002</v>
      </c>
      <c r="E3637" s="23">
        <v>1056.4839999999999</v>
      </c>
      <c r="F3637" s="23">
        <v>-1068.24</v>
      </c>
      <c r="G3637" s="23">
        <v>0</v>
      </c>
      <c r="H3637" s="23">
        <v>0</v>
      </c>
      <c r="I3637" s="23">
        <v>0</v>
      </c>
      <c r="J3637" s="23">
        <v>0</v>
      </c>
      <c r="K3637" s="23">
        <v>0</v>
      </c>
    </row>
    <row r="3638" spans="1:11" x14ac:dyDescent="0.25">
      <c r="A3638">
        <v>3637</v>
      </c>
      <c r="B3638" s="23">
        <v>976.00195010000004</v>
      </c>
      <c r="C3638" s="23">
        <v>408.27</v>
      </c>
      <c r="D3638" s="23">
        <v>1534.5920000000001</v>
      </c>
      <c r="E3638" s="23">
        <v>976.00199999999995</v>
      </c>
      <c r="F3638" s="23">
        <v>-558.59</v>
      </c>
      <c r="G3638" s="23">
        <v>0</v>
      </c>
      <c r="H3638" s="23">
        <v>0</v>
      </c>
      <c r="I3638" s="23">
        <v>0</v>
      </c>
      <c r="J3638" s="23">
        <v>0</v>
      </c>
      <c r="K3638" s="23">
        <v>0</v>
      </c>
    </row>
    <row r="3639" spans="1:11" x14ac:dyDescent="0.25">
      <c r="A3639">
        <v>3638</v>
      </c>
      <c r="B3639" s="23">
        <v>1109.747989</v>
      </c>
      <c r="C3639" s="23">
        <v>140.46</v>
      </c>
      <c r="D3639" s="23">
        <v>513.72500000000002</v>
      </c>
      <c r="E3639" s="23">
        <v>513.72500000000002</v>
      </c>
      <c r="F3639" s="23">
        <v>0</v>
      </c>
      <c r="G3639" s="23">
        <v>0</v>
      </c>
      <c r="H3639" s="23">
        <v>0</v>
      </c>
      <c r="I3639" s="23">
        <v>0</v>
      </c>
      <c r="J3639" s="23">
        <v>0</v>
      </c>
      <c r="K3639" s="23">
        <v>596.02300000000002</v>
      </c>
    </row>
    <row r="3640" spans="1:11" x14ac:dyDescent="0.25">
      <c r="A3640">
        <v>3639</v>
      </c>
      <c r="B3640" s="23">
        <v>1130.2855460000001</v>
      </c>
      <c r="C3640" s="23">
        <v>551.75</v>
      </c>
      <c r="D3640" s="23">
        <v>2098.8380000000002</v>
      </c>
      <c r="E3640" s="23">
        <v>1130.2860000000001</v>
      </c>
      <c r="F3640" s="23">
        <v>-968.55200000000002</v>
      </c>
      <c r="G3640" s="23">
        <v>0</v>
      </c>
      <c r="H3640" s="23">
        <v>0</v>
      </c>
      <c r="I3640" s="23">
        <v>0</v>
      </c>
      <c r="J3640" s="23">
        <v>0</v>
      </c>
      <c r="K3640" s="23">
        <v>0</v>
      </c>
    </row>
    <row r="3641" spans="1:11" x14ac:dyDescent="0.25">
      <c r="A3641">
        <v>3640</v>
      </c>
      <c r="B3641" s="23">
        <v>1121.2717479999999</v>
      </c>
      <c r="C3641" s="23">
        <v>253.22</v>
      </c>
      <c r="D3641" s="23">
        <v>974.26800000000003</v>
      </c>
      <c r="E3641" s="23">
        <v>974.26800000000003</v>
      </c>
      <c r="F3641" s="23">
        <v>0</v>
      </c>
      <c r="G3641" s="23">
        <v>0</v>
      </c>
      <c r="H3641" s="23">
        <v>0</v>
      </c>
      <c r="I3641" s="23">
        <v>147.00399999999999</v>
      </c>
      <c r="J3641" s="23">
        <v>0</v>
      </c>
      <c r="K3641" s="23">
        <v>0</v>
      </c>
    </row>
    <row r="3642" spans="1:11" x14ac:dyDescent="0.25">
      <c r="A3642">
        <v>3641</v>
      </c>
      <c r="B3642" s="23">
        <v>781.80352219999997</v>
      </c>
      <c r="C3642" s="23">
        <v>84.92</v>
      </c>
      <c r="D3642" s="23">
        <v>309.06700000000001</v>
      </c>
      <c r="E3642" s="23">
        <v>309.06700000000001</v>
      </c>
      <c r="F3642" s="23">
        <v>0</v>
      </c>
      <c r="G3642" s="23">
        <v>0</v>
      </c>
      <c r="H3642" s="23">
        <v>0</v>
      </c>
      <c r="I3642" s="23">
        <v>472.73599999999999</v>
      </c>
      <c r="J3642" s="23">
        <v>0</v>
      </c>
      <c r="K3642" s="23">
        <v>0</v>
      </c>
    </row>
    <row r="3643" spans="1:11" x14ac:dyDescent="0.25">
      <c r="A3643">
        <v>3642</v>
      </c>
      <c r="B3643" s="23">
        <v>946.94890989999999</v>
      </c>
      <c r="C3643" s="23">
        <v>32.340000000000003</v>
      </c>
      <c r="D3643" s="23">
        <v>98.304000000000002</v>
      </c>
      <c r="E3643" s="23">
        <v>98.304000000000002</v>
      </c>
      <c r="F3643" s="23">
        <v>0</v>
      </c>
      <c r="G3643" s="23">
        <v>0</v>
      </c>
      <c r="H3643" s="23">
        <v>0</v>
      </c>
      <c r="I3643" s="23">
        <v>10.315</v>
      </c>
      <c r="J3643" s="23">
        <v>0</v>
      </c>
      <c r="K3643" s="23">
        <v>838.33</v>
      </c>
    </row>
    <row r="3644" spans="1:11" x14ac:dyDescent="0.25">
      <c r="A3644">
        <v>3643</v>
      </c>
      <c r="B3644" s="23">
        <v>1087.8340889999999</v>
      </c>
      <c r="C3644" s="23">
        <v>0</v>
      </c>
      <c r="D3644" s="23">
        <v>0</v>
      </c>
      <c r="E3644" s="23">
        <v>0</v>
      </c>
      <c r="F3644" s="23">
        <v>0</v>
      </c>
      <c r="G3644" s="23">
        <v>0</v>
      </c>
      <c r="H3644" s="23">
        <v>0</v>
      </c>
      <c r="I3644" s="23">
        <v>0</v>
      </c>
      <c r="J3644" s="23">
        <v>0</v>
      </c>
      <c r="K3644" s="23">
        <v>1087.8340000000001</v>
      </c>
    </row>
    <row r="3645" spans="1:11" x14ac:dyDescent="0.25">
      <c r="A3645">
        <v>3644</v>
      </c>
      <c r="B3645" s="23">
        <v>1190.0713699999999</v>
      </c>
      <c r="C3645" s="23">
        <v>0</v>
      </c>
      <c r="D3645" s="23">
        <v>0</v>
      </c>
      <c r="E3645" s="23">
        <v>0</v>
      </c>
      <c r="F3645" s="23">
        <v>0</v>
      </c>
      <c r="G3645" s="23">
        <v>0</v>
      </c>
      <c r="H3645" s="23">
        <v>0</v>
      </c>
      <c r="I3645" s="23">
        <v>0</v>
      </c>
      <c r="J3645" s="23">
        <v>0</v>
      </c>
      <c r="K3645" s="23">
        <v>1190.0709999999999</v>
      </c>
    </row>
    <row r="3646" spans="1:11" x14ac:dyDescent="0.25">
      <c r="A3646">
        <v>3645</v>
      </c>
      <c r="B3646" s="23">
        <v>939.25904820000005</v>
      </c>
      <c r="C3646" s="23">
        <v>0</v>
      </c>
      <c r="D3646" s="23">
        <v>0</v>
      </c>
      <c r="E3646" s="23">
        <v>0</v>
      </c>
      <c r="F3646" s="23">
        <v>0</v>
      </c>
      <c r="G3646" s="23">
        <v>0</v>
      </c>
      <c r="H3646" s="23">
        <v>0</v>
      </c>
      <c r="I3646" s="23">
        <v>0</v>
      </c>
      <c r="J3646" s="23">
        <v>0</v>
      </c>
      <c r="K3646" s="23">
        <v>939.25900000000001</v>
      </c>
    </row>
    <row r="3647" spans="1:11" x14ac:dyDescent="0.25">
      <c r="A3647">
        <v>3646</v>
      </c>
      <c r="B3647" s="23">
        <v>1095.18929</v>
      </c>
      <c r="C3647" s="23">
        <v>0</v>
      </c>
      <c r="D3647" s="23">
        <v>0</v>
      </c>
      <c r="E3647" s="23">
        <v>0</v>
      </c>
      <c r="F3647" s="23">
        <v>0</v>
      </c>
      <c r="G3647" s="23">
        <v>0</v>
      </c>
      <c r="H3647" s="23">
        <v>0</v>
      </c>
      <c r="I3647" s="23">
        <v>0</v>
      </c>
      <c r="J3647" s="23">
        <v>0</v>
      </c>
      <c r="K3647" s="23">
        <v>1095.1890000000001</v>
      </c>
    </row>
    <row r="3648" spans="1:11" x14ac:dyDescent="0.25">
      <c r="A3648">
        <v>3647</v>
      </c>
      <c r="B3648" s="23">
        <v>1081.2144089999999</v>
      </c>
      <c r="C3648" s="23">
        <v>0</v>
      </c>
      <c r="D3648" s="23">
        <v>0</v>
      </c>
      <c r="E3648" s="23">
        <v>0</v>
      </c>
      <c r="F3648" s="23">
        <v>0</v>
      </c>
      <c r="G3648" s="23">
        <v>0</v>
      </c>
      <c r="H3648" s="23">
        <v>0</v>
      </c>
      <c r="I3648" s="23">
        <v>0</v>
      </c>
      <c r="J3648" s="23">
        <v>0</v>
      </c>
      <c r="K3648" s="23">
        <v>1081.2139999999999</v>
      </c>
    </row>
    <row r="3649" spans="1:11" x14ac:dyDescent="0.25">
      <c r="A3649">
        <v>3648</v>
      </c>
      <c r="B3649" s="23">
        <v>159.60784140000001</v>
      </c>
      <c r="C3649" s="23">
        <v>0</v>
      </c>
      <c r="D3649" s="23">
        <v>0</v>
      </c>
      <c r="E3649" s="23">
        <v>0</v>
      </c>
      <c r="F3649" s="23">
        <v>0</v>
      </c>
      <c r="G3649" s="23">
        <v>0</v>
      </c>
      <c r="H3649" s="23">
        <v>0</v>
      </c>
      <c r="I3649" s="23">
        <v>0</v>
      </c>
      <c r="J3649" s="23">
        <v>0</v>
      </c>
      <c r="K3649" s="23">
        <v>159.608</v>
      </c>
    </row>
    <row r="3650" spans="1:11" x14ac:dyDescent="0.25">
      <c r="A3650">
        <v>3649</v>
      </c>
      <c r="B3650" s="23">
        <v>82.378240719999994</v>
      </c>
      <c r="C3650" s="23">
        <v>0</v>
      </c>
      <c r="D3650" s="23">
        <v>0</v>
      </c>
      <c r="E3650" s="23">
        <v>0</v>
      </c>
      <c r="F3650" s="23">
        <v>0</v>
      </c>
      <c r="G3650" s="23">
        <v>0</v>
      </c>
      <c r="H3650" s="23">
        <v>0</v>
      </c>
      <c r="I3650" s="23">
        <v>82.378</v>
      </c>
      <c r="J3650" s="23">
        <v>0</v>
      </c>
      <c r="K3650" s="23">
        <v>0</v>
      </c>
    </row>
    <row r="3651" spans="1:11" x14ac:dyDescent="0.25">
      <c r="A3651">
        <v>3650</v>
      </c>
      <c r="B3651" s="23">
        <v>157.40128139999999</v>
      </c>
      <c r="C3651" s="23">
        <v>0</v>
      </c>
      <c r="D3651" s="23">
        <v>0</v>
      </c>
      <c r="E3651" s="23">
        <v>0</v>
      </c>
      <c r="F3651" s="23">
        <v>0</v>
      </c>
      <c r="G3651" s="23">
        <v>0</v>
      </c>
      <c r="H3651" s="23">
        <v>0</v>
      </c>
      <c r="I3651" s="23">
        <v>157.40100000000001</v>
      </c>
      <c r="J3651" s="23">
        <v>0</v>
      </c>
      <c r="K3651" s="23">
        <v>0</v>
      </c>
    </row>
    <row r="3652" spans="1:11" x14ac:dyDescent="0.25">
      <c r="A3652">
        <v>3651</v>
      </c>
      <c r="B3652" s="23">
        <v>100.7662409</v>
      </c>
      <c r="C3652" s="23">
        <v>0</v>
      </c>
      <c r="D3652" s="23">
        <v>0</v>
      </c>
      <c r="E3652" s="23">
        <v>0</v>
      </c>
      <c r="F3652" s="23">
        <v>0</v>
      </c>
      <c r="G3652" s="23">
        <v>0</v>
      </c>
      <c r="H3652" s="23">
        <v>0</v>
      </c>
      <c r="I3652" s="23">
        <v>100.76600000000001</v>
      </c>
      <c r="J3652" s="23">
        <v>0</v>
      </c>
      <c r="K3652" s="23">
        <v>0</v>
      </c>
    </row>
    <row r="3653" spans="1:11" x14ac:dyDescent="0.25">
      <c r="A3653">
        <v>3652</v>
      </c>
      <c r="B3653" s="23">
        <v>105.17936090000001</v>
      </c>
      <c r="C3653" s="23">
        <v>0</v>
      </c>
      <c r="D3653" s="23">
        <v>0</v>
      </c>
      <c r="E3653" s="23">
        <v>0</v>
      </c>
      <c r="F3653" s="23">
        <v>0</v>
      </c>
      <c r="G3653" s="23">
        <v>0</v>
      </c>
      <c r="H3653" s="23">
        <v>0</v>
      </c>
      <c r="I3653" s="23">
        <v>105.179</v>
      </c>
      <c r="J3653" s="23">
        <v>0</v>
      </c>
      <c r="K3653" s="23">
        <v>0</v>
      </c>
    </row>
    <row r="3654" spans="1:11" x14ac:dyDescent="0.25">
      <c r="A3654">
        <v>3653</v>
      </c>
      <c r="B3654" s="23">
        <v>78.70064069</v>
      </c>
      <c r="C3654" s="23">
        <v>0</v>
      </c>
      <c r="D3654" s="23">
        <v>0</v>
      </c>
      <c r="E3654" s="23">
        <v>0</v>
      </c>
      <c r="F3654" s="23">
        <v>0</v>
      </c>
      <c r="G3654" s="23">
        <v>0</v>
      </c>
      <c r="H3654" s="23">
        <v>0</v>
      </c>
      <c r="I3654" s="23">
        <v>0</v>
      </c>
      <c r="J3654" s="23">
        <v>0</v>
      </c>
      <c r="K3654" s="23">
        <v>78.700999999999993</v>
      </c>
    </row>
    <row r="3655" spans="1:11" x14ac:dyDescent="0.25">
      <c r="A3655">
        <v>3654</v>
      </c>
      <c r="B3655" s="23">
        <v>81.642720710000006</v>
      </c>
      <c r="C3655" s="23">
        <v>0</v>
      </c>
      <c r="D3655" s="23">
        <v>0</v>
      </c>
      <c r="E3655" s="23">
        <v>0</v>
      </c>
      <c r="F3655" s="23">
        <v>0</v>
      </c>
      <c r="G3655" s="23">
        <v>0</v>
      </c>
      <c r="H3655" s="23">
        <v>0</v>
      </c>
      <c r="I3655" s="23">
        <v>0</v>
      </c>
      <c r="J3655" s="23">
        <v>0</v>
      </c>
      <c r="K3655" s="23">
        <v>81.643000000000001</v>
      </c>
    </row>
    <row r="3656" spans="1:11" x14ac:dyDescent="0.25">
      <c r="A3656">
        <v>3655</v>
      </c>
      <c r="B3656" s="23">
        <v>78.837631290000004</v>
      </c>
      <c r="C3656" s="23">
        <v>43.13</v>
      </c>
      <c r="D3656" s="23">
        <v>144.982</v>
      </c>
      <c r="E3656" s="23">
        <v>78.837000000000003</v>
      </c>
      <c r="F3656" s="23">
        <v>-66.144999999999996</v>
      </c>
      <c r="G3656" s="23">
        <v>0</v>
      </c>
      <c r="H3656" s="23">
        <v>0</v>
      </c>
      <c r="I3656" s="23">
        <v>0</v>
      </c>
      <c r="J3656" s="23">
        <v>0</v>
      </c>
      <c r="K3656" s="23">
        <v>0</v>
      </c>
    </row>
    <row r="3657" spans="1:11" x14ac:dyDescent="0.25">
      <c r="A3657">
        <v>3656</v>
      </c>
      <c r="B3657" s="23">
        <v>193.0078049</v>
      </c>
      <c r="C3657" s="23">
        <v>343.31</v>
      </c>
      <c r="D3657" s="23">
        <v>1335.23</v>
      </c>
      <c r="E3657" s="23">
        <v>193.00800000000001</v>
      </c>
      <c r="F3657" s="23">
        <v>-1142.222</v>
      </c>
      <c r="G3657" s="23">
        <v>0</v>
      </c>
      <c r="H3657" s="23">
        <v>0</v>
      </c>
      <c r="I3657" s="23">
        <v>0</v>
      </c>
      <c r="J3657" s="23">
        <v>0</v>
      </c>
      <c r="K3657" s="23">
        <v>0</v>
      </c>
    </row>
    <row r="3658" spans="1:11" x14ac:dyDescent="0.25">
      <c r="A3658">
        <v>3657</v>
      </c>
      <c r="B3658" s="23">
        <v>787.88075630000003</v>
      </c>
      <c r="C3658" s="23">
        <v>216.58</v>
      </c>
      <c r="D3658" s="23">
        <v>831.26400000000001</v>
      </c>
      <c r="E3658" s="23">
        <v>787.88099999999997</v>
      </c>
      <c r="F3658" s="23">
        <v>-43.383000000000003</v>
      </c>
      <c r="G3658" s="23">
        <v>0</v>
      </c>
      <c r="H3658" s="23">
        <v>0</v>
      </c>
      <c r="I3658" s="23">
        <v>0</v>
      </c>
      <c r="J3658" s="23">
        <v>0</v>
      </c>
      <c r="K3658" s="23">
        <v>0</v>
      </c>
    </row>
    <row r="3659" spans="1:11" x14ac:dyDescent="0.25">
      <c r="A3659">
        <v>3658</v>
      </c>
      <c r="B3659" s="23">
        <v>1235.6616590000001</v>
      </c>
      <c r="C3659" s="23">
        <v>495.58</v>
      </c>
      <c r="D3659" s="23">
        <v>1893.4680000000001</v>
      </c>
      <c r="E3659" s="23">
        <v>1235.662</v>
      </c>
      <c r="F3659" s="23">
        <v>-657.80600000000004</v>
      </c>
      <c r="G3659" s="23">
        <v>0</v>
      </c>
      <c r="H3659" s="23">
        <v>0</v>
      </c>
      <c r="I3659" s="23">
        <v>0</v>
      </c>
      <c r="J3659" s="23">
        <v>0</v>
      </c>
      <c r="K3659" s="23">
        <v>0</v>
      </c>
    </row>
    <row r="3660" spans="1:11" x14ac:dyDescent="0.25">
      <c r="A3660">
        <v>3659</v>
      </c>
      <c r="B3660" s="23">
        <v>1134.1782860000001</v>
      </c>
      <c r="C3660" s="23">
        <v>370.76</v>
      </c>
      <c r="D3660" s="23">
        <v>1408.124</v>
      </c>
      <c r="E3660" s="23">
        <v>1134.1780000000001</v>
      </c>
      <c r="F3660" s="23">
        <v>-273.94600000000003</v>
      </c>
      <c r="G3660" s="23">
        <v>0</v>
      </c>
      <c r="H3660" s="23">
        <v>0</v>
      </c>
      <c r="I3660" s="23">
        <v>0</v>
      </c>
      <c r="J3660" s="23">
        <v>0</v>
      </c>
      <c r="K3660" s="23">
        <v>0</v>
      </c>
    </row>
    <row r="3661" spans="1:11" x14ac:dyDescent="0.25">
      <c r="A3661">
        <v>3660</v>
      </c>
      <c r="B3661" s="23">
        <v>928.53792469999996</v>
      </c>
      <c r="C3661" s="23">
        <v>923.05</v>
      </c>
      <c r="D3661" s="23">
        <v>3450.924</v>
      </c>
      <c r="E3661" s="23">
        <v>928.53800000000001</v>
      </c>
      <c r="F3661" s="23">
        <v>-1684.559</v>
      </c>
      <c r="G3661" s="23">
        <v>0</v>
      </c>
      <c r="H3661" s="23">
        <v>837.827</v>
      </c>
      <c r="I3661" s="23">
        <v>0</v>
      </c>
      <c r="J3661" s="23">
        <v>0</v>
      </c>
      <c r="K3661" s="23">
        <v>0</v>
      </c>
    </row>
    <row r="3662" spans="1:11" x14ac:dyDescent="0.25">
      <c r="A3662">
        <v>3661</v>
      </c>
      <c r="B3662" s="23">
        <v>1150.871832</v>
      </c>
      <c r="C3662" s="23">
        <v>774.81</v>
      </c>
      <c r="D3662" s="23">
        <v>2889.308</v>
      </c>
      <c r="E3662" s="23">
        <v>1150.873</v>
      </c>
      <c r="F3662" s="23">
        <v>-1684.559</v>
      </c>
      <c r="G3662" s="23">
        <v>0</v>
      </c>
      <c r="H3662" s="23">
        <v>53.875999999999998</v>
      </c>
      <c r="I3662" s="23">
        <v>0</v>
      </c>
      <c r="J3662" s="23">
        <v>0</v>
      </c>
      <c r="K3662" s="23">
        <v>0</v>
      </c>
    </row>
    <row r="3663" spans="1:11" x14ac:dyDescent="0.25">
      <c r="A3663">
        <v>3662</v>
      </c>
      <c r="B3663" s="23">
        <v>1024.287</v>
      </c>
      <c r="C3663" s="23">
        <v>639.27</v>
      </c>
      <c r="D3663" s="23">
        <v>2418.2469999999998</v>
      </c>
      <c r="E3663" s="23">
        <v>1024.287</v>
      </c>
      <c r="F3663" s="23">
        <v>-1393.96</v>
      </c>
      <c r="G3663" s="23">
        <v>0</v>
      </c>
      <c r="H3663" s="23">
        <v>0</v>
      </c>
      <c r="I3663" s="23">
        <v>0</v>
      </c>
      <c r="J3663" s="23">
        <v>0</v>
      </c>
      <c r="K3663" s="23">
        <v>0</v>
      </c>
    </row>
    <row r="3664" spans="1:11" x14ac:dyDescent="0.25">
      <c r="A3664">
        <v>3663</v>
      </c>
      <c r="B3664" s="23">
        <v>1039.866233</v>
      </c>
      <c r="C3664" s="23">
        <v>626.09</v>
      </c>
      <c r="D3664" s="23">
        <v>2396.5720000000001</v>
      </c>
      <c r="E3664" s="23">
        <v>1039.867</v>
      </c>
      <c r="F3664" s="23">
        <v>-344.91699999999997</v>
      </c>
      <c r="G3664" s="23">
        <v>0</v>
      </c>
      <c r="H3664" s="23">
        <v>1011.788</v>
      </c>
      <c r="I3664" s="23">
        <v>0</v>
      </c>
      <c r="J3664" s="23">
        <v>0</v>
      </c>
      <c r="K3664" s="23">
        <v>0</v>
      </c>
    </row>
    <row r="3665" spans="1:11" x14ac:dyDescent="0.25">
      <c r="A3665">
        <v>3664</v>
      </c>
      <c r="B3665" s="23">
        <v>1200.7722670000001</v>
      </c>
      <c r="C3665" s="23">
        <v>191.13</v>
      </c>
      <c r="D3665" s="23">
        <v>733.02099999999996</v>
      </c>
      <c r="E3665" s="23">
        <v>733.02099999999996</v>
      </c>
      <c r="F3665" s="23">
        <v>0</v>
      </c>
      <c r="G3665" s="23">
        <v>0</v>
      </c>
      <c r="H3665" s="23">
        <v>0</v>
      </c>
      <c r="I3665" s="23">
        <v>467.75099999999998</v>
      </c>
      <c r="J3665" s="23">
        <v>0</v>
      </c>
      <c r="K3665" s="23">
        <v>0</v>
      </c>
    </row>
    <row r="3666" spans="1:11" x14ac:dyDescent="0.25">
      <c r="A3666">
        <v>3665</v>
      </c>
      <c r="B3666" s="23">
        <v>1211.6653180000001</v>
      </c>
      <c r="C3666" s="23">
        <v>143.24</v>
      </c>
      <c r="D3666" s="23">
        <v>547.11099999999999</v>
      </c>
      <c r="E3666" s="23">
        <v>547.11099999999999</v>
      </c>
      <c r="F3666" s="23">
        <v>0</v>
      </c>
      <c r="G3666" s="23">
        <v>0</v>
      </c>
      <c r="H3666" s="23">
        <v>0</v>
      </c>
      <c r="I3666" s="23">
        <v>664.55499999999995</v>
      </c>
      <c r="J3666" s="23">
        <v>0</v>
      </c>
      <c r="K3666" s="23">
        <v>0</v>
      </c>
    </row>
    <row r="3667" spans="1:11" x14ac:dyDescent="0.25">
      <c r="A3667">
        <v>3666</v>
      </c>
      <c r="B3667" s="23">
        <v>1362.6896409999999</v>
      </c>
      <c r="C3667" s="23">
        <v>49.7</v>
      </c>
      <c r="D3667" s="23">
        <v>165.542</v>
      </c>
      <c r="E3667" s="23">
        <v>165.542</v>
      </c>
      <c r="F3667" s="23">
        <v>0</v>
      </c>
      <c r="G3667" s="23">
        <v>0</v>
      </c>
      <c r="H3667" s="23">
        <v>0</v>
      </c>
      <c r="I3667" s="23">
        <v>0</v>
      </c>
      <c r="J3667" s="23">
        <v>0</v>
      </c>
      <c r="K3667" s="23">
        <v>1197.1479999999999</v>
      </c>
    </row>
    <row r="3668" spans="1:11" x14ac:dyDescent="0.25">
      <c r="A3668">
        <v>3667</v>
      </c>
      <c r="B3668" s="23">
        <v>1236.4091309999999</v>
      </c>
      <c r="C3668" s="23">
        <v>0</v>
      </c>
      <c r="D3668" s="23">
        <v>0</v>
      </c>
      <c r="E3668" s="23">
        <v>0</v>
      </c>
      <c r="F3668" s="23">
        <v>0</v>
      </c>
      <c r="G3668" s="23">
        <v>0</v>
      </c>
      <c r="H3668" s="23">
        <v>0</v>
      </c>
      <c r="I3668" s="23">
        <v>0</v>
      </c>
      <c r="J3668" s="23">
        <v>0</v>
      </c>
      <c r="K3668" s="23">
        <v>1236.4090000000001</v>
      </c>
    </row>
    <row r="3669" spans="1:11" x14ac:dyDescent="0.25">
      <c r="A3669">
        <v>3668</v>
      </c>
      <c r="B3669" s="23">
        <v>1330.5556919999999</v>
      </c>
      <c r="C3669" s="23">
        <v>0</v>
      </c>
      <c r="D3669" s="23">
        <v>0</v>
      </c>
      <c r="E3669" s="23">
        <v>0</v>
      </c>
      <c r="F3669" s="23">
        <v>0</v>
      </c>
      <c r="G3669" s="23">
        <v>0</v>
      </c>
      <c r="H3669" s="23">
        <v>0</v>
      </c>
      <c r="I3669" s="23">
        <v>0</v>
      </c>
      <c r="J3669" s="23">
        <v>0</v>
      </c>
      <c r="K3669" s="23">
        <v>1330.556</v>
      </c>
    </row>
    <row r="3670" spans="1:11" x14ac:dyDescent="0.25">
      <c r="A3670">
        <v>3669</v>
      </c>
      <c r="B3670" s="23">
        <v>1363.654092</v>
      </c>
      <c r="C3670" s="23">
        <v>0</v>
      </c>
      <c r="D3670" s="23">
        <v>0</v>
      </c>
      <c r="E3670" s="23">
        <v>0</v>
      </c>
      <c r="F3670" s="23">
        <v>0</v>
      </c>
      <c r="G3670" s="23">
        <v>0</v>
      </c>
      <c r="H3670" s="23">
        <v>0</v>
      </c>
      <c r="I3670" s="23">
        <v>1363.654</v>
      </c>
      <c r="J3670" s="23">
        <v>0</v>
      </c>
      <c r="K3670" s="23">
        <v>0</v>
      </c>
    </row>
    <row r="3671" spans="1:11" x14ac:dyDescent="0.25">
      <c r="A3671">
        <v>3670</v>
      </c>
      <c r="B3671" s="23">
        <v>988.53888859999995</v>
      </c>
      <c r="C3671" s="23">
        <v>0</v>
      </c>
      <c r="D3671" s="23">
        <v>0</v>
      </c>
      <c r="E3671" s="23">
        <v>0</v>
      </c>
      <c r="F3671" s="23">
        <v>0</v>
      </c>
      <c r="G3671" s="23">
        <v>0</v>
      </c>
      <c r="H3671" s="23">
        <v>0</v>
      </c>
      <c r="I3671" s="23">
        <v>988.53899999999999</v>
      </c>
      <c r="J3671" s="23">
        <v>0</v>
      </c>
      <c r="K3671" s="23">
        <v>0</v>
      </c>
    </row>
    <row r="3672" spans="1:11" x14ac:dyDescent="0.25">
      <c r="A3672">
        <v>3671</v>
      </c>
      <c r="B3672" s="23">
        <v>1133.43633</v>
      </c>
      <c r="C3672" s="23">
        <v>0</v>
      </c>
      <c r="D3672" s="23">
        <v>0</v>
      </c>
      <c r="E3672" s="23">
        <v>0</v>
      </c>
      <c r="F3672" s="23">
        <v>0</v>
      </c>
      <c r="G3672" s="23">
        <v>0</v>
      </c>
      <c r="H3672" s="23">
        <v>0</v>
      </c>
      <c r="I3672" s="23">
        <v>1133.4359999999999</v>
      </c>
      <c r="J3672" s="23">
        <v>0</v>
      </c>
      <c r="K3672" s="23">
        <v>0</v>
      </c>
    </row>
    <row r="3673" spans="1:11" x14ac:dyDescent="0.25">
      <c r="A3673">
        <v>3672</v>
      </c>
      <c r="B3673" s="23">
        <v>1025.314889</v>
      </c>
      <c r="C3673" s="23">
        <v>0</v>
      </c>
      <c r="D3673" s="23">
        <v>0</v>
      </c>
      <c r="E3673" s="23">
        <v>0</v>
      </c>
      <c r="F3673" s="23">
        <v>0</v>
      </c>
      <c r="G3673" s="23">
        <v>0</v>
      </c>
      <c r="H3673" s="23">
        <v>0</v>
      </c>
      <c r="I3673" s="23">
        <v>1025.3150000000001</v>
      </c>
      <c r="J3673" s="23">
        <v>0</v>
      </c>
      <c r="K3673" s="23">
        <v>0</v>
      </c>
    </row>
    <row r="3674" spans="1:11" x14ac:dyDescent="0.25">
      <c r="A3674">
        <v>3673</v>
      </c>
      <c r="B3674" s="23">
        <v>1040.0252889999999</v>
      </c>
      <c r="C3674" s="23">
        <v>0</v>
      </c>
      <c r="D3674" s="23">
        <v>0</v>
      </c>
      <c r="E3674" s="23">
        <v>0</v>
      </c>
      <c r="F3674" s="23">
        <v>0</v>
      </c>
      <c r="G3674" s="23">
        <v>0</v>
      </c>
      <c r="H3674" s="23">
        <v>0</v>
      </c>
      <c r="I3674" s="23">
        <v>1040.0250000000001</v>
      </c>
      <c r="J3674" s="23">
        <v>0</v>
      </c>
      <c r="K3674" s="23">
        <v>0</v>
      </c>
    </row>
    <row r="3675" spans="1:11" x14ac:dyDescent="0.25">
      <c r="A3675">
        <v>3674</v>
      </c>
      <c r="B3675" s="23">
        <v>1289.366571</v>
      </c>
      <c r="C3675" s="23">
        <v>0</v>
      </c>
      <c r="D3675" s="23">
        <v>0</v>
      </c>
      <c r="E3675" s="23">
        <v>0</v>
      </c>
      <c r="F3675" s="23">
        <v>0</v>
      </c>
      <c r="G3675" s="23">
        <v>0</v>
      </c>
      <c r="H3675" s="23">
        <v>0</v>
      </c>
      <c r="I3675" s="23">
        <v>1289.367</v>
      </c>
      <c r="J3675" s="23">
        <v>0</v>
      </c>
      <c r="K3675" s="23">
        <v>0</v>
      </c>
    </row>
    <row r="3676" spans="1:11" x14ac:dyDescent="0.25">
      <c r="A3676">
        <v>3675</v>
      </c>
      <c r="B3676" s="23">
        <v>807.60096699999997</v>
      </c>
      <c r="C3676" s="23">
        <v>0</v>
      </c>
      <c r="D3676" s="23">
        <v>0</v>
      </c>
      <c r="E3676" s="23">
        <v>0</v>
      </c>
      <c r="F3676" s="23">
        <v>0</v>
      </c>
      <c r="G3676" s="23">
        <v>0</v>
      </c>
      <c r="H3676" s="23">
        <v>0</v>
      </c>
      <c r="I3676" s="23">
        <v>807.601</v>
      </c>
      <c r="J3676" s="23">
        <v>0</v>
      </c>
      <c r="K3676" s="23">
        <v>0</v>
      </c>
    </row>
    <row r="3677" spans="1:11" x14ac:dyDescent="0.25">
      <c r="A3677">
        <v>3676</v>
      </c>
      <c r="B3677" s="23">
        <v>906.16064789999996</v>
      </c>
      <c r="C3677" s="23">
        <v>0</v>
      </c>
      <c r="D3677" s="23">
        <v>0</v>
      </c>
      <c r="E3677" s="23">
        <v>0</v>
      </c>
      <c r="F3677" s="23">
        <v>0</v>
      </c>
      <c r="G3677" s="23">
        <v>0</v>
      </c>
      <c r="H3677" s="23">
        <v>0</v>
      </c>
      <c r="I3677" s="23">
        <v>906.16099999999994</v>
      </c>
      <c r="J3677" s="23">
        <v>0</v>
      </c>
      <c r="K3677" s="23">
        <v>0</v>
      </c>
    </row>
    <row r="3678" spans="1:11" x14ac:dyDescent="0.25">
      <c r="A3678">
        <v>3677</v>
      </c>
      <c r="B3678" s="23">
        <v>1054.7356890000001</v>
      </c>
      <c r="C3678" s="23">
        <v>0</v>
      </c>
      <c r="D3678" s="23">
        <v>0</v>
      </c>
      <c r="E3678" s="23">
        <v>0</v>
      </c>
      <c r="F3678" s="23">
        <v>0</v>
      </c>
      <c r="G3678" s="23">
        <v>0</v>
      </c>
      <c r="H3678" s="23">
        <v>0</v>
      </c>
      <c r="I3678" s="23">
        <v>161.64400000000001</v>
      </c>
      <c r="J3678" s="23">
        <v>0</v>
      </c>
      <c r="K3678" s="23">
        <v>893.09100000000001</v>
      </c>
    </row>
    <row r="3679" spans="1:11" x14ac:dyDescent="0.25">
      <c r="A3679">
        <v>3678</v>
      </c>
      <c r="B3679" s="23">
        <v>1198.16209</v>
      </c>
      <c r="C3679" s="23">
        <v>0</v>
      </c>
      <c r="D3679" s="23">
        <v>0</v>
      </c>
      <c r="E3679" s="23">
        <v>0</v>
      </c>
      <c r="F3679" s="23">
        <v>0</v>
      </c>
      <c r="G3679" s="23">
        <v>0</v>
      </c>
      <c r="H3679" s="23">
        <v>0</v>
      </c>
      <c r="I3679" s="23">
        <v>0</v>
      </c>
      <c r="J3679" s="23">
        <v>0</v>
      </c>
      <c r="K3679" s="23">
        <v>1198.162</v>
      </c>
    </row>
    <row r="3680" spans="1:11" x14ac:dyDescent="0.25">
      <c r="A3680">
        <v>3679</v>
      </c>
      <c r="B3680" s="23">
        <v>1087.06639</v>
      </c>
      <c r="C3680" s="23">
        <v>126.98</v>
      </c>
      <c r="D3680" s="23">
        <v>390.58300000000003</v>
      </c>
      <c r="E3680" s="23">
        <v>390.58300000000003</v>
      </c>
      <c r="F3680" s="23">
        <v>0</v>
      </c>
      <c r="G3680" s="23">
        <v>0</v>
      </c>
      <c r="H3680" s="23">
        <v>0</v>
      </c>
      <c r="I3680" s="23">
        <v>0</v>
      </c>
      <c r="J3680" s="23">
        <v>0</v>
      </c>
      <c r="K3680" s="23">
        <v>696.48299999999995</v>
      </c>
    </row>
    <row r="3681" spans="1:11" x14ac:dyDescent="0.25">
      <c r="A3681">
        <v>3680</v>
      </c>
      <c r="B3681" s="23">
        <v>1228.1418860000001</v>
      </c>
      <c r="C3681" s="23">
        <v>344.9</v>
      </c>
      <c r="D3681" s="23">
        <v>1333.345</v>
      </c>
      <c r="E3681" s="23">
        <v>1228.1420000000001</v>
      </c>
      <c r="F3681" s="23">
        <v>-105.203</v>
      </c>
      <c r="G3681" s="23">
        <v>0</v>
      </c>
      <c r="H3681" s="23">
        <v>0</v>
      </c>
      <c r="I3681" s="23">
        <v>0</v>
      </c>
      <c r="J3681" s="23">
        <v>0</v>
      </c>
      <c r="K3681" s="23">
        <v>0</v>
      </c>
    </row>
    <row r="3682" spans="1:11" x14ac:dyDescent="0.25">
      <c r="A3682">
        <v>3681</v>
      </c>
      <c r="B3682" s="23">
        <v>1131.395262</v>
      </c>
      <c r="C3682" s="23">
        <v>560.91</v>
      </c>
      <c r="D3682" s="23">
        <v>2199.5549999999998</v>
      </c>
      <c r="E3682" s="23">
        <v>1131.395</v>
      </c>
      <c r="F3682" s="23">
        <v>-1068.1600000000001</v>
      </c>
      <c r="G3682" s="23">
        <v>0</v>
      </c>
      <c r="H3682" s="23">
        <v>0</v>
      </c>
      <c r="I3682" s="23">
        <v>0</v>
      </c>
      <c r="J3682" s="23">
        <v>0</v>
      </c>
      <c r="K3682" s="23">
        <v>0</v>
      </c>
    </row>
    <row r="3683" spans="1:11" x14ac:dyDescent="0.25">
      <c r="A3683">
        <v>3682</v>
      </c>
      <c r="B3683" s="23">
        <v>1253.8933609999999</v>
      </c>
      <c r="C3683" s="23">
        <v>740.76</v>
      </c>
      <c r="D3683" s="23">
        <v>2826.6010000000001</v>
      </c>
      <c r="E3683" s="23">
        <v>1253.894</v>
      </c>
      <c r="F3683" s="23">
        <v>-1572.7070000000001</v>
      </c>
      <c r="G3683" s="23">
        <v>0</v>
      </c>
      <c r="H3683" s="23">
        <v>0</v>
      </c>
      <c r="I3683" s="23">
        <v>0</v>
      </c>
      <c r="J3683" s="23">
        <v>0</v>
      </c>
      <c r="K3683" s="23">
        <v>0</v>
      </c>
    </row>
    <row r="3684" spans="1:11" x14ac:dyDescent="0.25">
      <c r="A3684">
        <v>3683</v>
      </c>
      <c r="B3684" s="23">
        <v>1272.5121300000001</v>
      </c>
      <c r="C3684" s="23">
        <v>860.99</v>
      </c>
      <c r="D3684" s="23">
        <v>3222.0450000000001</v>
      </c>
      <c r="E3684" s="23">
        <v>1272.5129999999999</v>
      </c>
      <c r="F3684" s="23">
        <v>-1684.559</v>
      </c>
      <c r="G3684" s="23">
        <v>0</v>
      </c>
      <c r="H3684" s="23">
        <v>264.97300000000001</v>
      </c>
      <c r="I3684" s="23">
        <v>0</v>
      </c>
      <c r="J3684" s="23">
        <v>0</v>
      </c>
      <c r="K3684" s="23">
        <v>0</v>
      </c>
    </row>
    <row r="3685" spans="1:11" x14ac:dyDescent="0.25">
      <c r="A3685">
        <v>3684</v>
      </c>
      <c r="B3685" s="23">
        <v>1338.874423</v>
      </c>
      <c r="C3685" s="23">
        <v>919.74</v>
      </c>
      <c r="D3685" s="23">
        <v>3415.8429999999998</v>
      </c>
      <c r="E3685" s="23">
        <v>1338.875</v>
      </c>
      <c r="F3685" s="23">
        <v>-1684.559</v>
      </c>
      <c r="G3685" s="23">
        <v>0</v>
      </c>
      <c r="H3685" s="23">
        <v>392.40899999999999</v>
      </c>
      <c r="I3685" s="23">
        <v>0</v>
      </c>
      <c r="J3685" s="23">
        <v>0</v>
      </c>
      <c r="K3685" s="23">
        <v>0</v>
      </c>
    </row>
    <row r="3686" spans="1:11" x14ac:dyDescent="0.25">
      <c r="A3686">
        <v>3685</v>
      </c>
      <c r="B3686" s="23">
        <v>1355.330764</v>
      </c>
      <c r="C3686" s="23">
        <v>780.56</v>
      </c>
      <c r="D3686" s="23">
        <v>2872.213999999999</v>
      </c>
      <c r="E3686" s="23">
        <v>1355.3309999999999</v>
      </c>
      <c r="F3686" s="23">
        <v>-1176.31</v>
      </c>
      <c r="G3686" s="23">
        <v>0</v>
      </c>
      <c r="H3686" s="23">
        <v>340.57299999999998</v>
      </c>
      <c r="I3686" s="23">
        <v>0</v>
      </c>
      <c r="J3686" s="23">
        <v>0</v>
      </c>
      <c r="K3686" s="23">
        <v>0</v>
      </c>
    </row>
    <row r="3687" spans="1:11" x14ac:dyDescent="0.25">
      <c r="A3687">
        <v>3686</v>
      </c>
      <c r="B3687" s="23">
        <v>1295.2534900000001</v>
      </c>
      <c r="C3687" s="23">
        <v>241.6</v>
      </c>
      <c r="D3687" s="23">
        <v>906.12599999999998</v>
      </c>
      <c r="E3687" s="23">
        <v>906.12599999999998</v>
      </c>
      <c r="F3687" s="23">
        <v>0</v>
      </c>
      <c r="G3687" s="23">
        <v>0</v>
      </c>
      <c r="H3687" s="23">
        <v>0</v>
      </c>
      <c r="I3687" s="23">
        <v>389.12799999999999</v>
      </c>
      <c r="J3687" s="23">
        <v>0</v>
      </c>
      <c r="K3687" s="23">
        <v>0</v>
      </c>
    </row>
    <row r="3688" spans="1:11" x14ac:dyDescent="0.25">
      <c r="A3688">
        <v>3687</v>
      </c>
      <c r="B3688" s="23">
        <v>1302.068082</v>
      </c>
      <c r="C3688" s="23">
        <v>259.66000000000003</v>
      </c>
      <c r="D3688" s="23">
        <v>984.71799999999996</v>
      </c>
      <c r="E3688" s="23">
        <v>984.71799999999996</v>
      </c>
      <c r="F3688" s="23">
        <v>0</v>
      </c>
      <c r="G3688" s="23">
        <v>0</v>
      </c>
      <c r="H3688" s="23">
        <v>0</v>
      </c>
      <c r="I3688" s="23">
        <v>317.35000000000002</v>
      </c>
      <c r="J3688" s="23">
        <v>0</v>
      </c>
      <c r="K3688" s="23">
        <v>0</v>
      </c>
    </row>
    <row r="3689" spans="1:11" x14ac:dyDescent="0.25">
      <c r="A3689">
        <v>3688</v>
      </c>
      <c r="B3689" s="23">
        <v>1469.4209490000001</v>
      </c>
      <c r="C3689" s="23">
        <v>189.18</v>
      </c>
      <c r="D3689" s="23">
        <v>718.98599999999999</v>
      </c>
      <c r="E3689" s="23">
        <v>718.98599999999999</v>
      </c>
      <c r="F3689" s="23">
        <v>0</v>
      </c>
      <c r="G3689" s="23">
        <v>0</v>
      </c>
      <c r="H3689" s="23">
        <v>0</v>
      </c>
      <c r="I3689" s="23">
        <v>750.43499999999995</v>
      </c>
      <c r="J3689" s="23">
        <v>0</v>
      </c>
      <c r="K3689" s="23">
        <v>0</v>
      </c>
    </row>
    <row r="3690" spans="1:11" x14ac:dyDescent="0.25">
      <c r="A3690">
        <v>3689</v>
      </c>
      <c r="B3690" s="23">
        <v>1487.3860259999999</v>
      </c>
      <c r="C3690" s="23">
        <v>117.08</v>
      </c>
      <c r="D3690" s="23">
        <v>437.209</v>
      </c>
      <c r="E3690" s="23">
        <v>437.209</v>
      </c>
      <c r="F3690" s="23">
        <v>0</v>
      </c>
      <c r="G3690" s="23">
        <v>0</v>
      </c>
      <c r="H3690" s="23">
        <v>0</v>
      </c>
      <c r="I3690" s="23">
        <v>1050.1769999999999</v>
      </c>
      <c r="J3690" s="23">
        <v>0</v>
      </c>
      <c r="K3690" s="23">
        <v>0</v>
      </c>
    </row>
    <row r="3691" spans="1:11" x14ac:dyDescent="0.25">
      <c r="A3691">
        <v>3690</v>
      </c>
      <c r="B3691" s="23">
        <v>1238.9154149999999</v>
      </c>
      <c r="C3691" s="23">
        <v>48.62</v>
      </c>
      <c r="D3691" s="23">
        <v>160.232</v>
      </c>
      <c r="E3691" s="23">
        <v>160.232</v>
      </c>
      <c r="F3691" s="23">
        <v>0</v>
      </c>
      <c r="G3691" s="23">
        <v>0</v>
      </c>
      <c r="H3691" s="23">
        <v>0</v>
      </c>
      <c r="I3691" s="23">
        <v>0</v>
      </c>
      <c r="J3691" s="23">
        <v>0</v>
      </c>
      <c r="K3691" s="23">
        <v>1078.684</v>
      </c>
    </row>
    <row r="3692" spans="1:11" x14ac:dyDescent="0.25">
      <c r="A3692">
        <v>3691</v>
      </c>
      <c r="B3692" s="23">
        <v>1209.1948910000001</v>
      </c>
      <c r="C3692" s="23">
        <v>0</v>
      </c>
      <c r="D3692" s="23">
        <v>0</v>
      </c>
      <c r="E3692" s="23">
        <v>0</v>
      </c>
      <c r="F3692" s="23">
        <v>0</v>
      </c>
      <c r="G3692" s="23">
        <v>0</v>
      </c>
      <c r="H3692" s="23">
        <v>0</v>
      </c>
      <c r="I3692" s="23">
        <v>0</v>
      </c>
      <c r="J3692" s="23">
        <v>0</v>
      </c>
      <c r="K3692" s="23">
        <v>1209.1949999999999</v>
      </c>
    </row>
    <row r="3693" spans="1:11" x14ac:dyDescent="0.25">
      <c r="A3693">
        <v>3692</v>
      </c>
      <c r="B3693" s="23">
        <v>1137.11393</v>
      </c>
      <c r="C3693" s="23">
        <v>0</v>
      </c>
      <c r="D3693" s="23">
        <v>0</v>
      </c>
      <c r="E3693" s="23">
        <v>0</v>
      </c>
      <c r="F3693" s="23">
        <v>0</v>
      </c>
      <c r="G3693" s="23">
        <v>0</v>
      </c>
      <c r="H3693" s="23">
        <v>0</v>
      </c>
      <c r="I3693" s="23">
        <v>0</v>
      </c>
      <c r="J3693" s="23">
        <v>0</v>
      </c>
      <c r="K3693" s="23">
        <v>1137.114</v>
      </c>
    </row>
    <row r="3694" spans="1:11" x14ac:dyDescent="0.25">
      <c r="A3694">
        <v>3693</v>
      </c>
      <c r="B3694" s="23">
        <v>1054.7356890000001</v>
      </c>
      <c r="C3694" s="23">
        <v>0</v>
      </c>
      <c r="D3694" s="23">
        <v>0</v>
      </c>
      <c r="E3694" s="23">
        <v>0</v>
      </c>
      <c r="F3694" s="23">
        <v>0</v>
      </c>
      <c r="G3694" s="23">
        <v>0</v>
      </c>
      <c r="H3694" s="23">
        <v>0</v>
      </c>
      <c r="I3694" s="23">
        <v>1054.7360000000001</v>
      </c>
      <c r="J3694" s="23">
        <v>0</v>
      </c>
      <c r="K3694" s="23">
        <v>0</v>
      </c>
    </row>
    <row r="3695" spans="1:11" x14ac:dyDescent="0.25">
      <c r="A3695">
        <v>3694</v>
      </c>
      <c r="B3695" s="23">
        <v>1102.54449</v>
      </c>
      <c r="C3695" s="23">
        <v>0</v>
      </c>
      <c r="D3695" s="23">
        <v>0</v>
      </c>
      <c r="E3695" s="23">
        <v>0</v>
      </c>
      <c r="F3695" s="23">
        <v>0</v>
      </c>
      <c r="G3695" s="23">
        <v>0</v>
      </c>
      <c r="H3695" s="23">
        <v>0</v>
      </c>
      <c r="I3695" s="23">
        <v>1102.5440000000001</v>
      </c>
      <c r="J3695" s="23">
        <v>0</v>
      </c>
      <c r="K3695" s="23">
        <v>0</v>
      </c>
    </row>
    <row r="3696" spans="1:11" x14ac:dyDescent="0.25">
      <c r="A3696">
        <v>3695</v>
      </c>
      <c r="B3696" s="23">
        <v>1087.8340889999999</v>
      </c>
      <c r="C3696" s="23">
        <v>0</v>
      </c>
      <c r="D3696" s="23">
        <v>0</v>
      </c>
      <c r="E3696" s="23">
        <v>0</v>
      </c>
      <c r="F3696" s="23">
        <v>0</v>
      </c>
      <c r="G3696" s="23">
        <v>0</v>
      </c>
      <c r="H3696" s="23">
        <v>0</v>
      </c>
      <c r="I3696" s="23">
        <v>1087.8340000000001</v>
      </c>
      <c r="J3696" s="23">
        <v>0</v>
      </c>
      <c r="K3696" s="23">
        <v>0</v>
      </c>
    </row>
    <row r="3697" spans="1:11" x14ac:dyDescent="0.25">
      <c r="A3697">
        <v>3696</v>
      </c>
      <c r="B3697" s="23">
        <v>1305.5480110000001</v>
      </c>
      <c r="C3697" s="23">
        <v>0</v>
      </c>
      <c r="D3697" s="23">
        <v>0</v>
      </c>
      <c r="E3697" s="23">
        <v>0</v>
      </c>
      <c r="F3697" s="23">
        <v>0</v>
      </c>
      <c r="G3697" s="23">
        <v>0</v>
      </c>
      <c r="H3697" s="23">
        <v>0</v>
      </c>
      <c r="I3697" s="23">
        <v>1305.548</v>
      </c>
      <c r="J3697" s="23">
        <v>0</v>
      </c>
      <c r="K3697" s="23">
        <v>0</v>
      </c>
    </row>
    <row r="3698" spans="1:11" x14ac:dyDescent="0.25">
      <c r="A3698">
        <v>3697</v>
      </c>
      <c r="B3698" s="23">
        <v>1315.1097709999999</v>
      </c>
      <c r="C3698" s="23">
        <v>0</v>
      </c>
      <c r="D3698" s="23">
        <v>0</v>
      </c>
      <c r="E3698" s="23">
        <v>0</v>
      </c>
      <c r="F3698" s="23">
        <v>0</v>
      </c>
      <c r="G3698" s="23">
        <v>0</v>
      </c>
      <c r="H3698" s="23">
        <v>0</v>
      </c>
      <c r="I3698" s="23">
        <v>1315.11</v>
      </c>
      <c r="J3698" s="23">
        <v>0</v>
      </c>
      <c r="K3698" s="23">
        <v>0</v>
      </c>
    </row>
    <row r="3699" spans="1:11" x14ac:dyDescent="0.25">
      <c r="A3699">
        <v>3698</v>
      </c>
      <c r="B3699" s="23">
        <v>1071.6526490000001</v>
      </c>
      <c r="C3699" s="23">
        <v>0</v>
      </c>
      <c r="D3699" s="23">
        <v>0</v>
      </c>
      <c r="E3699" s="23">
        <v>0</v>
      </c>
      <c r="F3699" s="23">
        <v>0</v>
      </c>
      <c r="G3699" s="23">
        <v>0</v>
      </c>
      <c r="H3699" s="23">
        <v>0</v>
      </c>
      <c r="I3699" s="23">
        <v>1071.653</v>
      </c>
      <c r="J3699" s="23">
        <v>0</v>
      </c>
      <c r="K3699" s="23">
        <v>0</v>
      </c>
    </row>
    <row r="3700" spans="1:11" x14ac:dyDescent="0.25">
      <c r="A3700">
        <v>3699</v>
      </c>
      <c r="B3700" s="23">
        <v>1255.532651</v>
      </c>
      <c r="C3700" s="23">
        <v>0</v>
      </c>
      <c r="D3700" s="23">
        <v>0</v>
      </c>
      <c r="E3700" s="23">
        <v>0</v>
      </c>
      <c r="F3700" s="23">
        <v>0</v>
      </c>
      <c r="G3700" s="23">
        <v>0</v>
      </c>
      <c r="H3700" s="23">
        <v>0</v>
      </c>
      <c r="I3700" s="23">
        <v>1255.5329999999999</v>
      </c>
      <c r="J3700" s="23">
        <v>0</v>
      </c>
      <c r="K3700" s="23">
        <v>0</v>
      </c>
    </row>
    <row r="3701" spans="1:11" x14ac:dyDescent="0.25">
      <c r="A3701">
        <v>3700</v>
      </c>
      <c r="B3701" s="23">
        <v>806.12992699999995</v>
      </c>
      <c r="C3701" s="23">
        <v>0</v>
      </c>
      <c r="D3701" s="23">
        <v>0</v>
      </c>
      <c r="E3701" s="23">
        <v>0</v>
      </c>
      <c r="F3701" s="23">
        <v>0</v>
      </c>
      <c r="G3701" s="23">
        <v>0</v>
      </c>
      <c r="H3701" s="23">
        <v>0</v>
      </c>
      <c r="I3701" s="23">
        <v>806.13</v>
      </c>
      <c r="J3701" s="23">
        <v>0</v>
      </c>
      <c r="K3701" s="23">
        <v>0</v>
      </c>
    </row>
    <row r="3702" spans="1:11" x14ac:dyDescent="0.25">
      <c r="A3702">
        <v>3701</v>
      </c>
      <c r="B3702" s="23">
        <v>750.23040649999996</v>
      </c>
      <c r="C3702" s="23">
        <v>0</v>
      </c>
      <c r="D3702" s="23">
        <v>0</v>
      </c>
      <c r="E3702" s="23">
        <v>0</v>
      </c>
      <c r="F3702" s="23">
        <v>0</v>
      </c>
      <c r="G3702" s="23">
        <v>0</v>
      </c>
      <c r="H3702" s="23">
        <v>0</v>
      </c>
      <c r="I3702" s="23">
        <v>705.58799999999997</v>
      </c>
      <c r="J3702" s="23">
        <v>0</v>
      </c>
      <c r="K3702" s="23">
        <v>44.642000000000003</v>
      </c>
    </row>
    <row r="3703" spans="1:11" x14ac:dyDescent="0.25">
      <c r="A3703">
        <v>3702</v>
      </c>
      <c r="B3703" s="23">
        <v>706.09920620000003</v>
      </c>
      <c r="C3703" s="23">
        <v>0</v>
      </c>
      <c r="D3703" s="23">
        <v>0</v>
      </c>
      <c r="E3703" s="23">
        <v>0</v>
      </c>
      <c r="F3703" s="23">
        <v>0</v>
      </c>
      <c r="G3703" s="23">
        <v>0</v>
      </c>
      <c r="H3703" s="23">
        <v>0</v>
      </c>
      <c r="I3703" s="23">
        <v>0</v>
      </c>
      <c r="J3703" s="23">
        <v>0</v>
      </c>
      <c r="K3703" s="23">
        <v>706.09900000000005</v>
      </c>
    </row>
    <row r="3704" spans="1:11" x14ac:dyDescent="0.25">
      <c r="A3704">
        <v>3703</v>
      </c>
      <c r="B3704" s="23">
        <v>1144.192391</v>
      </c>
      <c r="C3704" s="23">
        <v>34.29</v>
      </c>
      <c r="D3704" s="23">
        <v>109.628</v>
      </c>
      <c r="E3704" s="23">
        <v>109.628</v>
      </c>
      <c r="F3704" s="23">
        <v>0</v>
      </c>
      <c r="G3704" s="23">
        <v>0</v>
      </c>
      <c r="H3704" s="23">
        <v>0</v>
      </c>
      <c r="I3704" s="23">
        <v>0</v>
      </c>
      <c r="J3704" s="23">
        <v>0</v>
      </c>
      <c r="K3704" s="23">
        <v>1034.5650000000001</v>
      </c>
    </row>
    <row r="3705" spans="1:11" x14ac:dyDescent="0.25">
      <c r="A3705">
        <v>3704</v>
      </c>
      <c r="B3705" s="23">
        <v>1174.6208529999999</v>
      </c>
      <c r="C3705" s="23">
        <v>93.42</v>
      </c>
      <c r="D3705" s="23">
        <v>345.77499999999998</v>
      </c>
      <c r="E3705" s="23">
        <v>345.77499999999998</v>
      </c>
      <c r="F3705" s="23">
        <v>0</v>
      </c>
      <c r="G3705" s="23">
        <v>0</v>
      </c>
      <c r="H3705" s="23">
        <v>0</v>
      </c>
      <c r="I3705" s="23">
        <v>0</v>
      </c>
      <c r="J3705" s="23">
        <v>0</v>
      </c>
      <c r="K3705" s="23">
        <v>828.846</v>
      </c>
    </row>
    <row r="3706" spans="1:11" x14ac:dyDescent="0.25">
      <c r="A3706">
        <v>3705</v>
      </c>
      <c r="B3706" s="23">
        <v>1421.894405</v>
      </c>
      <c r="C3706" s="23">
        <v>235.41</v>
      </c>
      <c r="D3706" s="23">
        <v>909.18899999999996</v>
      </c>
      <c r="E3706" s="23">
        <v>909.18899999999996</v>
      </c>
      <c r="F3706" s="23">
        <v>0</v>
      </c>
      <c r="G3706" s="23">
        <v>0</v>
      </c>
      <c r="H3706" s="23">
        <v>0</v>
      </c>
      <c r="I3706" s="23">
        <v>0</v>
      </c>
      <c r="J3706" s="23">
        <v>0</v>
      </c>
      <c r="K3706" s="23">
        <v>512.70500000000004</v>
      </c>
    </row>
    <row r="3707" spans="1:11" x14ac:dyDescent="0.25">
      <c r="A3707">
        <v>3706</v>
      </c>
      <c r="B3707" s="23">
        <v>1445.4880479999999</v>
      </c>
      <c r="C3707" s="23">
        <v>528.04</v>
      </c>
      <c r="D3707" s="23">
        <v>2028.8009999999999</v>
      </c>
      <c r="E3707" s="23">
        <v>1445.4880000000001</v>
      </c>
      <c r="F3707" s="23">
        <v>-583.31299999999999</v>
      </c>
      <c r="G3707" s="23">
        <v>0</v>
      </c>
      <c r="H3707" s="23">
        <v>0</v>
      </c>
      <c r="I3707" s="23">
        <v>0</v>
      </c>
      <c r="J3707" s="23">
        <v>0</v>
      </c>
      <c r="K3707" s="23">
        <v>0</v>
      </c>
    </row>
    <row r="3708" spans="1:11" x14ac:dyDescent="0.25">
      <c r="A3708">
        <v>3707</v>
      </c>
      <c r="B3708" s="23">
        <v>1314.399075</v>
      </c>
      <c r="C3708" s="23">
        <v>700.66</v>
      </c>
      <c r="D3708" s="23">
        <v>2651.2020000000002</v>
      </c>
      <c r="E3708" s="23">
        <v>1314.3989999999999</v>
      </c>
      <c r="F3708" s="23">
        <v>-1336.8030000000001</v>
      </c>
      <c r="G3708" s="23">
        <v>0</v>
      </c>
      <c r="H3708" s="23">
        <v>0</v>
      </c>
      <c r="I3708" s="23">
        <v>0</v>
      </c>
      <c r="J3708" s="23">
        <v>0</v>
      </c>
      <c r="K3708" s="23">
        <v>0</v>
      </c>
    </row>
    <row r="3709" spans="1:11" x14ac:dyDescent="0.25">
      <c r="A3709">
        <v>3708</v>
      </c>
      <c r="B3709" s="23">
        <v>1630.57798</v>
      </c>
      <c r="C3709" s="23">
        <v>639.12</v>
      </c>
      <c r="D3709" s="23">
        <v>2418.1280000000002</v>
      </c>
      <c r="E3709" s="23">
        <v>1630.578</v>
      </c>
      <c r="F3709" s="23">
        <v>-787.55</v>
      </c>
      <c r="G3709" s="23">
        <v>0</v>
      </c>
      <c r="H3709" s="23">
        <v>0</v>
      </c>
      <c r="I3709" s="23">
        <v>0</v>
      </c>
      <c r="J3709" s="23">
        <v>0</v>
      </c>
      <c r="K3709" s="23">
        <v>0</v>
      </c>
    </row>
    <row r="3710" spans="1:11" x14ac:dyDescent="0.25">
      <c r="A3710">
        <v>3709</v>
      </c>
      <c r="B3710" s="23">
        <v>1339.1925349999999</v>
      </c>
      <c r="C3710" s="23">
        <v>911.23</v>
      </c>
      <c r="D3710" s="23">
        <v>3456.55</v>
      </c>
      <c r="E3710" s="23">
        <v>1339.193</v>
      </c>
      <c r="F3710" s="23">
        <v>-1684.559</v>
      </c>
      <c r="G3710" s="23">
        <v>0</v>
      </c>
      <c r="H3710" s="23">
        <v>432.798</v>
      </c>
      <c r="I3710" s="23">
        <v>0</v>
      </c>
      <c r="J3710" s="23">
        <v>0</v>
      </c>
      <c r="K3710" s="23">
        <v>0</v>
      </c>
    </row>
    <row r="3711" spans="1:11" x14ac:dyDescent="0.25">
      <c r="A3711">
        <v>3710</v>
      </c>
      <c r="B3711" s="23">
        <v>1441.9685850000001</v>
      </c>
      <c r="C3711" s="23">
        <v>832.37</v>
      </c>
      <c r="D3711" s="23">
        <v>3192.0990000000002</v>
      </c>
      <c r="E3711" s="23">
        <v>1441.9690000000001</v>
      </c>
      <c r="F3711" s="23">
        <v>-1684.559</v>
      </c>
      <c r="G3711" s="23">
        <v>0</v>
      </c>
      <c r="H3711" s="23">
        <v>65.570999999999998</v>
      </c>
      <c r="I3711" s="23">
        <v>0</v>
      </c>
      <c r="J3711" s="23">
        <v>0</v>
      </c>
      <c r="K3711" s="23">
        <v>0</v>
      </c>
    </row>
    <row r="3712" spans="1:11" x14ac:dyDescent="0.25">
      <c r="A3712">
        <v>3711</v>
      </c>
      <c r="B3712" s="23">
        <v>1484.237081</v>
      </c>
      <c r="C3712" s="23">
        <v>690.27</v>
      </c>
      <c r="D3712" s="23">
        <v>2697.7510000000002</v>
      </c>
      <c r="E3712" s="23">
        <v>1484.2370000000001</v>
      </c>
      <c r="F3712" s="23">
        <v>-1213.5139999999999</v>
      </c>
      <c r="G3712" s="23">
        <v>0</v>
      </c>
      <c r="H3712" s="23">
        <v>0</v>
      </c>
      <c r="I3712" s="23">
        <v>0</v>
      </c>
      <c r="J3712" s="23">
        <v>0</v>
      </c>
      <c r="K3712" s="23">
        <v>0</v>
      </c>
    </row>
    <row r="3713" spans="1:11" x14ac:dyDescent="0.25">
      <c r="A3713">
        <v>3712</v>
      </c>
      <c r="B3713" s="23">
        <v>1687.8041949999999</v>
      </c>
      <c r="C3713" s="23">
        <v>499.34</v>
      </c>
      <c r="D3713" s="23">
        <v>1994.598</v>
      </c>
      <c r="E3713" s="23">
        <v>1687.8040000000001</v>
      </c>
      <c r="F3713" s="23">
        <v>-1.2</v>
      </c>
      <c r="G3713" s="23">
        <v>0</v>
      </c>
      <c r="H3713" s="23">
        <v>305.59399999999999</v>
      </c>
      <c r="I3713" s="23">
        <v>0</v>
      </c>
      <c r="J3713" s="23">
        <v>0</v>
      </c>
      <c r="K3713" s="23">
        <v>0</v>
      </c>
    </row>
    <row r="3714" spans="1:11" x14ac:dyDescent="0.25">
      <c r="A3714">
        <v>3713</v>
      </c>
      <c r="B3714" s="23">
        <v>1368.331999</v>
      </c>
      <c r="C3714" s="23">
        <v>280.26</v>
      </c>
      <c r="D3714" s="23">
        <v>1054.2850000000001</v>
      </c>
      <c r="E3714" s="23">
        <v>1054.2850000000001</v>
      </c>
      <c r="F3714" s="23">
        <v>0</v>
      </c>
      <c r="G3714" s="23">
        <v>0</v>
      </c>
      <c r="H3714" s="23">
        <v>0</v>
      </c>
      <c r="I3714" s="23">
        <v>314.04700000000003</v>
      </c>
      <c r="J3714" s="23">
        <v>0</v>
      </c>
      <c r="K3714" s="23">
        <v>0</v>
      </c>
    </row>
    <row r="3715" spans="1:11" x14ac:dyDescent="0.25">
      <c r="A3715">
        <v>3714</v>
      </c>
      <c r="B3715" s="23">
        <v>1435.444522</v>
      </c>
      <c r="C3715" s="23">
        <v>78.14</v>
      </c>
      <c r="D3715" s="23">
        <v>243.602</v>
      </c>
      <c r="E3715" s="23">
        <v>243.602</v>
      </c>
      <c r="F3715" s="23">
        <v>0</v>
      </c>
      <c r="G3715" s="23">
        <v>0</v>
      </c>
      <c r="H3715" s="23">
        <v>0</v>
      </c>
      <c r="I3715" s="23">
        <v>0</v>
      </c>
      <c r="J3715" s="23">
        <v>0</v>
      </c>
      <c r="K3715" s="23">
        <v>1191.8430000000001</v>
      </c>
    </row>
    <row r="3716" spans="1:11" x14ac:dyDescent="0.25">
      <c r="A3716">
        <v>3715</v>
      </c>
      <c r="B3716" s="23">
        <v>1408.520812</v>
      </c>
      <c r="C3716" s="23">
        <v>0</v>
      </c>
      <c r="D3716" s="23">
        <v>0</v>
      </c>
      <c r="E3716" s="23">
        <v>0</v>
      </c>
      <c r="F3716" s="23">
        <v>0</v>
      </c>
      <c r="G3716" s="23">
        <v>0</v>
      </c>
      <c r="H3716" s="23">
        <v>0</v>
      </c>
      <c r="I3716" s="23">
        <v>0</v>
      </c>
      <c r="J3716" s="23">
        <v>0</v>
      </c>
      <c r="K3716" s="23">
        <v>1408.521</v>
      </c>
    </row>
    <row r="3717" spans="1:11" x14ac:dyDescent="0.25">
      <c r="A3717">
        <v>3716</v>
      </c>
      <c r="B3717" s="23">
        <v>1324.6715320000001</v>
      </c>
      <c r="C3717" s="23">
        <v>0</v>
      </c>
      <c r="D3717" s="23">
        <v>0</v>
      </c>
      <c r="E3717" s="23">
        <v>0</v>
      </c>
      <c r="F3717" s="23">
        <v>0</v>
      </c>
      <c r="G3717" s="23">
        <v>0</v>
      </c>
      <c r="H3717" s="23">
        <v>0</v>
      </c>
      <c r="I3717" s="23">
        <v>0</v>
      </c>
      <c r="J3717" s="23">
        <v>0</v>
      </c>
      <c r="K3717" s="23">
        <v>1324.672</v>
      </c>
    </row>
    <row r="3718" spans="1:11" x14ac:dyDescent="0.25">
      <c r="A3718">
        <v>3717</v>
      </c>
      <c r="B3718" s="23">
        <v>1376.1579320000001</v>
      </c>
      <c r="C3718" s="23">
        <v>0</v>
      </c>
      <c r="D3718" s="23">
        <v>0</v>
      </c>
      <c r="E3718" s="23">
        <v>0</v>
      </c>
      <c r="F3718" s="23">
        <v>0</v>
      </c>
      <c r="G3718" s="23">
        <v>0</v>
      </c>
      <c r="H3718" s="23">
        <v>0</v>
      </c>
      <c r="I3718" s="23">
        <v>1376.1579999999999</v>
      </c>
      <c r="J3718" s="23">
        <v>0</v>
      </c>
      <c r="K3718" s="23">
        <v>0</v>
      </c>
    </row>
    <row r="3719" spans="1:11" x14ac:dyDescent="0.25">
      <c r="A3719">
        <v>3718</v>
      </c>
      <c r="B3719" s="23">
        <v>889.24368779999998</v>
      </c>
      <c r="C3719" s="23">
        <v>0</v>
      </c>
      <c r="D3719" s="23">
        <v>0</v>
      </c>
      <c r="E3719" s="23">
        <v>0</v>
      </c>
      <c r="F3719" s="23">
        <v>0</v>
      </c>
      <c r="G3719" s="23">
        <v>0</v>
      </c>
      <c r="H3719" s="23">
        <v>0</v>
      </c>
      <c r="I3719" s="23">
        <v>889.24400000000003</v>
      </c>
      <c r="J3719" s="23">
        <v>0</v>
      </c>
      <c r="K3719" s="23">
        <v>0</v>
      </c>
    </row>
    <row r="3720" spans="1:11" x14ac:dyDescent="0.25">
      <c r="A3720">
        <v>3719</v>
      </c>
      <c r="B3720" s="23">
        <v>1277.5982509999999</v>
      </c>
      <c r="C3720" s="23">
        <v>0</v>
      </c>
      <c r="D3720" s="23">
        <v>0</v>
      </c>
      <c r="E3720" s="23">
        <v>0</v>
      </c>
      <c r="F3720" s="23">
        <v>0</v>
      </c>
      <c r="G3720" s="23">
        <v>0</v>
      </c>
      <c r="H3720" s="23">
        <v>0</v>
      </c>
      <c r="I3720" s="23">
        <v>1277.598</v>
      </c>
      <c r="J3720" s="23">
        <v>0</v>
      </c>
      <c r="K3720" s="23">
        <v>0</v>
      </c>
    </row>
    <row r="3721" spans="1:11" x14ac:dyDescent="0.25">
      <c r="A3721">
        <v>3720</v>
      </c>
      <c r="B3721" s="23">
        <v>914.25136799999996</v>
      </c>
      <c r="C3721" s="23">
        <v>0</v>
      </c>
      <c r="D3721" s="23">
        <v>0</v>
      </c>
      <c r="E3721" s="23">
        <v>0</v>
      </c>
      <c r="F3721" s="23">
        <v>0</v>
      </c>
      <c r="G3721" s="23">
        <v>0</v>
      </c>
      <c r="H3721" s="23">
        <v>0</v>
      </c>
      <c r="I3721" s="23">
        <v>914.25099999999998</v>
      </c>
      <c r="J3721" s="23">
        <v>0</v>
      </c>
      <c r="K3721" s="23">
        <v>0</v>
      </c>
    </row>
    <row r="3722" spans="1:11" x14ac:dyDescent="0.25">
      <c r="A3722">
        <v>3721</v>
      </c>
      <c r="B3722" s="23">
        <v>1040.0252889999999</v>
      </c>
      <c r="C3722" s="23">
        <v>0</v>
      </c>
      <c r="D3722" s="23">
        <v>0</v>
      </c>
      <c r="E3722" s="23">
        <v>0</v>
      </c>
      <c r="F3722" s="23">
        <v>0</v>
      </c>
      <c r="G3722" s="23">
        <v>0</v>
      </c>
      <c r="H3722" s="23">
        <v>0</v>
      </c>
      <c r="I3722" s="23">
        <v>1040.0250000000001</v>
      </c>
      <c r="J3722" s="23">
        <v>0</v>
      </c>
      <c r="K3722" s="23">
        <v>0</v>
      </c>
    </row>
    <row r="3723" spans="1:11" x14ac:dyDescent="0.25">
      <c r="A3723">
        <v>3722</v>
      </c>
      <c r="B3723" s="23">
        <v>1225.3763309999999</v>
      </c>
      <c r="C3723" s="23">
        <v>0</v>
      </c>
      <c r="D3723" s="23">
        <v>0</v>
      </c>
      <c r="E3723" s="23">
        <v>0</v>
      </c>
      <c r="F3723" s="23">
        <v>0</v>
      </c>
      <c r="G3723" s="23">
        <v>0</v>
      </c>
      <c r="H3723" s="23">
        <v>0</v>
      </c>
      <c r="I3723" s="23">
        <v>1225.376</v>
      </c>
      <c r="J3723" s="23">
        <v>0</v>
      </c>
      <c r="K3723" s="23">
        <v>0</v>
      </c>
    </row>
    <row r="3724" spans="1:11" x14ac:dyDescent="0.25">
      <c r="A3724">
        <v>3723</v>
      </c>
      <c r="B3724" s="23">
        <v>1041.4963290000001</v>
      </c>
      <c r="C3724" s="23">
        <v>0</v>
      </c>
      <c r="D3724" s="23">
        <v>0</v>
      </c>
      <c r="E3724" s="23">
        <v>0</v>
      </c>
      <c r="F3724" s="23">
        <v>0</v>
      </c>
      <c r="G3724" s="23">
        <v>0</v>
      </c>
      <c r="H3724" s="23">
        <v>0</v>
      </c>
      <c r="I3724" s="23">
        <v>1041.4960000000001</v>
      </c>
      <c r="J3724" s="23">
        <v>0</v>
      </c>
      <c r="K3724" s="23">
        <v>0</v>
      </c>
    </row>
    <row r="3725" spans="1:11" x14ac:dyDescent="0.25">
      <c r="A3725">
        <v>3724</v>
      </c>
      <c r="B3725" s="23">
        <v>1069.446089</v>
      </c>
      <c r="C3725" s="23">
        <v>0</v>
      </c>
      <c r="D3725" s="23">
        <v>0</v>
      </c>
      <c r="E3725" s="23">
        <v>0</v>
      </c>
      <c r="F3725" s="23">
        <v>0</v>
      </c>
      <c r="G3725" s="23">
        <v>0</v>
      </c>
      <c r="H3725" s="23">
        <v>0</v>
      </c>
      <c r="I3725" s="23">
        <v>1069.4459999999999</v>
      </c>
      <c r="J3725" s="23">
        <v>0</v>
      </c>
      <c r="K3725" s="23">
        <v>0</v>
      </c>
    </row>
    <row r="3726" spans="1:11" x14ac:dyDescent="0.25">
      <c r="A3726">
        <v>3725</v>
      </c>
      <c r="B3726" s="23">
        <v>1206.988331</v>
      </c>
      <c r="C3726" s="23">
        <v>0</v>
      </c>
      <c r="D3726" s="23">
        <v>0</v>
      </c>
      <c r="E3726" s="23">
        <v>0</v>
      </c>
      <c r="F3726" s="23">
        <v>0</v>
      </c>
      <c r="G3726" s="23">
        <v>0</v>
      </c>
      <c r="H3726" s="23">
        <v>0</v>
      </c>
      <c r="I3726" s="23">
        <v>374.56900000000002</v>
      </c>
      <c r="J3726" s="23">
        <v>0</v>
      </c>
      <c r="K3726" s="23">
        <v>832.42</v>
      </c>
    </row>
    <row r="3727" spans="1:11" x14ac:dyDescent="0.25">
      <c r="A3727">
        <v>3726</v>
      </c>
      <c r="B3727" s="23">
        <v>1139.3204900000001</v>
      </c>
      <c r="C3727" s="23">
        <v>0</v>
      </c>
      <c r="D3727" s="23">
        <v>0</v>
      </c>
      <c r="E3727" s="23">
        <v>0</v>
      </c>
      <c r="F3727" s="23">
        <v>0</v>
      </c>
      <c r="G3727" s="23">
        <v>0</v>
      </c>
      <c r="H3727" s="23">
        <v>0</v>
      </c>
      <c r="I3727" s="23">
        <v>0</v>
      </c>
      <c r="J3727" s="23">
        <v>0</v>
      </c>
      <c r="K3727" s="23">
        <v>1139.32</v>
      </c>
    </row>
    <row r="3728" spans="1:11" x14ac:dyDescent="0.25">
      <c r="A3728">
        <v>3727</v>
      </c>
      <c r="B3728" s="23">
        <v>968.37368819999995</v>
      </c>
      <c r="C3728" s="23">
        <v>108.89</v>
      </c>
      <c r="D3728" s="23">
        <v>391.66300000000001</v>
      </c>
      <c r="E3728" s="23">
        <v>391.66300000000001</v>
      </c>
      <c r="F3728" s="23">
        <v>0</v>
      </c>
      <c r="G3728" s="23">
        <v>0</v>
      </c>
      <c r="H3728" s="23">
        <v>0</v>
      </c>
      <c r="I3728" s="23">
        <v>0</v>
      </c>
      <c r="J3728" s="23">
        <v>0</v>
      </c>
      <c r="K3728" s="23">
        <v>576.71100000000001</v>
      </c>
    </row>
    <row r="3729" spans="1:11" x14ac:dyDescent="0.25">
      <c r="A3729">
        <v>3728</v>
      </c>
      <c r="B3729" s="23">
        <v>1216.839702</v>
      </c>
      <c r="C3729" s="23">
        <v>291.36</v>
      </c>
      <c r="D3729" s="23">
        <v>1138.4770000000001</v>
      </c>
      <c r="E3729" s="23">
        <v>1138.4770000000001</v>
      </c>
      <c r="F3729" s="23">
        <v>0</v>
      </c>
      <c r="G3729" s="23">
        <v>0</v>
      </c>
      <c r="H3729" s="23">
        <v>0</v>
      </c>
      <c r="I3729" s="23">
        <v>0</v>
      </c>
      <c r="J3729" s="23">
        <v>0</v>
      </c>
      <c r="K3729" s="23">
        <v>78.363</v>
      </c>
    </row>
    <row r="3730" spans="1:11" x14ac:dyDescent="0.25">
      <c r="A3730">
        <v>3729</v>
      </c>
      <c r="B3730" s="23">
        <v>1270.558405</v>
      </c>
      <c r="C3730" s="23">
        <v>559.92999999999995</v>
      </c>
      <c r="D3730" s="23">
        <v>2189.44</v>
      </c>
      <c r="E3730" s="23">
        <v>1270.558</v>
      </c>
      <c r="F3730" s="23">
        <v>-918.88199999999995</v>
      </c>
      <c r="G3730" s="23">
        <v>0</v>
      </c>
      <c r="H3730" s="23">
        <v>0</v>
      </c>
      <c r="I3730" s="23">
        <v>0</v>
      </c>
      <c r="J3730" s="23">
        <v>0</v>
      </c>
      <c r="K3730" s="23">
        <v>0</v>
      </c>
    </row>
    <row r="3731" spans="1:11" x14ac:dyDescent="0.25">
      <c r="A3731">
        <v>3730</v>
      </c>
      <c r="B3731" s="23">
        <v>1288.700926</v>
      </c>
      <c r="C3731" s="23">
        <v>740.58</v>
      </c>
      <c r="D3731" s="23">
        <v>2812.55</v>
      </c>
      <c r="E3731" s="23">
        <v>1288.701</v>
      </c>
      <c r="F3731" s="23">
        <v>-1523.8489999999999</v>
      </c>
      <c r="G3731" s="23">
        <v>0</v>
      </c>
      <c r="H3731" s="23">
        <v>0</v>
      </c>
      <c r="I3731" s="23">
        <v>0</v>
      </c>
      <c r="J3731" s="23">
        <v>0</v>
      </c>
      <c r="K3731" s="23">
        <v>0</v>
      </c>
    </row>
    <row r="3732" spans="1:11" x14ac:dyDescent="0.25">
      <c r="A3732">
        <v>3731</v>
      </c>
      <c r="B3732" s="23">
        <v>1265.5835320000001</v>
      </c>
      <c r="C3732" s="23">
        <v>718.71</v>
      </c>
      <c r="D3732" s="23">
        <v>2662.7739999999999</v>
      </c>
      <c r="E3732" s="23">
        <v>1265.5840000000001</v>
      </c>
      <c r="F3732" s="23">
        <v>-1397.19</v>
      </c>
      <c r="G3732" s="23">
        <v>0</v>
      </c>
      <c r="H3732" s="23">
        <v>0</v>
      </c>
      <c r="I3732" s="23">
        <v>0</v>
      </c>
      <c r="J3732" s="23">
        <v>0</v>
      </c>
      <c r="K3732" s="23">
        <v>0</v>
      </c>
    </row>
    <row r="3733" spans="1:11" x14ac:dyDescent="0.25">
      <c r="A3733">
        <v>3732</v>
      </c>
      <c r="B3733" s="23">
        <v>1527.2199499999999</v>
      </c>
      <c r="C3733" s="23">
        <v>750.15</v>
      </c>
      <c r="D3733" s="23">
        <v>2766.58</v>
      </c>
      <c r="E3733" s="23">
        <v>1527.22</v>
      </c>
      <c r="F3733" s="23">
        <v>-1239.3599999999999</v>
      </c>
      <c r="G3733" s="23">
        <v>0</v>
      </c>
      <c r="H3733" s="23">
        <v>0</v>
      </c>
      <c r="I3733" s="23">
        <v>0</v>
      </c>
      <c r="J3733" s="23">
        <v>0</v>
      </c>
      <c r="K3733" s="23">
        <v>0</v>
      </c>
    </row>
    <row r="3734" spans="1:11" x14ac:dyDescent="0.25">
      <c r="A3734">
        <v>3733</v>
      </c>
      <c r="B3734" s="23">
        <v>1609.89148</v>
      </c>
      <c r="C3734" s="23">
        <v>654.22</v>
      </c>
      <c r="D3734" s="23">
        <v>2436.9830000000002</v>
      </c>
      <c r="E3734" s="23">
        <v>1609.8910000000001</v>
      </c>
      <c r="F3734" s="23">
        <v>-827.09199999999998</v>
      </c>
      <c r="G3734" s="23">
        <v>0</v>
      </c>
      <c r="H3734" s="23">
        <v>0</v>
      </c>
      <c r="I3734" s="23">
        <v>0</v>
      </c>
      <c r="J3734" s="23">
        <v>0</v>
      </c>
      <c r="K3734" s="23">
        <v>0</v>
      </c>
    </row>
    <row r="3735" spans="1:11" x14ac:dyDescent="0.25">
      <c r="A3735">
        <v>3734</v>
      </c>
      <c r="B3735" s="23">
        <v>1684.8216609999999</v>
      </c>
      <c r="C3735" s="23">
        <v>741.13</v>
      </c>
      <c r="D3735" s="23">
        <v>2764.1880000000001</v>
      </c>
      <c r="E3735" s="23">
        <v>1684.8219999999999</v>
      </c>
      <c r="F3735" s="23">
        <v>-1079.366</v>
      </c>
      <c r="G3735" s="23">
        <v>0</v>
      </c>
      <c r="H3735" s="23">
        <v>0</v>
      </c>
      <c r="I3735" s="23">
        <v>0</v>
      </c>
      <c r="J3735" s="23">
        <v>0</v>
      </c>
      <c r="K3735" s="23">
        <v>0</v>
      </c>
    </row>
    <row r="3736" spans="1:11" x14ac:dyDescent="0.25">
      <c r="A3736">
        <v>3735</v>
      </c>
      <c r="B3736" s="23">
        <v>1461.4938830000001</v>
      </c>
      <c r="C3736" s="23">
        <v>648.48</v>
      </c>
      <c r="D3736" s="23">
        <v>2460.364</v>
      </c>
      <c r="E3736" s="23">
        <v>1461.4939999999999</v>
      </c>
      <c r="F3736" s="23">
        <v>-305.76</v>
      </c>
      <c r="G3736" s="23">
        <v>0</v>
      </c>
      <c r="H3736" s="23">
        <v>693.11</v>
      </c>
      <c r="I3736" s="23">
        <v>0</v>
      </c>
      <c r="J3736" s="23">
        <v>0</v>
      </c>
      <c r="K3736" s="23">
        <v>0</v>
      </c>
    </row>
    <row r="3737" spans="1:11" x14ac:dyDescent="0.25">
      <c r="A3737">
        <v>3736</v>
      </c>
      <c r="B3737" s="23">
        <v>1490.238004</v>
      </c>
      <c r="C3737" s="23">
        <v>492.84</v>
      </c>
      <c r="D3737" s="23">
        <v>1953.7470000000001</v>
      </c>
      <c r="E3737" s="23">
        <v>1490.2380000000001</v>
      </c>
      <c r="F3737" s="23">
        <v>0</v>
      </c>
      <c r="G3737" s="23">
        <v>0</v>
      </c>
      <c r="H3737" s="23">
        <v>463.50900000000001</v>
      </c>
      <c r="I3737" s="23">
        <v>0</v>
      </c>
      <c r="J3737" s="23">
        <v>0</v>
      </c>
      <c r="K3737" s="23">
        <v>0</v>
      </c>
    </row>
    <row r="3738" spans="1:11" x14ac:dyDescent="0.25">
      <c r="A3738">
        <v>3737</v>
      </c>
      <c r="B3738" s="23">
        <v>1239.2693839999999</v>
      </c>
      <c r="C3738" s="23">
        <v>256.74</v>
      </c>
      <c r="D3738" s="23">
        <v>992.91099999999994</v>
      </c>
      <c r="E3738" s="23">
        <v>992.91099999999994</v>
      </c>
      <c r="F3738" s="23">
        <v>0</v>
      </c>
      <c r="G3738" s="23">
        <v>0</v>
      </c>
      <c r="H3738" s="23">
        <v>0</v>
      </c>
      <c r="I3738" s="23">
        <v>246.35900000000001</v>
      </c>
      <c r="J3738" s="23">
        <v>0</v>
      </c>
      <c r="K3738" s="23">
        <v>0</v>
      </c>
    </row>
    <row r="3739" spans="1:11" x14ac:dyDescent="0.25">
      <c r="A3739">
        <v>3738</v>
      </c>
      <c r="B3739" s="23">
        <v>1422.6933630000001</v>
      </c>
      <c r="C3739" s="23">
        <v>54.26</v>
      </c>
      <c r="D3739" s="23">
        <v>181.59200000000001</v>
      </c>
      <c r="E3739" s="23">
        <v>181.59200000000001</v>
      </c>
      <c r="F3739" s="23">
        <v>0</v>
      </c>
      <c r="G3739" s="23">
        <v>0</v>
      </c>
      <c r="H3739" s="23">
        <v>0</v>
      </c>
      <c r="I3739" s="23">
        <v>0</v>
      </c>
      <c r="J3739" s="23">
        <v>0</v>
      </c>
      <c r="K3739" s="23">
        <v>1241.1010000000001</v>
      </c>
    </row>
    <row r="3740" spans="1:11" x14ac:dyDescent="0.25">
      <c r="A3740">
        <v>3739</v>
      </c>
      <c r="B3740" s="23">
        <v>1531.3526529999999</v>
      </c>
      <c r="C3740" s="23">
        <v>0</v>
      </c>
      <c r="D3740" s="23">
        <v>0</v>
      </c>
      <c r="E3740" s="23">
        <v>0</v>
      </c>
      <c r="F3740" s="23">
        <v>0</v>
      </c>
      <c r="G3740" s="23">
        <v>0</v>
      </c>
      <c r="H3740" s="23">
        <v>0</v>
      </c>
      <c r="I3740" s="23">
        <v>0</v>
      </c>
      <c r="J3740" s="23">
        <v>0</v>
      </c>
      <c r="K3740" s="23">
        <v>1531.3530000000001</v>
      </c>
    </row>
    <row r="3741" spans="1:11" x14ac:dyDescent="0.25">
      <c r="A3741">
        <v>3740</v>
      </c>
      <c r="B3741" s="23">
        <v>1093.7182499999999</v>
      </c>
      <c r="C3741" s="23">
        <v>0</v>
      </c>
      <c r="D3741" s="23">
        <v>0</v>
      </c>
      <c r="E3741" s="23">
        <v>0</v>
      </c>
      <c r="F3741" s="23">
        <v>0</v>
      </c>
      <c r="G3741" s="23">
        <v>0</v>
      </c>
      <c r="H3741" s="23">
        <v>0</v>
      </c>
      <c r="I3741" s="23">
        <v>0</v>
      </c>
      <c r="J3741" s="23">
        <v>0</v>
      </c>
      <c r="K3741" s="23">
        <v>1093.7180000000001</v>
      </c>
    </row>
    <row r="3742" spans="1:11" x14ac:dyDescent="0.25">
      <c r="A3742">
        <v>3741</v>
      </c>
      <c r="B3742" s="23">
        <v>818.6337671</v>
      </c>
      <c r="C3742" s="23">
        <v>0</v>
      </c>
      <c r="D3742" s="23">
        <v>0</v>
      </c>
      <c r="E3742" s="23">
        <v>0</v>
      </c>
      <c r="F3742" s="23">
        <v>0</v>
      </c>
      <c r="G3742" s="23">
        <v>0</v>
      </c>
      <c r="H3742" s="23">
        <v>0</v>
      </c>
      <c r="I3742" s="23">
        <v>818.63400000000001</v>
      </c>
      <c r="J3742" s="23">
        <v>0</v>
      </c>
      <c r="K3742" s="23">
        <v>0</v>
      </c>
    </row>
    <row r="3743" spans="1:11" x14ac:dyDescent="0.25">
      <c r="A3743">
        <v>3742</v>
      </c>
      <c r="B3743" s="23">
        <v>913.51584800000001</v>
      </c>
      <c r="C3743" s="23">
        <v>0</v>
      </c>
      <c r="D3743" s="23">
        <v>0</v>
      </c>
      <c r="E3743" s="23">
        <v>0</v>
      </c>
      <c r="F3743" s="23">
        <v>0</v>
      </c>
      <c r="G3743" s="23">
        <v>0</v>
      </c>
      <c r="H3743" s="23">
        <v>0</v>
      </c>
      <c r="I3743" s="23">
        <v>913.51599999999996</v>
      </c>
      <c r="J3743" s="23">
        <v>0</v>
      </c>
      <c r="K3743" s="23">
        <v>0</v>
      </c>
    </row>
    <row r="3744" spans="1:11" x14ac:dyDescent="0.25">
      <c r="A3744">
        <v>3743</v>
      </c>
      <c r="B3744" s="23">
        <v>1149.6177700000001</v>
      </c>
      <c r="C3744" s="23">
        <v>0</v>
      </c>
      <c r="D3744" s="23">
        <v>0</v>
      </c>
      <c r="E3744" s="23">
        <v>0</v>
      </c>
      <c r="F3744" s="23">
        <v>0</v>
      </c>
      <c r="G3744" s="23">
        <v>0</v>
      </c>
      <c r="H3744" s="23">
        <v>0</v>
      </c>
      <c r="I3744" s="23">
        <v>1149.6179999999999</v>
      </c>
      <c r="J3744" s="23">
        <v>0</v>
      </c>
      <c r="K3744" s="23">
        <v>0</v>
      </c>
    </row>
    <row r="3745" spans="1:11" x14ac:dyDescent="0.25">
      <c r="A3745">
        <v>3744</v>
      </c>
      <c r="B3745" s="23">
        <v>1036.3476889999999</v>
      </c>
      <c r="C3745" s="23">
        <v>0</v>
      </c>
      <c r="D3745" s="23">
        <v>0</v>
      </c>
      <c r="E3745" s="23">
        <v>0</v>
      </c>
      <c r="F3745" s="23">
        <v>0</v>
      </c>
      <c r="G3745" s="23">
        <v>0</v>
      </c>
      <c r="H3745" s="23">
        <v>0</v>
      </c>
      <c r="I3745" s="23">
        <v>1036.348</v>
      </c>
      <c r="J3745" s="23">
        <v>0</v>
      </c>
      <c r="K3745" s="23">
        <v>0</v>
      </c>
    </row>
    <row r="3746" spans="1:11" x14ac:dyDescent="0.25">
      <c r="A3746">
        <v>3745</v>
      </c>
      <c r="B3746" s="23">
        <v>967.20880839999995</v>
      </c>
      <c r="C3746" s="23">
        <v>0</v>
      </c>
      <c r="D3746" s="23">
        <v>0</v>
      </c>
      <c r="E3746" s="23">
        <v>0</v>
      </c>
      <c r="F3746" s="23">
        <v>0</v>
      </c>
      <c r="G3746" s="23">
        <v>0</v>
      </c>
      <c r="H3746" s="23">
        <v>0</v>
      </c>
      <c r="I3746" s="23">
        <v>967.20899999999995</v>
      </c>
      <c r="J3746" s="23">
        <v>0</v>
      </c>
      <c r="K3746" s="23">
        <v>0</v>
      </c>
    </row>
    <row r="3747" spans="1:11" x14ac:dyDescent="0.25">
      <c r="A3747">
        <v>3746</v>
      </c>
      <c r="B3747" s="23">
        <v>1274.6561710000001</v>
      </c>
      <c r="C3747" s="23">
        <v>0</v>
      </c>
      <c r="D3747" s="23">
        <v>0</v>
      </c>
      <c r="E3747" s="23">
        <v>0</v>
      </c>
      <c r="F3747" s="23">
        <v>0</v>
      </c>
      <c r="G3747" s="23">
        <v>0</v>
      </c>
      <c r="H3747" s="23">
        <v>0</v>
      </c>
      <c r="I3747" s="23">
        <v>1274.6559999999999</v>
      </c>
      <c r="J3747" s="23">
        <v>0</v>
      </c>
      <c r="K3747" s="23">
        <v>0</v>
      </c>
    </row>
    <row r="3748" spans="1:11" x14ac:dyDescent="0.25">
      <c r="A3748">
        <v>3747</v>
      </c>
      <c r="B3748" s="23">
        <v>962.06016839999995</v>
      </c>
      <c r="C3748" s="23">
        <v>0</v>
      </c>
      <c r="D3748" s="23">
        <v>0</v>
      </c>
      <c r="E3748" s="23">
        <v>0</v>
      </c>
      <c r="F3748" s="23">
        <v>0</v>
      </c>
      <c r="G3748" s="23">
        <v>0</v>
      </c>
      <c r="H3748" s="23">
        <v>0</v>
      </c>
      <c r="I3748" s="23">
        <v>962.06</v>
      </c>
      <c r="J3748" s="23">
        <v>0</v>
      </c>
      <c r="K3748" s="23">
        <v>0</v>
      </c>
    </row>
    <row r="3749" spans="1:11" x14ac:dyDescent="0.25">
      <c r="A3749">
        <v>3748</v>
      </c>
      <c r="B3749" s="23">
        <v>1158.4440099999999</v>
      </c>
      <c r="C3749" s="23">
        <v>0</v>
      </c>
      <c r="D3749" s="23">
        <v>0</v>
      </c>
      <c r="E3749" s="23">
        <v>0</v>
      </c>
      <c r="F3749" s="23">
        <v>0</v>
      </c>
      <c r="G3749" s="23">
        <v>0</v>
      </c>
      <c r="H3749" s="23">
        <v>0</v>
      </c>
      <c r="I3749" s="23">
        <v>1158.444</v>
      </c>
      <c r="J3749" s="23">
        <v>0</v>
      </c>
      <c r="K3749" s="23">
        <v>0</v>
      </c>
    </row>
    <row r="3750" spans="1:11" x14ac:dyDescent="0.25">
      <c r="A3750">
        <v>3749</v>
      </c>
      <c r="B3750" s="23">
        <v>1215.0790509999999</v>
      </c>
      <c r="C3750" s="23">
        <v>0</v>
      </c>
      <c r="D3750" s="23">
        <v>0</v>
      </c>
      <c r="E3750" s="23">
        <v>0</v>
      </c>
      <c r="F3750" s="23">
        <v>0</v>
      </c>
      <c r="G3750" s="23">
        <v>0</v>
      </c>
      <c r="H3750" s="23">
        <v>0</v>
      </c>
      <c r="I3750" s="23">
        <v>1215.079</v>
      </c>
      <c r="J3750" s="23">
        <v>0</v>
      </c>
      <c r="K3750" s="23">
        <v>0</v>
      </c>
    </row>
    <row r="3751" spans="1:11" x14ac:dyDescent="0.25">
      <c r="A3751">
        <v>3750</v>
      </c>
      <c r="B3751" s="23">
        <v>663.43904580000003</v>
      </c>
      <c r="C3751" s="23">
        <v>0</v>
      </c>
      <c r="D3751" s="23">
        <v>0</v>
      </c>
      <c r="E3751" s="23">
        <v>0</v>
      </c>
      <c r="F3751" s="23">
        <v>0</v>
      </c>
      <c r="G3751" s="23">
        <v>0</v>
      </c>
      <c r="H3751" s="23">
        <v>0</v>
      </c>
      <c r="I3751" s="23">
        <v>663.43899999999996</v>
      </c>
      <c r="J3751" s="23">
        <v>0</v>
      </c>
      <c r="K3751" s="23">
        <v>0</v>
      </c>
    </row>
    <row r="3752" spans="1:11" x14ac:dyDescent="0.25">
      <c r="A3752">
        <v>3751</v>
      </c>
      <c r="B3752" s="23">
        <v>831.19001309999999</v>
      </c>
      <c r="C3752" s="23">
        <v>102.83</v>
      </c>
      <c r="D3752" s="23">
        <v>371.34100000000001</v>
      </c>
      <c r="E3752" s="23">
        <v>371.34100000000001</v>
      </c>
      <c r="F3752" s="23">
        <v>0</v>
      </c>
      <c r="G3752" s="23">
        <v>0</v>
      </c>
      <c r="H3752" s="23">
        <v>0</v>
      </c>
      <c r="I3752" s="23">
        <v>459.84899999999999</v>
      </c>
      <c r="J3752" s="23">
        <v>0</v>
      </c>
      <c r="K3752" s="23">
        <v>0</v>
      </c>
    </row>
    <row r="3753" spans="1:11" x14ac:dyDescent="0.25">
      <c r="A3753">
        <v>3752</v>
      </c>
      <c r="B3753" s="23">
        <v>900.20293590000006</v>
      </c>
      <c r="C3753" s="23">
        <v>276.02</v>
      </c>
      <c r="D3753" s="23">
        <v>1077.6959999999999</v>
      </c>
      <c r="E3753" s="23">
        <v>900.20299999999997</v>
      </c>
      <c r="F3753" s="23">
        <v>-177.49299999999999</v>
      </c>
      <c r="G3753" s="23">
        <v>0</v>
      </c>
      <c r="H3753" s="23">
        <v>0</v>
      </c>
      <c r="I3753" s="23">
        <v>0</v>
      </c>
      <c r="J3753" s="23">
        <v>0</v>
      </c>
      <c r="K3753" s="23">
        <v>0</v>
      </c>
    </row>
    <row r="3754" spans="1:11" x14ac:dyDescent="0.25">
      <c r="A3754">
        <v>3753</v>
      </c>
      <c r="B3754" s="23">
        <v>1016.189844</v>
      </c>
      <c r="C3754" s="23">
        <v>457.32</v>
      </c>
      <c r="D3754" s="23">
        <v>1767.1079999999999</v>
      </c>
      <c r="E3754" s="23">
        <v>1016.189</v>
      </c>
      <c r="F3754" s="23">
        <v>-750.91899999999998</v>
      </c>
      <c r="G3754" s="23">
        <v>0</v>
      </c>
      <c r="H3754" s="23">
        <v>0</v>
      </c>
      <c r="I3754" s="23">
        <v>0</v>
      </c>
      <c r="J3754" s="23">
        <v>0</v>
      </c>
      <c r="K3754" s="23">
        <v>0</v>
      </c>
    </row>
    <row r="3755" spans="1:11" x14ac:dyDescent="0.25">
      <c r="A3755">
        <v>3754</v>
      </c>
      <c r="B3755" s="23">
        <v>1501.880367</v>
      </c>
      <c r="C3755" s="23">
        <v>460.94</v>
      </c>
      <c r="D3755" s="23">
        <v>1751.539</v>
      </c>
      <c r="E3755" s="23">
        <v>1501.8810000000001</v>
      </c>
      <c r="F3755" s="23">
        <v>-249.65799999999999</v>
      </c>
      <c r="G3755" s="23">
        <v>0</v>
      </c>
      <c r="H3755" s="23">
        <v>0</v>
      </c>
      <c r="I3755" s="23">
        <v>0</v>
      </c>
      <c r="J3755" s="23">
        <v>0</v>
      </c>
      <c r="K3755" s="23">
        <v>0</v>
      </c>
    </row>
    <row r="3756" spans="1:11" x14ac:dyDescent="0.25">
      <c r="A3756">
        <v>3755</v>
      </c>
      <c r="B3756" s="23">
        <v>1433.371275</v>
      </c>
      <c r="C3756" s="23">
        <v>860.19</v>
      </c>
      <c r="D3756" s="23">
        <v>3200.6689999999999</v>
      </c>
      <c r="E3756" s="23">
        <v>1433.3720000000001</v>
      </c>
      <c r="F3756" s="23">
        <v>-1684.559</v>
      </c>
      <c r="G3756" s="23">
        <v>0</v>
      </c>
      <c r="H3756" s="23">
        <v>82.738</v>
      </c>
      <c r="I3756" s="23">
        <v>0</v>
      </c>
      <c r="J3756" s="23">
        <v>0</v>
      </c>
      <c r="K3756" s="23">
        <v>0</v>
      </c>
    </row>
    <row r="3757" spans="1:11" x14ac:dyDescent="0.25">
      <c r="A3757">
        <v>3756</v>
      </c>
      <c r="B3757" s="23">
        <v>1371.7310210000001</v>
      </c>
      <c r="C3757" s="23">
        <v>522.16</v>
      </c>
      <c r="D3757" s="23">
        <v>1953.096</v>
      </c>
      <c r="E3757" s="23">
        <v>1371.731</v>
      </c>
      <c r="F3757" s="23">
        <v>-581.36500000000001</v>
      </c>
      <c r="G3757" s="23">
        <v>0</v>
      </c>
      <c r="H3757" s="23">
        <v>0</v>
      </c>
      <c r="I3757" s="23">
        <v>0</v>
      </c>
      <c r="J3757" s="23">
        <v>0</v>
      </c>
      <c r="K3757" s="23">
        <v>0</v>
      </c>
    </row>
    <row r="3758" spans="1:11" x14ac:dyDescent="0.25">
      <c r="A3758">
        <v>3757</v>
      </c>
      <c r="B3758" s="23">
        <v>1529.9045980000001</v>
      </c>
      <c r="C3758" s="23">
        <v>252.45</v>
      </c>
      <c r="D3758" s="23">
        <v>947.31299999999999</v>
      </c>
      <c r="E3758" s="23">
        <v>947.31299999999999</v>
      </c>
      <c r="F3758" s="23">
        <v>0</v>
      </c>
      <c r="G3758" s="23">
        <v>0</v>
      </c>
      <c r="H3758" s="23">
        <v>0</v>
      </c>
      <c r="I3758" s="23">
        <v>582.59199999999998</v>
      </c>
      <c r="J3758" s="23">
        <v>0</v>
      </c>
      <c r="K3758" s="23">
        <v>0</v>
      </c>
    </row>
    <row r="3759" spans="1:11" x14ac:dyDescent="0.25">
      <c r="A3759">
        <v>3758</v>
      </c>
      <c r="B3759" s="23">
        <v>1387.757083</v>
      </c>
      <c r="C3759" s="23">
        <v>88.02</v>
      </c>
      <c r="D3759" s="23">
        <v>310.35899999999998</v>
      </c>
      <c r="E3759" s="23">
        <v>310.35899999999998</v>
      </c>
      <c r="F3759" s="23">
        <v>0</v>
      </c>
      <c r="G3759" s="23">
        <v>0</v>
      </c>
      <c r="H3759" s="23">
        <v>0</v>
      </c>
      <c r="I3759" s="23">
        <v>1077.3979999999999</v>
      </c>
      <c r="J3759" s="23">
        <v>0</v>
      </c>
      <c r="K3759" s="23">
        <v>0</v>
      </c>
    </row>
    <row r="3760" spans="1:11" x14ac:dyDescent="0.25">
      <c r="A3760">
        <v>3759</v>
      </c>
      <c r="B3760" s="23">
        <v>1085.986095</v>
      </c>
      <c r="C3760" s="23">
        <v>142.91999999999999</v>
      </c>
      <c r="D3760" s="23">
        <v>529.50099999999998</v>
      </c>
      <c r="E3760" s="23">
        <v>529.50099999999998</v>
      </c>
      <c r="F3760" s="23">
        <v>0</v>
      </c>
      <c r="G3760" s="23">
        <v>0</v>
      </c>
      <c r="H3760" s="23">
        <v>0</v>
      </c>
      <c r="I3760" s="23">
        <v>556.48500000000001</v>
      </c>
      <c r="J3760" s="23">
        <v>0</v>
      </c>
      <c r="K3760" s="23">
        <v>0</v>
      </c>
    </row>
    <row r="3761" spans="1:11" x14ac:dyDescent="0.25">
      <c r="A3761">
        <v>3760</v>
      </c>
      <c r="B3761" s="23">
        <v>1513.4914690000001</v>
      </c>
      <c r="C3761" s="23">
        <v>119.23</v>
      </c>
      <c r="D3761" s="23">
        <v>441.95699999999999</v>
      </c>
      <c r="E3761" s="23">
        <v>441.95699999999999</v>
      </c>
      <c r="F3761" s="23">
        <v>0</v>
      </c>
      <c r="G3761" s="23">
        <v>0</v>
      </c>
      <c r="H3761" s="23">
        <v>0</v>
      </c>
      <c r="I3761" s="23">
        <v>1071.5350000000001</v>
      </c>
      <c r="J3761" s="23">
        <v>0</v>
      </c>
      <c r="K3761" s="23">
        <v>0</v>
      </c>
    </row>
    <row r="3762" spans="1:11" x14ac:dyDescent="0.25">
      <c r="A3762">
        <v>3761</v>
      </c>
      <c r="B3762" s="23">
        <v>1215.089164</v>
      </c>
      <c r="C3762" s="23">
        <v>78.8</v>
      </c>
      <c r="D3762" s="23">
        <v>284.30799999999999</v>
      </c>
      <c r="E3762" s="23">
        <v>284.30799999999999</v>
      </c>
      <c r="F3762" s="23">
        <v>0</v>
      </c>
      <c r="G3762" s="23">
        <v>0</v>
      </c>
      <c r="H3762" s="23">
        <v>0</v>
      </c>
      <c r="I3762" s="23">
        <v>930.78099999999995</v>
      </c>
      <c r="J3762" s="23">
        <v>0</v>
      </c>
      <c r="K3762" s="23">
        <v>0</v>
      </c>
    </row>
    <row r="3763" spans="1:11" x14ac:dyDescent="0.25">
      <c r="A3763">
        <v>3762</v>
      </c>
      <c r="B3763" s="23">
        <v>1339.0123329999999</v>
      </c>
      <c r="C3763" s="23">
        <v>19.59</v>
      </c>
      <c r="D3763" s="23">
        <v>49.953000000000003</v>
      </c>
      <c r="E3763" s="23">
        <v>49.953000000000003</v>
      </c>
      <c r="F3763" s="23">
        <v>0</v>
      </c>
      <c r="G3763" s="23">
        <v>0</v>
      </c>
      <c r="H3763" s="23">
        <v>0</v>
      </c>
      <c r="I3763" s="23">
        <v>0</v>
      </c>
      <c r="J3763" s="23">
        <v>0</v>
      </c>
      <c r="K3763" s="23">
        <v>1289.059</v>
      </c>
    </row>
    <row r="3764" spans="1:11" x14ac:dyDescent="0.25">
      <c r="A3764">
        <v>3763</v>
      </c>
      <c r="B3764" s="23">
        <v>1233.4670510000001</v>
      </c>
      <c r="C3764" s="23">
        <v>0</v>
      </c>
      <c r="D3764" s="23">
        <v>0</v>
      </c>
      <c r="E3764" s="23">
        <v>0</v>
      </c>
      <c r="F3764" s="23">
        <v>0</v>
      </c>
      <c r="G3764" s="23">
        <v>0</v>
      </c>
      <c r="H3764" s="23">
        <v>0</v>
      </c>
      <c r="I3764" s="23">
        <v>0</v>
      </c>
      <c r="J3764" s="23">
        <v>0</v>
      </c>
      <c r="K3764" s="23">
        <v>1233.4670000000001</v>
      </c>
    </row>
    <row r="3765" spans="1:11" x14ac:dyDescent="0.25">
      <c r="A3765">
        <v>3764</v>
      </c>
      <c r="B3765" s="23">
        <v>1164.32817</v>
      </c>
      <c r="C3765" s="23">
        <v>0</v>
      </c>
      <c r="D3765" s="23">
        <v>0</v>
      </c>
      <c r="E3765" s="23">
        <v>0</v>
      </c>
      <c r="F3765" s="23">
        <v>0</v>
      </c>
      <c r="G3765" s="23">
        <v>0</v>
      </c>
      <c r="H3765" s="23">
        <v>0</v>
      </c>
      <c r="I3765" s="23">
        <v>0</v>
      </c>
      <c r="J3765" s="23">
        <v>0</v>
      </c>
      <c r="K3765" s="23">
        <v>1164.328</v>
      </c>
    </row>
    <row r="3766" spans="1:11" x14ac:dyDescent="0.25">
      <c r="A3766">
        <v>3765</v>
      </c>
      <c r="B3766" s="23">
        <v>1034.1411290000001</v>
      </c>
      <c r="C3766" s="23">
        <v>0</v>
      </c>
      <c r="D3766" s="23">
        <v>0</v>
      </c>
      <c r="E3766" s="23">
        <v>0</v>
      </c>
      <c r="F3766" s="23">
        <v>0</v>
      </c>
      <c r="G3766" s="23">
        <v>0</v>
      </c>
      <c r="H3766" s="23">
        <v>0</v>
      </c>
      <c r="I3766" s="23">
        <v>1034.1410000000001</v>
      </c>
      <c r="J3766" s="23">
        <v>0</v>
      </c>
      <c r="K3766" s="23">
        <v>0</v>
      </c>
    </row>
    <row r="3767" spans="1:11" x14ac:dyDescent="0.25">
      <c r="A3767">
        <v>3766</v>
      </c>
      <c r="B3767" s="23">
        <v>1329.820172</v>
      </c>
      <c r="C3767" s="23">
        <v>0</v>
      </c>
      <c r="D3767" s="23">
        <v>0</v>
      </c>
      <c r="E3767" s="23">
        <v>0</v>
      </c>
      <c r="F3767" s="23">
        <v>0</v>
      </c>
      <c r="G3767" s="23">
        <v>0</v>
      </c>
      <c r="H3767" s="23">
        <v>0</v>
      </c>
      <c r="I3767" s="23">
        <v>1329.82</v>
      </c>
      <c r="J3767" s="23">
        <v>0</v>
      </c>
      <c r="K3767" s="23">
        <v>0</v>
      </c>
    </row>
    <row r="3768" spans="1:11" x14ac:dyDescent="0.25">
      <c r="A3768">
        <v>3767</v>
      </c>
      <c r="B3768" s="23">
        <v>1057.6777689999999</v>
      </c>
      <c r="C3768" s="23">
        <v>0</v>
      </c>
      <c r="D3768" s="23">
        <v>0</v>
      </c>
      <c r="E3768" s="23">
        <v>0</v>
      </c>
      <c r="F3768" s="23">
        <v>0</v>
      </c>
      <c r="G3768" s="23">
        <v>0</v>
      </c>
      <c r="H3768" s="23">
        <v>0</v>
      </c>
      <c r="I3768" s="23">
        <v>1057.6780000000001</v>
      </c>
      <c r="J3768" s="23">
        <v>0</v>
      </c>
      <c r="K3768" s="23">
        <v>0</v>
      </c>
    </row>
    <row r="3769" spans="1:11" x14ac:dyDescent="0.25">
      <c r="A3769">
        <v>3768</v>
      </c>
      <c r="B3769" s="23">
        <v>1348.9436920000001</v>
      </c>
      <c r="C3769" s="23">
        <v>0</v>
      </c>
      <c r="D3769" s="23">
        <v>0</v>
      </c>
      <c r="E3769" s="23">
        <v>0</v>
      </c>
      <c r="F3769" s="23">
        <v>0</v>
      </c>
      <c r="G3769" s="23">
        <v>0</v>
      </c>
      <c r="H3769" s="23">
        <v>0</v>
      </c>
      <c r="I3769" s="23">
        <v>1348.944</v>
      </c>
      <c r="J3769" s="23">
        <v>0</v>
      </c>
      <c r="K3769" s="23">
        <v>0</v>
      </c>
    </row>
    <row r="3770" spans="1:11" x14ac:dyDescent="0.25">
      <c r="A3770">
        <v>3769</v>
      </c>
      <c r="B3770" s="23">
        <v>972.35744850000003</v>
      </c>
      <c r="C3770" s="23">
        <v>0</v>
      </c>
      <c r="D3770" s="23">
        <v>0</v>
      </c>
      <c r="E3770" s="23">
        <v>0</v>
      </c>
      <c r="F3770" s="23">
        <v>0</v>
      </c>
      <c r="G3770" s="23">
        <v>0</v>
      </c>
      <c r="H3770" s="23">
        <v>0</v>
      </c>
      <c r="I3770" s="23">
        <v>972.35699999999997</v>
      </c>
      <c r="J3770" s="23">
        <v>0</v>
      </c>
      <c r="K3770" s="23">
        <v>0</v>
      </c>
    </row>
    <row r="3771" spans="1:11" x14ac:dyDescent="0.25">
      <c r="A3771">
        <v>3770</v>
      </c>
      <c r="B3771" s="23">
        <v>1018.695209</v>
      </c>
      <c r="C3771" s="23">
        <v>0</v>
      </c>
      <c r="D3771" s="23">
        <v>0</v>
      </c>
      <c r="E3771" s="23">
        <v>0</v>
      </c>
      <c r="F3771" s="23">
        <v>0</v>
      </c>
      <c r="G3771" s="23">
        <v>0</v>
      </c>
      <c r="H3771" s="23">
        <v>0</v>
      </c>
      <c r="I3771" s="23">
        <v>1018.6950000000001</v>
      </c>
      <c r="J3771" s="23">
        <v>0</v>
      </c>
      <c r="K3771" s="23">
        <v>0</v>
      </c>
    </row>
    <row r="3772" spans="1:11" x14ac:dyDescent="0.25">
      <c r="A3772">
        <v>3771</v>
      </c>
      <c r="B3772" s="23">
        <v>1329.820172</v>
      </c>
      <c r="C3772" s="23">
        <v>0</v>
      </c>
      <c r="D3772" s="23">
        <v>0</v>
      </c>
      <c r="E3772" s="23">
        <v>0</v>
      </c>
      <c r="F3772" s="23">
        <v>0</v>
      </c>
      <c r="G3772" s="23">
        <v>0</v>
      </c>
      <c r="H3772" s="23">
        <v>0</v>
      </c>
      <c r="I3772" s="23">
        <v>1329.82</v>
      </c>
      <c r="J3772" s="23">
        <v>0</v>
      </c>
      <c r="K3772" s="23">
        <v>0</v>
      </c>
    </row>
    <row r="3773" spans="1:11" x14ac:dyDescent="0.25">
      <c r="A3773">
        <v>3772</v>
      </c>
      <c r="B3773" s="23">
        <v>1226.8473710000001</v>
      </c>
      <c r="C3773" s="23">
        <v>0</v>
      </c>
      <c r="D3773" s="23">
        <v>0</v>
      </c>
      <c r="E3773" s="23">
        <v>0</v>
      </c>
      <c r="F3773" s="23">
        <v>0</v>
      </c>
      <c r="G3773" s="23">
        <v>0</v>
      </c>
      <c r="H3773" s="23">
        <v>0</v>
      </c>
      <c r="I3773" s="23">
        <v>1226.847</v>
      </c>
      <c r="J3773" s="23">
        <v>0</v>
      </c>
      <c r="K3773" s="23">
        <v>0</v>
      </c>
    </row>
    <row r="3774" spans="1:11" x14ac:dyDescent="0.25">
      <c r="A3774">
        <v>3773</v>
      </c>
      <c r="B3774" s="23">
        <v>759.79216659999997</v>
      </c>
      <c r="C3774" s="23">
        <v>0</v>
      </c>
      <c r="D3774" s="23">
        <v>0</v>
      </c>
      <c r="E3774" s="23">
        <v>0</v>
      </c>
      <c r="F3774" s="23">
        <v>0</v>
      </c>
      <c r="G3774" s="23">
        <v>0</v>
      </c>
      <c r="H3774" s="23">
        <v>0</v>
      </c>
      <c r="I3774" s="23">
        <v>315.49599999999998</v>
      </c>
      <c r="J3774" s="23">
        <v>0</v>
      </c>
      <c r="K3774" s="23">
        <v>444.29599999999999</v>
      </c>
    </row>
    <row r="3775" spans="1:11" x14ac:dyDescent="0.25">
      <c r="A3775">
        <v>3774</v>
      </c>
      <c r="B3775" s="23">
        <v>961.3246484</v>
      </c>
      <c r="C3775" s="23">
        <v>0</v>
      </c>
      <c r="D3775" s="23">
        <v>0</v>
      </c>
      <c r="E3775" s="23">
        <v>0</v>
      </c>
      <c r="F3775" s="23">
        <v>0</v>
      </c>
      <c r="G3775" s="23">
        <v>0</v>
      </c>
      <c r="H3775" s="23">
        <v>0</v>
      </c>
      <c r="I3775" s="23">
        <v>0</v>
      </c>
      <c r="J3775" s="23">
        <v>0</v>
      </c>
      <c r="K3775" s="23">
        <v>961.32500000000005</v>
      </c>
    </row>
    <row r="3776" spans="1:11" x14ac:dyDescent="0.25">
      <c r="A3776">
        <v>3775</v>
      </c>
      <c r="B3776" s="23">
        <v>883.31539650000002</v>
      </c>
      <c r="C3776" s="23">
        <v>55.97</v>
      </c>
      <c r="D3776" s="23">
        <v>195.47800000000001</v>
      </c>
      <c r="E3776" s="23">
        <v>195.47800000000001</v>
      </c>
      <c r="F3776" s="23">
        <v>0</v>
      </c>
      <c r="G3776" s="23">
        <v>0</v>
      </c>
      <c r="H3776" s="23">
        <v>0</v>
      </c>
      <c r="I3776" s="23">
        <v>0</v>
      </c>
      <c r="J3776" s="23">
        <v>0</v>
      </c>
      <c r="K3776" s="23">
        <v>687.83799999999997</v>
      </c>
    </row>
    <row r="3777" spans="1:11" x14ac:dyDescent="0.25">
      <c r="A3777">
        <v>3776</v>
      </c>
      <c r="B3777" s="23">
        <v>819.43088690000002</v>
      </c>
      <c r="C3777" s="23">
        <v>342.89</v>
      </c>
      <c r="D3777" s="23">
        <v>1297.019</v>
      </c>
      <c r="E3777" s="23">
        <v>819.43100000000004</v>
      </c>
      <c r="F3777" s="23">
        <v>-477.58800000000002</v>
      </c>
      <c r="G3777" s="23">
        <v>0</v>
      </c>
      <c r="H3777" s="23">
        <v>0</v>
      </c>
      <c r="I3777" s="23">
        <v>0</v>
      </c>
      <c r="J3777" s="23">
        <v>0</v>
      </c>
      <c r="K3777" s="23">
        <v>0</v>
      </c>
    </row>
    <row r="3778" spans="1:11" x14ac:dyDescent="0.25">
      <c r="A3778">
        <v>3777</v>
      </c>
      <c r="B3778" s="23">
        <v>938.72947380000005</v>
      </c>
      <c r="C3778" s="23">
        <v>436.58</v>
      </c>
      <c r="D3778" s="23">
        <v>1640.4390000000001</v>
      </c>
      <c r="E3778" s="23">
        <v>938.73</v>
      </c>
      <c r="F3778" s="23">
        <v>-701.70899999999995</v>
      </c>
      <c r="G3778" s="23">
        <v>0</v>
      </c>
      <c r="H3778" s="23">
        <v>0</v>
      </c>
      <c r="I3778" s="23">
        <v>0</v>
      </c>
      <c r="J3778" s="23">
        <v>0</v>
      </c>
      <c r="K3778" s="23">
        <v>0</v>
      </c>
    </row>
    <row r="3779" spans="1:11" x14ac:dyDescent="0.25">
      <c r="A3779">
        <v>3778</v>
      </c>
      <c r="B3779" s="23">
        <v>1175.0134370000001</v>
      </c>
      <c r="C3779" s="23">
        <v>738.05</v>
      </c>
      <c r="D3779" s="23">
        <v>2674.0659999999998</v>
      </c>
      <c r="E3779" s="23">
        <v>1175.0129999999999</v>
      </c>
      <c r="F3779" s="23">
        <v>-1499.0530000000001</v>
      </c>
      <c r="G3779" s="23">
        <v>0</v>
      </c>
      <c r="H3779" s="23">
        <v>0</v>
      </c>
      <c r="I3779" s="23">
        <v>0</v>
      </c>
      <c r="J3779" s="23">
        <v>0</v>
      </c>
      <c r="K3779" s="23">
        <v>0</v>
      </c>
    </row>
    <row r="3780" spans="1:11" x14ac:dyDescent="0.25">
      <c r="A3780">
        <v>3779</v>
      </c>
      <c r="B3780" s="23">
        <v>1296.9810419999999</v>
      </c>
      <c r="C3780" s="23">
        <v>505.07</v>
      </c>
      <c r="D3780" s="23">
        <v>1842.1569999999999</v>
      </c>
      <c r="E3780" s="23">
        <v>1296.982</v>
      </c>
      <c r="F3780" s="23">
        <v>-545.17499999999995</v>
      </c>
      <c r="G3780" s="23">
        <v>0</v>
      </c>
      <c r="H3780" s="23">
        <v>0</v>
      </c>
      <c r="I3780" s="23">
        <v>0</v>
      </c>
      <c r="J3780" s="23">
        <v>0</v>
      </c>
      <c r="K3780" s="23">
        <v>0</v>
      </c>
    </row>
    <row r="3781" spans="1:11" x14ac:dyDescent="0.25">
      <c r="A3781">
        <v>3780</v>
      </c>
      <c r="B3781" s="23">
        <v>1264.464622</v>
      </c>
      <c r="C3781" s="23">
        <v>917.77</v>
      </c>
      <c r="D3781" s="23">
        <v>3215.3139999999999</v>
      </c>
      <c r="E3781" s="23">
        <v>1264.4649999999999</v>
      </c>
      <c r="F3781" s="23">
        <v>-1684.559</v>
      </c>
      <c r="G3781" s="23">
        <v>0</v>
      </c>
      <c r="H3781" s="23">
        <v>266.29000000000002</v>
      </c>
      <c r="I3781" s="23">
        <v>0</v>
      </c>
      <c r="J3781" s="23">
        <v>0</v>
      </c>
      <c r="K3781" s="23">
        <v>0</v>
      </c>
    </row>
    <row r="3782" spans="1:11" x14ac:dyDescent="0.25">
      <c r="A3782">
        <v>3781</v>
      </c>
      <c r="B3782" s="23">
        <v>1379.158854</v>
      </c>
      <c r="C3782" s="23">
        <v>909.81</v>
      </c>
      <c r="D3782" s="23">
        <v>3227.5880000000002</v>
      </c>
      <c r="E3782" s="23">
        <v>1379.16</v>
      </c>
      <c r="F3782" s="23">
        <v>-1684.559</v>
      </c>
      <c r="G3782" s="23">
        <v>0</v>
      </c>
      <c r="H3782" s="23">
        <v>163.869</v>
      </c>
      <c r="I3782" s="23">
        <v>0</v>
      </c>
      <c r="J3782" s="23">
        <v>0</v>
      </c>
      <c r="K3782" s="23">
        <v>0</v>
      </c>
    </row>
    <row r="3783" spans="1:11" x14ac:dyDescent="0.25">
      <c r="A3783">
        <v>3782</v>
      </c>
      <c r="B3783" s="23">
        <v>1238.61661</v>
      </c>
      <c r="C3783" s="23">
        <v>465.71</v>
      </c>
      <c r="D3783" s="23">
        <v>1723.9280000000001</v>
      </c>
      <c r="E3783" s="23">
        <v>1238.617</v>
      </c>
      <c r="F3783" s="23">
        <v>-485.31099999999998</v>
      </c>
      <c r="G3783" s="23">
        <v>0</v>
      </c>
      <c r="H3783" s="23">
        <v>0</v>
      </c>
      <c r="I3783" s="23">
        <v>0</v>
      </c>
      <c r="J3783" s="23">
        <v>0</v>
      </c>
      <c r="K3783" s="23">
        <v>0</v>
      </c>
    </row>
    <row r="3784" spans="1:11" x14ac:dyDescent="0.25">
      <c r="A3784">
        <v>3783</v>
      </c>
      <c r="B3784" s="23">
        <v>1071.4448649999999</v>
      </c>
      <c r="C3784" s="23">
        <v>615.89</v>
      </c>
      <c r="D3784" s="23">
        <v>2285.2750000000001</v>
      </c>
      <c r="E3784" s="23">
        <v>1071.4449999999999</v>
      </c>
      <c r="F3784" s="23">
        <v>-213.54300000000001</v>
      </c>
      <c r="G3784" s="23">
        <v>0</v>
      </c>
      <c r="H3784" s="23">
        <v>1000.287</v>
      </c>
      <c r="I3784" s="23">
        <v>0</v>
      </c>
      <c r="J3784" s="23">
        <v>0</v>
      </c>
      <c r="K3784" s="23">
        <v>0</v>
      </c>
    </row>
    <row r="3785" spans="1:11" x14ac:dyDescent="0.25">
      <c r="A3785">
        <v>3784</v>
      </c>
      <c r="B3785" s="23">
        <v>1163.5669069999999</v>
      </c>
      <c r="C3785" s="23">
        <v>474.52</v>
      </c>
      <c r="D3785" s="23">
        <v>1811.09</v>
      </c>
      <c r="E3785" s="23">
        <v>1163.567</v>
      </c>
      <c r="F3785" s="23">
        <v>0</v>
      </c>
      <c r="G3785" s="23">
        <v>0</v>
      </c>
      <c r="H3785" s="23">
        <v>647.52300000000002</v>
      </c>
      <c r="I3785" s="23">
        <v>0</v>
      </c>
      <c r="J3785" s="23">
        <v>0</v>
      </c>
      <c r="K3785" s="23">
        <v>0</v>
      </c>
    </row>
    <row r="3786" spans="1:11" x14ac:dyDescent="0.25">
      <c r="A3786">
        <v>3785</v>
      </c>
      <c r="B3786" s="23">
        <v>930.61392990000002</v>
      </c>
      <c r="C3786" s="23">
        <v>200.3</v>
      </c>
      <c r="D3786" s="23">
        <v>762.50800000000004</v>
      </c>
      <c r="E3786" s="23">
        <v>762.50800000000004</v>
      </c>
      <c r="F3786" s="23">
        <v>0</v>
      </c>
      <c r="G3786" s="23">
        <v>0</v>
      </c>
      <c r="H3786" s="23">
        <v>0</v>
      </c>
      <c r="I3786" s="23">
        <v>168.10599999999999</v>
      </c>
      <c r="J3786" s="23">
        <v>0</v>
      </c>
      <c r="K3786" s="23">
        <v>0</v>
      </c>
    </row>
    <row r="3787" spans="1:11" x14ac:dyDescent="0.25">
      <c r="A3787">
        <v>3786</v>
      </c>
      <c r="B3787" s="23">
        <v>930.07975850000003</v>
      </c>
      <c r="C3787" s="23">
        <v>75.56</v>
      </c>
      <c r="D3787" s="23">
        <v>201.33</v>
      </c>
      <c r="E3787" s="23">
        <v>201.33</v>
      </c>
      <c r="F3787" s="23">
        <v>0</v>
      </c>
      <c r="G3787" s="23">
        <v>0</v>
      </c>
      <c r="H3787" s="23">
        <v>0</v>
      </c>
      <c r="I3787" s="23">
        <v>0</v>
      </c>
      <c r="J3787" s="23">
        <v>0</v>
      </c>
      <c r="K3787" s="23">
        <v>728.74900000000002</v>
      </c>
    </row>
    <row r="3788" spans="1:11" x14ac:dyDescent="0.25">
      <c r="A3788">
        <v>3787</v>
      </c>
      <c r="B3788" s="23">
        <v>892.92128779999996</v>
      </c>
      <c r="C3788" s="23">
        <v>0</v>
      </c>
      <c r="D3788" s="23">
        <v>0</v>
      </c>
      <c r="E3788" s="23">
        <v>0</v>
      </c>
      <c r="F3788" s="23">
        <v>0</v>
      </c>
      <c r="G3788" s="23">
        <v>0</v>
      </c>
      <c r="H3788" s="23">
        <v>0</v>
      </c>
      <c r="I3788" s="23">
        <v>0</v>
      </c>
      <c r="J3788" s="23">
        <v>0</v>
      </c>
      <c r="K3788" s="23">
        <v>892.92100000000005</v>
      </c>
    </row>
    <row r="3789" spans="1:11" x14ac:dyDescent="0.25">
      <c r="A3789">
        <v>3788</v>
      </c>
      <c r="B3789" s="23">
        <v>1206.2528110000001</v>
      </c>
      <c r="C3789" s="23">
        <v>0</v>
      </c>
      <c r="D3789" s="23">
        <v>0</v>
      </c>
      <c r="E3789" s="23">
        <v>0</v>
      </c>
      <c r="F3789" s="23">
        <v>0</v>
      </c>
      <c r="G3789" s="23">
        <v>0</v>
      </c>
      <c r="H3789" s="23">
        <v>0</v>
      </c>
      <c r="I3789" s="23">
        <v>0</v>
      </c>
      <c r="J3789" s="23">
        <v>0</v>
      </c>
      <c r="K3789" s="23">
        <v>1206.2529999999999</v>
      </c>
    </row>
    <row r="3790" spans="1:11" x14ac:dyDescent="0.25">
      <c r="A3790">
        <v>3789</v>
      </c>
      <c r="B3790" s="23">
        <v>1006.926889</v>
      </c>
      <c r="C3790" s="23">
        <v>0</v>
      </c>
      <c r="D3790" s="23">
        <v>0</v>
      </c>
      <c r="E3790" s="23">
        <v>0</v>
      </c>
      <c r="F3790" s="23">
        <v>0</v>
      </c>
      <c r="G3790" s="23">
        <v>0</v>
      </c>
      <c r="H3790" s="23">
        <v>0</v>
      </c>
      <c r="I3790" s="23">
        <v>1006.927</v>
      </c>
      <c r="J3790" s="23">
        <v>0</v>
      </c>
      <c r="K3790" s="23">
        <v>0</v>
      </c>
    </row>
    <row r="3791" spans="1:11" x14ac:dyDescent="0.25">
      <c r="A3791">
        <v>3790</v>
      </c>
      <c r="B3791" s="23">
        <v>984.86128859999997</v>
      </c>
      <c r="C3791" s="23">
        <v>0</v>
      </c>
      <c r="D3791" s="23">
        <v>0</v>
      </c>
      <c r="E3791" s="23">
        <v>0</v>
      </c>
      <c r="F3791" s="23">
        <v>0</v>
      </c>
      <c r="G3791" s="23">
        <v>0</v>
      </c>
      <c r="H3791" s="23">
        <v>0</v>
      </c>
      <c r="I3791" s="23">
        <v>984.86099999999999</v>
      </c>
      <c r="J3791" s="23">
        <v>0</v>
      </c>
      <c r="K3791" s="23">
        <v>0</v>
      </c>
    </row>
    <row r="3792" spans="1:11" x14ac:dyDescent="0.25">
      <c r="A3792">
        <v>3791</v>
      </c>
      <c r="B3792" s="23">
        <v>1077.5368089999999</v>
      </c>
      <c r="C3792" s="23">
        <v>0</v>
      </c>
      <c r="D3792" s="23">
        <v>0</v>
      </c>
      <c r="E3792" s="23">
        <v>0</v>
      </c>
      <c r="F3792" s="23">
        <v>0</v>
      </c>
      <c r="G3792" s="23">
        <v>0</v>
      </c>
      <c r="H3792" s="23">
        <v>0</v>
      </c>
      <c r="I3792" s="23">
        <v>1077.537</v>
      </c>
      <c r="J3792" s="23">
        <v>0</v>
      </c>
      <c r="K3792" s="23">
        <v>0</v>
      </c>
    </row>
    <row r="3793" spans="1:11" x14ac:dyDescent="0.25">
      <c r="A3793">
        <v>3792</v>
      </c>
      <c r="B3793" s="23">
        <v>956.17600830000003</v>
      </c>
      <c r="C3793" s="23">
        <v>0</v>
      </c>
      <c r="D3793" s="23">
        <v>0</v>
      </c>
      <c r="E3793" s="23">
        <v>0</v>
      </c>
      <c r="F3793" s="23">
        <v>0</v>
      </c>
      <c r="G3793" s="23">
        <v>0</v>
      </c>
      <c r="H3793" s="23">
        <v>0</v>
      </c>
      <c r="I3793" s="23">
        <v>956.17600000000004</v>
      </c>
      <c r="J3793" s="23">
        <v>0</v>
      </c>
      <c r="K3793" s="23">
        <v>0</v>
      </c>
    </row>
    <row r="3794" spans="1:11" x14ac:dyDescent="0.25">
      <c r="A3794">
        <v>3793</v>
      </c>
      <c r="B3794" s="23">
        <v>959.85360839999998</v>
      </c>
      <c r="C3794" s="23">
        <v>0</v>
      </c>
      <c r="D3794" s="23">
        <v>0</v>
      </c>
      <c r="E3794" s="23">
        <v>0</v>
      </c>
      <c r="F3794" s="23">
        <v>0</v>
      </c>
      <c r="G3794" s="23">
        <v>0</v>
      </c>
      <c r="H3794" s="23">
        <v>0</v>
      </c>
      <c r="I3794" s="23">
        <v>959.85400000000004</v>
      </c>
      <c r="J3794" s="23">
        <v>0</v>
      </c>
      <c r="K3794" s="23">
        <v>0</v>
      </c>
    </row>
    <row r="3795" spans="1:11" x14ac:dyDescent="0.25">
      <c r="A3795">
        <v>3794</v>
      </c>
      <c r="B3795" s="23">
        <v>1045.173929</v>
      </c>
      <c r="C3795" s="23">
        <v>0</v>
      </c>
      <c r="D3795" s="23">
        <v>0</v>
      </c>
      <c r="E3795" s="23">
        <v>0</v>
      </c>
      <c r="F3795" s="23">
        <v>0</v>
      </c>
      <c r="G3795" s="23">
        <v>0</v>
      </c>
      <c r="H3795" s="23">
        <v>0</v>
      </c>
      <c r="I3795" s="23">
        <v>1045.174</v>
      </c>
      <c r="J3795" s="23">
        <v>0</v>
      </c>
      <c r="K3795" s="23">
        <v>0</v>
      </c>
    </row>
    <row r="3796" spans="1:11" x14ac:dyDescent="0.25">
      <c r="A3796">
        <v>3795</v>
      </c>
      <c r="B3796" s="23">
        <v>993.68752870000003</v>
      </c>
      <c r="C3796" s="23">
        <v>0</v>
      </c>
      <c r="D3796" s="23">
        <v>0</v>
      </c>
      <c r="E3796" s="23">
        <v>0</v>
      </c>
      <c r="F3796" s="23">
        <v>0</v>
      </c>
      <c r="G3796" s="23">
        <v>0</v>
      </c>
      <c r="H3796" s="23">
        <v>0</v>
      </c>
      <c r="I3796" s="23">
        <v>616.428</v>
      </c>
      <c r="J3796" s="23">
        <v>0</v>
      </c>
      <c r="K3796" s="23">
        <v>377.25900000000001</v>
      </c>
    </row>
    <row r="3797" spans="1:11" x14ac:dyDescent="0.25">
      <c r="A3797">
        <v>3796</v>
      </c>
      <c r="B3797" s="23">
        <v>951.02736830000003</v>
      </c>
      <c r="C3797" s="23">
        <v>0</v>
      </c>
      <c r="D3797" s="23">
        <v>0</v>
      </c>
      <c r="E3797" s="23">
        <v>0</v>
      </c>
      <c r="F3797" s="23">
        <v>0</v>
      </c>
      <c r="G3797" s="23">
        <v>0</v>
      </c>
      <c r="H3797" s="23">
        <v>0</v>
      </c>
      <c r="I3797" s="23">
        <v>0</v>
      </c>
      <c r="J3797" s="23">
        <v>0</v>
      </c>
      <c r="K3797" s="23">
        <v>951.02700000000004</v>
      </c>
    </row>
    <row r="3798" spans="1:11" x14ac:dyDescent="0.25">
      <c r="A3798">
        <v>3797</v>
      </c>
      <c r="B3798" s="23">
        <v>970.15088849999995</v>
      </c>
      <c r="C3798" s="23">
        <v>0</v>
      </c>
      <c r="D3798" s="23">
        <v>0</v>
      </c>
      <c r="E3798" s="23">
        <v>0</v>
      </c>
      <c r="F3798" s="23">
        <v>0</v>
      </c>
      <c r="G3798" s="23">
        <v>0</v>
      </c>
      <c r="H3798" s="23">
        <v>0</v>
      </c>
      <c r="I3798" s="23">
        <v>0</v>
      </c>
      <c r="J3798" s="23">
        <v>0</v>
      </c>
      <c r="K3798" s="23">
        <v>970.15099999999995</v>
      </c>
    </row>
    <row r="3799" spans="1:11" x14ac:dyDescent="0.25">
      <c r="A3799">
        <v>3798</v>
      </c>
      <c r="B3799" s="23">
        <v>989.27440860000002</v>
      </c>
      <c r="C3799" s="23">
        <v>0</v>
      </c>
      <c r="D3799" s="23">
        <v>0</v>
      </c>
      <c r="E3799" s="23">
        <v>0</v>
      </c>
      <c r="F3799" s="23">
        <v>0</v>
      </c>
      <c r="G3799" s="23">
        <v>0</v>
      </c>
      <c r="H3799" s="23">
        <v>0</v>
      </c>
      <c r="I3799" s="23">
        <v>0</v>
      </c>
      <c r="J3799" s="23">
        <v>0</v>
      </c>
      <c r="K3799" s="23">
        <v>989.274</v>
      </c>
    </row>
    <row r="3800" spans="1:11" x14ac:dyDescent="0.25">
      <c r="A3800">
        <v>3799</v>
      </c>
      <c r="B3800" s="23">
        <v>814.76585130000001</v>
      </c>
      <c r="C3800" s="23">
        <v>121.82</v>
      </c>
      <c r="D3800" s="23">
        <v>378.55200000000002</v>
      </c>
      <c r="E3800" s="23">
        <v>378.55200000000002</v>
      </c>
      <c r="F3800" s="23">
        <v>0</v>
      </c>
      <c r="G3800" s="23">
        <v>0</v>
      </c>
      <c r="H3800" s="23">
        <v>0</v>
      </c>
      <c r="I3800" s="23">
        <v>0</v>
      </c>
      <c r="J3800" s="23">
        <v>0</v>
      </c>
      <c r="K3800" s="23">
        <v>436.214</v>
      </c>
    </row>
    <row r="3801" spans="1:11" x14ac:dyDescent="0.25">
      <c r="A3801">
        <v>3800</v>
      </c>
      <c r="B3801" s="23">
        <v>269.80528759999999</v>
      </c>
      <c r="C3801" s="23">
        <v>295.27999999999997</v>
      </c>
      <c r="D3801" s="23">
        <v>1147.8109999999999</v>
      </c>
      <c r="E3801" s="23">
        <v>269.80500000000001</v>
      </c>
      <c r="F3801" s="23">
        <v>-878.00599999999997</v>
      </c>
      <c r="G3801" s="23">
        <v>0</v>
      </c>
      <c r="H3801" s="23">
        <v>0</v>
      </c>
      <c r="I3801" s="23">
        <v>0</v>
      </c>
      <c r="J3801" s="23">
        <v>0</v>
      </c>
      <c r="K3801" s="23">
        <v>0</v>
      </c>
    </row>
    <row r="3802" spans="1:11" x14ac:dyDescent="0.25">
      <c r="A3802">
        <v>3801</v>
      </c>
      <c r="B3802" s="23">
        <v>129.98661190000001</v>
      </c>
      <c r="C3802" s="23">
        <v>549.80999999999995</v>
      </c>
      <c r="D3802" s="23">
        <v>2140.8049999999998</v>
      </c>
      <c r="E3802" s="23">
        <v>129.98699999999999</v>
      </c>
      <c r="F3802" s="23">
        <v>-1684.559</v>
      </c>
      <c r="G3802" s="23">
        <v>0</v>
      </c>
      <c r="H3802" s="23">
        <v>326.25900000000001</v>
      </c>
      <c r="I3802" s="23">
        <v>0</v>
      </c>
      <c r="J3802" s="23">
        <v>0</v>
      </c>
      <c r="K3802" s="23">
        <v>0</v>
      </c>
    </row>
    <row r="3803" spans="1:11" x14ac:dyDescent="0.25">
      <c r="A3803">
        <v>3802</v>
      </c>
      <c r="B3803" s="23">
        <v>207.74486759999999</v>
      </c>
      <c r="C3803" s="23">
        <v>727.04</v>
      </c>
      <c r="D3803" s="23">
        <v>2748.5770000000002</v>
      </c>
      <c r="E3803" s="23">
        <v>207.745</v>
      </c>
      <c r="F3803" s="23">
        <v>-1684.559</v>
      </c>
      <c r="G3803" s="23">
        <v>0</v>
      </c>
      <c r="H3803" s="23">
        <v>856.27300000000002</v>
      </c>
      <c r="I3803" s="23">
        <v>0</v>
      </c>
      <c r="J3803" s="23">
        <v>0</v>
      </c>
      <c r="K3803" s="23">
        <v>0</v>
      </c>
    </row>
    <row r="3804" spans="1:11" x14ac:dyDescent="0.25">
      <c r="A3804">
        <v>3803</v>
      </c>
      <c r="B3804" s="23">
        <v>159.96640740000001</v>
      </c>
      <c r="C3804" s="23">
        <v>654.13</v>
      </c>
      <c r="D3804" s="23">
        <v>2413.123</v>
      </c>
      <c r="E3804" s="23">
        <v>159.96700000000001</v>
      </c>
      <c r="F3804" s="23">
        <v>-1684.559</v>
      </c>
      <c r="G3804" s="23">
        <v>0</v>
      </c>
      <c r="H3804" s="23">
        <v>568.59699999999998</v>
      </c>
      <c r="I3804" s="23">
        <v>0</v>
      </c>
      <c r="J3804" s="23">
        <v>0</v>
      </c>
      <c r="K3804" s="23">
        <v>0</v>
      </c>
    </row>
    <row r="3805" spans="1:11" x14ac:dyDescent="0.25">
      <c r="A3805">
        <v>3804</v>
      </c>
      <c r="B3805" s="23">
        <v>171.8487331</v>
      </c>
      <c r="C3805" s="23">
        <v>777.03</v>
      </c>
      <c r="D3805" s="23">
        <v>2819.3429999999998</v>
      </c>
      <c r="E3805" s="23">
        <v>171.85</v>
      </c>
      <c r="F3805" s="23">
        <v>-1359.8140000000001</v>
      </c>
      <c r="G3805" s="23">
        <v>0</v>
      </c>
      <c r="H3805" s="23">
        <v>1287.6790000000001</v>
      </c>
      <c r="I3805" s="23">
        <v>0</v>
      </c>
      <c r="J3805" s="23">
        <v>0</v>
      </c>
      <c r="K3805" s="23">
        <v>0</v>
      </c>
    </row>
    <row r="3806" spans="1:11" x14ac:dyDescent="0.25">
      <c r="A3806">
        <v>3805</v>
      </c>
      <c r="B3806" s="23">
        <v>132.49473520000001</v>
      </c>
      <c r="C3806" s="23">
        <v>745.97</v>
      </c>
      <c r="D3806" s="23">
        <v>2712.096</v>
      </c>
      <c r="E3806" s="23">
        <v>132.494</v>
      </c>
      <c r="F3806" s="23">
        <v>0</v>
      </c>
      <c r="G3806" s="23">
        <v>0</v>
      </c>
      <c r="H3806" s="23">
        <v>2579.6019999999999</v>
      </c>
      <c r="I3806" s="23">
        <v>0</v>
      </c>
      <c r="J3806" s="23">
        <v>0</v>
      </c>
      <c r="K3806" s="23">
        <v>0</v>
      </c>
    </row>
    <row r="3807" spans="1:11" x14ac:dyDescent="0.25">
      <c r="A3807">
        <v>3806</v>
      </c>
      <c r="B3807" s="23">
        <v>124.58329809999999</v>
      </c>
      <c r="C3807" s="23">
        <v>796.66</v>
      </c>
      <c r="D3807" s="23">
        <v>2936.3470000000002</v>
      </c>
      <c r="E3807" s="23">
        <v>124.583</v>
      </c>
      <c r="F3807" s="23">
        <v>0</v>
      </c>
      <c r="G3807" s="23">
        <v>0</v>
      </c>
      <c r="H3807" s="23">
        <v>2811.7640000000001</v>
      </c>
      <c r="I3807" s="23">
        <v>0</v>
      </c>
      <c r="J3807" s="23">
        <v>0</v>
      </c>
      <c r="K3807" s="23">
        <v>0</v>
      </c>
    </row>
    <row r="3808" spans="1:11" x14ac:dyDescent="0.25">
      <c r="A3808">
        <v>3807</v>
      </c>
      <c r="B3808" s="23">
        <v>178.8940954</v>
      </c>
      <c r="C3808" s="23">
        <v>587.54999999999995</v>
      </c>
      <c r="D3808" s="23">
        <v>2197.4270000000001</v>
      </c>
      <c r="E3808" s="23">
        <v>178.89500000000001</v>
      </c>
      <c r="F3808" s="23">
        <v>0</v>
      </c>
      <c r="G3808" s="23">
        <v>0</v>
      </c>
      <c r="H3808" s="23">
        <v>2018.5319999999999</v>
      </c>
      <c r="I3808" s="23">
        <v>0</v>
      </c>
      <c r="J3808" s="23">
        <v>0</v>
      </c>
      <c r="K3808" s="23">
        <v>0</v>
      </c>
    </row>
    <row r="3809" spans="1:11" x14ac:dyDescent="0.25">
      <c r="A3809">
        <v>3808</v>
      </c>
      <c r="B3809" s="23">
        <v>197.93578890000001</v>
      </c>
      <c r="C3809" s="23">
        <v>441.13</v>
      </c>
      <c r="D3809" s="23">
        <v>1686.838</v>
      </c>
      <c r="E3809" s="23">
        <v>197.93600000000001</v>
      </c>
      <c r="F3809" s="23">
        <v>0</v>
      </c>
      <c r="G3809" s="23">
        <v>0</v>
      </c>
      <c r="H3809" s="23">
        <v>1488.902</v>
      </c>
      <c r="I3809" s="23">
        <v>0</v>
      </c>
      <c r="J3809" s="23">
        <v>0</v>
      </c>
      <c r="K3809" s="23">
        <v>0</v>
      </c>
    </row>
    <row r="3810" spans="1:11" x14ac:dyDescent="0.25">
      <c r="A3810">
        <v>3809</v>
      </c>
      <c r="B3810" s="23">
        <v>169.28176830000001</v>
      </c>
      <c r="C3810" s="23">
        <v>163.02000000000001</v>
      </c>
      <c r="D3810" s="23">
        <v>616.64700000000005</v>
      </c>
      <c r="E3810" s="23">
        <v>169.28200000000001</v>
      </c>
      <c r="F3810" s="23">
        <v>0</v>
      </c>
      <c r="G3810" s="23">
        <v>0</v>
      </c>
      <c r="H3810" s="23">
        <v>447.36500000000001</v>
      </c>
      <c r="I3810" s="23">
        <v>0</v>
      </c>
      <c r="J3810" s="23">
        <v>0</v>
      </c>
      <c r="K3810" s="23">
        <v>0</v>
      </c>
    </row>
    <row r="3811" spans="1:11" x14ac:dyDescent="0.25">
      <c r="A3811">
        <v>3810</v>
      </c>
      <c r="B3811" s="23">
        <v>186.6657836</v>
      </c>
      <c r="C3811" s="23">
        <v>55.15</v>
      </c>
      <c r="D3811" s="23">
        <v>183.142</v>
      </c>
      <c r="E3811" s="23">
        <v>183.142</v>
      </c>
      <c r="F3811" s="23">
        <v>0</v>
      </c>
      <c r="G3811" s="23">
        <v>0</v>
      </c>
      <c r="H3811" s="23">
        <v>0</v>
      </c>
      <c r="I3811" s="23">
        <v>0</v>
      </c>
      <c r="J3811" s="23">
        <v>0</v>
      </c>
      <c r="K3811" s="23">
        <v>3.524</v>
      </c>
    </row>
    <row r="3812" spans="1:11" x14ac:dyDescent="0.25">
      <c r="A3812">
        <v>3811</v>
      </c>
      <c r="B3812" s="23">
        <v>128.7160011</v>
      </c>
      <c r="C3812" s="23">
        <v>0</v>
      </c>
      <c r="D3812" s="23">
        <v>0</v>
      </c>
      <c r="E3812" s="23">
        <v>0</v>
      </c>
      <c r="F3812" s="23">
        <v>0</v>
      </c>
      <c r="G3812" s="23">
        <v>0</v>
      </c>
      <c r="H3812" s="23">
        <v>0</v>
      </c>
      <c r="I3812" s="23">
        <v>0</v>
      </c>
      <c r="J3812" s="23">
        <v>0</v>
      </c>
      <c r="K3812" s="23">
        <v>128.71600000000001</v>
      </c>
    </row>
    <row r="3813" spans="1:11" x14ac:dyDescent="0.25">
      <c r="A3813">
        <v>3812</v>
      </c>
      <c r="B3813" s="23">
        <v>181.67344159999999</v>
      </c>
      <c r="C3813" s="23">
        <v>0</v>
      </c>
      <c r="D3813" s="23">
        <v>0</v>
      </c>
      <c r="E3813" s="23">
        <v>0</v>
      </c>
      <c r="F3813" s="23">
        <v>0</v>
      </c>
      <c r="G3813" s="23">
        <v>0</v>
      </c>
      <c r="H3813" s="23">
        <v>0</v>
      </c>
      <c r="I3813" s="23">
        <v>0</v>
      </c>
      <c r="J3813" s="23">
        <v>0</v>
      </c>
      <c r="K3813" s="23">
        <v>181.673</v>
      </c>
    </row>
    <row r="3814" spans="1:11" x14ac:dyDescent="0.25">
      <c r="A3814">
        <v>3813</v>
      </c>
      <c r="B3814" s="23">
        <v>183.14448160000001</v>
      </c>
      <c r="C3814" s="23">
        <v>0</v>
      </c>
      <c r="D3814" s="23">
        <v>0</v>
      </c>
      <c r="E3814" s="23">
        <v>0</v>
      </c>
      <c r="F3814" s="23">
        <v>0</v>
      </c>
      <c r="G3814" s="23">
        <v>0</v>
      </c>
      <c r="H3814" s="23">
        <v>0</v>
      </c>
      <c r="I3814" s="23">
        <v>0</v>
      </c>
      <c r="J3814" s="23">
        <v>0</v>
      </c>
      <c r="K3814" s="23">
        <v>183.14400000000001</v>
      </c>
    </row>
    <row r="3815" spans="1:11" x14ac:dyDescent="0.25">
      <c r="A3815">
        <v>3814</v>
      </c>
      <c r="B3815" s="23">
        <v>100.03072090000001</v>
      </c>
      <c r="C3815" s="23">
        <v>0</v>
      </c>
      <c r="D3815" s="23">
        <v>0</v>
      </c>
      <c r="E3815" s="23">
        <v>0</v>
      </c>
      <c r="F3815" s="23">
        <v>0</v>
      </c>
      <c r="G3815" s="23">
        <v>0</v>
      </c>
      <c r="H3815" s="23">
        <v>0</v>
      </c>
      <c r="I3815" s="23">
        <v>0</v>
      </c>
      <c r="J3815" s="23">
        <v>0</v>
      </c>
      <c r="K3815" s="23">
        <v>100.03100000000001</v>
      </c>
    </row>
    <row r="3816" spans="1:11" x14ac:dyDescent="0.25">
      <c r="A3816">
        <v>3815</v>
      </c>
      <c r="B3816" s="23">
        <v>90.468960789999997</v>
      </c>
      <c r="C3816" s="23">
        <v>0</v>
      </c>
      <c r="D3816" s="23">
        <v>0</v>
      </c>
      <c r="E3816" s="23">
        <v>0</v>
      </c>
      <c r="F3816" s="23">
        <v>0</v>
      </c>
      <c r="G3816" s="23">
        <v>0</v>
      </c>
      <c r="H3816" s="23">
        <v>0</v>
      </c>
      <c r="I3816" s="23">
        <v>0</v>
      </c>
      <c r="J3816" s="23">
        <v>0</v>
      </c>
      <c r="K3816" s="23">
        <v>90.468999999999994</v>
      </c>
    </row>
    <row r="3817" spans="1:11" x14ac:dyDescent="0.25">
      <c r="A3817">
        <v>3816</v>
      </c>
      <c r="B3817" s="23">
        <v>94.146560820000005</v>
      </c>
      <c r="C3817" s="23">
        <v>0</v>
      </c>
      <c r="D3817" s="23">
        <v>0</v>
      </c>
      <c r="E3817" s="23">
        <v>0</v>
      </c>
      <c r="F3817" s="23">
        <v>0</v>
      </c>
      <c r="G3817" s="23">
        <v>0</v>
      </c>
      <c r="H3817" s="23">
        <v>0</v>
      </c>
      <c r="I3817" s="23">
        <v>0</v>
      </c>
      <c r="J3817" s="23">
        <v>0</v>
      </c>
      <c r="K3817" s="23">
        <v>94.147000000000006</v>
      </c>
    </row>
    <row r="3818" spans="1:11" x14ac:dyDescent="0.25">
      <c r="A3818">
        <v>3817</v>
      </c>
      <c r="B3818" s="23">
        <v>85.32032074</v>
      </c>
      <c r="C3818" s="23">
        <v>0</v>
      </c>
      <c r="D3818" s="23">
        <v>0</v>
      </c>
      <c r="E3818" s="23">
        <v>0</v>
      </c>
      <c r="F3818" s="23">
        <v>0</v>
      </c>
      <c r="G3818" s="23">
        <v>0</v>
      </c>
      <c r="H3818" s="23">
        <v>0</v>
      </c>
      <c r="I3818" s="23">
        <v>0</v>
      </c>
      <c r="J3818" s="23">
        <v>0</v>
      </c>
      <c r="K3818" s="23">
        <v>85.32</v>
      </c>
    </row>
    <row r="3819" spans="1:11" x14ac:dyDescent="0.25">
      <c r="A3819">
        <v>3818</v>
      </c>
      <c r="B3819" s="23">
        <v>91.204480799999999</v>
      </c>
      <c r="C3819" s="23">
        <v>0</v>
      </c>
      <c r="D3819" s="23">
        <v>0</v>
      </c>
      <c r="E3819" s="23">
        <v>0</v>
      </c>
      <c r="F3819" s="23">
        <v>0</v>
      </c>
      <c r="G3819" s="23">
        <v>0</v>
      </c>
      <c r="H3819" s="23">
        <v>0</v>
      </c>
      <c r="I3819" s="23">
        <v>0</v>
      </c>
      <c r="J3819" s="23">
        <v>0</v>
      </c>
      <c r="K3819" s="23">
        <v>91.203999999999994</v>
      </c>
    </row>
    <row r="3820" spans="1:11" x14ac:dyDescent="0.25">
      <c r="A3820">
        <v>3819</v>
      </c>
      <c r="B3820" s="23">
        <v>86.791360760000003</v>
      </c>
      <c r="C3820" s="23">
        <v>0</v>
      </c>
      <c r="D3820" s="23">
        <v>0</v>
      </c>
      <c r="E3820" s="23">
        <v>0</v>
      </c>
      <c r="F3820" s="23">
        <v>0</v>
      </c>
      <c r="G3820" s="23">
        <v>0</v>
      </c>
      <c r="H3820" s="23">
        <v>0</v>
      </c>
      <c r="I3820" s="23">
        <v>0</v>
      </c>
      <c r="J3820" s="23">
        <v>0</v>
      </c>
      <c r="K3820" s="23">
        <v>86.790999999999997</v>
      </c>
    </row>
    <row r="3821" spans="1:11" x14ac:dyDescent="0.25">
      <c r="A3821">
        <v>3820</v>
      </c>
      <c r="B3821" s="23">
        <v>90.468960789999997</v>
      </c>
      <c r="C3821" s="23">
        <v>0</v>
      </c>
      <c r="D3821" s="23">
        <v>0</v>
      </c>
      <c r="E3821" s="23">
        <v>0</v>
      </c>
      <c r="F3821" s="23">
        <v>0</v>
      </c>
      <c r="G3821" s="23">
        <v>0</v>
      </c>
      <c r="H3821" s="23">
        <v>0</v>
      </c>
      <c r="I3821" s="23">
        <v>0</v>
      </c>
      <c r="J3821" s="23">
        <v>0</v>
      </c>
      <c r="K3821" s="23">
        <v>90.468999999999994</v>
      </c>
    </row>
    <row r="3822" spans="1:11" x14ac:dyDescent="0.25">
      <c r="A3822">
        <v>3821</v>
      </c>
      <c r="B3822" s="23">
        <v>85.32032074</v>
      </c>
      <c r="C3822" s="23">
        <v>0</v>
      </c>
      <c r="D3822" s="23">
        <v>0</v>
      </c>
      <c r="E3822" s="23">
        <v>0</v>
      </c>
      <c r="F3822" s="23">
        <v>0</v>
      </c>
      <c r="G3822" s="23">
        <v>0</v>
      </c>
      <c r="H3822" s="23">
        <v>0</v>
      </c>
      <c r="I3822" s="23">
        <v>0</v>
      </c>
      <c r="J3822" s="23">
        <v>0</v>
      </c>
      <c r="K3822" s="23">
        <v>85.32</v>
      </c>
    </row>
    <row r="3823" spans="1:11" x14ac:dyDescent="0.25">
      <c r="A3823">
        <v>3822</v>
      </c>
      <c r="B3823" s="23">
        <v>86.055840750000002</v>
      </c>
      <c r="C3823" s="23">
        <v>0</v>
      </c>
      <c r="D3823" s="23">
        <v>0</v>
      </c>
      <c r="E3823" s="23">
        <v>0</v>
      </c>
      <c r="F3823" s="23">
        <v>0</v>
      </c>
      <c r="G3823" s="23">
        <v>0</v>
      </c>
      <c r="H3823" s="23">
        <v>0</v>
      </c>
      <c r="I3823" s="23">
        <v>0</v>
      </c>
      <c r="J3823" s="23">
        <v>0</v>
      </c>
      <c r="K3823" s="23">
        <v>86.055999999999997</v>
      </c>
    </row>
    <row r="3824" spans="1:11" x14ac:dyDescent="0.25">
      <c r="A3824">
        <v>3823</v>
      </c>
      <c r="B3824" s="23">
        <v>73.997909649999997</v>
      </c>
      <c r="C3824" s="23">
        <v>31.35</v>
      </c>
      <c r="D3824" s="23">
        <v>98.072000000000003</v>
      </c>
      <c r="E3824" s="23">
        <v>73.998000000000005</v>
      </c>
      <c r="F3824" s="23">
        <v>-24.074000000000002</v>
      </c>
      <c r="G3824" s="23">
        <v>0</v>
      </c>
      <c r="H3824" s="23">
        <v>0</v>
      </c>
      <c r="I3824" s="23">
        <v>0</v>
      </c>
      <c r="J3824" s="23">
        <v>0</v>
      </c>
      <c r="K3824" s="23">
        <v>0</v>
      </c>
    </row>
    <row r="3825" spans="1:11" x14ac:dyDescent="0.25">
      <c r="A3825">
        <v>3824</v>
      </c>
      <c r="B3825" s="23">
        <v>92.844690409999998</v>
      </c>
      <c r="C3825" s="23">
        <v>86.15</v>
      </c>
      <c r="D3825" s="23">
        <v>315.35899999999998</v>
      </c>
      <c r="E3825" s="23">
        <v>92.843999999999994</v>
      </c>
      <c r="F3825" s="23">
        <v>-222.51499999999999</v>
      </c>
      <c r="G3825" s="23">
        <v>0</v>
      </c>
      <c r="H3825" s="23">
        <v>0</v>
      </c>
      <c r="I3825" s="23">
        <v>0</v>
      </c>
      <c r="J3825" s="23">
        <v>0</v>
      </c>
      <c r="K3825" s="23">
        <v>0</v>
      </c>
    </row>
    <row r="3826" spans="1:11" x14ac:dyDescent="0.25">
      <c r="A3826">
        <v>3825</v>
      </c>
      <c r="B3826" s="23">
        <v>624.50337479999996</v>
      </c>
      <c r="C3826" s="23">
        <v>215.31</v>
      </c>
      <c r="D3826" s="23">
        <v>822.88</v>
      </c>
      <c r="E3826" s="23">
        <v>624.50400000000002</v>
      </c>
      <c r="F3826" s="23">
        <v>-198.376</v>
      </c>
      <c r="G3826" s="23">
        <v>0</v>
      </c>
      <c r="H3826" s="23">
        <v>0</v>
      </c>
      <c r="I3826" s="23">
        <v>0</v>
      </c>
      <c r="J3826" s="23">
        <v>0</v>
      </c>
      <c r="K3826" s="23">
        <v>0</v>
      </c>
    </row>
    <row r="3827" spans="1:11" x14ac:dyDescent="0.25">
      <c r="A3827">
        <v>3826</v>
      </c>
      <c r="B3827" s="23">
        <v>1169.1853599999999</v>
      </c>
      <c r="C3827" s="23">
        <v>340.87</v>
      </c>
      <c r="D3827" s="23">
        <v>1294.4100000000001</v>
      </c>
      <c r="E3827" s="23">
        <v>1169.1849999999999</v>
      </c>
      <c r="F3827" s="23">
        <v>-125.22499999999999</v>
      </c>
      <c r="G3827" s="23">
        <v>0</v>
      </c>
      <c r="H3827" s="23">
        <v>0</v>
      </c>
      <c r="I3827" s="23">
        <v>0</v>
      </c>
      <c r="J3827" s="23">
        <v>0</v>
      </c>
      <c r="K3827" s="23">
        <v>0</v>
      </c>
    </row>
    <row r="3828" spans="1:11" x14ac:dyDescent="0.25">
      <c r="A3828">
        <v>3827</v>
      </c>
      <c r="B3828" s="23">
        <v>1182.742833</v>
      </c>
      <c r="C3828" s="23">
        <v>648.57000000000005</v>
      </c>
      <c r="D3828" s="23">
        <v>2414.0680000000002</v>
      </c>
      <c r="E3828" s="23">
        <v>1182.742</v>
      </c>
      <c r="F3828" s="23">
        <v>-884.21</v>
      </c>
      <c r="G3828" s="23">
        <v>0</v>
      </c>
      <c r="H3828" s="23">
        <v>347.11599999999999</v>
      </c>
      <c r="I3828" s="23">
        <v>0</v>
      </c>
      <c r="J3828" s="23">
        <v>0</v>
      </c>
      <c r="K3828" s="23">
        <v>0</v>
      </c>
    </row>
    <row r="3829" spans="1:11" x14ac:dyDescent="0.25">
      <c r="A3829">
        <v>3828</v>
      </c>
      <c r="B3829" s="23">
        <v>1218.1369749999999</v>
      </c>
      <c r="C3829" s="23">
        <v>678.22</v>
      </c>
      <c r="D3829" s="23">
        <v>2508.54</v>
      </c>
      <c r="E3829" s="23">
        <v>1218.1369999999999</v>
      </c>
      <c r="F3829" s="23">
        <v>0</v>
      </c>
      <c r="G3829" s="23">
        <v>0</v>
      </c>
      <c r="H3829" s="23">
        <v>1290.403</v>
      </c>
      <c r="I3829" s="23">
        <v>0</v>
      </c>
      <c r="J3829" s="23">
        <v>0</v>
      </c>
      <c r="K3829" s="23">
        <v>0</v>
      </c>
    </row>
    <row r="3830" spans="1:11" x14ac:dyDescent="0.25">
      <c r="A3830">
        <v>3829</v>
      </c>
      <c r="B3830" s="23">
        <v>1041.855814</v>
      </c>
      <c r="C3830" s="23">
        <v>673.51</v>
      </c>
      <c r="D3830" s="23">
        <v>2494.9850000000001</v>
      </c>
      <c r="E3830" s="23">
        <v>1041.856</v>
      </c>
      <c r="F3830" s="23">
        <v>0</v>
      </c>
      <c r="G3830" s="23">
        <v>0</v>
      </c>
      <c r="H3830" s="23">
        <v>1453.1289999999999</v>
      </c>
      <c r="I3830" s="23">
        <v>0</v>
      </c>
      <c r="J3830" s="23">
        <v>0</v>
      </c>
      <c r="K3830" s="23">
        <v>0</v>
      </c>
    </row>
    <row r="3831" spans="1:11" x14ac:dyDescent="0.25">
      <c r="A3831">
        <v>3830</v>
      </c>
      <c r="B3831" s="23">
        <v>1119.2977969999999</v>
      </c>
      <c r="C3831" s="23">
        <v>338.48</v>
      </c>
      <c r="D3831" s="23">
        <v>1273.412</v>
      </c>
      <c r="E3831" s="23">
        <v>1119.298</v>
      </c>
      <c r="F3831" s="23">
        <v>0</v>
      </c>
      <c r="G3831" s="23">
        <v>0</v>
      </c>
      <c r="H3831" s="23">
        <v>154.114</v>
      </c>
      <c r="I3831" s="23">
        <v>0</v>
      </c>
      <c r="J3831" s="23">
        <v>0</v>
      </c>
      <c r="K3831" s="23">
        <v>0</v>
      </c>
    </row>
    <row r="3832" spans="1:11" x14ac:dyDescent="0.25">
      <c r="A3832">
        <v>3831</v>
      </c>
      <c r="B3832" s="23">
        <v>1117.001135</v>
      </c>
      <c r="C3832" s="23">
        <v>508.52</v>
      </c>
      <c r="D3832" s="23">
        <v>1925.47</v>
      </c>
      <c r="E3832" s="23">
        <v>1117.001</v>
      </c>
      <c r="F3832" s="23">
        <v>0</v>
      </c>
      <c r="G3832" s="23">
        <v>0</v>
      </c>
      <c r="H3832" s="23">
        <v>808.46900000000005</v>
      </c>
      <c r="I3832" s="23">
        <v>0</v>
      </c>
      <c r="J3832" s="23">
        <v>0</v>
      </c>
      <c r="K3832" s="23">
        <v>0</v>
      </c>
    </row>
    <row r="3833" spans="1:11" x14ac:dyDescent="0.25">
      <c r="A3833">
        <v>3832</v>
      </c>
      <c r="B3833" s="23">
        <v>1182.9588920000001</v>
      </c>
      <c r="C3833" s="23">
        <v>367.03</v>
      </c>
      <c r="D3833" s="23">
        <v>1411.7090000000001</v>
      </c>
      <c r="E3833" s="23">
        <v>1182.9590000000001</v>
      </c>
      <c r="F3833" s="23">
        <v>0</v>
      </c>
      <c r="G3833" s="23">
        <v>0</v>
      </c>
      <c r="H3833" s="23">
        <v>228.75</v>
      </c>
      <c r="I3833" s="23">
        <v>0</v>
      </c>
      <c r="J3833" s="23">
        <v>0</v>
      </c>
      <c r="K3833" s="23">
        <v>0</v>
      </c>
    </row>
    <row r="3834" spans="1:11" x14ac:dyDescent="0.25">
      <c r="A3834">
        <v>3833</v>
      </c>
      <c r="B3834" s="23">
        <v>1307.376698</v>
      </c>
      <c r="C3834" s="23">
        <v>195.25</v>
      </c>
      <c r="D3834" s="23">
        <v>746.43200000000002</v>
      </c>
      <c r="E3834" s="23">
        <v>746.43200000000002</v>
      </c>
      <c r="F3834" s="23">
        <v>0</v>
      </c>
      <c r="G3834" s="23">
        <v>0</v>
      </c>
      <c r="H3834" s="23">
        <v>0</v>
      </c>
      <c r="I3834" s="23">
        <v>560.94500000000005</v>
      </c>
      <c r="J3834" s="23">
        <v>0</v>
      </c>
      <c r="K3834" s="23">
        <v>0</v>
      </c>
    </row>
    <row r="3835" spans="1:11" x14ac:dyDescent="0.25">
      <c r="A3835">
        <v>3834</v>
      </c>
      <c r="B3835" s="23">
        <v>1228.287151</v>
      </c>
      <c r="C3835" s="23">
        <v>61.82</v>
      </c>
      <c r="D3835" s="23">
        <v>206.119</v>
      </c>
      <c r="E3835" s="23">
        <v>206.119</v>
      </c>
      <c r="F3835" s="23">
        <v>0</v>
      </c>
      <c r="G3835" s="23">
        <v>0</v>
      </c>
      <c r="H3835" s="23">
        <v>0</v>
      </c>
      <c r="I3835" s="23">
        <v>0</v>
      </c>
      <c r="J3835" s="23">
        <v>0</v>
      </c>
      <c r="K3835" s="23">
        <v>1022.168</v>
      </c>
    </row>
    <row r="3836" spans="1:11" x14ac:dyDescent="0.25">
      <c r="A3836">
        <v>3835</v>
      </c>
      <c r="B3836" s="23">
        <v>1151.8243299999999</v>
      </c>
      <c r="C3836" s="23">
        <v>0</v>
      </c>
      <c r="D3836" s="23">
        <v>0</v>
      </c>
      <c r="E3836" s="23">
        <v>0</v>
      </c>
      <c r="F3836" s="23">
        <v>0</v>
      </c>
      <c r="G3836" s="23">
        <v>0</v>
      </c>
      <c r="H3836" s="23">
        <v>0</v>
      </c>
      <c r="I3836" s="23">
        <v>0</v>
      </c>
      <c r="J3836" s="23">
        <v>0</v>
      </c>
      <c r="K3836" s="23">
        <v>1151.8240000000001</v>
      </c>
    </row>
    <row r="3837" spans="1:11" x14ac:dyDescent="0.25">
      <c r="A3837">
        <v>3836</v>
      </c>
      <c r="B3837" s="23">
        <v>1090.7761700000001</v>
      </c>
      <c r="C3837" s="23">
        <v>0</v>
      </c>
      <c r="D3837" s="23">
        <v>0</v>
      </c>
      <c r="E3837" s="23">
        <v>0</v>
      </c>
      <c r="F3837" s="23">
        <v>0</v>
      </c>
      <c r="G3837" s="23">
        <v>0</v>
      </c>
      <c r="H3837" s="23">
        <v>0</v>
      </c>
      <c r="I3837" s="23">
        <v>0</v>
      </c>
      <c r="J3837" s="23">
        <v>0</v>
      </c>
      <c r="K3837" s="23">
        <v>1090.7760000000001</v>
      </c>
    </row>
    <row r="3838" spans="1:11" x14ac:dyDescent="0.25">
      <c r="A3838">
        <v>3837</v>
      </c>
      <c r="B3838" s="23">
        <v>1351.8857720000001</v>
      </c>
      <c r="C3838" s="23">
        <v>0</v>
      </c>
      <c r="D3838" s="23">
        <v>0</v>
      </c>
      <c r="E3838" s="23">
        <v>0</v>
      </c>
      <c r="F3838" s="23">
        <v>0</v>
      </c>
      <c r="G3838" s="23">
        <v>0</v>
      </c>
      <c r="H3838" s="23">
        <v>0</v>
      </c>
      <c r="I3838" s="23">
        <v>1351.886</v>
      </c>
      <c r="J3838" s="23">
        <v>0</v>
      </c>
      <c r="K3838" s="23">
        <v>0</v>
      </c>
    </row>
    <row r="3839" spans="1:11" x14ac:dyDescent="0.25">
      <c r="A3839">
        <v>3838</v>
      </c>
      <c r="B3839" s="23">
        <v>1092.9827299999999</v>
      </c>
      <c r="C3839" s="23">
        <v>0</v>
      </c>
      <c r="D3839" s="23">
        <v>0</v>
      </c>
      <c r="E3839" s="23">
        <v>0</v>
      </c>
      <c r="F3839" s="23">
        <v>0</v>
      </c>
      <c r="G3839" s="23">
        <v>0</v>
      </c>
      <c r="H3839" s="23">
        <v>0</v>
      </c>
      <c r="I3839" s="23">
        <v>225.76900000000001</v>
      </c>
      <c r="J3839" s="23">
        <v>0</v>
      </c>
      <c r="K3839" s="23">
        <v>867.21400000000006</v>
      </c>
    </row>
    <row r="3840" spans="1:11" x14ac:dyDescent="0.25">
      <c r="A3840">
        <v>3839</v>
      </c>
      <c r="B3840" s="23">
        <v>716.39648629999999</v>
      </c>
      <c r="C3840" s="23">
        <v>0</v>
      </c>
      <c r="D3840" s="23">
        <v>0</v>
      </c>
      <c r="E3840" s="23">
        <v>0</v>
      </c>
      <c r="F3840" s="23">
        <v>0</v>
      </c>
      <c r="G3840" s="23">
        <v>0</v>
      </c>
      <c r="H3840" s="23">
        <v>0</v>
      </c>
      <c r="I3840" s="23">
        <v>716.39599999999996</v>
      </c>
      <c r="J3840" s="23">
        <v>0</v>
      </c>
      <c r="K3840" s="23">
        <v>0</v>
      </c>
    </row>
    <row r="3841" spans="1:11" x14ac:dyDescent="0.25">
      <c r="A3841">
        <v>3840</v>
      </c>
      <c r="B3841" s="23">
        <v>1042.231849</v>
      </c>
      <c r="C3841" s="23">
        <v>0</v>
      </c>
      <c r="D3841" s="23">
        <v>0</v>
      </c>
      <c r="E3841" s="23">
        <v>0</v>
      </c>
      <c r="F3841" s="23">
        <v>0</v>
      </c>
      <c r="G3841" s="23">
        <v>0</v>
      </c>
      <c r="H3841" s="23">
        <v>0</v>
      </c>
      <c r="I3841" s="23">
        <v>1042.232</v>
      </c>
      <c r="J3841" s="23">
        <v>0</v>
      </c>
      <c r="K3841" s="23">
        <v>0</v>
      </c>
    </row>
    <row r="3842" spans="1:11" x14ac:dyDescent="0.25">
      <c r="A3842">
        <v>3841</v>
      </c>
      <c r="B3842" s="23">
        <v>806.86544700000002</v>
      </c>
      <c r="C3842" s="23">
        <v>0</v>
      </c>
      <c r="D3842" s="23">
        <v>0</v>
      </c>
      <c r="E3842" s="23">
        <v>0</v>
      </c>
      <c r="F3842" s="23">
        <v>0</v>
      </c>
      <c r="G3842" s="23">
        <v>0</v>
      </c>
      <c r="H3842" s="23">
        <v>0</v>
      </c>
      <c r="I3842" s="23">
        <v>806.86500000000001</v>
      </c>
      <c r="J3842" s="23">
        <v>0</v>
      </c>
      <c r="K3842" s="23">
        <v>0</v>
      </c>
    </row>
    <row r="3843" spans="1:11" x14ac:dyDescent="0.25">
      <c r="A3843">
        <v>3842</v>
      </c>
      <c r="B3843" s="23">
        <v>816.42720710000003</v>
      </c>
      <c r="C3843" s="23">
        <v>0</v>
      </c>
      <c r="D3843" s="23">
        <v>0</v>
      </c>
      <c r="E3843" s="23">
        <v>0</v>
      </c>
      <c r="F3843" s="23">
        <v>0</v>
      </c>
      <c r="G3843" s="23">
        <v>0</v>
      </c>
      <c r="H3843" s="23">
        <v>0</v>
      </c>
      <c r="I3843" s="23">
        <v>816.42700000000002</v>
      </c>
      <c r="J3843" s="23">
        <v>0</v>
      </c>
      <c r="K3843" s="23">
        <v>0</v>
      </c>
    </row>
    <row r="3844" spans="1:11" x14ac:dyDescent="0.25">
      <c r="A3844">
        <v>3843</v>
      </c>
      <c r="B3844" s="23">
        <v>912.04480799999999</v>
      </c>
      <c r="C3844" s="23">
        <v>0</v>
      </c>
      <c r="D3844" s="23">
        <v>0</v>
      </c>
      <c r="E3844" s="23">
        <v>0</v>
      </c>
      <c r="F3844" s="23">
        <v>0</v>
      </c>
      <c r="G3844" s="23">
        <v>0</v>
      </c>
      <c r="H3844" s="23">
        <v>0</v>
      </c>
      <c r="I3844" s="23">
        <v>912.04499999999996</v>
      </c>
      <c r="J3844" s="23">
        <v>0</v>
      </c>
      <c r="K3844" s="23">
        <v>0</v>
      </c>
    </row>
    <row r="3845" spans="1:11" x14ac:dyDescent="0.25">
      <c r="A3845">
        <v>3844</v>
      </c>
      <c r="B3845" s="23">
        <v>945.1432082</v>
      </c>
      <c r="C3845" s="23">
        <v>0</v>
      </c>
      <c r="D3845" s="23">
        <v>0</v>
      </c>
      <c r="E3845" s="23">
        <v>0</v>
      </c>
      <c r="F3845" s="23">
        <v>0</v>
      </c>
      <c r="G3845" s="23">
        <v>0</v>
      </c>
      <c r="H3845" s="23">
        <v>0</v>
      </c>
      <c r="I3845" s="23">
        <v>945.14300000000003</v>
      </c>
      <c r="J3845" s="23">
        <v>0</v>
      </c>
      <c r="K3845" s="23">
        <v>0</v>
      </c>
    </row>
    <row r="3846" spans="1:11" x14ac:dyDescent="0.25">
      <c r="A3846">
        <v>3845</v>
      </c>
      <c r="B3846" s="23">
        <v>937.78800820000004</v>
      </c>
      <c r="C3846" s="23">
        <v>0</v>
      </c>
      <c r="D3846" s="23">
        <v>0</v>
      </c>
      <c r="E3846" s="23">
        <v>0</v>
      </c>
      <c r="F3846" s="23">
        <v>0</v>
      </c>
      <c r="G3846" s="23">
        <v>0</v>
      </c>
      <c r="H3846" s="23">
        <v>0</v>
      </c>
      <c r="I3846" s="23">
        <v>0</v>
      </c>
      <c r="J3846" s="23">
        <v>0</v>
      </c>
      <c r="K3846" s="23">
        <v>937.78800000000001</v>
      </c>
    </row>
    <row r="3847" spans="1:11" x14ac:dyDescent="0.25">
      <c r="A3847">
        <v>3846</v>
      </c>
      <c r="B3847" s="23">
        <v>909.10272789999999</v>
      </c>
      <c r="C3847" s="23">
        <v>0</v>
      </c>
      <c r="D3847" s="23">
        <v>0</v>
      </c>
      <c r="E3847" s="23">
        <v>0</v>
      </c>
      <c r="F3847" s="23">
        <v>0</v>
      </c>
      <c r="G3847" s="23">
        <v>0</v>
      </c>
      <c r="H3847" s="23">
        <v>0</v>
      </c>
      <c r="I3847" s="23">
        <v>0</v>
      </c>
      <c r="J3847" s="23">
        <v>0</v>
      </c>
      <c r="K3847" s="23">
        <v>909.10299999999995</v>
      </c>
    </row>
    <row r="3848" spans="1:11" x14ac:dyDescent="0.25">
      <c r="A3848">
        <v>3847</v>
      </c>
      <c r="B3848" s="23">
        <v>944.34241080000004</v>
      </c>
      <c r="C3848" s="23">
        <v>103.23</v>
      </c>
      <c r="D3848" s="23">
        <v>371.36599999999999</v>
      </c>
      <c r="E3848" s="23">
        <v>371.36599999999999</v>
      </c>
      <c r="F3848" s="23">
        <v>0</v>
      </c>
      <c r="G3848" s="23">
        <v>0</v>
      </c>
      <c r="H3848" s="23">
        <v>0</v>
      </c>
      <c r="I3848" s="23">
        <v>0</v>
      </c>
      <c r="J3848" s="23">
        <v>0</v>
      </c>
      <c r="K3848" s="23">
        <v>572.976</v>
      </c>
    </row>
    <row r="3849" spans="1:11" x14ac:dyDescent="0.25">
      <c r="A3849">
        <v>3848</v>
      </c>
      <c r="B3849" s="23">
        <v>881.45269210000004</v>
      </c>
      <c r="C3849" s="23">
        <v>290.45999999999998</v>
      </c>
      <c r="D3849" s="23">
        <v>1139.2829999999999</v>
      </c>
      <c r="E3849" s="23">
        <v>881.45299999999997</v>
      </c>
      <c r="F3849" s="23">
        <v>-257.83</v>
      </c>
      <c r="G3849" s="23">
        <v>0</v>
      </c>
      <c r="H3849" s="23">
        <v>0</v>
      </c>
      <c r="I3849" s="23">
        <v>0</v>
      </c>
      <c r="J3849" s="23">
        <v>0</v>
      </c>
      <c r="K3849" s="23">
        <v>0</v>
      </c>
    </row>
    <row r="3850" spans="1:11" x14ac:dyDescent="0.25">
      <c r="A3850">
        <v>3849</v>
      </c>
      <c r="B3850" s="23">
        <v>933.85297609999998</v>
      </c>
      <c r="C3850" s="23">
        <v>451.09</v>
      </c>
      <c r="D3850" s="23">
        <v>1761.183</v>
      </c>
      <c r="E3850" s="23">
        <v>933.85299999999995</v>
      </c>
      <c r="F3850" s="23">
        <v>-827.33</v>
      </c>
      <c r="G3850" s="23">
        <v>0</v>
      </c>
      <c r="H3850" s="23">
        <v>0</v>
      </c>
      <c r="I3850" s="23">
        <v>0</v>
      </c>
      <c r="J3850" s="23">
        <v>0</v>
      </c>
      <c r="K3850" s="23">
        <v>0</v>
      </c>
    </row>
    <row r="3851" spans="1:11" x14ac:dyDescent="0.25">
      <c r="A3851">
        <v>3850</v>
      </c>
      <c r="B3851" s="23">
        <v>994.10309749999999</v>
      </c>
      <c r="C3851" s="23">
        <v>611.95000000000005</v>
      </c>
      <c r="D3851" s="23">
        <v>2341.36</v>
      </c>
      <c r="E3851" s="23">
        <v>994.10299999999995</v>
      </c>
      <c r="F3851" s="23">
        <v>-1347.2570000000001</v>
      </c>
      <c r="G3851" s="23">
        <v>0</v>
      </c>
      <c r="H3851" s="23">
        <v>0</v>
      </c>
      <c r="I3851" s="23">
        <v>0</v>
      </c>
      <c r="J3851" s="23">
        <v>0</v>
      </c>
      <c r="K3851" s="23">
        <v>0</v>
      </c>
    </row>
    <row r="3852" spans="1:11" x14ac:dyDescent="0.25">
      <c r="A3852">
        <v>3851</v>
      </c>
      <c r="B3852" s="23">
        <v>1339.2412629999999</v>
      </c>
      <c r="C3852" s="23">
        <v>689.53</v>
      </c>
      <c r="D3852" s="23">
        <v>2598.3150000000001</v>
      </c>
      <c r="E3852" s="23">
        <v>1339.241</v>
      </c>
      <c r="F3852" s="23">
        <v>-1259.0740000000001</v>
      </c>
      <c r="G3852" s="23">
        <v>0</v>
      </c>
      <c r="H3852" s="23">
        <v>0</v>
      </c>
      <c r="I3852" s="23">
        <v>0</v>
      </c>
      <c r="J3852" s="23">
        <v>0</v>
      </c>
      <c r="K3852" s="23">
        <v>0</v>
      </c>
    </row>
    <row r="3853" spans="1:11" x14ac:dyDescent="0.25">
      <c r="A3853">
        <v>3852</v>
      </c>
      <c r="B3853" s="23">
        <v>1246.3699099999999</v>
      </c>
      <c r="C3853" s="23">
        <v>762.05</v>
      </c>
      <c r="D3853" s="23">
        <v>2839.0239999999999</v>
      </c>
      <c r="E3853" s="23">
        <v>1246.3699999999999</v>
      </c>
      <c r="F3853" s="23">
        <v>-1592.654</v>
      </c>
      <c r="G3853" s="23">
        <v>0</v>
      </c>
      <c r="H3853" s="23">
        <v>0</v>
      </c>
      <c r="I3853" s="23">
        <v>0</v>
      </c>
      <c r="J3853" s="23">
        <v>0</v>
      </c>
      <c r="K3853" s="23">
        <v>0</v>
      </c>
    </row>
    <row r="3854" spans="1:11" x14ac:dyDescent="0.25">
      <c r="A3854">
        <v>3853</v>
      </c>
      <c r="B3854" s="23">
        <v>1003.532464</v>
      </c>
      <c r="C3854" s="23">
        <v>752.34</v>
      </c>
      <c r="D3854" s="23">
        <v>2800.1</v>
      </c>
      <c r="E3854" s="23">
        <v>1003.533</v>
      </c>
      <c r="F3854" s="23">
        <v>-1684.559</v>
      </c>
      <c r="G3854" s="23">
        <v>0</v>
      </c>
      <c r="H3854" s="23">
        <v>112.008</v>
      </c>
      <c r="I3854" s="23">
        <v>0</v>
      </c>
      <c r="J3854" s="23">
        <v>0</v>
      </c>
      <c r="K3854" s="23">
        <v>0</v>
      </c>
    </row>
    <row r="3855" spans="1:11" x14ac:dyDescent="0.25">
      <c r="A3855">
        <v>3854</v>
      </c>
      <c r="B3855" s="23">
        <v>1101.494535</v>
      </c>
      <c r="C3855" s="23">
        <v>705.98</v>
      </c>
      <c r="D3855" s="23">
        <v>2642.9110000000001</v>
      </c>
      <c r="E3855" s="23">
        <v>1101.4939999999999</v>
      </c>
      <c r="F3855" s="23">
        <v>-322.79399999999998</v>
      </c>
      <c r="G3855" s="23">
        <v>0</v>
      </c>
      <c r="H3855" s="23">
        <v>1218.623</v>
      </c>
      <c r="I3855" s="23">
        <v>0</v>
      </c>
      <c r="J3855" s="23">
        <v>0</v>
      </c>
      <c r="K3855" s="23">
        <v>0</v>
      </c>
    </row>
    <row r="3856" spans="1:11" x14ac:dyDescent="0.25">
      <c r="A3856">
        <v>3855</v>
      </c>
      <c r="B3856" s="23">
        <v>1463.944084</v>
      </c>
      <c r="C3856" s="23">
        <v>548.95000000000005</v>
      </c>
      <c r="D3856" s="23">
        <v>2087.6129999999998</v>
      </c>
      <c r="E3856" s="23">
        <v>1463.944</v>
      </c>
      <c r="F3856" s="23">
        <v>0</v>
      </c>
      <c r="G3856" s="23">
        <v>0</v>
      </c>
      <c r="H3856" s="23">
        <v>623.66899999999998</v>
      </c>
      <c r="I3856" s="23">
        <v>0</v>
      </c>
      <c r="J3856" s="23">
        <v>0</v>
      </c>
      <c r="K3856" s="23">
        <v>0</v>
      </c>
    </row>
    <row r="3857" spans="1:11" x14ac:dyDescent="0.25">
      <c r="A3857">
        <v>3856</v>
      </c>
      <c r="B3857" s="23">
        <v>1017.274736</v>
      </c>
      <c r="C3857" s="23">
        <v>369.07</v>
      </c>
      <c r="D3857" s="23">
        <v>1425.3989999999999</v>
      </c>
      <c r="E3857" s="23">
        <v>1017.275</v>
      </c>
      <c r="F3857" s="23">
        <v>0</v>
      </c>
      <c r="G3857" s="23">
        <v>0</v>
      </c>
      <c r="H3857" s="23">
        <v>408.12400000000002</v>
      </c>
      <c r="I3857" s="23">
        <v>0</v>
      </c>
      <c r="J3857" s="23">
        <v>0</v>
      </c>
      <c r="K3857" s="23">
        <v>0</v>
      </c>
    </row>
    <row r="3858" spans="1:11" x14ac:dyDescent="0.25">
      <c r="A3858">
        <v>3857</v>
      </c>
      <c r="B3858" s="23">
        <v>1145.928218</v>
      </c>
      <c r="C3858" s="23">
        <v>59.52</v>
      </c>
      <c r="D3858" s="23">
        <v>206.72300000000001</v>
      </c>
      <c r="E3858" s="23">
        <v>206.72300000000001</v>
      </c>
      <c r="F3858" s="23">
        <v>0</v>
      </c>
      <c r="G3858" s="23">
        <v>0</v>
      </c>
      <c r="H3858" s="23">
        <v>0</v>
      </c>
      <c r="I3858" s="23">
        <v>939.20500000000004</v>
      </c>
      <c r="J3858" s="23">
        <v>0</v>
      </c>
      <c r="K3858" s="23">
        <v>0</v>
      </c>
    </row>
    <row r="3859" spans="1:11" x14ac:dyDescent="0.25">
      <c r="A3859">
        <v>3858</v>
      </c>
      <c r="B3859" s="23">
        <v>1215.909269</v>
      </c>
      <c r="C3859" s="23">
        <v>12.73</v>
      </c>
      <c r="D3859" s="23">
        <v>24.190999999999999</v>
      </c>
      <c r="E3859" s="23">
        <v>24.190999999999999</v>
      </c>
      <c r="F3859" s="23">
        <v>0</v>
      </c>
      <c r="G3859" s="23">
        <v>0</v>
      </c>
      <c r="H3859" s="23">
        <v>0</v>
      </c>
      <c r="I3859" s="23">
        <v>0</v>
      </c>
      <c r="J3859" s="23">
        <v>0</v>
      </c>
      <c r="K3859" s="23">
        <v>1191.7180000000001</v>
      </c>
    </row>
    <row r="3860" spans="1:11" x14ac:dyDescent="0.25">
      <c r="A3860">
        <v>3859</v>
      </c>
      <c r="B3860" s="23">
        <v>1031.1990490000001</v>
      </c>
      <c r="C3860" s="23">
        <v>0</v>
      </c>
      <c r="D3860" s="23">
        <v>0</v>
      </c>
      <c r="E3860" s="23">
        <v>0</v>
      </c>
      <c r="F3860" s="23">
        <v>0</v>
      </c>
      <c r="G3860" s="23">
        <v>0</v>
      </c>
      <c r="H3860" s="23">
        <v>0</v>
      </c>
      <c r="I3860" s="23">
        <v>0</v>
      </c>
      <c r="J3860" s="23">
        <v>0</v>
      </c>
      <c r="K3860" s="23">
        <v>1031.1990000000001</v>
      </c>
    </row>
    <row r="3861" spans="1:11" x14ac:dyDescent="0.25">
      <c r="A3861">
        <v>3860</v>
      </c>
      <c r="B3861" s="23">
        <v>1098.86689</v>
      </c>
      <c r="C3861" s="23">
        <v>0</v>
      </c>
      <c r="D3861" s="23">
        <v>0</v>
      </c>
      <c r="E3861" s="23">
        <v>0</v>
      </c>
      <c r="F3861" s="23">
        <v>0</v>
      </c>
      <c r="G3861" s="23">
        <v>0</v>
      </c>
      <c r="H3861" s="23">
        <v>0</v>
      </c>
      <c r="I3861" s="23">
        <v>0</v>
      </c>
      <c r="J3861" s="23">
        <v>0</v>
      </c>
      <c r="K3861" s="23">
        <v>1098.867</v>
      </c>
    </row>
    <row r="3862" spans="1:11" x14ac:dyDescent="0.25">
      <c r="A3862">
        <v>3861</v>
      </c>
      <c r="B3862" s="23">
        <v>1268.772011</v>
      </c>
      <c r="C3862" s="23">
        <v>0</v>
      </c>
      <c r="D3862" s="23">
        <v>0</v>
      </c>
      <c r="E3862" s="23">
        <v>0</v>
      </c>
      <c r="F3862" s="23">
        <v>0</v>
      </c>
      <c r="G3862" s="23">
        <v>0</v>
      </c>
      <c r="H3862" s="23">
        <v>0</v>
      </c>
      <c r="I3862" s="23">
        <v>1268.7719999999999</v>
      </c>
      <c r="J3862" s="23">
        <v>0</v>
      </c>
      <c r="K3862" s="23">
        <v>0</v>
      </c>
    </row>
    <row r="3863" spans="1:11" x14ac:dyDescent="0.25">
      <c r="A3863">
        <v>3862</v>
      </c>
      <c r="B3863" s="23">
        <v>1276.127211</v>
      </c>
      <c r="C3863" s="23">
        <v>0</v>
      </c>
      <c r="D3863" s="23">
        <v>0</v>
      </c>
      <c r="E3863" s="23">
        <v>0</v>
      </c>
      <c r="F3863" s="23">
        <v>0</v>
      </c>
      <c r="G3863" s="23">
        <v>0</v>
      </c>
      <c r="H3863" s="23">
        <v>0</v>
      </c>
      <c r="I3863" s="23">
        <v>463.97699999999998</v>
      </c>
      <c r="J3863" s="23">
        <v>0</v>
      </c>
      <c r="K3863" s="23">
        <v>812.15</v>
      </c>
    </row>
    <row r="3864" spans="1:11" x14ac:dyDescent="0.25">
      <c r="A3864">
        <v>3863</v>
      </c>
      <c r="B3864" s="23">
        <v>1315.8452910000001</v>
      </c>
      <c r="C3864" s="23">
        <v>0</v>
      </c>
      <c r="D3864" s="23">
        <v>0</v>
      </c>
      <c r="E3864" s="23">
        <v>0</v>
      </c>
      <c r="F3864" s="23">
        <v>0</v>
      </c>
      <c r="G3864" s="23">
        <v>0</v>
      </c>
      <c r="H3864" s="23">
        <v>0</v>
      </c>
      <c r="I3864" s="23">
        <v>1315.845</v>
      </c>
      <c r="J3864" s="23">
        <v>0</v>
      </c>
      <c r="K3864" s="23">
        <v>0</v>
      </c>
    </row>
    <row r="3865" spans="1:11" x14ac:dyDescent="0.25">
      <c r="A3865">
        <v>3864</v>
      </c>
      <c r="B3865" s="23">
        <v>1015.017609</v>
      </c>
      <c r="C3865" s="23">
        <v>0</v>
      </c>
      <c r="D3865" s="23">
        <v>0</v>
      </c>
      <c r="E3865" s="23">
        <v>0</v>
      </c>
      <c r="F3865" s="23">
        <v>0</v>
      </c>
      <c r="G3865" s="23">
        <v>0</v>
      </c>
      <c r="H3865" s="23">
        <v>0</v>
      </c>
      <c r="I3865" s="23">
        <v>1015.018</v>
      </c>
      <c r="J3865" s="23">
        <v>0</v>
      </c>
      <c r="K3865" s="23">
        <v>0</v>
      </c>
    </row>
    <row r="3866" spans="1:11" x14ac:dyDescent="0.25">
      <c r="A3866">
        <v>3865</v>
      </c>
      <c r="B3866" s="23">
        <v>1181.98065</v>
      </c>
      <c r="C3866" s="23">
        <v>0</v>
      </c>
      <c r="D3866" s="23">
        <v>0</v>
      </c>
      <c r="E3866" s="23">
        <v>0</v>
      </c>
      <c r="F3866" s="23">
        <v>0</v>
      </c>
      <c r="G3866" s="23">
        <v>0</v>
      </c>
      <c r="H3866" s="23">
        <v>0</v>
      </c>
      <c r="I3866" s="23">
        <v>1181.981</v>
      </c>
      <c r="J3866" s="23">
        <v>0</v>
      </c>
      <c r="K3866" s="23">
        <v>0</v>
      </c>
    </row>
    <row r="3867" spans="1:11" x14ac:dyDescent="0.25">
      <c r="A3867">
        <v>3866</v>
      </c>
      <c r="B3867" s="23">
        <v>934.11040809999997</v>
      </c>
      <c r="C3867" s="23">
        <v>0</v>
      </c>
      <c r="D3867" s="23">
        <v>0</v>
      </c>
      <c r="E3867" s="23">
        <v>0</v>
      </c>
      <c r="F3867" s="23">
        <v>0</v>
      </c>
      <c r="G3867" s="23">
        <v>0</v>
      </c>
      <c r="H3867" s="23">
        <v>0</v>
      </c>
      <c r="I3867" s="23">
        <v>934.11</v>
      </c>
      <c r="J3867" s="23">
        <v>0</v>
      </c>
      <c r="K3867" s="23">
        <v>0</v>
      </c>
    </row>
    <row r="3868" spans="1:11" x14ac:dyDescent="0.25">
      <c r="A3868">
        <v>3867</v>
      </c>
      <c r="B3868" s="23">
        <v>1097.3958500000001</v>
      </c>
      <c r="C3868" s="23">
        <v>0</v>
      </c>
      <c r="D3868" s="23">
        <v>0</v>
      </c>
      <c r="E3868" s="23">
        <v>0</v>
      </c>
      <c r="F3868" s="23">
        <v>0</v>
      </c>
      <c r="G3868" s="23">
        <v>0</v>
      </c>
      <c r="H3868" s="23">
        <v>0</v>
      </c>
      <c r="I3868" s="23">
        <v>1097.396</v>
      </c>
      <c r="J3868" s="23">
        <v>0</v>
      </c>
      <c r="K3868" s="23">
        <v>0</v>
      </c>
    </row>
    <row r="3869" spans="1:11" x14ac:dyDescent="0.25">
      <c r="A3869">
        <v>3868</v>
      </c>
      <c r="B3869" s="23">
        <v>1369.5382520000001</v>
      </c>
      <c r="C3869" s="23">
        <v>0</v>
      </c>
      <c r="D3869" s="23">
        <v>0</v>
      </c>
      <c r="E3869" s="23">
        <v>0</v>
      </c>
      <c r="F3869" s="23">
        <v>0</v>
      </c>
      <c r="G3869" s="23">
        <v>0</v>
      </c>
      <c r="H3869" s="23">
        <v>0</v>
      </c>
      <c r="I3869" s="23">
        <v>1369.538</v>
      </c>
      <c r="J3869" s="23">
        <v>0</v>
      </c>
      <c r="K3869" s="23">
        <v>0</v>
      </c>
    </row>
    <row r="3870" spans="1:11" x14ac:dyDescent="0.25">
      <c r="A3870">
        <v>3869</v>
      </c>
      <c r="B3870" s="23">
        <v>1001.042729</v>
      </c>
      <c r="C3870" s="23">
        <v>0</v>
      </c>
      <c r="D3870" s="23">
        <v>0</v>
      </c>
      <c r="E3870" s="23">
        <v>0</v>
      </c>
      <c r="F3870" s="23">
        <v>0</v>
      </c>
      <c r="G3870" s="23">
        <v>0</v>
      </c>
      <c r="H3870" s="23">
        <v>0</v>
      </c>
      <c r="I3870" s="23">
        <v>0</v>
      </c>
      <c r="J3870" s="23">
        <v>0</v>
      </c>
      <c r="K3870" s="23">
        <v>1001.043</v>
      </c>
    </row>
    <row r="3871" spans="1:11" x14ac:dyDescent="0.25">
      <c r="A3871">
        <v>3870</v>
      </c>
      <c r="B3871" s="23">
        <v>1035.612169</v>
      </c>
      <c r="C3871" s="23">
        <v>0</v>
      </c>
      <c r="D3871" s="23">
        <v>0</v>
      </c>
      <c r="E3871" s="23">
        <v>0</v>
      </c>
      <c r="F3871" s="23">
        <v>0</v>
      </c>
      <c r="G3871" s="23">
        <v>0</v>
      </c>
      <c r="H3871" s="23">
        <v>0</v>
      </c>
      <c r="I3871" s="23">
        <v>0</v>
      </c>
      <c r="J3871" s="23">
        <v>0</v>
      </c>
      <c r="K3871" s="23">
        <v>1035.6120000000001</v>
      </c>
    </row>
    <row r="3872" spans="1:11" x14ac:dyDescent="0.25">
      <c r="A3872">
        <v>3871</v>
      </c>
      <c r="B3872" s="23">
        <v>734.68059419999997</v>
      </c>
      <c r="C3872" s="23">
        <v>98.27</v>
      </c>
      <c r="D3872" s="23">
        <v>353.42099999999999</v>
      </c>
      <c r="E3872" s="23">
        <v>353.42099999999999</v>
      </c>
      <c r="F3872" s="23">
        <v>0</v>
      </c>
      <c r="G3872" s="23">
        <v>0</v>
      </c>
      <c r="H3872" s="23">
        <v>0</v>
      </c>
      <c r="I3872" s="23">
        <v>0</v>
      </c>
      <c r="J3872" s="23">
        <v>0</v>
      </c>
      <c r="K3872" s="23">
        <v>381.26</v>
      </c>
    </row>
    <row r="3873" spans="1:11" x14ac:dyDescent="0.25">
      <c r="A3873">
        <v>3872</v>
      </c>
      <c r="B3873" s="23">
        <v>858.44286810000006</v>
      </c>
      <c r="C3873" s="23">
        <v>262.70999999999998</v>
      </c>
      <c r="D3873" s="23">
        <v>1027.614</v>
      </c>
      <c r="E3873" s="23">
        <v>858.44299999999998</v>
      </c>
      <c r="F3873" s="23">
        <v>-169.17099999999999</v>
      </c>
      <c r="G3873" s="23">
        <v>0</v>
      </c>
      <c r="H3873" s="23">
        <v>0</v>
      </c>
      <c r="I3873" s="23">
        <v>0</v>
      </c>
      <c r="J3873" s="23">
        <v>0</v>
      </c>
      <c r="K3873" s="23">
        <v>0</v>
      </c>
    </row>
    <row r="3874" spans="1:11" x14ac:dyDescent="0.25">
      <c r="A3874">
        <v>3873</v>
      </c>
      <c r="B3874" s="23">
        <v>945.94676389999995</v>
      </c>
      <c r="C3874" s="23">
        <v>408.02</v>
      </c>
      <c r="D3874" s="23">
        <v>1588.559</v>
      </c>
      <c r="E3874" s="23">
        <v>945.947</v>
      </c>
      <c r="F3874" s="23">
        <v>-642.61199999999997</v>
      </c>
      <c r="G3874" s="23">
        <v>0</v>
      </c>
      <c r="H3874" s="23">
        <v>0</v>
      </c>
      <c r="I3874" s="23">
        <v>0</v>
      </c>
      <c r="J3874" s="23">
        <v>0</v>
      </c>
      <c r="K3874" s="23">
        <v>0</v>
      </c>
    </row>
    <row r="3875" spans="1:11" x14ac:dyDescent="0.25">
      <c r="A3875">
        <v>3874</v>
      </c>
      <c r="B3875" s="23">
        <v>1313.9908620000001</v>
      </c>
      <c r="C3875" s="23">
        <v>539.21</v>
      </c>
      <c r="D3875" s="23">
        <v>2062.357</v>
      </c>
      <c r="E3875" s="23">
        <v>1313.99</v>
      </c>
      <c r="F3875" s="23">
        <v>-748.36699999999996</v>
      </c>
      <c r="G3875" s="23">
        <v>0</v>
      </c>
      <c r="H3875" s="23">
        <v>0</v>
      </c>
      <c r="I3875" s="23">
        <v>0</v>
      </c>
      <c r="J3875" s="23">
        <v>0</v>
      </c>
      <c r="K3875" s="23">
        <v>0</v>
      </c>
    </row>
    <row r="3876" spans="1:11" x14ac:dyDescent="0.25">
      <c r="A3876">
        <v>3875</v>
      </c>
      <c r="B3876" s="23">
        <v>1203.8265140000001</v>
      </c>
      <c r="C3876" s="23">
        <v>645.5</v>
      </c>
      <c r="D3876" s="23">
        <v>2430.3200000000002</v>
      </c>
      <c r="E3876" s="23">
        <v>1203.827</v>
      </c>
      <c r="F3876" s="23">
        <v>-1226.4929999999999</v>
      </c>
      <c r="G3876" s="23">
        <v>0</v>
      </c>
      <c r="H3876" s="23">
        <v>0</v>
      </c>
      <c r="I3876" s="23">
        <v>0</v>
      </c>
      <c r="J3876" s="23">
        <v>0</v>
      </c>
      <c r="K3876" s="23">
        <v>0</v>
      </c>
    </row>
    <row r="3877" spans="1:11" x14ac:dyDescent="0.25">
      <c r="A3877">
        <v>3876</v>
      </c>
      <c r="B3877" s="23">
        <v>1170.5984779999999</v>
      </c>
      <c r="C3877" s="23">
        <v>755.74</v>
      </c>
      <c r="D3877" s="23">
        <v>2811.4389999999999</v>
      </c>
      <c r="E3877" s="23">
        <v>1170.598</v>
      </c>
      <c r="F3877" s="23">
        <v>-1640.8409999999999</v>
      </c>
      <c r="G3877" s="23">
        <v>0</v>
      </c>
      <c r="H3877" s="23">
        <v>0</v>
      </c>
      <c r="I3877" s="23">
        <v>0</v>
      </c>
      <c r="J3877" s="23">
        <v>0</v>
      </c>
      <c r="K3877" s="23">
        <v>0</v>
      </c>
    </row>
    <row r="3878" spans="1:11" x14ac:dyDescent="0.25">
      <c r="A3878">
        <v>3877</v>
      </c>
      <c r="B3878" s="23">
        <v>1180.2871150000001</v>
      </c>
      <c r="C3878" s="23">
        <v>740.27</v>
      </c>
      <c r="D3878" s="23">
        <v>2754.5740000000001</v>
      </c>
      <c r="E3878" s="23">
        <v>1180.287</v>
      </c>
      <c r="F3878" s="23">
        <v>-1574.287</v>
      </c>
      <c r="G3878" s="23">
        <v>0</v>
      </c>
      <c r="H3878" s="23">
        <v>0</v>
      </c>
      <c r="I3878" s="23">
        <v>0</v>
      </c>
      <c r="J3878" s="23">
        <v>0</v>
      </c>
      <c r="K3878" s="23">
        <v>0</v>
      </c>
    </row>
    <row r="3879" spans="1:11" x14ac:dyDescent="0.25">
      <c r="A3879">
        <v>3878</v>
      </c>
      <c r="B3879" s="23">
        <v>935.07485880000002</v>
      </c>
      <c r="C3879" s="23">
        <v>675.89</v>
      </c>
      <c r="D3879" s="23">
        <v>2534.4050000000002</v>
      </c>
      <c r="E3879" s="23">
        <v>935.07500000000005</v>
      </c>
      <c r="F3879" s="23">
        <v>-1289.7280000000001</v>
      </c>
      <c r="G3879" s="23">
        <v>0</v>
      </c>
      <c r="H3879" s="23">
        <v>309.60199999999998</v>
      </c>
      <c r="I3879" s="23">
        <v>0</v>
      </c>
      <c r="J3879" s="23">
        <v>0</v>
      </c>
      <c r="K3879" s="23">
        <v>0</v>
      </c>
    </row>
    <row r="3880" spans="1:11" x14ac:dyDescent="0.25">
      <c r="A3880">
        <v>3879</v>
      </c>
      <c r="B3880" s="23">
        <v>1443.3311349999999</v>
      </c>
      <c r="C3880" s="23">
        <v>583.12</v>
      </c>
      <c r="D3880" s="23">
        <v>2216.9119999999998</v>
      </c>
      <c r="E3880" s="23">
        <v>1443.3309999999999</v>
      </c>
      <c r="F3880" s="23">
        <v>0</v>
      </c>
      <c r="G3880" s="23">
        <v>0</v>
      </c>
      <c r="H3880" s="23">
        <v>773.58100000000002</v>
      </c>
      <c r="I3880" s="23">
        <v>0</v>
      </c>
      <c r="J3880" s="23">
        <v>0</v>
      </c>
      <c r="K3880" s="23">
        <v>0</v>
      </c>
    </row>
    <row r="3881" spans="1:11" x14ac:dyDescent="0.25">
      <c r="A3881">
        <v>3880</v>
      </c>
      <c r="B3881" s="23">
        <v>1115.1485439999999</v>
      </c>
      <c r="C3881" s="23">
        <v>154.88</v>
      </c>
      <c r="D3881" s="23">
        <v>581.63900000000001</v>
      </c>
      <c r="E3881" s="23">
        <v>581.63900000000001</v>
      </c>
      <c r="F3881" s="23">
        <v>0</v>
      </c>
      <c r="G3881" s="23">
        <v>0</v>
      </c>
      <c r="H3881" s="23">
        <v>0</v>
      </c>
      <c r="I3881" s="23">
        <v>533.51</v>
      </c>
      <c r="J3881" s="23">
        <v>0</v>
      </c>
      <c r="K3881" s="23">
        <v>0</v>
      </c>
    </row>
    <row r="3882" spans="1:11" x14ac:dyDescent="0.25">
      <c r="A3882">
        <v>3881</v>
      </c>
      <c r="B3882" s="23">
        <v>1294.3432829999999</v>
      </c>
      <c r="C3882" s="23">
        <v>91.12</v>
      </c>
      <c r="D3882" s="23">
        <v>332.35</v>
      </c>
      <c r="E3882" s="23">
        <v>332.35</v>
      </c>
      <c r="F3882" s="23">
        <v>0</v>
      </c>
      <c r="G3882" s="23">
        <v>0</v>
      </c>
      <c r="H3882" s="23">
        <v>0</v>
      </c>
      <c r="I3882" s="23">
        <v>961.99400000000003</v>
      </c>
      <c r="J3882" s="23">
        <v>0</v>
      </c>
      <c r="K3882" s="23">
        <v>0</v>
      </c>
    </row>
    <row r="3883" spans="1:11" x14ac:dyDescent="0.25">
      <c r="A3883">
        <v>3882</v>
      </c>
      <c r="B3883" s="23">
        <v>1231.249458</v>
      </c>
      <c r="C3883" s="23">
        <v>55.13</v>
      </c>
      <c r="D3883" s="23">
        <v>184.57300000000001</v>
      </c>
      <c r="E3883" s="23">
        <v>184.57300000000001</v>
      </c>
      <c r="F3883" s="23">
        <v>0</v>
      </c>
      <c r="G3883" s="23">
        <v>0</v>
      </c>
      <c r="H3883" s="23">
        <v>0</v>
      </c>
      <c r="I3883" s="23">
        <v>0</v>
      </c>
      <c r="J3883" s="23">
        <v>0</v>
      </c>
      <c r="K3883" s="23">
        <v>1046.6769999999999</v>
      </c>
    </row>
    <row r="3884" spans="1:11" x14ac:dyDescent="0.25">
      <c r="A3884">
        <v>3883</v>
      </c>
      <c r="B3884" s="23">
        <v>1327.6136120000001</v>
      </c>
      <c r="C3884" s="23">
        <v>0</v>
      </c>
      <c r="D3884" s="23">
        <v>0</v>
      </c>
      <c r="E3884" s="23">
        <v>0</v>
      </c>
      <c r="F3884" s="23">
        <v>0</v>
      </c>
      <c r="G3884" s="23">
        <v>0</v>
      </c>
      <c r="H3884" s="23">
        <v>0</v>
      </c>
      <c r="I3884" s="23">
        <v>0</v>
      </c>
      <c r="J3884" s="23">
        <v>0</v>
      </c>
      <c r="K3884" s="23">
        <v>1327.614</v>
      </c>
    </row>
    <row r="3885" spans="1:11" x14ac:dyDescent="0.25">
      <c r="A3885">
        <v>3884</v>
      </c>
      <c r="B3885" s="23">
        <v>1377.628972</v>
      </c>
      <c r="C3885" s="23">
        <v>0</v>
      </c>
      <c r="D3885" s="23">
        <v>0</v>
      </c>
      <c r="E3885" s="23">
        <v>0</v>
      </c>
      <c r="F3885" s="23">
        <v>0</v>
      </c>
      <c r="G3885" s="23">
        <v>0</v>
      </c>
      <c r="H3885" s="23">
        <v>0</v>
      </c>
      <c r="I3885" s="23">
        <v>0</v>
      </c>
      <c r="J3885" s="23">
        <v>0</v>
      </c>
      <c r="K3885" s="23">
        <v>1377.6289999999999</v>
      </c>
    </row>
    <row r="3886" spans="1:11" x14ac:dyDescent="0.25">
      <c r="A3886">
        <v>3885</v>
      </c>
      <c r="B3886" s="23">
        <v>1547.5340940000001</v>
      </c>
      <c r="C3886" s="23">
        <v>0</v>
      </c>
      <c r="D3886" s="23">
        <v>0</v>
      </c>
      <c r="E3886" s="23">
        <v>0</v>
      </c>
      <c r="F3886" s="23">
        <v>0</v>
      </c>
      <c r="G3886" s="23">
        <v>0</v>
      </c>
      <c r="H3886" s="23">
        <v>0</v>
      </c>
      <c r="I3886" s="23">
        <v>1547.5340000000001</v>
      </c>
      <c r="J3886" s="23">
        <v>0</v>
      </c>
      <c r="K3886" s="23">
        <v>0</v>
      </c>
    </row>
    <row r="3887" spans="1:11" x14ac:dyDescent="0.25">
      <c r="A3887">
        <v>3886</v>
      </c>
      <c r="B3887" s="23">
        <v>1445.2968129999999</v>
      </c>
      <c r="C3887" s="23">
        <v>0</v>
      </c>
      <c r="D3887" s="23">
        <v>0</v>
      </c>
      <c r="E3887" s="23">
        <v>0</v>
      </c>
      <c r="F3887" s="23">
        <v>0</v>
      </c>
      <c r="G3887" s="23">
        <v>0</v>
      </c>
      <c r="H3887" s="23">
        <v>0</v>
      </c>
      <c r="I3887" s="23">
        <v>1445.297</v>
      </c>
      <c r="J3887" s="23">
        <v>0</v>
      </c>
      <c r="K3887" s="23">
        <v>0</v>
      </c>
    </row>
    <row r="3888" spans="1:11" x14ac:dyDescent="0.25">
      <c r="A3888">
        <v>3887</v>
      </c>
      <c r="B3888" s="23">
        <v>1164.32817</v>
      </c>
      <c r="C3888" s="23">
        <v>0</v>
      </c>
      <c r="D3888" s="23">
        <v>0</v>
      </c>
      <c r="E3888" s="23">
        <v>0</v>
      </c>
      <c r="F3888" s="23">
        <v>0</v>
      </c>
      <c r="G3888" s="23">
        <v>0</v>
      </c>
      <c r="H3888" s="23">
        <v>0</v>
      </c>
      <c r="I3888" s="23">
        <v>1164.328</v>
      </c>
      <c r="J3888" s="23">
        <v>0</v>
      </c>
      <c r="K3888" s="23">
        <v>0</v>
      </c>
    </row>
    <row r="3889" spans="1:11" x14ac:dyDescent="0.25">
      <c r="A3889">
        <v>3888</v>
      </c>
      <c r="B3889" s="23">
        <v>1151.8243299999999</v>
      </c>
      <c r="C3889" s="23">
        <v>0</v>
      </c>
      <c r="D3889" s="23">
        <v>0</v>
      </c>
      <c r="E3889" s="23">
        <v>0</v>
      </c>
      <c r="F3889" s="23">
        <v>0</v>
      </c>
      <c r="G3889" s="23">
        <v>0</v>
      </c>
      <c r="H3889" s="23">
        <v>0</v>
      </c>
      <c r="I3889" s="23">
        <v>1151.8240000000001</v>
      </c>
      <c r="J3889" s="23">
        <v>0</v>
      </c>
      <c r="K3889" s="23">
        <v>0</v>
      </c>
    </row>
    <row r="3890" spans="1:11" x14ac:dyDescent="0.25">
      <c r="A3890">
        <v>3889</v>
      </c>
      <c r="B3890" s="23">
        <v>1028.256969</v>
      </c>
      <c r="C3890" s="23">
        <v>0</v>
      </c>
      <c r="D3890" s="23">
        <v>0</v>
      </c>
      <c r="E3890" s="23">
        <v>0</v>
      </c>
      <c r="F3890" s="23">
        <v>0</v>
      </c>
      <c r="G3890" s="23">
        <v>0</v>
      </c>
      <c r="H3890" s="23">
        <v>0</v>
      </c>
      <c r="I3890" s="23">
        <v>1028.2570000000001</v>
      </c>
      <c r="J3890" s="23">
        <v>0</v>
      </c>
      <c r="K3890" s="23">
        <v>0</v>
      </c>
    </row>
    <row r="3891" spans="1:11" x14ac:dyDescent="0.25">
      <c r="A3891">
        <v>3890</v>
      </c>
      <c r="B3891" s="23">
        <v>1179.7740899999999</v>
      </c>
      <c r="C3891" s="23">
        <v>0</v>
      </c>
      <c r="D3891" s="23">
        <v>0</v>
      </c>
      <c r="E3891" s="23">
        <v>0</v>
      </c>
      <c r="F3891" s="23">
        <v>0</v>
      </c>
      <c r="G3891" s="23">
        <v>0</v>
      </c>
      <c r="H3891" s="23">
        <v>0</v>
      </c>
      <c r="I3891" s="23">
        <v>1179.7739999999999</v>
      </c>
      <c r="J3891" s="23">
        <v>0</v>
      </c>
      <c r="K3891" s="23">
        <v>0</v>
      </c>
    </row>
    <row r="3892" spans="1:11" x14ac:dyDescent="0.25">
      <c r="A3892">
        <v>3891</v>
      </c>
      <c r="B3892" s="23">
        <v>1259.210251</v>
      </c>
      <c r="C3892" s="23">
        <v>0</v>
      </c>
      <c r="D3892" s="23">
        <v>0</v>
      </c>
      <c r="E3892" s="23">
        <v>0</v>
      </c>
      <c r="F3892" s="23">
        <v>0</v>
      </c>
      <c r="G3892" s="23">
        <v>0</v>
      </c>
      <c r="H3892" s="23">
        <v>0</v>
      </c>
      <c r="I3892" s="23">
        <v>1259.21</v>
      </c>
      <c r="J3892" s="23">
        <v>0</v>
      </c>
      <c r="K3892" s="23">
        <v>0</v>
      </c>
    </row>
    <row r="3893" spans="1:11" x14ac:dyDescent="0.25">
      <c r="A3893">
        <v>3892</v>
      </c>
      <c r="B3893" s="23">
        <v>1282.0113710000001</v>
      </c>
      <c r="C3893" s="23">
        <v>0</v>
      </c>
      <c r="D3893" s="23">
        <v>0</v>
      </c>
      <c r="E3893" s="23">
        <v>0</v>
      </c>
      <c r="F3893" s="23">
        <v>0</v>
      </c>
      <c r="G3893" s="23">
        <v>0</v>
      </c>
      <c r="H3893" s="23">
        <v>0</v>
      </c>
      <c r="I3893" s="23">
        <v>1282.011</v>
      </c>
      <c r="J3893" s="23">
        <v>0</v>
      </c>
      <c r="K3893" s="23">
        <v>0</v>
      </c>
    </row>
    <row r="3894" spans="1:11" x14ac:dyDescent="0.25">
      <c r="A3894">
        <v>3893</v>
      </c>
      <c r="B3894" s="23">
        <v>1181.98065</v>
      </c>
      <c r="C3894" s="23">
        <v>0</v>
      </c>
      <c r="D3894" s="23">
        <v>0</v>
      </c>
      <c r="E3894" s="23">
        <v>0</v>
      </c>
      <c r="F3894" s="23">
        <v>0</v>
      </c>
      <c r="G3894" s="23">
        <v>0</v>
      </c>
      <c r="H3894" s="23">
        <v>0</v>
      </c>
      <c r="I3894" s="23">
        <v>1181.981</v>
      </c>
      <c r="J3894" s="23">
        <v>0</v>
      </c>
      <c r="K3894" s="23">
        <v>0</v>
      </c>
    </row>
    <row r="3895" spans="1:11" x14ac:dyDescent="0.25">
      <c r="A3895">
        <v>3894</v>
      </c>
      <c r="B3895" s="23">
        <v>970.88640850000002</v>
      </c>
      <c r="C3895" s="23">
        <v>0</v>
      </c>
      <c r="D3895" s="23">
        <v>0</v>
      </c>
      <c r="E3895" s="23">
        <v>0</v>
      </c>
      <c r="F3895" s="23">
        <v>0</v>
      </c>
      <c r="G3895" s="23">
        <v>0</v>
      </c>
      <c r="H3895" s="23">
        <v>0</v>
      </c>
      <c r="I3895" s="23">
        <v>970.88599999999997</v>
      </c>
      <c r="J3895" s="23">
        <v>0</v>
      </c>
      <c r="K3895" s="23">
        <v>0</v>
      </c>
    </row>
    <row r="3896" spans="1:11" x14ac:dyDescent="0.25">
      <c r="A3896">
        <v>3895</v>
      </c>
      <c r="B3896" s="23">
        <v>956.47389390000001</v>
      </c>
      <c r="C3896" s="23">
        <v>106.56</v>
      </c>
      <c r="D3896" s="23">
        <v>381.14499999999998</v>
      </c>
      <c r="E3896" s="23">
        <v>381.14499999999998</v>
      </c>
      <c r="F3896" s="23">
        <v>0</v>
      </c>
      <c r="G3896" s="23">
        <v>0</v>
      </c>
      <c r="H3896" s="23">
        <v>0</v>
      </c>
      <c r="I3896" s="23">
        <v>575.32899999999995</v>
      </c>
      <c r="J3896" s="23">
        <v>0</v>
      </c>
      <c r="K3896" s="23">
        <v>0</v>
      </c>
    </row>
    <row r="3897" spans="1:11" x14ac:dyDescent="0.25">
      <c r="A3897">
        <v>3896</v>
      </c>
      <c r="B3897" s="23">
        <v>799.5405872</v>
      </c>
      <c r="C3897" s="23">
        <v>280.31</v>
      </c>
      <c r="D3897" s="23">
        <v>1100.2550000000001</v>
      </c>
      <c r="E3897" s="23">
        <v>799.54</v>
      </c>
      <c r="F3897" s="23">
        <v>-300.71499999999997</v>
      </c>
      <c r="G3897" s="23">
        <v>0</v>
      </c>
      <c r="H3897" s="23">
        <v>0</v>
      </c>
      <c r="I3897" s="23">
        <v>0</v>
      </c>
      <c r="J3897" s="23">
        <v>0</v>
      </c>
      <c r="K3897" s="23">
        <v>0</v>
      </c>
    </row>
    <row r="3898" spans="1:11" x14ac:dyDescent="0.25">
      <c r="A3898">
        <v>3897</v>
      </c>
      <c r="B3898" s="23">
        <v>1009.709913</v>
      </c>
      <c r="C3898" s="23">
        <v>324.48</v>
      </c>
      <c r="D3898" s="23">
        <v>1263.3589999999999</v>
      </c>
      <c r="E3898" s="23">
        <v>1009.71</v>
      </c>
      <c r="F3898" s="23">
        <v>-253.649</v>
      </c>
      <c r="G3898" s="23">
        <v>0</v>
      </c>
      <c r="H3898" s="23">
        <v>0</v>
      </c>
      <c r="I3898" s="23">
        <v>0</v>
      </c>
      <c r="J3898" s="23">
        <v>0</v>
      </c>
      <c r="K3898" s="23">
        <v>0</v>
      </c>
    </row>
    <row r="3899" spans="1:11" x14ac:dyDescent="0.25">
      <c r="A3899">
        <v>3898</v>
      </c>
      <c r="B3899" s="23">
        <v>1208.6634770000001</v>
      </c>
      <c r="C3899" s="23">
        <v>540.79999999999995</v>
      </c>
      <c r="D3899" s="23">
        <v>2075.3649999999998</v>
      </c>
      <c r="E3899" s="23">
        <v>1208.664</v>
      </c>
      <c r="F3899" s="23">
        <v>-866.70100000000002</v>
      </c>
      <c r="G3899" s="23">
        <v>0</v>
      </c>
      <c r="H3899" s="23">
        <v>0</v>
      </c>
      <c r="I3899" s="23">
        <v>0</v>
      </c>
      <c r="J3899" s="23">
        <v>0</v>
      </c>
      <c r="K3899" s="23">
        <v>0</v>
      </c>
    </row>
    <row r="3900" spans="1:11" x14ac:dyDescent="0.25">
      <c r="A3900">
        <v>3899</v>
      </c>
      <c r="B3900" s="23">
        <v>1010.583343</v>
      </c>
      <c r="C3900" s="23">
        <v>392.88</v>
      </c>
      <c r="D3900" s="23">
        <v>1498.778</v>
      </c>
      <c r="E3900" s="23">
        <v>1010.583</v>
      </c>
      <c r="F3900" s="23">
        <v>-488.19499999999999</v>
      </c>
      <c r="G3900" s="23">
        <v>0</v>
      </c>
      <c r="H3900" s="23">
        <v>0</v>
      </c>
      <c r="I3900" s="23">
        <v>0</v>
      </c>
      <c r="J3900" s="23">
        <v>0</v>
      </c>
      <c r="K3900" s="23">
        <v>0</v>
      </c>
    </row>
    <row r="3901" spans="1:11" x14ac:dyDescent="0.25">
      <c r="A3901">
        <v>3900</v>
      </c>
      <c r="B3901" s="23">
        <v>1237.715598</v>
      </c>
      <c r="C3901" s="23">
        <v>344.57</v>
      </c>
      <c r="D3901" s="23">
        <v>1308.6210000000001</v>
      </c>
      <c r="E3901" s="23">
        <v>1237.7149999999999</v>
      </c>
      <c r="F3901" s="23">
        <v>-70.906000000000006</v>
      </c>
      <c r="G3901" s="23">
        <v>0</v>
      </c>
      <c r="H3901" s="23">
        <v>0</v>
      </c>
      <c r="I3901" s="23">
        <v>0</v>
      </c>
      <c r="J3901" s="23">
        <v>0</v>
      </c>
      <c r="K3901" s="23">
        <v>0</v>
      </c>
    </row>
    <row r="3902" spans="1:11" x14ac:dyDescent="0.25">
      <c r="A3902">
        <v>3901</v>
      </c>
      <c r="B3902" s="23">
        <v>1291.599794</v>
      </c>
      <c r="C3902" s="23">
        <v>675.07</v>
      </c>
      <c r="D3902" s="23">
        <v>2534.41</v>
      </c>
      <c r="E3902" s="23">
        <v>1291.5999999999999</v>
      </c>
      <c r="F3902" s="23">
        <v>-1242.81</v>
      </c>
      <c r="G3902" s="23">
        <v>0</v>
      </c>
      <c r="H3902" s="23">
        <v>0</v>
      </c>
      <c r="I3902" s="23">
        <v>0</v>
      </c>
      <c r="J3902" s="23">
        <v>0</v>
      </c>
      <c r="K3902" s="23">
        <v>0</v>
      </c>
    </row>
    <row r="3903" spans="1:11" x14ac:dyDescent="0.25">
      <c r="A3903">
        <v>3902</v>
      </c>
      <c r="B3903" s="23">
        <v>1072.2006120000001</v>
      </c>
      <c r="C3903" s="23">
        <v>69.209999999999994</v>
      </c>
      <c r="D3903" s="23">
        <v>237.87799999999999</v>
      </c>
      <c r="E3903" s="23">
        <v>237.87799999999999</v>
      </c>
      <c r="F3903" s="23">
        <v>0</v>
      </c>
      <c r="G3903" s="23">
        <v>0</v>
      </c>
      <c r="H3903" s="23">
        <v>0</v>
      </c>
      <c r="I3903" s="23">
        <v>834.32299999999998</v>
      </c>
      <c r="J3903" s="23">
        <v>0</v>
      </c>
      <c r="K3903" s="23">
        <v>0</v>
      </c>
    </row>
    <row r="3904" spans="1:11" x14ac:dyDescent="0.25">
      <c r="A3904">
        <v>3903</v>
      </c>
      <c r="B3904" s="23">
        <v>1315.804838</v>
      </c>
      <c r="C3904" s="23">
        <v>51.04</v>
      </c>
      <c r="D3904" s="23">
        <v>168.99299999999999</v>
      </c>
      <c r="E3904" s="23">
        <v>168.99299999999999</v>
      </c>
      <c r="F3904" s="23">
        <v>0</v>
      </c>
      <c r="G3904" s="23">
        <v>0</v>
      </c>
      <c r="H3904" s="23">
        <v>0</v>
      </c>
      <c r="I3904" s="23">
        <v>1146.8119999999999</v>
      </c>
      <c r="J3904" s="23">
        <v>0</v>
      </c>
      <c r="K3904" s="23">
        <v>0</v>
      </c>
    </row>
    <row r="3905" spans="1:11" x14ac:dyDescent="0.25">
      <c r="A3905">
        <v>3904</v>
      </c>
      <c r="B3905" s="23">
        <v>1295.150517</v>
      </c>
      <c r="C3905" s="23">
        <v>59.61</v>
      </c>
      <c r="D3905" s="23">
        <v>205.79900000000001</v>
      </c>
      <c r="E3905" s="23">
        <v>205.79900000000001</v>
      </c>
      <c r="F3905" s="23">
        <v>0</v>
      </c>
      <c r="G3905" s="23">
        <v>0</v>
      </c>
      <c r="H3905" s="23">
        <v>0</v>
      </c>
      <c r="I3905" s="23">
        <v>1089.3520000000001</v>
      </c>
      <c r="J3905" s="23">
        <v>0</v>
      </c>
      <c r="K3905" s="23">
        <v>0</v>
      </c>
    </row>
    <row r="3906" spans="1:11" x14ac:dyDescent="0.25">
      <c r="A3906">
        <v>3905</v>
      </c>
      <c r="B3906" s="23">
        <v>1370.3068699999999</v>
      </c>
      <c r="C3906" s="23">
        <v>33.32</v>
      </c>
      <c r="D3906" s="23">
        <v>104.968</v>
      </c>
      <c r="E3906" s="23">
        <v>104.968</v>
      </c>
      <c r="F3906" s="23">
        <v>0</v>
      </c>
      <c r="G3906" s="23">
        <v>0</v>
      </c>
      <c r="H3906" s="23">
        <v>0</v>
      </c>
      <c r="I3906" s="23">
        <v>1265.3389999999999</v>
      </c>
      <c r="J3906" s="23">
        <v>0</v>
      </c>
      <c r="K3906" s="23">
        <v>0</v>
      </c>
    </row>
    <row r="3907" spans="1:11" x14ac:dyDescent="0.25">
      <c r="A3907">
        <v>3906</v>
      </c>
      <c r="B3907" s="23">
        <v>1281.582011</v>
      </c>
      <c r="C3907" s="23">
        <v>24.49</v>
      </c>
      <c r="D3907" s="23">
        <v>69.128</v>
      </c>
      <c r="E3907" s="23">
        <v>69.128</v>
      </c>
      <c r="F3907" s="23">
        <v>0</v>
      </c>
      <c r="G3907" s="23">
        <v>0</v>
      </c>
      <c r="H3907" s="23">
        <v>0</v>
      </c>
      <c r="I3907" s="23">
        <v>0</v>
      </c>
      <c r="J3907" s="23">
        <v>0</v>
      </c>
      <c r="K3907" s="23">
        <v>1212.454</v>
      </c>
    </row>
    <row r="3908" spans="1:11" x14ac:dyDescent="0.25">
      <c r="A3908">
        <v>3907</v>
      </c>
      <c r="B3908" s="23">
        <v>1545.3275329999999</v>
      </c>
      <c r="C3908" s="23">
        <v>0</v>
      </c>
      <c r="D3908" s="23">
        <v>0</v>
      </c>
      <c r="E3908" s="23">
        <v>0</v>
      </c>
      <c r="F3908" s="23">
        <v>0</v>
      </c>
      <c r="G3908" s="23">
        <v>0</v>
      </c>
      <c r="H3908" s="23">
        <v>0</v>
      </c>
      <c r="I3908" s="23">
        <v>0</v>
      </c>
      <c r="J3908" s="23">
        <v>0</v>
      </c>
      <c r="K3908" s="23">
        <v>1545.328</v>
      </c>
    </row>
    <row r="3909" spans="1:11" x14ac:dyDescent="0.25">
      <c r="A3909">
        <v>3908</v>
      </c>
      <c r="B3909" s="23">
        <v>1218.021131</v>
      </c>
      <c r="C3909" s="23">
        <v>0</v>
      </c>
      <c r="D3909" s="23">
        <v>0</v>
      </c>
      <c r="E3909" s="23">
        <v>0</v>
      </c>
      <c r="F3909" s="23">
        <v>0</v>
      </c>
      <c r="G3909" s="23">
        <v>0</v>
      </c>
      <c r="H3909" s="23">
        <v>0</v>
      </c>
      <c r="I3909" s="23">
        <v>0</v>
      </c>
      <c r="J3909" s="23">
        <v>0</v>
      </c>
      <c r="K3909" s="23">
        <v>1218.021</v>
      </c>
    </row>
    <row r="3910" spans="1:11" x14ac:dyDescent="0.25">
      <c r="A3910">
        <v>3909</v>
      </c>
      <c r="B3910" s="23">
        <v>1410.7273720000001</v>
      </c>
      <c r="C3910" s="23">
        <v>0</v>
      </c>
      <c r="D3910" s="23">
        <v>0</v>
      </c>
      <c r="E3910" s="23">
        <v>0</v>
      </c>
      <c r="F3910" s="23">
        <v>0</v>
      </c>
      <c r="G3910" s="23">
        <v>0</v>
      </c>
      <c r="H3910" s="23">
        <v>0</v>
      </c>
      <c r="I3910" s="23">
        <v>1410.7270000000001</v>
      </c>
      <c r="J3910" s="23">
        <v>0</v>
      </c>
      <c r="K3910" s="23">
        <v>0</v>
      </c>
    </row>
    <row r="3911" spans="1:11" x14ac:dyDescent="0.25">
      <c r="A3911">
        <v>3910</v>
      </c>
      <c r="B3911" s="23">
        <v>1444.561293</v>
      </c>
      <c r="C3911" s="23">
        <v>0</v>
      </c>
      <c r="D3911" s="23">
        <v>0</v>
      </c>
      <c r="E3911" s="23">
        <v>0</v>
      </c>
      <c r="F3911" s="23">
        <v>0</v>
      </c>
      <c r="G3911" s="23">
        <v>0</v>
      </c>
      <c r="H3911" s="23">
        <v>0</v>
      </c>
      <c r="I3911" s="23">
        <v>1444.5609999999999</v>
      </c>
      <c r="J3911" s="23">
        <v>0</v>
      </c>
      <c r="K3911" s="23">
        <v>0</v>
      </c>
    </row>
    <row r="3912" spans="1:11" x14ac:dyDescent="0.25">
      <c r="A3912">
        <v>3911</v>
      </c>
      <c r="B3912" s="23">
        <v>1081.9499290000001</v>
      </c>
      <c r="C3912" s="23">
        <v>0</v>
      </c>
      <c r="D3912" s="23">
        <v>0</v>
      </c>
      <c r="E3912" s="23">
        <v>0</v>
      </c>
      <c r="F3912" s="23">
        <v>0</v>
      </c>
      <c r="G3912" s="23">
        <v>0</v>
      </c>
      <c r="H3912" s="23">
        <v>0</v>
      </c>
      <c r="I3912" s="23">
        <v>1081.95</v>
      </c>
      <c r="J3912" s="23">
        <v>0</v>
      </c>
      <c r="K3912" s="23">
        <v>0</v>
      </c>
    </row>
    <row r="3913" spans="1:11" x14ac:dyDescent="0.25">
      <c r="A3913">
        <v>3912</v>
      </c>
      <c r="B3913" s="23">
        <v>1302.6059310000001</v>
      </c>
      <c r="C3913" s="23">
        <v>0</v>
      </c>
      <c r="D3913" s="23">
        <v>0</v>
      </c>
      <c r="E3913" s="23">
        <v>0</v>
      </c>
      <c r="F3913" s="23">
        <v>0</v>
      </c>
      <c r="G3913" s="23">
        <v>0</v>
      </c>
      <c r="H3913" s="23">
        <v>0</v>
      </c>
      <c r="I3913" s="23">
        <v>1302.606</v>
      </c>
      <c r="J3913" s="23">
        <v>0</v>
      </c>
      <c r="K3913" s="23">
        <v>0</v>
      </c>
    </row>
    <row r="3914" spans="1:11" x14ac:dyDescent="0.25">
      <c r="A3914">
        <v>3913</v>
      </c>
      <c r="B3914" s="23">
        <v>1140.05601</v>
      </c>
      <c r="C3914" s="23">
        <v>0</v>
      </c>
      <c r="D3914" s="23">
        <v>0</v>
      </c>
      <c r="E3914" s="23">
        <v>0</v>
      </c>
      <c r="F3914" s="23">
        <v>0</v>
      </c>
      <c r="G3914" s="23">
        <v>0</v>
      </c>
      <c r="H3914" s="23">
        <v>0</v>
      </c>
      <c r="I3914" s="23">
        <v>1140.056</v>
      </c>
      <c r="J3914" s="23">
        <v>0</v>
      </c>
      <c r="K3914" s="23">
        <v>0</v>
      </c>
    </row>
    <row r="3915" spans="1:11" x14ac:dyDescent="0.25">
      <c r="A3915">
        <v>3914</v>
      </c>
      <c r="B3915" s="23">
        <v>1240.0867310000001</v>
      </c>
      <c r="C3915" s="23">
        <v>0</v>
      </c>
      <c r="D3915" s="23">
        <v>0</v>
      </c>
      <c r="E3915" s="23">
        <v>0</v>
      </c>
      <c r="F3915" s="23">
        <v>0</v>
      </c>
      <c r="G3915" s="23">
        <v>0</v>
      </c>
      <c r="H3915" s="23">
        <v>0</v>
      </c>
      <c r="I3915" s="23">
        <v>1240.087</v>
      </c>
      <c r="J3915" s="23">
        <v>0</v>
      </c>
      <c r="K3915" s="23">
        <v>0</v>
      </c>
    </row>
    <row r="3916" spans="1:11" x14ac:dyDescent="0.25">
      <c r="A3916">
        <v>3915</v>
      </c>
      <c r="B3916" s="23">
        <v>1393.0748920000001</v>
      </c>
      <c r="C3916" s="23">
        <v>0</v>
      </c>
      <c r="D3916" s="23">
        <v>0</v>
      </c>
      <c r="E3916" s="23">
        <v>0</v>
      </c>
      <c r="F3916" s="23">
        <v>0</v>
      </c>
      <c r="G3916" s="23">
        <v>0</v>
      </c>
      <c r="H3916" s="23">
        <v>0</v>
      </c>
      <c r="I3916" s="23">
        <v>1393.075</v>
      </c>
      <c r="J3916" s="23">
        <v>0</v>
      </c>
      <c r="K3916" s="23">
        <v>0</v>
      </c>
    </row>
    <row r="3917" spans="1:11" x14ac:dyDescent="0.25">
      <c r="A3917">
        <v>3916</v>
      </c>
      <c r="B3917" s="23">
        <v>1256.2681709999999</v>
      </c>
      <c r="C3917" s="23">
        <v>0</v>
      </c>
      <c r="D3917" s="23">
        <v>0</v>
      </c>
      <c r="E3917" s="23">
        <v>0</v>
      </c>
      <c r="F3917" s="23">
        <v>0</v>
      </c>
      <c r="G3917" s="23">
        <v>0</v>
      </c>
      <c r="H3917" s="23">
        <v>0</v>
      </c>
      <c r="I3917" s="23">
        <v>1256.268</v>
      </c>
      <c r="J3917" s="23">
        <v>0</v>
      </c>
      <c r="K3917" s="23">
        <v>0</v>
      </c>
    </row>
    <row r="3918" spans="1:11" x14ac:dyDescent="0.25">
      <c r="A3918">
        <v>3917</v>
      </c>
      <c r="B3918" s="23">
        <v>1270.2430509999999</v>
      </c>
      <c r="C3918" s="23">
        <v>0</v>
      </c>
      <c r="D3918" s="23">
        <v>0</v>
      </c>
      <c r="E3918" s="23">
        <v>0</v>
      </c>
      <c r="F3918" s="23">
        <v>0</v>
      </c>
      <c r="G3918" s="23">
        <v>0</v>
      </c>
      <c r="H3918" s="23">
        <v>0</v>
      </c>
      <c r="I3918" s="23">
        <v>1270.2429999999999</v>
      </c>
      <c r="J3918" s="23">
        <v>0</v>
      </c>
      <c r="K3918" s="23">
        <v>0</v>
      </c>
    </row>
    <row r="3919" spans="1:11" x14ac:dyDescent="0.25">
      <c r="A3919">
        <v>3918</v>
      </c>
      <c r="B3919" s="23">
        <v>1252.590571</v>
      </c>
      <c r="C3919" s="23">
        <v>0</v>
      </c>
      <c r="D3919" s="23">
        <v>0</v>
      </c>
      <c r="E3919" s="23">
        <v>0</v>
      </c>
      <c r="F3919" s="23">
        <v>0</v>
      </c>
      <c r="G3919" s="23">
        <v>0</v>
      </c>
      <c r="H3919" s="23">
        <v>0</v>
      </c>
      <c r="I3919" s="23">
        <v>859.97199999999998</v>
      </c>
      <c r="J3919" s="23">
        <v>0</v>
      </c>
      <c r="K3919" s="23">
        <v>392.61900000000003</v>
      </c>
    </row>
    <row r="3920" spans="1:11" x14ac:dyDescent="0.25">
      <c r="A3920">
        <v>3919</v>
      </c>
      <c r="B3920" s="23">
        <v>624.67622210000002</v>
      </c>
      <c r="C3920" s="23">
        <v>57.97</v>
      </c>
      <c r="D3920" s="23">
        <v>203.78899999999999</v>
      </c>
      <c r="E3920" s="23">
        <v>203.78899999999999</v>
      </c>
      <c r="F3920" s="23">
        <v>0</v>
      </c>
      <c r="G3920" s="23">
        <v>0</v>
      </c>
      <c r="H3920" s="23">
        <v>0</v>
      </c>
      <c r="I3920" s="23">
        <v>0</v>
      </c>
      <c r="J3920" s="23">
        <v>0</v>
      </c>
      <c r="K3920" s="23">
        <v>420.887</v>
      </c>
    </row>
    <row r="3921" spans="1:11" x14ac:dyDescent="0.25">
      <c r="A3921">
        <v>3920</v>
      </c>
      <c r="B3921" s="23">
        <v>1045.7035040000001</v>
      </c>
      <c r="C3921" s="23">
        <v>162.13999999999999</v>
      </c>
      <c r="D3921" s="23">
        <v>622.779</v>
      </c>
      <c r="E3921" s="23">
        <v>622.779</v>
      </c>
      <c r="F3921" s="23">
        <v>0</v>
      </c>
      <c r="G3921" s="23">
        <v>0</v>
      </c>
      <c r="H3921" s="23">
        <v>0</v>
      </c>
      <c r="I3921" s="23">
        <v>0</v>
      </c>
      <c r="J3921" s="23">
        <v>0</v>
      </c>
      <c r="K3921" s="23">
        <v>422.92500000000001</v>
      </c>
    </row>
    <row r="3922" spans="1:11" x14ac:dyDescent="0.25">
      <c r="A3922">
        <v>3921</v>
      </c>
      <c r="B3922" s="23">
        <v>811.50933650000002</v>
      </c>
      <c r="C3922" s="23">
        <v>356.2</v>
      </c>
      <c r="D3922" s="23">
        <v>1378.096</v>
      </c>
      <c r="E3922" s="23">
        <v>811.51</v>
      </c>
      <c r="F3922" s="23">
        <v>-566.58600000000001</v>
      </c>
      <c r="G3922" s="23">
        <v>0</v>
      </c>
      <c r="H3922" s="23">
        <v>0</v>
      </c>
      <c r="I3922" s="23">
        <v>0</v>
      </c>
      <c r="J3922" s="23">
        <v>0</v>
      </c>
      <c r="K3922" s="23">
        <v>0</v>
      </c>
    </row>
    <row r="3923" spans="1:11" x14ac:dyDescent="0.25">
      <c r="A3923">
        <v>3922</v>
      </c>
      <c r="B3923" s="23">
        <v>397.78944630000001</v>
      </c>
      <c r="C3923" s="23">
        <v>464.72</v>
      </c>
      <c r="D3923" s="23">
        <v>1777.4860000000001</v>
      </c>
      <c r="E3923" s="23">
        <v>397.78899999999999</v>
      </c>
      <c r="F3923" s="23">
        <v>-1379.6969999999999</v>
      </c>
      <c r="G3923" s="23">
        <v>0</v>
      </c>
      <c r="H3923" s="23">
        <v>0</v>
      </c>
      <c r="I3923" s="23">
        <v>0</v>
      </c>
      <c r="J3923" s="23">
        <v>0</v>
      </c>
      <c r="K3923" s="23">
        <v>0</v>
      </c>
    </row>
    <row r="3924" spans="1:11" x14ac:dyDescent="0.25">
      <c r="A3924">
        <v>3923</v>
      </c>
      <c r="B3924" s="23">
        <v>357.94816630000003</v>
      </c>
      <c r="C3924" s="23">
        <v>490.4</v>
      </c>
      <c r="D3924" s="23">
        <v>1867.0350000000001</v>
      </c>
      <c r="E3924" s="23">
        <v>357.94799999999998</v>
      </c>
      <c r="F3924" s="23">
        <v>-1509.087</v>
      </c>
      <c r="G3924" s="23">
        <v>0</v>
      </c>
      <c r="H3924" s="23">
        <v>0</v>
      </c>
      <c r="I3924" s="23">
        <v>0</v>
      </c>
      <c r="J3924" s="23">
        <v>0</v>
      </c>
      <c r="K3924" s="23">
        <v>0</v>
      </c>
    </row>
    <row r="3925" spans="1:11" x14ac:dyDescent="0.25">
      <c r="A3925">
        <v>3924</v>
      </c>
      <c r="B3925" s="23">
        <v>364.50532720000001</v>
      </c>
      <c r="C3925" s="23">
        <v>610.54</v>
      </c>
      <c r="D3925" s="23">
        <v>2311.7710000000002</v>
      </c>
      <c r="E3925" s="23">
        <v>364.50599999999997</v>
      </c>
      <c r="F3925" s="23">
        <v>-1684.559</v>
      </c>
      <c r="G3925" s="23">
        <v>0</v>
      </c>
      <c r="H3925" s="23">
        <v>262.70600000000002</v>
      </c>
      <c r="I3925" s="23">
        <v>0</v>
      </c>
      <c r="J3925" s="23">
        <v>0</v>
      </c>
      <c r="K3925" s="23">
        <v>0</v>
      </c>
    </row>
    <row r="3926" spans="1:11" x14ac:dyDescent="0.25">
      <c r="A3926">
        <v>3925</v>
      </c>
      <c r="B3926" s="23">
        <v>782.60707779999996</v>
      </c>
      <c r="C3926" s="23">
        <v>631.74</v>
      </c>
      <c r="D3926" s="23">
        <v>2395.8330000000001</v>
      </c>
      <c r="E3926" s="23">
        <v>782.60699999999997</v>
      </c>
      <c r="F3926" s="23">
        <v>-1613.2260000000001</v>
      </c>
      <c r="G3926" s="23">
        <v>0</v>
      </c>
      <c r="H3926" s="23">
        <v>0</v>
      </c>
      <c r="I3926" s="23">
        <v>0</v>
      </c>
      <c r="J3926" s="23">
        <v>0</v>
      </c>
      <c r="K3926" s="23">
        <v>0</v>
      </c>
    </row>
    <row r="3927" spans="1:11" x14ac:dyDescent="0.25">
      <c r="A3927">
        <v>3926</v>
      </c>
      <c r="B3927" s="23">
        <v>1248.8063199999999</v>
      </c>
      <c r="C3927" s="23">
        <v>245.32</v>
      </c>
      <c r="D3927" s="23">
        <v>933.63900000000001</v>
      </c>
      <c r="E3927" s="23">
        <v>933.63900000000001</v>
      </c>
      <c r="F3927" s="23">
        <v>0</v>
      </c>
      <c r="G3927" s="23">
        <v>0</v>
      </c>
      <c r="H3927" s="23">
        <v>0</v>
      </c>
      <c r="I3927" s="23">
        <v>315.16800000000001</v>
      </c>
      <c r="J3927" s="23">
        <v>0</v>
      </c>
      <c r="K3927" s="23">
        <v>0</v>
      </c>
    </row>
    <row r="3928" spans="1:11" x14ac:dyDescent="0.25">
      <c r="A3928">
        <v>3927</v>
      </c>
      <c r="B3928" s="23">
        <v>1519.8932520000001</v>
      </c>
      <c r="C3928" s="23">
        <v>182.17</v>
      </c>
      <c r="D3928" s="23">
        <v>691.11699999999996</v>
      </c>
      <c r="E3928" s="23">
        <v>691.11699999999996</v>
      </c>
      <c r="F3928" s="23">
        <v>0</v>
      </c>
      <c r="G3928" s="23">
        <v>0</v>
      </c>
      <c r="H3928" s="23">
        <v>0</v>
      </c>
      <c r="I3928" s="23">
        <v>828.77700000000004</v>
      </c>
      <c r="J3928" s="23">
        <v>0</v>
      </c>
      <c r="K3928" s="23">
        <v>0</v>
      </c>
    </row>
    <row r="3929" spans="1:11" x14ac:dyDescent="0.25">
      <c r="A3929">
        <v>3928</v>
      </c>
      <c r="B3929" s="23">
        <v>1361.4245470000001</v>
      </c>
      <c r="C3929" s="23">
        <v>82.28</v>
      </c>
      <c r="D3929" s="23">
        <v>297.68700000000001</v>
      </c>
      <c r="E3929" s="23">
        <v>297.68700000000001</v>
      </c>
      <c r="F3929" s="23">
        <v>0</v>
      </c>
      <c r="G3929" s="23">
        <v>0</v>
      </c>
      <c r="H3929" s="23">
        <v>0</v>
      </c>
      <c r="I3929" s="23">
        <v>1063.7370000000001</v>
      </c>
      <c r="J3929" s="23">
        <v>0</v>
      </c>
      <c r="K3929" s="23">
        <v>0</v>
      </c>
    </row>
    <row r="3930" spans="1:11" x14ac:dyDescent="0.25">
      <c r="A3930">
        <v>3929</v>
      </c>
      <c r="B3930" s="23">
        <v>1399.720315</v>
      </c>
      <c r="C3930" s="23">
        <v>158.94999999999999</v>
      </c>
      <c r="D3930" s="23">
        <v>613.23800000000006</v>
      </c>
      <c r="E3930" s="23">
        <v>613.23800000000006</v>
      </c>
      <c r="F3930" s="23">
        <v>0</v>
      </c>
      <c r="G3930" s="23">
        <v>0</v>
      </c>
      <c r="H3930" s="23">
        <v>0</v>
      </c>
      <c r="I3930" s="23">
        <v>786.48299999999995</v>
      </c>
      <c r="J3930" s="23">
        <v>0</v>
      </c>
      <c r="K3930" s="23">
        <v>0</v>
      </c>
    </row>
    <row r="3931" spans="1:11" x14ac:dyDescent="0.25">
      <c r="A3931">
        <v>3930</v>
      </c>
      <c r="B3931" s="23">
        <v>1546.8022510000001</v>
      </c>
      <c r="C3931" s="23">
        <v>78.39</v>
      </c>
      <c r="D3931" s="23">
        <v>257.358</v>
      </c>
      <c r="E3931" s="23">
        <v>257.358</v>
      </c>
      <c r="F3931" s="23">
        <v>0</v>
      </c>
      <c r="G3931" s="23">
        <v>0</v>
      </c>
      <c r="H3931" s="23">
        <v>0</v>
      </c>
      <c r="I3931" s="23">
        <v>0</v>
      </c>
      <c r="J3931" s="23">
        <v>0</v>
      </c>
      <c r="K3931" s="23">
        <v>1289.444</v>
      </c>
    </row>
    <row r="3932" spans="1:11" x14ac:dyDescent="0.25">
      <c r="A3932">
        <v>3931</v>
      </c>
      <c r="B3932" s="23">
        <v>1616.6729740000001</v>
      </c>
      <c r="C3932" s="23">
        <v>0</v>
      </c>
      <c r="D3932" s="23">
        <v>0</v>
      </c>
      <c r="E3932" s="23">
        <v>0</v>
      </c>
      <c r="F3932" s="23">
        <v>0</v>
      </c>
      <c r="G3932" s="23">
        <v>0</v>
      </c>
      <c r="H3932" s="23">
        <v>0</v>
      </c>
      <c r="I3932" s="23">
        <v>0</v>
      </c>
      <c r="J3932" s="23">
        <v>0</v>
      </c>
      <c r="K3932" s="23">
        <v>1616.673</v>
      </c>
    </row>
    <row r="3933" spans="1:11" x14ac:dyDescent="0.25">
      <c r="A3933">
        <v>3932</v>
      </c>
      <c r="B3933" s="23">
        <v>1468.833453</v>
      </c>
      <c r="C3933" s="23">
        <v>0</v>
      </c>
      <c r="D3933" s="23">
        <v>0</v>
      </c>
      <c r="E3933" s="23">
        <v>0</v>
      </c>
      <c r="F3933" s="23">
        <v>0</v>
      </c>
      <c r="G3933" s="23">
        <v>0</v>
      </c>
      <c r="H3933" s="23">
        <v>0</v>
      </c>
      <c r="I3933" s="23">
        <v>0</v>
      </c>
      <c r="J3933" s="23">
        <v>0</v>
      </c>
      <c r="K3933" s="23">
        <v>1468.8330000000001</v>
      </c>
    </row>
    <row r="3934" spans="1:11" x14ac:dyDescent="0.25">
      <c r="A3934">
        <v>3933</v>
      </c>
      <c r="B3934" s="23">
        <v>1634.325454</v>
      </c>
      <c r="C3934" s="23">
        <v>0</v>
      </c>
      <c r="D3934" s="23">
        <v>0</v>
      </c>
      <c r="E3934" s="23">
        <v>0</v>
      </c>
      <c r="F3934" s="23">
        <v>0</v>
      </c>
      <c r="G3934" s="23">
        <v>0</v>
      </c>
      <c r="H3934" s="23">
        <v>0</v>
      </c>
      <c r="I3934" s="23">
        <v>1634.325</v>
      </c>
      <c r="J3934" s="23">
        <v>0</v>
      </c>
      <c r="K3934" s="23">
        <v>0</v>
      </c>
    </row>
    <row r="3935" spans="1:11" x14ac:dyDescent="0.25">
      <c r="A3935">
        <v>3934</v>
      </c>
      <c r="B3935" s="23">
        <v>1700.5222550000001</v>
      </c>
      <c r="C3935" s="23">
        <v>0</v>
      </c>
      <c r="D3935" s="23">
        <v>0</v>
      </c>
      <c r="E3935" s="23">
        <v>0</v>
      </c>
      <c r="F3935" s="23">
        <v>0</v>
      </c>
      <c r="G3935" s="23">
        <v>0</v>
      </c>
      <c r="H3935" s="23">
        <v>0</v>
      </c>
      <c r="I3935" s="23">
        <v>1700.5219999999999</v>
      </c>
      <c r="J3935" s="23">
        <v>0</v>
      </c>
      <c r="K3935" s="23">
        <v>0</v>
      </c>
    </row>
    <row r="3936" spans="1:11" x14ac:dyDescent="0.25">
      <c r="A3936">
        <v>3935</v>
      </c>
      <c r="B3936" s="23">
        <v>1246.7064109999999</v>
      </c>
      <c r="C3936" s="23">
        <v>0</v>
      </c>
      <c r="D3936" s="23">
        <v>0</v>
      </c>
      <c r="E3936" s="23">
        <v>0</v>
      </c>
      <c r="F3936" s="23">
        <v>0</v>
      </c>
      <c r="G3936" s="23">
        <v>0</v>
      </c>
      <c r="H3936" s="23">
        <v>0</v>
      </c>
      <c r="I3936" s="23">
        <v>1246.7059999999999</v>
      </c>
      <c r="J3936" s="23">
        <v>0</v>
      </c>
      <c r="K3936" s="23">
        <v>0</v>
      </c>
    </row>
    <row r="3937" spans="1:11" x14ac:dyDescent="0.25">
      <c r="A3937">
        <v>3936</v>
      </c>
      <c r="B3937" s="23">
        <v>1177.56753</v>
      </c>
      <c r="C3937" s="23">
        <v>0</v>
      </c>
      <c r="D3937" s="23">
        <v>0</v>
      </c>
      <c r="E3937" s="23">
        <v>0</v>
      </c>
      <c r="F3937" s="23">
        <v>0</v>
      </c>
      <c r="G3937" s="23">
        <v>0</v>
      </c>
      <c r="H3937" s="23">
        <v>0</v>
      </c>
      <c r="I3937" s="23">
        <v>1177.568</v>
      </c>
      <c r="J3937" s="23">
        <v>0</v>
      </c>
      <c r="K3937" s="23">
        <v>0</v>
      </c>
    </row>
    <row r="3938" spans="1:11" x14ac:dyDescent="0.25">
      <c r="A3938">
        <v>3937</v>
      </c>
      <c r="B3938" s="23">
        <v>1148.1467299999999</v>
      </c>
      <c r="C3938" s="23">
        <v>0</v>
      </c>
      <c r="D3938" s="23">
        <v>0</v>
      </c>
      <c r="E3938" s="23">
        <v>0</v>
      </c>
      <c r="F3938" s="23">
        <v>0</v>
      </c>
      <c r="G3938" s="23">
        <v>0</v>
      </c>
      <c r="H3938" s="23">
        <v>0</v>
      </c>
      <c r="I3938" s="23">
        <v>1148.1469999999999</v>
      </c>
      <c r="J3938" s="23">
        <v>0</v>
      </c>
      <c r="K3938" s="23">
        <v>0</v>
      </c>
    </row>
    <row r="3939" spans="1:11" x14ac:dyDescent="0.25">
      <c r="A3939">
        <v>3938</v>
      </c>
      <c r="B3939" s="23">
        <v>1455.5940929999999</v>
      </c>
      <c r="C3939" s="23">
        <v>0</v>
      </c>
      <c r="D3939" s="23">
        <v>0</v>
      </c>
      <c r="E3939" s="23">
        <v>0</v>
      </c>
      <c r="F3939" s="23">
        <v>0</v>
      </c>
      <c r="G3939" s="23">
        <v>0</v>
      </c>
      <c r="H3939" s="23">
        <v>0</v>
      </c>
      <c r="I3939" s="23">
        <v>1455.5940000000001</v>
      </c>
      <c r="J3939" s="23">
        <v>0</v>
      </c>
      <c r="K3939" s="23">
        <v>0</v>
      </c>
    </row>
    <row r="3940" spans="1:11" x14ac:dyDescent="0.25">
      <c r="A3940">
        <v>3939</v>
      </c>
      <c r="B3940" s="23">
        <v>1526.204013</v>
      </c>
      <c r="C3940" s="23">
        <v>0</v>
      </c>
      <c r="D3940" s="23">
        <v>0</v>
      </c>
      <c r="E3940" s="23">
        <v>0</v>
      </c>
      <c r="F3940" s="23">
        <v>0</v>
      </c>
      <c r="G3940" s="23">
        <v>0</v>
      </c>
      <c r="H3940" s="23">
        <v>0</v>
      </c>
      <c r="I3940" s="23">
        <v>1526.204</v>
      </c>
      <c r="J3940" s="23">
        <v>0</v>
      </c>
      <c r="K3940" s="23">
        <v>0</v>
      </c>
    </row>
    <row r="3941" spans="1:11" x14ac:dyDescent="0.25">
      <c r="A3941">
        <v>3940</v>
      </c>
      <c r="B3941" s="23">
        <v>902.48304789999997</v>
      </c>
      <c r="C3941" s="23">
        <v>0</v>
      </c>
      <c r="D3941" s="23">
        <v>0</v>
      </c>
      <c r="E3941" s="23">
        <v>0</v>
      </c>
      <c r="F3941" s="23">
        <v>0</v>
      </c>
      <c r="G3941" s="23">
        <v>0</v>
      </c>
      <c r="H3941" s="23">
        <v>0</v>
      </c>
      <c r="I3941" s="23">
        <v>902.48299999999995</v>
      </c>
      <c r="J3941" s="23">
        <v>0</v>
      </c>
      <c r="K3941" s="23">
        <v>0</v>
      </c>
    </row>
    <row r="3942" spans="1:11" x14ac:dyDescent="0.25">
      <c r="A3942">
        <v>3941</v>
      </c>
      <c r="B3942" s="23">
        <v>1237.1446510000001</v>
      </c>
      <c r="C3942" s="23">
        <v>0</v>
      </c>
      <c r="D3942" s="23">
        <v>0</v>
      </c>
      <c r="E3942" s="23">
        <v>0</v>
      </c>
      <c r="F3942" s="23">
        <v>0</v>
      </c>
      <c r="G3942" s="23">
        <v>0</v>
      </c>
      <c r="H3942" s="23">
        <v>0</v>
      </c>
      <c r="I3942" s="23">
        <v>1237.145</v>
      </c>
      <c r="J3942" s="23">
        <v>0</v>
      </c>
      <c r="K3942" s="23">
        <v>0</v>
      </c>
    </row>
    <row r="3943" spans="1:11" x14ac:dyDescent="0.25">
      <c r="A3943">
        <v>3942</v>
      </c>
      <c r="B3943" s="23">
        <v>1238.615691</v>
      </c>
      <c r="C3943" s="23">
        <v>0</v>
      </c>
      <c r="D3943" s="23">
        <v>0</v>
      </c>
      <c r="E3943" s="23">
        <v>0</v>
      </c>
      <c r="F3943" s="23">
        <v>0</v>
      </c>
      <c r="G3943" s="23">
        <v>0</v>
      </c>
      <c r="H3943" s="23">
        <v>0</v>
      </c>
      <c r="I3943" s="23">
        <v>1238.616</v>
      </c>
      <c r="J3943" s="23">
        <v>0</v>
      </c>
      <c r="K3943" s="23">
        <v>0</v>
      </c>
    </row>
    <row r="3944" spans="1:11" x14ac:dyDescent="0.25">
      <c r="A3944">
        <v>3943</v>
      </c>
      <c r="B3944" s="23">
        <v>993.83187450000003</v>
      </c>
      <c r="C3944" s="23">
        <v>64.22</v>
      </c>
      <c r="D3944" s="23">
        <v>229.19399999999999</v>
      </c>
      <c r="E3944" s="23">
        <v>229.19399999999999</v>
      </c>
      <c r="F3944" s="23">
        <v>0</v>
      </c>
      <c r="G3944" s="23">
        <v>0</v>
      </c>
      <c r="H3944" s="23">
        <v>0</v>
      </c>
      <c r="I3944" s="23">
        <v>764.63699999999994</v>
      </c>
      <c r="J3944" s="23">
        <v>0</v>
      </c>
      <c r="K3944" s="23">
        <v>0</v>
      </c>
    </row>
    <row r="3945" spans="1:11" x14ac:dyDescent="0.25">
      <c r="A3945">
        <v>3944</v>
      </c>
      <c r="B3945" s="23">
        <v>1094.52916</v>
      </c>
      <c r="C3945" s="23">
        <v>179.86</v>
      </c>
      <c r="D3945" s="23">
        <v>702.56899999999996</v>
      </c>
      <c r="E3945" s="23">
        <v>702.56899999999996</v>
      </c>
      <c r="F3945" s="23">
        <v>0</v>
      </c>
      <c r="G3945" s="23">
        <v>0</v>
      </c>
      <c r="H3945" s="23">
        <v>0</v>
      </c>
      <c r="I3945" s="23">
        <v>391.96</v>
      </c>
      <c r="J3945" s="23">
        <v>0</v>
      </c>
      <c r="K3945" s="23">
        <v>0</v>
      </c>
    </row>
    <row r="3946" spans="1:11" x14ac:dyDescent="0.25">
      <c r="A3946">
        <v>3945</v>
      </c>
      <c r="B3946" s="23">
        <v>975.56983209999999</v>
      </c>
      <c r="C3946" s="23">
        <v>296.83999999999997</v>
      </c>
      <c r="D3946" s="23">
        <v>1163.748</v>
      </c>
      <c r="E3946" s="23">
        <v>975.57</v>
      </c>
      <c r="F3946" s="23">
        <v>-188.178</v>
      </c>
      <c r="G3946" s="23">
        <v>0</v>
      </c>
      <c r="H3946" s="23">
        <v>0</v>
      </c>
      <c r="I3946" s="23">
        <v>0</v>
      </c>
      <c r="J3946" s="23">
        <v>0</v>
      </c>
      <c r="K3946" s="23">
        <v>0</v>
      </c>
    </row>
    <row r="3947" spans="1:11" x14ac:dyDescent="0.25">
      <c r="A3947">
        <v>3946</v>
      </c>
      <c r="B3947" s="23">
        <v>1525.9327900000001</v>
      </c>
      <c r="C3947" s="23">
        <v>449.35</v>
      </c>
      <c r="D3947" s="23">
        <v>1744.828</v>
      </c>
      <c r="E3947" s="23">
        <v>1525.932</v>
      </c>
      <c r="F3947" s="23">
        <v>-218.89599999999999</v>
      </c>
      <c r="G3947" s="23">
        <v>0</v>
      </c>
      <c r="H3947" s="23">
        <v>0</v>
      </c>
      <c r="I3947" s="23">
        <v>0</v>
      </c>
      <c r="J3947" s="23">
        <v>0</v>
      </c>
      <c r="K3947" s="23">
        <v>0</v>
      </c>
    </row>
    <row r="3948" spans="1:11" x14ac:dyDescent="0.25">
      <c r="A3948">
        <v>3947</v>
      </c>
      <c r="B3948" s="23">
        <v>1595.193951</v>
      </c>
      <c r="C3948" s="23">
        <v>578.30999999999995</v>
      </c>
      <c r="D3948" s="23">
        <v>2219.5360000000001</v>
      </c>
      <c r="E3948" s="23">
        <v>1595.194</v>
      </c>
      <c r="F3948" s="23">
        <v>-624.34199999999998</v>
      </c>
      <c r="G3948" s="23">
        <v>0</v>
      </c>
      <c r="H3948" s="23">
        <v>0</v>
      </c>
      <c r="I3948" s="23">
        <v>0</v>
      </c>
      <c r="J3948" s="23">
        <v>0</v>
      </c>
      <c r="K3948" s="23">
        <v>0</v>
      </c>
    </row>
    <row r="3949" spans="1:11" x14ac:dyDescent="0.25">
      <c r="A3949">
        <v>3948</v>
      </c>
      <c r="B3949" s="23">
        <v>1689.2071989999999</v>
      </c>
      <c r="C3949" s="23">
        <v>533.38</v>
      </c>
      <c r="D3949" s="23">
        <v>2040.1289999999999</v>
      </c>
      <c r="E3949" s="23">
        <v>1689.2070000000001</v>
      </c>
      <c r="F3949" s="23">
        <v>-350.92200000000003</v>
      </c>
      <c r="G3949" s="23">
        <v>0</v>
      </c>
      <c r="H3949" s="23">
        <v>0</v>
      </c>
      <c r="I3949" s="23">
        <v>0</v>
      </c>
      <c r="J3949" s="23">
        <v>0</v>
      </c>
      <c r="K3949" s="23">
        <v>0</v>
      </c>
    </row>
    <row r="3950" spans="1:11" x14ac:dyDescent="0.25">
      <c r="A3950">
        <v>3949</v>
      </c>
      <c r="B3950" s="23">
        <v>1412.9376099999999</v>
      </c>
      <c r="C3950" s="23">
        <v>512.79</v>
      </c>
      <c r="D3950" s="23">
        <v>1962.0640000000001</v>
      </c>
      <c r="E3950" s="23">
        <v>1412.9369999999999</v>
      </c>
      <c r="F3950" s="23">
        <v>-549.12699999999995</v>
      </c>
      <c r="G3950" s="23">
        <v>0</v>
      </c>
      <c r="H3950" s="23">
        <v>0</v>
      </c>
      <c r="I3950" s="23">
        <v>0</v>
      </c>
      <c r="J3950" s="23">
        <v>0</v>
      </c>
      <c r="K3950" s="23">
        <v>0</v>
      </c>
    </row>
    <row r="3951" spans="1:11" x14ac:dyDescent="0.25">
      <c r="A3951">
        <v>3950</v>
      </c>
      <c r="B3951" s="23">
        <v>1322.0172239999999</v>
      </c>
      <c r="C3951" s="23">
        <v>588.91</v>
      </c>
      <c r="D3951" s="23">
        <v>2258.098</v>
      </c>
      <c r="E3951" s="23">
        <v>1322.0170000000001</v>
      </c>
      <c r="F3951" s="23">
        <v>-936.08100000000002</v>
      </c>
      <c r="G3951" s="23">
        <v>0</v>
      </c>
      <c r="H3951" s="23">
        <v>0</v>
      </c>
      <c r="I3951" s="23">
        <v>0</v>
      </c>
      <c r="J3951" s="23">
        <v>0</v>
      </c>
      <c r="K3951" s="23">
        <v>0</v>
      </c>
    </row>
    <row r="3952" spans="1:11" x14ac:dyDescent="0.25">
      <c r="A3952">
        <v>3951</v>
      </c>
      <c r="B3952" s="23">
        <v>1567.5485120000001</v>
      </c>
      <c r="C3952" s="23">
        <v>560.65</v>
      </c>
      <c r="D3952" s="23">
        <v>2175.9270000000001</v>
      </c>
      <c r="E3952" s="23">
        <v>1567.549</v>
      </c>
      <c r="F3952" s="23">
        <v>-608.37800000000004</v>
      </c>
      <c r="G3952" s="23">
        <v>0</v>
      </c>
      <c r="H3952" s="23">
        <v>0</v>
      </c>
      <c r="I3952" s="23">
        <v>0</v>
      </c>
      <c r="J3952" s="23">
        <v>0</v>
      </c>
      <c r="K3952" s="23">
        <v>0</v>
      </c>
    </row>
    <row r="3953" spans="1:11" x14ac:dyDescent="0.25">
      <c r="A3953">
        <v>3952</v>
      </c>
      <c r="B3953" s="23">
        <v>1329.22532</v>
      </c>
      <c r="C3953" s="23">
        <v>400.9</v>
      </c>
      <c r="D3953" s="23">
        <v>1580.6859999999999</v>
      </c>
      <c r="E3953" s="23">
        <v>1329.2249999999999</v>
      </c>
      <c r="F3953" s="23">
        <v>-251.46100000000001</v>
      </c>
      <c r="G3953" s="23">
        <v>0</v>
      </c>
      <c r="H3953" s="23">
        <v>0</v>
      </c>
      <c r="I3953" s="23">
        <v>0</v>
      </c>
      <c r="J3953" s="23">
        <v>0</v>
      </c>
      <c r="K3953" s="23">
        <v>0</v>
      </c>
    </row>
    <row r="3954" spans="1:11" x14ac:dyDescent="0.25">
      <c r="A3954">
        <v>3953</v>
      </c>
      <c r="B3954" s="23">
        <v>1391.3491779999999</v>
      </c>
      <c r="C3954" s="23">
        <v>144.34</v>
      </c>
      <c r="D3954" s="23">
        <v>555.23699999999997</v>
      </c>
      <c r="E3954" s="23">
        <v>555.23699999999997</v>
      </c>
      <c r="F3954" s="23">
        <v>0</v>
      </c>
      <c r="G3954" s="23">
        <v>0</v>
      </c>
      <c r="H3954" s="23">
        <v>0</v>
      </c>
      <c r="I3954" s="23">
        <v>836.11300000000006</v>
      </c>
      <c r="J3954" s="23">
        <v>0</v>
      </c>
      <c r="K3954" s="23">
        <v>0</v>
      </c>
    </row>
    <row r="3955" spans="1:11" x14ac:dyDescent="0.25">
      <c r="A3955">
        <v>3954</v>
      </c>
      <c r="B3955" s="23">
        <v>1660.158756</v>
      </c>
      <c r="C3955" s="23">
        <v>51.65</v>
      </c>
      <c r="D3955" s="23">
        <v>175.285</v>
      </c>
      <c r="E3955" s="23">
        <v>175.285</v>
      </c>
      <c r="F3955" s="23">
        <v>0</v>
      </c>
      <c r="G3955" s="23">
        <v>0</v>
      </c>
      <c r="H3955" s="23">
        <v>0</v>
      </c>
      <c r="I3955" s="23">
        <v>0</v>
      </c>
      <c r="J3955" s="23">
        <v>0</v>
      </c>
      <c r="K3955" s="23">
        <v>1484.874</v>
      </c>
    </row>
    <row r="3956" spans="1:11" x14ac:dyDescent="0.25">
      <c r="A3956">
        <v>3955</v>
      </c>
      <c r="B3956" s="23">
        <v>1308.4900909999999</v>
      </c>
      <c r="C3956" s="23">
        <v>0</v>
      </c>
      <c r="D3956" s="23">
        <v>0</v>
      </c>
      <c r="E3956" s="23">
        <v>0</v>
      </c>
      <c r="F3956" s="23">
        <v>0</v>
      </c>
      <c r="G3956" s="23">
        <v>0</v>
      </c>
      <c r="H3956" s="23">
        <v>0</v>
      </c>
      <c r="I3956" s="23">
        <v>0</v>
      </c>
      <c r="J3956" s="23">
        <v>0</v>
      </c>
      <c r="K3956" s="23">
        <v>1308.49</v>
      </c>
    </row>
    <row r="3957" spans="1:11" x14ac:dyDescent="0.25">
      <c r="A3957">
        <v>3956</v>
      </c>
      <c r="B3957" s="23">
        <v>1471.040013</v>
      </c>
      <c r="C3957" s="23">
        <v>0</v>
      </c>
      <c r="D3957" s="23">
        <v>0</v>
      </c>
      <c r="E3957" s="23">
        <v>0</v>
      </c>
      <c r="F3957" s="23">
        <v>0</v>
      </c>
      <c r="G3957" s="23">
        <v>0</v>
      </c>
      <c r="H3957" s="23">
        <v>0</v>
      </c>
      <c r="I3957" s="23">
        <v>0</v>
      </c>
      <c r="J3957" s="23">
        <v>0</v>
      </c>
      <c r="K3957" s="23">
        <v>1471.04</v>
      </c>
    </row>
    <row r="3958" spans="1:11" x14ac:dyDescent="0.25">
      <c r="A3958">
        <v>3957</v>
      </c>
      <c r="B3958" s="23">
        <v>1597.549454</v>
      </c>
      <c r="C3958" s="23">
        <v>0</v>
      </c>
      <c r="D3958" s="23">
        <v>0</v>
      </c>
      <c r="E3958" s="23">
        <v>0</v>
      </c>
      <c r="F3958" s="23">
        <v>0</v>
      </c>
      <c r="G3958" s="23">
        <v>0</v>
      </c>
      <c r="H3958" s="23">
        <v>0</v>
      </c>
      <c r="I3958" s="23">
        <v>1597.549</v>
      </c>
      <c r="J3958" s="23">
        <v>0</v>
      </c>
      <c r="K3958" s="23">
        <v>0</v>
      </c>
    </row>
    <row r="3959" spans="1:11" x14ac:dyDescent="0.25">
      <c r="A3959">
        <v>3958</v>
      </c>
      <c r="B3959" s="23">
        <v>1294.5152109999999</v>
      </c>
      <c r="C3959" s="23">
        <v>0</v>
      </c>
      <c r="D3959" s="23">
        <v>0</v>
      </c>
      <c r="E3959" s="23">
        <v>0</v>
      </c>
      <c r="F3959" s="23">
        <v>0</v>
      </c>
      <c r="G3959" s="23">
        <v>0</v>
      </c>
      <c r="H3959" s="23">
        <v>0</v>
      </c>
      <c r="I3959" s="23">
        <v>1294.5150000000001</v>
      </c>
      <c r="J3959" s="23">
        <v>0</v>
      </c>
      <c r="K3959" s="23">
        <v>0</v>
      </c>
    </row>
    <row r="3960" spans="1:11" x14ac:dyDescent="0.25">
      <c r="A3960">
        <v>3959</v>
      </c>
      <c r="B3960" s="23">
        <v>1450.445453</v>
      </c>
      <c r="C3960" s="23">
        <v>0</v>
      </c>
      <c r="D3960" s="23">
        <v>0</v>
      </c>
      <c r="E3960" s="23">
        <v>0</v>
      </c>
      <c r="F3960" s="23">
        <v>0</v>
      </c>
      <c r="G3960" s="23">
        <v>0</v>
      </c>
      <c r="H3960" s="23">
        <v>0</v>
      </c>
      <c r="I3960" s="23">
        <v>1450.4449999999999</v>
      </c>
      <c r="J3960" s="23">
        <v>0</v>
      </c>
      <c r="K3960" s="23">
        <v>0</v>
      </c>
    </row>
    <row r="3961" spans="1:11" x14ac:dyDescent="0.25">
      <c r="A3961">
        <v>3960</v>
      </c>
      <c r="B3961" s="23">
        <v>1306.283531</v>
      </c>
      <c r="C3961" s="23">
        <v>0</v>
      </c>
      <c r="D3961" s="23">
        <v>0</v>
      </c>
      <c r="E3961" s="23">
        <v>0</v>
      </c>
      <c r="F3961" s="23">
        <v>0</v>
      </c>
      <c r="G3961" s="23">
        <v>0</v>
      </c>
      <c r="H3961" s="23">
        <v>0</v>
      </c>
      <c r="I3961" s="23">
        <v>1306.2840000000001</v>
      </c>
      <c r="J3961" s="23">
        <v>0</v>
      </c>
      <c r="K3961" s="23">
        <v>0</v>
      </c>
    </row>
    <row r="3962" spans="1:11" x14ac:dyDescent="0.25">
      <c r="A3962">
        <v>3961</v>
      </c>
      <c r="B3962" s="23">
        <v>956.17600830000003</v>
      </c>
      <c r="C3962" s="23">
        <v>0</v>
      </c>
      <c r="D3962" s="23">
        <v>0</v>
      </c>
      <c r="E3962" s="23">
        <v>0</v>
      </c>
      <c r="F3962" s="23">
        <v>0</v>
      </c>
      <c r="G3962" s="23">
        <v>0</v>
      </c>
      <c r="H3962" s="23">
        <v>0</v>
      </c>
      <c r="I3962" s="23">
        <v>956.17600000000004</v>
      </c>
      <c r="J3962" s="23">
        <v>0</v>
      </c>
      <c r="K3962" s="23">
        <v>0</v>
      </c>
    </row>
    <row r="3963" spans="1:11" x14ac:dyDescent="0.25">
      <c r="A3963">
        <v>3962</v>
      </c>
      <c r="B3963" s="23">
        <v>976.03504850000002</v>
      </c>
      <c r="C3963" s="23">
        <v>0</v>
      </c>
      <c r="D3963" s="23">
        <v>0</v>
      </c>
      <c r="E3963" s="23">
        <v>0</v>
      </c>
      <c r="F3963" s="23">
        <v>0</v>
      </c>
      <c r="G3963" s="23">
        <v>0</v>
      </c>
      <c r="H3963" s="23">
        <v>0</v>
      </c>
      <c r="I3963" s="23">
        <v>976.03499999999997</v>
      </c>
      <c r="J3963" s="23">
        <v>0</v>
      </c>
      <c r="K3963" s="23">
        <v>0</v>
      </c>
    </row>
    <row r="3964" spans="1:11" x14ac:dyDescent="0.25">
      <c r="A3964">
        <v>3963</v>
      </c>
      <c r="B3964" s="23">
        <v>779.65120679999995</v>
      </c>
      <c r="C3964" s="23">
        <v>0</v>
      </c>
      <c r="D3964" s="23">
        <v>0</v>
      </c>
      <c r="E3964" s="23">
        <v>0</v>
      </c>
      <c r="F3964" s="23">
        <v>0</v>
      </c>
      <c r="G3964" s="23">
        <v>0</v>
      </c>
      <c r="H3964" s="23">
        <v>0</v>
      </c>
      <c r="I3964" s="23">
        <v>779.65099999999995</v>
      </c>
      <c r="J3964" s="23">
        <v>0</v>
      </c>
      <c r="K3964" s="23">
        <v>0</v>
      </c>
    </row>
    <row r="3965" spans="1:11" x14ac:dyDescent="0.25">
      <c r="A3965">
        <v>3964</v>
      </c>
      <c r="B3965" s="23">
        <v>1012.811049</v>
      </c>
      <c r="C3965" s="23">
        <v>0</v>
      </c>
      <c r="D3965" s="23">
        <v>0</v>
      </c>
      <c r="E3965" s="23">
        <v>0</v>
      </c>
      <c r="F3965" s="23">
        <v>0</v>
      </c>
      <c r="G3965" s="23">
        <v>0</v>
      </c>
      <c r="H3965" s="23">
        <v>0</v>
      </c>
      <c r="I3965" s="23">
        <v>1012.811</v>
      </c>
      <c r="J3965" s="23">
        <v>0</v>
      </c>
      <c r="K3965" s="23">
        <v>0</v>
      </c>
    </row>
    <row r="3966" spans="1:11" x14ac:dyDescent="0.25">
      <c r="A3966">
        <v>3965</v>
      </c>
      <c r="B3966" s="23">
        <v>668.58768580000003</v>
      </c>
      <c r="C3966" s="23">
        <v>0</v>
      </c>
      <c r="D3966" s="23">
        <v>0</v>
      </c>
      <c r="E3966" s="23">
        <v>0</v>
      </c>
      <c r="F3966" s="23">
        <v>0</v>
      </c>
      <c r="G3966" s="23">
        <v>0</v>
      </c>
      <c r="H3966" s="23">
        <v>0</v>
      </c>
      <c r="I3966" s="23">
        <v>668.58799999999997</v>
      </c>
      <c r="J3966" s="23">
        <v>0</v>
      </c>
      <c r="K3966" s="23">
        <v>0</v>
      </c>
    </row>
    <row r="3967" spans="1:11" x14ac:dyDescent="0.25">
      <c r="A3967">
        <v>3966</v>
      </c>
      <c r="B3967" s="23">
        <v>831.13760730000001</v>
      </c>
      <c r="C3967" s="23">
        <v>0</v>
      </c>
      <c r="D3967" s="23">
        <v>0</v>
      </c>
      <c r="E3967" s="23">
        <v>0</v>
      </c>
      <c r="F3967" s="23">
        <v>0</v>
      </c>
      <c r="G3967" s="23">
        <v>0</v>
      </c>
      <c r="H3967" s="23">
        <v>0</v>
      </c>
      <c r="I3967" s="23">
        <v>454.34800000000001</v>
      </c>
      <c r="J3967" s="23">
        <v>0</v>
      </c>
      <c r="K3967" s="23">
        <v>376.79</v>
      </c>
    </row>
    <row r="3968" spans="1:11" x14ac:dyDescent="0.25">
      <c r="A3968">
        <v>3967</v>
      </c>
      <c r="B3968" s="23">
        <v>843.91818679999994</v>
      </c>
      <c r="C3968" s="23">
        <v>55.91</v>
      </c>
      <c r="D3968" s="23">
        <v>196.55699999999999</v>
      </c>
      <c r="E3968" s="23">
        <v>196.55699999999999</v>
      </c>
      <c r="F3968" s="23">
        <v>0</v>
      </c>
      <c r="G3968" s="23">
        <v>0</v>
      </c>
      <c r="H3968" s="23">
        <v>0</v>
      </c>
      <c r="I3968" s="23">
        <v>0</v>
      </c>
      <c r="J3968" s="23">
        <v>0</v>
      </c>
      <c r="K3968" s="23">
        <v>647.36099999999999</v>
      </c>
    </row>
    <row r="3969" spans="1:11" x14ac:dyDescent="0.25">
      <c r="A3969">
        <v>3968</v>
      </c>
      <c r="B3969" s="23">
        <v>837.48054790000003</v>
      </c>
      <c r="C3969" s="23">
        <v>155</v>
      </c>
      <c r="D3969" s="23">
        <v>599.85799999999995</v>
      </c>
      <c r="E3969" s="23">
        <v>599.85799999999995</v>
      </c>
      <c r="F3969" s="23">
        <v>0</v>
      </c>
      <c r="G3969" s="23">
        <v>0</v>
      </c>
      <c r="H3969" s="23">
        <v>0</v>
      </c>
      <c r="I3969" s="23">
        <v>0</v>
      </c>
      <c r="J3969" s="23">
        <v>0</v>
      </c>
      <c r="K3969" s="23">
        <v>237.62200000000001</v>
      </c>
    </row>
    <row r="3970" spans="1:11" x14ac:dyDescent="0.25">
      <c r="A3970">
        <v>3969</v>
      </c>
      <c r="B3970" s="23">
        <v>846.00430540000002</v>
      </c>
      <c r="C3970" s="23">
        <v>286.97000000000003</v>
      </c>
      <c r="D3970" s="23">
        <v>1123.1959999999999</v>
      </c>
      <c r="E3970" s="23">
        <v>846.00400000000002</v>
      </c>
      <c r="F3970" s="23">
        <v>-277.19200000000001</v>
      </c>
      <c r="G3970" s="23">
        <v>0</v>
      </c>
      <c r="H3970" s="23">
        <v>0</v>
      </c>
      <c r="I3970" s="23">
        <v>0</v>
      </c>
      <c r="J3970" s="23">
        <v>0</v>
      </c>
      <c r="K3970" s="23">
        <v>0</v>
      </c>
    </row>
    <row r="3971" spans="1:11" x14ac:dyDescent="0.25">
      <c r="A3971">
        <v>3970</v>
      </c>
      <c r="B3971" s="23">
        <v>975.83829690000005</v>
      </c>
      <c r="C3971" s="23">
        <v>412.96</v>
      </c>
      <c r="D3971" s="23">
        <v>1603.586</v>
      </c>
      <c r="E3971" s="23">
        <v>975.83799999999997</v>
      </c>
      <c r="F3971" s="23">
        <v>-627.74800000000005</v>
      </c>
      <c r="G3971" s="23">
        <v>0</v>
      </c>
      <c r="H3971" s="23">
        <v>0</v>
      </c>
      <c r="I3971" s="23">
        <v>0</v>
      </c>
      <c r="J3971" s="23">
        <v>0</v>
      </c>
      <c r="K3971" s="23">
        <v>0</v>
      </c>
    </row>
    <row r="3972" spans="1:11" x14ac:dyDescent="0.25">
      <c r="A3972">
        <v>3971</v>
      </c>
      <c r="B3972" s="23">
        <v>936.95319300000006</v>
      </c>
      <c r="C3972" s="23">
        <v>625.9</v>
      </c>
      <c r="D3972" s="23">
        <v>2397.569</v>
      </c>
      <c r="E3972" s="23">
        <v>936.95299999999997</v>
      </c>
      <c r="F3972" s="23">
        <v>-1460.616</v>
      </c>
      <c r="G3972" s="23">
        <v>0</v>
      </c>
      <c r="H3972" s="23">
        <v>0</v>
      </c>
      <c r="I3972" s="23">
        <v>0</v>
      </c>
      <c r="J3972" s="23">
        <v>0</v>
      </c>
      <c r="K3972" s="23">
        <v>0</v>
      </c>
    </row>
    <row r="3973" spans="1:11" x14ac:dyDescent="0.25">
      <c r="A3973">
        <v>3972</v>
      </c>
      <c r="B3973" s="23">
        <v>911.18792710000002</v>
      </c>
      <c r="C3973" s="23">
        <v>534.32000000000005</v>
      </c>
      <c r="D3973" s="23">
        <v>2043.172</v>
      </c>
      <c r="E3973" s="23">
        <v>911.18799999999999</v>
      </c>
      <c r="F3973" s="23">
        <v>-1131.9839999999999</v>
      </c>
      <c r="G3973" s="23">
        <v>0</v>
      </c>
      <c r="H3973" s="23">
        <v>0</v>
      </c>
      <c r="I3973" s="23">
        <v>0</v>
      </c>
      <c r="J3973" s="23">
        <v>0</v>
      </c>
      <c r="K3973" s="23">
        <v>0</v>
      </c>
    </row>
    <row r="3974" spans="1:11" x14ac:dyDescent="0.25">
      <c r="A3974">
        <v>3973</v>
      </c>
      <c r="B3974" s="23">
        <v>1051.1298019999999</v>
      </c>
      <c r="C3974" s="23">
        <v>479.88</v>
      </c>
      <c r="D3974" s="23">
        <v>1836.5719999999999</v>
      </c>
      <c r="E3974" s="23">
        <v>1051.1289999999999</v>
      </c>
      <c r="F3974" s="23">
        <v>-785.44299999999998</v>
      </c>
      <c r="G3974" s="23">
        <v>0</v>
      </c>
      <c r="H3974" s="23">
        <v>0</v>
      </c>
      <c r="I3974" s="23">
        <v>0</v>
      </c>
      <c r="J3974" s="23">
        <v>0</v>
      </c>
      <c r="K3974" s="23">
        <v>0</v>
      </c>
    </row>
    <row r="3975" spans="1:11" x14ac:dyDescent="0.25">
      <c r="A3975">
        <v>3974</v>
      </c>
      <c r="B3975" s="23">
        <v>1012.93241</v>
      </c>
      <c r="C3975" s="23">
        <v>430</v>
      </c>
      <c r="D3975" s="23">
        <v>1651.5450000000001</v>
      </c>
      <c r="E3975" s="23">
        <v>1012.932</v>
      </c>
      <c r="F3975" s="23">
        <v>-638.61300000000006</v>
      </c>
      <c r="G3975" s="23">
        <v>0</v>
      </c>
      <c r="H3975" s="23">
        <v>0</v>
      </c>
      <c r="I3975" s="23">
        <v>0</v>
      </c>
      <c r="J3975" s="23">
        <v>0</v>
      </c>
      <c r="K3975" s="23">
        <v>0</v>
      </c>
    </row>
    <row r="3976" spans="1:11" x14ac:dyDescent="0.25">
      <c r="A3976">
        <v>3975</v>
      </c>
      <c r="B3976" s="23">
        <v>1027.0911699999999</v>
      </c>
      <c r="C3976" s="23">
        <v>465.07</v>
      </c>
      <c r="D3976" s="23">
        <v>1799.1310000000001</v>
      </c>
      <c r="E3976" s="23">
        <v>1027.0909999999999</v>
      </c>
      <c r="F3976" s="23">
        <v>-772.04</v>
      </c>
      <c r="G3976" s="23">
        <v>0</v>
      </c>
      <c r="H3976" s="23">
        <v>0</v>
      </c>
      <c r="I3976" s="23">
        <v>0</v>
      </c>
      <c r="J3976" s="23">
        <v>0</v>
      </c>
      <c r="K3976" s="23">
        <v>0</v>
      </c>
    </row>
    <row r="3977" spans="1:11" x14ac:dyDescent="0.25">
      <c r="A3977">
        <v>3976</v>
      </c>
      <c r="B3977" s="23">
        <v>478.66906499999999</v>
      </c>
      <c r="C3977" s="23">
        <v>237.27</v>
      </c>
      <c r="D3977" s="23">
        <v>921.26700000000005</v>
      </c>
      <c r="E3977" s="23">
        <v>478.66899999999998</v>
      </c>
      <c r="F3977" s="23">
        <v>-442.59800000000001</v>
      </c>
      <c r="G3977" s="23">
        <v>0</v>
      </c>
      <c r="H3977" s="23">
        <v>0</v>
      </c>
      <c r="I3977" s="23">
        <v>0</v>
      </c>
      <c r="J3977" s="23">
        <v>0</v>
      </c>
      <c r="K3977" s="23">
        <v>0</v>
      </c>
    </row>
    <row r="3978" spans="1:11" x14ac:dyDescent="0.25">
      <c r="A3978">
        <v>3977</v>
      </c>
      <c r="B3978" s="23">
        <v>176.7969439</v>
      </c>
      <c r="C3978" s="23">
        <v>172.93</v>
      </c>
      <c r="D3978" s="23">
        <v>669.68399999999997</v>
      </c>
      <c r="E3978" s="23">
        <v>176.797</v>
      </c>
      <c r="F3978" s="23">
        <v>-492.887</v>
      </c>
      <c r="G3978" s="23">
        <v>0</v>
      </c>
      <c r="H3978" s="23">
        <v>0</v>
      </c>
      <c r="I3978" s="23">
        <v>0</v>
      </c>
      <c r="J3978" s="23">
        <v>0</v>
      </c>
      <c r="K3978" s="23">
        <v>0</v>
      </c>
    </row>
    <row r="3979" spans="1:11" x14ac:dyDescent="0.25">
      <c r="A3979">
        <v>3978</v>
      </c>
      <c r="B3979" s="23">
        <v>236.4577299</v>
      </c>
      <c r="C3979" s="23">
        <v>41.04</v>
      </c>
      <c r="D3979" s="23">
        <v>134.05699999999999</v>
      </c>
      <c r="E3979" s="23">
        <v>134.05699999999999</v>
      </c>
      <c r="F3979" s="23">
        <v>0</v>
      </c>
      <c r="G3979" s="23">
        <v>0</v>
      </c>
      <c r="H3979" s="23">
        <v>0</v>
      </c>
      <c r="I3979" s="23">
        <v>0</v>
      </c>
      <c r="J3979" s="23">
        <v>0</v>
      </c>
      <c r="K3979" s="23">
        <v>102.401</v>
      </c>
    </row>
    <row r="3980" spans="1:11" x14ac:dyDescent="0.25">
      <c r="A3980">
        <v>3979</v>
      </c>
      <c r="B3980" s="23">
        <v>138.27776119999999</v>
      </c>
      <c r="C3980" s="23">
        <v>0</v>
      </c>
      <c r="D3980" s="23">
        <v>0</v>
      </c>
      <c r="E3980" s="23">
        <v>0</v>
      </c>
      <c r="F3980" s="23">
        <v>0</v>
      </c>
      <c r="G3980" s="23">
        <v>0</v>
      </c>
      <c r="H3980" s="23">
        <v>0</v>
      </c>
      <c r="I3980" s="23">
        <v>0</v>
      </c>
      <c r="J3980" s="23">
        <v>0</v>
      </c>
      <c r="K3980" s="23">
        <v>138.27799999999999</v>
      </c>
    </row>
    <row r="3981" spans="1:11" x14ac:dyDescent="0.25">
      <c r="A3981">
        <v>3980</v>
      </c>
      <c r="B3981" s="23">
        <v>145.63296130000001</v>
      </c>
      <c r="C3981" s="23">
        <v>0</v>
      </c>
      <c r="D3981" s="23">
        <v>0</v>
      </c>
      <c r="E3981" s="23">
        <v>0</v>
      </c>
      <c r="F3981" s="23">
        <v>0</v>
      </c>
      <c r="G3981" s="23">
        <v>0</v>
      </c>
      <c r="H3981" s="23">
        <v>0</v>
      </c>
      <c r="I3981" s="23">
        <v>0</v>
      </c>
      <c r="J3981" s="23">
        <v>0</v>
      </c>
      <c r="K3981" s="23">
        <v>145.63300000000001</v>
      </c>
    </row>
    <row r="3982" spans="1:11" x14ac:dyDescent="0.25">
      <c r="A3982">
        <v>3981</v>
      </c>
      <c r="B3982" s="23">
        <v>115.476641</v>
      </c>
      <c r="C3982" s="23">
        <v>0</v>
      </c>
      <c r="D3982" s="23">
        <v>0</v>
      </c>
      <c r="E3982" s="23">
        <v>0</v>
      </c>
      <c r="F3982" s="23">
        <v>0</v>
      </c>
      <c r="G3982" s="23">
        <v>0</v>
      </c>
      <c r="H3982" s="23">
        <v>0</v>
      </c>
      <c r="I3982" s="23">
        <v>0</v>
      </c>
      <c r="J3982" s="23">
        <v>0</v>
      </c>
      <c r="K3982" s="23">
        <v>115.477</v>
      </c>
    </row>
    <row r="3983" spans="1:11" x14ac:dyDescent="0.25">
      <c r="A3983">
        <v>3982</v>
      </c>
      <c r="B3983" s="23">
        <v>110.328001</v>
      </c>
      <c r="C3983" s="23">
        <v>0</v>
      </c>
      <c r="D3983" s="23">
        <v>0</v>
      </c>
      <c r="E3983" s="23">
        <v>0</v>
      </c>
      <c r="F3983" s="23">
        <v>0</v>
      </c>
      <c r="G3983" s="23">
        <v>0</v>
      </c>
      <c r="H3983" s="23">
        <v>0</v>
      </c>
      <c r="I3983" s="23">
        <v>0</v>
      </c>
      <c r="J3983" s="23">
        <v>0</v>
      </c>
      <c r="K3983" s="23">
        <v>110.328</v>
      </c>
    </row>
    <row r="3984" spans="1:11" x14ac:dyDescent="0.25">
      <c r="A3984">
        <v>3983</v>
      </c>
      <c r="B3984" s="23">
        <v>105.9148809</v>
      </c>
      <c r="C3984" s="23">
        <v>0</v>
      </c>
      <c r="D3984" s="23">
        <v>0</v>
      </c>
      <c r="E3984" s="23">
        <v>0</v>
      </c>
      <c r="F3984" s="23">
        <v>0</v>
      </c>
      <c r="G3984" s="23">
        <v>0</v>
      </c>
      <c r="H3984" s="23">
        <v>0</v>
      </c>
      <c r="I3984" s="23">
        <v>0</v>
      </c>
      <c r="J3984" s="23">
        <v>0</v>
      </c>
      <c r="K3984" s="23">
        <v>105.91500000000001</v>
      </c>
    </row>
    <row r="3985" spans="1:11" x14ac:dyDescent="0.25">
      <c r="A3985">
        <v>3984</v>
      </c>
      <c r="B3985" s="23">
        <v>106.65040089999999</v>
      </c>
      <c r="C3985" s="23">
        <v>0</v>
      </c>
      <c r="D3985" s="23">
        <v>0</v>
      </c>
      <c r="E3985" s="23">
        <v>0</v>
      </c>
      <c r="F3985" s="23">
        <v>0</v>
      </c>
      <c r="G3985" s="23">
        <v>0</v>
      </c>
      <c r="H3985" s="23">
        <v>0</v>
      </c>
      <c r="I3985" s="23">
        <v>0</v>
      </c>
      <c r="J3985" s="23">
        <v>0</v>
      </c>
      <c r="K3985" s="23">
        <v>106.65</v>
      </c>
    </row>
    <row r="3986" spans="1:11" x14ac:dyDescent="0.25">
      <c r="A3986">
        <v>3985</v>
      </c>
      <c r="B3986" s="23">
        <v>98.55968086</v>
      </c>
      <c r="C3986" s="23">
        <v>0</v>
      </c>
      <c r="D3986" s="23">
        <v>0</v>
      </c>
      <c r="E3986" s="23">
        <v>0</v>
      </c>
      <c r="F3986" s="23">
        <v>0</v>
      </c>
      <c r="G3986" s="23">
        <v>0</v>
      </c>
      <c r="H3986" s="23">
        <v>0</v>
      </c>
      <c r="I3986" s="23">
        <v>0</v>
      </c>
      <c r="J3986" s="23">
        <v>0</v>
      </c>
      <c r="K3986" s="23">
        <v>98.56</v>
      </c>
    </row>
    <row r="3987" spans="1:11" x14ac:dyDescent="0.25">
      <c r="A3987">
        <v>3986</v>
      </c>
      <c r="B3987" s="23">
        <v>108.1214409</v>
      </c>
      <c r="C3987" s="23">
        <v>0</v>
      </c>
      <c r="D3987" s="23">
        <v>0</v>
      </c>
      <c r="E3987" s="23">
        <v>0</v>
      </c>
      <c r="F3987" s="23">
        <v>0</v>
      </c>
      <c r="G3987" s="23">
        <v>0</v>
      </c>
      <c r="H3987" s="23">
        <v>0</v>
      </c>
      <c r="I3987" s="23">
        <v>0</v>
      </c>
      <c r="J3987" s="23">
        <v>0</v>
      </c>
      <c r="K3987" s="23">
        <v>108.121</v>
      </c>
    </row>
    <row r="3988" spans="1:11" x14ac:dyDescent="0.25">
      <c r="A3988">
        <v>3987</v>
      </c>
      <c r="B3988" s="23">
        <v>88.997920780000001</v>
      </c>
      <c r="C3988" s="23">
        <v>0</v>
      </c>
      <c r="D3988" s="23">
        <v>0</v>
      </c>
      <c r="E3988" s="23">
        <v>0</v>
      </c>
      <c r="F3988" s="23">
        <v>0</v>
      </c>
      <c r="G3988" s="23">
        <v>0</v>
      </c>
      <c r="H3988" s="23">
        <v>0</v>
      </c>
      <c r="I3988" s="23">
        <v>0</v>
      </c>
      <c r="J3988" s="23">
        <v>0</v>
      </c>
      <c r="K3988" s="23">
        <v>88.998000000000005</v>
      </c>
    </row>
    <row r="3989" spans="1:11" x14ac:dyDescent="0.25">
      <c r="A3989">
        <v>3988</v>
      </c>
      <c r="B3989" s="23">
        <v>94.882080830000007</v>
      </c>
      <c r="C3989" s="23">
        <v>0</v>
      </c>
      <c r="D3989" s="23">
        <v>0</v>
      </c>
      <c r="E3989" s="23">
        <v>0</v>
      </c>
      <c r="F3989" s="23">
        <v>0</v>
      </c>
      <c r="G3989" s="23">
        <v>0</v>
      </c>
      <c r="H3989" s="23">
        <v>0</v>
      </c>
      <c r="I3989" s="23">
        <v>0</v>
      </c>
      <c r="J3989" s="23">
        <v>0</v>
      </c>
      <c r="K3989" s="23">
        <v>94.882000000000005</v>
      </c>
    </row>
    <row r="3990" spans="1:11" x14ac:dyDescent="0.25">
      <c r="A3990">
        <v>3989</v>
      </c>
      <c r="B3990" s="23">
        <v>88.997920780000001</v>
      </c>
      <c r="C3990" s="23">
        <v>0</v>
      </c>
      <c r="D3990" s="23">
        <v>0</v>
      </c>
      <c r="E3990" s="23">
        <v>0</v>
      </c>
      <c r="F3990" s="23">
        <v>0</v>
      </c>
      <c r="G3990" s="23">
        <v>0</v>
      </c>
      <c r="H3990" s="23">
        <v>0</v>
      </c>
      <c r="I3990" s="23">
        <v>0</v>
      </c>
      <c r="J3990" s="23">
        <v>0</v>
      </c>
      <c r="K3990" s="23">
        <v>88.998000000000005</v>
      </c>
    </row>
    <row r="3991" spans="1:11" x14ac:dyDescent="0.25">
      <c r="A3991">
        <v>3990</v>
      </c>
      <c r="B3991" s="23">
        <v>93.411040810000003</v>
      </c>
      <c r="C3991" s="23">
        <v>0</v>
      </c>
      <c r="D3991" s="23">
        <v>0</v>
      </c>
      <c r="E3991" s="23">
        <v>0</v>
      </c>
      <c r="F3991" s="23">
        <v>0</v>
      </c>
      <c r="G3991" s="23">
        <v>0</v>
      </c>
      <c r="H3991" s="23">
        <v>0</v>
      </c>
      <c r="I3991" s="23">
        <v>0</v>
      </c>
      <c r="J3991" s="23">
        <v>0</v>
      </c>
      <c r="K3991" s="23">
        <v>93.411000000000001</v>
      </c>
    </row>
    <row r="3992" spans="1:11" x14ac:dyDescent="0.25">
      <c r="A3992">
        <v>3991</v>
      </c>
      <c r="B3992" s="23">
        <v>80.614831499999994</v>
      </c>
      <c r="C3992" s="23">
        <v>34.299999999999997</v>
      </c>
      <c r="D3992" s="23">
        <v>110.17</v>
      </c>
      <c r="E3992" s="23">
        <v>80.614999999999995</v>
      </c>
      <c r="F3992" s="23">
        <v>-29.555</v>
      </c>
      <c r="G3992" s="23">
        <v>0</v>
      </c>
      <c r="H3992" s="23">
        <v>0</v>
      </c>
      <c r="I3992" s="23">
        <v>0</v>
      </c>
      <c r="J3992" s="23">
        <v>0</v>
      </c>
      <c r="K3992" s="23">
        <v>0</v>
      </c>
    </row>
    <row r="3993" spans="1:11" x14ac:dyDescent="0.25">
      <c r="A3993">
        <v>3992</v>
      </c>
      <c r="B3993" s="23">
        <v>145.60721810000001</v>
      </c>
      <c r="C3993" s="23">
        <v>93.19</v>
      </c>
      <c r="D3993" s="23">
        <v>346.726</v>
      </c>
      <c r="E3993" s="23">
        <v>145.607</v>
      </c>
      <c r="F3993" s="23">
        <v>-201.119</v>
      </c>
      <c r="G3993" s="23">
        <v>0</v>
      </c>
      <c r="H3993" s="23">
        <v>0</v>
      </c>
      <c r="I3993" s="23">
        <v>0</v>
      </c>
      <c r="J3993" s="23">
        <v>0</v>
      </c>
      <c r="K3993" s="23">
        <v>0</v>
      </c>
    </row>
    <row r="3994" spans="1:11" x14ac:dyDescent="0.25">
      <c r="A3994">
        <v>3993</v>
      </c>
      <c r="B3994" s="23">
        <v>662.31370019999997</v>
      </c>
      <c r="C3994" s="23">
        <v>264.57</v>
      </c>
      <c r="D3994" s="23">
        <v>1030.5640000000001</v>
      </c>
      <c r="E3994" s="23">
        <v>662.31399999999996</v>
      </c>
      <c r="F3994" s="23">
        <v>-368.25</v>
      </c>
      <c r="G3994" s="23">
        <v>0</v>
      </c>
      <c r="H3994" s="23">
        <v>0</v>
      </c>
      <c r="I3994" s="23">
        <v>0</v>
      </c>
      <c r="J3994" s="23">
        <v>0</v>
      </c>
      <c r="K3994" s="23">
        <v>0</v>
      </c>
    </row>
    <row r="3995" spans="1:11" x14ac:dyDescent="0.25">
      <c r="A3995">
        <v>3994</v>
      </c>
      <c r="B3995" s="23">
        <v>881.34512229999996</v>
      </c>
      <c r="C3995" s="23">
        <v>498.6</v>
      </c>
      <c r="D3995" s="23">
        <v>1928.2339999999999</v>
      </c>
      <c r="E3995" s="23">
        <v>881.346</v>
      </c>
      <c r="F3995" s="23">
        <v>-1046.8879999999999</v>
      </c>
      <c r="G3995" s="23">
        <v>0</v>
      </c>
      <c r="H3995" s="23">
        <v>0</v>
      </c>
      <c r="I3995" s="23">
        <v>0</v>
      </c>
      <c r="J3995" s="23">
        <v>0</v>
      </c>
      <c r="K3995" s="23">
        <v>0</v>
      </c>
    </row>
    <row r="3996" spans="1:11" x14ac:dyDescent="0.25">
      <c r="A3996">
        <v>3995</v>
      </c>
      <c r="B3996" s="23">
        <v>1021.184944</v>
      </c>
      <c r="C3996" s="23">
        <v>477.88</v>
      </c>
      <c r="D3996" s="23">
        <v>1836.64</v>
      </c>
      <c r="E3996" s="23">
        <v>1021.186</v>
      </c>
      <c r="F3996" s="23">
        <v>-572.00199999999995</v>
      </c>
      <c r="G3996" s="23">
        <v>0</v>
      </c>
      <c r="H3996" s="23">
        <v>243.452</v>
      </c>
      <c r="I3996" s="23">
        <v>0</v>
      </c>
      <c r="J3996" s="23">
        <v>0</v>
      </c>
      <c r="K3996" s="23">
        <v>0</v>
      </c>
    </row>
    <row r="3997" spans="1:11" x14ac:dyDescent="0.25">
      <c r="A3997">
        <v>3996</v>
      </c>
      <c r="B3997" s="23">
        <v>1073.973215</v>
      </c>
      <c r="C3997" s="23">
        <v>645.45000000000005</v>
      </c>
      <c r="D3997" s="23">
        <v>2459.5630000000001</v>
      </c>
      <c r="E3997" s="23">
        <v>1073.973</v>
      </c>
      <c r="F3997" s="23">
        <v>0</v>
      </c>
      <c r="G3997" s="23">
        <v>0</v>
      </c>
      <c r="H3997" s="23">
        <v>1385.59</v>
      </c>
      <c r="I3997" s="23">
        <v>0</v>
      </c>
      <c r="J3997" s="23">
        <v>0</v>
      </c>
      <c r="K3997" s="23">
        <v>0</v>
      </c>
    </row>
    <row r="3998" spans="1:11" x14ac:dyDescent="0.25">
      <c r="A3998">
        <v>3997</v>
      </c>
      <c r="B3998" s="23">
        <v>1076.917134</v>
      </c>
      <c r="C3998" s="23">
        <v>381.48</v>
      </c>
      <c r="D3998" s="23">
        <v>1466.9359999999999</v>
      </c>
      <c r="E3998" s="23">
        <v>1076.9169999999999</v>
      </c>
      <c r="F3998" s="23">
        <v>0</v>
      </c>
      <c r="G3998" s="23">
        <v>0</v>
      </c>
      <c r="H3998" s="23">
        <v>390.01900000000001</v>
      </c>
      <c r="I3998" s="23">
        <v>0</v>
      </c>
      <c r="J3998" s="23">
        <v>0</v>
      </c>
      <c r="K3998" s="23">
        <v>0</v>
      </c>
    </row>
    <row r="3999" spans="1:11" x14ac:dyDescent="0.25">
      <c r="A3999">
        <v>3998</v>
      </c>
      <c r="B3999" s="23">
        <v>1076.9382800000001</v>
      </c>
      <c r="C3999" s="23">
        <v>65.42</v>
      </c>
      <c r="D3999" s="23">
        <v>225.87799999999999</v>
      </c>
      <c r="E3999" s="23">
        <v>225.87799999999999</v>
      </c>
      <c r="F3999" s="23">
        <v>0</v>
      </c>
      <c r="G3999" s="23">
        <v>0</v>
      </c>
      <c r="H3999" s="23">
        <v>0</v>
      </c>
      <c r="I3999" s="23">
        <v>851.06</v>
      </c>
      <c r="J3999" s="23">
        <v>0</v>
      </c>
      <c r="K3999" s="23">
        <v>0</v>
      </c>
    </row>
    <row r="4000" spans="1:11" x14ac:dyDescent="0.25">
      <c r="A4000">
        <v>3999</v>
      </c>
      <c r="B4000" s="23">
        <v>1164.387931</v>
      </c>
      <c r="C4000" s="23">
        <v>46.13</v>
      </c>
      <c r="D4000" s="23">
        <v>151.98699999999999</v>
      </c>
      <c r="E4000" s="23">
        <v>151.98699999999999</v>
      </c>
      <c r="F4000" s="23">
        <v>0</v>
      </c>
      <c r="G4000" s="23">
        <v>0</v>
      </c>
      <c r="H4000" s="23">
        <v>0</v>
      </c>
      <c r="I4000" s="23">
        <v>1012.401</v>
      </c>
      <c r="J4000" s="23">
        <v>0</v>
      </c>
      <c r="K4000" s="23">
        <v>0</v>
      </c>
    </row>
    <row r="4001" spans="1:11" x14ac:dyDescent="0.25">
      <c r="A4001">
        <v>4000</v>
      </c>
      <c r="B4001" s="23">
        <v>1132.1776709999999</v>
      </c>
      <c r="C4001" s="23">
        <v>29.41</v>
      </c>
      <c r="D4001" s="23">
        <v>88.691000000000003</v>
      </c>
      <c r="E4001" s="23">
        <v>88.691000000000003</v>
      </c>
      <c r="F4001" s="23">
        <v>0</v>
      </c>
      <c r="G4001" s="23">
        <v>0</v>
      </c>
      <c r="H4001" s="23">
        <v>0</v>
      </c>
      <c r="I4001" s="23">
        <v>1043.4870000000001</v>
      </c>
      <c r="J4001" s="23">
        <v>0</v>
      </c>
      <c r="K4001" s="23">
        <v>0</v>
      </c>
    </row>
    <row r="4002" spans="1:11" x14ac:dyDescent="0.25">
      <c r="A4002">
        <v>4001</v>
      </c>
      <c r="B4002" s="23">
        <v>1128.928512</v>
      </c>
      <c r="C4002" s="23">
        <v>107.28</v>
      </c>
      <c r="D4002" s="23">
        <v>405.25900000000001</v>
      </c>
      <c r="E4002" s="23">
        <v>405.25900000000001</v>
      </c>
      <c r="F4002" s="23">
        <v>0</v>
      </c>
      <c r="G4002" s="23">
        <v>0</v>
      </c>
      <c r="H4002" s="23">
        <v>0</v>
      </c>
      <c r="I4002" s="23">
        <v>723.66899999999998</v>
      </c>
      <c r="J4002" s="23">
        <v>0</v>
      </c>
      <c r="K4002" s="23">
        <v>0</v>
      </c>
    </row>
    <row r="4003" spans="1:11" x14ac:dyDescent="0.25">
      <c r="A4003">
        <v>4002</v>
      </c>
      <c r="B4003" s="23">
        <v>1028.4224610000001</v>
      </c>
      <c r="C4003" s="23">
        <v>51.69</v>
      </c>
      <c r="D4003" s="23">
        <v>175.982</v>
      </c>
      <c r="E4003" s="23">
        <v>175.982</v>
      </c>
      <c r="F4003" s="23">
        <v>0</v>
      </c>
      <c r="G4003" s="23">
        <v>0</v>
      </c>
      <c r="H4003" s="23">
        <v>0</v>
      </c>
      <c r="I4003" s="23">
        <v>0</v>
      </c>
      <c r="J4003" s="23">
        <v>0</v>
      </c>
      <c r="K4003" s="23">
        <v>852.44100000000003</v>
      </c>
    </row>
    <row r="4004" spans="1:11" x14ac:dyDescent="0.25">
      <c r="A4004">
        <v>4003</v>
      </c>
      <c r="B4004" s="23">
        <v>1248.912971</v>
      </c>
      <c r="C4004" s="23">
        <v>0</v>
      </c>
      <c r="D4004" s="23">
        <v>0</v>
      </c>
      <c r="E4004" s="23">
        <v>0</v>
      </c>
      <c r="F4004" s="23">
        <v>0</v>
      </c>
      <c r="G4004" s="23">
        <v>0</v>
      </c>
      <c r="H4004" s="23">
        <v>0</v>
      </c>
      <c r="I4004" s="23">
        <v>0</v>
      </c>
      <c r="J4004" s="23">
        <v>0</v>
      </c>
      <c r="K4004" s="23">
        <v>1248.913</v>
      </c>
    </row>
    <row r="4005" spans="1:11" x14ac:dyDescent="0.25">
      <c r="A4005">
        <v>4004</v>
      </c>
      <c r="B4005" s="23">
        <v>980.44816860000003</v>
      </c>
      <c r="C4005" s="23">
        <v>0</v>
      </c>
      <c r="D4005" s="23">
        <v>0</v>
      </c>
      <c r="E4005" s="23">
        <v>0</v>
      </c>
      <c r="F4005" s="23">
        <v>0</v>
      </c>
      <c r="G4005" s="23">
        <v>0</v>
      </c>
      <c r="H4005" s="23">
        <v>0</v>
      </c>
      <c r="I4005" s="23">
        <v>0</v>
      </c>
      <c r="J4005" s="23">
        <v>0</v>
      </c>
      <c r="K4005" s="23">
        <v>980.44799999999998</v>
      </c>
    </row>
    <row r="4006" spans="1:11" x14ac:dyDescent="0.25">
      <c r="A4006">
        <v>4005</v>
      </c>
      <c r="B4006" s="23">
        <v>989.27440860000002</v>
      </c>
      <c r="C4006" s="23">
        <v>0</v>
      </c>
      <c r="D4006" s="23">
        <v>0</v>
      </c>
      <c r="E4006" s="23">
        <v>0</v>
      </c>
      <c r="F4006" s="23">
        <v>0</v>
      </c>
      <c r="G4006" s="23">
        <v>0</v>
      </c>
      <c r="H4006" s="23">
        <v>0</v>
      </c>
      <c r="I4006" s="23">
        <v>989.274</v>
      </c>
      <c r="J4006" s="23">
        <v>0</v>
      </c>
      <c r="K4006" s="23">
        <v>0</v>
      </c>
    </row>
    <row r="4007" spans="1:11" x14ac:dyDescent="0.25">
      <c r="A4007">
        <v>4006</v>
      </c>
      <c r="B4007" s="23">
        <v>925.28416809999999</v>
      </c>
      <c r="C4007" s="23">
        <v>0</v>
      </c>
      <c r="D4007" s="23">
        <v>0</v>
      </c>
      <c r="E4007" s="23">
        <v>0</v>
      </c>
      <c r="F4007" s="23">
        <v>0</v>
      </c>
      <c r="G4007" s="23">
        <v>0</v>
      </c>
      <c r="H4007" s="23">
        <v>0</v>
      </c>
      <c r="I4007" s="23">
        <v>925.28399999999999</v>
      </c>
      <c r="J4007" s="23">
        <v>0</v>
      </c>
      <c r="K4007" s="23">
        <v>0</v>
      </c>
    </row>
    <row r="4008" spans="1:11" x14ac:dyDescent="0.25">
      <c r="A4008">
        <v>4007</v>
      </c>
      <c r="B4008" s="23">
        <v>992.21648870000001</v>
      </c>
      <c r="C4008" s="23">
        <v>0</v>
      </c>
      <c r="D4008" s="23">
        <v>0</v>
      </c>
      <c r="E4008" s="23">
        <v>0</v>
      </c>
      <c r="F4008" s="23">
        <v>0</v>
      </c>
      <c r="G4008" s="23">
        <v>0</v>
      </c>
      <c r="H4008" s="23">
        <v>0</v>
      </c>
      <c r="I4008" s="23">
        <v>992.21600000000001</v>
      </c>
      <c r="J4008" s="23">
        <v>0</v>
      </c>
      <c r="K4008" s="23">
        <v>0</v>
      </c>
    </row>
    <row r="4009" spans="1:11" x14ac:dyDescent="0.25">
      <c r="A4009">
        <v>4008</v>
      </c>
      <c r="B4009" s="23">
        <v>1404.843212</v>
      </c>
      <c r="C4009" s="23">
        <v>0</v>
      </c>
      <c r="D4009" s="23">
        <v>0</v>
      </c>
      <c r="E4009" s="23">
        <v>0</v>
      </c>
      <c r="F4009" s="23">
        <v>0</v>
      </c>
      <c r="G4009" s="23">
        <v>0</v>
      </c>
      <c r="H4009" s="23">
        <v>0</v>
      </c>
      <c r="I4009" s="23">
        <v>1404.8430000000001</v>
      </c>
      <c r="J4009" s="23">
        <v>0</v>
      </c>
      <c r="K4009" s="23">
        <v>0</v>
      </c>
    </row>
    <row r="4010" spans="1:11" x14ac:dyDescent="0.25">
      <c r="A4010">
        <v>4009</v>
      </c>
      <c r="B4010" s="23">
        <v>1122.40353</v>
      </c>
      <c r="C4010" s="23">
        <v>0</v>
      </c>
      <c r="D4010" s="23">
        <v>0</v>
      </c>
      <c r="E4010" s="23">
        <v>0</v>
      </c>
      <c r="F4010" s="23">
        <v>0</v>
      </c>
      <c r="G4010" s="23">
        <v>0</v>
      </c>
      <c r="H4010" s="23">
        <v>0</v>
      </c>
      <c r="I4010" s="23">
        <v>1122.404</v>
      </c>
      <c r="J4010" s="23">
        <v>0</v>
      </c>
      <c r="K4010" s="23">
        <v>0</v>
      </c>
    </row>
    <row r="4011" spans="1:11" x14ac:dyDescent="0.25">
      <c r="A4011">
        <v>4010</v>
      </c>
      <c r="B4011" s="23">
        <v>848.79008739999995</v>
      </c>
      <c r="C4011" s="23">
        <v>0</v>
      </c>
      <c r="D4011" s="23">
        <v>0</v>
      </c>
      <c r="E4011" s="23">
        <v>0</v>
      </c>
      <c r="F4011" s="23">
        <v>0</v>
      </c>
      <c r="G4011" s="23">
        <v>0</v>
      </c>
      <c r="H4011" s="23">
        <v>0</v>
      </c>
      <c r="I4011" s="23">
        <v>848.79</v>
      </c>
      <c r="J4011" s="23">
        <v>0</v>
      </c>
      <c r="K4011" s="23">
        <v>0</v>
      </c>
    </row>
    <row r="4012" spans="1:11" x14ac:dyDescent="0.25">
      <c r="A4012">
        <v>4011</v>
      </c>
      <c r="B4012" s="23">
        <v>1120.19697</v>
      </c>
      <c r="C4012" s="23">
        <v>0</v>
      </c>
      <c r="D4012" s="23">
        <v>0</v>
      </c>
      <c r="E4012" s="23">
        <v>0</v>
      </c>
      <c r="F4012" s="23">
        <v>0</v>
      </c>
      <c r="G4012" s="23">
        <v>0</v>
      </c>
      <c r="H4012" s="23">
        <v>0</v>
      </c>
      <c r="I4012" s="23">
        <v>1120.1969999999999</v>
      </c>
      <c r="J4012" s="23">
        <v>0</v>
      </c>
      <c r="K4012" s="23">
        <v>0</v>
      </c>
    </row>
    <row r="4013" spans="1:11" x14ac:dyDescent="0.25">
      <c r="A4013">
        <v>4012</v>
      </c>
      <c r="B4013" s="23">
        <v>1104.0155299999999</v>
      </c>
      <c r="C4013" s="23">
        <v>0</v>
      </c>
      <c r="D4013" s="23">
        <v>0</v>
      </c>
      <c r="E4013" s="23">
        <v>0</v>
      </c>
      <c r="F4013" s="23">
        <v>0</v>
      </c>
      <c r="G4013" s="23">
        <v>0</v>
      </c>
      <c r="H4013" s="23">
        <v>0</v>
      </c>
      <c r="I4013" s="23">
        <v>1104.0160000000001</v>
      </c>
      <c r="J4013" s="23">
        <v>0</v>
      </c>
      <c r="K4013" s="23">
        <v>0</v>
      </c>
    </row>
    <row r="4014" spans="1:11" x14ac:dyDescent="0.25">
      <c r="A4014">
        <v>4013</v>
      </c>
      <c r="B4014" s="23">
        <v>823.78240719999997</v>
      </c>
      <c r="C4014" s="23">
        <v>0</v>
      </c>
      <c r="D4014" s="23">
        <v>0</v>
      </c>
      <c r="E4014" s="23">
        <v>0</v>
      </c>
      <c r="F4014" s="23">
        <v>0</v>
      </c>
      <c r="G4014" s="23">
        <v>0</v>
      </c>
      <c r="H4014" s="23">
        <v>0</v>
      </c>
      <c r="I4014" s="23">
        <v>823.78200000000004</v>
      </c>
      <c r="J4014" s="23">
        <v>0</v>
      </c>
      <c r="K4014" s="23">
        <v>0</v>
      </c>
    </row>
    <row r="4015" spans="1:11" x14ac:dyDescent="0.25">
      <c r="A4015">
        <v>4014</v>
      </c>
      <c r="B4015" s="23">
        <v>1180.5096100000001</v>
      </c>
      <c r="C4015" s="23">
        <v>0</v>
      </c>
      <c r="D4015" s="23">
        <v>0</v>
      </c>
      <c r="E4015" s="23">
        <v>0</v>
      </c>
      <c r="F4015" s="23">
        <v>0</v>
      </c>
      <c r="G4015" s="23">
        <v>0</v>
      </c>
      <c r="H4015" s="23">
        <v>0</v>
      </c>
      <c r="I4015" s="23">
        <v>990.58600000000001</v>
      </c>
      <c r="J4015" s="23">
        <v>0</v>
      </c>
      <c r="K4015" s="23">
        <v>189.923</v>
      </c>
    </row>
    <row r="4016" spans="1:11" x14ac:dyDescent="0.25">
      <c r="A4016">
        <v>4015</v>
      </c>
      <c r="B4016" s="23">
        <v>1004.436234</v>
      </c>
      <c r="C4016" s="23">
        <v>44.11</v>
      </c>
      <c r="D4016" s="23">
        <v>149.53299999999999</v>
      </c>
      <c r="E4016" s="23">
        <v>149.53299999999999</v>
      </c>
      <c r="F4016" s="23">
        <v>0</v>
      </c>
      <c r="G4016" s="23">
        <v>0</v>
      </c>
      <c r="H4016" s="23">
        <v>0</v>
      </c>
      <c r="I4016" s="23">
        <v>0</v>
      </c>
      <c r="J4016" s="23">
        <v>0</v>
      </c>
      <c r="K4016" s="23">
        <v>854.90300000000002</v>
      </c>
    </row>
    <row r="4017" spans="1:11" x14ac:dyDescent="0.25">
      <c r="A4017">
        <v>4016</v>
      </c>
      <c r="B4017" s="23">
        <v>1200.8853529999999</v>
      </c>
      <c r="C4017" s="23">
        <v>123.2</v>
      </c>
      <c r="D4017" s="23">
        <v>469.351</v>
      </c>
      <c r="E4017" s="23">
        <v>469.351</v>
      </c>
      <c r="F4017" s="23">
        <v>0</v>
      </c>
      <c r="G4017" s="23">
        <v>0</v>
      </c>
      <c r="H4017" s="23">
        <v>0</v>
      </c>
      <c r="I4017" s="23">
        <v>0</v>
      </c>
      <c r="J4017" s="23">
        <v>0</v>
      </c>
      <c r="K4017" s="23">
        <v>731.53499999999997</v>
      </c>
    </row>
    <row r="4018" spans="1:11" x14ac:dyDescent="0.25">
      <c r="A4018">
        <v>4017</v>
      </c>
      <c r="B4018" s="23">
        <v>1296.087385</v>
      </c>
      <c r="C4018" s="23">
        <v>298.64999999999998</v>
      </c>
      <c r="D4018" s="23">
        <v>1169.5999999999999</v>
      </c>
      <c r="E4018" s="23">
        <v>1169.5999999999999</v>
      </c>
      <c r="F4018" s="23">
        <v>0</v>
      </c>
      <c r="G4018" s="23">
        <v>0</v>
      </c>
      <c r="H4018" s="23">
        <v>0</v>
      </c>
      <c r="I4018" s="23">
        <v>0</v>
      </c>
      <c r="J4018" s="23">
        <v>0</v>
      </c>
      <c r="K4018" s="23">
        <v>126.48699999999999</v>
      </c>
    </row>
    <row r="4019" spans="1:11" x14ac:dyDescent="0.25">
      <c r="A4019">
        <v>4018</v>
      </c>
      <c r="B4019" s="23">
        <v>905.57315129999995</v>
      </c>
      <c r="C4019" s="23">
        <v>418.47</v>
      </c>
      <c r="D4019" s="23">
        <v>1626.3520000000001</v>
      </c>
      <c r="E4019" s="23">
        <v>905.57299999999998</v>
      </c>
      <c r="F4019" s="23">
        <v>-720.779</v>
      </c>
      <c r="G4019" s="23">
        <v>0</v>
      </c>
      <c r="H4019" s="23">
        <v>0</v>
      </c>
      <c r="I4019" s="23">
        <v>0</v>
      </c>
      <c r="J4019" s="23">
        <v>0</v>
      </c>
      <c r="K4019" s="23">
        <v>0</v>
      </c>
    </row>
    <row r="4020" spans="1:11" x14ac:dyDescent="0.25">
      <c r="A4020">
        <v>4019</v>
      </c>
      <c r="B4020" s="23">
        <v>1261.718374</v>
      </c>
      <c r="C4020" s="23">
        <v>642.86</v>
      </c>
      <c r="D4020" s="23">
        <v>2467.348</v>
      </c>
      <c r="E4020" s="23">
        <v>1261.7190000000001</v>
      </c>
      <c r="F4020" s="23">
        <v>-1205.6289999999999</v>
      </c>
      <c r="G4020" s="23">
        <v>0</v>
      </c>
      <c r="H4020" s="23">
        <v>0</v>
      </c>
      <c r="I4020" s="23">
        <v>0</v>
      </c>
      <c r="J4020" s="23">
        <v>0</v>
      </c>
      <c r="K4020" s="23">
        <v>0</v>
      </c>
    </row>
    <row r="4021" spans="1:11" x14ac:dyDescent="0.25">
      <c r="A4021">
        <v>4020</v>
      </c>
      <c r="B4021" s="23">
        <v>1336.469272</v>
      </c>
      <c r="C4021" s="23">
        <v>725.12</v>
      </c>
      <c r="D4021" s="23">
        <v>2758.2730000000001</v>
      </c>
      <c r="E4021" s="23">
        <v>1336.4690000000001</v>
      </c>
      <c r="F4021" s="23">
        <v>-1421.8040000000001</v>
      </c>
      <c r="G4021" s="23">
        <v>0</v>
      </c>
      <c r="H4021" s="23">
        <v>0</v>
      </c>
      <c r="I4021" s="23">
        <v>0</v>
      </c>
      <c r="J4021" s="23">
        <v>0</v>
      </c>
      <c r="K4021" s="23">
        <v>0</v>
      </c>
    </row>
    <row r="4022" spans="1:11" x14ac:dyDescent="0.25">
      <c r="A4022">
        <v>4021</v>
      </c>
      <c r="B4022" s="23">
        <v>1087.4828789999999</v>
      </c>
      <c r="C4022" s="23">
        <v>704.67</v>
      </c>
      <c r="D4022" s="23">
        <v>2677.2020000000002</v>
      </c>
      <c r="E4022" s="23">
        <v>1087.4829999999999</v>
      </c>
      <c r="F4022" s="23">
        <v>-1589.7190000000001</v>
      </c>
      <c r="G4022" s="23">
        <v>0</v>
      </c>
      <c r="H4022" s="23">
        <v>0</v>
      </c>
      <c r="I4022" s="23">
        <v>0</v>
      </c>
      <c r="J4022" s="23">
        <v>0</v>
      </c>
      <c r="K4022" s="23">
        <v>0</v>
      </c>
    </row>
    <row r="4023" spans="1:11" x14ac:dyDescent="0.25">
      <c r="A4023">
        <v>4022</v>
      </c>
      <c r="B4023" s="23">
        <v>1175.3720029999999</v>
      </c>
      <c r="C4023" s="23">
        <v>464.56</v>
      </c>
      <c r="D4023" s="23">
        <v>1784.817</v>
      </c>
      <c r="E4023" s="23">
        <v>1175.3720000000001</v>
      </c>
      <c r="F4023" s="23">
        <v>-609.44500000000005</v>
      </c>
      <c r="G4023" s="23">
        <v>0</v>
      </c>
      <c r="H4023" s="23">
        <v>0</v>
      </c>
      <c r="I4023" s="23">
        <v>0</v>
      </c>
      <c r="J4023" s="23">
        <v>0</v>
      </c>
      <c r="K4023" s="23">
        <v>0</v>
      </c>
    </row>
    <row r="4024" spans="1:11" x14ac:dyDescent="0.25">
      <c r="A4024">
        <v>4023</v>
      </c>
      <c r="B4024" s="23">
        <v>1147.409371</v>
      </c>
      <c r="C4024" s="23">
        <v>143.9</v>
      </c>
      <c r="D4024" s="23">
        <v>540.08500000000004</v>
      </c>
      <c r="E4024" s="23">
        <v>540.08500000000004</v>
      </c>
      <c r="F4024" s="23">
        <v>0</v>
      </c>
      <c r="G4024" s="23">
        <v>0</v>
      </c>
      <c r="H4024" s="23">
        <v>0</v>
      </c>
      <c r="I4024" s="23">
        <v>607.32399999999996</v>
      </c>
      <c r="J4024" s="23">
        <v>0</v>
      </c>
      <c r="K4024" s="23">
        <v>0</v>
      </c>
    </row>
    <row r="4025" spans="1:11" x14ac:dyDescent="0.25">
      <c r="A4025">
        <v>4024</v>
      </c>
      <c r="B4025" s="23">
        <v>998.79387629999997</v>
      </c>
      <c r="C4025" s="23">
        <v>82.3</v>
      </c>
      <c r="D4025" s="23">
        <v>298.91199999999998</v>
      </c>
      <c r="E4025" s="23">
        <v>298.91199999999998</v>
      </c>
      <c r="F4025" s="23">
        <v>0</v>
      </c>
      <c r="G4025" s="23">
        <v>0</v>
      </c>
      <c r="H4025" s="23">
        <v>0</v>
      </c>
      <c r="I4025" s="23">
        <v>699.88199999999995</v>
      </c>
      <c r="J4025" s="23">
        <v>0</v>
      </c>
      <c r="K4025" s="23">
        <v>0</v>
      </c>
    </row>
    <row r="4026" spans="1:11" x14ac:dyDescent="0.25">
      <c r="A4026">
        <v>4025</v>
      </c>
      <c r="B4026" s="23">
        <v>1349.1183779999999</v>
      </c>
      <c r="C4026" s="23">
        <v>67.099999999999994</v>
      </c>
      <c r="D4026" s="23">
        <v>240.869</v>
      </c>
      <c r="E4026" s="23">
        <v>240.869</v>
      </c>
      <c r="F4026" s="23">
        <v>0</v>
      </c>
      <c r="G4026" s="23">
        <v>0</v>
      </c>
      <c r="H4026" s="23">
        <v>0</v>
      </c>
      <c r="I4026" s="23">
        <v>1108.249</v>
      </c>
      <c r="J4026" s="23">
        <v>0</v>
      </c>
      <c r="K4026" s="23">
        <v>0</v>
      </c>
    </row>
    <row r="4027" spans="1:11" x14ac:dyDescent="0.25">
      <c r="A4027">
        <v>4026</v>
      </c>
      <c r="B4027" s="23">
        <v>1296.8026789999999</v>
      </c>
      <c r="C4027" s="23">
        <v>21.55</v>
      </c>
      <c r="D4027" s="23">
        <v>58.43</v>
      </c>
      <c r="E4027" s="23">
        <v>58.43</v>
      </c>
      <c r="F4027" s="23">
        <v>0</v>
      </c>
      <c r="G4027" s="23">
        <v>0</v>
      </c>
      <c r="H4027" s="23">
        <v>0</v>
      </c>
      <c r="I4027" s="23">
        <v>0</v>
      </c>
      <c r="J4027" s="23">
        <v>0</v>
      </c>
      <c r="K4027" s="23">
        <v>1238.373</v>
      </c>
    </row>
    <row r="4028" spans="1:11" x14ac:dyDescent="0.25">
      <c r="A4028">
        <v>4027</v>
      </c>
      <c r="B4028" s="23">
        <v>1050.3225689999999</v>
      </c>
      <c r="C4028" s="23">
        <v>0</v>
      </c>
      <c r="D4028" s="23">
        <v>0</v>
      </c>
      <c r="E4028" s="23">
        <v>0</v>
      </c>
      <c r="F4028" s="23">
        <v>0</v>
      </c>
      <c r="G4028" s="23">
        <v>0</v>
      </c>
      <c r="H4028" s="23">
        <v>0</v>
      </c>
      <c r="I4028" s="23">
        <v>0</v>
      </c>
      <c r="J4028" s="23">
        <v>0</v>
      </c>
      <c r="K4028" s="23">
        <v>1050.3230000000001</v>
      </c>
    </row>
    <row r="4029" spans="1:11" x14ac:dyDescent="0.25">
      <c r="A4029">
        <v>4028</v>
      </c>
      <c r="B4029" s="23">
        <v>905.42512790000001</v>
      </c>
      <c r="C4029" s="23">
        <v>0</v>
      </c>
      <c r="D4029" s="23">
        <v>0</v>
      </c>
      <c r="E4029" s="23">
        <v>0</v>
      </c>
      <c r="F4029" s="23">
        <v>0</v>
      </c>
      <c r="G4029" s="23">
        <v>0</v>
      </c>
      <c r="H4029" s="23">
        <v>0</v>
      </c>
      <c r="I4029" s="23">
        <v>0</v>
      </c>
      <c r="J4029" s="23">
        <v>0</v>
      </c>
      <c r="K4029" s="23">
        <v>905.42499999999995</v>
      </c>
    </row>
    <row r="4030" spans="1:11" x14ac:dyDescent="0.25">
      <c r="A4030">
        <v>4029</v>
      </c>
      <c r="B4030" s="23">
        <v>1113.5772899999999</v>
      </c>
      <c r="C4030" s="23">
        <v>0</v>
      </c>
      <c r="D4030" s="23">
        <v>0</v>
      </c>
      <c r="E4030" s="23">
        <v>0</v>
      </c>
      <c r="F4030" s="23">
        <v>0</v>
      </c>
      <c r="G4030" s="23">
        <v>0</v>
      </c>
      <c r="H4030" s="23">
        <v>0</v>
      </c>
      <c r="I4030" s="23">
        <v>1113.577</v>
      </c>
      <c r="J4030" s="23">
        <v>0</v>
      </c>
      <c r="K4030" s="23">
        <v>0</v>
      </c>
    </row>
    <row r="4031" spans="1:11" x14ac:dyDescent="0.25">
      <c r="A4031">
        <v>4030</v>
      </c>
      <c r="B4031" s="23">
        <v>1034.876649</v>
      </c>
      <c r="C4031" s="23">
        <v>0</v>
      </c>
      <c r="D4031" s="23">
        <v>0</v>
      </c>
      <c r="E4031" s="23">
        <v>0</v>
      </c>
      <c r="F4031" s="23">
        <v>0</v>
      </c>
      <c r="G4031" s="23">
        <v>0</v>
      </c>
      <c r="H4031" s="23">
        <v>0</v>
      </c>
      <c r="I4031" s="23">
        <v>1034.877</v>
      </c>
      <c r="J4031" s="23">
        <v>0</v>
      </c>
      <c r="K4031" s="23">
        <v>0</v>
      </c>
    </row>
    <row r="4032" spans="1:11" x14ac:dyDescent="0.25">
      <c r="A4032">
        <v>4031</v>
      </c>
      <c r="B4032" s="23">
        <v>1276.8627309999999</v>
      </c>
      <c r="C4032" s="23">
        <v>0</v>
      </c>
      <c r="D4032" s="23">
        <v>0</v>
      </c>
      <c r="E4032" s="23">
        <v>0</v>
      </c>
      <c r="F4032" s="23">
        <v>0</v>
      </c>
      <c r="G4032" s="23">
        <v>0</v>
      </c>
      <c r="H4032" s="23">
        <v>0</v>
      </c>
      <c r="I4032" s="23">
        <v>1276.8630000000001</v>
      </c>
      <c r="J4032" s="23">
        <v>0</v>
      </c>
      <c r="K4032" s="23">
        <v>0</v>
      </c>
    </row>
    <row r="4033" spans="1:11" x14ac:dyDescent="0.25">
      <c r="A4033">
        <v>4032</v>
      </c>
      <c r="B4033" s="23">
        <v>906.16064789999996</v>
      </c>
      <c r="C4033" s="23">
        <v>0</v>
      </c>
      <c r="D4033" s="23">
        <v>0</v>
      </c>
      <c r="E4033" s="23">
        <v>0</v>
      </c>
      <c r="F4033" s="23">
        <v>0</v>
      </c>
      <c r="G4033" s="23">
        <v>0</v>
      </c>
      <c r="H4033" s="23">
        <v>0</v>
      </c>
      <c r="I4033" s="23">
        <v>906.16099999999994</v>
      </c>
      <c r="J4033" s="23">
        <v>0</v>
      </c>
      <c r="K4033" s="23">
        <v>0</v>
      </c>
    </row>
    <row r="4034" spans="1:11" x14ac:dyDescent="0.25">
      <c r="A4034">
        <v>4033</v>
      </c>
      <c r="B4034" s="23">
        <v>1189.3358499999999</v>
      </c>
      <c r="C4034" s="23">
        <v>0</v>
      </c>
      <c r="D4034" s="23">
        <v>0</v>
      </c>
      <c r="E4034" s="23">
        <v>0</v>
      </c>
      <c r="F4034" s="23">
        <v>0</v>
      </c>
      <c r="G4034" s="23">
        <v>0</v>
      </c>
      <c r="H4034" s="23">
        <v>0</v>
      </c>
      <c r="I4034" s="23">
        <v>1189.336</v>
      </c>
      <c r="J4034" s="23">
        <v>0</v>
      </c>
      <c r="K4034" s="23">
        <v>0</v>
      </c>
    </row>
    <row r="4035" spans="1:11" x14ac:dyDescent="0.25">
      <c r="A4035">
        <v>4034</v>
      </c>
      <c r="B4035" s="23">
        <v>1040.0252889999999</v>
      </c>
      <c r="C4035" s="23">
        <v>0</v>
      </c>
      <c r="D4035" s="23">
        <v>0</v>
      </c>
      <c r="E4035" s="23">
        <v>0</v>
      </c>
      <c r="F4035" s="23">
        <v>0</v>
      </c>
      <c r="G4035" s="23">
        <v>0</v>
      </c>
      <c r="H4035" s="23">
        <v>0</v>
      </c>
      <c r="I4035" s="23">
        <v>1040.0250000000001</v>
      </c>
      <c r="J4035" s="23">
        <v>0</v>
      </c>
      <c r="K4035" s="23">
        <v>0</v>
      </c>
    </row>
    <row r="4036" spans="1:11" x14ac:dyDescent="0.25">
      <c r="A4036">
        <v>4035</v>
      </c>
      <c r="B4036" s="23">
        <v>1162.8571300000001</v>
      </c>
      <c r="C4036" s="23">
        <v>0</v>
      </c>
      <c r="D4036" s="23">
        <v>0</v>
      </c>
      <c r="E4036" s="23">
        <v>0</v>
      </c>
      <c r="F4036" s="23">
        <v>0</v>
      </c>
      <c r="G4036" s="23">
        <v>0</v>
      </c>
      <c r="H4036" s="23">
        <v>0</v>
      </c>
      <c r="I4036" s="23">
        <v>1162.857</v>
      </c>
      <c r="J4036" s="23">
        <v>0</v>
      </c>
      <c r="K4036" s="23">
        <v>0</v>
      </c>
    </row>
    <row r="4037" spans="1:11" x14ac:dyDescent="0.25">
      <c r="A4037">
        <v>4036</v>
      </c>
      <c r="B4037" s="23">
        <v>711.98336619999998</v>
      </c>
      <c r="C4037" s="23">
        <v>0</v>
      </c>
      <c r="D4037" s="23">
        <v>0</v>
      </c>
      <c r="E4037" s="23">
        <v>0</v>
      </c>
      <c r="F4037" s="23">
        <v>0</v>
      </c>
      <c r="G4037" s="23">
        <v>0</v>
      </c>
      <c r="H4037" s="23">
        <v>0</v>
      </c>
      <c r="I4037" s="23">
        <v>711.98299999999995</v>
      </c>
      <c r="J4037" s="23">
        <v>0</v>
      </c>
      <c r="K4037" s="23">
        <v>0</v>
      </c>
    </row>
    <row r="4038" spans="1:11" x14ac:dyDescent="0.25">
      <c r="A4038">
        <v>4037</v>
      </c>
      <c r="B4038" s="23">
        <v>1019.430729</v>
      </c>
      <c r="C4038" s="23">
        <v>0</v>
      </c>
      <c r="D4038" s="23">
        <v>0</v>
      </c>
      <c r="E4038" s="23">
        <v>0</v>
      </c>
      <c r="F4038" s="23">
        <v>0</v>
      </c>
      <c r="G4038" s="23">
        <v>0</v>
      </c>
      <c r="H4038" s="23">
        <v>0</v>
      </c>
      <c r="I4038" s="23">
        <v>104.32</v>
      </c>
      <c r="J4038" s="23">
        <v>0</v>
      </c>
      <c r="K4038" s="23">
        <v>915.11</v>
      </c>
    </row>
    <row r="4039" spans="1:11" x14ac:dyDescent="0.25">
      <c r="A4039">
        <v>4038</v>
      </c>
      <c r="B4039" s="23">
        <v>675.20736590000001</v>
      </c>
      <c r="C4039" s="23">
        <v>0</v>
      </c>
      <c r="D4039" s="23">
        <v>0</v>
      </c>
      <c r="E4039" s="23">
        <v>0</v>
      </c>
      <c r="F4039" s="23">
        <v>0</v>
      </c>
      <c r="G4039" s="23">
        <v>0</v>
      </c>
      <c r="H4039" s="23">
        <v>0</v>
      </c>
      <c r="I4039" s="23">
        <v>0</v>
      </c>
      <c r="J4039" s="23">
        <v>0</v>
      </c>
      <c r="K4039" s="23">
        <v>675.20699999999999</v>
      </c>
    </row>
    <row r="4040" spans="1:11" x14ac:dyDescent="0.25">
      <c r="A4040">
        <v>4039</v>
      </c>
      <c r="B4040" s="23">
        <v>747.14490009999997</v>
      </c>
      <c r="C4040" s="23">
        <v>63.21</v>
      </c>
      <c r="D4040" s="23">
        <v>224.89099999999999</v>
      </c>
      <c r="E4040" s="23">
        <v>224.89099999999999</v>
      </c>
      <c r="F4040" s="23">
        <v>0</v>
      </c>
      <c r="G4040" s="23">
        <v>0</v>
      </c>
      <c r="H4040" s="23">
        <v>0</v>
      </c>
      <c r="I4040" s="23">
        <v>0</v>
      </c>
      <c r="J4040" s="23">
        <v>0</v>
      </c>
      <c r="K4040" s="23">
        <v>522.25400000000002</v>
      </c>
    </row>
    <row r="4041" spans="1:11" x14ac:dyDescent="0.25">
      <c r="A4041">
        <v>4040</v>
      </c>
      <c r="B4041" s="23">
        <v>1067.651421</v>
      </c>
      <c r="C4041" s="23">
        <v>179.14</v>
      </c>
      <c r="D4041" s="23">
        <v>697.95100000000002</v>
      </c>
      <c r="E4041" s="23">
        <v>697.95100000000002</v>
      </c>
      <c r="F4041" s="23">
        <v>0</v>
      </c>
      <c r="G4041" s="23">
        <v>0</v>
      </c>
      <c r="H4041" s="23">
        <v>0</v>
      </c>
      <c r="I4041" s="23">
        <v>0</v>
      </c>
      <c r="J4041" s="23">
        <v>0</v>
      </c>
      <c r="K4041" s="23">
        <v>369.7</v>
      </c>
    </row>
    <row r="4042" spans="1:11" x14ac:dyDescent="0.25">
      <c r="A4042">
        <v>4041</v>
      </c>
      <c r="B4042" s="23">
        <v>1143.1930030000001</v>
      </c>
      <c r="C4042" s="23">
        <v>397.11</v>
      </c>
      <c r="D4042" s="23">
        <v>1562.405</v>
      </c>
      <c r="E4042" s="23">
        <v>1143.193</v>
      </c>
      <c r="F4042" s="23">
        <v>-419.21199999999999</v>
      </c>
      <c r="G4042" s="23">
        <v>0</v>
      </c>
      <c r="H4042" s="23">
        <v>0</v>
      </c>
      <c r="I4042" s="23">
        <v>0</v>
      </c>
      <c r="J4042" s="23">
        <v>0</v>
      </c>
      <c r="K4042" s="23">
        <v>0</v>
      </c>
    </row>
    <row r="4043" spans="1:11" x14ac:dyDescent="0.25">
      <c r="A4043">
        <v>4042</v>
      </c>
      <c r="B4043" s="23">
        <v>1219.8369459999999</v>
      </c>
      <c r="C4043" s="23">
        <v>465.15</v>
      </c>
      <c r="D4043" s="23">
        <v>1805.614</v>
      </c>
      <c r="E4043" s="23">
        <v>1219.837</v>
      </c>
      <c r="F4043" s="23">
        <v>-585.77700000000004</v>
      </c>
      <c r="G4043" s="23">
        <v>0</v>
      </c>
      <c r="H4043" s="23">
        <v>0</v>
      </c>
      <c r="I4043" s="23">
        <v>0</v>
      </c>
      <c r="J4043" s="23">
        <v>0</v>
      </c>
      <c r="K4043" s="23">
        <v>0</v>
      </c>
    </row>
    <row r="4044" spans="1:11" x14ac:dyDescent="0.25">
      <c r="A4044">
        <v>4043</v>
      </c>
      <c r="B4044" s="23">
        <v>1490.471532</v>
      </c>
      <c r="C4044" s="23">
        <v>506.41</v>
      </c>
      <c r="D4044" s="23">
        <v>1949.0260000000001</v>
      </c>
      <c r="E4044" s="23">
        <v>1490.472</v>
      </c>
      <c r="F4044" s="23">
        <v>-458.55399999999997</v>
      </c>
      <c r="G4044" s="23">
        <v>0</v>
      </c>
      <c r="H4044" s="23">
        <v>0</v>
      </c>
      <c r="I4044" s="23">
        <v>0</v>
      </c>
      <c r="J4044" s="23">
        <v>0</v>
      </c>
      <c r="K4044" s="23">
        <v>0</v>
      </c>
    </row>
    <row r="4045" spans="1:11" x14ac:dyDescent="0.25">
      <c r="A4045">
        <v>4044</v>
      </c>
      <c r="B4045" s="23">
        <v>1150.450746</v>
      </c>
      <c r="C4045" s="23">
        <v>612.17999999999995</v>
      </c>
      <c r="D4045" s="23">
        <v>2342.1660000000002</v>
      </c>
      <c r="E4045" s="23">
        <v>1150.451</v>
      </c>
      <c r="F4045" s="23">
        <v>-1191.7149999999999</v>
      </c>
      <c r="G4045" s="23">
        <v>0</v>
      </c>
      <c r="H4045" s="23">
        <v>0</v>
      </c>
      <c r="I4045" s="23">
        <v>0</v>
      </c>
      <c r="J4045" s="23">
        <v>0</v>
      </c>
      <c r="K4045" s="23">
        <v>0</v>
      </c>
    </row>
    <row r="4046" spans="1:11" x14ac:dyDescent="0.25">
      <c r="A4046">
        <v>4045</v>
      </c>
      <c r="B4046" s="23">
        <v>1240.4710399999999</v>
      </c>
      <c r="C4046" s="23">
        <v>677.58</v>
      </c>
      <c r="D4046" s="23">
        <v>2585.143</v>
      </c>
      <c r="E4046" s="23">
        <v>1240.471</v>
      </c>
      <c r="F4046" s="23">
        <v>-1344.672</v>
      </c>
      <c r="G4046" s="23">
        <v>0</v>
      </c>
      <c r="H4046" s="23">
        <v>0</v>
      </c>
      <c r="I4046" s="23">
        <v>0</v>
      </c>
      <c r="J4046" s="23">
        <v>0</v>
      </c>
      <c r="K4046" s="23">
        <v>0</v>
      </c>
    </row>
    <row r="4047" spans="1:11" x14ac:dyDescent="0.25">
      <c r="A4047">
        <v>4046</v>
      </c>
      <c r="B4047" s="23">
        <v>1223.972407</v>
      </c>
      <c r="C4047" s="23">
        <v>674.03</v>
      </c>
      <c r="D4047" s="23">
        <v>2584.3110000000001</v>
      </c>
      <c r="E4047" s="23">
        <v>1223.972</v>
      </c>
      <c r="F4047" s="23">
        <v>-1360.3389999999999</v>
      </c>
      <c r="G4047" s="23">
        <v>0</v>
      </c>
      <c r="H4047" s="23">
        <v>0</v>
      </c>
      <c r="I4047" s="23">
        <v>0</v>
      </c>
      <c r="J4047" s="23">
        <v>0</v>
      </c>
      <c r="K4047" s="23">
        <v>0</v>
      </c>
    </row>
    <row r="4048" spans="1:11" x14ac:dyDescent="0.25">
      <c r="A4048">
        <v>4047</v>
      </c>
      <c r="B4048" s="23">
        <v>1179.346569</v>
      </c>
      <c r="C4048" s="23">
        <v>459.1</v>
      </c>
      <c r="D4048" s="23">
        <v>1780.3689999999999</v>
      </c>
      <c r="E4048" s="23">
        <v>1179.347</v>
      </c>
      <c r="F4048" s="23">
        <v>-601.02200000000005</v>
      </c>
      <c r="G4048" s="23">
        <v>0</v>
      </c>
      <c r="H4048" s="23">
        <v>0</v>
      </c>
      <c r="I4048" s="23">
        <v>0</v>
      </c>
      <c r="J4048" s="23">
        <v>0</v>
      </c>
      <c r="K4048" s="23">
        <v>0</v>
      </c>
    </row>
    <row r="4049" spans="1:11" x14ac:dyDescent="0.25">
      <c r="A4049">
        <v>4048</v>
      </c>
      <c r="B4049" s="23">
        <v>1321.3359479999999</v>
      </c>
      <c r="C4049" s="23">
        <v>426.35</v>
      </c>
      <c r="D4049" s="23">
        <v>1677.2550000000001</v>
      </c>
      <c r="E4049" s="23">
        <v>1321.336</v>
      </c>
      <c r="F4049" s="23">
        <v>-355.91899999999998</v>
      </c>
      <c r="G4049" s="23">
        <v>0</v>
      </c>
      <c r="H4049" s="23">
        <v>0</v>
      </c>
      <c r="I4049" s="23">
        <v>0</v>
      </c>
      <c r="J4049" s="23">
        <v>0</v>
      </c>
      <c r="K4049" s="23">
        <v>0</v>
      </c>
    </row>
    <row r="4050" spans="1:11" x14ac:dyDescent="0.25">
      <c r="A4050">
        <v>4049</v>
      </c>
      <c r="B4050" s="23">
        <v>1489.50892</v>
      </c>
      <c r="C4050" s="23">
        <v>74.66</v>
      </c>
      <c r="D4050" s="23">
        <v>269.524</v>
      </c>
      <c r="E4050" s="23">
        <v>269.524</v>
      </c>
      <c r="F4050" s="23">
        <v>0</v>
      </c>
      <c r="G4050" s="23">
        <v>0</v>
      </c>
      <c r="H4050" s="23">
        <v>0</v>
      </c>
      <c r="I4050" s="23">
        <v>1219.9849999999999</v>
      </c>
      <c r="J4050" s="23">
        <v>0</v>
      </c>
      <c r="K4050" s="23">
        <v>0</v>
      </c>
    </row>
    <row r="4051" spans="1:11" x14ac:dyDescent="0.25">
      <c r="A4051">
        <v>4050</v>
      </c>
      <c r="B4051" s="23">
        <v>1368.665741</v>
      </c>
      <c r="C4051" s="23">
        <v>18.61</v>
      </c>
      <c r="D4051" s="23">
        <v>46.874000000000002</v>
      </c>
      <c r="E4051" s="23">
        <v>46.874000000000002</v>
      </c>
      <c r="F4051" s="23">
        <v>0</v>
      </c>
      <c r="G4051" s="23">
        <v>0</v>
      </c>
      <c r="H4051" s="23">
        <v>0</v>
      </c>
      <c r="I4051" s="23">
        <v>0</v>
      </c>
      <c r="J4051" s="23">
        <v>0</v>
      </c>
      <c r="K4051" s="23">
        <v>1321.7919999999999</v>
      </c>
    </row>
    <row r="4052" spans="1:11" x14ac:dyDescent="0.25">
      <c r="A4052">
        <v>4051</v>
      </c>
      <c r="B4052" s="23">
        <v>1199.6331299999999</v>
      </c>
      <c r="C4052" s="23">
        <v>0</v>
      </c>
      <c r="D4052" s="23">
        <v>0</v>
      </c>
      <c r="E4052" s="23">
        <v>0</v>
      </c>
      <c r="F4052" s="23">
        <v>0</v>
      </c>
      <c r="G4052" s="23">
        <v>0</v>
      </c>
      <c r="H4052" s="23">
        <v>0</v>
      </c>
      <c r="I4052" s="23">
        <v>0</v>
      </c>
      <c r="J4052" s="23">
        <v>0</v>
      </c>
      <c r="K4052" s="23">
        <v>1199.633</v>
      </c>
    </row>
    <row r="4053" spans="1:11" x14ac:dyDescent="0.25">
      <c r="A4053">
        <v>4052</v>
      </c>
      <c r="B4053" s="23">
        <v>1119.46145</v>
      </c>
      <c r="C4053" s="23">
        <v>0</v>
      </c>
      <c r="D4053" s="23">
        <v>0</v>
      </c>
      <c r="E4053" s="23">
        <v>0</v>
      </c>
      <c r="F4053" s="23">
        <v>0</v>
      </c>
      <c r="G4053" s="23">
        <v>0</v>
      </c>
      <c r="H4053" s="23">
        <v>0</v>
      </c>
      <c r="I4053" s="23">
        <v>0</v>
      </c>
      <c r="J4053" s="23">
        <v>0</v>
      </c>
      <c r="K4053" s="23">
        <v>1119.461</v>
      </c>
    </row>
    <row r="4054" spans="1:11" x14ac:dyDescent="0.25">
      <c r="A4054">
        <v>4053</v>
      </c>
      <c r="B4054" s="23">
        <v>1075.3302490000001</v>
      </c>
      <c r="C4054" s="23">
        <v>0</v>
      </c>
      <c r="D4054" s="23">
        <v>0</v>
      </c>
      <c r="E4054" s="23">
        <v>0</v>
      </c>
      <c r="F4054" s="23">
        <v>0</v>
      </c>
      <c r="G4054" s="23">
        <v>0</v>
      </c>
      <c r="H4054" s="23">
        <v>0</v>
      </c>
      <c r="I4054" s="23">
        <v>1075.33</v>
      </c>
      <c r="J4054" s="23">
        <v>0</v>
      </c>
      <c r="K4054" s="23">
        <v>0</v>
      </c>
    </row>
    <row r="4055" spans="1:11" x14ac:dyDescent="0.25">
      <c r="A4055">
        <v>4054</v>
      </c>
      <c r="B4055" s="23">
        <v>1176.8320100000001</v>
      </c>
      <c r="C4055" s="23">
        <v>0</v>
      </c>
      <c r="D4055" s="23">
        <v>0</v>
      </c>
      <c r="E4055" s="23">
        <v>0</v>
      </c>
      <c r="F4055" s="23">
        <v>0</v>
      </c>
      <c r="G4055" s="23">
        <v>0</v>
      </c>
      <c r="H4055" s="23">
        <v>0</v>
      </c>
      <c r="I4055" s="23">
        <v>1176.8320000000001</v>
      </c>
      <c r="J4055" s="23">
        <v>0</v>
      </c>
      <c r="K4055" s="23">
        <v>0</v>
      </c>
    </row>
    <row r="4056" spans="1:11" x14ac:dyDescent="0.25">
      <c r="A4056">
        <v>4055</v>
      </c>
      <c r="B4056" s="23">
        <v>1138.5849700000001</v>
      </c>
      <c r="C4056" s="23">
        <v>0</v>
      </c>
      <c r="D4056" s="23">
        <v>0</v>
      </c>
      <c r="E4056" s="23">
        <v>0</v>
      </c>
      <c r="F4056" s="23">
        <v>0</v>
      </c>
      <c r="G4056" s="23">
        <v>0</v>
      </c>
      <c r="H4056" s="23">
        <v>0</v>
      </c>
      <c r="I4056" s="23">
        <v>1138.585</v>
      </c>
      <c r="J4056" s="23">
        <v>0</v>
      </c>
      <c r="K4056" s="23">
        <v>0</v>
      </c>
    </row>
    <row r="4057" spans="1:11" x14ac:dyDescent="0.25">
      <c r="A4057">
        <v>4056</v>
      </c>
      <c r="B4057" s="23">
        <v>1338.6464120000001</v>
      </c>
      <c r="C4057" s="23">
        <v>0</v>
      </c>
      <c r="D4057" s="23">
        <v>0</v>
      </c>
      <c r="E4057" s="23">
        <v>0</v>
      </c>
      <c r="F4057" s="23">
        <v>0</v>
      </c>
      <c r="G4057" s="23">
        <v>0</v>
      </c>
      <c r="H4057" s="23">
        <v>0</v>
      </c>
      <c r="I4057" s="23">
        <v>1338.646</v>
      </c>
      <c r="J4057" s="23">
        <v>0</v>
      </c>
      <c r="K4057" s="23">
        <v>0</v>
      </c>
    </row>
    <row r="4058" spans="1:11" x14ac:dyDescent="0.25">
      <c r="A4058">
        <v>4057</v>
      </c>
      <c r="B4058" s="23">
        <v>1243.0288109999999</v>
      </c>
      <c r="C4058" s="23">
        <v>0</v>
      </c>
      <c r="D4058" s="23">
        <v>0</v>
      </c>
      <c r="E4058" s="23">
        <v>0</v>
      </c>
      <c r="F4058" s="23">
        <v>0</v>
      </c>
      <c r="G4058" s="23">
        <v>0</v>
      </c>
      <c r="H4058" s="23">
        <v>0</v>
      </c>
      <c r="I4058" s="23">
        <v>1243.029</v>
      </c>
      <c r="J4058" s="23">
        <v>0</v>
      </c>
      <c r="K4058" s="23">
        <v>0</v>
      </c>
    </row>
    <row r="4059" spans="1:11" x14ac:dyDescent="0.25">
      <c r="A4059">
        <v>4058</v>
      </c>
      <c r="B4059" s="23">
        <v>1127.5521699999999</v>
      </c>
      <c r="C4059" s="23">
        <v>0</v>
      </c>
      <c r="D4059" s="23">
        <v>0</v>
      </c>
      <c r="E4059" s="23">
        <v>0</v>
      </c>
      <c r="F4059" s="23">
        <v>0</v>
      </c>
      <c r="G4059" s="23">
        <v>0</v>
      </c>
      <c r="H4059" s="23">
        <v>0</v>
      </c>
      <c r="I4059" s="23">
        <v>1127.5519999999999</v>
      </c>
      <c r="J4059" s="23">
        <v>0</v>
      </c>
      <c r="K4059" s="23">
        <v>0</v>
      </c>
    </row>
    <row r="4060" spans="1:11" x14ac:dyDescent="0.25">
      <c r="A4060">
        <v>4059</v>
      </c>
      <c r="B4060" s="23">
        <v>1088.5696089999999</v>
      </c>
      <c r="C4060" s="23">
        <v>0</v>
      </c>
      <c r="D4060" s="23">
        <v>0</v>
      </c>
      <c r="E4060" s="23">
        <v>0</v>
      </c>
      <c r="F4060" s="23">
        <v>0</v>
      </c>
      <c r="G4060" s="23">
        <v>0</v>
      </c>
      <c r="H4060" s="23">
        <v>0</v>
      </c>
      <c r="I4060" s="23">
        <v>1088.57</v>
      </c>
      <c r="J4060" s="23">
        <v>0</v>
      </c>
      <c r="K4060" s="23">
        <v>0</v>
      </c>
    </row>
    <row r="4061" spans="1:11" x14ac:dyDescent="0.25">
      <c r="A4061">
        <v>4060</v>
      </c>
      <c r="B4061" s="23">
        <v>1187.86481</v>
      </c>
      <c r="C4061" s="23">
        <v>0</v>
      </c>
      <c r="D4061" s="23">
        <v>0</v>
      </c>
      <c r="E4061" s="23">
        <v>0</v>
      </c>
      <c r="F4061" s="23">
        <v>0</v>
      </c>
      <c r="G4061" s="23">
        <v>0</v>
      </c>
      <c r="H4061" s="23">
        <v>0</v>
      </c>
      <c r="I4061" s="23">
        <v>1187.865</v>
      </c>
      <c r="J4061" s="23">
        <v>0</v>
      </c>
      <c r="K4061" s="23">
        <v>0</v>
      </c>
    </row>
    <row r="4062" spans="1:11" x14ac:dyDescent="0.25">
      <c r="A4062">
        <v>4061</v>
      </c>
      <c r="B4062" s="23">
        <v>1379.1000120000001</v>
      </c>
      <c r="C4062" s="23">
        <v>0</v>
      </c>
      <c r="D4062" s="23">
        <v>0</v>
      </c>
      <c r="E4062" s="23">
        <v>0</v>
      </c>
      <c r="F4062" s="23">
        <v>0</v>
      </c>
      <c r="G4062" s="23">
        <v>0</v>
      </c>
      <c r="H4062" s="23">
        <v>0</v>
      </c>
      <c r="I4062" s="23">
        <v>679.76099999999997</v>
      </c>
      <c r="J4062" s="23">
        <v>0</v>
      </c>
      <c r="K4062" s="23">
        <v>699.33900000000006</v>
      </c>
    </row>
    <row r="4063" spans="1:11" x14ac:dyDescent="0.25">
      <c r="A4063">
        <v>4062</v>
      </c>
      <c r="B4063" s="23">
        <v>1313.638731</v>
      </c>
      <c r="C4063" s="23">
        <v>0</v>
      </c>
      <c r="D4063" s="23">
        <v>0</v>
      </c>
      <c r="E4063" s="23">
        <v>0</v>
      </c>
      <c r="F4063" s="23">
        <v>0</v>
      </c>
      <c r="G4063" s="23">
        <v>0</v>
      </c>
      <c r="H4063" s="23">
        <v>0</v>
      </c>
      <c r="I4063" s="23">
        <v>0</v>
      </c>
      <c r="J4063" s="23">
        <v>0</v>
      </c>
      <c r="K4063" s="23">
        <v>1313.6389999999999</v>
      </c>
    </row>
    <row r="4064" spans="1:11" x14ac:dyDescent="0.25">
      <c r="A4064">
        <v>4063</v>
      </c>
      <c r="B4064" s="23">
        <v>1192.7734869999999</v>
      </c>
      <c r="C4064" s="23">
        <v>95.03</v>
      </c>
      <c r="D4064" s="23">
        <v>341.54500000000002</v>
      </c>
      <c r="E4064" s="23">
        <v>341.54500000000002</v>
      </c>
      <c r="F4064" s="23">
        <v>0</v>
      </c>
      <c r="G4064" s="23">
        <v>0</v>
      </c>
      <c r="H4064" s="23">
        <v>0</v>
      </c>
      <c r="I4064" s="23">
        <v>0</v>
      </c>
      <c r="J4064" s="23">
        <v>0</v>
      </c>
      <c r="K4064" s="23">
        <v>851.22900000000004</v>
      </c>
    </row>
    <row r="4065" spans="1:11" x14ac:dyDescent="0.25">
      <c r="A4065">
        <v>4064</v>
      </c>
      <c r="B4065" s="23">
        <v>1204.4443510000001</v>
      </c>
      <c r="C4065" s="23">
        <v>294.23</v>
      </c>
      <c r="D4065" s="23">
        <v>1157.6880000000001</v>
      </c>
      <c r="E4065" s="23">
        <v>1157.6880000000001</v>
      </c>
      <c r="F4065" s="23">
        <v>0</v>
      </c>
      <c r="G4065" s="23">
        <v>0</v>
      </c>
      <c r="H4065" s="23">
        <v>0</v>
      </c>
      <c r="I4065" s="23">
        <v>0</v>
      </c>
      <c r="J4065" s="23">
        <v>0</v>
      </c>
      <c r="K4065" s="23">
        <v>46.756</v>
      </c>
    </row>
    <row r="4066" spans="1:11" x14ac:dyDescent="0.25">
      <c r="A4066">
        <v>4065</v>
      </c>
      <c r="B4066" s="23">
        <v>914.0068076</v>
      </c>
      <c r="C4066" s="23">
        <v>327.48</v>
      </c>
      <c r="D4066" s="23">
        <v>1281.367</v>
      </c>
      <c r="E4066" s="23">
        <v>914.00699999999995</v>
      </c>
      <c r="F4066" s="23">
        <v>-367.36</v>
      </c>
      <c r="G4066" s="23">
        <v>0</v>
      </c>
      <c r="H4066" s="23">
        <v>0</v>
      </c>
      <c r="I4066" s="23">
        <v>0</v>
      </c>
      <c r="J4066" s="23">
        <v>0</v>
      </c>
      <c r="K4066" s="23">
        <v>0</v>
      </c>
    </row>
    <row r="4067" spans="1:11" x14ac:dyDescent="0.25">
      <c r="A4067">
        <v>4066</v>
      </c>
      <c r="B4067" s="23">
        <v>1054.7081069999999</v>
      </c>
      <c r="C4067" s="23">
        <v>707.1</v>
      </c>
      <c r="D4067" s="23">
        <v>2772.2570000000001</v>
      </c>
      <c r="E4067" s="23">
        <v>1054.7090000000001</v>
      </c>
      <c r="F4067" s="23">
        <v>-1684.559</v>
      </c>
      <c r="G4067" s="23">
        <v>0</v>
      </c>
      <c r="H4067" s="23">
        <v>32.988999999999997</v>
      </c>
      <c r="I4067" s="23">
        <v>0</v>
      </c>
      <c r="J4067" s="23">
        <v>0</v>
      </c>
      <c r="K4067" s="23">
        <v>0</v>
      </c>
    </row>
    <row r="4068" spans="1:11" x14ac:dyDescent="0.25">
      <c r="A4068">
        <v>4067</v>
      </c>
      <c r="B4068" s="23">
        <v>1164.4743550000001</v>
      </c>
      <c r="C4068" s="23">
        <v>684.59</v>
      </c>
      <c r="D4068" s="23">
        <v>2627.1759999999999</v>
      </c>
      <c r="E4068" s="23">
        <v>1164.4739999999999</v>
      </c>
      <c r="F4068" s="23">
        <v>-1462.702</v>
      </c>
      <c r="G4068" s="23">
        <v>0</v>
      </c>
      <c r="H4068" s="23">
        <v>0</v>
      </c>
      <c r="I4068" s="23">
        <v>0</v>
      </c>
      <c r="J4068" s="23">
        <v>0</v>
      </c>
      <c r="K4068" s="23">
        <v>0</v>
      </c>
    </row>
    <row r="4069" spans="1:11" x14ac:dyDescent="0.25">
      <c r="A4069">
        <v>4068</v>
      </c>
      <c r="B4069" s="23">
        <v>1401.6253119999999</v>
      </c>
      <c r="C4069" s="23">
        <v>751.21</v>
      </c>
      <c r="D4069" s="23">
        <v>2864.4969999999998</v>
      </c>
      <c r="E4069" s="23">
        <v>1401.626</v>
      </c>
      <c r="F4069" s="23">
        <v>-1462.8710000000001</v>
      </c>
      <c r="G4069" s="23">
        <v>0</v>
      </c>
      <c r="H4069" s="23">
        <v>0</v>
      </c>
      <c r="I4069" s="23">
        <v>0</v>
      </c>
      <c r="J4069" s="23">
        <v>0</v>
      </c>
      <c r="K4069" s="23">
        <v>0</v>
      </c>
    </row>
    <row r="4070" spans="1:11" x14ac:dyDescent="0.25">
      <c r="A4070">
        <v>4069</v>
      </c>
      <c r="B4070" s="23">
        <v>1428.7283050000001</v>
      </c>
      <c r="C4070" s="23">
        <v>738.84</v>
      </c>
      <c r="D4070" s="23">
        <v>2822.788</v>
      </c>
      <c r="E4070" s="23">
        <v>1428.7280000000001</v>
      </c>
      <c r="F4070" s="23">
        <v>-1394.06</v>
      </c>
      <c r="G4070" s="23">
        <v>0</v>
      </c>
      <c r="H4070" s="23">
        <v>0</v>
      </c>
      <c r="I4070" s="23">
        <v>0</v>
      </c>
      <c r="J4070" s="23">
        <v>0</v>
      </c>
      <c r="K4070" s="23">
        <v>0</v>
      </c>
    </row>
    <row r="4071" spans="1:11" x14ac:dyDescent="0.25">
      <c r="A4071">
        <v>4070</v>
      </c>
      <c r="B4071" s="23">
        <v>1276.967543</v>
      </c>
      <c r="C4071" s="23">
        <v>690.89</v>
      </c>
      <c r="D4071" s="23">
        <v>2654.364</v>
      </c>
      <c r="E4071" s="23">
        <v>1276.9680000000001</v>
      </c>
      <c r="F4071" s="23">
        <v>-919.94600000000003</v>
      </c>
      <c r="G4071" s="23">
        <v>0</v>
      </c>
      <c r="H4071" s="23">
        <v>457.45</v>
      </c>
      <c r="I4071" s="23">
        <v>0</v>
      </c>
      <c r="J4071" s="23">
        <v>0</v>
      </c>
      <c r="K4071" s="23">
        <v>0</v>
      </c>
    </row>
    <row r="4072" spans="1:11" x14ac:dyDescent="0.25">
      <c r="A4072">
        <v>4071</v>
      </c>
      <c r="B4072" s="23">
        <v>1519.513539</v>
      </c>
      <c r="C4072" s="23">
        <v>600.39</v>
      </c>
      <c r="D4072" s="23">
        <v>2333.5439999999999</v>
      </c>
      <c r="E4072" s="23">
        <v>1519.5129999999999</v>
      </c>
      <c r="F4072" s="23">
        <v>0</v>
      </c>
      <c r="G4072" s="23">
        <v>0</v>
      </c>
      <c r="H4072" s="23">
        <v>814.03099999999995</v>
      </c>
      <c r="I4072" s="23">
        <v>0</v>
      </c>
      <c r="J4072" s="23">
        <v>0</v>
      </c>
      <c r="K4072" s="23">
        <v>0</v>
      </c>
    </row>
    <row r="4073" spans="1:11" x14ac:dyDescent="0.25">
      <c r="A4073">
        <v>4072</v>
      </c>
      <c r="B4073" s="23">
        <v>1443.709928</v>
      </c>
      <c r="C4073" s="23">
        <v>497.67</v>
      </c>
      <c r="D4073" s="23">
        <v>1993.8130000000001</v>
      </c>
      <c r="E4073" s="23">
        <v>1443.71</v>
      </c>
      <c r="F4073" s="23">
        <v>0</v>
      </c>
      <c r="G4073" s="23">
        <v>0</v>
      </c>
      <c r="H4073" s="23">
        <v>550.10299999999995</v>
      </c>
      <c r="I4073" s="23">
        <v>0</v>
      </c>
      <c r="J4073" s="23">
        <v>0</v>
      </c>
      <c r="K4073" s="23">
        <v>0</v>
      </c>
    </row>
    <row r="4074" spans="1:11" x14ac:dyDescent="0.25">
      <c r="A4074">
        <v>4073</v>
      </c>
      <c r="B4074" s="23">
        <v>1342.0132550000001</v>
      </c>
      <c r="C4074" s="23">
        <v>248.99</v>
      </c>
      <c r="D4074" s="23">
        <v>970.67700000000002</v>
      </c>
      <c r="E4074" s="23">
        <v>970.67700000000002</v>
      </c>
      <c r="F4074" s="23">
        <v>0</v>
      </c>
      <c r="G4074" s="23">
        <v>0</v>
      </c>
      <c r="H4074" s="23">
        <v>0</v>
      </c>
      <c r="I4074" s="23">
        <v>371.33600000000001</v>
      </c>
      <c r="J4074" s="23">
        <v>0</v>
      </c>
      <c r="K4074" s="23">
        <v>0</v>
      </c>
    </row>
    <row r="4075" spans="1:11" x14ac:dyDescent="0.25">
      <c r="A4075">
        <v>4074</v>
      </c>
      <c r="B4075" s="23">
        <v>1332.7466219999999</v>
      </c>
      <c r="C4075" s="23">
        <v>67.7</v>
      </c>
      <c r="D4075" s="23">
        <v>231.018</v>
      </c>
      <c r="E4075" s="23">
        <v>231.018</v>
      </c>
      <c r="F4075" s="23">
        <v>0</v>
      </c>
      <c r="G4075" s="23">
        <v>0</v>
      </c>
      <c r="H4075" s="23">
        <v>0</v>
      </c>
      <c r="I4075" s="23">
        <v>0</v>
      </c>
      <c r="J4075" s="23">
        <v>0</v>
      </c>
      <c r="K4075" s="23">
        <v>1101.729</v>
      </c>
    </row>
    <row r="4076" spans="1:11" x14ac:dyDescent="0.25">
      <c r="A4076">
        <v>4075</v>
      </c>
      <c r="B4076" s="23">
        <v>1262.152331</v>
      </c>
      <c r="C4076" s="23">
        <v>0</v>
      </c>
      <c r="D4076" s="23">
        <v>0</v>
      </c>
      <c r="E4076" s="23">
        <v>0</v>
      </c>
      <c r="F4076" s="23">
        <v>0</v>
      </c>
      <c r="G4076" s="23">
        <v>0</v>
      </c>
      <c r="H4076" s="23">
        <v>0</v>
      </c>
      <c r="I4076" s="23">
        <v>0</v>
      </c>
      <c r="J4076" s="23">
        <v>0</v>
      </c>
      <c r="K4076" s="23">
        <v>1262.152</v>
      </c>
    </row>
    <row r="4077" spans="1:11" x14ac:dyDescent="0.25">
      <c r="A4077">
        <v>4076</v>
      </c>
      <c r="B4077" s="23">
        <v>1451.9164929999999</v>
      </c>
      <c r="C4077" s="23">
        <v>0</v>
      </c>
      <c r="D4077" s="23">
        <v>0</v>
      </c>
      <c r="E4077" s="23">
        <v>0</v>
      </c>
      <c r="F4077" s="23">
        <v>0</v>
      </c>
      <c r="G4077" s="23">
        <v>0</v>
      </c>
      <c r="H4077" s="23">
        <v>0</v>
      </c>
      <c r="I4077" s="23">
        <v>0</v>
      </c>
      <c r="J4077" s="23">
        <v>0</v>
      </c>
      <c r="K4077" s="23">
        <v>1451.9159999999999</v>
      </c>
    </row>
    <row r="4078" spans="1:11" x14ac:dyDescent="0.25">
      <c r="A4078">
        <v>4077</v>
      </c>
      <c r="B4078" s="23">
        <v>1443.0902530000001</v>
      </c>
      <c r="C4078" s="23">
        <v>0</v>
      </c>
      <c r="D4078" s="23">
        <v>0</v>
      </c>
      <c r="E4078" s="23">
        <v>0</v>
      </c>
      <c r="F4078" s="23">
        <v>0</v>
      </c>
      <c r="G4078" s="23">
        <v>0</v>
      </c>
      <c r="H4078" s="23">
        <v>0</v>
      </c>
      <c r="I4078" s="23">
        <v>1443.09</v>
      </c>
      <c r="J4078" s="23">
        <v>0</v>
      </c>
      <c r="K4078" s="23">
        <v>0</v>
      </c>
    </row>
    <row r="4079" spans="1:11" x14ac:dyDescent="0.25">
      <c r="A4079">
        <v>4078</v>
      </c>
      <c r="B4079" s="23">
        <v>1423.9667320000001</v>
      </c>
      <c r="C4079" s="23">
        <v>0</v>
      </c>
      <c r="D4079" s="23">
        <v>0</v>
      </c>
      <c r="E4079" s="23">
        <v>0</v>
      </c>
      <c r="F4079" s="23">
        <v>0</v>
      </c>
      <c r="G4079" s="23">
        <v>0</v>
      </c>
      <c r="H4079" s="23">
        <v>0</v>
      </c>
      <c r="I4079" s="23">
        <v>1423.9670000000001</v>
      </c>
      <c r="J4079" s="23">
        <v>0</v>
      </c>
      <c r="K4079" s="23">
        <v>0</v>
      </c>
    </row>
    <row r="4080" spans="1:11" x14ac:dyDescent="0.25">
      <c r="A4080">
        <v>4079</v>
      </c>
      <c r="B4080" s="23">
        <v>1318.0518509999999</v>
      </c>
      <c r="C4080" s="23">
        <v>0</v>
      </c>
      <c r="D4080" s="23">
        <v>0</v>
      </c>
      <c r="E4080" s="23">
        <v>0</v>
      </c>
      <c r="F4080" s="23">
        <v>0</v>
      </c>
      <c r="G4080" s="23">
        <v>0</v>
      </c>
      <c r="H4080" s="23">
        <v>0</v>
      </c>
      <c r="I4080" s="23">
        <v>1318.0519999999999</v>
      </c>
      <c r="J4080" s="23">
        <v>0</v>
      </c>
      <c r="K4080" s="23">
        <v>0</v>
      </c>
    </row>
    <row r="4081" spans="1:11" x14ac:dyDescent="0.25">
      <c r="A4081">
        <v>4080</v>
      </c>
      <c r="B4081" s="23">
        <v>1204.7817709999999</v>
      </c>
      <c r="C4081" s="23">
        <v>0</v>
      </c>
      <c r="D4081" s="23">
        <v>0</v>
      </c>
      <c r="E4081" s="23">
        <v>0</v>
      </c>
      <c r="F4081" s="23">
        <v>0</v>
      </c>
      <c r="G4081" s="23">
        <v>0</v>
      </c>
      <c r="H4081" s="23">
        <v>0</v>
      </c>
      <c r="I4081" s="23">
        <v>1204.7819999999999</v>
      </c>
      <c r="J4081" s="23">
        <v>0</v>
      </c>
      <c r="K4081" s="23">
        <v>0</v>
      </c>
    </row>
    <row r="4082" spans="1:11" x14ac:dyDescent="0.25">
      <c r="A4082">
        <v>4081</v>
      </c>
      <c r="B4082" s="23">
        <v>1000.3072089999999</v>
      </c>
      <c r="C4082" s="23">
        <v>0</v>
      </c>
      <c r="D4082" s="23">
        <v>0</v>
      </c>
      <c r="E4082" s="23">
        <v>0</v>
      </c>
      <c r="F4082" s="23">
        <v>0</v>
      </c>
      <c r="G4082" s="23">
        <v>0</v>
      </c>
      <c r="H4082" s="23">
        <v>0</v>
      </c>
      <c r="I4082" s="23">
        <v>1000.307</v>
      </c>
      <c r="J4082" s="23">
        <v>0</v>
      </c>
      <c r="K4082" s="23">
        <v>0</v>
      </c>
    </row>
    <row r="4083" spans="1:11" x14ac:dyDescent="0.25">
      <c r="A4083">
        <v>4082</v>
      </c>
      <c r="B4083" s="23">
        <v>1279.804811</v>
      </c>
      <c r="C4083" s="23">
        <v>0</v>
      </c>
      <c r="D4083" s="23">
        <v>0</v>
      </c>
      <c r="E4083" s="23">
        <v>0</v>
      </c>
      <c r="F4083" s="23">
        <v>0</v>
      </c>
      <c r="G4083" s="23">
        <v>0</v>
      </c>
      <c r="H4083" s="23">
        <v>0</v>
      </c>
      <c r="I4083" s="23">
        <v>1279.8050000000001</v>
      </c>
      <c r="J4083" s="23">
        <v>0</v>
      </c>
      <c r="K4083" s="23">
        <v>0</v>
      </c>
    </row>
    <row r="4084" spans="1:11" x14ac:dyDescent="0.25">
      <c r="A4084">
        <v>4083</v>
      </c>
      <c r="B4084" s="23">
        <v>1320.9939320000001</v>
      </c>
      <c r="C4084" s="23">
        <v>0</v>
      </c>
      <c r="D4084" s="23">
        <v>0</v>
      </c>
      <c r="E4084" s="23">
        <v>0</v>
      </c>
      <c r="F4084" s="23">
        <v>0</v>
      </c>
      <c r="G4084" s="23">
        <v>0</v>
      </c>
      <c r="H4084" s="23">
        <v>0</v>
      </c>
      <c r="I4084" s="23">
        <v>1320.9939999999999</v>
      </c>
      <c r="J4084" s="23">
        <v>0</v>
      </c>
      <c r="K4084" s="23">
        <v>0</v>
      </c>
    </row>
    <row r="4085" spans="1:11" x14ac:dyDescent="0.25">
      <c r="A4085">
        <v>4084</v>
      </c>
      <c r="B4085" s="23">
        <v>1414.404972</v>
      </c>
      <c r="C4085" s="23">
        <v>0</v>
      </c>
      <c r="D4085" s="23">
        <v>0</v>
      </c>
      <c r="E4085" s="23">
        <v>0</v>
      </c>
      <c r="F4085" s="23">
        <v>0</v>
      </c>
      <c r="G4085" s="23">
        <v>0</v>
      </c>
      <c r="H4085" s="23">
        <v>0</v>
      </c>
      <c r="I4085" s="23">
        <v>1414.405</v>
      </c>
      <c r="J4085" s="23">
        <v>0</v>
      </c>
      <c r="K4085" s="23">
        <v>0</v>
      </c>
    </row>
    <row r="4086" spans="1:11" x14ac:dyDescent="0.25">
      <c r="A4086">
        <v>4085</v>
      </c>
      <c r="B4086" s="23">
        <v>1349.679212</v>
      </c>
      <c r="C4086" s="23">
        <v>0</v>
      </c>
      <c r="D4086" s="23">
        <v>0</v>
      </c>
      <c r="E4086" s="23">
        <v>0</v>
      </c>
      <c r="F4086" s="23">
        <v>0</v>
      </c>
      <c r="G4086" s="23">
        <v>0</v>
      </c>
      <c r="H4086" s="23">
        <v>0</v>
      </c>
      <c r="I4086" s="23">
        <v>1349.6790000000001</v>
      </c>
      <c r="J4086" s="23">
        <v>0</v>
      </c>
      <c r="K4086" s="23">
        <v>0</v>
      </c>
    </row>
    <row r="4087" spans="1:11" x14ac:dyDescent="0.25">
      <c r="A4087">
        <v>4086</v>
      </c>
      <c r="B4087" s="23">
        <v>1217.285611</v>
      </c>
      <c r="C4087" s="23">
        <v>0</v>
      </c>
      <c r="D4087" s="23">
        <v>0</v>
      </c>
      <c r="E4087" s="23">
        <v>0</v>
      </c>
      <c r="F4087" s="23">
        <v>0</v>
      </c>
      <c r="G4087" s="23">
        <v>0</v>
      </c>
      <c r="H4087" s="23">
        <v>0</v>
      </c>
      <c r="I4087" s="23">
        <v>1217.2860000000001</v>
      </c>
      <c r="J4087" s="23">
        <v>0</v>
      </c>
      <c r="K4087" s="23">
        <v>0</v>
      </c>
    </row>
    <row r="4088" spans="1:11" x14ac:dyDescent="0.25">
      <c r="A4088">
        <v>4087</v>
      </c>
      <c r="B4088" s="23">
        <v>842.17040729999997</v>
      </c>
      <c r="C4088" s="23">
        <v>74.489999999999995</v>
      </c>
      <c r="D4088" s="23">
        <v>267.50400000000002</v>
      </c>
      <c r="E4088" s="23">
        <v>267.50400000000002</v>
      </c>
      <c r="F4088" s="23">
        <v>0</v>
      </c>
      <c r="G4088" s="23">
        <v>0</v>
      </c>
      <c r="H4088" s="23">
        <v>0</v>
      </c>
      <c r="I4088" s="23">
        <v>460.56400000000002</v>
      </c>
      <c r="J4088" s="23">
        <v>0</v>
      </c>
      <c r="K4088" s="23">
        <v>114.10299999999999</v>
      </c>
    </row>
    <row r="4089" spans="1:11" x14ac:dyDescent="0.25">
      <c r="A4089">
        <v>4088</v>
      </c>
      <c r="B4089" s="23">
        <v>1414.803073</v>
      </c>
      <c r="C4089" s="23">
        <v>208.21</v>
      </c>
      <c r="D4089" s="23">
        <v>815.84400000000005</v>
      </c>
      <c r="E4089" s="23">
        <v>815.84400000000005</v>
      </c>
      <c r="F4089" s="23">
        <v>0</v>
      </c>
      <c r="G4089" s="23">
        <v>0</v>
      </c>
      <c r="H4089" s="23">
        <v>0</v>
      </c>
      <c r="I4089" s="23">
        <v>0</v>
      </c>
      <c r="J4089" s="23">
        <v>0</v>
      </c>
      <c r="K4089" s="23">
        <v>598.95899999999995</v>
      </c>
    </row>
    <row r="4090" spans="1:11" x14ac:dyDescent="0.25">
      <c r="A4090">
        <v>4089</v>
      </c>
      <c r="B4090" s="23">
        <v>1229.2948140000001</v>
      </c>
      <c r="C4090" s="23">
        <v>538.32000000000005</v>
      </c>
      <c r="D4090" s="23">
        <v>2159.3389999999999</v>
      </c>
      <c r="E4090" s="23">
        <v>1229.2940000000001</v>
      </c>
      <c r="F4090" s="23">
        <v>-930.04499999999996</v>
      </c>
      <c r="G4090" s="23">
        <v>0</v>
      </c>
      <c r="H4090" s="23">
        <v>0</v>
      </c>
      <c r="I4090" s="23">
        <v>0</v>
      </c>
      <c r="J4090" s="23">
        <v>0</v>
      </c>
      <c r="K4090" s="23">
        <v>0</v>
      </c>
    </row>
    <row r="4091" spans="1:11" x14ac:dyDescent="0.25">
      <c r="A4091">
        <v>4090</v>
      </c>
      <c r="B4091" s="23">
        <v>1233.056079</v>
      </c>
      <c r="C4091" s="23">
        <v>716.79</v>
      </c>
      <c r="D4091" s="23">
        <v>2825.5259999999998</v>
      </c>
      <c r="E4091" s="23">
        <v>1233.056</v>
      </c>
      <c r="F4091" s="23">
        <v>-1592.47</v>
      </c>
      <c r="G4091" s="23">
        <v>0</v>
      </c>
      <c r="H4091" s="23">
        <v>0</v>
      </c>
      <c r="I4091" s="23">
        <v>0</v>
      </c>
      <c r="J4091" s="23">
        <v>0</v>
      </c>
      <c r="K4091" s="23">
        <v>0</v>
      </c>
    </row>
    <row r="4092" spans="1:11" x14ac:dyDescent="0.25">
      <c r="A4092">
        <v>4091</v>
      </c>
      <c r="B4092" s="23">
        <v>1290.0993329999999</v>
      </c>
      <c r="C4092" s="23">
        <v>646.22</v>
      </c>
      <c r="D4092" s="23">
        <v>2489.623</v>
      </c>
      <c r="E4092" s="23">
        <v>1290.0999999999999</v>
      </c>
      <c r="F4092" s="23">
        <v>-1199.5229999999999</v>
      </c>
      <c r="G4092" s="23">
        <v>0</v>
      </c>
      <c r="H4092" s="23">
        <v>0</v>
      </c>
      <c r="I4092" s="23">
        <v>0</v>
      </c>
      <c r="J4092" s="23">
        <v>0</v>
      </c>
      <c r="K4092" s="23">
        <v>0</v>
      </c>
    </row>
    <row r="4093" spans="1:11" x14ac:dyDescent="0.25">
      <c r="A4093">
        <v>4092</v>
      </c>
      <c r="B4093" s="23">
        <v>1374.5232390000001</v>
      </c>
      <c r="C4093" s="23">
        <v>332.65</v>
      </c>
      <c r="D4093" s="23">
        <v>1278.836</v>
      </c>
      <c r="E4093" s="23">
        <v>1278.836</v>
      </c>
      <c r="F4093" s="23">
        <v>0</v>
      </c>
      <c r="G4093" s="23">
        <v>0</v>
      </c>
      <c r="H4093" s="23">
        <v>0</v>
      </c>
      <c r="I4093" s="23">
        <v>0</v>
      </c>
      <c r="J4093" s="23">
        <v>0</v>
      </c>
      <c r="K4093" s="23">
        <v>95.688000000000002</v>
      </c>
    </row>
    <row r="4094" spans="1:11" x14ac:dyDescent="0.25">
      <c r="A4094">
        <v>4093</v>
      </c>
      <c r="B4094" s="23">
        <v>1301.678257</v>
      </c>
      <c r="C4094" s="23">
        <v>711.06</v>
      </c>
      <c r="D4094" s="23">
        <v>2726.261</v>
      </c>
      <c r="E4094" s="23">
        <v>1301.6780000000001</v>
      </c>
      <c r="F4094" s="23">
        <v>-1424.5830000000001</v>
      </c>
      <c r="G4094" s="23">
        <v>0</v>
      </c>
      <c r="H4094" s="23">
        <v>0</v>
      </c>
      <c r="I4094" s="23">
        <v>0</v>
      </c>
      <c r="J4094" s="23">
        <v>0</v>
      </c>
      <c r="K4094" s="23">
        <v>0</v>
      </c>
    </row>
    <row r="4095" spans="1:11" x14ac:dyDescent="0.25">
      <c r="A4095">
        <v>4094</v>
      </c>
      <c r="B4095" s="23">
        <v>1473.834069</v>
      </c>
      <c r="C4095" s="23">
        <v>144.25</v>
      </c>
      <c r="D4095" s="23">
        <v>537.27</v>
      </c>
      <c r="E4095" s="23">
        <v>537.27</v>
      </c>
      <c r="F4095" s="23">
        <v>0</v>
      </c>
      <c r="G4095" s="23">
        <v>0</v>
      </c>
      <c r="H4095" s="23">
        <v>0</v>
      </c>
      <c r="I4095" s="23">
        <v>936.56399999999996</v>
      </c>
      <c r="J4095" s="23">
        <v>0</v>
      </c>
      <c r="K4095" s="23">
        <v>0</v>
      </c>
    </row>
    <row r="4096" spans="1:11" x14ac:dyDescent="0.25">
      <c r="A4096">
        <v>4095</v>
      </c>
      <c r="B4096" s="23">
        <v>1200.255564</v>
      </c>
      <c r="C4096" s="23">
        <v>282.11</v>
      </c>
      <c r="D4096" s="23">
        <v>1092.2380000000001</v>
      </c>
      <c r="E4096" s="23">
        <v>1092.2380000000001</v>
      </c>
      <c r="F4096" s="23">
        <v>0</v>
      </c>
      <c r="G4096" s="23">
        <v>0</v>
      </c>
      <c r="H4096" s="23">
        <v>0</v>
      </c>
      <c r="I4096" s="23">
        <v>108.018</v>
      </c>
      <c r="J4096" s="23">
        <v>0</v>
      </c>
      <c r="K4096" s="23">
        <v>0</v>
      </c>
    </row>
    <row r="4097" spans="1:11" x14ac:dyDescent="0.25">
      <c r="A4097">
        <v>4096</v>
      </c>
      <c r="B4097" s="23">
        <v>1652.6215139999999</v>
      </c>
      <c r="C4097" s="23">
        <v>44.13</v>
      </c>
      <c r="D4097" s="23">
        <v>145.40100000000001</v>
      </c>
      <c r="E4097" s="23">
        <v>145.40100000000001</v>
      </c>
      <c r="F4097" s="23">
        <v>0</v>
      </c>
      <c r="G4097" s="23">
        <v>0</v>
      </c>
      <c r="H4097" s="23">
        <v>0</v>
      </c>
      <c r="I4097" s="23">
        <v>1507.221</v>
      </c>
      <c r="J4097" s="23">
        <v>0</v>
      </c>
      <c r="K4097" s="23">
        <v>0</v>
      </c>
    </row>
    <row r="4098" spans="1:11" x14ac:dyDescent="0.25">
      <c r="A4098">
        <v>4097</v>
      </c>
      <c r="B4098" s="23">
        <v>1554.1528539999999</v>
      </c>
      <c r="C4098" s="23">
        <v>35.28</v>
      </c>
      <c r="D4098" s="23">
        <v>113.13</v>
      </c>
      <c r="E4098" s="23">
        <v>113.13</v>
      </c>
      <c r="F4098" s="23">
        <v>0</v>
      </c>
      <c r="G4098" s="23">
        <v>0</v>
      </c>
      <c r="H4098" s="23">
        <v>0</v>
      </c>
      <c r="I4098" s="23">
        <v>1441.0229999999999</v>
      </c>
      <c r="J4098" s="23">
        <v>0</v>
      </c>
      <c r="K4098" s="23">
        <v>0</v>
      </c>
    </row>
    <row r="4099" spans="1:11" x14ac:dyDescent="0.25">
      <c r="A4099">
        <v>4098</v>
      </c>
      <c r="B4099" s="23">
        <v>1601.1341950000001</v>
      </c>
      <c r="C4099" s="23">
        <v>13.71</v>
      </c>
      <c r="D4099" s="23">
        <v>28.515000000000001</v>
      </c>
      <c r="E4099" s="23">
        <v>28.515000000000001</v>
      </c>
      <c r="F4099" s="23">
        <v>0</v>
      </c>
      <c r="G4099" s="23">
        <v>0</v>
      </c>
      <c r="H4099" s="23">
        <v>0</v>
      </c>
      <c r="I4099" s="23">
        <v>0</v>
      </c>
      <c r="J4099" s="23">
        <v>0</v>
      </c>
      <c r="K4099" s="23">
        <v>1572.6189999999999</v>
      </c>
    </row>
    <row r="4100" spans="1:11" x14ac:dyDescent="0.25">
      <c r="A4100">
        <v>4099</v>
      </c>
      <c r="B4100" s="23">
        <v>1579.896974</v>
      </c>
      <c r="C4100" s="23">
        <v>0</v>
      </c>
      <c r="D4100" s="23">
        <v>0</v>
      </c>
      <c r="E4100" s="23">
        <v>0</v>
      </c>
      <c r="F4100" s="23">
        <v>0</v>
      </c>
      <c r="G4100" s="23">
        <v>0</v>
      </c>
      <c r="H4100" s="23">
        <v>0</v>
      </c>
      <c r="I4100" s="23">
        <v>0</v>
      </c>
      <c r="J4100" s="23">
        <v>0</v>
      </c>
      <c r="K4100" s="23">
        <v>1579.8969999999999</v>
      </c>
    </row>
    <row r="4101" spans="1:11" x14ac:dyDescent="0.25">
      <c r="A4101">
        <v>4100</v>
      </c>
      <c r="B4101" s="23">
        <v>1123.8745699999999</v>
      </c>
      <c r="C4101" s="23">
        <v>0</v>
      </c>
      <c r="D4101" s="23">
        <v>0</v>
      </c>
      <c r="E4101" s="23">
        <v>0</v>
      </c>
      <c r="F4101" s="23">
        <v>0</v>
      </c>
      <c r="G4101" s="23">
        <v>0</v>
      </c>
      <c r="H4101" s="23">
        <v>0</v>
      </c>
      <c r="I4101" s="23">
        <v>0</v>
      </c>
      <c r="J4101" s="23">
        <v>0</v>
      </c>
      <c r="K4101" s="23">
        <v>1123.875</v>
      </c>
    </row>
    <row r="4102" spans="1:11" x14ac:dyDescent="0.25">
      <c r="A4102">
        <v>4101</v>
      </c>
      <c r="B4102" s="23">
        <v>1184.1872100000001</v>
      </c>
      <c r="C4102" s="23">
        <v>0</v>
      </c>
      <c r="D4102" s="23">
        <v>0</v>
      </c>
      <c r="E4102" s="23">
        <v>0</v>
      </c>
      <c r="F4102" s="23">
        <v>0</v>
      </c>
      <c r="G4102" s="23">
        <v>0</v>
      </c>
      <c r="H4102" s="23">
        <v>0</v>
      </c>
      <c r="I4102" s="23">
        <v>1184.1869999999999</v>
      </c>
      <c r="J4102" s="23">
        <v>0</v>
      </c>
      <c r="K4102" s="23">
        <v>0</v>
      </c>
    </row>
    <row r="4103" spans="1:11" x14ac:dyDescent="0.25">
      <c r="A4103">
        <v>4102</v>
      </c>
      <c r="B4103" s="23">
        <v>1214.343531</v>
      </c>
      <c r="C4103" s="23">
        <v>0</v>
      </c>
      <c r="D4103" s="23">
        <v>0</v>
      </c>
      <c r="E4103" s="23">
        <v>0</v>
      </c>
      <c r="F4103" s="23">
        <v>0</v>
      </c>
      <c r="G4103" s="23">
        <v>0</v>
      </c>
      <c r="H4103" s="23">
        <v>0</v>
      </c>
      <c r="I4103" s="23">
        <v>1214.3440000000001</v>
      </c>
      <c r="J4103" s="23">
        <v>0</v>
      </c>
      <c r="K4103" s="23">
        <v>0</v>
      </c>
    </row>
    <row r="4104" spans="1:11" x14ac:dyDescent="0.25">
      <c r="A4104">
        <v>4103</v>
      </c>
      <c r="B4104" s="23">
        <v>1265.094411</v>
      </c>
      <c r="C4104" s="23">
        <v>0</v>
      </c>
      <c r="D4104" s="23">
        <v>0</v>
      </c>
      <c r="E4104" s="23">
        <v>0</v>
      </c>
      <c r="F4104" s="23">
        <v>0</v>
      </c>
      <c r="G4104" s="23">
        <v>0</v>
      </c>
      <c r="H4104" s="23">
        <v>0</v>
      </c>
      <c r="I4104" s="23">
        <v>1265.0940000000001</v>
      </c>
      <c r="J4104" s="23">
        <v>0</v>
      </c>
      <c r="K4104" s="23">
        <v>0</v>
      </c>
    </row>
    <row r="4105" spans="1:11" x14ac:dyDescent="0.25">
      <c r="A4105">
        <v>4104</v>
      </c>
      <c r="B4105" s="23">
        <v>1221.698731</v>
      </c>
      <c r="C4105" s="23">
        <v>0</v>
      </c>
      <c r="D4105" s="23">
        <v>0</v>
      </c>
      <c r="E4105" s="23">
        <v>0</v>
      </c>
      <c r="F4105" s="23">
        <v>0</v>
      </c>
      <c r="G4105" s="23">
        <v>0</v>
      </c>
      <c r="H4105" s="23">
        <v>0</v>
      </c>
      <c r="I4105" s="23">
        <v>1221.6990000000001</v>
      </c>
      <c r="J4105" s="23">
        <v>0</v>
      </c>
      <c r="K4105" s="23">
        <v>0</v>
      </c>
    </row>
    <row r="4106" spans="1:11" x14ac:dyDescent="0.25">
      <c r="A4106">
        <v>4105</v>
      </c>
      <c r="B4106" s="23">
        <v>1285.688971</v>
      </c>
      <c r="C4106" s="23">
        <v>0</v>
      </c>
      <c r="D4106" s="23">
        <v>0</v>
      </c>
      <c r="E4106" s="23">
        <v>0</v>
      </c>
      <c r="F4106" s="23">
        <v>0</v>
      </c>
      <c r="G4106" s="23">
        <v>0</v>
      </c>
      <c r="H4106" s="23">
        <v>0</v>
      </c>
      <c r="I4106" s="23">
        <v>1285.6890000000001</v>
      </c>
      <c r="J4106" s="23">
        <v>0</v>
      </c>
      <c r="K4106" s="23">
        <v>0</v>
      </c>
    </row>
    <row r="4107" spans="1:11" x14ac:dyDescent="0.25">
      <c r="A4107">
        <v>4106</v>
      </c>
      <c r="B4107" s="23">
        <v>1382.7776120000001</v>
      </c>
      <c r="C4107" s="23">
        <v>0</v>
      </c>
      <c r="D4107" s="23">
        <v>0</v>
      </c>
      <c r="E4107" s="23">
        <v>0</v>
      </c>
      <c r="F4107" s="23">
        <v>0</v>
      </c>
      <c r="G4107" s="23">
        <v>0</v>
      </c>
      <c r="H4107" s="23">
        <v>0</v>
      </c>
      <c r="I4107" s="23">
        <v>1382.778</v>
      </c>
      <c r="J4107" s="23">
        <v>0</v>
      </c>
      <c r="K4107" s="23">
        <v>0</v>
      </c>
    </row>
    <row r="4108" spans="1:11" x14ac:dyDescent="0.25">
      <c r="A4108">
        <v>4107</v>
      </c>
      <c r="B4108" s="23">
        <v>1180.5096100000001</v>
      </c>
      <c r="C4108" s="23">
        <v>0</v>
      </c>
      <c r="D4108" s="23">
        <v>0</v>
      </c>
      <c r="E4108" s="23">
        <v>0</v>
      </c>
      <c r="F4108" s="23">
        <v>0</v>
      </c>
      <c r="G4108" s="23">
        <v>0</v>
      </c>
      <c r="H4108" s="23">
        <v>0</v>
      </c>
      <c r="I4108" s="23">
        <v>1180.51</v>
      </c>
      <c r="J4108" s="23">
        <v>0</v>
      </c>
      <c r="K4108" s="23">
        <v>0</v>
      </c>
    </row>
    <row r="4109" spans="1:11" x14ac:dyDescent="0.25">
      <c r="A4109">
        <v>4108</v>
      </c>
      <c r="B4109" s="23">
        <v>1251.1195310000001</v>
      </c>
      <c r="C4109" s="23">
        <v>0</v>
      </c>
      <c r="D4109" s="23">
        <v>0</v>
      </c>
      <c r="E4109" s="23">
        <v>0</v>
      </c>
      <c r="F4109" s="23">
        <v>0</v>
      </c>
      <c r="G4109" s="23">
        <v>0</v>
      </c>
      <c r="H4109" s="23">
        <v>0</v>
      </c>
      <c r="I4109" s="23">
        <v>1251.1199999999999</v>
      </c>
      <c r="J4109" s="23">
        <v>0</v>
      </c>
      <c r="K4109" s="23">
        <v>0</v>
      </c>
    </row>
    <row r="4110" spans="1:11" x14ac:dyDescent="0.25">
      <c r="A4110">
        <v>4109</v>
      </c>
      <c r="B4110" s="23">
        <v>1314.374251</v>
      </c>
      <c r="C4110" s="23">
        <v>0</v>
      </c>
      <c r="D4110" s="23">
        <v>0</v>
      </c>
      <c r="E4110" s="23">
        <v>0</v>
      </c>
      <c r="F4110" s="23">
        <v>0</v>
      </c>
      <c r="G4110" s="23">
        <v>0</v>
      </c>
      <c r="H4110" s="23">
        <v>0</v>
      </c>
      <c r="I4110" s="23">
        <v>1314.374</v>
      </c>
      <c r="J4110" s="23">
        <v>0</v>
      </c>
      <c r="K4110" s="23">
        <v>0</v>
      </c>
    </row>
    <row r="4111" spans="1:11" x14ac:dyDescent="0.25">
      <c r="A4111">
        <v>4110</v>
      </c>
      <c r="B4111" s="23">
        <v>1123.8745699999999</v>
      </c>
      <c r="C4111" s="23">
        <v>0</v>
      </c>
      <c r="D4111" s="23">
        <v>0</v>
      </c>
      <c r="E4111" s="23">
        <v>0</v>
      </c>
      <c r="F4111" s="23">
        <v>0</v>
      </c>
      <c r="G4111" s="23">
        <v>0</v>
      </c>
      <c r="H4111" s="23">
        <v>0</v>
      </c>
      <c r="I4111" s="23">
        <v>526.88199999999995</v>
      </c>
      <c r="J4111" s="23">
        <v>0</v>
      </c>
      <c r="K4111" s="23">
        <v>596.99300000000005</v>
      </c>
    </row>
    <row r="4112" spans="1:11" x14ac:dyDescent="0.25">
      <c r="A4112">
        <v>4111</v>
      </c>
      <c r="B4112" s="23">
        <v>1094.600874</v>
      </c>
      <c r="C4112" s="23">
        <v>113.88</v>
      </c>
      <c r="D4112" s="23">
        <v>350.53300000000002</v>
      </c>
      <c r="E4112" s="23">
        <v>350.53300000000002</v>
      </c>
      <c r="F4112" s="23">
        <v>0</v>
      </c>
      <c r="G4112" s="23">
        <v>0</v>
      </c>
      <c r="H4112" s="23">
        <v>0</v>
      </c>
      <c r="I4112" s="23">
        <v>0</v>
      </c>
      <c r="J4112" s="23">
        <v>0</v>
      </c>
      <c r="K4112" s="23">
        <v>744.06799999999998</v>
      </c>
    </row>
    <row r="4113" spans="1:11" x14ac:dyDescent="0.25">
      <c r="A4113">
        <v>4112</v>
      </c>
      <c r="B4113" s="23">
        <v>1132.840559</v>
      </c>
      <c r="C4113" s="23">
        <v>228.03</v>
      </c>
      <c r="D4113" s="23">
        <v>896.94100000000003</v>
      </c>
      <c r="E4113" s="23">
        <v>896.94100000000003</v>
      </c>
      <c r="F4113" s="23">
        <v>0</v>
      </c>
      <c r="G4113" s="23">
        <v>0</v>
      </c>
      <c r="H4113" s="23">
        <v>0</v>
      </c>
      <c r="I4113" s="23">
        <v>0</v>
      </c>
      <c r="J4113" s="23">
        <v>0</v>
      </c>
      <c r="K4113" s="23">
        <v>235.899</v>
      </c>
    </row>
    <row r="4114" spans="1:11" x14ac:dyDescent="0.25">
      <c r="A4114">
        <v>4113</v>
      </c>
      <c r="B4114" s="23">
        <v>1145.5301179999999</v>
      </c>
      <c r="C4114" s="23">
        <v>290.25</v>
      </c>
      <c r="D4114" s="23">
        <v>1136.9110000000001</v>
      </c>
      <c r="E4114" s="23">
        <v>1136.9110000000001</v>
      </c>
      <c r="F4114" s="23">
        <v>0</v>
      </c>
      <c r="G4114" s="23">
        <v>0</v>
      </c>
      <c r="H4114" s="23">
        <v>0</v>
      </c>
      <c r="I4114" s="23">
        <v>0</v>
      </c>
      <c r="J4114" s="23">
        <v>0</v>
      </c>
      <c r="K4114" s="23">
        <v>8.6189999999999998</v>
      </c>
    </row>
    <row r="4115" spans="1:11" x14ac:dyDescent="0.25">
      <c r="A4115">
        <v>4114</v>
      </c>
      <c r="B4115" s="23">
        <v>1243.3735859999999</v>
      </c>
      <c r="C4115" s="23">
        <v>553.1</v>
      </c>
      <c r="D4115" s="23">
        <v>2152.614</v>
      </c>
      <c r="E4115" s="23">
        <v>1243.374</v>
      </c>
      <c r="F4115" s="23">
        <v>-909.24</v>
      </c>
      <c r="G4115" s="23">
        <v>0</v>
      </c>
      <c r="H4115" s="23">
        <v>0</v>
      </c>
      <c r="I4115" s="23">
        <v>0</v>
      </c>
      <c r="J4115" s="23">
        <v>0</v>
      </c>
      <c r="K4115" s="23">
        <v>0</v>
      </c>
    </row>
    <row r="4116" spans="1:11" x14ac:dyDescent="0.25">
      <c r="A4116">
        <v>4115</v>
      </c>
      <c r="B4116" s="23">
        <v>952.8174401</v>
      </c>
      <c r="C4116" s="23">
        <v>651.45000000000005</v>
      </c>
      <c r="D4116" s="23">
        <v>2507.1350000000002</v>
      </c>
      <c r="E4116" s="23">
        <v>952.81799999999998</v>
      </c>
      <c r="F4116" s="23">
        <v>-1554.317</v>
      </c>
      <c r="G4116" s="23">
        <v>0</v>
      </c>
      <c r="H4116" s="23">
        <v>0</v>
      </c>
      <c r="I4116" s="23">
        <v>0</v>
      </c>
      <c r="J4116" s="23">
        <v>0</v>
      </c>
      <c r="K4116" s="23">
        <v>0</v>
      </c>
    </row>
    <row r="4117" spans="1:11" x14ac:dyDescent="0.25">
      <c r="A4117">
        <v>4116</v>
      </c>
      <c r="B4117" s="23">
        <v>1336.782788</v>
      </c>
      <c r="C4117" s="23">
        <v>584.5</v>
      </c>
      <c r="D4117" s="23">
        <v>2243.7429999999999</v>
      </c>
      <c r="E4117" s="23">
        <v>1336.7829999999999</v>
      </c>
      <c r="F4117" s="23">
        <v>-906.96</v>
      </c>
      <c r="G4117" s="23">
        <v>0</v>
      </c>
      <c r="H4117" s="23">
        <v>0</v>
      </c>
      <c r="I4117" s="23">
        <v>0</v>
      </c>
      <c r="J4117" s="23">
        <v>0</v>
      </c>
      <c r="K4117" s="23">
        <v>0</v>
      </c>
    </row>
    <row r="4118" spans="1:11" x14ac:dyDescent="0.25">
      <c r="A4118">
        <v>4117</v>
      </c>
      <c r="B4118" s="23">
        <v>1269.47811</v>
      </c>
      <c r="C4118" s="23">
        <v>655.04999999999995</v>
      </c>
      <c r="D4118" s="23">
        <v>2508.2190000000001</v>
      </c>
      <c r="E4118" s="23">
        <v>1269.4780000000001</v>
      </c>
      <c r="F4118" s="23">
        <v>-1238.741</v>
      </c>
      <c r="G4118" s="23">
        <v>0</v>
      </c>
      <c r="H4118" s="23">
        <v>0</v>
      </c>
      <c r="I4118" s="23">
        <v>0</v>
      </c>
      <c r="J4118" s="23">
        <v>0</v>
      </c>
      <c r="K4118" s="23">
        <v>0</v>
      </c>
    </row>
    <row r="4119" spans="1:11" x14ac:dyDescent="0.25">
      <c r="A4119">
        <v>4118</v>
      </c>
      <c r="B4119" s="23">
        <v>1515.3155589999999</v>
      </c>
      <c r="C4119" s="23">
        <v>645.25</v>
      </c>
      <c r="D4119" s="23">
        <v>2481.8270000000002</v>
      </c>
      <c r="E4119" s="23">
        <v>1515.3150000000001</v>
      </c>
      <c r="F4119" s="23">
        <v>-966.51199999999994</v>
      </c>
      <c r="G4119" s="23">
        <v>0</v>
      </c>
      <c r="H4119" s="23">
        <v>0</v>
      </c>
      <c r="I4119" s="23">
        <v>0</v>
      </c>
      <c r="J4119" s="23">
        <v>0</v>
      </c>
      <c r="K4119" s="23">
        <v>0</v>
      </c>
    </row>
    <row r="4120" spans="1:11" x14ac:dyDescent="0.25">
      <c r="A4120">
        <v>4119</v>
      </c>
      <c r="B4120" s="23">
        <v>1178.021714</v>
      </c>
      <c r="C4120" s="23">
        <v>547.26</v>
      </c>
      <c r="D4120" s="23">
        <v>2125.989</v>
      </c>
      <c r="E4120" s="23">
        <v>1178.021</v>
      </c>
      <c r="F4120" s="23">
        <v>-947.96799999999996</v>
      </c>
      <c r="G4120" s="23">
        <v>0</v>
      </c>
      <c r="H4120" s="23">
        <v>0</v>
      </c>
      <c r="I4120" s="23">
        <v>0</v>
      </c>
      <c r="J4120" s="23">
        <v>0</v>
      </c>
      <c r="K4120" s="23">
        <v>0</v>
      </c>
    </row>
    <row r="4121" spans="1:11" x14ac:dyDescent="0.25">
      <c r="A4121">
        <v>4120</v>
      </c>
      <c r="B4121" s="23">
        <v>1291.128142</v>
      </c>
      <c r="C4121" s="23">
        <v>189.27</v>
      </c>
      <c r="D4121" s="23">
        <v>729.14200000000005</v>
      </c>
      <c r="E4121" s="23">
        <v>729.14200000000005</v>
      </c>
      <c r="F4121" s="23">
        <v>0</v>
      </c>
      <c r="G4121" s="23">
        <v>0</v>
      </c>
      <c r="H4121" s="23">
        <v>0</v>
      </c>
      <c r="I4121" s="23">
        <v>561.98599999999999</v>
      </c>
      <c r="J4121" s="23">
        <v>0</v>
      </c>
      <c r="K4121" s="23">
        <v>0</v>
      </c>
    </row>
    <row r="4122" spans="1:11" x14ac:dyDescent="0.25">
      <c r="A4122">
        <v>4121</v>
      </c>
      <c r="B4122" s="23">
        <v>1202.7820750000001</v>
      </c>
      <c r="C4122" s="23">
        <v>212.95</v>
      </c>
      <c r="D4122" s="23">
        <v>830.63900000000001</v>
      </c>
      <c r="E4122" s="23">
        <v>830.63900000000001</v>
      </c>
      <c r="F4122" s="23">
        <v>0</v>
      </c>
      <c r="G4122" s="23">
        <v>0</v>
      </c>
      <c r="H4122" s="23">
        <v>0</v>
      </c>
      <c r="I4122" s="23">
        <v>372.14299999999997</v>
      </c>
      <c r="J4122" s="23">
        <v>0</v>
      </c>
      <c r="K4122" s="23">
        <v>0</v>
      </c>
    </row>
    <row r="4123" spans="1:11" x14ac:dyDescent="0.25">
      <c r="A4123">
        <v>4122</v>
      </c>
      <c r="B4123" s="23">
        <v>1153.1951550000001</v>
      </c>
      <c r="C4123" s="23">
        <v>34.299999999999997</v>
      </c>
      <c r="D4123" s="23">
        <v>107.923</v>
      </c>
      <c r="E4123" s="23">
        <v>107.923</v>
      </c>
      <c r="F4123" s="23">
        <v>0</v>
      </c>
      <c r="G4123" s="23">
        <v>0</v>
      </c>
      <c r="H4123" s="23">
        <v>0</v>
      </c>
      <c r="I4123" s="23">
        <v>0</v>
      </c>
      <c r="J4123" s="23">
        <v>0</v>
      </c>
      <c r="K4123" s="23">
        <v>1045.2719999999999</v>
      </c>
    </row>
    <row r="4124" spans="1:11" x14ac:dyDescent="0.25">
      <c r="A4124">
        <v>4123</v>
      </c>
      <c r="B4124" s="23">
        <v>1228.318411</v>
      </c>
      <c r="C4124" s="23">
        <v>0</v>
      </c>
      <c r="D4124" s="23">
        <v>0</v>
      </c>
      <c r="E4124" s="23">
        <v>0</v>
      </c>
      <c r="F4124" s="23">
        <v>0</v>
      </c>
      <c r="G4124" s="23">
        <v>0</v>
      </c>
      <c r="H4124" s="23">
        <v>0</v>
      </c>
      <c r="I4124" s="23">
        <v>0</v>
      </c>
      <c r="J4124" s="23">
        <v>0</v>
      </c>
      <c r="K4124" s="23">
        <v>1228.318</v>
      </c>
    </row>
    <row r="4125" spans="1:11" x14ac:dyDescent="0.25">
      <c r="A4125">
        <v>4124</v>
      </c>
      <c r="B4125" s="23">
        <v>785.53536689999999</v>
      </c>
      <c r="C4125" s="23">
        <v>0</v>
      </c>
      <c r="D4125" s="23">
        <v>0</v>
      </c>
      <c r="E4125" s="23">
        <v>0</v>
      </c>
      <c r="F4125" s="23">
        <v>0</v>
      </c>
      <c r="G4125" s="23">
        <v>0</v>
      </c>
      <c r="H4125" s="23">
        <v>0</v>
      </c>
      <c r="I4125" s="23">
        <v>0</v>
      </c>
      <c r="J4125" s="23">
        <v>0</v>
      </c>
      <c r="K4125" s="23">
        <v>785.53499999999997</v>
      </c>
    </row>
    <row r="4126" spans="1:11" x14ac:dyDescent="0.25">
      <c r="A4126">
        <v>4125</v>
      </c>
      <c r="B4126" s="23">
        <v>1207.723851</v>
      </c>
      <c r="C4126" s="23">
        <v>0</v>
      </c>
      <c r="D4126" s="23">
        <v>0</v>
      </c>
      <c r="E4126" s="23">
        <v>0</v>
      </c>
      <c r="F4126" s="23">
        <v>0</v>
      </c>
      <c r="G4126" s="23">
        <v>0</v>
      </c>
      <c r="H4126" s="23">
        <v>0</v>
      </c>
      <c r="I4126" s="23">
        <v>1207.7239999999999</v>
      </c>
      <c r="J4126" s="23">
        <v>0</v>
      </c>
      <c r="K4126" s="23">
        <v>0</v>
      </c>
    </row>
    <row r="4127" spans="1:11" x14ac:dyDescent="0.25">
      <c r="A4127">
        <v>4126</v>
      </c>
      <c r="B4127" s="23">
        <v>1132.70081</v>
      </c>
      <c r="C4127" s="23">
        <v>0</v>
      </c>
      <c r="D4127" s="23">
        <v>0</v>
      </c>
      <c r="E4127" s="23">
        <v>0</v>
      </c>
      <c r="F4127" s="23">
        <v>0</v>
      </c>
      <c r="G4127" s="23">
        <v>0</v>
      </c>
      <c r="H4127" s="23">
        <v>0</v>
      </c>
      <c r="I4127" s="23">
        <v>1132.701</v>
      </c>
      <c r="J4127" s="23">
        <v>0</v>
      </c>
      <c r="K4127" s="23">
        <v>0</v>
      </c>
    </row>
    <row r="4128" spans="1:11" x14ac:dyDescent="0.25">
      <c r="A4128">
        <v>4127</v>
      </c>
      <c r="B4128" s="23">
        <v>1078.2723289999999</v>
      </c>
      <c r="C4128" s="23">
        <v>0</v>
      </c>
      <c r="D4128" s="23">
        <v>0</v>
      </c>
      <c r="E4128" s="23">
        <v>0</v>
      </c>
      <c r="F4128" s="23">
        <v>0</v>
      </c>
      <c r="G4128" s="23">
        <v>0</v>
      </c>
      <c r="H4128" s="23">
        <v>0</v>
      </c>
      <c r="I4128" s="23">
        <v>1078.2719999999999</v>
      </c>
      <c r="J4128" s="23">
        <v>0</v>
      </c>
      <c r="K4128" s="23">
        <v>0</v>
      </c>
    </row>
    <row r="4129" spans="1:11" x14ac:dyDescent="0.25">
      <c r="A4129">
        <v>4128</v>
      </c>
      <c r="B4129" s="23">
        <v>1233.4670510000001</v>
      </c>
      <c r="C4129" s="23">
        <v>0</v>
      </c>
      <c r="D4129" s="23">
        <v>0</v>
      </c>
      <c r="E4129" s="23">
        <v>0</v>
      </c>
      <c r="F4129" s="23">
        <v>0</v>
      </c>
      <c r="G4129" s="23">
        <v>0</v>
      </c>
      <c r="H4129" s="23">
        <v>0</v>
      </c>
      <c r="I4129" s="23">
        <v>1233.4670000000001</v>
      </c>
      <c r="J4129" s="23">
        <v>0</v>
      </c>
      <c r="K4129" s="23">
        <v>0</v>
      </c>
    </row>
    <row r="4130" spans="1:11" x14ac:dyDescent="0.25">
      <c r="A4130">
        <v>4129</v>
      </c>
      <c r="B4130" s="23">
        <v>1003.984809</v>
      </c>
      <c r="C4130" s="23">
        <v>0</v>
      </c>
      <c r="D4130" s="23">
        <v>0</v>
      </c>
      <c r="E4130" s="23">
        <v>0</v>
      </c>
      <c r="F4130" s="23">
        <v>0</v>
      </c>
      <c r="G4130" s="23">
        <v>0</v>
      </c>
      <c r="H4130" s="23">
        <v>0</v>
      </c>
      <c r="I4130" s="23">
        <v>1003.985</v>
      </c>
      <c r="J4130" s="23">
        <v>0</v>
      </c>
      <c r="K4130" s="23">
        <v>0</v>
      </c>
    </row>
    <row r="4131" spans="1:11" x14ac:dyDescent="0.25">
      <c r="A4131">
        <v>4130</v>
      </c>
      <c r="B4131" s="23">
        <v>1147.41121</v>
      </c>
      <c r="C4131" s="23">
        <v>0</v>
      </c>
      <c r="D4131" s="23">
        <v>0</v>
      </c>
      <c r="E4131" s="23">
        <v>0</v>
      </c>
      <c r="F4131" s="23">
        <v>0</v>
      </c>
      <c r="G4131" s="23">
        <v>0</v>
      </c>
      <c r="H4131" s="23">
        <v>0</v>
      </c>
      <c r="I4131" s="23">
        <v>1147.4110000000001</v>
      </c>
      <c r="J4131" s="23">
        <v>0</v>
      </c>
      <c r="K4131" s="23">
        <v>0</v>
      </c>
    </row>
    <row r="4132" spans="1:11" x14ac:dyDescent="0.25">
      <c r="A4132">
        <v>4131</v>
      </c>
      <c r="B4132" s="23">
        <v>1050.3225689999999</v>
      </c>
      <c r="C4132" s="23">
        <v>0</v>
      </c>
      <c r="D4132" s="23">
        <v>0</v>
      </c>
      <c r="E4132" s="23">
        <v>0</v>
      </c>
      <c r="F4132" s="23">
        <v>0</v>
      </c>
      <c r="G4132" s="23">
        <v>0</v>
      </c>
      <c r="H4132" s="23">
        <v>0</v>
      </c>
      <c r="I4132" s="23">
        <v>1050.3230000000001</v>
      </c>
      <c r="J4132" s="23">
        <v>0</v>
      </c>
      <c r="K4132" s="23">
        <v>0</v>
      </c>
    </row>
    <row r="4133" spans="1:11" x14ac:dyDescent="0.25">
      <c r="A4133">
        <v>4132</v>
      </c>
      <c r="B4133" s="23">
        <v>1001.042729</v>
      </c>
      <c r="C4133" s="23">
        <v>0</v>
      </c>
      <c r="D4133" s="23">
        <v>0</v>
      </c>
      <c r="E4133" s="23">
        <v>0</v>
      </c>
      <c r="F4133" s="23">
        <v>0</v>
      </c>
      <c r="G4133" s="23">
        <v>0</v>
      </c>
      <c r="H4133" s="23">
        <v>0</v>
      </c>
      <c r="I4133" s="23">
        <v>1001.043</v>
      </c>
      <c r="J4133" s="23">
        <v>0</v>
      </c>
      <c r="K4133" s="23">
        <v>0</v>
      </c>
    </row>
    <row r="4134" spans="1:11" x14ac:dyDescent="0.25">
      <c r="A4134">
        <v>4133</v>
      </c>
      <c r="B4134" s="23">
        <v>899.54096779999998</v>
      </c>
      <c r="C4134" s="23">
        <v>0</v>
      </c>
      <c r="D4134" s="23">
        <v>0</v>
      </c>
      <c r="E4134" s="23">
        <v>0</v>
      </c>
      <c r="F4134" s="23">
        <v>0</v>
      </c>
      <c r="G4134" s="23">
        <v>0</v>
      </c>
      <c r="H4134" s="23">
        <v>0</v>
      </c>
      <c r="I4134" s="23">
        <v>735.55700000000002</v>
      </c>
      <c r="J4134" s="23">
        <v>0</v>
      </c>
      <c r="K4134" s="23">
        <v>163.98400000000001</v>
      </c>
    </row>
    <row r="4135" spans="1:11" x14ac:dyDescent="0.25">
      <c r="A4135">
        <v>4134</v>
      </c>
      <c r="B4135" s="23">
        <v>956.91152829999999</v>
      </c>
      <c r="C4135" s="23">
        <v>0</v>
      </c>
      <c r="D4135" s="23">
        <v>0</v>
      </c>
      <c r="E4135" s="23">
        <v>0</v>
      </c>
      <c r="F4135" s="23">
        <v>0</v>
      </c>
      <c r="G4135" s="23">
        <v>0</v>
      </c>
      <c r="H4135" s="23">
        <v>0</v>
      </c>
      <c r="I4135" s="23">
        <v>0</v>
      </c>
      <c r="J4135" s="23">
        <v>0</v>
      </c>
      <c r="K4135" s="23">
        <v>956.91200000000003</v>
      </c>
    </row>
    <row r="4136" spans="1:11" x14ac:dyDescent="0.25">
      <c r="A4136">
        <v>4135</v>
      </c>
      <c r="B4136" s="23">
        <v>789.21296689999997</v>
      </c>
      <c r="C4136" s="23">
        <v>47.02</v>
      </c>
      <c r="D4136" s="23">
        <v>161.23400000000001</v>
      </c>
      <c r="E4136" s="23">
        <v>161.23400000000001</v>
      </c>
      <c r="F4136" s="23">
        <v>0</v>
      </c>
      <c r="G4136" s="23">
        <v>0</v>
      </c>
      <c r="H4136" s="23">
        <v>0</v>
      </c>
      <c r="I4136" s="23">
        <v>0</v>
      </c>
      <c r="J4136" s="23">
        <v>0</v>
      </c>
      <c r="K4136" s="23">
        <v>627.97900000000004</v>
      </c>
    </row>
    <row r="4137" spans="1:11" x14ac:dyDescent="0.25">
      <c r="A4137">
        <v>4136</v>
      </c>
      <c r="B4137" s="23">
        <v>1053.7960619999999</v>
      </c>
      <c r="C4137" s="23">
        <v>132.97999999999999</v>
      </c>
      <c r="D4137" s="23">
        <v>510.24299999999999</v>
      </c>
      <c r="E4137" s="23">
        <v>510.24299999999999</v>
      </c>
      <c r="F4137" s="23">
        <v>0</v>
      </c>
      <c r="G4137" s="23">
        <v>0</v>
      </c>
      <c r="H4137" s="23">
        <v>0</v>
      </c>
      <c r="I4137" s="23">
        <v>0</v>
      </c>
      <c r="J4137" s="23">
        <v>0</v>
      </c>
      <c r="K4137" s="23">
        <v>543.553</v>
      </c>
    </row>
    <row r="4138" spans="1:11" x14ac:dyDescent="0.25">
      <c r="A4138">
        <v>4137</v>
      </c>
      <c r="B4138" s="23">
        <v>1095.8282730000001</v>
      </c>
      <c r="C4138" s="23">
        <v>336.35</v>
      </c>
      <c r="D4138" s="23">
        <v>1322.992</v>
      </c>
      <c r="E4138" s="23">
        <v>1095.828</v>
      </c>
      <c r="F4138" s="23">
        <v>-227.16399999999999</v>
      </c>
      <c r="G4138" s="23">
        <v>0</v>
      </c>
      <c r="H4138" s="23">
        <v>0</v>
      </c>
      <c r="I4138" s="23">
        <v>0</v>
      </c>
      <c r="J4138" s="23">
        <v>0</v>
      </c>
      <c r="K4138" s="23">
        <v>0</v>
      </c>
    </row>
    <row r="4139" spans="1:11" x14ac:dyDescent="0.25">
      <c r="A4139">
        <v>4138</v>
      </c>
      <c r="B4139" s="23">
        <v>1072.8487889999999</v>
      </c>
      <c r="C4139" s="23">
        <v>453.14</v>
      </c>
      <c r="D4139" s="23">
        <v>1762.3510000000001</v>
      </c>
      <c r="E4139" s="23">
        <v>1072.8489999999999</v>
      </c>
      <c r="F4139" s="23">
        <v>-689.50199999999995</v>
      </c>
      <c r="G4139" s="23">
        <v>0</v>
      </c>
      <c r="H4139" s="23">
        <v>0</v>
      </c>
      <c r="I4139" s="23">
        <v>0</v>
      </c>
      <c r="J4139" s="23">
        <v>0</v>
      </c>
      <c r="K4139" s="23">
        <v>0</v>
      </c>
    </row>
    <row r="4140" spans="1:11" x14ac:dyDescent="0.25">
      <c r="A4140">
        <v>4139</v>
      </c>
      <c r="B4140" s="23">
        <v>1035.488969</v>
      </c>
      <c r="C4140" s="23">
        <v>461.37</v>
      </c>
      <c r="D4140" s="23">
        <v>1778.251</v>
      </c>
      <c r="E4140" s="23">
        <v>1035.489</v>
      </c>
      <c r="F4140" s="23">
        <v>-742.76199999999994</v>
      </c>
      <c r="G4140" s="23">
        <v>0</v>
      </c>
      <c r="H4140" s="23">
        <v>0</v>
      </c>
      <c r="I4140" s="23">
        <v>0</v>
      </c>
      <c r="J4140" s="23">
        <v>0</v>
      </c>
      <c r="K4140" s="23">
        <v>0</v>
      </c>
    </row>
    <row r="4141" spans="1:11" x14ac:dyDescent="0.25">
      <c r="A4141">
        <v>4140</v>
      </c>
      <c r="B4141" s="23">
        <v>1331.419928</v>
      </c>
      <c r="C4141" s="23">
        <v>129.49</v>
      </c>
      <c r="D4141" s="23">
        <v>475.04300000000001</v>
      </c>
      <c r="E4141" s="23">
        <v>475.04300000000001</v>
      </c>
      <c r="F4141" s="23">
        <v>0</v>
      </c>
      <c r="G4141" s="23">
        <v>0</v>
      </c>
      <c r="H4141" s="23">
        <v>0</v>
      </c>
      <c r="I4141" s="23">
        <v>0</v>
      </c>
      <c r="J4141" s="23">
        <v>0</v>
      </c>
      <c r="K4141" s="23">
        <v>856.37699999999995</v>
      </c>
    </row>
    <row r="4142" spans="1:11" x14ac:dyDescent="0.25">
      <c r="A4142">
        <v>4141</v>
      </c>
      <c r="B4142" s="23">
        <v>846.34632220000003</v>
      </c>
      <c r="C4142" s="23">
        <v>142.01</v>
      </c>
      <c r="D4142" s="23">
        <v>524.39200000000005</v>
      </c>
      <c r="E4142" s="23">
        <v>524.39200000000005</v>
      </c>
      <c r="F4142" s="23">
        <v>0</v>
      </c>
      <c r="G4142" s="23">
        <v>0</v>
      </c>
      <c r="H4142" s="23">
        <v>0</v>
      </c>
      <c r="I4142" s="23">
        <v>0</v>
      </c>
      <c r="J4142" s="23">
        <v>0</v>
      </c>
      <c r="K4142" s="23">
        <v>321.95499999999998</v>
      </c>
    </row>
    <row r="4143" spans="1:11" x14ac:dyDescent="0.25">
      <c r="A4143">
        <v>4142</v>
      </c>
      <c r="B4143" s="23">
        <v>916.99761579999995</v>
      </c>
      <c r="C4143" s="23">
        <v>281.56</v>
      </c>
      <c r="D4143" s="23">
        <v>1077.665</v>
      </c>
      <c r="E4143" s="23">
        <v>916.99699999999996</v>
      </c>
      <c r="F4143" s="23">
        <v>-160.66800000000001</v>
      </c>
      <c r="G4143" s="23">
        <v>0</v>
      </c>
      <c r="H4143" s="23">
        <v>0</v>
      </c>
      <c r="I4143" s="23">
        <v>0</v>
      </c>
      <c r="J4143" s="23">
        <v>0</v>
      </c>
      <c r="K4143" s="23">
        <v>0</v>
      </c>
    </row>
    <row r="4144" spans="1:11" x14ac:dyDescent="0.25">
      <c r="A4144">
        <v>4143</v>
      </c>
      <c r="B4144" s="23">
        <v>791.33953910000002</v>
      </c>
      <c r="C4144" s="23">
        <v>50.06</v>
      </c>
      <c r="D4144" s="23">
        <v>165.733</v>
      </c>
      <c r="E4144" s="23">
        <v>165.733</v>
      </c>
      <c r="F4144" s="23">
        <v>0</v>
      </c>
      <c r="G4144" s="23">
        <v>0</v>
      </c>
      <c r="H4144" s="23">
        <v>0</v>
      </c>
      <c r="I4144" s="23">
        <v>0</v>
      </c>
      <c r="J4144" s="23">
        <v>0</v>
      </c>
      <c r="K4144" s="23">
        <v>625.60599999999999</v>
      </c>
    </row>
    <row r="4145" spans="1:11" x14ac:dyDescent="0.25">
      <c r="A4145">
        <v>4144</v>
      </c>
      <c r="B4145" s="23">
        <v>216.0102737</v>
      </c>
      <c r="C4145" s="23">
        <v>29.42</v>
      </c>
      <c r="D4145" s="23">
        <v>87.822999999999993</v>
      </c>
      <c r="E4145" s="23">
        <v>87.822999999999993</v>
      </c>
      <c r="F4145" s="23">
        <v>0</v>
      </c>
      <c r="G4145" s="23">
        <v>0</v>
      </c>
      <c r="H4145" s="23">
        <v>0</v>
      </c>
      <c r="I4145" s="23">
        <v>0</v>
      </c>
      <c r="J4145" s="23">
        <v>0</v>
      </c>
      <c r="K4145" s="23">
        <v>128.18700000000001</v>
      </c>
    </row>
    <row r="4146" spans="1:11" x14ac:dyDescent="0.25">
      <c r="A4146">
        <v>4145</v>
      </c>
      <c r="B4146" s="23">
        <v>168.30812370000001</v>
      </c>
      <c r="C4146" s="23">
        <v>40.18</v>
      </c>
      <c r="D4146" s="23">
        <v>132.559</v>
      </c>
      <c r="E4146" s="23">
        <v>132.559</v>
      </c>
      <c r="F4146" s="23">
        <v>0</v>
      </c>
      <c r="G4146" s="23">
        <v>0</v>
      </c>
      <c r="H4146" s="23">
        <v>0</v>
      </c>
      <c r="I4146" s="23">
        <v>0</v>
      </c>
      <c r="J4146" s="23">
        <v>0</v>
      </c>
      <c r="K4146" s="23">
        <v>35.75</v>
      </c>
    </row>
    <row r="4147" spans="1:11" x14ac:dyDescent="0.25">
      <c r="A4147">
        <v>4146</v>
      </c>
      <c r="B4147" s="23">
        <v>126.46530989999999</v>
      </c>
      <c r="C4147" s="23">
        <v>9.7899999999999991</v>
      </c>
      <c r="D4147" s="23">
        <v>13.958</v>
      </c>
      <c r="E4147" s="23">
        <v>13.958</v>
      </c>
      <c r="F4147" s="23">
        <v>0</v>
      </c>
      <c r="G4147" s="23">
        <v>0</v>
      </c>
      <c r="H4147" s="23">
        <v>0</v>
      </c>
      <c r="I4147" s="23">
        <v>0</v>
      </c>
      <c r="J4147" s="23">
        <v>0</v>
      </c>
      <c r="K4147" s="23">
        <v>112.50700000000001</v>
      </c>
    </row>
    <row r="4148" spans="1:11" x14ac:dyDescent="0.25">
      <c r="A4148">
        <v>4147</v>
      </c>
      <c r="B4148" s="23">
        <v>136.07120119999999</v>
      </c>
      <c r="C4148" s="23">
        <v>0</v>
      </c>
      <c r="D4148" s="23">
        <v>0</v>
      </c>
      <c r="E4148" s="23">
        <v>0</v>
      </c>
      <c r="F4148" s="23">
        <v>0</v>
      </c>
      <c r="G4148" s="23">
        <v>0</v>
      </c>
      <c r="H4148" s="23">
        <v>0</v>
      </c>
      <c r="I4148" s="23">
        <v>0</v>
      </c>
      <c r="J4148" s="23">
        <v>0</v>
      </c>
      <c r="K4148" s="23">
        <v>136.071</v>
      </c>
    </row>
    <row r="4149" spans="1:11" x14ac:dyDescent="0.25">
      <c r="A4149">
        <v>4148</v>
      </c>
      <c r="B4149" s="23">
        <v>92.675520809999995</v>
      </c>
      <c r="C4149" s="23">
        <v>0</v>
      </c>
      <c r="D4149" s="23">
        <v>0</v>
      </c>
      <c r="E4149" s="23">
        <v>0</v>
      </c>
      <c r="F4149" s="23">
        <v>0</v>
      </c>
      <c r="G4149" s="23">
        <v>0</v>
      </c>
      <c r="H4149" s="23">
        <v>0</v>
      </c>
      <c r="I4149" s="23">
        <v>0</v>
      </c>
      <c r="J4149" s="23">
        <v>0</v>
      </c>
      <c r="K4149" s="23">
        <v>92.676000000000002</v>
      </c>
    </row>
    <row r="4150" spans="1:11" x14ac:dyDescent="0.25">
      <c r="A4150">
        <v>4149</v>
      </c>
      <c r="B4150" s="23">
        <v>88.262400769999999</v>
      </c>
      <c r="C4150" s="23">
        <v>0</v>
      </c>
      <c r="D4150" s="23">
        <v>0</v>
      </c>
      <c r="E4150" s="23">
        <v>0</v>
      </c>
      <c r="F4150" s="23">
        <v>0</v>
      </c>
      <c r="G4150" s="23">
        <v>0</v>
      </c>
      <c r="H4150" s="23">
        <v>0</v>
      </c>
      <c r="I4150" s="23">
        <v>0</v>
      </c>
      <c r="J4150" s="23">
        <v>0</v>
      </c>
      <c r="K4150" s="23">
        <v>88.262</v>
      </c>
    </row>
    <row r="4151" spans="1:11" x14ac:dyDescent="0.25">
      <c r="A4151">
        <v>4150</v>
      </c>
      <c r="B4151" s="23">
        <v>94.146560820000005</v>
      </c>
      <c r="C4151" s="23">
        <v>0</v>
      </c>
      <c r="D4151" s="23">
        <v>0</v>
      </c>
      <c r="E4151" s="23">
        <v>0</v>
      </c>
      <c r="F4151" s="23">
        <v>0</v>
      </c>
      <c r="G4151" s="23">
        <v>0</v>
      </c>
      <c r="H4151" s="23">
        <v>0</v>
      </c>
      <c r="I4151" s="23">
        <v>0</v>
      </c>
      <c r="J4151" s="23">
        <v>0</v>
      </c>
      <c r="K4151" s="23">
        <v>94.147000000000006</v>
      </c>
    </row>
    <row r="4152" spans="1:11" x14ac:dyDescent="0.25">
      <c r="A4152">
        <v>4151</v>
      </c>
      <c r="B4152" s="23">
        <v>83.849280730000004</v>
      </c>
      <c r="C4152" s="23">
        <v>0</v>
      </c>
      <c r="D4152" s="23">
        <v>0</v>
      </c>
      <c r="E4152" s="23">
        <v>0</v>
      </c>
      <c r="F4152" s="23">
        <v>0</v>
      </c>
      <c r="G4152" s="23">
        <v>0</v>
      </c>
      <c r="H4152" s="23">
        <v>0</v>
      </c>
      <c r="I4152" s="23">
        <v>0</v>
      </c>
      <c r="J4152" s="23">
        <v>0</v>
      </c>
      <c r="K4152" s="23">
        <v>83.849000000000004</v>
      </c>
    </row>
    <row r="4153" spans="1:11" x14ac:dyDescent="0.25">
      <c r="A4153">
        <v>4152</v>
      </c>
      <c r="B4153" s="23">
        <v>91.940000800000007</v>
      </c>
      <c r="C4153" s="23">
        <v>0</v>
      </c>
      <c r="D4153" s="23">
        <v>0</v>
      </c>
      <c r="E4153" s="23">
        <v>0</v>
      </c>
      <c r="F4153" s="23">
        <v>0</v>
      </c>
      <c r="G4153" s="23">
        <v>0</v>
      </c>
      <c r="H4153" s="23">
        <v>0</v>
      </c>
      <c r="I4153" s="23">
        <v>0</v>
      </c>
      <c r="J4153" s="23">
        <v>0</v>
      </c>
      <c r="K4153" s="23">
        <v>91.94</v>
      </c>
    </row>
    <row r="4154" spans="1:11" x14ac:dyDescent="0.25">
      <c r="A4154">
        <v>4153</v>
      </c>
      <c r="B4154" s="23">
        <v>82.378240719999994</v>
      </c>
      <c r="C4154" s="23">
        <v>0</v>
      </c>
      <c r="D4154" s="23">
        <v>0</v>
      </c>
      <c r="E4154" s="23">
        <v>0</v>
      </c>
      <c r="F4154" s="23">
        <v>0</v>
      </c>
      <c r="G4154" s="23">
        <v>0</v>
      </c>
      <c r="H4154" s="23">
        <v>0</v>
      </c>
      <c r="I4154" s="23">
        <v>82.378</v>
      </c>
      <c r="J4154" s="23">
        <v>0</v>
      </c>
      <c r="K4154" s="23">
        <v>0</v>
      </c>
    </row>
    <row r="4155" spans="1:11" x14ac:dyDescent="0.25">
      <c r="A4155">
        <v>4154</v>
      </c>
      <c r="B4155" s="23">
        <v>88.262400769999999</v>
      </c>
      <c r="C4155" s="23">
        <v>0</v>
      </c>
      <c r="D4155" s="23">
        <v>0</v>
      </c>
      <c r="E4155" s="23">
        <v>0</v>
      </c>
      <c r="F4155" s="23">
        <v>0</v>
      </c>
      <c r="G4155" s="23">
        <v>0</v>
      </c>
      <c r="H4155" s="23">
        <v>0</v>
      </c>
      <c r="I4155" s="23">
        <v>88.262</v>
      </c>
      <c r="J4155" s="23">
        <v>0</v>
      </c>
      <c r="K4155" s="23">
        <v>0</v>
      </c>
    </row>
    <row r="4156" spans="1:11" x14ac:dyDescent="0.25">
      <c r="A4156">
        <v>4155</v>
      </c>
      <c r="B4156" s="23">
        <v>82.378240719999994</v>
      </c>
      <c r="C4156" s="23">
        <v>0</v>
      </c>
      <c r="D4156" s="23">
        <v>0</v>
      </c>
      <c r="E4156" s="23">
        <v>0</v>
      </c>
      <c r="F4156" s="23">
        <v>0</v>
      </c>
      <c r="G4156" s="23">
        <v>0</v>
      </c>
      <c r="H4156" s="23">
        <v>0</v>
      </c>
      <c r="I4156" s="23">
        <v>82.378</v>
      </c>
      <c r="J4156" s="23">
        <v>0</v>
      </c>
      <c r="K4156" s="23">
        <v>0</v>
      </c>
    </row>
    <row r="4157" spans="1:11" x14ac:dyDescent="0.25">
      <c r="A4157">
        <v>4156</v>
      </c>
      <c r="B4157" s="23">
        <v>82.378240719999994</v>
      </c>
      <c r="C4157" s="23">
        <v>0</v>
      </c>
      <c r="D4157" s="23">
        <v>0</v>
      </c>
      <c r="E4157" s="23">
        <v>0</v>
      </c>
      <c r="F4157" s="23">
        <v>0</v>
      </c>
      <c r="G4157" s="23">
        <v>0</v>
      </c>
      <c r="H4157" s="23">
        <v>0</v>
      </c>
      <c r="I4157" s="23">
        <v>82.378</v>
      </c>
      <c r="J4157" s="23">
        <v>0</v>
      </c>
      <c r="K4157" s="23">
        <v>0</v>
      </c>
    </row>
    <row r="4158" spans="1:11" x14ac:dyDescent="0.25">
      <c r="A4158">
        <v>4157</v>
      </c>
      <c r="B4158" s="23">
        <v>83.849280730000004</v>
      </c>
      <c r="C4158" s="23">
        <v>0</v>
      </c>
      <c r="D4158" s="23">
        <v>0</v>
      </c>
      <c r="E4158" s="23">
        <v>0</v>
      </c>
      <c r="F4158" s="23">
        <v>0</v>
      </c>
      <c r="G4158" s="23">
        <v>0</v>
      </c>
      <c r="H4158" s="23">
        <v>0</v>
      </c>
      <c r="I4158" s="23">
        <v>0</v>
      </c>
      <c r="J4158" s="23">
        <v>0</v>
      </c>
      <c r="K4158" s="23">
        <v>83.849000000000004</v>
      </c>
    </row>
    <row r="4159" spans="1:11" x14ac:dyDescent="0.25">
      <c r="A4159">
        <v>4158</v>
      </c>
      <c r="B4159" s="23">
        <v>84.584800740000006</v>
      </c>
      <c r="C4159" s="23">
        <v>0</v>
      </c>
      <c r="D4159" s="23">
        <v>0</v>
      </c>
      <c r="E4159" s="23">
        <v>0</v>
      </c>
      <c r="F4159" s="23">
        <v>0</v>
      </c>
      <c r="G4159" s="23">
        <v>0</v>
      </c>
      <c r="H4159" s="23">
        <v>0</v>
      </c>
      <c r="I4159" s="23">
        <v>0</v>
      </c>
      <c r="J4159" s="23">
        <v>0</v>
      </c>
      <c r="K4159" s="23">
        <v>84.584999999999994</v>
      </c>
    </row>
    <row r="4160" spans="1:11" x14ac:dyDescent="0.25">
      <c r="A4160">
        <v>4159</v>
      </c>
      <c r="B4160" s="23">
        <v>66.932320579999995</v>
      </c>
      <c r="C4160" s="23">
        <v>34.299999999999997</v>
      </c>
      <c r="D4160" s="23">
        <v>110.17</v>
      </c>
      <c r="E4160" s="23">
        <v>66.932000000000002</v>
      </c>
      <c r="F4160" s="23">
        <v>-43.238</v>
      </c>
      <c r="G4160" s="23">
        <v>0</v>
      </c>
      <c r="H4160" s="23">
        <v>0</v>
      </c>
      <c r="I4160" s="23">
        <v>0</v>
      </c>
      <c r="J4160" s="23">
        <v>0</v>
      </c>
      <c r="K4160" s="23">
        <v>0</v>
      </c>
    </row>
    <row r="4161" spans="1:11" x14ac:dyDescent="0.25">
      <c r="A4161">
        <v>4160</v>
      </c>
      <c r="B4161" s="23">
        <v>82.387434720000002</v>
      </c>
      <c r="C4161" s="23">
        <v>152.88</v>
      </c>
      <c r="D4161" s="23">
        <v>590.29700000000003</v>
      </c>
      <c r="E4161" s="23">
        <v>82.388000000000005</v>
      </c>
      <c r="F4161" s="23">
        <v>-507.90899999999999</v>
      </c>
      <c r="G4161" s="23">
        <v>0</v>
      </c>
      <c r="H4161" s="23">
        <v>0</v>
      </c>
      <c r="I4161" s="23">
        <v>0</v>
      </c>
      <c r="J4161" s="23">
        <v>0</v>
      </c>
      <c r="K4161" s="23">
        <v>0</v>
      </c>
    </row>
    <row r="4162" spans="1:11" x14ac:dyDescent="0.25">
      <c r="A4162">
        <v>4161</v>
      </c>
      <c r="B4162" s="23">
        <v>584.91952690000005</v>
      </c>
      <c r="C4162" s="23">
        <v>304.43</v>
      </c>
      <c r="D4162" s="23">
        <v>1190.646</v>
      </c>
      <c r="E4162" s="23">
        <v>584.91999999999996</v>
      </c>
      <c r="F4162" s="23">
        <v>-605.726</v>
      </c>
      <c r="G4162" s="23">
        <v>0</v>
      </c>
      <c r="H4162" s="23">
        <v>0</v>
      </c>
      <c r="I4162" s="23">
        <v>0</v>
      </c>
      <c r="J4162" s="23">
        <v>0</v>
      </c>
      <c r="K4162" s="23">
        <v>0</v>
      </c>
    </row>
    <row r="4163" spans="1:11" x14ac:dyDescent="0.25">
      <c r="A4163">
        <v>4162</v>
      </c>
      <c r="B4163" s="23">
        <v>1157.200981</v>
      </c>
      <c r="C4163" s="23">
        <v>359.65</v>
      </c>
      <c r="D4163" s="23">
        <v>1394.771</v>
      </c>
      <c r="E4163" s="23">
        <v>1157.201</v>
      </c>
      <c r="F4163" s="23">
        <v>-237.57</v>
      </c>
      <c r="G4163" s="23">
        <v>0</v>
      </c>
      <c r="H4163" s="23">
        <v>0</v>
      </c>
      <c r="I4163" s="23">
        <v>0</v>
      </c>
      <c r="J4163" s="23">
        <v>0</v>
      </c>
      <c r="K4163" s="23">
        <v>0</v>
      </c>
    </row>
    <row r="4164" spans="1:11" x14ac:dyDescent="0.25">
      <c r="A4164">
        <v>4163</v>
      </c>
      <c r="B4164" s="23">
        <v>1150.501313</v>
      </c>
      <c r="C4164" s="23">
        <v>533.13</v>
      </c>
      <c r="D4164" s="23">
        <v>2053.4830000000002</v>
      </c>
      <c r="E4164" s="23">
        <v>1150.502</v>
      </c>
      <c r="F4164" s="23">
        <v>-902.98099999999999</v>
      </c>
      <c r="G4164" s="23">
        <v>0</v>
      </c>
      <c r="H4164" s="23">
        <v>0</v>
      </c>
      <c r="I4164" s="23">
        <v>0</v>
      </c>
      <c r="J4164" s="23">
        <v>0</v>
      </c>
      <c r="K4164" s="23">
        <v>0</v>
      </c>
    </row>
    <row r="4165" spans="1:11" x14ac:dyDescent="0.25">
      <c r="A4165">
        <v>4164</v>
      </c>
      <c r="B4165" s="23">
        <v>990.46135400000003</v>
      </c>
      <c r="C4165" s="23">
        <v>653.67999999999995</v>
      </c>
      <c r="D4165" s="23">
        <v>2497.5369999999998</v>
      </c>
      <c r="E4165" s="23">
        <v>990.46199999999999</v>
      </c>
      <c r="F4165" s="23">
        <v>-1507.075</v>
      </c>
      <c r="G4165" s="23">
        <v>0</v>
      </c>
      <c r="H4165" s="23">
        <v>0</v>
      </c>
      <c r="I4165" s="23">
        <v>0</v>
      </c>
      <c r="J4165" s="23">
        <v>0</v>
      </c>
      <c r="K4165" s="23">
        <v>0</v>
      </c>
    </row>
    <row r="4166" spans="1:11" x14ac:dyDescent="0.25">
      <c r="A4166">
        <v>4165</v>
      </c>
      <c r="B4166" s="23">
        <v>1247.031878</v>
      </c>
      <c r="C4166" s="23">
        <v>765.86</v>
      </c>
      <c r="D4166" s="23">
        <v>2915.0590000000002</v>
      </c>
      <c r="E4166" s="23">
        <v>1247.0319999999999</v>
      </c>
      <c r="F4166" s="23">
        <v>-1668.027</v>
      </c>
      <c r="G4166" s="23">
        <v>0</v>
      </c>
      <c r="H4166" s="23">
        <v>0</v>
      </c>
      <c r="I4166" s="23">
        <v>0</v>
      </c>
      <c r="J4166" s="23">
        <v>0</v>
      </c>
      <c r="K4166" s="23">
        <v>0</v>
      </c>
    </row>
    <row r="4167" spans="1:11" x14ac:dyDescent="0.25">
      <c r="A4167">
        <v>4166</v>
      </c>
      <c r="B4167" s="23">
        <v>1015.075531</v>
      </c>
      <c r="C4167" s="23">
        <v>814.55</v>
      </c>
      <c r="D4167" s="23">
        <v>3154.5749999999998</v>
      </c>
      <c r="E4167" s="23">
        <v>1015.076</v>
      </c>
      <c r="F4167" s="23">
        <v>-1684.559</v>
      </c>
      <c r="G4167" s="23">
        <v>0</v>
      </c>
      <c r="H4167" s="23">
        <v>454.94</v>
      </c>
      <c r="I4167" s="23">
        <v>0</v>
      </c>
      <c r="J4167" s="23">
        <v>0</v>
      </c>
      <c r="K4167" s="23">
        <v>0</v>
      </c>
    </row>
    <row r="4168" spans="1:11" x14ac:dyDescent="0.25">
      <c r="A4168">
        <v>4167</v>
      </c>
      <c r="B4168" s="23">
        <v>1035.2370539999999</v>
      </c>
      <c r="C4168" s="23">
        <v>558.23</v>
      </c>
      <c r="D4168" s="23">
        <v>2166.5659999999998</v>
      </c>
      <c r="E4168" s="23">
        <v>1035.2370000000001</v>
      </c>
      <c r="F4168" s="23">
        <v>-134.41300000000001</v>
      </c>
      <c r="G4168" s="23">
        <v>0</v>
      </c>
      <c r="H4168" s="23">
        <v>996.91600000000005</v>
      </c>
      <c r="I4168" s="23">
        <v>0</v>
      </c>
      <c r="J4168" s="23">
        <v>0</v>
      </c>
      <c r="K4168" s="23">
        <v>0</v>
      </c>
    </row>
    <row r="4169" spans="1:11" x14ac:dyDescent="0.25">
      <c r="A4169">
        <v>4168</v>
      </c>
      <c r="B4169" s="23">
        <v>965.47390059999998</v>
      </c>
      <c r="C4169" s="23">
        <v>406.47</v>
      </c>
      <c r="D4169" s="23">
        <v>1600.249</v>
      </c>
      <c r="E4169" s="23">
        <v>965.47400000000005</v>
      </c>
      <c r="F4169" s="23">
        <v>0</v>
      </c>
      <c r="G4169" s="23">
        <v>0</v>
      </c>
      <c r="H4169" s="23">
        <v>634.77499999999998</v>
      </c>
      <c r="I4169" s="23">
        <v>0</v>
      </c>
      <c r="J4169" s="23">
        <v>0</v>
      </c>
      <c r="K4169" s="23">
        <v>0</v>
      </c>
    </row>
    <row r="4170" spans="1:11" x14ac:dyDescent="0.25">
      <c r="A4170">
        <v>4169</v>
      </c>
      <c r="B4170" s="23">
        <v>874.72452280000005</v>
      </c>
      <c r="C4170" s="23">
        <v>183.01</v>
      </c>
      <c r="D4170" s="23">
        <v>710.95799999999997</v>
      </c>
      <c r="E4170" s="23">
        <v>710.95799999999997</v>
      </c>
      <c r="F4170" s="23">
        <v>0</v>
      </c>
      <c r="G4170" s="23">
        <v>0</v>
      </c>
      <c r="H4170" s="23">
        <v>0</v>
      </c>
      <c r="I4170" s="23">
        <v>163.76599999999999</v>
      </c>
      <c r="J4170" s="23">
        <v>0</v>
      </c>
      <c r="K4170" s="23">
        <v>0</v>
      </c>
    </row>
    <row r="4171" spans="1:11" x14ac:dyDescent="0.25">
      <c r="A4171">
        <v>4170</v>
      </c>
      <c r="B4171" s="23">
        <v>1044.999243</v>
      </c>
      <c r="C4171" s="23">
        <v>46.73</v>
      </c>
      <c r="D4171" s="23">
        <v>156.946</v>
      </c>
      <c r="E4171" s="23">
        <v>156.946</v>
      </c>
      <c r="F4171" s="23">
        <v>0</v>
      </c>
      <c r="G4171" s="23">
        <v>0</v>
      </c>
      <c r="H4171" s="23">
        <v>0</v>
      </c>
      <c r="I4171" s="23">
        <v>0</v>
      </c>
      <c r="J4171" s="23">
        <v>0</v>
      </c>
      <c r="K4171" s="23">
        <v>888.053</v>
      </c>
    </row>
    <row r="4172" spans="1:11" x14ac:dyDescent="0.25">
      <c r="A4172">
        <v>4171</v>
      </c>
      <c r="B4172" s="23">
        <v>962.79568840000002</v>
      </c>
      <c r="C4172" s="23">
        <v>0</v>
      </c>
      <c r="D4172" s="23">
        <v>0</v>
      </c>
      <c r="E4172" s="23">
        <v>0</v>
      </c>
      <c r="F4172" s="23">
        <v>0</v>
      </c>
      <c r="G4172" s="23">
        <v>0</v>
      </c>
      <c r="H4172" s="23">
        <v>0</v>
      </c>
      <c r="I4172" s="23">
        <v>0</v>
      </c>
      <c r="J4172" s="23">
        <v>0</v>
      </c>
      <c r="K4172" s="23">
        <v>962.79600000000005</v>
      </c>
    </row>
    <row r="4173" spans="1:11" x14ac:dyDescent="0.25">
      <c r="A4173">
        <v>4172</v>
      </c>
      <c r="B4173" s="23">
        <v>1037.8187290000001</v>
      </c>
      <c r="C4173" s="23">
        <v>0</v>
      </c>
      <c r="D4173" s="23">
        <v>0</v>
      </c>
      <c r="E4173" s="23">
        <v>0</v>
      </c>
      <c r="F4173" s="23">
        <v>0</v>
      </c>
      <c r="G4173" s="23">
        <v>0</v>
      </c>
      <c r="H4173" s="23">
        <v>0</v>
      </c>
      <c r="I4173" s="23">
        <v>0</v>
      </c>
      <c r="J4173" s="23">
        <v>0</v>
      </c>
      <c r="K4173" s="23">
        <v>1037.819</v>
      </c>
    </row>
    <row r="4174" spans="1:11" x14ac:dyDescent="0.25">
      <c r="A4174">
        <v>4173</v>
      </c>
      <c r="B4174" s="23">
        <v>715.66096619999996</v>
      </c>
      <c r="C4174" s="23">
        <v>0</v>
      </c>
      <c r="D4174" s="23">
        <v>0</v>
      </c>
      <c r="E4174" s="23">
        <v>0</v>
      </c>
      <c r="F4174" s="23">
        <v>0</v>
      </c>
      <c r="G4174" s="23">
        <v>0</v>
      </c>
      <c r="H4174" s="23">
        <v>0</v>
      </c>
      <c r="I4174" s="23">
        <v>715.66099999999994</v>
      </c>
      <c r="J4174" s="23">
        <v>0</v>
      </c>
      <c r="K4174" s="23">
        <v>0</v>
      </c>
    </row>
    <row r="4175" spans="1:11" x14ac:dyDescent="0.25">
      <c r="A4175">
        <v>4174</v>
      </c>
      <c r="B4175" s="23">
        <v>1001.778249</v>
      </c>
      <c r="C4175" s="23">
        <v>0</v>
      </c>
      <c r="D4175" s="23">
        <v>0</v>
      </c>
      <c r="E4175" s="23">
        <v>0</v>
      </c>
      <c r="F4175" s="23">
        <v>0</v>
      </c>
      <c r="G4175" s="23">
        <v>0</v>
      </c>
      <c r="H4175" s="23">
        <v>0</v>
      </c>
      <c r="I4175" s="23">
        <v>1001.778</v>
      </c>
      <c r="J4175" s="23">
        <v>0</v>
      </c>
      <c r="K4175" s="23">
        <v>0</v>
      </c>
    </row>
    <row r="4176" spans="1:11" x14ac:dyDescent="0.25">
      <c r="A4176">
        <v>4175</v>
      </c>
      <c r="B4176" s="23">
        <v>876.00432760000001</v>
      </c>
      <c r="C4176" s="23">
        <v>0</v>
      </c>
      <c r="D4176" s="23">
        <v>0</v>
      </c>
      <c r="E4176" s="23">
        <v>0</v>
      </c>
      <c r="F4176" s="23">
        <v>0</v>
      </c>
      <c r="G4176" s="23">
        <v>0</v>
      </c>
      <c r="H4176" s="23">
        <v>0</v>
      </c>
      <c r="I4176" s="23">
        <v>876.00400000000002</v>
      </c>
      <c r="J4176" s="23">
        <v>0</v>
      </c>
      <c r="K4176" s="23">
        <v>0</v>
      </c>
    </row>
    <row r="4177" spans="1:11" x14ac:dyDescent="0.25">
      <c r="A4177">
        <v>4176</v>
      </c>
      <c r="B4177" s="23">
        <v>918.66448800000001</v>
      </c>
      <c r="C4177" s="23">
        <v>0</v>
      </c>
      <c r="D4177" s="23">
        <v>0</v>
      </c>
      <c r="E4177" s="23">
        <v>0</v>
      </c>
      <c r="F4177" s="23">
        <v>0</v>
      </c>
      <c r="G4177" s="23">
        <v>0</v>
      </c>
      <c r="H4177" s="23">
        <v>0</v>
      </c>
      <c r="I4177" s="23">
        <v>918.66399999999999</v>
      </c>
      <c r="J4177" s="23">
        <v>0</v>
      </c>
      <c r="K4177" s="23">
        <v>0</v>
      </c>
    </row>
    <row r="4178" spans="1:11" x14ac:dyDescent="0.25">
      <c r="A4178">
        <v>4177</v>
      </c>
      <c r="B4178" s="23">
        <v>882.62400769999999</v>
      </c>
      <c r="C4178" s="23">
        <v>0</v>
      </c>
      <c r="D4178" s="23">
        <v>0</v>
      </c>
      <c r="E4178" s="23">
        <v>0</v>
      </c>
      <c r="F4178" s="23">
        <v>0</v>
      </c>
      <c r="G4178" s="23">
        <v>0</v>
      </c>
      <c r="H4178" s="23">
        <v>0</v>
      </c>
      <c r="I4178" s="23">
        <v>882.62400000000002</v>
      </c>
      <c r="J4178" s="23">
        <v>0</v>
      </c>
      <c r="K4178" s="23">
        <v>0</v>
      </c>
    </row>
    <row r="4179" spans="1:11" x14ac:dyDescent="0.25">
      <c r="A4179">
        <v>4178</v>
      </c>
      <c r="B4179" s="23">
        <v>1200.3686499999999</v>
      </c>
      <c r="C4179" s="23">
        <v>0</v>
      </c>
      <c r="D4179" s="23">
        <v>0</v>
      </c>
      <c r="E4179" s="23">
        <v>0</v>
      </c>
      <c r="F4179" s="23">
        <v>0</v>
      </c>
      <c r="G4179" s="23">
        <v>0</v>
      </c>
      <c r="H4179" s="23">
        <v>0</v>
      </c>
      <c r="I4179" s="23">
        <v>1200.3689999999999</v>
      </c>
      <c r="J4179" s="23">
        <v>0</v>
      </c>
      <c r="K4179" s="23">
        <v>0</v>
      </c>
    </row>
    <row r="4180" spans="1:11" x14ac:dyDescent="0.25">
      <c r="A4180">
        <v>4179</v>
      </c>
      <c r="B4180" s="23">
        <v>1074.5947289999999</v>
      </c>
      <c r="C4180" s="23">
        <v>0</v>
      </c>
      <c r="D4180" s="23">
        <v>0</v>
      </c>
      <c r="E4180" s="23">
        <v>0</v>
      </c>
      <c r="F4180" s="23">
        <v>0</v>
      </c>
      <c r="G4180" s="23">
        <v>0</v>
      </c>
      <c r="H4180" s="23">
        <v>0</v>
      </c>
      <c r="I4180" s="23">
        <v>1074.595</v>
      </c>
      <c r="J4180" s="23">
        <v>0</v>
      </c>
      <c r="K4180" s="23">
        <v>0</v>
      </c>
    </row>
    <row r="4181" spans="1:11" x14ac:dyDescent="0.25">
      <c r="A4181">
        <v>4180</v>
      </c>
      <c r="B4181" s="23">
        <v>1248.912971</v>
      </c>
      <c r="C4181" s="23">
        <v>0</v>
      </c>
      <c r="D4181" s="23">
        <v>0</v>
      </c>
      <c r="E4181" s="23">
        <v>0</v>
      </c>
      <c r="F4181" s="23">
        <v>0</v>
      </c>
      <c r="G4181" s="23">
        <v>0</v>
      </c>
      <c r="H4181" s="23">
        <v>0</v>
      </c>
      <c r="I4181" s="23">
        <v>1248.913</v>
      </c>
      <c r="J4181" s="23">
        <v>0</v>
      </c>
      <c r="K4181" s="23">
        <v>0</v>
      </c>
    </row>
    <row r="4182" spans="1:11" x14ac:dyDescent="0.25">
      <c r="A4182">
        <v>4181</v>
      </c>
      <c r="B4182" s="23">
        <v>1179.0385699999999</v>
      </c>
      <c r="C4182" s="23">
        <v>0</v>
      </c>
      <c r="D4182" s="23">
        <v>0</v>
      </c>
      <c r="E4182" s="23">
        <v>0</v>
      </c>
      <c r="F4182" s="23">
        <v>0</v>
      </c>
      <c r="G4182" s="23">
        <v>0</v>
      </c>
      <c r="H4182" s="23">
        <v>0</v>
      </c>
      <c r="I4182" s="23">
        <v>1179.039</v>
      </c>
      <c r="J4182" s="23">
        <v>0</v>
      </c>
      <c r="K4182" s="23">
        <v>0</v>
      </c>
    </row>
    <row r="4183" spans="1:11" x14ac:dyDescent="0.25">
      <c r="A4183">
        <v>4182</v>
      </c>
      <c r="B4183" s="23">
        <v>1068.7105690000001</v>
      </c>
      <c r="C4183" s="23">
        <v>0</v>
      </c>
      <c r="D4183" s="23">
        <v>0</v>
      </c>
      <c r="E4183" s="23">
        <v>0</v>
      </c>
      <c r="F4183" s="23">
        <v>0</v>
      </c>
      <c r="G4183" s="23">
        <v>0</v>
      </c>
      <c r="H4183" s="23">
        <v>0</v>
      </c>
      <c r="I4183" s="23">
        <v>1068.711</v>
      </c>
      <c r="J4183" s="23">
        <v>0</v>
      </c>
      <c r="K4183" s="23">
        <v>0</v>
      </c>
    </row>
    <row r="4184" spans="1:11" x14ac:dyDescent="0.25">
      <c r="A4184">
        <v>4183</v>
      </c>
      <c r="B4184" s="23">
        <v>955.44048829999997</v>
      </c>
      <c r="C4184" s="23">
        <v>78.36</v>
      </c>
      <c r="D4184" s="23">
        <v>281.96300000000002</v>
      </c>
      <c r="E4184" s="23">
        <v>281.96300000000002</v>
      </c>
      <c r="F4184" s="23">
        <v>0</v>
      </c>
      <c r="G4184" s="23">
        <v>0</v>
      </c>
      <c r="H4184" s="23">
        <v>0</v>
      </c>
      <c r="I4184" s="23">
        <v>673.47799999999995</v>
      </c>
      <c r="J4184" s="23">
        <v>0</v>
      </c>
      <c r="K4184" s="23">
        <v>0</v>
      </c>
    </row>
    <row r="4185" spans="1:11" x14ac:dyDescent="0.25">
      <c r="A4185">
        <v>4184</v>
      </c>
      <c r="B4185" s="23">
        <v>993.91737869999997</v>
      </c>
      <c r="C4185" s="23">
        <v>221.3</v>
      </c>
      <c r="D4185" s="23">
        <v>866.16399999999999</v>
      </c>
      <c r="E4185" s="23">
        <v>866.16399999999999</v>
      </c>
      <c r="F4185" s="23">
        <v>0</v>
      </c>
      <c r="G4185" s="23">
        <v>0</v>
      </c>
      <c r="H4185" s="23">
        <v>0</v>
      </c>
      <c r="I4185" s="23">
        <v>127.754</v>
      </c>
      <c r="J4185" s="23">
        <v>0</v>
      </c>
      <c r="K4185" s="23">
        <v>0</v>
      </c>
    </row>
    <row r="4186" spans="1:11" x14ac:dyDescent="0.25">
      <c r="A4186">
        <v>4185</v>
      </c>
      <c r="B4186" s="23">
        <v>746.53533789999994</v>
      </c>
      <c r="C4186" s="23">
        <v>276.12</v>
      </c>
      <c r="D4186" s="23">
        <v>1071.26</v>
      </c>
      <c r="E4186" s="23">
        <v>746.53599999999994</v>
      </c>
      <c r="F4186" s="23">
        <v>-324.72399999999999</v>
      </c>
      <c r="G4186" s="23">
        <v>0</v>
      </c>
      <c r="H4186" s="23">
        <v>0</v>
      </c>
      <c r="I4186" s="23">
        <v>0</v>
      </c>
      <c r="J4186" s="23">
        <v>0</v>
      </c>
      <c r="K4186" s="23">
        <v>0</v>
      </c>
    </row>
    <row r="4187" spans="1:11" x14ac:dyDescent="0.25">
      <c r="A4187">
        <v>4186</v>
      </c>
      <c r="B4187" s="23">
        <v>1054.247488</v>
      </c>
      <c r="C4187" s="23">
        <v>80.22</v>
      </c>
      <c r="D4187" s="23">
        <v>283.161</v>
      </c>
      <c r="E4187" s="23">
        <v>283.161</v>
      </c>
      <c r="F4187" s="23">
        <v>0</v>
      </c>
      <c r="G4187" s="23">
        <v>0</v>
      </c>
      <c r="H4187" s="23">
        <v>0</v>
      </c>
      <c r="I4187" s="23">
        <v>771.08600000000001</v>
      </c>
      <c r="J4187" s="23">
        <v>0</v>
      </c>
      <c r="K4187" s="23">
        <v>0</v>
      </c>
    </row>
    <row r="4188" spans="1:11" x14ac:dyDescent="0.25">
      <c r="A4188">
        <v>4187</v>
      </c>
      <c r="B4188" s="23">
        <v>1269.133335</v>
      </c>
      <c r="C4188" s="23">
        <v>448.84</v>
      </c>
      <c r="D4188" s="23">
        <v>1705.31</v>
      </c>
      <c r="E4188" s="23">
        <v>1269.133</v>
      </c>
      <c r="F4188" s="23">
        <v>-436.17700000000002</v>
      </c>
      <c r="G4188" s="23">
        <v>0</v>
      </c>
      <c r="H4188" s="23">
        <v>0</v>
      </c>
      <c r="I4188" s="23">
        <v>0</v>
      </c>
      <c r="J4188" s="23">
        <v>0</v>
      </c>
      <c r="K4188" s="23">
        <v>0</v>
      </c>
    </row>
    <row r="4189" spans="1:11" x14ac:dyDescent="0.25">
      <c r="A4189">
        <v>4188</v>
      </c>
      <c r="B4189" s="23">
        <v>1079.207359</v>
      </c>
      <c r="C4189" s="23">
        <v>454.76</v>
      </c>
      <c r="D4189" s="23">
        <v>1718.9739999999999</v>
      </c>
      <c r="E4189" s="23">
        <v>1079.2080000000001</v>
      </c>
      <c r="F4189" s="23">
        <v>-639.76599999999996</v>
      </c>
      <c r="G4189" s="23">
        <v>0</v>
      </c>
      <c r="H4189" s="23">
        <v>0</v>
      </c>
      <c r="I4189" s="23">
        <v>0</v>
      </c>
      <c r="J4189" s="23">
        <v>0</v>
      </c>
      <c r="K4189" s="23">
        <v>0</v>
      </c>
    </row>
    <row r="4190" spans="1:11" x14ac:dyDescent="0.25">
      <c r="A4190">
        <v>4189</v>
      </c>
      <c r="B4190" s="23">
        <v>1049.5750969999999</v>
      </c>
      <c r="C4190" s="23">
        <v>293.41000000000003</v>
      </c>
      <c r="D4190" s="23">
        <v>1106.4280000000001</v>
      </c>
      <c r="E4190" s="23">
        <v>1049.575</v>
      </c>
      <c r="F4190" s="23">
        <v>-56.853000000000002</v>
      </c>
      <c r="G4190" s="23">
        <v>0</v>
      </c>
      <c r="H4190" s="23">
        <v>0</v>
      </c>
      <c r="I4190" s="23">
        <v>0</v>
      </c>
      <c r="J4190" s="23">
        <v>0</v>
      </c>
      <c r="K4190" s="23">
        <v>0</v>
      </c>
    </row>
    <row r="4191" spans="1:11" x14ac:dyDescent="0.25">
      <c r="A4191">
        <v>4190</v>
      </c>
      <c r="B4191" s="23">
        <v>1119.0192179999999</v>
      </c>
      <c r="C4191" s="23">
        <v>210.2</v>
      </c>
      <c r="D4191" s="23">
        <v>787.44799999999998</v>
      </c>
      <c r="E4191" s="23">
        <v>787.44799999999998</v>
      </c>
      <c r="F4191" s="23">
        <v>0</v>
      </c>
      <c r="G4191" s="23">
        <v>0</v>
      </c>
      <c r="H4191" s="23">
        <v>0</v>
      </c>
      <c r="I4191" s="23">
        <v>331.57100000000003</v>
      </c>
      <c r="J4191" s="23">
        <v>0</v>
      </c>
      <c r="K4191" s="23">
        <v>0</v>
      </c>
    </row>
    <row r="4192" spans="1:11" x14ac:dyDescent="0.25">
      <c r="A4192">
        <v>4191</v>
      </c>
      <c r="B4192" s="23">
        <v>1490.9597329999999</v>
      </c>
      <c r="C4192" s="23">
        <v>211.52</v>
      </c>
      <c r="D4192" s="23">
        <v>797.86199999999997</v>
      </c>
      <c r="E4192" s="23">
        <v>797.86199999999997</v>
      </c>
      <c r="F4192" s="23">
        <v>0</v>
      </c>
      <c r="G4192" s="23">
        <v>0</v>
      </c>
      <c r="H4192" s="23">
        <v>0</v>
      </c>
      <c r="I4192" s="23">
        <v>693.09799999999996</v>
      </c>
      <c r="J4192" s="23">
        <v>0</v>
      </c>
      <c r="K4192" s="23">
        <v>0</v>
      </c>
    </row>
    <row r="4193" spans="1:11" x14ac:dyDescent="0.25">
      <c r="A4193">
        <v>4192</v>
      </c>
      <c r="B4193" s="23">
        <v>567.80213760000004</v>
      </c>
      <c r="C4193" s="23">
        <v>239.37</v>
      </c>
      <c r="D4193" s="23">
        <v>917.61500000000001</v>
      </c>
      <c r="E4193" s="23">
        <v>567.803</v>
      </c>
      <c r="F4193" s="23">
        <v>-349.81200000000001</v>
      </c>
      <c r="G4193" s="23">
        <v>0</v>
      </c>
      <c r="H4193" s="23">
        <v>0</v>
      </c>
      <c r="I4193" s="23">
        <v>0</v>
      </c>
      <c r="J4193" s="23">
        <v>0</v>
      </c>
      <c r="K4193" s="23">
        <v>0</v>
      </c>
    </row>
    <row r="4194" spans="1:11" x14ac:dyDescent="0.25">
      <c r="A4194">
        <v>4193</v>
      </c>
      <c r="B4194" s="23">
        <v>1329.971873</v>
      </c>
      <c r="C4194" s="23">
        <v>244.93</v>
      </c>
      <c r="D4194" s="23">
        <v>943.70699999999999</v>
      </c>
      <c r="E4194" s="23">
        <v>943.70699999999999</v>
      </c>
      <c r="F4194" s="23">
        <v>0</v>
      </c>
      <c r="G4194" s="23">
        <v>0</v>
      </c>
      <c r="H4194" s="23">
        <v>0</v>
      </c>
      <c r="I4194" s="23">
        <v>386.26499999999999</v>
      </c>
      <c r="J4194" s="23">
        <v>0</v>
      </c>
      <c r="K4194" s="23">
        <v>0</v>
      </c>
    </row>
    <row r="4195" spans="1:11" x14ac:dyDescent="0.25">
      <c r="A4195">
        <v>4194</v>
      </c>
      <c r="B4195" s="23">
        <v>1208.3058309999999</v>
      </c>
      <c r="C4195" s="23">
        <v>67.16</v>
      </c>
      <c r="D4195" s="23">
        <v>229.375</v>
      </c>
      <c r="E4195" s="23">
        <v>229.375</v>
      </c>
      <c r="F4195" s="23">
        <v>0</v>
      </c>
      <c r="G4195" s="23">
        <v>0</v>
      </c>
      <c r="H4195" s="23">
        <v>0</v>
      </c>
      <c r="I4195" s="23">
        <v>0</v>
      </c>
      <c r="J4195" s="23">
        <v>0</v>
      </c>
      <c r="K4195" s="23">
        <v>978.93100000000004</v>
      </c>
    </row>
    <row r="4196" spans="1:11" x14ac:dyDescent="0.25">
      <c r="A4196">
        <v>4195</v>
      </c>
      <c r="B4196" s="23">
        <v>1031.934569</v>
      </c>
      <c r="C4196" s="23">
        <v>0</v>
      </c>
      <c r="D4196" s="23">
        <v>0</v>
      </c>
      <c r="E4196" s="23">
        <v>0</v>
      </c>
      <c r="F4196" s="23">
        <v>0</v>
      </c>
      <c r="G4196" s="23">
        <v>0</v>
      </c>
      <c r="H4196" s="23">
        <v>0</v>
      </c>
      <c r="I4196" s="23">
        <v>0</v>
      </c>
      <c r="J4196" s="23">
        <v>0</v>
      </c>
      <c r="K4196" s="23">
        <v>1031.9349999999999</v>
      </c>
    </row>
    <row r="4197" spans="1:11" x14ac:dyDescent="0.25">
      <c r="A4197">
        <v>4196</v>
      </c>
      <c r="B4197" s="23">
        <v>898.06992779999996</v>
      </c>
      <c r="C4197" s="23">
        <v>0</v>
      </c>
      <c r="D4197" s="23">
        <v>0</v>
      </c>
      <c r="E4197" s="23">
        <v>0</v>
      </c>
      <c r="F4197" s="23">
        <v>0</v>
      </c>
      <c r="G4197" s="23">
        <v>0</v>
      </c>
      <c r="H4197" s="23">
        <v>0</v>
      </c>
      <c r="I4197" s="23">
        <v>0</v>
      </c>
      <c r="J4197" s="23">
        <v>0</v>
      </c>
      <c r="K4197" s="23">
        <v>898.07</v>
      </c>
    </row>
    <row r="4198" spans="1:11" x14ac:dyDescent="0.25">
      <c r="A4198">
        <v>4197</v>
      </c>
      <c r="B4198" s="23">
        <v>1109.16417</v>
      </c>
      <c r="C4198" s="23">
        <v>0</v>
      </c>
      <c r="D4198" s="23">
        <v>0</v>
      </c>
      <c r="E4198" s="23">
        <v>0</v>
      </c>
      <c r="F4198" s="23">
        <v>0</v>
      </c>
      <c r="G4198" s="23">
        <v>0</v>
      </c>
      <c r="H4198" s="23">
        <v>0</v>
      </c>
      <c r="I4198" s="23">
        <v>1109.164</v>
      </c>
      <c r="J4198" s="23">
        <v>0</v>
      </c>
      <c r="K4198" s="23">
        <v>0</v>
      </c>
    </row>
    <row r="4199" spans="1:11" x14ac:dyDescent="0.25">
      <c r="A4199">
        <v>4198</v>
      </c>
      <c r="B4199" s="23">
        <v>1198.89761</v>
      </c>
      <c r="C4199" s="23">
        <v>0</v>
      </c>
      <c r="D4199" s="23">
        <v>0</v>
      </c>
      <c r="E4199" s="23">
        <v>0</v>
      </c>
      <c r="F4199" s="23">
        <v>0</v>
      </c>
      <c r="G4199" s="23">
        <v>0</v>
      </c>
      <c r="H4199" s="23">
        <v>0</v>
      </c>
      <c r="I4199" s="23">
        <v>1198.8979999999999</v>
      </c>
      <c r="J4199" s="23">
        <v>0</v>
      </c>
      <c r="K4199" s="23">
        <v>0</v>
      </c>
    </row>
    <row r="4200" spans="1:11" x14ac:dyDescent="0.25">
      <c r="A4200">
        <v>4199</v>
      </c>
      <c r="B4200" s="23">
        <v>1042.967369</v>
      </c>
      <c r="C4200" s="23">
        <v>0</v>
      </c>
      <c r="D4200" s="23">
        <v>0</v>
      </c>
      <c r="E4200" s="23">
        <v>0</v>
      </c>
      <c r="F4200" s="23">
        <v>0</v>
      </c>
      <c r="G4200" s="23">
        <v>0</v>
      </c>
      <c r="H4200" s="23">
        <v>0</v>
      </c>
      <c r="I4200" s="23">
        <v>1042.9670000000001</v>
      </c>
      <c r="J4200" s="23">
        <v>0</v>
      </c>
      <c r="K4200" s="23">
        <v>0</v>
      </c>
    </row>
    <row r="4201" spans="1:11" x14ac:dyDescent="0.25">
      <c r="A4201">
        <v>4200</v>
      </c>
      <c r="B4201" s="23">
        <v>873.06224759999998</v>
      </c>
      <c r="C4201" s="23">
        <v>0</v>
      </c>
      <c r="D4201" s="23">
        <v>0</v>
      </c>
      <c r="E4201" s="23">
        <v>0</v>
      </c>
      <c r="F4201" s="23">
        <v>0</v>
      </c>
      <c r="G4201" s="23">
        <v>0</v>
      </c>
      <c r="H4201" s="23">
        <v>0</v>
      </c>
      <c r="I4201" s="23">
        <v>873.06200000000001</v>
      </c>
      <c r="J4201" s="23">
        <v>0</v>
      </c>
      <c r="K4201" s="23">
        <v>0</v>
      </c>
    </row>
    <row r="4202" spans="1:11" x14ac:dyDescent="0.25">
      <c r="A4202">
        <v>4201</v>
      </c>
      <c r="B4202" s="23">
        <v>1123.8745699999999</v>
      </c>
      <c r="C4202" s="23">
        <v>0</v>
      </c>
      <c r="D4202" s="23">
        <v>0</v>
      </c>
      <c r="E4202" s="23">
        <v>0</v>
      </c>
      <c r="F4202" s="23">
        <v>0</v>
      </c>
      <c r="G4202" s="23">
        <v>0</v>
      </c>
      <c r="H4202" s="23">
        <v>0</v>
      </c>
      <c r="I4202" s="23">
        <v>1123.875</v>
      </c>
      <c r="J4202" s="23">
        <v>0</v>
      </c>
      <c r="K4202" s="23">
        <v>0</v>
      </c>
    </row>
    <row r="4203" spans="1:11" x14ac:dyDescent="0.25">
      <c r="A4203">
        <v>4202</v>
      </c>
      <c r="B4203" s="23">
        <v>782.59328679999999</v>
      </c>
      <c r="C4203" s="23">
        <v>0</v>
      </c>
      <c r="D4203" s="23">
        <v>0</v>
      </c>
      <c r="E4203" s="23">
        <v>0</v>
      </c>
      <c r="F4203" s="23">
        <v>0</v>
      </c>
      <c r="G4203" s="23">
        <v>0</v>
      </c>
      <c r="H4203" s="23">
        <v>0</v>
      </c>
      <c r="I4203" s="23">
        <v>782.59299999999996</v>
      </c>
      <c r="J4203" s="23">
        <v>0</v>
      </c>
      <c r="K4203" s="23">
        <v>0</v>
      </c>
    </row>
    <row r="4204" spans="1:11" x14ac:dyDescent="0.25">
      <c r="A4204">
        <v>4203</v>
      </c>
      <c r="B4204" s="23">
        <v>1155.5019299999999</v>
      </c>
      <c r="C4204" s="23">
        <v>0</v>
      </c>
      <c r="D4204" s="23">
        <v>0</v>
      </c>
      <c r="E4204" s="23">
        <v>0</v>
      </c>
      <c r="F4204" s="23">
        <v>0</v>
      </c>
      <c r="G4204" s="23">
        <v>0</v>
      </c>
      <c r="H4204" s="23">
        <v>0</v>
      </c>
      <c r="I4204" s="23">
        <v>1155.502</v>
      </c>
      <c r="J4204" s="23">
        <v>0</v>
      </c>
      <c r="K4204" s="23">
        <v>0</v>
      </c>
    </row>
    <row r="4205" spans="1:11" x14ac:dyDescent="0.25">
      <c r="A4205">
        <v>4204</v>
      </c>
      <c r="B4205" s="23">
        <v>1004.720329</v>
      </c>
      <c r="C4205" s="23">
        <v>0</v>
      </c>
      <c r="D4205" s="23">
        <v>0</v>
      </c>
      <c r="E4205" s="23">
        <v>0</v>
      </c>
      <c r="F4205" s="23">
        <v>0</v>
      </c>
      <c r="G4205" s="23">
        <v>0</v>
      </c>
      <c r="H4205" s="23">
        <v>0</v>
      </c>
      <c r="I4205" s="23">
        <v>1004.72</v>
      </c>
      <c r="J4205" s="23">
        <v>0</v>
      </c>
      <c r="K4205" s="23">
        <v>0</v>
      </c>
    </row>
    <row r="4206" spans="1:11" x14ac:dyDescent="0.25">
      <c r="A4206">
        <v>4205</v>
      </c>
      <c r="B4206" s="23">
        <v>945.87872830000003</v>
      </c>
      <c r="C4206" s="23">
        <v>0</v>
      </c>
      <c r="D4206" s="23">
        <v>0</v>
      </c>
      <c r="E4206" s="23">
        <v>0</v>
      </c>
      <c r="F4206" s="23">
        <v>0</v>
      </c>
      <c r="G4206" s="23">
        <v>0</v>
      </c>
      <c r="H4206" s="23">
        <v>0</v>
      </c>
      <c r="I4206" s="23">
        <v>486.28800000000001</v>
      </c>
      <c r="J4206" s="23">
        <v>0</v>
      </c>
      <c r="K4206" s="23">
        <v>459.59100000000001</v>
      </c>
    </row>
    <row r="4207" spans="1:11" x14ac:dyDescent="0.25">
      <c r="A4207">
        <v>4206</v>
      </c>
      <c r="B4207" s="23">
        <v>1001.042729</v>
      </c>
      <c r="C4207" s="23">
        <v>0</v>
      </c>
      <c r="D4207" s="23">
        <v>0</v>
      </c>
      <c r="E4207" s="23">
        <v>0</v>
      </c>
      <c r="F4207" s="23">
        <v>0</v>
      </c>
      <c r="G4207" s="23">
        <v>0</v>
      </c>
      <c r="H4207" s="23">
        <v>0</v>
      </c>
      <c r="I4207" s="23">
        <v>0</v>
      </c>
      <c r="J4207" s="23">
        <v>0</v>
      </c>
      <c r="K4207" s="23">
        <v>1001.043</v>
      </c>
    </row>
    <row r="4208" spans="1:11" x14ac:dyDescent="0.25">
      <c r="A4208">
        <v>4207</v>
      </c>
      <c r="B4208" s="23">
        <v>1244.499851</v>
      </c>
      <c r="C4208" s="23">
        <v>106.82</v>
      </c>
      <c r="D4208" s="23">
        <v>326.88900000000001</v>
      </c>
      <c r="E4208" s="23">
        <v>326.88900000000001</v>
      </c>
      <c r="F4208" s="23">
        <v>0</v>
      </c>
      <c r="G4208" s="23">
        <v>0</v>
      </c>
      <c r="H4208" s="23">
        <v>0</v>
      </c>
      <c r="I4208" s="23">
        <v>0</v>
      </c>
      <c r="J4208" s="23">
        <v>0</v>
      </c>
      <c r="K4208" s="23">
        <v>917.61099999999999</v>
      </c>
    </row>
    <row r="4209" spans="1:11" x14ac:dyDescent="0.25">
      <c r="A4209">
        <v>4208</v>
      </c>
      <c r="B4209" s="23">
        <v>641.06084959999998</v>
      </c>
      <c r="C4209" s="23">
        <v>235.99</v>
      </c>
      <c r="D4209" s="23">
        <v>920.69299999999998</v>
      </c>
      <c r="E4209" s="23">
        <v>641.05999999999995</v>
      </c>
      <c r="F4209" s="23">
        <v>-279.63299999999998</v>
      </c>
      <c r="G4209" s="23">
        <v>0</v>
      </c>
      <c r="H4209" s="23">
        <v>0</v>
      </c>
      <c r="I4209" s="23">
        <v>0</v>
      </c>
      <c r="J4209" s="23">
        <v>0</v>
      </c>
      <c r="K4209" s="23">
        <v>0</v>
      </c>
    </row>
    <row r="4210" spans="1:11" x14ac:dyDescent="0.25">
      <c r="A4210">
        <v>4209</v>
      </c>
      <c r="B4210" s="23">
        <v>822.69107940000004</v>
      </c>
      <c r="C4210" s="23">
        <v>527.04999999999995</v>
      </c>
      <c r="D4210" s="23">
        <v>2073.0509999999999</v>
      </c>
      <c r="E4210" s="23">
        <v>822.69200000000001</v>
      </c>
      <c r="F4210" s="23">
        <v>-1250.3589999999999</v>
      </c>
      <c r="G4210" s="23">
        <v>0</v>
      </c>
      <c r="H4210" s="23">
        <v>0</v>
      </c>
      <c r="I4210" s="23">
        <v>0</v>
      </c>
      <c r="J4210" s="23">
        <v>0</v>
      </c>
      <c r="K4210" s="23">
        <v>0</v>
      </c>
    </row>
    <row r="4211" spans="1:11" x14ac:dyDescent="0.25">
      <c r="A4211">
        <v>4210</v>
      </c>
      <c r="B4211" s="23">
        <v>1162.794611</v>
      </c>
      <c r="C4211" s="23">
        <v>707.42</v>
      </c>
      <c r="D4211" s="23">
        <v>2717.03</v>
      </c>
      <c r="E4211" s="23">
        <v>1162.7950000000001</v>
      </c>
      <c r="F4211" s="23">
        <v>-1554.2349999999999</v>
      </c>
      <c r="G4211" s="23">
        <v>0</v>
      </c>
      <c r="H4211" s="23">
        <v>0</v>
      </c>
      <c r="I4211" s="23">
        <v>0</v>
      </c>
      <c r="J4211" s="23">
        <v>0</v>
      </c>
      <c r="K4211" s="23">
        <v>0</v>
      </c>
    </row>
    <row r="4212" spans="1:11" x14ac:dyDescent="0.25">
      <c r="A4212">
        <v>4211</v>
      </c>
      <c r="B4212" s="23">
        <v>1141.815742</v>
      </c>
      <c r="C4212" s="23">
        <v>655.65</v>
      </c>
      <c r="D4212" s="23">
        <v>2463.556</v>
      </c>
      <c r="E4212" s="23">
        <v>1141.816</v>
      </c>
      <c r="F4212" s="23">
        <v>-1321.74</v>
      </c>
      <c r="G4212" s="23">
        <v>0</v>
      </c>
      <c r="H4212" s="23">
        <v>0</v>
      </c>
      <c r="I4212" s="23">
        <v>0</v>
      </c>
      <c r="J4212" s="23">
        <v>0</v>
      </c>
      <c r="K4212" s="23">
        <v>0</v>
      </c>
    </row>
    <row r="4213" spans="1:11" x14ac:dyDescent="0.25">
      <c r="A4213">
        <v>4212</v>
      </c>
      <c r="B4213" s="23">
        <v>1203.113979</v>
      </c>
      <c r="C4213" s="23">
        <v>681.89</v>
      </c>
      <c r="D4213" s="23">
        <v>2545.8310000000001</v>
      </c>
      <c r="E4213" s="23">
        <v>1203.114</v>
      </c>
      <c r="F4213" s="23">
        <v>-1342.7170000000001</v>
      </c>
      <c r="G4213" s="23">
        <v>0</v>
      </c>
      <c r="H4213" s="23">
        <v>0</v>
      </c>
      <c r="I4213" s="23">
        <v>0</v>
      </c>
      <c r="J4213" s="23">
        <v>0</v>
      </c>
      <c r="K4213" s="23">
        <v>0</v>
      </c>
    </row>
    <row r="4214" spans="1:11" x14ac:dyDescent="0.25">
      <c r="A4214">
        <v>4213</v>
      </c>
      <c r="B4214" s="23">
        <v>999.03659789999995</v>
      </c>
      <c r="C4214" s="23">
        <v>666.38</v>
      </c>
      <c r="D4214" s="23">
        <v>2487.654</v>
      </c>
      <c r="E4214" s="23">
        <v>999.03599999999994</v>
      </c>
      <c r="F4214" s="23">
        <v>-1488.6179999999999</v>
      </c>
      <c r="G4214" s="23">
        <v>0</v>
      </c>
      <c r="H4214" s="23">
        <v>0</v>
      </c>
      <c r="I4214" s="23">
        <v>0</v>
      </c>
      <c r="J4214" s="23">
        <v>0</v>
      </c>
      <c r="K4214" s="23">
        <v>0</v>
      </c>
    </row>
    <row r="4215" spans="1:11" x14ac:dyDescent="0.25">
      <c r="A4215">
        <v>4214</v>
      </c>
      <c r="B4215" s="23">
        <v>1206.672057</v>
      </c>
      <c r="C4215" s="23">
        <v>620.59</v>
      </c>
      <c r="D4215" s="23">
        <v>2333.6480000000001</v>
      </c>
      <c r="E4215" s="23">
        <v>1206.673</v>
      </c>
      <c r="F4215" s="23">
        <v>-54.195999999999998</v>
      </c>
      <c r="G4215" s="23">
        <v>0</v>
      </c>
      <c r="H4215" s="23">
        <v>1072.779</v>
      </c>
      <c r="I4215" s="23">
        <v>0</v>
      </c>
      <c r="J4215" s="23">
        <v>0</v>
      </c>
      <c r="K4215" s="23">
        <v>0</v>
      </c>
    </row>
    <row r="4216" spans="1:11" x14ac:dyDescent="0.25">
      <c r="A4216">
        <v>4215</v>
      </c>
      <c r="B4216" s="23">
        <v>1353.203272</v>
      </c>
      <c r="C4216" s="23">
        <v>483.38</v>
      </c>
      <c r="D4216" s="23">
        <v>1839.6510000000001</v>
      </c>
      <c r="E4216" s="23">
        <v>1353.203</v>
      </c>
      <c r="F4216" s="23">
        <v>0</v>
      </c>
      <c r="G4216" s="23">
        <v>0</v>
      </c>
      <c r="H4216" s="23">
        <v>486.44799999999998</v>
      </c>
      <c r="I4216" s="23">
        <v>0</v>
      </c>
      <c r="J4216" s="23">
        <v>0</v>
      </c>
      <c r="K4216" s="23">
        <v>0</v>
      </c>
    </row>
    <row r="4217" spans="1:11" x14ac:dyDescent="0.25">
      <c r="A4217">
        <v>4216</v>
      </c>
      <c r="B4217" s="23">
        <v>1525.3618429999999</v>
      </c>
      <c r="C4217" s="23">
        <v>486.75</v>
      </c>
      <c r="D4217" s="23">
        <v>1881.308</v>
      </c>
      <c r="E4217" s="23">
        <v>1525.3620000000001</v>
      </c>
      <c r="F4217" s="23">
        <v>0</v>
      </c>
      <c r="G4217" s="23">
        <v>0</v>
      </c>
      <c r="H4217" s="23">
        <v>355.94600000000003</v>
      </c>
      <c r="I4217" s="23">
        <v>0</v>
      </c>
      <c r="J4217" s="23">
        <v>0</v>
      </c>
      <c r="K4217" s="23">
        <v>0</v>
      </c>
    </row>
    <row r="4218" spans="1:11" x14ac:dyDescent="0.25">
      <c r="A4218">
        <v>4217</v>
      </c>
      <c r="B4218" s="23">
        <v>1270.7349300000001</v>
      </c>
      <c r="C4218" s="23">
        <v>179.62</v>
      </c>
      <c r="D4218" s="23">
        <v>687.90899999999999</v>
      </c>
      <c r="E4218" s="23">
        <v>687.90899999999999</v>
      </c>
      <c r="F4218" s="23">
        <v>0</v>
      </c>
      <c r="G4218" s="23">
        <v>0</v>
      </c>
      <c r="H4218" s="23">
        <v>0</v>
      </c>
      <c r="I4218" s="23">
        <v>582.82600000000002</v>
      </c>
      <c r="J4218" s="23">
        <v>0</v>
      </c>
      <c r="K4218" s="23">
        <v>0</v>
      </c>
    </row>
    <row r="4219" spans="1:11" x14ac:dyDescent="0.25">
      <c r="A4219">
        <v>4218</v>
      </c>
      <c r="B4219" s="23">
        <v>1248.305247</v>
      </c>
      <c r="C4219" s="23">
        <v>63.34</v>
      </c>
      <c r="D4219" s="23">
        <v>216.33199999999999</v>
      </c>
      <c r="E4219" s="23">
        <v>216.33199999999999</v>
      </c>
      <c r="F4219" s="23">
        <v>0</v>
      </c>
      <c r="G4219" s="23">
        <v>0</v>
      </c>
      <c r="H4219" s="23">
        <v>0</v>
      </c>
      <c r="I4219" s="23">
        <v>0</v>
      </c>
      <c r="J4219" s="23">
        <v>0</v>
      </c>
      <c r="K4219" s="23">
        <v>1031.9739999999999</v>
      </c>
    </row>
    <row r="4220" spans="1:11" x14ac:dyDescent="0.25">
      <c r="A4220">
        <v>4219</v>
      </c>
      <c r="B4220" s="23">
        <v>1187.86481</v>
      </c>
      <c r="C4220" s="23">
        <v>0</v>
      </c>
      <c r="D4220" s="23">
        <v>0</v>
      </c>
      <c r="E4220" s="23">
        <v>0</v>
      </c>
      <c r="F4220" s="23">
        <v>0</v>
      </c>
      <c r="G4220" s="23">
        <v>0</v>
      </c>
      <c r="H4220" s="23">
        <v>0</v>
      </c>
      <c r="I4220" s="23">
        <v>0</v>
      </c>
      <c r="J4220" s="23">
        <v>0</v>
      </c>
      <c r="K4220" s="23">
        <v>1187.865</v>
      </c>
    </row>
    <row r="4221" spans="1:11" x14ac:dyDescent="0.25">
      <c r="A4221">
        <v>4220</v>
      </c>
      <c r="B4221" s="23">
        <v>1119.46145</v>
      </c>
      <c r="C4221" s="23">
        <v>0</v>
      </c>
      <c r="D4221" s="23">
        <v>0</v>
      </c>
      <c r="E4221" s="23">
        <v>0</v>
      </c>
      <c r="F4221" s="23">
        <v>0</v>
      </c>
      <c r="G4221" s="23">
        <v>0</v>
      </c>
      <c r="H4221" s="23">
        <v>0</v>
      </c>
      <c r="I4221" s="23">
        <v>0</v>
      </c>
      <c r="J4221" s="23">
        <v>0</v>
      </c>
      <c r="K4221" s="23">
        <v>1119.461</v>
      </c>
    </row>
    <row r="4222" spans="1:11" x14ac:dyDescent="0.25">
      <c r="A4222">
        <v>4221</v>
      </c>
      <c r="B4222" s="23">
        <v>1184.1872100000001</v>
      </c>
      <c r="C4222" s="23">
        <v>0</v>
      </c>
      <c r="D4222" s="23">
        <v>0</v>
      </c>
      <c r="E4222" s="23">
        <v>0</v>
      </c>
      <c r="F4222" s="23">
        <v>0</v>
      </c>
      <c r="G4222" s="23">
        <v>0</v>
      </c>
      <c r="H4222" s="23">
        <v>0</v>
      </c>
      <c r="I4222" s="23">
        <v>1184.1869999999999</v>
      </c>
      <c r="J4222" s="23">
        <v>0</v>
      </c>
      <c r="K4222" s="23">
        <v>0</v>
      </c>
    </row>
    <row r="4223" spans="1:11" x14ac:dyDescent="0.25">
      <c r="A4223">
        <v>4222</v>
      </c>
      <c r="B4223" s="23">
        <v>1246.7064109999999</v>
      </c>
      <c r="C4223" s="23">
        <v>0</v>
      </c>
      <c r="D4223" s="23">
        <v>0</v>
      </c>
      <c r="E4223" s="23">
        <v>0</v>
      </c>
      <c r="F4223" s="23">
        <v>0</v>
      </c>
      <c r="G4223" s="23">
        <v>0</v>
      </c>
      <c r="H4223" s="23">
        <v>0</v>
      </c>
      <c r="I4223" s="23">
        <v>159.328</v>
      </c>
      <c r="J4223" s="23">
        <v>0</v>
      </c>
      <c r="K4223" s="23">
        <v>1087.3789999999999</v>
      </c>
    </row>
    <row r="4224" spans="1:11" x14ac:dyDescent="0.25">
      <c r="A4224">
        <v>4223</v>
      </c>
      <c r="B4224" s="23">
        <v>890.71472779999999</v>
      </c>
      <c r="C4224" s="23">
        <v>0</v>
      </c>
      <c r="D4224" s="23">
        <v>0</v>
      </c>
      <c r="E4224" s="23">
        <v>0</v>
      </c>
      <c r="F4224" s="23">
        <v>0</v>
      </c>
      <c r="G4224" s="23">
        <v>0</v>
      </c>
      <c r="H4224" s="23">
        <v>0</v>
      </c>
      <c r="I4224" s="23">
        <v>890.71500000000003</v>
      </c>
      <c r="J4224" s="23">
        <v>0</v>
      </c>
      <c r="K4224" s="23">
        <v>0</v>
      </c>
    </row>
    <row r="4225" spans="1:11" x14ac:dyDescent="0.25">
      <c r="A4225">
        <v>4224</v>
      </c>
      <c r="B4225" s="23">
        <v>1162.1216099999999</v>
      </c>
      <c r="C4225" s="23">
        <v>0</v>
      </c>
      <c r="D4225" s="23">
        <v>0</v>
      </c>
      <c r="E4225" s="23">
        <v>0</v>
      </c>
      <c r="F4225" s="23">
        <v>0</v>
      </c>
      <c r="G4225" s="23">
        <v>0</v>
      </c>
      <c r="H4225" s="23">
        <v>0</v>
      </c>
      <c r="I4225" s="23">
        <v>1162.1220000000001</v>
      </c>
      <c r="J4225" s="23">
        <v>0</v>
      </c>
      <c r="K4225" s="23">
        <v>0</v>
      </c>
    </row>
    <row r="4226" spans="1:11" x14ac:dyDescent="0.25">
      <c r="A4226">
        <v>4225</v>
      </c>
      <c r="B4226" s="23">
        <v>1210.665931</v>
      </c>
      <c r="C4226" s="23">
        <v>0</v>
      </c>
      <c r="D4226" s="23">
        <v>0</v>
      </c>
      <c r="E4226" s="23">
        <v>0</v>
      </c>
      <c r="F4226" s="23">
        <v>0</v>
      </c>
      <c r="G4226" s="23">
        <v>0</v>
      </c>
      <c r="H4226" s="23">
        <v>0</v>
      </c>
      <c r="I4226" s="23">
        <v>1210.6659999999999</v>
      </c>
      <c r="J4226" s="23">
        <v>0</v>
      </c>
      <c r="K4226" s="23">
        <v>0</v>
      </c>
    </row>
    <row r="4227" spans="1:11" x14ac:dyDescent="0.25">
      <c r="A4227">
        <v>4226</v>
      </c>
      <c r="B4227" s="23">
        <v>1075.3302490000001</v>
      </c>
      <c r="C4227" s="23">
        <v>0</v>
      </c>
      <c r="D4227" s="23">
        <v>0</v>
      </c>
      <c r="E4227" s="23">
        <v>0</v>
      </c>
      <c r="F4227" s="23">
        <v>0</v>
      </c>
      <c r="G4227" s="23">
        <v>0</v>
      </c>
      <c r="H4227" s="23">
        <v>0</v>
      </c>
      <c r="I4227" s="23">
        <v>1075.33</v>
      </c>
      <c r="J4227" s="23">
        <v>0</v>
      </c>
      <c r="K4227" s="23">
        <v>0</v>
      </c>
    </row>
    <row r="4228" spans="1:11" x14ac:dyDescent="0.25">
      <c r="A4228">
        <v>4227</v>
      </c>
      <c r="B4228" s="23">
        <v>1067.2395289999999</v>
      </c>
      <c r="C4228" s="23">
        <v>0</v>
      </c>
      <c r="D4228" s="23">
        <v>0</v>
      </c>
      <c r="E4228" s="23">
        <v>0</v>
      </c>
      <c r="F4228" s="23">
        <v>0</v>
      </c>
      <c r="G4228" s="23">
        <v>0</v>
      </c>
      <c r="H4228" s="23">
        <v>0</v>
      </c>
      <c r="I4228" s="23">
        <v>1067.24</v>
      </c>
      <c r="J4228" s="23">
        <v>0</v>
      </c>
      <c r="K4228" s="23">
        <v>0</v>
      </c>
    </row>
    <row r="4229" spans="1:11" x14ac:dyDescent="0.25">
      <c r="A4229">
        <v>4228</v>
      </c>
      <c r="B4229" s="23">
        <v>1099.60241</v>
      </c>
      <c r="C4229" s="23">
        <v>0</v>
      </c>
      <c r="D4229" s="23">
        <v>0</v>
      </c>
      <c r="E4229" s="23">
        <v>0</v>
      </c>
      <c r="F4229" s="23">
        <v>0</v>
      </c>
      <c r="G4229" s="23">
        <v>0</v>
      </c>
      <c r="H4229" s="23">
        <v>0</v>
      </c>
      <c r="I4229" s="23">
        <v>1099.6020000000001</v>
      </c>
      <c r="J4229" s="23">
        <v>0</v>
      </c>
      <c r="K4229" s="23">
        <v>0</v>
      </c>
    </row>
    <row r="4230" spans="1:11" x14ac:dyDescent="0.25">
      <c r="A4230">
        <v>4229</v>
      </c>
      <c r="B4230" s="23">
        <v>772.29600670000002</v>
      </c>
      <c r="C4230" s="23">
        <v>0</v>
      </c>
      <c r="D4230" s="23">
        <v>0</v>
      </c>
      <c r="E4230" s="23">
        <v>0</v>
      </c>
      <c r="F4230" s="23">
        <v>0</v>
      </c>
      <c r="G4230" s="23">
        <v>0</v>
      </c>
      <c r="H4230" s="23">
        <v>0</v>
      </c>
      <c r="I4230" s="23">
        <v>0</v>
      </c>
      <c r="J4230" s="23">
        <v>0</v>
      </c>
      <c r="K4230" s="23">
        <v>772.29600000000005</v>
      </c>
    </row>
    <row r="4231" spans="1:11" x14ac:dyDescent="0.25">
      <c r="A4231">
        <v>4230</v>
      </c>
      <c r="B4231" s="23">
        <v>1059.884329</v>
      </c>
      <c r="C4231" s="23">
        <v>0</v>
      </c>
      <c r="D4231" s="23">
        <v>0</v>
      </c>
      <c r="E4231" s="23">
        <v>0</v>
      </c>
      <c r="F4231" s="23">
        <v>0</v>
      </c>
      <c r="G4231" s="23">
        <v>0</v>
      </c>
      <c r="H4231" s="23">
        <v>0</v>
      </c>
      <c r="I4231" s="23">
        <v>0</v>
      </c>
      <c r="J4231" s="23">
        <v>0</v>
      </c>
      <c r="K4231" s="23">
        <v>1059.884</v>
      </c>
    </row>
    <row r="4232" spans="1:11" x14ac:dyDescent="0.25">
      <c r="A4232">
        <v>4231</v>
      </c>
      <c r="B4232" s="23">
        <v>649.46416569999997</v>
      </c>
      <c r="C4232" s="23">
        <v>100.95</v>
      </c>
      <c r="D4232" s="23">
        <v>356.47399999999999</v>
      </c>
      <c r="E4232" s="23">
        <v>356.47399999999999</v>
      </c>
      <c r="F4232" s="23">
        <v>0</v>
      </c>
      <c r="G4232" s="23">
        <v>0</v>
      </c>
      <c r="H4232" s="23">
        <v>0</v>
      </c>
      <c r="I4232" s="23">
        <v>0</v>
      </c>
      <c r="J4232" s="23">
        <v>0</v>
      </c>
      <c r="K4232" s="23">
        <v>292.99099999999999</v>
      </c>
    </row>
    <row r="4233" spans="1:11" x14ac:dyDescent="0.25">
      <c r="A4233">
        <v>4232</v>
      </c>
      <c r="B4233" s="23">
        <v>882.10638549999999</v>
      </c>
      <c r="C4233" s="23">
        <v>311.87</v>
      </c>
      <c r="D4233" s="23">
        <v>1207.2070000000001</v>
      </c>
      <c r="E4233" s="23">
        <v>882.10599999999999</v>
      </c>
      <c r="F4233" s="23">
        <v>-325.101</v>
      </c>
      <c r="G4233" s="23">
        <v>0</v>
      </c>
      <c r="H4233" s="23">
        <v>0</v>
      </c>
      <c r="I4233" s="23">
        <v>0</v>
      </c>
      <c r="J4233" s="23">
        <v>0</v>
      </c>
      <c r="K4233" s="23">
        <v>0</v>
      </c>
    </row>
    <row r="4234" spans="1:11" x14ac:dyDescent="0.25">
      <c r="A4234">
        <v>4233</v>
      </c>
      <c r="B4234" s="23">
        <v>827.53263979999997</v>
      </c>
      <c r="C4234" s="23">
        <v>523.57000000000005</v>
      </c>
      <c r="D4234" s="23">
        <v>2077.09</v>
      </c>
      <c r="E4234" s="23">
        <v>827.53200000000004</v>
      </c>
      <c r="F4234" s="23">
        <v>-1249.558</v>
      </c>
      <c r="G4234" s="23">
        <v>0</v>
      </c>
      <c r="H4234" s="23">
        <v>0</v>
      </c>
      <c r="I4234" s="23">
        <v>0</v>
      </c>
      <c r="J4234" s="23">
        <v>0</v>
      </c>
      <c r="K4234" s="23">
        <v>0</v>
      </c>
    </row>
    <row r="4235" spans="1:11" x14ac:dyDescent="0.25">
      <c r="A4235">
        <v>4234</v>
      </c>
      <c r="B4235" s="23">
        <v>1054.0185570000001</v>
      </c>
      <c r="C4235" s="23">
        <v>704.64</v>
      </c>
      <c r="D4235" s="23">
        <v>2727.3969999999999</v>
      </c>
      <c r="E4235" s="23">
        <v>1054.018</v>
      </c>
      <c r="F4235" s="23">
        <v>-1673.3789999999999</v>
      </c>
      <c r="G4235" s="23">
        <v>0</v>
      </c>
      <c r="H4235" s="23">
        <v>0</v>
      </c>
      <c r="I4235" s="23">
        <v>0</v>
      </c>
      <c r="J4235" s="23">
        <v>0</v>
      </c>
      <c r="K4235" s="23">
        <v>0</v>
      </c>
    </row>
    <row r="4236" spans="1:11" x14ac:dyDescent="0.25">
      <c r="A4236">
        <v>4235</v>
      </c>
      <c r="B4236" s="23">
        <v>1307.932016</v>
      </c>
      <c r="C4236" s="23">
        <v>833.54</v>
      </c>
      <c r="D4236" s="23">
        <v>3158.5010000000002</v>
      </c>
      <c r="E4236" s="23">
        <v>1307.933</v>
      </c>
      <c r="F4236" s="23">
        <v>-1684.559</v>
      </c>
      <c r="G4236" s="23">
        <v>0</v>
      </c>
      <c r="H4236" s="23">
        <v>166.00899999999999</v>
      </c>
      <c r="I4236" s="23">
        <v>0</v>
      </c>
      <c r="J4236" s="23">
        <v>0</v>
      </c>
      <c r="K4236" s="23">
        <v>0</v>
      </c>
    </row>
    <row r="4237" spans="1:11" x14ac:dyDescent="0.25">
      <c r="A4237">
        <v>4236</v>
      </c>
      <c r="B4237" s="23">
        <v>1422.7356560000001</v>
      </c>
      <c r="C4237" s="23">
        <v>897.42</v>
      </c>
      <c r="D4237" s="23">
        <v>3351.886</v>
      </c>
      <c r="E4237" s="23">
        <v>1422.7360000000001</v>
      </c>
      <c r="F4237" s="23">
        <v>-1684.559</v>
      </c>
      <c r="G4237" s="23">
        <v>0</v>
      </c>
      <c r="H4237" s="23">
        <v>244.59100000000001</v>
      </c>
      <c r="I4237" s="23">
        <v>0</v>
      </c>
      <c r="J4237" s="23">
        <v>0</v>
      </c>
      <c r="K4237" s="23">
        <v>0</v>
      </c>
    </row>
    <row r="4238" spans="1:11" x14ac:dyDescent="0.25">
      <c r="A4238">
        <v>4237</v>
      </c>
      <c r="B4238" s="23">
        <v>1374.2538549999999</v>
      </c>
      <c r="C4238" s="23">
        <v>892.27</v>
      </c>
      <c r="D4238" s="23">
        <v>3314.31</v>
      </c>
      <c r="E4238" s="23">
        <v>1374.2529999999999</v>
      </c>
      <c r="F4238" s="23">
        <v>-674.34299999999996</v>
      </c>
      <c r="G4238" s="23">
        <v>0</v>
      </c>
      <c r="H4238" s="23">
        <v>1265.7139999999999</v>
      </c>
      <c r="I4238" s="23">
        <v>0</v>
      </c>
      <c r="J4238" s="23">
        <v>0</v>
      </c>
      <c r="K4238" s="23">
        <v>0</v>
      </c>
    </row>
    <row r="4239" spans="1:11" x14ac:dyDescent="0.25">
      <c r="A4239">
        <v>4238</v>
      </c>
      <c r="B4239" s="23">
        <v>1156.3257120000001</v>
      </c>
      <c r="C4239" s="23">
        <v>809.96</v>
      </c>
      <c r="D4239" s="23">
        <v>3032.0740000000001</v>
      </c>
      <c r="E4239" s="23">
        <v>1156.326</v>
      </c>
      <c r="F4239" s="23">
        <v>0</v>
      </c>
      <c r="G4239" s="23">
        <v>0</v>
      </c>
      <c r="H4239" s="23">
        <v>1875.748</v>
      </c>
      <c r="I4239" s="23">
        <v>0</v>
      </c>
      <c r="J4239" s="23">
        <v>0</v>
      </c>
      <c r="K4239" s="23">
        <v>0</v>
      </c>
    </row>
    <row r="4240" spans="1:11" x14ac:dyDescent="0.25">
      <c r="A4240">
        <v>4239</v>
      </c>
      <c r="B4240" s="23">
        <v>1129.088487</v>
      </c>
      <c r="C4240" s="23">
        <v>672.44</v>
      </c>
      <c r="D4240" s="23">
        <v>2557.8620000000001</v>
      </c>
      <c r="E4240" s="23">
        <v>1129.088</v>
      </c>
      <c r="F4240" s="23">
        <v>0</v>
      </c>
      <c r="G4240" s="23">
        <v>0</v>
      </c>
      <c r="H4240" s="23">
        <v>1428.7739999999999</v>
      </c>
      <c r="I4240" s="23">
        <v>0</v>
      </c>
      <c r="J4240" s="23">
        <v>0</v>
      </c>
      <c r="K4240" s="23">
        <v>0</v>
      </c>
    </row>
    <row r="4241" spans="1:11" x14ac:dyDescent="0.25">
      <c r="A4241">
        <v>4240</v>
      </c>
      <c r="B4241" s="23">
        <v>1626.5602019999999</v>
      </c>
      <c r="C4241" s="23">
        <v>487.8</v>
      </c>
      <c r="D4241" s="23">
        <v>1904.0989999999999</v>
      </c>
      <c r="E4241" s="23">
        <v>1626.56</v>
      </c>
      <c r="F4241" s="23">
        <v>0</v>
      </c>
      <c r="G4241" s="23">
        <v>0</v>
      </c>
      <c r="H4241" s="23">
        <v>277.53899999999999</v>
      </c>
      <c r="I4241" s="23">
        <v>0</v>
      </c>
      <c r="J4241" s="23">
        <v>0</v>
      </c>
      <c r="K4241" s="23">
        <v>0</v>
      </c>
    </row>
    <row r="4242" spans="1:11" x14ac:dyDescent="0.25">
      <c r="A4242">
        <v>4241</v>
      </c>
      <c r="B4242" s="23">
        <v>1795.9293130000001</v>
      </c>
      <c r="C4242" s="23">
        <v>268.10000000000002</v>
      </c>
      <c r="D4242" s="23">
        <v>1031.866</v>
      </c>
      <c r="E4242" s="23">
        <v>1031.866</v>
      </c>
      <c r="F4242" s="23">
        <v>0</v>
      </c>
      <c r="G4242" s="23">
        <v>0</v>
      </c>
      <c r="H4242" s="23">
        <v>0</v>
      </c>
      <c r="I4242" s="23">
        <v>764.06399999999996</v>
      </c>
      <c r="J4242" s="23">
        <v>0</v>
      </c>
      <c r="K4242" s="23">
        <v>0</v>
      </c>
    </row>
    <row r="4243" spans="1:11" x14ac:dyDescent="0.25">
      <c r="A4243">
        <v>4242</v>
      </c>
      <c r="B4243" s="23">
        <v>1420.209145</v>
      </c>
      <c r="C4243" s="23">
        <v>46.76</v>
      </c>
      <c r="D4243" s="23">
        <v>155.846</v>
      </c>
      <c r="E4243" s="23">
        <v>155.846</v>
      </c>
      <c r="F4243" s="23">
        <v>0</v>
      </c>
      <c r="G4243" s="23">
        <v>0</v>
      </c>
      <c r="H4243" s="23">
        <v>0</v>
      </c>
      <c r="I4243" s="23">
        <v>0</v>
      </c>
      <c r="J4243" s="23">
        <v>0</v>
      </c>
      <c r="K4243" s="23">
        <v>1264.3630000000001</v>
      </c>
    </row>
    <row r="4244" spans="1:11" x14ac:dyDescent="0.25">
      <c r="A4244">
        <v>4243</v>
      </c>
      <c r="B4244" s="23">
        <v>1461.478253</v>
      </c>
      <c r="C4244" s="23">
        <v>0</v>
      </c>
      <c r="D4244" s="23">
        <v>0</v>
      </c>
      <c r="E4244" s="23">
        <v>0</v>
      </c>
      <c r="F4244" s="23">
        <v>0</v>
      </c>
      <c r="G4244" s="23">
        <v>0</v>
      </c>
      <c r="H4244" s="23">
        <v>0</v>
      </c>
      <c r="I4244" s="23">
        <v>0</v>
      </c>
      <c r="J4244" s="23">
        <v>0</v>
      </c>
      <c r="K4244" s="23">
        <v>1461.4780000000001</v>
      </c>
    </row>
    <row r="4245" spans="1:11" x14ac:dyDescent="0.25">
      <c r="A4245">
        <v>4244</v>
      </c>
      <c r="B4245" s="23">
        <v>1213.608011</v>
      </c>
      <c r="C4245" s="23">
        <v>0</v>
      </c>
      <c r="D4245" s="23">
        <v>0</v>
      </c>
      <c r="E4245" s="23">
        <v>0</v>
      </c>
      <c r="F4245" s="23">
        <v>0</v>
      </c>
      <c r="G4245" s="23">
        <v>0</v>
      </c>
      <c r="H4245" s="23">
        <v>0</v>
      </c>
      <c r="I4245" s="23">
        <v>0</v>
      </c>
      <c r="J4245" s="23">
        <v>0</v>
      </c>
      <c r="K4245" s="23">
        <v>1213.6079999999999</v>
      </c>
    </row>
    <row r="4246" spans="1:11" x14ac:dyDescent="0.25">
      <c r="A4246">
        <v>4245</v>
      </c>
      <c r="B4246" s="23">
        <v>1603.433614</v>
      </c>
      <c r="C4246" s="23">
        <v>0</v>
      </c>
      <c r="D4246" s="23">
        <v>0</v>
      </c>
      <c r="E4246" s="23">
        <v>0</v>
      </c>
      <c r="F4246" s="23">
        <v>0</v>
      </c>
      <c r="G4246" s="23">
        <v>0</v>
      </c>
      <c r="H4246" s="23">
        <v>0</v>
      </c>
      <c r="I4246" s="23">
        <v>1603.434</v>
      </c>
      <c r="J4246" s="23">
        <v>0</v>
      </c>
      <c r="K4246" s="23">
        <v>0</v>
      </c>
    </row>
    <row r="4247" spans="1:11" x14ac:dyDescent="0.25">
      <c r="A4247">
        <v>4246</v>
      </c>
      <c r="B4247" s="23">
        <v>1394.545932</v>
      </c>
      <c r="C4247" s="23">
        <v>0</v>
      </c>
      <c r="D4247" s="23">
        <v>0</v>
      </c>
      <c r="E4247" s="23">
        <v>0</v>
      </c>
      <c r="F4247" s="23">
        <v>0</v>
      </c>
      <c r="G4247" s="23">
        <v>0</v>
      </c>
      <c r="H4247" s="23">
        <v>0</v>
      </c>
      <c r="I4247" s="23">
        <v>1394.546</v>
      </c>
      <c r="J4247" s="23">
        <v>0</v>
      </c>
      <c r="K4247" s="23">
        <v>0</v>
      </c>
    </row>
    <row r="4248" spans="1:11" x14ac:dyDescent="0.25">
      <c r="A4248">
        <v>4247</v>
      </c>
      <c r="B4248" s="23">
        <v>1470.3044930000001</v>
      </c>
      <c r="C4248" s="23">
        <v>0</v>
      </c>
      <c r="D4248" s="23">
        <v>0</v>
      </c>
      <c r="E4248" s="23">
        <v>0</v>
      </c>
      <c r="F4248" s="23">
        <v>0</v>
      </c>
      <c r="G4248" s="23">
        <v>0</v>
      </c>
      <c r="H4248" s="23">
        <v>0</v>
      </c>
      <c r="I4248" s="23">
        <v>1470.3040000000001</v>
      </c>
      <c r="J4248" s="23">
        <v>0</v>
      </c>
      <c r="K4248" s="23">
        <v>0</v>
      </c>
    </row>
    <row r="4249" spans="1:11" x14ac:dyDescent="0.25">
      <c r="A4249">
        <v>4248</v>
      </c>
      <c r="B4249" s="23">
        <v>1418.082572</v>
      </c>
      <c r="C4249" s="23">
        <v>0</v>
      </c>
      <c r="D4249" s="23">
        <v>0</v>
      </c>
      <c r="E4249" s="23">
        <v>0</v>
      </c>
      <c r="F4249" s="23">
        <v>0</v>
      </c>
      <c r="G4249" s="23">
        <v>0</v>
      </c>
      <c r="H4249" s="23">
        <v>0</v>
      </c>
      <c r="I4249" s="23">
        <v>1418.0830000000001</v>
      </c>
      <c r="J4249" s="23">
        <v>0</v>
      </c>
      <c r="K4249" s="23">
        <v>0</v>
      </c>
    </row>
    <row r="4250" spans="1:11" x14ac:dyDescent="0.25">
      <c r="A4250">
        <v>4249</v>
      </c>
      <c r="B4250" s="23">
        <v>1318.787372</v>
      </c>
      <c r="C4250" s="23">
        <v>0</v>
      </c>
      <c r="D4250" s="23">
        <v>0</v>
      </c>
      <c r="E4250" s="23">
        <v>0</v>
      </c>
      <c r="F4250" s="23">
        <v>0</v>
      </c>
      <c r="G4250" s="23">
        <v>0</v>
      </c>
      <c r="H4250" s="23">
        <v>0</v>
      </c>
      <c r="I4250" s="23">
        <v>1318.787</v>
      </c>
      <c r="J4250" s="23">
        <v>0</v>
      </c>
      <c r="K4250" s="23">
        <v>0</v>
      </c>
    </row>
    <row r="4251" spans="1:11" x14ac:dyDescent="0.25">
      <c r="A4251">
        <v>4250</v>
      </c>
      <c r="B4251" s="23">
        <v>1217.285611</v>
      </c>
      <c r="C4251" s="23">
        <v>0</v>
      </c>
      <c r="D4251" s="23">
        <v>0</v>
      </c>
      <c r="E4251" s="23">
        <v>0</v>
      </c>
      <c r="F4251" s="23">
        <v>0</v>
      </c>
      <c r="G4251" s="23">
        <v>0</v>
      </c>
      <c r="H4251" s="23">
        <v>0</v>
      </c>
      <c r="I4251" s="23">
        <v>1217.2860000000001</v>
      </c>
      <c r="J4251" s="23">
        <v>0</v>
      </c>
      <c r="K4251" s="23">
        <v>0</v>
      </c>
    </row>
    <row r="4252" spans="1:11" x14ac:dyDescent="0.25">
      <c r="A4252">
        <v>4251</v>
      </c>
      <c r="B4252" s="23">
        <v>1218.7566509999999</v>
      </c>
      <c r="C4252" s="23">
        <v>0</v>
      </c>
      <c r="D4252" s="23">
        <v>0</v>
      </c>
      <c r="E4252" s="23">
        <v>0</v>
      </c>
      <c r="F4252" s="23">
        <v>0</v>
      </c>
      <c r="G4252" s="23">
        <v>0</v>
      </c>
      <c r="H4252" s="23">
        <v>0</v>
      </c>
      <c r="I4252" s="23">
        <v>1218.7570000000001</v>
      </c>
      <c r="J4252" s="23">
        <v>0</v>
      </c>
      <c r="K4252" s="23">
        <v>0</v>
      </c>
    </row>
    <row r="4253" spans="1:11" x14ac:dyDescent="0.25">
      <c r="A4253">
        <v>4252</v>
      </c>
      <c r="B4253" s="23">
        <v>1394.545932</v>
      </c>
      <c r="C4253" s="23">
        <v>0</v>
      </c>
      <c r="D4253" s="23">
        <v>0</v>
      </c>
      <c r="E4253" s="23">
        <v>0</v>
      </c>
      <c r="F4253" s="23">
        <v>0</v>
      </c>
      <c r="G4253" s="23">
        <v>0</v>
      </c>
      <c r="H4253" s="23">
        <v>0</v>
      </c>
      <c r="I4253" s="23">
        <v>1394.546</v>
      </c>
      <c r="J4253" s="23">
        <v>0</v>
      </c>
      <c r="K4253" s="23">
        <v>0</v>
      </c>
    </row>
    <row r="4254" spans="1:11" x14ac:dyDescent="0.25">
      <c r="A4254">
        <v>4253</v>
      </c>
      <c r="B4254" s="23">
        <v>1187.1292900000001</v>
      </c>
      <c r="C4254" s="23">
        <v>0</v>
      </c>
      <c r="D4254" s="23">
        <v>0</v>
      </c>
      <c r="E4254" s="23">
        <v>0</v>
      </c>
      <c r="F4254" s="23">
        <v>0</v>
      </c>
      <c r="G4254" s="23">
        <v>0</v>
      </c>
      <c r="H4254" s="23">
        <v>0</v>
      </c>
      <c r="I4254" s="23">
        <v>543.29100000000005</v>
      </c>
      <c r="J4254" s="23">
        <v>0</v>
      </c>
      <c r="K4254" s="23">
        <v>643.83799999999997</v>
      </c>
    </row>
    <row r="4255" spans="1:11" x14ac:dyDescent="0.25">
      <c r="A4255">
        <v>4254</v>
      </c>
      <c r="B4255" s="23">
        <v>1418.082572</v>
      </c>
      <c r="C4255" s="23">
        <v>0</v>
      </c>
      <c r="D4255" s="23">
        <v>0</v>
      </c>
      <c r="E4255" s="23">
        <v>0</v>
      </c>
      <c r="F4255" s="23">
        <v>0</v>
      </c>
      <c r="G4255" s="23">
        <v>0</v>
      </c>
      <c r="H4255" s="23">
        <v>0</v>
      </c>
      <c r="I4255" s="23">
        <v>0</v>
      </c>
      <c r="J4255" s="23">
        <v>0</v>
      </c>
      <c r="K4255" s="23">
        <v>1418.0830000000001</v>
      </c>
    </row>
    <row r="4256" spans="1:11" x14ac:dyDescent="0.25">
      <c r="A4256">
        <v>4255</v>
      </c>
      <c r="B4256" s="23">
        <v>920.13552800000002</v>
      </c>
      <c r="C4256" s="23">
        <v>106.25</v>
      </c>
      <c r="D4256" s="23">
        <v>369.65699999999998</v>
      </c>
      <c r="E4256" s="23">
        <v>369.65699999999998</v>
      </c>
      <c r="F4256" s="23">
        <v>0</v>
      </c>
      <c r="G4256" s="23">
        <v>0</v>
      </c>
      <c r="H4256" s="23">
        <v>0</v>
      </c>
      <c r="I4256" s="23">
        <v>0</v>
      </c>
      <c r="J4256" s="23">
        <v>0</v>
      </c>
      <c r="K4256" s="23">
        <v>550.47900000000004</v>
      </c>
    </row>
    <row r="4257" spans="1:11" x14ac:dyDescent="0.25">
      <c r="A4257">
        <v>4256</v>
      </c>
      <c r="B4257" s="23">
        <v>761.65854860000002</v>
      </c>
      <c r="C4257" s="23">
        <v>313.95</v>
      </c>
      <c r="D4257" s="23">
        <v>1213.3910000000001</v>
      </c>
      <c r="E4257" s="23">
        <v>761.65899999999999</v>
      </c>
      <c r="F4257" s="23">
        <v>-451.73200000000003</v>
      </c>
      <c r="G4257" s="23">
        <v>0</v>
      </c>
      <c r="H4257" s="23">
        <v>0</v>
      </c>
      <c r="I4257" s="23">
        <v>0</v>
      </c>
      <c r="J4257" s="23">
        <v>0</v>
      </c>
      <c r="K4257" s="23">
        <v>0</v>
      </c>
    </row>
    <row r="4258" spans="1:11" x14ac:dyDescent="0.25">
      <c r="A4258">
        <v>4257</v>
      </c>
      <c r="B4258" s="23">
        <v>976.55542890000004</v>
      </c>
      <c r="C4258" s="23">
        <v>527.78</v>
      </c>
      <c r="D4258" s="23">
        <v>2089.085</v>
      </c>
      <c r="E4258" s="23">
        <v>976.55499999999995</v>
      </c>
      <c r="F4258" s="23">
        <v>-1112.53</v>
      </c>
      <c r="G4258" s="23">
        <v>0</v>
      </c>
      <c r="H4258" s="23">
        <v>0</v>
      </c>
      <c r="I4258" s="23">
        <v>0</v>
      </c>
      <c r="J4258" s="23">
        <v>0</v>
      </c>
      <c r="K4258" s="23">
        <v>0</v>
      </c>
    </row>
    <row r="4259" spans="1:11" x14ac:dyDescent="0.25">
      <c r="A4259">
        <v>4258</v>
      </c>
      <c r="B4259" s="23">
        <v>1245.005521</v>
      </c>
      <c r="C4259" s="23">
        <v>708.65</v>
      </c>
      <c r="D4259" s="23">
        <v>2734.9450000000002</v>
      </c>
      <c r="E4259" s="23">
        <v>1245.0060000000001</v>
      </c>
      <c r="F4259" s="23">
        <v>-1489.9390000000001</v>
      </c>
      <c r="G4259" s="23">
        <v>0</v>
      </c>
      <c r="H4259" s="23">
        <v>0</v>
      </c>
      <c r="I4259" s="23">
        <v>0</v>
      </c>
      <c r="J4259" s="23">
        <v>0</v>
      </c>
      <c r="K4259" s="23">
        <v>0</v>
      </c>
    </row>
    <row r="4260" spans="1:11" x14ac:dyDescent="0.25">
      <c r="A4260">
        <v>4259</v>
      </c>
      <c r="B4260" s="23">
        <v>1420.104333</v>
      </c>
      <c r="C4260" s="23">
        <v>835.6</v>
      </c>
      <c r="D4260" s="23">
        <v>3161.306</v>
      </c>
      <c r="E4260" s="23">
        <v>1420.105</v>
      </c>
      <c r="F4260" s="23">
        <v>-1684.559</v>
      </c>
      <c r="G4260" s="23">
        <v>0</v>
      </c>
      <c r="H4260" s="23">
        <v>56.642000000000003</v>
      </c>
      <c r="I4260" s="23">
        <v>0</v>
      </c>
      <c r="J4260" s="23">
        <v>0</v>
      </c>
      <c r="K4260" s="23">
        <v>0</v>
      </c>
    </row>
    <row r="4261" spans="1:11" x14ac:dyDescent="0.25">
      <c r="A4261">
        <v>4260</v>
      </c>
      <c r="B4261" s="23">
        <v>1490.1331929999999</v>
      </c>
      <c r="C4261" s="23">
        <v>900.98</v>
      </c>
      <c r="D4261" s="23">
        <v>3382.5709999999999</v>
      </c>
      <c r="E4261" s="23">
        <v>1490.134</v>
      </c>
      <c r="F4261" s="23">
        <v>-1684.559</v>
      </c>
      <c r="G4261" s="23">
        <v>0</v>
      </c>
      <c r="H4261" s="23">
        <v>207.87799999999999</v>
      </c>
      <c r="I4261" s="23">
        <v>0</v>
      </c>
      <c r="J4261" s="23">
        <v>0</v>
      </c>
      <c r="K4261" s="23">
        <v>0</v>
      </c>
    </row>
    <row r="4262" spans="1:11" x14ac:dyDescent="0.25">
      <c r="A4262">
        <v>4261</v>
      </c>
      <c r="B4262" s="23">
        <v>860.96937930000001</v>
      </c>
      <c r="C4262" s="23">
        <v>895.98</v>
      </c>
      <c r="D4262" s="23">
        <v>3368.0650000000001</v>
      </c>
      <c r="E4262" s="23">
        <v>860.96900000000005</v>
      </c>
      <c r="F4262" s="23">
        <v>-868.17899999999997</v>
      </c>
      <c r="G4262" s="23">
        <v>0</v>
      </c>
      <c r="H4262" s="23">
        <v>1638.9169999999999</v>
      </c>
      <c r="I4262" s="23">
        <v>0</v>
      </c>
      <c r="J4262" s="23">
        <v>0</v>
      </c>
      <c r="K4262" s="23">
        <v>0</v>
      </c>
    </row>
    <row r="4263" spans="1:11" x14ac:dyDescent="0.25">
      <c r="A4263">
        <v>4262</v>
      </c>
      <c r="B4263" s="23">
        <v>1268.3941380000001</v>
      </c>
      <c r="C4263" s="23">
        <v>816.9</v>
      </c>
      <c r="D4263" s="23">
        <v>3105.681</v>
      </c>
      <c r="E4263" s="23">
        <v>1268.394</v>
      </c>
      <c r="F4263" s="23">
        <v>0</v>
      </c>
      <c r="G4263" s="23">
        <v>0</v>
      </c>
      <c r="H4263" s="23">
        <v>1837.287</v>
      </c>
      <c r="I4263" s="23">
        <v>0</v>
      </c>
      <c r="J4263" s="23">
        <v>0</v>
      </c>
      <c r="K4263" s="23">
        <v>0</v>
      </c>
    </row>
    <row r="4264" spans="1:11" x14ac:dyDescent="0.25">
      <c r="A4264">
        <v>4263</v>
      </c>
      <c r="B4264" s="23">
        <v>1179.363118</v>
      </c>
      <c r="C4264" s="23">
        <v>680.79</v>
      </c>
      <c r="D4264" s="23">
        <v>2635.9839999999999</v>
      </c>
      <c r="E4264" s="23">
        <v>1179.3630000000001</v>
      </c>
      <c r="F4264" s="23">
        <v>0</v>
      </c>
      <c r="G4264" s="23">
        <v>0</v>
      </c>
      <c r="H4264" s="23">
        <v>1456.6210000000001</v>
      </c>
      <c r="I4264" s="23">
        <v>0</v>
      </c>
      <c r="J4264" s="23">
        <v>0</v>
      </c>
      <c r="K4264" s="23">
        <v>0</v>
      </c>
    </row>
    <row r="4265" spans="1:11" x14ac:dyDescent="0.25">
      <c r="A4265">
        <v>4264</v>
      </c>
      <c r="B4265" s="23">
        <v>1177.8001380000001</v>
      </c>
      <c r="C4265" s="23">
        <v>494.37</v>
      </c>
      <c r="D4265" s="23">
        <v>1952.4659999999999</v>
      </c>
      <c r="E4265" s="23">
        <v>1177.8</v>
      </c>
      <c r="F4265" s="23">
        <v>0</v>
      </c>
      <c r="G4265" s="23">
        <v>0</v>
      </c>
      <c r="H4265" s="23">
        <v>774.66600000000005</v>
      </c>
      <c r="I4265" s="23">
        <v>0</v>
      </c>
      <c r="J4265" s="23">
        <v>0</v>
      </c>
      <c r="K4265" s="23">
        <v>0</v>
      </c>
    </row>
    <row r="4266" spans="1:11" x14ac:dyDescent="0.25">
      <c r="A4266">
        <v>4265</v>
      </c>
      <c r="B4266" s="23">
        <v>933.86768649999999</v>
      </c>
      <c r="C4266" s="23">
        <v>272.08</v>
      </c>
      <c r="D4266" s="23">
        <v>1051.8</v>
      </c>
      <c r="E4266" s="23">
        <v>933.86699999999996</v>
      </c>
      <c r="F4266" s="23">
        <v>0</v>
      </c>
      <c r="G4266" s="23">
        <v>0</v>
      </c>
      <c r="H4266" s="23">
        <v>117.93300000000001</v>
      </c>
      <c r="I4266" s="23">
        <v>0</v>
      </c>
      <c r="J4266" s="23">
        <v>0</v>
      </c>
      <c r="K4266" s="23">
        <v>0</v>
      </c>
    </row>
    <row r="4267" spans="1:11" x14ac:dyDescent="0.25">
      <c r="A4267">
        <v>4266</v>
      </c>
      <c r="B4267" s="23">
        <v>1077.572666</v>
      </c>
      <c r="C4267" s="23">
        <v>29.39</v>
      </c>
      <c r="D4267" s="23">
        <v>88.35</v>
      </c>
      <c r="E4267" s="23">
        <v>88.35</v>
      </c>
      <c r="F4267" s="23">
        <v>0</v>
      </c>
      <c r="G4267" s="23">
        <v>0</v>
      </c>
      <c r="H4267" s="23">
        <v>0</v>
      </c>
      <c r="I4267" s="23">
        <v>0</v>
      </c>
      <c r="J4267" s="23">
        <v>0</v>
      </c>
      <c r="K4267" s="23">
        <v>989.22299999999996</v>
      </c>
    </row>
    <row r="4268" spans="1:11" x14ac:dyDescent="0.25">
      <c r="A4268">
        <v>4267</v>
      </c>
      <c r="B4268" s="23">
        <v>1109.89969</v>
      </c>
      <c r="C4268" s="23">
        <v>0</v>
      </c>
      <c r="D4268" s="23">
        <v>0</v>
      </c>
      <c r="E4268" s="23">
        <v>0</v>
      </c>
      <c r="F4268" s="23">
        <v>0</v>
      </c>
      <c r="G4268" s="23">
        <v>0</v>
      </c>
      <c r="H4268" s="23">
        <v>0</v>
      </c>
      <c r="I4268" s="23">
        <v>0</v>
      </c>
      <c r="J4268" s="23">
        <v>0</v>
      </c>
      <c r="K4268" s="23">
        <v>1109.9000000000001</v>
      </c>
    </row>
    <row r="4269" spans="1:11" x14ac:dyDescent="0.25">
      <c r="A4269">
        <v>4268</v>
      </c>
      <c r="B4269" s="23">
        <v>1127.5521699999999</v>
      </c>
      <c r="C4269" s="23">
        <v>0</v>
      </c>
      <c r="D4269" s="23">
        <v>0</v>
      </c>
      <c r="E4269" s="23">
        <v>0</v>
      </c>
      <c r="F4269" s="23">
        <v>0</v>
      </c>
      <c r="G4269" s="23">
        <v>0</v>
      </c>
      <c r="H4269" s="23">
        <v>0</v>
      </c>
      <c r="I4269" s="23">
        <v>0</v>
      </c>
      <c r="J4269" s="23">
        <v>0</v>
      </c>
      <c r="K4269" s="23">
        <v>1127.5519999999999</v>
      </c>
    </row>
    <row r="4270" spans="1:11" x14ac:dyDescent="0.25">
      <c r="A4270">
        <v>4269</v>
      </c>
      <c r="B4270" s="23">
        <v>1183.4516900000001</v>
      </c>
      <c r="C4270" s="23">
        <v>0</v>
      </c>
      <c r="D4270" s="23">
        <v>0</v>
      </c>
      <c r="E4270" s="23">
        <v>0</v>
      </c>
      <c r="F4270" s="23">
        <v>0</v>
      </c>
      <c r="G4270" s="23">
        <v>0</v>
      </c>
      <c r="H4270" s="23">
        <v>0</v>
      </c>
      <c r="I4270" s="23">
        <v>1183.452</v>
      </c>
      <c r="J4270" s="23">
        <v>0</v>
      </c>
      <c r="K4270" s="23">
        <v>0</v>
      </c>
    </row>
    <row r="4271" spans="1:11" x14ac:dyDescent="0.25">
      <c r="A4271">
        <v>4270</v>
      </c>
      <c r="B4271" s="23">
        <v>1332.026732</v>
      </c>
      <c r="C4271" s="23">
        <v>0</v>
      </c>
      <c r="D4271" s="23">
        <v>0</v>
      </c>
      <c r="E4271" s="23">
        <v>0</v>
      </c>
      <c r="F4271" s="23">
        <v>0</v>
      </c>
      <c r="G4271" s="23">
        <v>0</v>
      </c>
      <c r="H4271" s="23">
        <v>0</v>
      </c>
      <c r="I4271" s="23">
        <v>1212.979</v>
      </c>
      <c r="J4271" s="23">
        <v>0</v>
      </c>
      <c r="K4271" s="23">
        <v>119.047</v>
      </c>
    </row>
    <row r="4272" spans="1:11" x14ac:dyDescent="0.25">
      <c r="A4272">
        <v>4271</v>
      </c>
      <c r="B4272" s="23">
        <v>1148.1467299999999</v>
      </c>
      <c r="C4272" s="23">
        <v>0</v>
      </c>
      <c r="D4272" s="23">
        <v>0</v>
      </c>
      <c r="E4272" s="23">
        <v>0</v>
      </c>
      <c r="F4272" s="23">
        <v>0</v>
      </c>
      <c r="G4272" s="23">
        <v>0</v>
      </c>
      <c r="H4272" s="23">
        <v>0</v>
      </c>
      <c r="I4272" s="23">
        <v>1148.1469999999999</v>
      </c>
      <c r="J4272" s="23">
        <v>0</v>
      </c>
      <c r="K4272" s="23">
        <v>0</v>
      </c>
    </row>
    <row r="4273" spans="1:11" x14ac:dyDescent="0.25">
      <c r="A4273">
        <v>4272</v>
      </c>
      <c r="B4273" s="23">
        <v>1170.2123300000001</v>
      </c>
      <c r="C4273" s="23">
        <v>0</v>
      </c>
      <c r="D4273" s="23">
        <v>0</v>
      </c>
      <c r="E4273" s="23">
        <v>0</v>
      </c>
      <c r="F4273" s="23">
        <v>0</v>
      </c>
      <c r="G4273" s="23">
        <v>0</v>
      </c>
      <c r="H4273" s="23">
        <v>0</v>
      </c>
      <c r="I4273" s="23">
        <v>1170.212</v>
      </c>
      <c r="J4273" s="23">
        <v>0</v>
      </c>
      <c r="K4273" s="23">
        <v>0</v>
      </c>
    </row>
    <row r="4274" spans="1:11" x14ac:dyDescent="0.25">
      <c r="A4274">
        <v>4273</v>
      </c>
      <c r="B4274" s="23">
        <v>1298.1928109999999</v>
      </c>
      <c r="C4274" s="23">
        <v>0</v>
      </c>
      <c r="D4274" s="23">
        <v>0</v>
      </c>
      <c r="E4274" s="23">
        <v>0</v>
      </c>
      <c r="F4274" s="23">
        <v>0</v>
      </c>
      <c r="G4274" s="23">
        <v>0</v>
      </c>
      <c r="H4274" s="23">
        <v>0</v>
      </c>
      <c r="I4274" s="23">
        <v>1298.193</v>
      </c>
      <c r="J4274" s="23">
        <v>0</v>
      </c>
      <c r="K4274" s="23">
        <v>0</v>
      </c>
    </row>
    <row r="4275" spans="1:11" x14ac:dyDescent="0.25">
      <c r="A4275">
        <v>4274</v>
      </c>
      <c r="B4275" s="23">
        <v>1256.2681709999999</v>
      </c>
      <c r="C4275" s="23">
        <v>0</v>
      </c>
      <c r="D4275" s="23">
        <v>0</v>
      </c>
      <c r="E4275" s="23">
        <v>0</v>
      </c>
      <c r="F4275" s="23">
        <v>0</v>
      </c>
      <c r="G4275" s="23">
        <v>0</v>
      </c>
      <c r="H4275" s="23">
        <v>0</v>
      </c>
      <c r="I4275" s="23">
        <v>1256.268</v>
      </c>
      <c r="J4275" s="23">
        <v>0</v>
      </c>
      <c r="K4275" s="23">
        <v>0</v>
      </c>
    </row>
    <row r="4276" spans="1:11" x14ac:dyDescent="0.25">
      <c r="A4276">
        <v>4275</v>
      </c>
      <c r="B4276" s="23">
        <v>1237.1446510000001</v>
      </c>
      <c r="C4276" s="23">
        <v>0</v>
      </c>
      <c r="D4276" s="23">
        <v>0</v>
      </c>
      <c r="E4276" s="23">
        <v>0</v>
      </c>
      <c r="F4276" s="23">
        <v>0</v>
      </c>
      <c r="G4276" s="23">
        <v>0</v>
      </c>
      <c r="H4276" s="23">
        <v>0</v>
      </c>
      <c r="I4276" s="23">
        <v>1237.145</v>
      </c>
      <c r="J4276" s="23">
        <v>0</v>
      </c>
      <c r="K4276" s="23">
        <v>0</v>
      </c>
    </row>
    <row r="4277" spans="1:11" x14ac:dyDescent="0.25">
      <c r="A4277">
        <v>4276</v>
      </c>
      <c r="B4277" s="23">
        <v>1329.084652</v>
      </c>
      <c r="C4277" s="23">
        <v>0</v>
      </c>
      <c r="D4277" s="23">
        <v>0</v>
      </c>
      <c r="E4277" s="23">
        <v>0</v>
      </c>
      <c r="F4277" s="23">
        <v>0</v>
      </c>
      <c r="G4277" s="23">
        <v>0</v>
      </c>
      <c r="H4277" s="23">
        <v>0</v>
      </c>
      <c r="I4277" s="23">
        <v>1329.085</v>
      </c>
      <c r="J4277" s="23">
        <v>0</v>
      </c>
      <c r="K4277" s="23">
        <v>0</v>
      </c>
    </row>
    <row r="4278" spans="1:11" x14ac:dyDescent="0.25">
      <c r="A4278">
        <v>4277</v>
      </c>
      <c r="B4278" s="23">
        <v>1320.2584119999999</v>
      </c>
      <c r="C4278" s="23">
        <v>0</v>
      </c>
      <c r="D4278" s="23">
        <v>0</v>
      </c>
      <c r="E4278" s="23">
        <v>0</v>
      </c>
      <c r="F4278" s="23">
        <v>0</v>
      </c>
      <c r="G4278" s="23">
        <v>0</v>
      </c>
      <c r="H4278" s="23">
        <v>0</v>
      </c>
      <c r="I4278" s="23">
        <v>0</v>
      </c>
      <c r="J4278" s="23">
        <v>0</v>
      </c>
      <c r="K4278" s="23">
        <v>1320.258</v>
      </c>
    </row>
    <row r="4279" spans="1:11" x14ac:dyDescent="0.25">
      <c r="A4279">
        <v>4278</v>
      </c>
      <c r="B4279" s="23">
        <v>1256.2681709999999</v>
      </c>
      <c r="C4279" s="23">
        <v>0</v>
      </c>
      <c r="D4279" s="23">
        <v>0</v>
      </c>
      <c r="E4279" s="23">
        <v>0</v>
      </c>
      <c r="F4279" s="23">
        <v>0</v>
      </c>
      <c r="G4279" s="23">
        <v>0</v>
      </c>
      <c r="H4279" s="23">
        <v>0</v>
      </c>
      <c r="I4279" s="23">
        <v>0</v>
      </c>
      <c r="J4279" s="23">
        <v>0</v>
      </c>
      <c r="K4279" s="23">
        <v>1256.268</v>
      </c>
    </row>
    <row r="4280" spans="1:11" x14ac:dyDescent="0.25">
      <c r="A4280">
        <v>4279</v>
      </c>
      <c r="B4280" s="23">
        <v>957.64704840000002</v>
      </c>
      <c r="C4280" s="23">
        <v>106.65</v>
      </c>
      <c r="D4280" s="23">
        <v>328.04599999999999</v>
      </c>
      <c r="E4280" s="23">
        <v>328.04599999999999</v>
      </c>
      <c r="F4280" s="23">
        <v>0</v>
      </c>
      <c r="G4280" s="23">
        <v>0</v>
      </c>
      <c r="H4280" s="23">
        <v>0</v>
      </c>
      <c r="I4280" s="23">
        <v>0</v>
      </c>
      <c r="J4280" s="23">
        <v>0</v>
      </c>
      <c r="K4280" s="23">
        <v>629.601</v>
      </c>
    </row>
    <row r="4281" spans="1:11" x14ac:dyDescent="0.25">
      <c r="A4281">
        <v>4280</v>
      </c>
      <c r="B4281" s="23">
        <v>1212.806294</v>
      </c>
      <c r="C4281" s="23">
        <v>314.24</v>
      </c>
      <c r="D4281" s="23">
        <v>1213.2670000000001</v>
      </c>
      <c r="E4281" s="23">
        <v>1212.807</v>
      </c>
      <c r="F4281" s="23">
        <v>-0.46</v>
      </c>
      <c r="G4281" s="23">
        <v>0</v>
      </c>
      <c r="H4281" s="23">
        <v>0</v>
      </c>
      <c r="I4281" s="23">
        <v>0</v>
      </c>
      <c r="J4281" s="23">
        <v>0</v>
      </c>
      <c r="K4281" s="23">
        <v>0</v>
      </c>
    </row>
    <row r="4282" spans="1:11" x14ac:dyDescent="0.25">
      <c r="A4282">
        <v>4281</v>
      </c>
      <c r="B4282" s="23">
        <v>817.35120410000002</v>
      </c>
      <c r="C4282" s="23">
        <v>528.80999999999995</v>
      </c>
      <c r="D4282" s="23">
        <v>2093.8739999999998</v>
      </c>
      <c r="E4282" s="23">
        <v>817.35199999999998</v>
      </c>
      <c r="F4282" s="23">
        <v>-1276.5219999999999</v>
      </c>
      <c r="G4282" s="23">
        <v>0</v>
      </c>
      <c r="H4282" s="23">
        <v>0</v>
      </c>
      <c r="I4282" s="23">
        <v>0</v>
      </c>
      <c r="J4282" s="23">
        <v>0</v>
      </c>
      <c r="K4282" s="23">
        <v>0</v>
      </c>
    </row>
    <row r="4283" spans="1:11" x14ac:dyDescent="0.25">
      <c r="A4283">
        <v>4282</v>
      </c>
      <c r="B4283" s="23">
        <v>1350.9121270000001</v>
      </c>
      <c r="C4283" s="23">
        <v>709.68</v>
      </c>
      <c r="D4283" s="23">
        <v>2739.857</v>
      </c>
      <c r="E4283" s="23">
        <v>1350.912</v>
      </c>
      <c r="F4283" s="23">
        <v>-1388.9449999999999</v>
      </c>
      <c r="G4283" s="23">
        <v>0</v>
      </c>
      <c r="H4283" s="23">
        <v>0</v>
      </c>
      <c r="I4283" s="23">
        <v>0</v>
      </c>
      <c r="J4283" s="23">
        <v>0</v>
      </c>
      <c r="K4283" s="23">
        <v>0</v>
      </c>
    </row>
    <row r="4284" spans="1:11" x14ac:dyDescent="0.25">
      <c r="A4284">
        <v>4283</v>
      </c>
      <c r="B4284" s="23">
        <v>1576.550358</v>
      </c>
      <c r="C4284" s="23">
        <v>848.41</v>
      </c>
      <c r="D4284" s="23">
        <v>3205.6379999999999</v>
      </c>
      <c r="E4284" s="23">
        <v>1576.55</v>
      </c>
      <c r="F4284" s="23">
        <v>-1629.088</v>
      </c>
      <c r="G4284" s="23">
        <v>0</v>
      </c>
      <c r="H4284" s="23">
        <v>0</v>
      </c>
      <c r="I4284" s="23">
        <v>0</v>
      </c>
      <c r="J4284" s="23">
        <v>0</v>
      </c>
      <c r="K4284" s="23">
        <v>0</v>
      </c>
    </row>
    <row r="4285" spans="1:11" x14ac:dyDescent="0.25">
      <c r="A4285">
        <v>4284</v>
      </c>
      <c r="B4285" s="23">
        <v>1514.7519669999999</v>
      </c>
      <c r="C4285" s="23">
        <v>912.78</v>
      </c>
      <c r="D4285" s="23">
        <v>3412.1550000000002</v>
      </c>
      <c r="E4285" s="23">
        <v>1514.752</v>
      </c>
      <c r="F4285" s="23">
        <v>-1684.559</v>
      </c>
      <c r="G4285" s="23">
        <v>0</v>
      </c>
      <c r="H4285" s="23">
        <v>212.84399999999999</v>
      </c>
      <c r="I4285" s="23">
        <v>0</v>
      </c>
      <c r="J4285" s="23">
        <v>0</v>
      </c>
      <c r="K4285" s="23">
        <v>0</v>
      </c>
    </row>
    <row r="4286" spans="1:11" x14ac:dyDescent="0.25">
      <c r="A4286">
        <v>4285</v>
      </c>
      <c r="B4286" s="23">
        <v>1347.5912539999999</v>
      </c>
      <c r="C4286" s="23">
        <v>777.03</v>
      </c>
      <c r="D4286" s="23">
        <v>2882.799</v>
      </c>
      <c r="E4286" s="23">
        <v>1347.5909999999999</v>
      </c>
      <c r="F4286" s="23">
        <v>-1311.924</v>
      </c>
      <c r="G4286" s="23">
        <v>0</v>
      </c>
      <c r="H4286" s="23">
        <v>223.28399999999999</v>
      </c>
      <c r="I4286" s="23">
        <v>0</v>
      </c>
      <c r="J4286" s="23">
        <v>0</v>
      </c>
      <c r="K4286" s="23">
        <v>0</v>
      </c>
    </row>
    <row r="4287" spans="1:11" x14ac:dyDescent="0.25">
      <c r="A4287">
        <v>4286</v>
      </c>
      <c r="B4287" s="23">
        <v>1384.7625969999999</v>
      </c>
      <c r="C4287" s="23">
        <v>777.64</v>
      </c>
      <c r="D4287" s="23">
        <v>2878.6660000000002</v>
      </c>
      <c r="E4287" s="23">
        <v>1384.7619999999999</v>
      </c>
      <c r="F4287" s="23">
        <v>0</v>
      </c>
      <c r="G4287" s="23">
        <v>0</v>
      </c>
      <c r="H4287" s="23">
        <v>1493.904</v>
      </c>
      <c r="I4287" s="23">
        <v>0</v>
      </c>
      <c r="J4287" s="23">
        <v>0</v>
      </c>
      <c r="K4287" s="23">
        <v>0</v>
      </c>
    </row>
    <row r="4288" spans="1:11" x14ac:dyDescent="0.25">
      <c r="A4288">
        <v>4287</v>
      </c>
      <c r="B4288" s="23">
        <v>1490.549681</v>
      </c>
      <c r="C4288" s="23">
        <v>602.48</v>
      </c>
      <c r="D4288" s="23">
        <v>2291.3919999999998</v>
      </c>
      <c r="E4288" s="23">
        <v>1490.55</v>
      </c>
      <c r="F4288" s="23">
        <v>0</v>
      </c>
      <c r="G4288" s="23">
        <v>0</v>
      </c>
      <c r="H4288" s="23">
        <v>800.84199999999998</v>
      </c>
      <c r="I4288" s="23">
        <v>0</v>
      </c>
      <c r="J4288" s="23">
        <v>0</v>
      </c>
      <c r="K4288" s="23">
        <v>0</v>
      </c>
    </row>
    <row r="4289" spans="1:11" x14ac:dyDescent="0.25">
      <c r="A4289">
        <v>4288</v>
      </c>
      <c r="B4289" s="23">
        <v>1528.819706</v>
      </c>
      <c r="C4289" s="23">
        <v>325.07</v>
      </c>
      <c r="D4289" s="23">
        <v>1254.711</v>
      </c>
      <c r="E4289" s="23">
        <v>1254.711</v>
      </c>
      <c r="F4289" s="23">
        <v>0</v>
      </c>
      <c r="G4289" s="23">
        <v>0</v>
      </c>
      <c r="H4289" s="23">
        <v>0</v>
      </c>
      <c r="I4289" s="23">
        <v>274.108</v>
      </c>
      <c r="J4289" s="23">
        <v>0</v>
      </c>
      <c r="K4289" s="23">
        <v>0</v>
      </c>
    </row>
    <row r="4290" spans="1:11" x14ac:dyDescent="0.25">
      <c r="A4290">
        <v>4289</v>
      </c>
      <c r="B4290" s="23">
        <v>1453.0225310000001</v>
      </c>
      <c r="C4290" s="23">
        <v>47.74</v>
      </c>
      <c r="D4290" s="23">
        <v>160.36099999999999</v>
      </c>
      <c r="E4290" s="23">
        <v>160.36099999999999</v>
      </c>
      <c r="F4290" s="23">
        <v>0</v>
      </c>
      <c r="G4290" s="23">
        <v>0</v>
      </c>
      <c r="H4290" s="23">
        <v>0</v>
      </c>
      <c r="I4290" s="23">
        <v>1292.662</v>
      </c>
      <c r="J4290" s="23">
        <v>0</v>
      </c>
      <c r="K4290" s="23">
        <v>0</v>
      </c>
    </row>
    <row r="4291" spans="1:11" x14ac:dyDescent="0.25">
      <c r="A4291">
        <v>4290</v>
      </c>
      <c r="B4291" s="23">
        <v>1062.573574</v>
      </c>
      <c r="C4291" s="23">
        <v>5.87</v>
      </c>
      <c r="D4291" s="23">
        <v>0</v>
      </c>
      <c r="E4291" s="23">
        <v>0</v>
      </c>
      <c r="F4291" s="23">
        <v>0</v>
      </c>
      <c r="G4291" s="23">
        <v>0</v>
      </c>
      <c r="H4291" s="23">
        <v>0</v>
      </c>
      <c r="I4291" s="23">
        <v>0</v>
      </c>
      <c r="J4291" s="23">
        <v>0</v>
      </c>
      <c r="K4291" s="23">
        <v>1062.5740000000001</v>
      </c>
    </row>
    <row r="4292" spans="1:11" x14ac:dyDescent="0.25">
      <c r="A4292">
        <v>4291</v>
      </c>
      <c r="B4292" s="23">
        <v>1421.0246520000001</v>
      </c>
      <c r="C4292" s="23">
        <v>0</v>
      </c>
      <c r="D4292" s="23">
        <v>0</v>
      </c>
      <c r="E4292" s="23">
        <v>0</v>
      </c>
      <c r="F4292" s="23">
        <v>0</v>
      </c>
      <c r="G4292" s="23">
        <v>0</v>
      </c>
      <c r="H4292" s="23">
        <v>0</v>
      </c>
      <c r="I4292" s="23">
        <v>0</v>
      </c>
      <c r="J4292" s="23">
        <v>0</v>
      </c>
      <c r="K4292" s="23">
        <v>1421.0250000000001</v>
      </c>
    </row>
    <row r="4293" spans="1:11" x14ac:dyDescent="0.25">
      <c r="A4293">
        <v>4292</v>
      </c>
      <c r="B4293" s="23">
        <v>1195.22001</v>
      </c>
      <c r="C4293" s="23">
        <v>0</v>
      </c>
      <c r="D4293" s="23">
        <v>0</v>
      </c>
      <c r="E4293" s="23">
        <v>0</v>
      </c>
      <c r="F4293" s="23">
        <v>0</v>
      </c>
      <c r="G4293" s="23">
        <v>0</v>
      </c>
      <c r="H4293" s="23">
        <v>0</v>
      </c>
      <c r="I4293" s="23">
        <v>0</v>
      </c>
      <c r="J4293" s="23">
        <v>0</v>
      </c>
      <c r="K4293" s="23">
        <v>1195.22</v>
      </c>
    </row>
    <row r="4294" spans="1:11" x14ac:dyDescent="0.25">
      <c r="A4294">
        <v>4293</v>
      </c>
      <c r="B4294" s="23">
        <v>1395.2814519999999</v>
      </c>
      <c r="C4294" s="23">
        <v>0</v>
      </c>
      <c r="D4294" s="23">
        <v>0</v>
      </c>
      <c r="E4294" s="23">
        <v>0</v>
      </c>
      <c r="F4294" s="23">
        <v>0</v>
      </c>
      <c r="G4294" s="23">
        <v>0</v>
      </c>
      <c r="H4294" s="23">
        <v>0</v>
      </c>
      <c r="I4294" s="23">
        <v>1395.2809999999999</v>
      </c>
      <c r="J4294" s="23">
        <v>0</v>
      </c>
      <c r="K4294" s="23">
        <v>0</v>
      </c>
    </row>
    <row r="4295" spans="1:11" x14ac:dyDescent="0.25">
      <c r="A4295">
        <v>4294</v>
      </c>
      <c r="B4295" s="23">
        <v>1417.3470520000001</v>
      </c>
      <c r="C4295" s="23">
        <v>0</v>
      </c>
      <c r="D4295" s="23">
        <v>0</v>
      </c>
      <c r="E4295" s="23">
        <v>0</v>
      </c>
      <c r="F4295" s="23">
        <v>0</v>
      </c>
      <c r="G4295" s="23">
        <v>0</v>
      </c>
      <c r="H4295" s="23">
        <v>0</v>
      </c>
      <c r="I4295" s="23">
        <v>1417.347</v>
      </c>
      <c r="J4295" s="23">
        <v>0</v>
      </c>
      <c r="K4295" s="23">
        <v>0</v>
      </c>
    </row>
    <row r="4296" spans="1:11" x14ac:dyDescent="0.25">
      <c r="A4296">
        <v>4295</v>
      </c>
      <c r="B4296" s="23">
        <v>1162.8571300000001</v>
      </c>
      <c r="C4296" s="23">
        <v>0</v>
      </c>
      <c r="D4296" s="23">
        <v>0</v>
      </c>
      <c r="E4296" s="23">
        <v>0</v>
      </c>
      <c r="F4296" s="23">
        <v>0</v>
      </c>
      <c r="G4296" s="23">
        <v>0</v>
      </c>
      <c r="H4296" s="23">
        <v>0</v>
      </c>
      <c r="I4296" s="23">
        <v>1162.857</v>
      </c>
      <c r="J4296" s="23">
        <v>0</v>
      </c>
      <c r="K4296" s="23">
        <v>0</v>
      </c>
    </row>
    <row r="4297" spans="1:11" x14ac:dyDescent="0.25">
      <c r="A4297">
        <v>4296</v>
      </c>
      <c r="B4297" s="23">
        <v>1393.0748920000001</v>
      </c>
      <c r="C4297" s="23">
        <v>0</v>
      </c>
      <c r="D4297" s="23">
        <v>0</v>
      </c>
      <c r="E4297" s="23">
        <v>0</v>
      </c>
      <c r="F4297" s="23">
        <v>0</v>
      </c>
      <c r="G4297" s="23">
        <v>0</v>
      </c>
      <c r="H4297" s="23">
        <v>0</v>
      </c>
      <c r="I4297" s="23">
        <v>1393.075</v>
      </c>
      <c r="J4297" s="23">
        <v>0</v>
      </c>
      <c r="K4297" s="23">
        <v>0</v>
      </c>
    </row>
    <row r="4298" spans="1:11" x14ac:dyDescent="0.25">
      <c r="A4298">
        <v>4297</v>
      </c>
      <c r="B4298" s="23">
        <v>1050.3225689999999</v>
      </c>
      <c r="C4298" s="23">
        <v>0</v>
      </c>
      <c r="D4298" s="23">
        <v>0</v>
      </c>
      <c r="E4298" s="23">
        <v>0</v>
      </c>
      <c r="F4298" s="23">
        <v>0</v>
      </c>
      <c r="G4298" s="23">
        <v>0</v>
      </c>
      <c r="H4298" s="23">
        <v>0</v>
      </c>
      <c r="I4298" s="23">
        <v>1050.3230000000001</v>
      </c>
      <c r="J4298" s="23">
        <v>0</v>
      </c>
      <c r="K4298" s="23">
        <v>0</v>
      </c>
    </row>
    <row r="4299" spans="1:11" x14ac:dyDescent="0.25">
      <c r="A4299">
        <v>4298</v>
      </c>
      <c r="B4299" s="23">
        <v>1021.637289</v>
      </c>
      <c r="C4299" s="23">
        <v>0</v>
      </c>
      <c r="D4299" s="23">
        <v>0</v>
      </c>
      <c r="E4299" s="23">
        <v>0</v>
      </c>
      <c r="F4299" s="23">
        <v>0</v>
      </c>
      <c r="G4299" s="23">
        <v>0</v>
      </c>
      <c r="H4299" s="23">
        <v>0</v>
      </c>
      <c r="I4299" s="23">
        <v>1021.6369999999999</v>
      </c>
      <c r="J4299" s="23">
        <v>0</v>
      </c>
      <c r="K4299" s="23">
        <v>0</v>
      </c>
    </row>
    <row r="4300" spans="1:11" x14ac:dyDescent="0.25">
      <c r="A4300">
        <v>4299</v>
      </c>
      <c r="B4300" s="23">
        <v>1457.0651330000001</v>
      </c>
      <c r="C4300" s="23">
        <v>0</v>
      </c>
      <c r="D4300" s="23">
        <v>0</v>
      </c>
      <c r="E4300" s="23">
        <v>0</v>
      </c>
      <c r="F4300" s="23">
        <v>0</v>
      </c>
      <c r="G4300" s="23">
        <v>0</v>
      </c>
      <c r="H4300" s="23">
        <v>0</v>
      </c>
      <c r="I4300" s="23">
        <v>1457.0650000000001</v>
      </c>
      <c r="J4300" s="23">
        <v>0</v>
      </c>
      <c r="K4300" s="23">
        <v>0</v>
      </c>
    </row>
    <row r="4301" spans="1:11" x14ac:dyDescent="0.25">
      <c r="A4301">
        <v>4300</v>
      </c>
      <c r="B4301" s="23">
        <v>1272.449611</v>
      </c>
      <c r="C4301" s="23">
        <v>0</v>
      </c>
      <c r="D4301" s="23">
        <v>0</v>
      </c>
      <c r="E4301" s="23">
        <v>0</v>
      </c>
      <c r="F4301" s="23">
        <v>0</v>
      </c>
      <c r="G4301" s="23">
        <v>0</v>
      </c>
      <c r="H4301" s="23">
        <v>0</v>
      </c>
      <c r="I4301" s="23">
        <v>1272.45</v>
      </c>
      <c r="J4301" s="23">
        <v>0</v>
      </c>
      <c r="K4301" s="23">
        <v>0</v>
      </c>
    </row>
    <row r="4302" spans="1:11" x14ac:dyDescent="0.25">
      <c r="A4302">
        <v>4301</v>
      </c>
      <c r="B4302" s="23">
        <v>1186.3937699999999</v>
      </c>
      <c r="C4302" s="23">
        <v>0</v>
      </c>
      <c r="D4302" s="23">
        <v>0</v>
      </c>
      <c r="E4302" s="23">
        <v>0</v>
      </c>
      <c r="F4302" s="23">
        <v>0</v>
      </c>
      <c r="G4302" s="23">
        <v>0</v>
      </c>
      <c r="H4302" s="23">
        <v>0</v>
      </c>
      <c r="I4302" s="23">
        <v>579.72400000000005</v>
      </c>
      <c r="J4302" s="23">
        <v>0</v>
      </c>
      <c r="K4302" s="23">
        <v>606.66999999999996</v>
      </c>
    </row>
    <row r="4303" spans="1:11" x14ac:dyDescent="0.25">
      <c r="A4303">
        <v>4302</v>
      </c>
      <c r="B4303" s="23">
        <v>1309.2256110000001</v>
      </c>
      <c r="C4303" s="23">
        <v>0</v>
      </c>
      <c r="D4303" s="23">
        <v>0</v>
      </c>
      <c r="E4303" s="23">
        <v>0</v>
      </c>
      <c r="F4303" s="23">
        <v>0</v>
      </c>
      <c r="G4303" s="23">
        <v>0</v>
      </c>
      <c r="H4303" s="23">
        <v>0</v>
      </c>
      <c r="I4303" s="23">
        <v>0</v>
      </c>
      <c r="J4303" s="23">
        <v>0</v>
      </c>
      <c r="K4303" s="23">
        <v>1309.2260000000001</v>
      </c>
    </row>
    <row r="4304" spans="1:11" x14ac:dyDescent="0.25">
      <c r="A4304">
        <v>4303</v>
      </c>
      <c r="B4304" s="23">
        <v>1074.5947289999999</v>
      </c>
      <c r="C4304" s="23">
        <v>36.26</v>
      </c>
      <c r="D4304" s="23">
        <v>117.459</v>
      </c>
      <c r="E4304" s="23">
        <v>117.459</v>
      </c>
      <c r="F4304" s="23">
        <v>0</v>
      </c>
      <c r="G4304" s="23">
        <v>0</v>
      </c>
      <c r="H4304" s="23">
        <v>0</v>
      </c>
      <c r="I4304" s="23">
        <v>0</v>
      </c>
      <c r="J4304" s="23">
        <v>0</v>
      </c>
      <c r="K4304" s="23">
        <v>957.13599999999997</v>
      </c>
    </row>
    <row r="4305" spans="1:11" x14ac:dyDescent="0.25">
      <c r="A4305">
        <v>4304</v>
      </c>
      <c r="B4305" s="23">
        <v>998.13558590000002</v>
      </c>
      <c r="C4305" s="23">
        <v>321.32</v>
      </c>
      <c r="D4305" s="23">
        <v>1239.297</v>
      </c>
      <c r="E4305" s="23">
        <v>998.13599999999997</v>
      </c>
      <c r="F4305" s="23">
        <v>-241.161</v>
      </c>
      <c r="G4305" s="23">
        <v>0</v>
      </c>
      <c r="H4305" s="23">
        <v>0</v>
      </c>
      <c r="I4305" s="23">
        <v>0</v>
      </c>
      <c r="J4305" s="23">
        <v>0</v>
      </c>
      <c r="K4305" s="23">
        <v>0</v>
      </c>
    </row>
    <row r="4306" spans="1:11" x14ac:dyDescent="0.25">
      <c r="A4306">
        <v>4305</v>
      </c>
      <c r="B4306" s="23">
        <v>975.27838229999998</v>
      </c>
      <c r="C4306" s="23">
        <v>536.19000000000005</v>
      </c>
      <c r="D4306" s="23">
        <v>2128.4639999999999</v>
      </c>
      <c r="E4306" s="23">
        <v>975.279</v>
      </c>
      <c r="F4306" s="23">
        <v>-1153.1849999999999</v>
      </c>
      <c r="G4306" s="23">
        <v>0</v>
      </c>
      <c r="H4306" s="23">
        <v>0</v>
      </c>
      <c r="I4306" s="23">
        <v>0</v>
      </c>
      <c r="J4306" s="23">
        <v>0</v>
      </c>
      <c r="K4306" s="23">
        <v>0</v>
      </c>
    </row>
    <row r="4307" spans="1:11" x14ac:dyDescent="0.25">
      <c r="A4307">
        <v>4306</v>
      </c>
      <c r="B4307" s="23">
        <v>1046.5245279999999</v>
      </c>
      <c r="C4307" s="23">
        <v>720.01</v>
      </c>
      <c r="D4307" s="23">
        <v>2785.7449999999999</v>
      </c>
      <c r="E4307" s="23">
        <v>1046.5250000000001</v>
      </c>
      <c r="F4307" s="23">
        <v>-1684.559</v>
      </c>
      <c r="G4307" s="23">
        <v>0</v>
      </c>
      <c r="H4307" s="23">
        <v>54.661000000000001</v>
      </c>
      <c r="I4307" s="23">
        <v>0</v>
      </c>
      <c r="J4307" s="23">
        <v>0</v>
      </c>
      <c r="K4307" s="23">
        <v>0</v>
      </c>
    </row>
    <row r="4308" spans="1:11" x14ac:dyDescent="0.25">
      <c r="A4308">
        <v>4307</v>
      </c>
      <c r="B4308" s="23">
        <v>950.49871329999996</v>
      </c>
      <c r="C4308" s="23">
        <v>846.9</v>
      </c>
      <c r="D4308" s="23">
        <v>3215.009</v>
      </c>
      <c r="E4308" s="23">
        <v>950.49900000000002</v>
      </c>
      <c r="F4308" s="23">
        <v>-1684.559</v>
      </c>
      <c r="G4308" s="23">
        <v>0</v>
      </c>
      <c r="H4308" s="23">
        <v>579.95100000000002</v>
      </c>
      <c r="I4308" s="23">
        <v>0</v>
      </c>
      <c r="J4308" s="23">
        <v>0</v>
      </c>
      <c r="K4308" s="23">
        <v>0</v>
      </c>
    </row>
    <row r="4309" spans="1:11" x14ac:dyDescent="0.25">
      <c r="A4309">
        <v>4308</v>
      </c>
      <c r="B4309" s="23">
        <v>1002.540431</v>
      </c>
      <c r="C4309" s="23">
        <v>910.74</v>
      </c>
      <c r="D4309" s="23">
        <v>3425.8029999999999</v>
      </c>
      <c r="E4309" s="23">
        <v>1002.5410000000001</v>
      </c>
      <c r="F4309" s="23">
        <v>-1684.559</v>
      </c>
      <c r="G4309" s="23">
        <v>0</v>
      </c>
      <c r="H4309" s="23">
        <v>738.70299999999997</v>
      </c>
      <c r="I4309" s="23">
        <v>0</v>
      </c>
      <c r="J4309" s="23">
        <v>0</v>
      </c>
      <c r="K4309" s="23">
        <v>0</v>
      </c>
    </row>
    <row r="4310" spans="1:11" x14ac:dyDescent="0.25">
      <c r="A4310">
        <v>4309</v>
      </c>
      <c r="B4310" s="23">
        <v>1043.7396650000001</v>
      </c>
      <c r="C4310" s="23">
        <v>906.98</v>
      </c>
      <c r="D4310" s="23">
        <v>3417.0309999999999</v>
      </c>
      <c r="E4310" s="23">
        <v>1043.739</v>
      </c>
      <c r="F4310" s="23">
        <v>-843.47400000000005</v>
      </c>
      <c r="G4310" s="23">
        <v>0</v>
      </c>
      <c r="H4310" s="23">
        <v>1529.818</v>
      </c>
      <c r="I4310" s="23">
        <v>0</v>
      </c>
      <c r="J4310" s="23">
        <v>0</v>
      </c>
      <c r="K4310" s="23">
        <v>0</v>
      </c>
    </row>
    <row r="4311" spans="1:11" x14ac:dyDescent="0.25">
      <c r="A4311">
        <v>4310</v>
      </c>
      <c r="B4311" s="23">
        <v>1077.3961409999999</v>
      </c>
      <c r="C4311" s="23">
        <v>835.51</v>
      </c>
      <c r="D4311" s="23">
        <v>3179.2260000000001</v>
      </c>
      <c r="E4311" s="23">
        <v>1077.396</v>
      </c>
      <c r="F4311" s="23">
        <v>0</v>
      </c>
      <c r="G4311" s="23">
        <v>0</v>
      </c>
      <c r="H4311" s="23">
        <v>2101.83</v>
      </c>
      <c r="I4311" s="23">
        <v>0</v>
      </c>
      <c r="J4311" s="23">
        <v>0</v>
      </c>
      <c r="K4311" s="23">
        <v>0</v>
      </c>
    </row>
    <row r="4312" spans="1:11" x14ac:dyDescent="0.25">
      <c r="A4312">
        <v>4311</v>
      </c>
      <c r="B4312" s="23">
        <v>1015.4607600000001</v>
      </c>
      <c r="C4312" s="23">
        <v>698.92</v>
      </c>
      <c r="D4312" s="23">
        <v>2707.0340000000001</v>
      </c>
      <c r="E4312" s="23">
        <v>1015.461</v>
      </c>
      <c r="F4312" s="23">
        <v>0</v>
      </c>
      <c r="G4312" s="23">
        <v>0</v>
      </c>
      <c r="H4312" s="23">
        <v>1691.5730000000001</v>
      </c>
      <c r="I4312" s="23">
        <v>0</v>
      </c>
      <c r="J4312" s="23">
        <v>0</v>
      </c>
      <c r="K4312" s="23">
        <v>0</v>
      </c>
    </row>
    <row r="4313" spans="1:11" x14ac:dyDescent="0.25">
      <c r="A4313">
        <v>4312</v>
      </c>
      <c r="B4313" s="23">
        <v>206.36668700000001</v>
      </c>
      <c r="C4313" s="23">
        <v>511.52</v>
      </c>
      <c r="D4313" s="23">
        <v>2025.2049999999999</v>
      </c>
      <c r="E4313" s="23">
        <v>206.36600000000001</v>
      </c>
      <c r="F4313" s="23">
        <v>0</v>
      </c>
      <c r="G4313" s="23">
        <v>0</v>
      </c>
      <c r="H4313" s="23">
        <v>1818.8389999999999</v>
      </c>
      <c r="I4313" s="23">
        <v>0</v>
      </c>
      <c r="J4313" s="23">
        <v>0</v>
      </c>
      <c r="K4313" s="23">
        <v>0</v>
      </c>
    </row>
    <row r="4314" spans="1:11" x14ac:dyDescent="0.25">
      <c r="A4314">
        <v>4313</v>
      </c>
      <c r="B4314" s="23">
        <v>168.65473750000001</v>
      </c>
      <c r="C4314" s="23">
        <v>241.03</v>
      </c>
      <c r="D4314" s="23">
        <v>933.66499999999996</v>
      </c>
      <c r="E4314" s="23">
        <v>168.655</v>
      </c>
      <c r="F4314" s="23">
        <v>0</v>
      </c>
      <c r="G4314" s="23">
        <v>0</v>
      </c>
      <c r="H4314" s="23">
        <v>765.01</v>
      </c>
      <c r="I4314" s="23">
        <v>0</v>
      </c>
      <c r="J4314" s="23">
        <v>0</v>
      </c>
      <c r="K4314" s="23">
        <v>0</v>
      </c>
    </row>
    <row r="4315" spans="1:11" x14ac:dyDescent="0.25">
      <c r="A4315">
        <v>4314</v>
      </c>
      <c r="B4315" s="23">
        <v>147.16284289999999</v>
      </c>
      <c r="C4315" s="23">
        <v>5.87</v>
      </c>
      <c r="D4315" s="23">
        <v>0</v>
      </c>
      <c r="E4315" s="23">
        <v>0</v>
      </c>
      <c r="F4315" s="23">
        <v>0</v>
      </c>
      <c r="G4315" s="23">
        <v>0</v>
      </c>
      <c r="H4315" s="23">
        <v>0</v>
      </c>
      <c r="I4315" s="23">
        <v>0</v>
      </c>
      <c r="J4315" s="23">
        <v>0</v>
      </c>
      <c r="K4315" s="23">
        <v>147.16300000000001</v>
      </c>
    </row>
    <row r="4316" spans="1:11" x14ac:dyDescent="0.25">
      <c r="A4316">
        <v>4315</v>
      </c>
      <c r="B4316" s="23">
        <v>189.76416169999999</v>
      </c>
      <c r="C4316" s="23">
        <v>0</v>
      </c>
      <c r="D4316" s="23">
        <v>0</v>
      </c>
      <c r="E4316" s="23">
        <v>0</v>
      </c>
      <c r="F4316" s="23">
        <v>0</v>
      </c>
      <c r="G4316" s="23">
        <v>0</v>
      </c>
      <c r="H4316" s="23">
        <v>0</v>
      </c>
      <c r="I4316" s="23">
        <v>0</v>
      </c>
      <c r="J4316" s="23">
        <v>0</v>
      </c>
      <c r="K4316" s="23">
        <v>189.76400000000001</v>
      </c>
    </row>
    <row r="4317" spans="1:11" x14ac:dyDescent="0.25">
      <c r="A4317">
        <v>4316</v>
      </c>
      <c r="B4317" s="23">
        <v>137.54224120000001</v>
      </c>
      <c r="C4317" s="23">
        <v>0</v>
      </c>
      <c r="D4317" s="23">
        <v>0</v>
      </c>
      <c r="E4317" s="23">
        <v>0</v>
      </c>
      <c r="F4317" s="23">
        <v>0</v>
      </c>
      <c r="G4317" s="23">
        <v>0</v>
      </c>
      <c r="H4317" s="23">
        <v>0</v>
      </c>
      <c r="I4317" s="23">
        <v>0</v>
      </c>
      <c r="J4317" s="23">
        <v>0</v>
      </c>
      <c r="K4317" s="23">
        <v>137.542</v>
      </c>
    </row>
    <row r="4318" spans="1:11" x14ac:dyDescent="0.25">
      <c r="A4318">
        <v>4317</v>
      </c>
      <c r="B4318" s="23">
        <v>106.65040089999999</v>
      </c>
      <c r="C4318" s="23">
        <v>0</v>
      </c>
      <c r="D4318" s="23">
        <v>0</v>
      </c>
      <c r="E4318" s="23">
        <v>0</v>
      </c>
      <c r="F4318" s="23">
        <v>0</v>
      </c>
      <c r="G4318" s="23">
        <v>0</v>
      </c>
      <c r="H4318" s="23">
        <v>0</v>
      </c>
      <c r="I4318" s="23">
        <v>0</v>
      </c>
      <c r="J4318" s="23">
        <v>0</v>
      </c>
      <c r="K4318" s="23">
        <v>106.65</v>
      </c>
    </row>
    <row r="4319" spans="1:11" x14ac:dyDescent="0.25">
      <c r="A4319">
        <v>4318</v>
      </c>
      <c r="B4319" s="23">
        <v>100.7662409</v>
      </c>
      <c r="C4319" s="23">
        <v>0</v>
      </c>
      <c r="D4319" s="23">
        <v>0</v>
      </c>
      <c r="E4319" s="23">
        <v>0</v>
      </c>
      <c r="F4319" s="23">
        <v>0</v>
      </c>
      <c r="G4319" s="23">
        <v>0</v>
      </c>
      <c r="H4319" s="23">
        <v>0</v>
      </c>
      <c r="I4319" s="23">
        <v>0</v>
      </c>
      <c r="J4319" s="23">
        <v>0</v>
      </c>
      <c r="K4319" s="23">
        <v>100.76600000000001</v>
      </c>
    </row>
    <row r="4320" spans="1:11" x14ac:dyDescent="0.25">
      <c r="A4320">
        <v>4319</v>
      </c>
      <c r="B4320" s="23">
        <v>91.204480799999999</v>
      </c>
      <c r="C4320" s="23">
        <v>0</v>
      </c>
      <c r="D4320" s="23">
        <v>0</v>
      </c>
      <c r="E4320" s="23">
        <v>0</v>
      </c>
      <c r="F4320" s="23">
        <v>0</v>
      </c>
      <c r="G4320" s="23">
        <v>0</v>
      </c>
      <c r="H4320" s="23">
        <v>0</v>
      </c>
      <c r="I4320" s="23">
        <v>0</v>
      </c>
      <c r="J4320" s="23">
        <v>0</v>
      </c>
      <c r="K4320" s="23">
        <v>91.203999999999994</v>
      </c>
    </row>
    <row r="4321" spans="1:11" x14ac:dyDescent="0.25">
      <c r="A4321">
        <v>4320</v>
      </c>
      <c r="B4321" s="23">
        <v>100.03072090000001</v>
      </c>
      <c r="C4321" s="23">
        <v>0</v>
      </c>
      <c r="D4321" s="23">
        <v>0</v>
      </c>
      <c r="E4321" s="23">
        <v>0</v>
      </c>
      <c r="F4321" s="23">
        <v>0</v>
      </c>
      <c r="G4321" s="23">
        <v>0</v>
      </c>
      <c r="H4321" s="23">
        <v>0</v>
      </c>
      <c r="I4321" s="23">
        <v>0</v>
      </c>
      <c r="J4321" s="23">
        <v>0</v>
      </c>
      <c r="K4321" s="23">
        <v>100.03100000000001</v>
      </c>
    </row>
    <row r="4322" spans="1:11" x14ac:dyDescent="0.25">
      <c r="A4322">
        <v>4321</v>
      </c>
      <c r="B4322" s="23">
        <v>92.675520809999995</v>
      </c>
      <c r="C4322" s="23">
        <v>0</v>
      </c>
      <c r="D4322" s="23">
        <v>0</v>
      </c>
      <c r="E4322" s="23">
        <v>0</v>
      </c>
      <c r="F4322" s="23">
        <v>0</v>
      </c>
      <c r="G4322" s="23">
        <v>0</v>
      </c>
      <c r="H4322" s="23">
        <v>0</v>
      </c>
      <c r="I4322" s="23">
        <v>0</v>
      </c>
      <c r="J4322" s="23">
        <v>0</v>
      </c>
      <c r="K4322" s="23">
        <v>92.676000000000002</v>
      </c>
    </row>
    <row r="4323" spans="1:11" x14ac:dyDescent="0.25">
      <c r="A4323">
        <v>4322</v>
      </c>
      <c r="B4323" s="23">
        <v>100.7662409</v>
      </c>
      <c r="C4323" s="23">
        <v>0</v>
      </c>
      <c r="D4323" s="23">
        <v>0</v>
      </c>
      <c r="E4323" s="23">
        <v>0</v>
      </c>
      <c r="F4323" s="23">
        <v>0</v>
      </c>
      <c r="G4323" s="23">
        <v>0</v>
      </c>
      <c r="H4323" s="23">
        <v>0</v>
      </c>
      <c r="I4323" s="23">
        <v>0</v>
      </c>
      <c r="J4323" s="23">
        <v>0</v>
      </c>
      <c r="K4323" s="23">
        <v>100.76600000000001</v>
      </c>
    </row>
    <row r="4324" spans="1:11" x14ac:dyDescent="0.25">
      <c r="A4324">
        <v>4323</v>
      </c>
      <c r="B4324" s="23">
        <v>91.940000800000007</v>
      </c>
      <c r="C4324" s="23">
        <v>0</v>
      </c>
      <c r="D4324" s="23">
        <v>0</v>
      </c>
      <c r="E4324" s="23">
        <v>0</v>
      </c>
      <c r="F4324" s="23">
        <v>0</v>
      </c>
      <c r="G4324" s="23">
        <v>0</v>
      </c>
      <c r="H4324" s="23">
        <v>0</v>
      </c>
      <c r="I4324" s="23">
        <v>0</v>
      </c>
      <c r="J4324" s="23">
        <v>0</v>
      </c>
      <c r="K4324" s="23">
        <v>91.94</v>
      </c>
    </row>
    <row r="4325" spans="1:11" x14ac:dyDescent="0.25">
      <c r="A4325">
        <v>4324</v>
      </c>
      <c r="B4325" s="23">
        <v>95.617600830000001</v>
      </c>
      <c r="C4325" s="23">
        <v>0</v>
      </c>
      <c r="D4325" s="23">
        <v>0</v>
      </c>
      <c r="E4325" s="23">
        <v>0</v>
      </c>
      <c r="F4325" s="23">
        <v>0</v>
      </c>
      <c r="G4325" s="23">
        <v>0</v>
      </c>
      <c r="H4325" s="23">
        <v>0</v>
      </c>
      <c r="I4325" s="23">
        <v>0</v>
      </c>
      <c r="J4325" s="23">
        <v>0</v>
      </c>
      <c r="K4325" s="23">
        <v>95.617999999999995</v>
      </c>
    </row>
    <row r="4326" spans="1:11" x14ac:dyDescent="0.25">
      <c r="A4326">
        <v>4325</v>
      </c>
      <c r="B4326" s="23">
        <v>86.055840750000002</v>
      </c>
      <c r="C4326" s="23">
        <v>0</v>
      </c>
      <c r="D4326" s="23">
        <v>0</v>
      </c>
      <c r="E4326" s="23">
        <v>0</v>
      </c>
      <c r="F4326" s="23">
        <v>0</v>
      </c>
      <c r="G4326" s="23">
        <v>0</v>
      </c>
      <c r="H4326" s="23">
        <v>0</v>
      </c>
      <c r="I4326" s="23">
        <v>0</v>
      </c>
      <c r="J4326" s="23">
        <v>0</v>
      </c>
      <c r="K4326" s="23">
        <v>86.055999999999997</v>
      </c>
    </row>
    <row r="4327" spans="1:11" x14ac:dyDescent="0.25">
      <c r="A4327">
        <v>4326</v>
      </c>
      <c r="B4327" s="23">
        <v>93.411040810000003</v>
      </c>
      <c r="C4327" s="23">
        <v>0</v>
      </c>
      <c r="D4327" s="23">
        <v>0</v>
      </c>
      <c r="E4327" s="23">
        <v>0</v>
      </c>
      <c r="F4327" s="23">
        <v>0</v>
      </c>
      <c r="G4327" s="23">
        <v>0</v>
      </c>
      <c r="H4327" s="23">
        <v>0</v>
      </c>
      <c r="I4327" s="23">
        <v>0</v>
      </c>
      <c r="J4327" s="23">
        <v>0</v>
      </c>
      <c r="K4327" s="23">
        <v>93.411000000000001</v>
      </c>
    </row>
    <row r="4328" spans="1:11" x14ac:dyDescent="0.25">
      <c r="A4328">
        <v>4327</v>
      </c>
      <c r="B4328" s="23">
        <v>86.055840750000002</v>
      </c>
      <c r="C4328" s="23">
        <v>107.55</v>
      </c>
      <c r="D4328" s="23">
        <v>321.755</v>
      </c>
      <c r="E4328" s="23">
        <v>86.055999999999997</v>
      </c>
      <c r="F4328" s="23">
        <v>-235.69900000000001</v>
      </c>
      <c r="G4328" s="23">
        <v>0</v>
      </c>
      <c r="H4328" s="23">
        <v>0</v>
      </c>
      <c r="I4328" s="23">
        <v>0</v>
      </c>
      <c r="J4328" s="23">
        <v>0</v>
      </c>
      <c r="K4328" s="23">
        <v>0</v>
      </c>
    </row>
    <row r="4329" spans="1:11" x14ac:dyDescent="0.25">
      <c r="A4329">
        <v>4328</v>
      </c>
      <c r="B4329" s="23">
        <v>91.951033600000002</v>
      </c>
      <c r="C4329" s="23">
        <v>318.51</v>
      </c>
      <c r="D4329" s="23">
        <v>1229.8130000000001</v>
      </c>
      <c r="E4329" s="23">
        <v>91.951999999999998</v>
      </c>
      <c r="F4329" s="23">
        <v>-1137.8610000000001</v>
      </c>
      <c r="G4329" s="23">
        <v>0</v>
      </c>
      <c r="H4329" s="23">
        <v>0</v>
      </c>
      <c r="I4329" s="23">
        <v>0</v>
      </c>
      <c r="J4329" s="23">
        <v>0</v>
      </c>
      <c r="K4329" s="23">
        <v>0</v>
      </c>
    </row>
    <row r="4330" spans="1:11" x14ac:dyDescent="0.25">
      <c r="A4330">
        <v>4329</v>
      </c>
      <c r="B4330" s="23">
        <v>200.95693739999999</v>
      </c>
      <c r="C4330" s="23">
        <v>534.62</v>
      </c>
      <c r="D4330" s="23">
        <v>2126.4850000000001</v>
      </c>
      <c r="E4330" s="23">
        <v>200.95699999999999</v>
      </c>
      <c r="F4330" s="23">
        <v>-221.86699999999999</v>
      </c>
      <c r="G4330" s="23">
        <v>0</v>
      </c>
      <c r="H4330" s="23">
        <v>1703.6610000000001</v>
      </c>
      <c r="I4330" s="23">
        <v>0</v>
      </c>
      <c r="J4330" s="23">
        <v>0</v>
      </c>
      <c r="K4330" s="23">
        <v>0</v>
      </c>
    </row>
    <row r="4331" spans="1:11" x14ac:dyDescent="0.25">
      <c r="A4331">
        <v>4330</v>
      </c>
      <c r="B4331" s="23">
        <v>878.54462990000002</v>
      </c>
      <c r="C4331" s="23">
        <v>716.82</v>
      </c>
      <c r="D4331" s="23">
        <v>2780.31</v>
      </c>
      <c r="E4331" s="23">
        <v>878.54399999999998</v>
      </c>
      <c r="F4331" s="23">
        <v>0</v>
      </c>
      <c r="G4331" s="23">
        <v>0</v>
      </c>
      <c r="H4331" s="23">
        <v>1901.7660000000001</v>
      </c>
      <c r="I4331" s="23">
        <v>0</v>
      </c>
      <c r="J4331" s="23">
        <v>0</v>
      </c>
      <c r="K4331" s="23">
        <v>0</v>
      </c>
    </row>
    <row r="4332" spans="1:11" x14ac:dyDescent="0.25">
      <c r="A4332">
        <v>4331</v>
      </c>
      <c r="B4332" s="23">
        <v>1068.5027849999999</v>
      </c>
      <c r="C4332" s="23">
        <v>847.59</v>
      </c>
      <c r="D4332" s="23">
        <v>3220.3809999999999</v>
      </c>
      <c r="E4332" s="23">
        <v>1068.502</v>
      </c>
      <c r="F4332" s="23">
        <v>0</v>
      </c>
      <c r="G4332" s="23">
        <v>0</v>
      </c>
      <c r="H4332" s="23">
        <v>2151.8789999999999</v>
      </c>
      <c r="I4332" s="23">
        <v>0</v>
      </c>
      <c r="J4332" s="23">
        <v>0</v>
      </c>
      <c r="K4332" s="23">
        <v>0</v>
      </c>
    </row>
    <row r="4333" spans="1:11" x14ac:dyDescent="0.25">
      <c r="A4333">
        <v>4332</v>
      </c>
      <c r="B4333" s="23">
        <v>1462.838045</v>
      </c>
      <c r="C4333" s="23">
        <v>911.81</v>
      </c>
      <c r="D4333" s="23">
        <v>3429.502</v>
      </c>
      <c r="E4333" s="23">
        <v>1462.838</v>
      </c>
      <c r="F4333" s="23">
        <v>0</v>
      </c>
      <c r="G4333" s="23">
        <v>0</v>
      </c>
      <c r="H4333" s="23">
        <v>1966.664</v>
      </c>
      <c r="I4333" s="23">
        <v>0</v>
      </c>
      <c r="J4333" s="23">
        <v>0</v>
      </c>
      <c r="K4333" s="23">
        <v>0</v>
      </c>
    </row>
    <row r="4334" spans="1:11" x14ac:dyDescent="0.25">
      <c r="A4334">
        <v>4333</v>
      </c>
      <c r="B4334" s="23">
        <v>1268.6028409999999</v>
      </c>
      <c r="C4334" s="23">
        <v>906.34</v>
      </c>
      <c r="D4334" s="23">
        <v>3416.9279999999999</v>
      </c>
      <c r="E4334" s="23">
        <v>1268.6030000000001</v>
      </c>
      <c r="F4334" s="23">
        <v>0</v>
      </c>
      <c r="G4334" s="23">
        <v>0</v>
      </c>
      <c r="H4334" s="23">
        <v>2148.3249999999998</v>
      </c>
      <c r="I4334" s="23">
        <v>0</v>
      </c>
      <c r="J4334" s="23">
        <v>0</v>
      </c>
      <c r="K4334" s="23">
        <v>0</v>
      </c>
    </row>
    <row r="4335" spans="1:11" x14ac:dyDescent="0.25">
      <c r="A4335">
        <v>4334</v>
      </c>
      <c r="B4335" s="23">
        <v>1480.9778080000001</v>
      </c>
      <c r="C4335" s="23">
        <v>824.44</v>
      </c>
      <c r="D4335" s="23">
        <v>3137.2539999999999</v>
      </c>
      <c r="E4335" s="23">
        <v>1480.9780000000001</v>
      </c>
      <c r="F4335" s="23">
        <v>0</v>
      </c>
      <c r="G4335" s="23">
        <v>0</v>
      </c>
      <c r="H4335" s="23">
        <v>1656.2760000000001</v>
      </c>
      <c r="I4335" s="23">
        <v>0</v>
      </c>
      <c r="J4335" s="23">
        <v>0</v>
      </c>
      <c r="K4335" s="23">
        <v>0</v>
      </c>
    </row>
    <row r="4336" spans="1:11" x14ac:dyDescent="0.25">
      <c r="A4336">
        <v>4335</v>
      </c>
      <c r="B4336" s="23">
        <v>1662.3230229999999</v>
      </c>
      <c r="C4336" s="23">
        <v>540.9</v>
      </c>
      <c r="D4336" s="23">
        <v>2071.1550000000002</v>
      </c>
      <c r="E4336" s="23">
        <v>1662.3230000000001</v>
      </c>
      <c r="F4336" s="23">
        <v>0</v>
      </c>
      <c r="G4336" s="23">
        <v>0</v>
      </c>
      <c r="H4336" s="23">
        <v>408.83199999999999</v>
      </c>
      <c r="I4336" s="23">
        <v>0</v>
      </c>
      <c r="J4336" s="23">
        <v>0</v>
      </c>
      <c r="K4336" s="23">
        <v>0</v>
      </c>
    </row>
    <row r="4337" spans="1:11" x14ac:dyDescent="0.25">
      <c r="A4337">
        <v>4336</v>
      </c>
      <c r="B4337" s="23">
        <v>1889.880042</v>
      </c>
      <c r="C4337" s="23">
        <v>423.43</v>
      </c>
      <c r="D4337" s="23">
        <v>1647.846</v>
      </c>
      <c r="E4337" s="23">
        <v>1647.846</v>
      </c>
      <c r="F4337" s="23">
        <v>0</v>
      </c>
      <c r="G4337" s="23">
        <v>0</v>
      </c>
      <c r="H4337" s="23">
        <v>0</v>
      </c>
      <c r="I4337" s="23">
        <v>242.03399999999999</v>
      </c>
      <c r="J4337" s="23">
        <v>0</v>
      </c>
      <c r="K4337" s="23">
        <v>0</v>
      </c>
    </row>
    <row r="4338" spans="1:11" x14ac:dyDescent="0.25">
      <c r="A4338">
        <v>4337</v>
      </c>
      <c r="B4338" s="23">
        <v>1479.27324</v>
      </c>
      <c r="C4338" s="23">
        <v>15.67</v>
      </c>
      <c r="D4338" s="23">
        <v>36.061999999999998</v>
      </c>
      <c r="E4338" s="23">
        <v>36.061999999999998</v>
      </c>
      <c r="F4338" s="23">
        <v>0</v>
      </c>
      <c r="G4338" s="23">
        <v>0</v>
      </c>
      <c r="H4338" s="23">
        <v>0</v>
      </c>
      <c r="I4338" s="23">
        <v>1443.211</v>
      </c>
      <c r="J4338" s="23">
        <v>0</v>
      </c>
      <c r="K4338" s="23">
        <v>0</v>
      </c>
    </row>
    <row r="4339" spans="1:11" x14ac:dyDescent="0.25">
      <c r="A4339">
        <v>4338</v>
      </c>
      <c r="B4339" s="23">
        <v>1404.229053</v>
      </c>
      <c r="C4339" s="23">
        <v>30.37</v>
      </c>
      <c r="D4339" s="23">
        <v>91.960999999999999</v>
      </c>
      <c r="E4339" s="23">
        <v>91.960999999999999</v>
      </c>
      <c r="F4339" s="23">
        <v>0</v>
      </c>
      <c r="G4339" s="23">
        <v>0</v>
      </c>
      <c r="H4339" s="23">
        <v>0</v>
      </c>
      <c r="I4339" s="23">
        <v>0</v>
      </c>
      <c r="J4339" s="23">
        <v>0</v>
      </c>
      <c r="K4339" s="23">
        <v>1312.268</v>
      </c>
    </row>
    <row r="4340" spans="1:11" x14ac:dyDescent="0.25">
      <c r="A4340">
        <v>4339</v>
      </c>
      <c r="B4340" s="23">
        <v>1635.7964939999999</v>
      </c>
      <c r="C4340" s="23">
        <v>0</v>
      </c>
      <c r="D4340" s="23">
        <v>0</v>
      </c>
      <c r="E4340" s="23">
        <v>0</v>
      </c>
      <c r="F4340" s="23">
        <v>0</v>
      </c>
      <c r="G4340" s="23">
        <v>0</v>
      </c>
      <c r="H4340" s="23">
        <v>0</v>
      </c>
      <c r="I4340" s="23">
        <v>0</v>
      </c>
      <c r="J4340" s="23">
        <v>0</v>
      </c>
      <c r="K4340" s="23">
        <v>1635.796</v>
      </c>
    </row>
    <row r="4341" spans="1:11" x14ac:dyDescent="0.25">
      <c r="A4341">
        <v>4340</v>
      </c>
      <c r="B4341" s="23">
        <v>1688.753935</v>
      </c>
      <c r="C4341" s="23">
        <v>0</v>
      </c>
      <c r="D4341" s="23">
        <v>0</v>
      </c>
      <c r="E4341" s="23">
        <v>0</v>
      </c>
      <c r="F4341" s="23">
        <v>0</v>
      </c>
      <c r="G4341" s="23">
        <v>0</v>
      </c>
      <c r="H4341" s="23">
        <v>0</v>
      </c>
      <c r="I4341" s="23">
        <v>4.194</v>
      </c>
      <c r="J4341" s="23">
        <v>0</v>
      </c>
      <c r="K4341" s="23">
        <v>1684.559</v>
      </c>
    </row>
    <row r="4342" spans="1:11" x14ac:dyDescent="0.25">
      <c r="A4342">
        <v>4341</v>
      </c>
      <c r="B4342" s="23">
        <v>1451.9164929999999</v>
      </c>
      <c r="C4342" s="23">
        <v>0</v>
      </c>
      <c r="D4342" s="23">
        <v>0</v>
      </c>
      <c r="E4342" s="23">
        <v>0</v>
      </c>
      <c r="F4342" s="23">
        <v>0</v>
      </c>
      <c r="G4342" s="23">
        <v>0</v>
      </c>
      <c r="H4342" s="23">
        <v>0</v>
      </c>
      <c r="I4342" s="23">
        <v>1451.9159999999999</v>
      </c>
      <c r="J4342" s="23">
        <v>0</v>
      </c>
      <c r="K4342" s="23">
        <v>0</v>
      </c>
    </row>
    <row r="4343" spans="1:11" x14ac:dyDescent="0.25">
      <c r="A4343">
        <v>4342</v>
      </c>
      <c r="B4343" s="23">
        <v>1428.379852</v>
      </c>
      <c r="C4343" s="23">
        <v>0</v>
      </c>
      <c r="D4343" s="23">
        <v>0</v>
      </c>
      <c r="E4343" s="23">
        <v>0</v>
      </c>
      <c r="F4343" s="23">
        <v>0</v>
      </c>
      <c r="G4343" s="23">
        <v>0</v>
      </c>
      <c r="H4343" s="23">
        <v>0</v>
      </c>
      <c r="I4343" s="23">
        <v>1428.38</v>
      </c>
      <c r="J4343" s="23">
        <v>0</v>
      </c>
      <c r="K4343" s="23">
        <v>0</v>
      </c>
    </row>
    <row r="4344" spans="1:11" x14ac:dyDescent="0.25">
      <c r="A4344">
        <v>4343</v>
      </c>
      <c r="B4344" s="23">
        <v>1283.482411</v>
      </c>
      <c r="C4344" s="23">
        <v>0</v>
      </c>
      <c r="D4344" s="23">
        <v>0</v>
      </c>
      <c r="E4344" s="23">
        <v>0</v>
      </c>
      <c r="F4344" s="23">
        <v>0</v>
      </c>
      <c r="G4344" s="23">
        <v>0</v>
      </c>
      <c r="H4344" s="23">
        <v>0</v>
      </c>
      <c r="I4344" s="23">
        <v>1283.482</v>
      </c>
      <c r="J4344" s="23">
        <v>0</v>
      </c>
      <c r="K4344" s="23">
        <v>0</v>
      </c>
    </row>
    <row r="4345" spans="1:11" x14ac:dyDescent="0.25">
      <c r="A4345">
        <v>4344</v>
      </c>
      <c r="B4345" s="23">
        <v>1275.391691</v>
      </c>
      <c r="C4345" s="23">
        <v>0</v>
      </c>
      <c r="D4345" s="23">
        <v>0</v>
      </c>
      <c r="E4345" s="23">
        <v>0</v>
      </c>
      <c r="F4345" s="23">
        <v>0</v>
      </c>
      <c r="G4345" s="23">
        <v>0</v>
      </c>
      <c r="H4345" s="23">
        <v>0</v>
      </c>
      <c r="I4345" s="23">
        <v>1275.3920000000001</v>
      </c>
      <c r="J4345" s="23">
        <v>0</v>
      </c>
      <c r="K4345" s="23">
        <v>0</v>
      </c>
    </row>
    <row r="4346" spans="1:11" x14ac:dyDescent="0.25">
      <c r="A4346">
        <v>4345</v>
      </c>
      <c r="B4346" s="23">
        <v>1141.0098129999999</v>
      </c>
      <c r="C4346" s="23">
        <v>0</v>
      </c>
      <c r="D4346" s="23">
        <v>0</v>
      </c>
      <c r="E4346" s="23">
        <v>0</v>
      </c>
      <c r="F4346" s="23">
        <v>0</v>
      </c>
      <c r="G4346" s="23">
        <v>0</v>
      </c>
      <c r="H4346" s="23">
        <v>0</v>
      </c>
      <c r="I4346" s="23">
        <v>1141.01</v>
      </c>
      <c r="J4346" s="23">
        <v>0</v>
      </c>
      <c r="K4346" s="23">
        <v>0</v>
      </c>
    </row>
    <row r="4347" spans="1:11" x14ac:dyDescent="0.25">
      <c r="A4347">
        <v>4346</v>
      </c>
      <c r="B4347" s="23">
        <v>1317.824893</v>
      </c>
      <c r="C4347" s="23">
        <v>0</v>
      </c>
      <c r="D4347" s="23">
        <v>0</v>
      </c>
      <c r="E4347" s="23">
        <v>0</v>
      </c>
      <c r="F4347" s="23">
        <v>0</v>
      </c>
      <c r="G4347" s="23">
        <v>0</v>
      </c>
      <c r="H4347" s="23">
        <v>0</v>
      </c>
      <c r="I4347" s="23">
        <v>1317.825</v>
      </c>
      <c r="J4347" s="23">
        <v>0</v>
      </c>
      <c r="K4347" s="23">
        <v>0</v>
      </c>
    </row>
    <row r="4348" spans="1:11" x14ac:dyDescent="0.25">
      <c r="A4348">
        <v>4347</v>
      </c>
      <c r="B4348" s="23">
        <v>1357.1938749999999</v>
      </c>
      <c r="C4348" s="23">
        <v>0</v>
      </c>
      <c r="D4348" s="23">
        <v>0</v>
      </c>
      <c r="E4348" s="23">
        <v>0</v>
      </c>
      <c r="F4348" s="23">
        <v>0</v>
      </c>
      <c r="G4348" s="23">
        <v>0</v>
      </c>
      <c r="H4348" s="23">
        <v>0</v>
      </c>
      <c r="I4348" s="23">
        <v>1357.194</v>
      </c>
      <c r="J4348" s="23">
        <v>0</v>
      </c>
      <c r="K4348" s="23">
        <v>0</v>
      </c>
    </row>
    <row r="4349" spans="1:11" x14ac:dyDescent="0.25">
      <c r="A4349">
        <v>4348</v>
      </c>
      <c r="B4349" s="23">
        <v>1237.705559</v>
      </c>
      <c r="C4349" s="23">
        <v>0</v>
      </c>
      <c r="D4349" s="23">
        <v>0</v>
      </c>
      <c r="E4349" s="23">
        <v>0</v>
      </c>
      <c r="F4349" s="23">
        <v>0</v>
      </c>
      <c r="G4349" s="23">
        <v>0</v>
      </c>
      <c r="H4349" s="23">
        <v>0</v>
      </c>
      <c r="I4349" s="23">
        <v>1237.7059999999999</v>
      </c>
      <c r="J4349" s="23">
        <v>0</v>
      </c>
      <c r="K4349" s="23">
        <v>0</v>
      </c>
    </row>
    <row r="4350" spans="1:11" x14ac:dyDescent="0.25">
      <c r="A4350">
        <v>4349</v>
      </c>
      <c r="B4350" s="23">
        <v>1136.175025</v>
      </c>
      <c r="C4350" s="23">
        <v>0</v>
      </c>
      <c r="D4350" s="23">
        <v>0</v>
      </c>
      <c r="E4350" s="23">
        <v>0</v>
      </c>
      <c r="F4350" s="23">
        <v>0</v>
      </c>
      <c r="G4350" s="23">
        <v>0</v>
      </c>
      <c r="H4350" s="23">
        <v>0</v>
      </c>
      <c r="I4350" s="23">
        <v>1136.175</v>
      </c>
      <c r="J4350" s="23">
        <v>0</v>
      </c>
      <c r="K4350" s="23">
        <v>0</v>
      </c>
    </row>
    <row r="4351" spans="1:11" x14ac:dyDescent="0.25">
      <c r="A4351">
        <v>4350</v>
      </c>
      <c r="B4351" s="23">
        <v>1195.5738409999999</v>
      </c>
      <c r="C4351" s="23">
        <v>0</v>
      </c>
      <c r="D4351" s="23">
        <v>0</v>
      </c>
      <c r="E4351" s="23">
        <v>0</v>
      </c>
      <c r="F4351" s="23">
        <v>0</v>
      </c>
      <c r="G4351" s="23">
        <v>0</v>
      </c>
      <c r="H4351" s="23">
        <v>0</v>
      </c>
      <c r="I4351" s="23">
        <v>508.48599999999999</v>
      </c>
      <c r="J4351" s="23">
        <v>0</v>
      </c>
      <c r="K4351" s="23">
        <v>687.08799999999997</v>
      </c>
    </row>
    <row r="4352" spans="1:11" x14ac:dyDescent="0.25">
      <c r="A4352">
        <v>4351</v>
      </c>
      <c r="B4352" s="23">
        <v>1022.902865</v>
      </c>
      <c r="C4352" s="23">
        <v>84.42</v>
      </c>
      <c r="D4352" s="23">
        <v>300.83800000000002</v>
      </c>
      <c r="E4352" s="23">
        <v>300.83800000000002</v>
      </c>
      <c r="F4352" s="23">
        <v>0</v>
      </c>
      <c r="G4352" s="23">
        <v>0</v>
      </c>
      <c r="H4352" s="23">
        <v>0</v>
      </c>
      <c r="I4352" s="23">
        <v>0</v>
      </c>
      <c r="J4352" s="23">
        <v>0</v>
      </c>
      <c r="K4352" s="23">
        <v>722.06399999999996</v>
      </c>
    </row>
    <row r="4353" spans="1:11" x14ac:dyDescent="0.25">
      <c r="A4353">
        <v>4352</v>
      </c>
      <c r="B4353" s="23">
        <v>1129.8233230000001</v>
      </c>
      <c r="C4353" s="23">
        <v>224.13</v>
      </c>
      <c r="D4353" s="23">
        <v>882.75099999999998</v>
      </c>
      <c r="E4353" s="23">
        <v>882.75099999999998</v>
      </c>
      <c r="F4353" s="23">
        <v>0</v>
      </c>
      <c r="G4353" s="23">
        <v>0</v>
      </c>
      <c r="H4353" s="23">
        <v>0</v>
      </c>
      <c r="I4353" s="23">
        <v>0</v>
      </c>
      <c r="J4353" s="23">
        <v>0</v>
      </c>
      <c r="K4353" s="23">
        <v>247.072</v>
      </c>
    </row>
    <row r="4354" spans="1:11" x14ac:dyDescent="0.25">
      <c r="A4354">
        <v>4353</v>
      </c>
      <c r="B4354" s="23">
        <v>1224.916684</v>
      </c>
      <c r="C4354" s="23">
        <v>375.28</v>
      </c>
      <c r="D4354" s="23">
        <v>1476.684</v>
      </c>
      <c r="E4354" s="23">
        <v>1224.9169999999999</v>
      </c>
      <c r="F4354" s="23">
        <v>-251.767</v>
      </c>
      <c r="G4354" s="23">
        <v>0</v>
      </c>
      <c r="H4354" s="23">
        <v>0</v>
      </c>
      <c r="I4354" s="23">
        <v>0</v>
      </c>
      <c r="J4354" s="23">
        <v>0</v>
      </c>
      <c r="K4354" s="23">
        <v>0</v>
      </c>
    </row>
    <row r="4355" spans="1:11" x14ac:dyDescent="0.25">
      <c r="A4355">
        <v>4354</v>
      </c>
      <c r="B4355" s="23">
        <v>1366.0648470000001</v>
      </c>
      <c r="C4355" s="23">
        <v>547.51</v>
      </c>
      <c r="D4355" s="23">
        <v>2122.11</v>
      </c>
      <c r="E4355" s="23">
        <v>1366.0650000000001</v>
      </c>
      <c r="F4355" s="23">
        <v>-756.04499999999996</v>
      </c>
      <c r="G4355" s="23">
        <v>0</v>
      </c>
      <c r="H4355" s="23">
        <v>0</v>
      </c>
      <c r="I4355" s="23">
        <v>0</v>
      </c>
      <c r="J4355" s="23">
        <v>0</v>
      </c>
      <c r="K4355" s="23">
        <v>0</v>
      </c>
    </row>
    <row r="4356" spans="1:11" x14ac:dyDescent="0.25">
      <c r="A4356">
        <v>4355</v>
      </c>
      <c r="B4356" s="23">
        <v>1337.9229310000001</v>
      </c>
      <c r="C4356" s="23">
        <v>848.09</v>
      </c>
      <c r="D4356" s="23">
        <v>3269.5650000000001</v>
      </c>
      <c r="E4356" s="23">
        <v>1337.924</v>
      </c>
      <c r="F4356" s="23">
        <v>-1684.559</v>
      </c>
      <c r="G4356" s="23">
        <v>0</v>
      </c>
      <c r="H4356" s="23">
        <v>247.08199999999999</v>
      </c>
      <c r="I4356" s="23">
        <v>0</v>
      </c>
      <c r="J4356" s="23">
        <v>0</v>
      </c>
      <c r="K4356" s="23">
        <v>0</v>
      </c>
    </row>
    <row r="4357" spans="1:11" x14ac:dyDescent="0.25">
      <c r="A4357">
        <v>4356</v>
      </c>
      <c r="B4357" s="23">
        <v>1315.4264929999999</v>
      </c>
      <c r="C4357" s="23">
        <v>911.03</v>
      </c>
      <c r="D4357" s="23">
        <v>3477.3989999999999</v>
      </c>
      <c r="E4357" s="23">
        <v>1315.4269999999999</v>
      </c>
      <c r="F4357" s="23">
        <v>-1684.559</v>
      </c>
      <c r="G4357" s="23">
        <v>0</v>
      </c>
      <c r="H4357" s="23">
        <v>477.41300000000001</v>
      </c>
      <c r="I4357" s="23">
        <v>0</v>
      </c>
      <c r="J4357" s="23">
        <v>0</v>
      </c>
      <c r="K4357" s="23">
        <v>0</v>
      </c>
    </row>
    <row r="4358" spans="1:11" x14ac:dyDescent="0.25">
      <c r="A4358">
        <v>4357</v>
      </c>
      <c r="B4358" s="23">
        <v>1307.276423</v>
      </c>
      <c r="C4358" s="23">
        <v>734.96</v>
      </c>
      <c r="D4358" s="23">
        <v>2783.2289999999998</v>
      </c>
      <c r="E4358" s="23">
        <v>1307.277</v>
      </c>
      <c r="F4358" s="23">
        <v>-1475.952</v>
      </c>
      <c r="G4358" s="23">
        <v>0</v>
      </c>
      <c r="H4358" s="23">
        <v>0</v>
      </c>
      <c r="I4358" s="23">
        <v>0</v>
      </c>
      <c r="J4358" s="23">
        <v>0</v>
      </c>
      <c r="K4358" s="23">
        <v>0</v>
      </c>
    </row>
    <row r="4359" spans="1:11" x14ac:dyDescent="0.25">
      <c r="A4359">
        <v>4358</v>
      </c>
      <c r="B4359" s="23">
        <v>1149.2539879999999</v>
      </c>
      <c r="C4359" s="23">
        <v>577.88</v>
      </c>
      <c r="D4359" s="23">
        <v>2209.5450000000001</v>
      </c>
      <c r="E4359" s="23">
        <v>1149.2539999999999</v>
      </c>
      <c r="F4359" s="23">
        <v>-1060.2909999999999</v>
      </c>
      <c r="G4359" s="23">
        <v>0</v>
      </c>
      <c r="H4359" s="23">
        <v>0</v>
      </c>
      <c r="I4359" s="23">
        <v>0</v>
      </c>
      <c r="J4359" s="23">
        <v>0</v>
      </c>
      <c r="K4359" s="23">
        <v>0</v>
      </c>
    </row>
    <row r="4360" spans="1:11" x14ac:dyDescent="0.25">
      <c r="A4360">
        <v>4359</v>
      </c>
      <c r="B4360" s="23">
        <v>1075.512258</v>
      </c>
      <c r="C4360" s="23">
        <v>268.57</v>
      </c>
      <c r="D4360" s="23">
        <v>1033.2550000000001</v>
      </c>
      <c r="E4360" s="23">
        <v>1033.2550000000001</v>
      </c>
      <c r="F4360" s="23">
        <v>0</v>
      </c>
      <c r="G4360" s="23">
        <v>0</v>
      </c>
      <c r="H4360" s="23">
        <v>0</v>
      </c>
      <c r="I4360" s="23">
        <v>0</v>
      </c>
      <c r="J4360" s="23">
        <v>0</v>
      </c>
      <c r="K4360" s="23">
        <v>42.256999999999998</v>
      </c>
    </row>
    <row r="4361" spans="1:11" x14ac:dyDescent="0.25">
      <c r="A4361">
        <v>4360</v>
      </c>
      <c r="B4361" s="23">
        <v>1067.8206290000001</v>
      </c>
      <c r="C4361" s="23">
        <v>307.5</v>
      </c>
      <c r="D4361" s="23">
        <v>1200.481</v>
      </c>
      <c r="E4361" s="23">
        <v>1067.82</v>
      </c>
      <c r="F4361" s="23">
        <v>-132.661</v>
      </c>
      <c r="G4361" s="23">
        <v>0</v>
      </c>
      <c r="H4361" s="23">
        <v>0</v>
      </c>
      <c r="I4361" s="23">
        <v>0</v>
      </c>
      <c r="J4361" s="23">
        <v>0</v>
      </c>
      <c r="K4361" s="23">
        <v>0</v>
      </c>
    </row>
    <row r="4362" spans="1:11" x14ac:dyDescent="0.25">
      <c r="A4362">
        <v>4361</v>
      </c>
      <c r="B4362" s="23">
        <v>1122.644528</v>
      </c>
      <c r="C4362" s="23">
        <v>15.67</v>
      </c>
      <c r="D4362" s="23">
        <v>36.749000000000002</v>
      </c>
      <c r="E4362" s="23">
        <v>36.749000000000002</v>
      </c>
      <c r="F4362" s="23">
        <v>0</v>
      </c>
      <c r="G4362" s="23">
        <v>0</v>
      </c>
      <c r="H4362" s="23">
        <v>0</v>
      </c>
      <c r="I4362" s="23">
        <v>1085.895</v>
      </c>
      <c r="J4362" s="23">
        <v>0</v>
      </c>
      <c r="K4362" s="23">
        <v>0</v>
      </c>
    </row>
    <row r="4363" spans="1:11" x14ac:dyDescent="0.25">
      <c r="A4363">
        <v>4362</v>
      </c>
      <c r="B4363" s="23">
        <v>1180.3882920000001</v>
      </c>
      <c r="C4363" s="23">
        <v>45.86</v>
      </c>
      <c r="D4363" s="23">
        <v>154.084</v>
      </c>
      <c r="E4363" s="23">
        <v>154.084</v>
      </c>
      <c r="F4363" s="23">
        <v>0</v>
      </c>
      <c r="G4363" s="23">
        <v>0</v>
      </c>
      <c r="H4363" s="23">
        <v>0</v>
      </c>
      <c r="I4363" s="23">
        <v>0</v>
      </c>
      <c r="J4363" s="23">
        <v>0</v>
      </c>
      <c r="K4363" s="23">
        <v>1026.3040000000001</v>
      </c>
    </row>
    <row r="4364" spans="1:11" x14ac:dyDescent="0.25">
      <c r="A4364">
        <v>4363</v>
      </c>
      <c r="B4364" s="23">
        <v>1047.7674850000001</v>
      </c>
      <c r="C4364" s="23">
        <v>0</v>
      </c>
      <c r="D4364" s="23">
        <v>0</v>
      </c>
      <c r="E4364" s="23">
        <v>0</v>
      </c>
      <c r="F4364" s="23">
        <v>0</v>
      </c>
      <c r="G4364" s="23">
        <v>0</v>
      </c>
      <c r="H4364" s="23">
        <v>0</v>
      </c>
      <c r="I4364" s="23">
        <v>0</v>
      </c>
      <c r="J4364" s="23">
        <v>0</v>
      </c>
      <c r="K4364" s="23">
        <v>1047.7670000000001</v>
      </c>
    </row>
    <row r="4365" spans="1:11" x14ac:dyDescent="0.25">
      <c r="A4365">
        <v>4364</v>
      </c>
      <c r="B4365" s="23">
        <v>988.36866940000004</v>
      </c>
      <c r="C4365" s="23">
        <v>0</v>
      </c>
      <c r="D4365" s="23">
        <v>0</v>
      </c>
      <c r="E4365" s="23">
        <v>0</v>
      </c>
      <c r="F4365" s="23">
        <v>0</v>
      </c>
      <c r="G4365" s="23">
        <v>0</v>
      </c>
      <c r="H4365" s="23">
        <v>0</v>
      </c>
      <c r="I4365" s="23">
        <v>0</v>
      </c>
      <c r="J4365" s="23">
        <v>0</v>
      </c>
      <c r="K4365" s="23">
        <v>988.36900000000003</v>
      </c>
    </row>
    <row r="4366" spans="1:11" x14ac:dyDescent="0.25">
      <c r="A4366">
        <v>4365</v>
      </c>
      <c r="B4366" s="23">
        <v>1236.324192</v>
      </c>
      <c r="C4366" s="23">
        <v>0</v>
      </c>
      <c r="D4366" s="23">
        <v>0</v>
      </c>
      <c r="E4366" s="23">
        <v>0</v>
      </c>
      <c r="F4366" s="23">
        <v>0</v>
      </c>
      <c r="G4366" s="23">
        <v>0</v>
      </c>
      <c r="H4366" s="23">
        <v>0</v>
      </c>
      <c r="I4366" s="23">
        <v>1236.3240000000001</v>
      </c>
      <c r="J4366" s="23">
        <v>0</v>
      </c>
      <c r="K4366" s="23">
        <v>0</v>
      </c>
    </row>
    <row r="4367" spans="1:11" x14ac:dyDescent="0.25">
      <c r="A4367">
        <v>4366</v>
      </c>
      <c r="B4367" s="23">
        <v>1285.3627489999999</v>
      </c>
      <c r="C4367" s="23">
        <v>0</v>
      </c>
      <c r="D4367" s="23">
        <v>0</v>
      </c>
      <c r="E4367" s="23">
        <v>0</v>
      </c>
      <c r="F4367" s="23">
        <v>0</v>
      </c>
      <c r="G4367" s="23">
        <v>0</v>
      </c>
      <c r="H4367" s="23">
        <v>0</v>
      </c>
      <c r="I4367" s="23">
        <v>1184.9110000000001</v>
      </c>
      <c r="J4367" s="23">
        <v>0</v>
      </c>
      <c r="K4367" s="23">
        <v>100.452</v>
      </c>
    </row>
    <row r="4368" spans="1:11" x14ac:dyDescent="0.25">
      <c r="A4368">
        <v>4367</v>
      </c>
      <c r="B4368" s="23">
        <v>1237.014876</v>
      </c>
      <c r="C4368" s="23">
        <v>0</v>
      </c>
      <c r="D4368" s="23">
        <v>0</v>
      </c>
      <c r="E4368" s="23">
        <v>0</v>
      </c>
      <c r="F4368" s="23">
        <v>0</v>
      </c>
      <c r="G4368" s="23">
        <v>0</v>
      </c>
      <c r="H4368" s="23">
        <v>0</v>
      </c>
      <c r="I4368" s="23">
        <v>1237.0150000000001</v>
      </c>
      <c r="J4368" s="23">
        <v>0</v>
      </c>
      <c r="K4368" s="23">
        <v>0</v>
      </c>
    </row>
    <row r="4369" spans="1:11" x14ac:dyDescent="0.25">
      <c r="A4369">
        <v>4368</v>
      </c>
      <c r="B4369" s="23">
        <v>955.90652580000005</v>
      </c>
      <c r="C4369" s="23">
        <v>0</v>
      </c>
      <c r="D4369" s="23">
        <v>0</v>
      </c>
      <c r="E4369" s="23">
        <v>0</v>
      </c>
      <c r="F4369" s="23">
        <v>0</v>
      </c>
      <c r="G4369" s="23">
        <v>0</v>
      </c>
      <c r="H4369" s="23">
        <v>0</v>
      </c>
      <c r="I4369" s="23">
        <v>955.90700000000004</v>
      </c>
      <c r="J4369" s="23">
        <v>0</v>
      </c>
      <c r="K4369" s="23">
        <v>0</v>
      </c>
    </row>
    <row r="4370" spans="1:11" x14ac:dyDescent="0.25">
      <c r="A4370">
        <v>4369</v>
      </c>
      <c r="B4370" s="23">
        <v>1144.4632320000001</v>
      </c>
      <c r="C4370" s="23">
        <v>0</v>
      </c>
      <c r="D4370" s="23">
        <v>0</v>
      </c>
      <c r="E4370" s="23">
        <v>0</v>
      </c>
      <c r="F4370" s="23">
        <v>0</v>
      </c>
      <c r="G4370" s="23">
        <v>0</v>
      </c>
      <c r="H4370" s="23">
        <v>0</v>
      </c>
      <c r="I4370" s="23">
        <v>1144.463</v>
      </c>
      <c r="J4370" s="23">
        <v>0</v>
      </c>
      <c r="K4370" s="23">
        <v>0</v>
      </c>
    </row>
    <row r="4371" spans="1:11" x14ac:dyDescent="0.25">
      <c r="A4371">
        <v>4370</v>
      </c>
      <c r="B4371" s="23">
        <v>1100.259462</v>
      </c>
      <c r="C4371" s="23">
        <v>0</v>
      </c>
      <c r="D4371" s="23">
        <v>0</v>
      </c>
      <c r="E4371" s="23">
        <v>0</v>
      </c>
      <c r="F4371" s="23">
        <v>0</v>
      </c>
      <c r="G4371" s="23">
        <v>0</v>
      </c>
      <c r="H4371" s="23">
        <v>0</v>
      </c>
      <c r="I4371" s="23">
        <v>1100.259</v>
      </c>
      <c r="J4371" s="23">
        <v>0</v>
      </c>
      <c r="K4371" s="23">
        <v>0</v>
      </c>
    </row>
    <row r="4372" spans="1:11" x14ac:dyDescent="0.25">
      <c r="A4372">
        <v>4371</v>
      </c>
      <c r="B4372" s="23">
        <v>1259.807444</v>
      </c>
      <c r="C4372" s="23">
        <v>0</v>
      </c>
      <c r="D4372" s="23">
        <v>0</v>
      </c>
      <c r="E4372" s="23">
        <v>0</v>
      </c>
      <c r="F4372" s="23">
        <v>0</v>
      </c>
      <c r="G4372" s="23">
        <v>0</v>
      </c>
      <c r="H4372" s="23">
        <v>0</v>
      </c>
      <c r="I4372" s="23">
        <v>1259.807</v>
      </c>
      <c r="J4372" s="23">
        <v>0</v>
      </c>
      <c r="K4372" s="23">
        <v>0</v>
      </c>
    </row>
    <row r="4373" spans="1:11" x14ac:dyDescent="0.25">
      <c r="A4373">
        <v>4372</v>
      </c>
      <c r="B4373" s="23">
        <v>1195.5738409999999</v>
      </c>
      <c r="C4373" s="23">
        <v>0</v>
      </c>
      <c r="D4373" s="23">
        <v>0</v>
      </c>
      <c r="E4373" s="23">
        <v>0</v>
      </c>
      <c r="F4373" s="23">
        <v>0</v>
      </c>
      <c r="G4373" s="23">
        <v>0</v>
      </c>
      <c r="H4373" s="23">
        <v>0</v>
      </c>
      <c r="I4373" s="23">
        <v>1195.5740000000001</v>
      </c>
      <c r="J4373" s="23">
        <v>0</v>
      </c>
      <c r="K4373" s="23">
        <v>0</v>
      </c>
    </row>
    <row r="4374" spans="1:11" x14ac:dyDescent="0.25">
      <c r="A4374">
        <v>4373</v>
      </c>
      <c r="B4374" s="23">
        <v>1084.373732</v>
      </c>
      <c r="C4374" s="23">
        <v>0</v>
      </c>
      <c r="D4374" s="23">
        <v>0</v>
      </c>
      <c r="E4374" s="23">
        <v>0</v>
      </c>
      <c r="F4374" s="23">
        <v>0</v>
      </c>
      <c r="G4374" s="23">
        <v>0</v>
      </c>
      <c r="H4374" s="23">
        <v>0</v>
      </c>
      <c r="I4374" s="23">
        <v>0</v>
      </c>
      <c r="J4374" s="23">
        <v>0</v>
      </c>
      <c r="K4374" s="23">
        <v>1084.374</v>
      </c>
    </row>
    <row r="4375" spans="1:11" x14ac:dyDescent="0.25">
      <c r="A4375">
        <v>4374</v>
      </c>
      <c r="B4375" s="23">
        <v>1230.79872</v>
      </c>
      <c r="C4375" s="23">
        <v>0</v>
      </c>
      <c r="D4375" s="23">
        <v>0</v>
      </c>
      <c r="E4375" s="23">
        <v>0</v>
      </c>
      <c r="F4375" s="23">
        <v>0</v>
      </c>
      <c r="G4375" s="23">
        <v>0</v>
      </c>
      <c r="H4375" s="23">
        <v>0</v>
      </c>
      <c r="I4375" s="23">
        <v>0</v>
      </c>
      <c r="J4375" s="23">
        <v>0</v>
      </c>
      <c r="K4375" s="23">
        <v>1230.799</v>
      </c>
    </row>
    <row r="4376" spans="1:11" x14ac:dyDescent="0.25">
      <c r="A4376">
        <v>4375</v>
      </c>
      <c r="B4376" s="23">
        <v>855.75735940000004</v>
      </c>
      <c r="C4376" s="23">
        <v>55.75</v>
      </c>
      <c r="D4376" s="23">
        <v>195.922</v>
      </c>
      <c r="E4376" s="23">
        <v>195.922</v>
      </c>
      <c r="F4376" s="23">
        <v>0</v>
      </c>
      <c r="G4376" s="23">
        <v>0</v>
      </c>
      <c r="H4376" s="23">
        <v>0</v>
      </c>
      <c r="I4376" s="23">
        <v>0</v>
      </c>
      <c r="J4376" s="23">
        <v>0</v>
      </c>
      <c r="K4376" s="23">
        <v>659.83600000000001</v>
      </c>
    </row>
    <row r="4377" spans="1:11" x14ac:dyDescent="0.25">
      <c r="A4377">
        <v>4376</v>
      </c>
      <c r="B4377" s="23">
        <v>848.16156320000005</v>
      </c>
      <c r="C4377" s="23">
        <v>197.27</v>
      </c>
      <c r="D4377" s="23">
        <v>773.29899999999998</v>
      </c>
      <c r="E4377" s="23">
        <v>773.29899999999998</v>
      </c>
      <c r="F4377" s="23">
        <v>0</v>
      </c>
      <c r="G4377" s="23">
        <v>0</v>
      </c>
      <c r="H4377" s="23">
        <v>0</v>
      </c>
      <c r="I4377" s="23">
        <v>0</v>
      </c>
      <c r="J4377" s="23">
        <v>0</v>
      </c>
      <c r="K4377" s="23">
        <v>74.863</v>
      </c>
    </row>
    <row r="4378" spans="1:11" x14ac:dyDescent="0.25">
      <c r="A4378">
        <v>4377</v>
      </c>
      <c r="B4378" s="23">
        <v>955.3600222</v>
      </c>
      <c r="C4378" s="23">
        <v>318.02</v>
      </c>
      <c r="D4378" s="23">
        <v>1246.193</v>
      </c>
      <c r="E4378" s="23">
        <v>955.36</v>
      </c>
      <c r="F4378" s="23">
        <v>-290.83300000000003</v>
      </c>
      <c r="G4378" s="23">
        <v>0</v>
      </c>
      <c r="H4378" s="23">
        <v>0</v>
      </c>
      <c r="I4378" s="23">
        <v>0</v>
      </c>
      <c r="J4378" s="23">
        <v>0</v>
      </c>
      <c r="K4378" s="23">
        <v>0</v>
      </c>
    </row>
    <row r="4379" spans="1:11" x14ac:dyDescent="0.25">
      <c r="A4379">
        <v>4378</v>
      </c>
      <c r="B4379" s="23">
        <v>1003.549902</v>
      </c>
      <c r="C4379" s="23">
        <v>167.49</v>
      </c>
      <c r="D4379" s="23">
        <v>633.72500000000002</v>
      </c>
      <c r="E4379" s="23">
        <v>633.72500000000002</v>
      </c>
      <c r="F4379" s="23">
        <v>0</v>
      </c>
      <c r="G4379" s="23">
        <v>0</v>
      </c>
      <c r="H4379" s="23">
        <v>0</v>
      </c>
      <c r="I4379" s="23">
        <v>0</v>
      </c>
      <c r="J4379" s="23">
        <v>0</v>
      </c>
      <c r="K4379" s="23">
        <v>369.82499999999999</v>
      </c>
    </row>
    <row r="4380" spans="1:11" x14ac:dyDescent="0.25">
      <c r="A4380">
        <v>4379</v>
      </c>
      <c r="B4380" s="23">
        <v>826.66316329999995</v>
      </c>
      <c r="C4380" s="23">
        <v>552.84</v>
      </c>
      <c r="D4380" s="23">
        <v>2115.415</v>
      </c>
      <c r="E4380" s="23">
        <v>826.66300000000001</v>
      </c>
      <c r="F4380" s="23">
        <v>-1288.752</v>
      </c>
      <c r="G4380" s="23">
        <v>0</v>
      </c>
      <c r="H4380" s="23">
        <v>0</v>
      </c>
      <c r="I4380" s="23">
        <v>0</v>
      </c>
      <c r="J4380" s="23">
        <v>0</v>
      </c>
      <c r="K4380" s="23">
        <v>0</v>
      </c>
    </row>
    <row r="4381" spans="1:11" x14ac:dyDescent="0.25">
      <c r="A4381">
        <v>4380</v>
      </c>
      <c r="B4381" s="23">
        <v>1123.750485</v>
      </c>
      <c r="C4381" s="23">
        <v>740.25</v>
      </c>
      <c r="D4381" s="23">
        <v>2793.71</v>
      </c>
      <c r="E4381" s="23">
        <v>1123.75</v>
      </c>
      <c r="F4381" s="23">
        <v>-1669.96</v>
      </c>
      <c r="G4381" s="23">
        <v>0</v>
      </c>
      <c r="H4381" s="23">
        <v>0</v>
      </c>
      <c r="I4381" s="23">
        <v>0</v>
      </c>
      <c r="J4381" s="23">
        <v>0</v>
      </c>
      <c r="K4381" s="23">
        <v>0</v>
      </c>
    </row>
    <row r="4382" spans="1:11" x14ac:dyDescent="0.25">
      <c r="A4382">
        <v>4381</v>
      </c>
      <c r="B4382" s="23">
        <v>1103.3684029999999</v>
      </c>
      <c r="C4382" s="23">
        <v>779.66</v>
      </c>
      <c r="D4382" s="23">
        <v>2929.9209999999998</v>
      </c>
      <c r="E4382" s="23">
        <v>1103.3689999999999</v>
      </c>
      <c r="F4382" s="23">
        <v>-1684.559</v>
      </c>
      <c r="G4382" s="23">
        <v>0</v>
      </c>
      <c r="H4382" s="23">
        <v>141.99299999999999</v>
      </c>
      <c r="I4382" s="23">
        <v>0</v>
      </c>
      <c r="J4382" s="23">
        <v>0</v>
      </c>
      <c r="K4382" s="23">
        <v>0</v>
      </c>
    </row>
    <row r="4383" spans="1:11" x14ac:dyDescent="0.25">
      <c r="A4383">
        <v>4382</v>
      </c>
      <c r="B4383" s="23">
        <v>1414.248683</v>
      </c>
      <c r="C4383" s="23">
        <v>677.27</v>
      </c>
      <c r="D4383" s="23">
        <v>2565.0010000000002</v>
      </c>
      <c r="E4383" s="23">
        <v>1414.248</v>
      </c>
      <c r="F4383" s="23">
        <v>-1150.7529999999999</v>
      </c>
      <c r="G4383" s="23">
        <v>0</v>
      </c>
      <c r="H4383" s="23">
        <v>0</v>
      </c>
      <c r="I4383" s="23">
        <v>0</v>
      </c>
      <c r="J4383" s="23">
        <v>0</v>
      </c>
      <c r="K4383" s="23">
        <v>0</v>
      </c>
    </row>
    <row r="4384" spans="1:11" x14ac:dyDescent="0.25">
      <c r="A4384">
        <v>4383</v>
      </c>
      <c r="B4384" s="23">
        <v>1156.9559770000001</v>
      </c>
      <c r="C4384" s="23">
        <v>479.36</v>
      </c>
      <c r="D4384" s="23">
        <v>1841.624</v>
      </c>
      <c r="E4384" s="23">
        <v>1156.9559999999999</v>
      </c>
      <c r="F4384" s="23">
        <v>-684.66800000000001</v>
      </c>
      <c r="G4384" s="23">
        <v>0</v>
      </c>
      <c r="H4384" s="23">
        <v>0</v>
      </c>
      <c r="I4384" s="23">
        <v>0</v>
      </c>
      <c r="J4384" s="23">
        <v>0</v>
      </c>
      <c r="K4384" s="23">
        <v>0</v>
      </c>
    </row>
    <row r="4385" spans="1:11" x14ac:dyDescent="0.25">
      <c r="A4385">
        <v>4384</v>
      </c>
      <c r="B4385" s="23">
        <v>1089.7222159999999</v>
      </c>
      <c r="C4385" s="23">
        <v>422.09</v>
      </c>
      <c r="D4385" s="23">
        <v>1645.904</v>
      </c>
      <c r="E4385" s="23">
        <v>1089.722</v>
      </c>
      <c r="F4385" s="23">
        <v>-556.18200000000002</v>
      </c>
      <c r="G4385" s="23">
        <v>0</v>
      </c>
      <c r="H4385" s="23">
        <v>0</v>
      </c>
      <c r="I4385" s="23">
        <v>0</v>
      </c>
      <c r="J4385" s="23">
        <v>0</v>
      </c>
      <c r="K4385" s="23">
        <v>0</v>
      </c>
    </row>
    <row r="4386" spans="1:11" x14ac:dyDescent="0.25">
      <c r="A4386">
        <v>4385</v>
      </c>
      <c r="B4386" s="23">
        <v>1137.531356</v>
      </c>
      <c r="C4386" s="23">
        <v>46.42</v>
      </c>
      <c r="D4386" s="23">
        <v>157.26599999999999</v>
      </c>
      <c r="E4386" s="23">
        <v>157.26599999999999</v>
      </c>
      <c r="F4386" s="23">
        <v>0</v>
      </c>
      <c r="G4386" s="23">
        <v>0</v>
      </c>
      <c r="H4386" s="23">
        <v>0</v>
      </c>
      <c r="I4386" s="23">
        <v>980.26499999999999</v>
      </c>
      <c r="J4386" s="23">
        <v>0</v>
      </c>
      <c r="K4386" s="23">
        <v>0</v>
      </c>
    </row>
    <row r="4387" spans="1:11" x14ac:dyDescent="0.25">
      <c r="A4387">
        <v>4386</v>
      </c>
      <c r="B4387" s="23">
        <v>926.84341040000004</v>
      </c>
      <c r="C4387" s="23">
        <v>5.87</v>
      </c>
      <c r="D4387" s="23">
        <v>0</v>
      </c>
      <c r="E4387" s="23">
        <v>0</v>
      </c>
      <c r="F4387" s="23">
        <v>0</v>
      </c>
      <c r="G4387" s="23">
        <v>0</v>
      </c>
      <c r="H4387" s="23">
        <v>0</v>
      </c>
      <c r="I4387" s="23">
        <v>0</v>
      </c>
      <c r="J4387" s="23">
        <v>0</v>
      </c>
      <c r="K4387" s="23">
        <v>926.84299999999996</v>
      </c>
    </row>
    <row r="4388" spans="1:11" x14ac:dyDescent="0.25">
      <c r="A4388">
        <v>4387</v>
      </c>
      <c r="B4388" s="23">
        <v>835.72752620000006</v>
      </c>
      <c r="C4388" s="23">
        <v>0</v>
      </c>
      <c r="D4388" s="23">
        <v>0</v>
      </c>
      <c r="E4388" s="23">
        <v>0</v>
      </c>
      <c r="F4388" s="23">
        <v>0</v>
      </c>
      <c r="G4388" s="23">
        <v>0</v>
      </c>
      <c r="H4388" s="23">
        <v>0</v>
      </c>
      <c r="I4388" s="23">
        <v>0</v>
      </c>
      <c r="J4388" s="23">
        <v>0</v>
      </c>
      <c r="K4388" s="23">
        <v>835.72799999999995</v>
      </c>
    </row>
    <row r="4389" spans="1:11" x14ac:dyDescent="0.25">
      <c r="A4389">
        <v>4388</v>
      </c>
      <c r="B4389" s="23">
        <v>1471.8474040000001</v>
      </c>
      <c r="C4389" s="23">
        <v>0</v>
      </c>
      <c r="D4389" s="23">
        <v>0</v>
      </c>
      <c r="E4389" s="23">
        <v>0</v>
      </c>
      <c r="F4389" s="23">
        <v>0</v>
      </c>
      <c r="G4389" s="23">
        <v>0</v>
      </c>
      <c r="H4389" s="23">
        <v>0</v>
      </c>
      <c r="I4389" s="23">
        <v>0</v>
      </c>
      <c r="J4389" s="23">
        <v>0</v>
      </c>
      <c r="K4389" s="23">
        <v>1471.847</v>
      </c>
    </row>
    <row r="4390" spans="1:11" x14ac:dyDescent="0.25">
      <c r="A4390">
        <v>4389</v>
      </c>
      <c r="B4390" s="23">
        <v>1105.094249</v>
      </c>
      <c r="C4390" s="23">
        <v>0</v>
      </c>
      <c r="D4390" s="23">
        <v>0</v>
      </c>
      <c r="E4390" s="23">
        <v>0</v>
      </c>
      <c r="F4390" s="23">
        <v>0</v>
      </c>
      <c r="G4390" s="23">
        <v>0</v>
      </c>
      <c r="H4390" s="23">
        <v>0</v>
      </c>
      <c r="I4390" s="23">
        <v>1105.0940000000001</v>
      </c>
      <c r="J4390" s="23">
        <v>0</v>
      </c>
      <c r="K4390" s="23">
        <v>0</v>
      </c>
    </row>
    <row r="4391" spans="1:11" x14ac:dyDescent="0.25">
      <c r="A4391">
        <v>4390</v>
      </c>
      <c r="B4391" s="23">
        <v>823.29521590000002</v>
      </c>
      <c r="C4391" s="23">
        <v>0</v>
      </c>
      <c r="D4391" s="23">
        <v>0</v>
      </c>
      <c r="E4391" s="23">
        <v>0</v>
      </c>
      <c r="F4391" s="23">
        <v>0</v>
      </c>
      <c r="G4391" s="23">
        <v>0</v>
      </c>
      <c r="H4391" s="23">
        <v>0</v>
      </c>
      <c r="I4391" s="23">
        <v>823.29499999999996</v>
      </c>
      <c r="J4391" s="23">
        <v>0</v>
      </c>
      <c r="K4391" s="23">
        <v>0</v>
      </c>
    </row>
    <row r="4392" spans="1:11" x14ac:dyDescent="0.25">
      <c r="A4392">
        <v>4391</v>
      </c>
      <c r="B4392" s="23">
        <v>927.58848569999998</v>
      </c>
      <c r="C4392" s="23">
        <v>0</v>
      </c>
      <c r="D4392" s="23">
        <v>0</v>
      </c>
      <c r="E4392" s="23">
        <v>0</v>
      </c>
      <c r="F4392" s="23">
        <v>0</v>
      </c>
      <c r="G4392" s="23">
        <v>0</v>
      </c>
      <c r="H4392" s="23">
        <v>0</v>
      </c>
      <c r="I4392" s="23">
        <v>927.58799999999997</v>
      </c>
      <c r="J4392" s="23">
        <v>0</v>
      </c>
      <c r="K4392" s="23">
        <v>0</v>
      </c>
    </row>
    <row r="4393" spans="1:11" x14ac:dyDescent="0.25">
      <c r="A4393">
        <v>4392</v>
      </c>
      <c r="B4393" s="23">
        <v>973.86430740000003</v>
      </c>
      <c r="C4393" s="23">
        <v>0</v>
      </c>
      <c r="D4393" s="23">
        <v>0</v>
      </c>
      <c r="E4393" s="23">
        <v>0</v>
      </c>
      <c r="F4393" s="23">
        <v>0</v>
      </c>
      <c r="G4393" s="23">
        <v>0</v>
      </c>
      <c r="H4393" s="23">
        <v>0</v>
      </c>
      <c r="I4393" s="23">
        <v>973.86400000000003</v>
      </c>
      <c r="J4393" s="23">
        <v>0</v>
      </c>
      <c r="K4393" s="23">
        <v>0</v>
      </c>
    </row>
    <row r="4394" spans="1:11" x14ac:dyDescent="0.25">
      <c r="A4394">
        <v>4393</v>
      </c>
      <c r="B4394" s="23">
        <v>1145.153916</v>
      </c>
      <c r="C4394" s="23">
        <v>0</v>
      </c>
      <c r="D4394" s="23">
        <v>0</v>
      </c>
      <c r="E4394" s="23">
        <v>0</v>
      </c>
      <c r="F4394" s="23">
        <v>0</v>
      </c>
      <c r="G4394" s="23">
        <v>0</v>
      </c>
      <c r="H4394" s="23">
        <v>0</v>
      </c>
      <c r="I4394" s="23">
        <v>1145.154</v>
      </c>
      <c r="J4394" s="23">
        <v>0</v>
      </c>
      <c r="K4394" s="23">
        <v>0</v>
      </c>
    </row>
    <row r="4395" spans="1:11" x14ac:dyDescent="0.25">
      <c r="A4395">
        <v>4394</v>
      </c>
      <c r="B4395" s="23">
        <v>1047.7674850000001</v>
      </c>
      <c r="C4395" s="23">
        <v>0</v>
      </c>
      <c r="D4395" s="23">
        <v>0</v>
      </c>
      <c r="E4395" s="23">
        <v>0</v>
      </c>
      <c r="F4395" s="23">
        <v>0</v>
      </c>
      <c r="G4395" s="23">
        <v>0</v>
      </c>
      <c r="H4395" s="23">
        <v>0</v>
      </c>
      <c r="I4395" s="23">
        <v>1047.7670000000001</v>
      </c>
      <c r="J4395" s="23">
        <v>0</v>
      </c>
      <c r="K4395" s="23">
        <v>0</v>
      </c>
    </row>
    <row r="4396" spans="1:11" x14ac:dyDescent="0.25">
      <c r="A4396">
        <v>4395</v>
      </c>
      <c r="B4396" s="23">
        <v>804.64675039999997</v>
      </c>
      <c r="C4396" s="23">
        <v>0</v>
      </c>
      <c r="D4396" s="23">
        <v>0</v>
      </c>
      <c r="E4396" s="23">
        <v>0</v>
      </c>
      <c r="F4396" s="23">
        <v>0</v>
      </c>
      <c r="G4396" s="23">
        <v>0</v>
      </c>
      <c r="H4396" s="23">
        <v>0</v>
      </c>
      <c r="I4396" s="23">
        <v>804.64700000000005</v>
      </c>
      <c r="J4396" s="23">
        <v>0</v>
      </c>
      <c r="K4396" s="23">
        <v>0</v>
      </c>
    </row>
    <row r="4397" spans="1:11" x14ac:dyDescent="0.25">
      <c r="A4397">
        <v>4396</v>
      </c>
      <c r="B4397" s="23">
        <v>1138.247077</v>
      </c>
      <c r="C4397" s="23">
        <v>0</v>
      </c>
      <c r="D4397" s="23">
        <v>0</v>
      </c>
      <c r="E4397" s="23">
        <v>0</v>
      </c>
      <c r="F4397" s="23">
        <v>0</v>
      </c>
      <c r="G4397" s="23">
        <v>0</v>
      </c>
      <c r="H4397" s="23">
        <v>0</v>
      </c>
      <c r="I4397" s="23">
        <v>1138.2470000000001</v>
      </c>
      <c r="J4397" s="23">
        <v>0</v>
      </c>
      <c r="K4397" s="23">
        <v>0</v>
      </c>
    </row>
    <row r="4398" spans="1:11" x14ac:dyDescent="0.25">
      <c r="A4398">
        <v>4397</v>
      </c>
      <c r="B4398" s="23">
        <v>993.20345669999995</v>
      </c>
      <c r="C4398" s="23">
        <v>0</v>
      </c>
      <c r="D4398" s="23">
        <v>0</v>
      </c>
      <c r="E4398" s="23">
        <v>0</v>
      </c>
      <c r="F4398" s="23">
        <v>0</v>
      </c>
      <c r="G4398" s="23">
        <v>0</v>
      </c>
      <c r="H4398" s="23">
        <v>0</v>
      </c>
      <c r="I4398" s="23">
        <v>111.014</v>
      </c>
      <c r="J4398" s="23">
        <v>0</v>
      </c>
      <c r="K4398" s="23">
        <v>882.18899999999996</v>
      </c>
    </row>
    <row r="4399" spans="1:11" x14ac:dyDescent="0.25">
      <c r="A4399">
        <v>4398</v>
      </c>
      <c r="B4399" s="23">
        <v>968.33883609999998</v>
      </c>
      <c r="C4399" s="23">
        <v>0</v>
      </c>
      <c r="D4399" s="23">
        <v>0</v>
      </c>
      <c r="E4399" s="23">
        <v>0</v>
      </c>
      <c r="F4399" s="23">
        <v>0</v>
      </c>
      <c r="G4399" s="23">
        <v>0</v>
      </c>
      <c r="H4399" s="23">
        <v>0</v>
      </c>
      <c r="I4399" s="23">
        <v>0</v>
      </c>
      <c r="J4399" s="23">
        <v>0</v>
      </c>
      <c r="K4399" s="23">
        <v>968.33900000000006</v>
      </c>
    </row>
    <row r="4400" spans="1:11" x14ac:dyDescent="0.25">
      <c r="A4400">
        <v>4399</v>
      </c>
      <c r="B4400" s="23">
        <v>1081.610997</v>
      </c>
      <c r="C4400" s="23">
        <v>105.86</v>
      </c>
      <c r="D4400" s="23">
        <v>309.48099999999999</v>
      </c>
      <c r="E4400" s="23">
        <v>309.48099999999999</v>
      </c>
      <c r="F4400" s="23">
        <v>0</v>
      </c>
      <c r="G4400" s="23">
        <v>0</v>
      </c>
      <c r="H4400" s="23">
        <v>0</v>
      </c>
      <c r="I4400" s="23">
        <v>0</v>
      </c>
      <c r="J4400" s="23">
        <v>0</v>
      </c>
      <c r="K4400" s="23">
        <v>772.13</v>
      </c>
    </row>
    <row r="4401" spans="1:11" x14ac:dyDescent="0.25">
      <c r="A4401">
        <v>4400</v>
      </c>
      <c r="B4401" s="23">
        <v>1051.055141</v>
      </c>
      <c r="C4401" s="23">
        <v>319.02999999999997</v>
      </c>
      <c r="D4401" s="23">
        <v>1234.952</v>
      </c>
      <c r="E4401" s="23">
        <v>1051.0550000000001</v>
      </c>
      <c r="F4401" s="23">
        <v>-183.89699999999999</v>
      </c>
      <c r="G4401" s="23">
        <v>0</v>
      </c>
      <c r="H4401" s="23">
        <v>0</v>
      </c>
      <c r="I4401" s="23">
        <v>0</v>
      </c>
      <c r="J4401" s="23">
        <v>0</v>
      </c>
      <c r="K4401" s="23">
        <v>0</v>
      </c>
    </row>
    <row r="4402" spans="1:11" x14ac:dyDescent="0.25">
      <c r="A4402">
        <v>4401</v>
      </c>
      <c r="B4402" s="23">
        <v>1124.176119</v>
      </c>
      <c r="C4402" s="23">
        <v>272.56</v>
      </c>
      <c r="D4402" s="23">
        <v>1064.1099999999999</v>
      </c>
      <c r="E4402" s="23">
        <v>1064.1099999999999</v>
      </c>
      <c r="F4402" s="23">
        <v>0</v>
      </c>
      <c r="G4402" s="23">
        <v>0</v>
      </c>
      <c r="H4402" s="23">
        <v>0</v>
      </c>
      <c r="I4402" s="23">
        <v>0</v>
      </c>
      <c r="J4402" s="23">
        <v>0</v>
      </c>
      <c r="K4402" s="23">
        <v>60.066000000000003</v>
      </c>
    </row>
    <row r="4403" spans="1:11" x14ac:dyDescent="0.25">
      <c r="A4403">
        <v>4402</v>
      </c>
      <c r="B4403" s="23">
        <v>1099.925344</v>
      </c>
      <c r="C4403" s="23">
        <v>548.29999999999995</v>
      </c>
      <c r="D4403" s="23">
        <v>2122.373</v>
      </c>
      <c r="E4403" s="23">
        <v>1099.925</v>
      </c>
      <c r="F4403" s="23">
        <v>-1022.448</v>
      </c>
      <c r="G4403" s="23">
        <v>0</v>
      </c>
      <c r="H4403" s="23">
        <v>0</v>
      </c>
      <c r="I4403" s="23">
        <v>0</v>
      </c>
      <c r="J4403" s="23">
        <v>0</v>
      </c>
      <c r="K4403" s="23">
        <v>0</v>
      </c>
    </row>
    <row r="4404" spans="1:11" x14ac:dyDescent="0.25">
      <c r="A4404">
        <v>4403</v>
      </c>
      <c r="B4404" s="23">
        <v>1173.3200059999999</v>
      </c>
      <c r="C4404" s="23">
        <v>623.66999999999996</v>
      </c>
      <c r="D4404" s="23">
        <v>2384.0450000000001</v>
      </c>
      <c r="E4404" s="23">
        <v>1173.32</v>
      </c>
      <c r="F4404" s="23">
        <v>-1210.7249999999999</v>
      </c>
      <c r="G4404" s="23">
        <v>0</v>
      </c>
      <c r="H4404" s="23">
        <v>0</v>
      </c>
      <c r="I4404" s="23">
        <v>0</v>
      </c>
      <c r="J4404" s="23">
        <v>0</v>
      </c>
      <c r="K4404" s="23">
        <v>0</v>
      </c>
    </row>
    <row r="4405" spans="1:11" x14ac:dyDescent="0.25">
      <c r="A4405">
        <v>4404</v>
      </c>
      <c r="B4405" s="23">
        <v>1174.97333</v>
      </c>
      <c r="C4405" s="23">
        <v>798.5</v>
      </c>
      <c r="D4405" s="23">
        <v>3006.643</v>
      </c>
      <c r="E4405" s="23">
        <v>1174.9739999999999</v>
      </c>
      <c r="F4405" s="23">
        <v>-1684.559</v>
      </c>
      <c r="G4405" s="23">
        <v>0</v>
      </c>
      <c r="H4405" s="23">
        <v>147.11000000000001</v>
      </c>
      <c r="I4405" s="23">
        <v>0</v>
      </c>
      <c r="J4405" s="23">
        <v>0</v>
      </c>
      <c r="K4405" s="23">
        <v>0</v>
      </c>
    </row>
    <row r="4406" spans="1:11" x14ac:dyDescent="0.25">
      <c r="A4406">
        <v>4405</v>
      </c>
      <c r="B4406" s="23">
        <v>1130.468249</v>
      </c>
      <c r="C4406" s="23">
        <v>460.67</v>
      </c>
      <c r="D4406" s="23">
        <v>1762.779</v>
      </c>
      <c r="E4406" s="23">
        <v>1130.4680000000001</v>
      </c>
      <c r="F4406" s="23">
        <v>-632.31100000000004</v>
      </c>
      <c r="G4406" s="23">
        <v>0</v>
      </c>
      <c r="H4406" s="23">
        <v>0</v>
      </c>
      <c r="I4406" s="23">
        <v>0</v>
      </c>
      <c r="J4406" s="23">
        <v>0</v>
      </c>
      <c r="K4406" s="23">
        <v>0</v>
      </c>
    </row>
    <row r="4407" spans="1:11" x14ac:dyDescent="0.25">
      <c r="A4407">
        <v>4406</v>
      </c>
      <c r="B4407" s="23">
        <v>1162.7326849999999</v>
      </c>
      <c r="C4407" s="23">
        <v>830.02</v>
      </c>
      <c r="D4407" s="23">
        <v>3184.076</v>
      </c>
      <c r="E4407" s="23">
        <v>1162.7329999999999</v>
      </c>
      <c r="F4407" s="23">
        <v>-1684.559</v>
      </c>
      <c r="G4407" s="23">
        <v>0</v>
      </c>
      <c r="H4407" s="23">
        <v>336.78399999999999</v>
      </c>
      <c r="I4407" s="23">
        <v>0</v>
      </c>
      <c r="J4407" s="23">
        <v>0</v>
      </c>
      <c r="K4407" s="23">
        <v>0</v>
      </c>
    </row>
    <row r="4408" spans="1:11" x14ac:dyDescent="0.25">
      <c r="A4408">
        <v>4407</v>
      </c>
      <c r="B4408" s="23">
        <v>1439.1789180000001</v>
      </c>
      <c r="C4408" s="23">
        <v>415.36</v>
      </c>
      <c r="D4408" s="23">
        <v>1605.818</v>
      </c>
      <c r="E4408" s="23">
        <v>1439.1790000000001</v>
      </c>
      <c r="F4408" s="23">
        <v>-166.63900000000001</v>
      </c>
      <c r="G4408" s="23">
        <v>0</v>
      </c>
      <c r="H4408" s="23">
        <v>0</v>
      </c>
      <c r="I4408" s="23">
        <v>0</v>
      </c>
      <c r="J4408" s="23">
        <v>0</v>
      </c>
      <c r="K4408" s="23">
        <v>0</v>
      </c>
    </row>
    <row r="4409" spans="1:11" x14ac:dyDescent="0.25">
      <c r="A4409">
        <v>4408</v>
      </c>
      <c r="B4409" s="23">
        <v>1406.8436879999999</v>
      </c>
      <c r="C4409" s="23">
        <v>233.3</v>
      </c>
      <c r="D4409" s="23">
        <v>903.51700000000005</v>
      </c>
      <c r="E4409" s="23">
        <v>903.51700000000005</v>
      </c>
      <c r="F4409" s="23">
        <v>0</v>
      </c>
      <c r="G4409" s="23">
        <v>0</v>
      </c>
      <c r="H4409" s="23">
        <v>0</v>
      </c>
      <c r="I4409" s="23">
        <v>503.32600000000002</v>
      </c>
      <c r="J4409" s="23">
        <v>0</v>
      </c>
      <c r="K4409" s="23">
        <v>0</v>
      </c>
    </row>
    <row r="4410" spans="1:11" x14ac:dyDescent="0.25">
      <c r="A4410">
        <v>4409</v>
      </c>
      <c r="B4410" s="23">
        <v>1304.5050530000001</v>
      </c>
      <c r="C4410" s="23">
        <v>104.49</v>
      </c>
      <c r="D4410" s="23">
        <v>391.00700000000001</v>
      </c>
      <c r="E4410" s="23">
        <v>391.00700000000001</v>
      </c>
      <c r="F4410" s="23">
        <v>0</v>
      </c>
      <c r="G4410" s="23">
        <v>0</v>
      </c>
      <c r="H4410" s="23">
        <v>0</v>
      </c>
      <c r="I4410" s="23">
        <v>913.49800000000005</v>
      </c>
      <c r="J4410" s="23">
        <v>0</v>
      </c>
      <c r="K4410" s="23">
        <v>0</v>
      </c>
    </row>
    <row r="4411" spans="1:11" x14ac:dyDescent="0.25">
      <c r="A4411">
        <v>4410</v>
      </c>
      <c r="B4411" s="23">
        <v>1480.701108</v>
      </c>
      <c r="C4411" s="23">
        <v>5.87</v>
      </c>
      <c r="D4411" s="23">
        <v>0</v>
      </c>
      <c r="E4411" s="23">
        <v>0</v>
      </c>
      <c r="F4411" s="23">
        <v>0</v>
      </c>
      <c r="G4411" s="23">
        <v>0</v>
      </c>
      <c r="H4411" s="23">
        <v>0</v>
      </c>
      <c r="I4411" s="23">
        <v>0</v>
      </c>
      <c r="J4411" s="23">
        <v>0</v>
      </c>
      <c r="K4411" s="23">
        <v>1480.701</v>
      </c>
    </row>
    <row r="4412" spans="1:11" x14ac:dyDescent="0.25">
      <c r="A4412">
        <v>4411</v>
      </c>
      <c r="B4412" s="23">
        <v>1355.1218229999999</v>
      </c>
      <c r="C4412" s="23">
        <v>0</v>
      </c>
      <c r="D4412" s="23">
        <v>0</v>
      </c>
      <c r="E4412" s="23">
        <v>0</v>
      </c>
      <c r="F4412" s="23">
        <v>0</v>
      </c>
      <c r="G4412" s="23">
        <v>0</v>
      </c>
      <c r="H4412" s="23">
        <v>0</v>
      </c>
      <c r="I4412" s="23">
        <v>0</v>
      </c>
      <c r="J4412" s="23">
        <v>0</v>
      </c>
      <c r="K4412" s="23">
        <v>1355.1220000000001</v>
      </c>
    </row>
    <row r="4413" spans="1:11" x14ac:dyDescent="0.25">
      <c r="A4413">
        <v>4412</v>
      </c>
      <c r="B4413" s="23">
        <v>982.8431981</v>
      </c>
      <c r="C4413" s="23">
        <v>0</v>
      </c>
      <c r="D4413" s="23">
        <v>0</v>
      </c>
      <c r="E4413" s="23">
        <v>0</v>
      </c>
      <c r="F4413" s="23">
        <v>0</v>
      </c>
      <c r="G4413" s="23">
        <v>0</v>
      </c>
      <c r="H4413" s="23">
        <v>0</v>
      </c>
      <c r="I4413" s="23">
        <v>0</v>
      </c>
      <c r="J4413" s="23">
        <v>0</v>
      </c>
      <c r="K4413" s="23">
        <v>982.84299999999996</v>
      </c>
    </row>
    <row r="4414" spans="1:11" x14ac:dyDescent="0.25">
      <c r="A4414">
        <v>4413</v>
      </c>
      <c r="B4414" s="23">
        <v>1227.3453010000001</v>
      </c>
      <c r="C4414" s="23">
        <v>0</v>
      </c>
      <c r="D4414" s="23">
        <v>0</v>
      </c>
      <c r="E4414" s="23">
        <v>0</v>
      </c>
      <c r="F4414" s="23">
        <v>0</v>
      </c>
      <c r="G4414" s="23">
        <v>0</v>
      </c>
      <c r="H4414" s="23">
        <v>0</v>
      </c>
      <c r="I4414" s="23">
        <v>1227.345</v>
      </c>
      <c r="J4414" s="23">
        <v>0</v>
      </c>
      <c r="K4414" s="23">
        <v>0</v>
      </c>
    </row>
    <row r="4415" spans="1:11" x14ac:dyDescent="0.25">
      <c r="A4415">
        <v>4414</v>
      </c>
      <c r="B4415" s="23">
        <v>1230.1080360000001</v>
      </c>
      <c r="C4415" s="23">
        <v>0</v>
      </c>
      <c r="D4415" s="23">
        <v>0</v>
      </c>
      <c r="E4415" s="23">
        <v>0</v>
      </c>
      <c r="F4415" s="23">
        <v>0</v>
      </c>
      <c r="G4415" s="23">
        <v>0</v>
      </c>
      <c r="H4415" s="23">
        <v>0</v>
      </c>
      <c r="I4415" s="23">
        <v>1230.1079999999999</v>
      </c>
      <c r="J4415" s="23">
        <v>0</v>
      </c>
      <c r="K4415" s="23">
        <v>0</v>
      </c>
    </row>
    <row r="4416" spans="1:11" x14ac:dyDescent="0.25">
      <c r="A4416">
        <v>4415</v>
      </c>
      <c r="B4416" s="23">
        <v>1073.3227899999999</v>
      </c>
      <c r="C4416" s="23">
        <v>0</v>
      </c>
      <c r="D4416" s="23">
        <v>0</v>
      </c>
      <c r="E4416" s="23">
        <v>0</v>
      </c>
      <c r="F4416" s="23">
        <v>0</v>
      </c>
      <c r="G4416" s="23">
        <v>0</v>
      </c>
      <c r="H4416" s="23">
        <v>0</v>
      </c>
      <c r="I4416" s="23">
        <v>1073.3230000000001</v>
      </c>
      <c r="J4416" s="23">
        <v>0</v>
      </c>
      <c r="K4416" s="23">
        <v>0</v>
      </c>
    </row>
    <row r="4417" spans="1:11" x14ac:dyDescent="0.25">
      <c r="A4417">
        <v>4416</v>
      </c>
      <c r="B4417" s="23">
        <v>1058.818428</v>
      </c>
      <c r="C4417" s="23">
        <v>0</v>
      </c>
      <c r="D4417" s="23">
        <v>0</v>
      </c>
      <c r="E4417" s="23">
        <v>0</v>
      </c>
      <c r="F4417" s="23">
        <v>0</v>
      </c>
      <c r="G4417" s="23">
        <v>0</v>
      </c>
      <c r="H4417" s="23">
        <v>0</v>
      </c>
      <c r="I4417" s="23">
        <v>1058.818</v>
      </c>
      <c r="J4417" s="23">
        <v>0</v>
      </c>
      <c r="K4417" s="23">
        <v>0</v>
      </c>
    </row>
    <row r="4418" spans="1:11" x14ac:dyDescent="0.25">
      <c r="A4418">
        <v>4417</v>
      </c>
      <c r="B4418" s="23">
        <v>752.1547736</v>
      </c>
      <c r="C4418" s="23">
        <v>0</v>
      </c>
      <c r="D4418" s="23">
        <v>0</v>
      </c>
      <c r="E4418" s="23">
        <v>0</v>
      </c>
      <c r="F4418" s="23">
        <v>0</v>
      </c>
      <c r="G4418" s="23">
        <v>0</v>
      </c>
      <c r="H4418" s="23">
        <v>0</v>
      </c>
      <c r="I4418" s="23">
        <v>752.15499999999997</v>
      </c>
      <c r="J4418" s="23">
        <v>0</v>
      </c>
      <c r="K4418" s="23">
        <v>0</v>
      </c>
    </row>
    <row r="4419" spans="1:11" x14ac:dyDescent="0.25">
      <c r="A4419">
        <v>4418</v>
      </c>
      <c r="B4419" s="23">
        <v>1158.27691</v>
      </c>
      <c r="C4419" s="23">
        <v>0</v>
      </c>
      <c r="D4419" s="23">
        <v>0</v>
      </c>
      <c r="E4419" s="23">
        <v>0</v>
      </c>
      <c r="F4419" s="23">
        <v>0</v>
      </c>
      <c r="G4419" s="23">
        <v>0</v>
      </c>
      <c r="H4419" s="23">
        <v>0</v>
      </c>
      <c r="I4419" s="23">
        <v>1158.277</v>
      </c>
      <c r="J4419" s="23">
        <v>0</v>
      </c>
      <c r="K4419" s="23">
        <v>0</v>
      </c>
    </row>
    <row r="4420" spans="1:11" x14ac:dyDescent="0.25">
      <c r="A4420">
        <v>4419</v>
      </c>
      <c r="B4420" s="23">
        <v>1156.895542</v>
      </c>
      <c r="C4420" s="23">
        <v>0</v>
      </c>
      <c r="D4420" s="23">
        <v>0</v>
      </c>
      <c r="E4420" s="23">
        <v>0</v>
      </c>
      <c r="F4420" s="23">
        <v>0</v>
      </c>
      <c r="G4420" s="23">
        <v>0</v>
      </c>
      <c r="H4420" s="23">
        <v>0</v>
      </c>
      <c r="I4420" s="23">
        <v>1156.896</v>
      </c>
      <c r="J4420" s="23">
        <v>0</v>
      </c>
      <c r="K4420" s="23">
        <v>0</v>
      </c>
    </row>
    <row r="4421" spans="1:11" x14ac:dyDescent="0.25">
      <c r="A4421">
        <v>4420</v>
      </c>
      <c r="B4421" s="23">
        <v>1170.7092210000001</v>
      </c>
      <c r="C4421" s="23">
        <v>0</v>
      </c>
      <c r="D4421" s="23">
        <v>0</v>
      </c>
      <c r="E4421" s="23">
        <v>0</v>
      </c>
      <c r="F4421" s="23">
        <v>0</v>
      </c>
      <c r="G4421" s="23">
        <v>0</v>
      </c>
      <c r="H4421" s="23">
        <v>0</v>
      </c>
      <c r="I4421" s="23">
        <v>1170.7090000000001</v>
      </c>
      <c r="J4421" s="23">
        <v>0</v>
      </c>
      <c r="K4421" s="23">
        <v>0</v>
      </c>
    </row>
    <row r="4422" spans="1:11" x14ac:dyDescent="0.25">
      <c r="A4422">
        <v>4421</v>
      </c>
      <c r="B4422" s="23">
        <v>1391.7280699999999</v>
      </c>
      <c r="C4422" s="23">
        <v>0</v>
      </c>
      <c r="D4422" s="23">
        <v>0</v>
      </c>
      <c r="E4422" s="23">
        <v>0</v>
      </c>
      <c r="F4422" s="23">
        <v>0</v>
      </c>
      <c r="G4422" s="23">
        <v>0</v>
      </c>
      <c r="H4422" s="23">
        <v>0</v>
      </c>
      <c r="I4422" s="23">
        <v>1391.7280000000001</v>
      </c>
      <c r="J4422" s="23">
        <v>0</v>
      </c>
      <c r="K4422" s="23">
        <v>0</v>
      </c>
    </row>
    <row r="4423" spans="1:11" x14ac:dyDescent="0.25">
      <c r="A4423">
        <v>4422</v>
      </c>
      <c r="B4423" s="23">
        <v>1459.4150930000001</v>
      </c>
      <c r="C4423" s="23">
        <v>0</v>
      </c>
      <c r="D4423" s="23">
        <v>0</v>
      </c>
      <c r="E4423" s="23">
        <v>0</v>
      </c>
      <c r="F4423" s="23">
        <v>0</v>
      </c>
      <c r="G4423" s="23">
        <v>0</v>
      </c>
      <c r="H4423" s="23">
        <v>0</v>
      </c>
      <c r="I4423" s="23">
        <v>1459.415</v>
      </c>
      <c r="J4423" s="23">
        <v>0</v>
      </c>
      <c r="K4423" s="23">
        <v>0</v>
      </c>
    </row>
    <row r="4424" spans="1:11" x14ac:dyDescent="0.25">
      <c r="A4424">
        <v>4423</v>
      </c>
      <c r="B4424" s="23">
        <v>1333.7106220000001</v>
      </c>
      <c r="C4424" s="23">
        <v>76.7</v>
      </c>
      <c r="D4424" s="23">
        <v>274.255</v>
      </c>
      <c r="E4424" s="23">
        <v>274.255</v>
      </c>
      <c r="F4424" s="23">
        <v>0</v>
      </c>
      <c r="G4424" s="23">
        <v>0</v>
      </c>
      <c r="H4424" s="23">
        <v>0</v>
      </c>
      <c r="I4424" s="23">
        <v>1059.4549999999999</v>
      </c>
      <c r="J4424" s="23">
        <v>0</v>
      </c>
      <c r="K4424" s="23">
        <v>0</v>
      </c>
    </row>
    <row r="4425" spans="1:11" x14ac:dyDescent="0.25">
      <c r="A4425">
        <v>4424</v>
      </c>
      <c r="B4425" s="23">
        <v>1049.104822</v>
      </c>
      <c r="C4425" s="23">
        <v>229.79</v>
      </c>
      <c r="D4425" s="23">
        <v>903.92</v>
      </c>
      <c r="E4425" s="23">
        <v>903.92</v>
      </c>
      <c r="F4425" s="23">
        <v>0</v>
      </c>
      <c r="G4425" s="23">
        <v>0</v>
      </c>
      <c r="H4425" s="23">
        <v>0</v>
      </c>
      <c r="I4425" s="23">
        <v>145.185</v>
      </c>
      <c r="J4425" s="23">
        <v>0</v>
      </c>
      <c r="K4425" s="23">
        <v>0</v>
      </c>
    </row>
    <row r="4426" spans="1:11" x14ac:dyDescent="0.25">
      <c r="A4426">
        <v>4425</v>
      </c>
      <c r="B4426" s="23">
        <v>1288.241174</v>
      </c>
      <c r="C4426" s="23">
        <v>534.42999999999995</v>
      </c>
      <c r="D4426" s="23">
        <v>2146.2550000000001</v>
      </c>
      <c r="E4426" s="23">
        <v>1288.242</v>
      </c>
      <c r="F4426" s="23">
        <v>-858.01300000000003</v>
      </c>
      <c r="G4426" s="23">
        <v>0</v>
      </c>
      <c r="H4426" s="23">
        <v>0</v>
      </c>
      <c r="I4426" s="23">
        <v>0</v>
      </c>
      <c r="J4426" s="23">
        <v>0</v>
      </c>
      <c r="K4426" s="23">
        <v>0</v>
      </c>
    </row>
    <row r="4427" spans="1:11" x14ac:dyDescent="0.25">
      <c r="A4427">
        <v>4426</v>
      </c>
      <c r="B4427" s="23">
        <v>1625.4019760000001</v>
      </c>
      <c r="C4427" s="23">
        <v>417.12</v>
      </c>
      <c r="D4427" s="23">
        <v>1621.992</v>
      </c>
      <c r="E4427" s="23">
        <v>1621.992</v>
      </c>
      <c r="F4427" s="23">
        <v>0</v>
      </c>
      <c r="G4427" s="23">
        <v>0</v>
      </c>
      <c r="H4427" s="23">
        <v>0</v>
      </c>
      <c r="I4427" s="23">
        <v>3.41</v>
      </c>
      <c r="J4427" s="23">
        <v>0</v>
      </c>
      <c r="K4427" s="23">
        <v>0</v>
      </c>
    </row>
    <row r="4428" spans="1:11" x14ac:dyDescent="0.25">
      <c r="A4428">
        <v>4427</v>
      </c>
      <c r="B4428" s="23">
        <v>1252.525046</v>
      </c>
      <c r="C4428" s="23">
        <v>325.20999999999998</v>
      </c>
      <c r="D4428" s="23">
        <v>1251.6949999999999</v>
      </c>
      <c r="E4428" s="23">
        <v>1251.6949999999999</v>
      </c>
      <c r="F4428" s="23">
        <v>0</v>
      </c>
      <c r="G4428" s="23">
        <v>0</v>
      </c>
      <c r="H4428" s="23">
        <v>0</v>
      </c>
      <c r="I4428" s="23">
        <v>0</v>
      </c>
      <c r="J4428" s="23">
        <v>0</v>
      </c>
      <c r="K4428" s="23">
        <v>0.83</v>
      </c>
    </row>
    <row r="4429" spans="1:11" x14ac:dyDescent="0.25">
      <c r="A4429">
        <v>4428</v>
      </c>
      <c r="B4429" s="23">
        <v>1499.6905979999999</v>
      </c>
      <c r="C4429" s="23">
        <v>475.39</v>
      </c>
      <c r="D4429" s="23">
        <v>1825.605</v>
      </c>
      <c r="E4429" s="23">
        <v>1499.69</v>
      </c>
      <c r="F4429" s="23">
        <v>-325.91500000000002</v>
      </c>
      <c r="G4429" s="23">
        <v>0</v>
      </c>
      <c r="H4429" s="23">
        <v>0</v>
      </c>
      <c r="I4429" s="23">
        <v>0</v>
      </c>
      <c r="J4429" s="23">
        <v>0</v>
      </c>
      <c r="K4429" s="23">
        <v>0</v>
      </c>
    </row>
    <row r="4430" spans="1:11" x14ac:dyDescent="0.25">
      <c r="A4430">
        <v>4429</v>
      </c>
      <c r="B4430" s="23">
        <v>1174.5986339999999</v>
      </c>
      <c r="C4430" s="23">
        <v>389.54</v>
      </c>
      <c r="D4430" s="23">
        <v>1495.002</v>
      </c>
      <c r="E4430" s="23">
        <v>1174.5989999999999</v>
      </c>
      <c r="F4430" s="23">
        <v>-320.40300000000002</v>
      </c>
      <c r="G4430" s="23">
        <v>0</v>
      </c>
      <c r="H4430" s="23">
        <v>0</v>
      </c>
      <c r="I4430" s="23">
        <v>0</v>
      </c>
      <c r="J4430" s="23">
        <v>0</v>
      </c>
      <c r="K4430" s="23">
        <v>0</v>
      </c>
    </row>
    <row r="4431" spans="1:11" x14ac:dyDescent="0.25">
      <c r="A4431">
        <v>4430</v>
      </c>
      <c r="B4431" s="23">
        <v>1162.552244</v>
      </c>
      <c r="C4431" s="23">
        <v>729.09</v>
      </c>
      <c r="D4431" s="23">
        <v>2784.6080000000002</v>
      </c>
      <c r="E4431" s="23">
        <v>1162.5519999999999</v>
      </c>
      <c r="F4431" s="23">
        <v>-1622.056</v>
      </c>
      <c r="G4431" s="23">
        <v>0</v>
      </c>
      <c r="H4431" s="23">
        <v>0</v>
      </c>
      <c r="I4431" s="23">
        <v>0</v>
      </c>
      <c r="J4431" s="23">
        <v>0</v>
      </c>
      <c r="K4431" s="23">
        <v>0</v>
      </c>
    </row>
    <row r="4432" spans="1:11" x14ac:dyDescent="0.25">
      <c r="A4432">
        <v>4431</v>
      </c>
      <c r="B4432" s="23">
        <v>1383.5978580000001</v>
      </c>
      <c r="C4432" s="23">
        <v>645.07000000000005</v>
      </c>
      <c r="D4432" s="23">
        <v>2488.5790000000002</v>
      </c>
      <c r="E4432" s="23">
        <v>1383.598</v>
      </c>
      <c r="F4432" s="23">
        <v>-1104.981</v>
      </c>
      <c r="G4432" s="23">
        <v>0</v>
      </c>
      <c r="H4432" s="23">
        <v>0</v>
      </c>
      <c r="I4432" s="23">
        <v>0</v>
      </c>
      <c r="J4432" s="23">
        <v>0</v>
      </c>
      <c r="K4432" s="23">
        <v>0</v>
      </c>
    </row>
    <row r="4433" spans="1:11" x14ac:dyDescent="0.25">
      <c r="A4433">
        <v>4432</v>
      </c>
      <c r="B4433" s="23">
        <v>1184.4607370000001</v>
      </c>
      <c r="C4433" s="23">
        <v>29.42</v>
      </c>
      <c r="D4433" s="23">
        <v>88.03</v>
      </c>
      <c r="E4433" s="23">
        <v>88.03</v>
      </c>
      <c r="F4433" s="23">
        <v>0</v>
      </c>
      <c r="G4433" s="23">
        <v>0</v>
      </c>
      <c r="H4433" s="23">
        <v>0</v>
      </c>
      <c r="I4433" s="23">
        <v>1096.431</v>
      </c>
      <c r="J4433" s="23">
        <v>0</v>
      </c>
      <c r="K4433" s="23">
        <v>0</v>
      </c>
    </row>
    <row r="4434" spans="1:11" x14ac:dyDescent="0.25">
      <c r="A4434">
        <v>4433</v>
      </c>
      <c r="B4434" s="23">
        <v>1396.243416</v>
      </c>
      <c r="C4434" s="23">
        <v>184.82</v>
      </c>
      <c r="D4434" s="23">
        <v>717.87</v>
      </c>
      <c r="E4434" s="23">
        <v>717.87</v>
      </c>
      <c r="F4434" s="23">
        <v>0</v>
      </c>
      <c r="G4434" s="23">
        <v>0</v>
      </c>
      <c r="H4434" s="23">
        <v>0</v>
      </c>
      <c r="I4434" s="23">
        <v>678.37300000000005</v>
      </c>
      <c r="J4434" s="23">
        <v>0</v>
      </c>
      <c r="K4434" s="23">
        <v>0</v>
      </c>
    </row>
    <row r="4435" spans="1:11" x14ac:dyDescent="0.25">
      <c r="A4435">
        <v>4434</v>
      </c>
      <c r="B4435" s="23">
        <v>1222.738439</v>
      </c>
      <c r="C4435" s="23">
        <v>27.43</v>
      </c>
      <c r="D4435" s="23">
        <v>81.427999999999997</v>
      </c>
      <c r="E4435" s="23">
        <v>81.427999999999997</v>
      </c>
      <c r="F4435" s="23">
        <v>0</v>
      </c>
      <c r="G4435" s="23">
        <v>0</v>
      </c>
      <c r="H4435" s="23">
        <v>0</v>
      </c>
      <c r="I4435" s="23">
        <v>0</v>
      </c>
      <c r="J4435" s="23">
        <v>0</v>
      </c>
      <c r="K4435" s="23">
        <v>1141.3109999999999</v>
      </c>
    </row>
    <row r="4436" spans="1:11" x14ac:dyDescent="0.25">
      <c r="A4436">
        <v>4435</v>
      </c>
      <c r="B4436" s="23">
        <v>1330.2572029999999</v>
      </c>
      <c r="C4436" s="23">
        <v>0</v>
      </c>
      <c r="D4436" s="23">
        <v>0</v>
      </c>
      <c r="E4436" s="23">
        <v>0</v>
      </c>
      <c r="F4436" s="23">
        <v>0</v>
      </c>
      <c r="G4436" s="23">
        <v>0</v>
      </c>
      <c r="H4436" s="23">
        <v>0</v>
      </c>
      <c r="I4436" s="23">
        <v>0</v>
      </c>
      <c r="J4436" s="23">
        <v>0</v>
      </c>
      <c r="K4436" s="23">
        <v>1330.2570000000001</v>
      </c>
    </row>
    <row r="4437" spans="1:11" x14ac:dyDescent="0.25">
      <c r="A4437">
        <v>4436</v>
      </c>
      <c r="B4437" s="23">
        <v>1078.8482610000001</v>
      </c>
      <c r="C4437" s="23">
        <v>0</v>
      </c>
      <c r="D4437" s="23">
        <v>0</v>
      </c>
      <c r="E4437" s="23">
        <v>0</v>
      </c>
      <c r="F4437" s="23">
        <v>0</v>
      </c>
      <c r="G4437" s="23">
        <v>0</v>
      </c>
      <c r="H4437" s="23">
        <v>0</v>
      </c>
      <c r="I4437" s="23">
        <v>0</v>
      </c>
      <c r="J4437" s="23">
        <v>0</v>
      </c>
      <c r="K4437" s="23">
        <v>1078.848</v>
      </c>
    </row>
    <row r="4438" spans="1:11" x14ac:dyDescent="0.25">
      <c r="A4438">
        <v>4437</v>
      </c>
      <c r="B4438" s="23">
        <v>1160.348962</v>
      </c>
      <c r="C4438" s="23">
        <v>0</v>
      </c>
      <c r="D4438" s="23">
        <v>0</v>
      </c>
      <c r="E4438" s="23">
        <v>0</v>
      </c>
      <c r="F4438" s="23">
        <v>0</v>
      </c>
      <c r="G4438" s="23">
        <v>0</v>
      </c>
      <c r="H4438" s="23">
        <v>0</v>
      </c>
      <c r="I4438" s="23">
        <v>1160.3489999999999</v>
      </c>
      <c r="J4438" s="23">
        <v>0</v>
      </c>
      <c r="K4438" s="23">
        <v>0</v>
      </c>
    </row>
    <row r="4439" spans="1:11" x14ac:dyDescent="0.25">
      <c r="A4439">
        <v>4438</v>
      </c>
      <c r="B4439" s="23">
        <v>1320.587628</v>
      </c>
      <c r="C4439" s="23">
        <v>0</v>
      </c>
      <c r="D4439" s="23">
        <v>0</v>
      </c>
      <c r="E4439" s="23">
        <v>0</v>
      </c>
      <c r="F4439" s="23">
        <v>0</v>
      </c>
      <c r="G4439" s="23">
        <v>0</v>
      </c>
      <c r="H4439" s="23">
        <v>0</v>
      </c>
      <c r="I4439" s="23">
        <v>1261.4960000000001</v>
      </c>
      <c r="J4439" s="23">
        <v>0</v>
      </c>
      <c r="K4439" s="23">
        <v>59.091999999999999</v>
      </c>
    </row>
    <row r="4440" spans="1:11" x14ac:dyDescent="0.25">
      <c r="A4440">
        <v>4439</v>
      </c>
      <c r="B4440" s="23">
        <v>1039.479278</v>
      </c>
      <c r="C4440" s="23">
        <v>0</v>
      </c>
      <c r="D4440" s="23">
        <v>0</v>
      </c>
      <c r="E4440" s="23">
        <v>0</v>
      </c>
      <c r="F4440" s="23">
        <v>0</v>
      </c>
      <c r="G4440" s="23">
        <v>0</v>
      </c>
      <c r="H4440" s="23">
        <v>0</v>
      </c>
      <c r="I4440" s="23">
        <v>1039.479</v>
      </c>
      <c r="J4440" s="23">
        <v>0</v>
      </c>
      <c r="K4440" s="23">
        <v>0</v>
      </c>
    </row>
    <row r="4441" spans="1:11" x14ac:dyDescent="0.25">
      <c r="A4441">
        <v>4440</v>
      </c>
      <c r="B4441" s="23">
        <v>1082.992364</v>
      </c>
      <c r="C4441" s="23">
        <v>0</v>
      </c>
      <c r="D4441" s="23">
        <v>0</v>
      </c>
      <c r="E4441" s="23">
        <v>0</v>
      </c>
      <c r="F4441" s="23">
        <v>0</v>
      </c>
      <c r="G4441" s="23">
        <v>0</v>
      </c>
      <c r="H4441" s="23">
        <v>0</v>
      </c>
      <c r="I4441" s="23">
        <v>1082.992</v>
      </c>
      <c r="J4441" s="23">
        <v>0</v>
      </c>
      <c r="K4441" s="23">
        <v>0</v>
      </c>
    </row>
    <row r="4442" spans="1:11" x14ac:dyDescent="0.25">
      <c r="A4442">
        <v>4441</v>
      </c>
      <c r="B4442" s="23">
        <v>1015.996026</v>
      </c>
      <c r="C4442" s="23">
        <v>0</v>
      </c>
      <c r="D4442" s="23">
        <v>0</v>
      </c>
      <c r="E4442" s="23">
        <v>0</v>
      </c>
      <c r="F4442" s="23">
        <v>0</v>
      </c>
      <c r="G4442" s="23">
        <v>0</v>
      </c>
      <c r="H4442" s="23">
        <v>0</v>
      </c>
      <c r="I4442" s="23">
        <v>1015.996</v>
      </c>
      <c r="J4442" s="23">
        <v>0</v>
      </c>
      <c r="K4442" s="23">
        <v>0</v>
      </c>
    </row>
    <row r="4443" spans="1:11" x14ac:dyDescent="0.25">
      <c r="A4443">
        <v>4442</v>
      </c>
      <c r="B4443" s="23">
        <v>1259.116761</v>
      </c>
      <c r="C4443" s="23">
        <v>0</v>
      </c>
      <c r="D4443" s="23">
        <v>0</v>
      </c>
      <c r="E4443" s="23">
        <v>0</v>
      </c>
      <c r="F4443" s="23">
        <v>0</v>
      </c>
      <c r="G4443" s="23">
        <v>0</v>
      </c>
      <c r="H4443" s="23">
        <v>0</v>
      </c>
      <c r="I4443" s="23">
        <v>1259.117</v>
      </c>
      <c r="J4443" s="23">
        <v>0</v>
      </c>
      <c r="K4443" s="23">
        <v>0</v>
      </c>
    </row>
    <row r="4444" spans="1:11" x14ac:dyDescent="0.25">
      <c r="A4444">
        <v>4443</v>
      </c>
      <c r="B4444" s="23">
        <v>955.21584189999999</v>
      </c>
      <c r="C4444" s="23">
        <v>0</v>
      </c>
      <c r="D4444" s="23">
        <v>0</v>
      </c>
      <c r="E4444" s="23">
        <v>0</v>
      </c>
      <c r="F4444" s="23">
        <v>0</v>
      </c>
      <c r="G4444" s="23">
        <v>0</v>
      </c>
      <c r="H4444" s="23">
        <v>0</v>
      </c>
      <c r="I4444" s="23">
        <v>955.21600000000001</v>
      </c>
      <c r="J4444" s="23">
        <v>0</v>
      </c>
      <c r="K4444" s="23">
        <v>0</v>
      </c>
    </row>
    <row r="4445" spans="1:11" x14ac:dyDescent="0.25">
      <c r="A4445">
        <v>4444</v>
      </c>
      <c r="B4445" s="23">
        <v>1254.972657</v>
      </c>
      <c r="C4445" s="23">
        <v>0</v>
      </c>
      <c r="D4445" s="23">
        <v>0</v>
      </c>
      <c r="E4445" s="23">
        <v>0</v>
      </c>
      <c r="F4445" s="23">
        <v>0</v>
      </c>
      <c r="G4445" s="23">
        <v>0</v>
      </c>
      <c r="H4445" s="23">
        <v>0</v>
      </c>
      <c r="I4445" s="23">
        <v>1254.973</v>
      </c>
      <c r="J4445" s="23">
        <v>0</v>
      </c>
      <c r="K4445" s="23">
        <v>0</v>
      </c>
    </row>
    <row r="4446" spans="1:11" x14ac:dyDescent="0.25">
      <c r="A4446">
        <v>4445</v>
      </c>
      <c r="B4446" s="23">
        <v>1275.693174</v>
      </c>
      <c r="C4446" s="23">
        <v>0</v>
      </c>
      <c r="D4446" s="23">
        <v>0</v>
      </c>
      <c r="E4446" s="23">
        <v>0</v>
      </c>
      <c r="F4446" s="23">
        <v>0</v>
      </c>
      <c r="G4446" s="23">
        <v>0</v>
      </c>
      <c r="H4446" s="23">
        <v>0</v>
      </c>
      <c r="I4446" s="23">
        <v>0</v>
      </c>
      <c r="J4446" s="23">
        <v>0</v>
      </c>
      <c r="K4446" s="23">
        <v>1275.693</v>
      </c>
    </row>
    <row r="4447" spans="1:11" x14ac:dyDescent="0.25">
      <c r="A4447">
        <v>4446</v>
      </c>
      <c r="B4447" s="23">
        <v>932.42327299999999</v>
      </c>
      <c r="C4447" s="23">
        <v>0</v>
      </c>
      <c r="D4447" s="23">
        <v>0</v>
      </c>
      <c r="E4447" s="23">
        <v>0</v>
      </c>
      <c r="F4447" s="23">
        <v>0</v>
      </c>
      <c r="G4447" s="23">
        <v>0</v>
      </c>
      <c r="H4447" s="23">
        <v>0</v>
      </c>
      <c r="I4447" s="23">
        <v>0</v>
      </c>
      <c r="J4447" s="23">
        <v>0</v>
      </c>
      <c r="K4447" s="23">
        <v>932.423</v>
      </c>
    </row>
    <row r="4448" spans="1:11" x14ac:dyDescent="0.25">
      <c r="A4448">
        <v>4447</v>
      </c>
      <c r="B4448" s="23">
        <v>1058.1277439999999</v>
      </c>
      <c r="C4448" s="23">
        <v>97.7</v>
      </c>
      <c r="D4448" s="23">
        <v>341.26</v>
      </c>
      <c r="E4448" s="23">
        <v>341.26</v>
      </c>
      <c r="F4448" s="23">
        <v>0</v>
      </c>
      <c r="G4448" s="23">
        <v>0</v>
      </c>
      <c r="H4448" s="23">
        <v>0</v>
      </c>
      <c r="I4448" s="23">
        <v>0</v>
      </c>
      <c r="J4448" s="23">
        <v>0</v>
      </c>
      <c r="K4448" s="23">
        <v>716.86699999999996</v>
      </c>
    </row>
    <row r="4449" spans="1:11" x14ac:dyDescent="0.25">
      <c r="A4449">
        <v>4448</v>
      </c>
      <c r="B4449" s="23">
        <v>793.13477639999996</v>
      </c>
      <c r="C4449" s="23">
        <v>316.68</v>
      </c>
      <c r="D4449" s="23">
        <v>1229.905</v>
      </c>
      <c r="E4449" s="23">
        <v>793.13400000000001</v>
      </c>
      <c r="F4449" s="23">
        <v>-436.77100000000002</v>
      </c>
      <c r="G4449" s="23">
        <v>0</v>
      </c>
      <c r="H4449" s="23">
        <v>0</v>
      </c>
      <c r="I4449" s="23">
        <v>0</v>
      </c>
      <c r="J4449" s="23">
        <v>0</v>
      </c>
      <c r="K4449" s="23">
        <v>0</v>
      </c>
    </row>
    <row r="4450" spans="1:11" x14ac:dyDescent="0.25">
      <c r="A4450">
        <v>4449</v>
      </c>
      <c r="B4450" s="23">
        <v>1186.586317</v>
      </c>
      <c r="C4450" s="23">
        <v>533.87</v>
      </c>
      <c r="D4450" s="23">
        <v>2146.0940000000001</v>
      </c>
      <c r="E4450" s="23">
        <v>1186.586</v>
      </c>
      <c r="F4450" s="23">
        <v>-959.50800000000004</v>
      </c>
      <c r="G4450" s="23">
        <v>0</v>
      </c>
      <c r="H4450" s="23">
        <v>0</v>
      </c>
      <c r="I4450" s="23">
        <v>0</v>
      </c>
      <c r="J4450" s="23">
        <v>0</v>
      </c>
      <c r="K4450" s="23">
        <v>0</v>
      </c>
    </row>
    <row r="4451" spans="1:11" x14ac:dyDescent="0.25">
      <c r="A4451">
        <v>4450</v>
      </c>
      <c r="B4451" s="23">
        <v>1347.139244</v>
      </c>
      <c r="C4451" s="23">
        <v>717.62</v>
      </c>
      <c r="D4451" s="23">
        <v>2825.0509999999999</v>
      </c>
      <c r="E4451" s="23">
        <v>1347.1389999999999</v>
      </c>
      <c r="F4451" s="23">
        <v>-1477.912</v>
      </c>
      <c r="G4451" s="23">
        <v>0</v>
      </c>
      <c r="H4451" s="23">
        <v>0</v>
      </c>
      <c r="I4451" s="23">
        <v>0</v>
      </c>
      <c r="J4451" s="23">
        <v>0</v>
      </c>
      <c r="K4451" s="23">
        <v>0</v>
      </c>
    </row>
    <row r="4452" spans="1:11" x14ac:dyDescent="0.25">
      <c r="A4452">
        <v>4451</v>
      </c>
      <c r="B4452" s="23">
        <v>1551.5661399999999</v>
      </c>
      <c r="C4452" s="23">
        <v>846.1</v>
      </c>
      <c r="D4452" s="23">
        <v>3273.837</v>
      </c>
      <c r="E4452" s="23">
        <v>1551.567</v>
      </c>
      <c r="F4452" s="23">
        <v>-1684.559</v>
      </c>
      <c r="G4452" s="23">
        <v>0</v>
      </c>
      <c r="H4452" s="23">
        <v>37.710999999999999</v>
      </c>
      <c r="I4452" s="23">
        <v>0</v>
      </c>
      <c r="J4452" s="23">
        <v>0</v>
      </c>
      <c r="K4452" s="23">
        <v>0</v>
      </c>
    </row>
    <row r="4453" spans="1:11" x14ac:dyDescent="0.25">
      <c r="A4453">
        <v>4452</v>
      </c>
      <c r="B4453" s="23">
        <v>1023.202449</v>
      </c>
      <c r="C4453" s="23">
        <v>911.95</v>
      </c>
      <c r="D4453" s="23">
        <v>3500.974999999999</v>
      </c>
      <c r="E4453" s="23">
        <v>1023.203</v>
      </c>
      <c r="F4453" s="23">
        <v>-1684.559</v>
      </c>
      <c r="G4453" s="23">
        <v>0</v>
      </c>
      <c r="H4453" s="23">
        <v>793.21299999999997</v>
      </c>
      <c r="I4453" s="23">
        <v>0</v>
      </c>
      <c r="J4453" s="23">
        <v>0</v>
      </c>
      <c r="K4453" s="23">
        <v>0</v>
      </c>
    </row>
    <row r="4454" spans="1:11" x14ac:dyDescent="0.25">
      <c r="A4454">
        <v>4453</v>
      </c>
      <c r="B4454" s="23">
        <v>1250.4935720000001</v>
      </c>
      <c r="C4454" s="23">
        <v>627.66</v>
      </c>
      <c r="D4454" s="23">
        <v>2404.951</v>
      </c>
      <c r="E4454" s="23">
        <v>1250.4929999999999</v>
      </c>
      <c r="F4454" s="23">
        <v>-1048.19</v>
      </c>
      <c r="G4454" s="23">
        <v>0</v>
      </c>
      <c r="H4454" s="23">
        <v>106.268</v>
      </c>
      <c r="I4454" s="23">
        <v>0</v>
      </c>
      <c r="J4454" s="23">
        <v>0</v>
      </c>
      <c r="K4454" s="23">
        <v>0</v>
      </c>
    </row>
    <row r="4455" spans="1:11" x14ac:dyDescent="0.25">
      <c r="A4455">
        <v>4454</v>
      </c>
      <c r="B4455" s="23">
        <v>1279.2450160000001</v>
      </c>
      <c r="C4455" s="23">
        <v>716.18</v>
      </c>
      <c r="D4455" s="23">
        <v>2750.3229999999999</v>
      </c>
      <c r="E4455" s="23">
        <v>1279.2449999999999</v>
      </c>
      <c r="F4455" s="23">
        <v>0</v>
      </c>
      <c r="G4455" s="23">
        <v>0</v>
      </c>
      <c r="H4455" s="23">
        <v>1471.078</v>
      </c>
      <c r="I4455" s="23">
        <v>0</v>
      </c>
      <c r="J4455" s="23">
        <v>0</v>
      </c>
      <c r="K4455" s="23">
        <v>0</v>
      </c>
    </row>
    <row r="4456" spans="1:11" x14ac:dyDescent="0.25">
      <c r="A4456">
        <v>4455</v>
      </c>
      <c r="B4456" s="23">
        <v>790.38153769999997</v>
      </c>
      <c r="C4456" s="23">
        <v>527.54</v>
      </c>
      <c r="D4456" s="23">
        <v>2053.1729999999998</v>
      </c>
      <c r="E4456" s="23">
        <v>790.38199999999995</v>
      </c>
      <c r="F4456" s="23">
        <v>0</v>
      </c>
      <c r="G4456" s="23">
        <v>0</v>
      </c>
      <c r="H4456" s="23">
        <v>1262.7909999999999</v>
      </c>
      <c r="I4456" s="23">
        <v>0</v>
      </c>
      <c r="J4456" s="23">
        <v>0</v>
      </c>
      <c r="K4456" s="23">
        <v>0</v>
      </c>
    </row>
    <row r="4457" spans="1:11" x14ac:dyDescent="0.25">
      <c r="A4457">
        <v>4456</v>
      </c>
      <c r="B4457" s="23">
        <v>1057.9645700000001</v>
      </c>
      <c r="C4457" s="23">
        <v>420.19</v>
      </c>
      <c r="D4457" s="23">
        <v>1659.0360000000001</v>
      </c>
      <c r="E4457" s="23">
        <v>1057.9649999999999</v>
      </c>
      <c r="F4457" s="23">
        <v>0</v>
      </c>
      <c r="G4457" s="23">
        <v>0</v>
      </c>
      <c r="H4457" s="23">
        <v>601.07100000000003</v>
      </c>
      <c r="I4457" s="23">
        <v>0</v>
      </c>
      <c r="J4457" s="23">
        <v>0</v>
      </c>
      <c r="K4457" s="23">
        <v>0</v>
      </c>
    </row>
    <row r="4458" spans="1:11" x14ac:dyDescent="0.25">
      <c r="A4458">
        <v>4457</v>
      </c>
      <c r="B4458" s="23">
        <v>1309.843177</v>
      </c>
      <c r="C4458" s="23">
        <v>129.49</v>
      </c>
      <c r="D4458" s="23">
        <v>494.38400000000001</v>
      </c>
      <c r="E4458" s="23">
        <v>494.38400000000001</v>
      </c>
      <c r="F4458" s="23">
        <v>0</v>
      </c>
      <c r="G4458" s="23">
        <v>0</v>
      </c>
      <c r="H4458" s="23">
        <v>0</v>
      </c>
      <c r="I4458" s="23">
        <v>815.45899999999995</v>
      </c>
      <c r="J4458" s="23">
        <v>0</v>
      </c>
      <c r="K4458" s="23">
        <v>0</v>
      </c>
    </row>
    <row r="4459" spans="1:11" x14ac:dyDescent="0.25">
      <c r="A4459">
        <v>4458</v>
      </c>
      <c r="B4459" s="23">
        <v>1349.9434209999999</v>
      </c>
      <c r="C4459" s="23">
        <v>56.85</v>
      </c>
      <c r="D4459" s="23">
        <v>196.697</v>
      </c>
      <c r="E4459" s="23">
        <v>196.697</v>
      </c>
      <c r="F4459" s="23">
        <v>0</v>
      </c>
      <c r="G4459" s="23">
        <v>0</v>
      </c>
      <c r="H4459" s="23">
        <v>0</v>
      </c>
      <c r="I4459" s="23">
        <v>0</v>
      </c>
      <c r="J4459" s="23">
        <v>0</v>
      </c>
      <c r="K4459" s="23">
        <v>1153.2470000000001</v>
      </c>
    </row>
    <row r="4460" spans="1:11" x14ac:dyDescent="0.25">
      <c r="A4460">
        <v>4459</v>
      </c>
      <c r="B4460" s="23">
        <v>1201.789996</v>
      </c>
      <c r="C4460" s="23">
        <v>0</v>
      </c>
      <c r="D4460" s="23">
        <v>0</v>
      </c>
      <c r="E4460" s="23">
        <v>0</v>
      </c>
      <c r="F4460" s="23">
        <v>0</v>
      </c>
      <c r="G4460" s="23">
        <v>0</v>
      </c>
      <c r="H4460" s="23">
        <v>0</v>
      </c>
      <c r="I4460" s="23">
        <v>0</v>
      </c>
      <c r="J4460" s="23">
        <v>0</v>
      </c>
      <c r="K4460" s="23">
        <v>1201.79</v>
      </c>
    </row>
    <row r="4461" spans="1:11" x14ac:dyDescent="0.25">
      <c r="A4461">
        <v>4460</v>
      </c>
      <c r="B4461" s="23">
        <v>1417.283375</v>
      </c>
      <c r="C4461" s="23">
        <v>0</v>
      </c>
      <c r="D4461" s="23">
        <v>0</v>
      </c>
      <c r="E4461" s="23">
        <v>0</v>
      </c>
      <c r="F4461" s="23">
        <v>0</v>
      </c>
      <c r="G4461" s="23">
        <v>0</v>
      </c>
      <c r="H4461" s="23">
        <v>0</v>
      </c>
      <c r="I4461" s="23">
        <v>0</v>
      </c>
      <c r="J4461" s="23">
        <v>0</v>
      </c>
      <c r="K4461" s="23">
        <v>1417.2829999999999</v>
      </c>
    </row>
    <row r="4462" spans="1:11" x14ac:dyDescent="0.25">
      <c r="A4462">
        <v>4461</v>
      </c>
      <c r="B4462" s="23">
        <v>1335.0919899999999</v>
      </c>
      <c r="C4462" s="23">
        <v>0</v>
      </c>
      <c r="D4462" s="23">
        <v>0</v>
      </c>
      <c r="E4462" s="23">
        <v>0</v>
      </c>
      <c r="F4462" s="23">
        <v>0</v>
      </c>
      <c r="G4462" s="23">
        <v>0</v>
      </c>
      <c r="H4462" s="23">
        <v>0</v>
      </c>
      <c r="I4462" s="23">
        <v>1335.0920000000001</v>
      </c>
      <c r="J4462" s="23">
        <v>0</v>
      </c>
      <c r="K4462" s="23">
        <v>0</v>
      </c>
    </row>
    <row r="4463" spans="1:11" x14ac:dyDescent="0.25">
      <c r="A4463">
        <v>4462</v>
      </c>
      <c r="B4463" s="23">
        <v>1290.1975359999999</v>
      </c>
      <c r="C4463" s="23">
        <v>0</v>
      </c>
      <c r="D4463" s="23">
        <v>0</v>
      </c>
      <c r="E4463" s="23">
        <v>0</v>
      </c>
      <c r="F4463" s="23">
        <v>0</v>
      </c>
      <c r="G4463" s="23">
        <v>0</v>
      </c>
      <c r="H4463" s="23">
        <v>0</v>
      </c>
      <c r="I4463" s="23">
        <v>1290.1980000000001</v>
      </c>
      <c r="J4463" s="23">
        <v>0</v>
      </c>
      <c r="K4463" s="23">
        <v>0</v>
      </c>
    </row>
    <row r="4464" spans="1:11" x14ac:dyDescent="0.25">
      <c r="A4464">
        <v>4463</v>
      </c>
      <c r="B4464" s="23">
        <v>1175.5440080000001</v>
      </c>
      <c r="C4464" s="23">
        <v>0</v>
      </c>
      <c r="D4464" s="23">
        <v>0</v>
      </c>
      <c r="E4464" s="23">
        <v>0</v>
      </c>
      <c r="F4464" s="23">
        <v>0</v>
      </c>
      <c r="G4464" s="23">
        <v>0</v>
      </c>
      <c r="H4464" s="23">
        <v>0</v>
      </c>
      <c r="I4464" s="23">
        <v>1175.5440000000001</v>
      </c>
      <c r="J4464" s="23">
        <v>0</v>
      </c>
      <c r="K4464" s="23">
        <v>0</v>
      </c>
    </row>
    <row r="4465" spans="1:11" x14ac:dyDescent="0.25">
      <c r="A4465">
        <v>4464</v>
      </c>
      <c r="B4465" s="23">
        <v>1105.7849329999999</v>
      </c>
      <c r="C4465" s="23">
        <v>0</v>
      </c>
      <c r="D4465" s="23">
        <v>0</v>
      </c>
      <c r="E4465" s="23">
        <v>0</v>
      </c>
      <c r="F4465" s="23">
        <v>0</v>
      </c>
      <c r="G4465" s="23">
        <v>0</v>
      </c>
      <c r="H4465" s="23">
        <v>0</v>
      </c>
      <c r="I4465" s="23">
        <v>1105.7850000000001</v>
      </c>
      <c r="J4465" s="23">
        <v>0</v>
      </c>
      <c r="K4465" s="23">
        <v>0</v>
      </c>
    </row>
    <row r="4466" spans="1:11" x14ac:dyDescent="0.25">
      <c r="A4466">
        <v>4465</v>
      </c>
      <c r="B4466" s="23">
        <v>1215.603674</v>
      </c>
      <c r="C4466" s="23">
        <v>0</v>
      </c>
      <c r="D4466" s="23">
        <v>0</v>
      </c>
      <c r="E4466" s="23">
        <v>0</v>
      </c>
      <c r="F4466" s="23">
        <v>0</v>
      </c>
      <c r="G4466" s="23">
        <v>0</v>
      </c>
      <c r="H4466" s="23">
        <v>0</v>
      </c>
      <c r="I4466" s="23">
        <v>1215.604</v>
      </c>
      <c r="J4466" s="23">
        <v>0</v>
      </c>
      <c r="K4466" s="23">
        <v>0</v>
      </c>
    </row>
    <row r="4467" spans="1:11" x14ac:dyDescent="0.25">
      <c r="A4467">
        <v>4466</v>
      </c>
      <c r="B4467" s="23">
        <v>895.12634209999999</v>
      </c>
      <c r="C4467" s="23">
        <v>0</v>
      </c>
      <c r="D4467" s="23">
        <v>0</v>
      </c>
      <c r="E4467" s="23">
        <v>0</v>
      </c>
      <c r="F4467" s="23">
        <v>0</v>
      </c>
      <c r="G4467" s="23">
        <v>0</v>
      </c>
      <c r="H4467" s="23">
        <v>0</v>
      </c>
      <c r="I4467" s="23">
        <v>895.12599999999998</v>
      </c>
      <c r="J4467" s="23">
        <v>0</v>
      </c>
      <c r="K4467" s="23">
        <v>0</v>
      </c>
    </row>
    <row r="4468" spans="1:11" x14ac:dyDescent="0.25">
      <c r="A4468">
        <v>4467</v>
      </c>
      <c r="B4468" s="23">
        <v>966.26678440000001</v>
      </c>
      <c r="C4468" s="23">
        <v>0</v>
      </c>
      <c r="D4468" s="23">
        <v>0</v>
      </c>
      <c r="E4468" s="23">
        <v>0</v>
      </c>
      <c r="F4468" s="23">
        <v>0</v>
      </c>
      <c r="G4468" s="23">
        <v>0</v>
      </c>
      <c r="H4468" s="23">
        <v>0</v>
      </c>
      <c r="I4468" s="23">
        <v>966.26700000000005</v>
      </c>
      <c r="J4468" s="23">
        <v>0</v>
      </c>
      <c r="K4468" s="23">
        <v>0</v>
      </c>
    </row>
    <row r="4469" spans="1:11" x14ac:dyDescent="0.25">
      <c r="A4469">
        <v>4468</v>
      </c>
      <c r="B4469" s="23">
        <v>1008.398503</v>
      </c>
      <c r="C4469" s="23">
        <v>0</v>
      </c>
      <c r="D4469" s="23">
        <v>0</v>
      </c>
      <c r="E4469" s="23">
        <v>0</v>
      </c>
      <c r="F4469" s="23">
        <v>0</v>
      </c>
      <c r="G4469" s="23">
        <v>0</v>
      </c>
      <c r="H4469" s="23">
        <v>0</v>
      </c>
      <c r="I4469" s="23">
        <v>1008.399</v>
      </c>
      <c r="J4469" s="23">
        <v>0</v>
      </c>
      <c r="K4469" s="23">
        <v>0</v>
      </c>
    </row>
    <row r="4470" spans="1:11" x14ac:dyDescent="0.25">
      <c r="A4470">
        <v>4469</v>
      </c>
      <c r="B4470" s="23">
        <v>1040.1699619999999</v>
      </c>
      <c r="C4470" s="23">
        <v>0</v>
      </c>
      <c r="D4470" s="23">
        <v>0</v>
      </c>
      <c r="E4470" s="23">
        <v>0</v>
      </c>
      <c r="F4470" s="23">
        <v>0</v>
      </c>
      <c r="G4470" s="23">
        <v>0</v>
      </c>
      <c r="H4470" s="23">
        <v>0</v>
      </c>
      <c r="I4470" s="23">
        <v>4.8760000000000003</v>
      </c>
      <c r="J4470" s="23">
        <v>0</v>
      </c>
      <c r="K4470" s="23">
        <v>1035.2940000000001</v>
      </c>
    </row>
    <row r="4471" spans="1:11" x14ac:dyDescent="0.25">
      <c r="A4471">
        <v>4470</v>
      </c>
      <c r="B4471" s="23">
        <v>973.17362349999996</v>
      </c>
      <c r="C4471" s="23">
        <v>0</v>
      </c>
      <c r="D4471" s="23">
        <v>0</v>
      </c>
      <c r="E4471" s="23">
        <v>0</v>
      </c>
      <c r="F4471" s="23">
        <v>0</v>
      </c>
      <c r="G4471" s="23">
        <v>0</v>
      </c>
      <c r="H4471" s="23">
        <v>0</v>
      </c>
      <c r="I4471" s="23">
        <v>0</v>
      </c>
      <c r="J4471" s="23">
        <v>0</v>
      </c>
      <c r="K4471" s="23">
        <v>973.17399999999998</v>
      </c>
    </row>
    <row r="4472" spans="1:11" x14ac:dyDescent="0.25">
      <c r="A4472">
        <v>4471</v>
      </c>
      <c r="B4472" s="23">
        <v>1027.737652</v>
      </c>
      <c r="C4472" s="23">
        <v>72.08</v>
      </c>
      <c r="D4472" s="23">
        <v>256.67599999999999</v>
      </c>
      <c r="E4472" s="23">
        <v>256.67599999999999</v>
      </c>
      <c r="F4472" s="23">
        <v>0</v>
      </c>
      <c r="G4472" s="23">
        <v>0</v>
      </c>
      <c r="H4472" s="23">
        <v>0</v>
      </c>
      <c r="I4472" s="23">
        <v>0</v>
      </c>
      <c r="J4472" s="23">
        <v>0</v>
      </c>
      <c r="K4472" s="23">
        <v>771.06100000000004</v>
      </c>
    </row>
    <row r="4473" spans="1:11" x14ac:dyDescent="0.25">
      <c r="A4473">
        <v>4472</v>
      </c>
      <c r="B4473" s="23">
        <v>181.6015194</v>
      </c>
      <c r="C4473" s="23">
        <v>214.53</v>
      </c>
      <c r="D4473" s="23">
        <v>843.18100000000004</v>
      </c>
      <c r="E4473" s="23">
        <v>181.601</v>
      </c>
      <c r="F4473" s="23">
        <v>-661.58</v>
      </c>
      <c r="G4473" s="23">
        <v>0</v>
      </c>
      <c r="H4473" s="23">
        <v>0</v>
      </c>
      <c r="I4473" s="23">
        <v>0</v>
      </c>
      <c r="J4473" s="23">
        <v>0</v>
      </c>
      <c r="K4473" s="23">
        <v>0</v>
      </c>
    </row>
    <row r="4474" spans="1:11" x14ac:dyDescent="0.25">
      <c r="A4474">
        <v>4473</v>
      </c>
      <c r="B4474" s="23">
        <v>87.355973710000001</v>
      </c>
      <c r="C4474" s="23">
        <v>359.1</v>
      </c>
      <c r="D4474" s="23">
        <v>1412.5719999999999</v>
      </c>
      <c r="E4474" s="23">
        <v>87.355999999999995</v>
      </c>
      <c r="F4474" s="23">
        <v>-1325.2159999999999</v>
      </c>
      <c r="G4474" s="23">
        <v>0</v>
      </c>
      <c r="H4474" s="23">
        <v>0</v>
      </c>
      <c r="I4474" s="23">
        <v>0</v>
      </c>
      <c r="J4474" s="23">
        <v>0</v>
      </c>
      <c r="K4474" s="23">
        <v>0</v>
      </c>
    </row>
    <row r="4475" spans="1:11" x14ac:dyDescent="0.25">
      <c r="A4475">
        <v>4474</v>
      </c>
      <c r="B4475" s="23">
        <v>0</v>
      </c>
      <c r="C4475" s="23">
        <v>429.06</v>
      </c>
      <c r="D4475" s="23">
        <v>1663.6690000000001</v>
      </c>
      <c r="E4475" s="23">
        <v>0</v>
      </c>
      <c r="F4475" s="23">
        <v>-1663.6690000000001</v>
      </c>
      <c r="G4475" s="23">
        <v>0</v>
      </c>
      <c r="H4475" s="23">
        <v>0</v>
      </c>
      <c r="I4475" s="23">
        <v>0</v>
      </c>
      <c r="J4475" s="23">
        <v>0</v>
      </c>
      <c r="K4475" s="23">
        <v>0</v>
      </c>
    </row>
    <row r="4476" spans="1:11" x14ac:dyDescent="0.25">
      <c r="A4476">
        <v>4475</v>
      </c>
      <c r="B4476" s="23">
        <v>0</v>
      </c>
      <c r="C4476" s="23">
        <v>604.77</v>
      </c>
      <c r="D4476" s="23">
        <v>2315.402</v>
      </c>
      <c r="E4476" s="23">
        <v>0</v>
      </c>
      <c r="F4476" s="23">
        <v>-1684.559</v>
      </c>
      <c r="G4476" s="23">
        <v>0</v>
      </c>
      <c r="H4476" s="23">
        <v>630.84299999999996</v>
      </c>
      <c r="I4476" s="23">
        <v>0</v>
      </c>
      <c r="J4476" s="23">
        <v>0</v>
      </c>
      <c r="K4476" s="23">
        <v>0</v>
      </c>
    </row>
    <row r="4477" spans="1:11" x14ac:dyDescent="0.25">
      <c r="A4477">
        <v>4476</v>
      </c>
      <c r="B4477" s="23">
        <v>0</v>
      </c>
      <c r="C4477" s="23">
        <v>724.96</v>
      </c>
      <c r="D4477" s="23">
        <v>2746.6660000000002</v>
      </c>
      <c r="E4477" s="23">
        <v>1E-3</v>
      </c>
      <c r="F4477" s="23">
        <v>-1684.559</v>
      </c>
      <c r="G4477" s="23">
        <v>0</v>
      </c>
      <c r="H4477" s="23">
        <v>1062.106</v>
      </c>
      <c r="I4477" s="23">
        <v>0</v>
      </c>
      <c r="J4477" s="23">
        <v>0</v>
      </c>
      <c r="K4477" s="23">
        <v>0</v>
      </c>
    </row>
    <row r="4478" spans="1:11" x14ac:dyDescent="0.25">
      <c r="A4478">
        <v>4477</v>
      </c>
      <c r="B4478" s="23">
        <v>0</v>
      </c>
      <c r="C4478" s="23">
        <v>749.98</v>
      </c>
      <c r="D4478" s="23">
        <v>2836.607</v>
      </c>
      <c r="E4478" s="23">
        <v>0</v>
      </c>
      <c r="F4478" s="23">
        <v>-271.91500000000002</v>
      </c>
      <c r="G4478" s="23">
        <v>0</v>
      </c>
      <c r="H4478" s="23">
        <v>2564.692</v>
      </c>
      <c r="I4478" s="23">
        <v>0</v>
      </c>
      <c r="J4478" s="23">
        <v>0</v>
      </c>
      <c r="K4478" s="23">
        <v>0</v>
      </c>
    </row>
    <row r="4479" spans="1:11" x14ac:dyDescent="0.25">
      <c r="A4479">
        <v>4478</v>
      </c>
      <c r="B4479" s="23">
        <v>0</v>
      </c>
      <c r="C4479" s="23">
        <v>703.14</v>
      </c>
      <c r="D4479" s="23">
        <v>2677.6460000000002</v>
      </c>
      <c r="E4479" s="23">
        <v>0</v>
      </c>
      <c r="F4479" s="23">
        <v>0</v>
      </c>
      <c r="G4479" s="23">
        <v>0</v>
      </c>
      <c r="H4479" s="23">
        <v>2677.6460000000002</v>
      </c>
      <c r="I4479" s="23">
        <v>0</v>
      </c>
      <c r="J4479" s="23">
        <v>0</v>
      </c>
      <c r="K4479" s="23">
        <v>0</v>
      </c>
    </row>
    <row r="4480" spans="1:11" x14ac:dyDescent="0.25">
      <c r="A4480">
        <v>4479</v>
      </c>
      <c r="B4480" s="23">
        <v>0</v>
      </c>
      <c r="C4480" s="23">
        <v>450.3</v>
      </c>
      <c r="D4480" s="23">
        <v>1743.4649999999999</v>
      </c>
      <c r="E4480" s="23">
        <v>0</v>
      </c>
      <c r="F4480" s="23">
        <v>0</v>
      </c>
      <c r="G4480" s="23">
        <v>0</v>
      </c>
      <c r="H4480" s="23">
        <v>1743.4649999999999</v>
      </c>
      <c r="I4480" s="23">
        <v>0</v>
      </c>
      <c r="J4480" s="23">
        <v>0</v>
      </c>
      <c r="K4480" s="23">
        <v>0</v>
      </c>
    </row>
    <row r="4481" spans="1:11" x14ac:dyDescent="0.25">
      <c r="A4481">
        <v>4480</v>
      </c>
      <c r="B4481" s="23">
        <v>0</v>
      </c>
      <c r="C4481" s="23">
        <v>393.31</v>
      </c>
      <c r="D4481" s="23">
        <v>1544.154</v>
      </c>
      <c r="E4481" s="23">
        <v>0</v>
      </c>
      <c r="F4481" s="23">
        <v>0</v>
      </c>
      <c r="G4481" s="23">
        <v>0</v>
      </c>
      <c r="H4481" s="23">
        <v>1544.154</v>
      </c>
      <c r="I4481" s="23">
        <v>0</v>
      </c>
      <c r="J4481" s="23">
        <v>0</v>
      </c>
      <c r="K4481" s="23">
        <v>0</v>
      </c>
    </row>
    <row r="4482" spans="1:11" x14ac:dyDescent="0.25">
      <c r="A4482">
        <v>4481</v>
      </c>
      <c r="B4482" s="23">
        <v>0</v>
      </c>
      <c r="C4482" s="23">
        <v>283.01</v>
      </c>
      <c r="D4482" s="23">
        <v>1106.78</v>
      </c>
      <c r="E4482" s="23">
        <v>0</v>
      </c>
      <c r="F4482" s="23">
        <v>0</v>
      </c>
      <c r="G4482" s="23">
        <v>0</v>
      </c>
      <c r="H4482" s="23">
        <v>1106.78</v>
      </c>
      <c r="I4482" s="23">
        <v>0</v>
      </c>
      <c r="J4482" s="23">
        <v>0</v>
      </c>
      <c r="K4482" s="23">
        <v>0</v>
      </c>
    </row>
    <row r="4483" spans="1:11" x14ac:dyDescent="0.25">
      <c r="A4483">
        <v>4482</v>
      </c>
      <c r="B4483" s="23">
        <v>0</v>
      </c>
      <c r="C4483" s="23">
        <v>88.79</v>
      </c>
      <c r="D4483" s="23">
        <v>301.577</v>
      </c>
      <c r="E4483" s="23">
        <v>0</v>
      </c>
      <c r="F4483" s="23">
        <v>0</v>
      </c>
      <c r="G4483" s="23">
        <v>0</v>
      </c>
      <c r="H4483" s="23">
        <v>301.577</v>
      </c>
      <c r="I4483" s="23">
        <v>0</v>
      </c>
      <c r="J4483" s="23">
        <v>0</v>
      </c>
      <c r="K4483" s="23">
        <v>0</v>
      </c>
    </row>
    <row r="4484" spans="1:11" x14ac:dyDescent="0.25">
      <c r="A4484">
        <v>4483</v>
      </c>
      <c r="B4484" s="23">
        <v>0</v>
      </c>
      <c r="C4484" s="23">
        <v>0</v>
      </c>
      <c r="D4484" s="23">
        <v>0</v>
      </c>
      <c r="E4484" s="23">
        <v>0</v>
      </c>
      <c r="F4484" s="23">
        <v>0</v>
      </c>
      <c r="G4484" s="23">
        <v>0</v>
      </c>
      <c r="H4484" s="23">
        <v>0</v>
      </c>
      <c r="I4484" s="23">
        <v>0</v>
      </c>
      <c r="J4484" s="23">
        <v>0</v>
      </c>
      <c r="K4484" s="23">
        <v>0</v>
      </c>
    </row>
    <row r="4485" spans="1:11" x14ac:dyDescent="0.25">
      <c r="A4485">
        <v>4484</v>
      </c>
      <c r="B4485" s="23">
        <v>0</v>
      </c>
      <c r="C4485" s="23">
        <v>0</v>
      </c>
      <c r="D4485" s="23">
        <v>0</v>
      </c>
      <c r="E4485" s="23">
        <v>0</v>
      </c>
      <c r="F4485" s="23">
        <v>0</v>
      </c>
      <c r="G4485" s="23">
        <v>0</v>
      </c>
      <c r="H4485" s="23">
        <v>0</v>
      </c>
      <c r="I4485" s="23">
        <v>0</v>
      </c>
      <c r="J4485" s="23">
        <v>0</v>
      </c>
      <c r="K4485" s="23">
        <v>0</v>
      </c>
    </row>
    <row r="4486" spans="1:11" x14ac:dyDescent="0.25">
      <c r="A4486">
        <v>4485</v>
      </c>
      <c r="B4486" s="23">
        <v>118.7976318</v>
      </c>
      <c r="C4486" s="23">
        <v>0</v>
      </c>
      <c r="D4486" s="23">
        <v>0</v>
      </c>
      <c r="E4486" s="23">
        <v>0</v>
      </c>
      <c r="F4486" s="23">
        <v>0</v>
      </c>
      <c r="G4486" s="23">
        <v>0</v>
      </c>
      <c r="H4486" s="23">
        <v>0</v>
      </c>
      <c r="I4486" s="23">
        <v>0</v>
      </c>
      <c r="J4486" s="23">
        <v>0</v>
      </c>
      <c r="K4486" s="23">
        <v>118.798</v>
      </c>
    </row>
    <row r="4487" spans="1:11" x14ac:dyDescent="0.25">
      <c r="A4487">
        <v>4486</v>
      </c>
      <c r="B4487" s="23">
        <v>193.39149370000001</v>
      </c>
      <c r="C4487" s="23">
        <v>0</v>
      </c>
      <c r="D4487" s="23">
        <v>0</v>
      </c>
      <c r="E4487" s="23">
        <v>0</v>
      </c>
      <c r="F4487" s="23">
        <v>0</v>
      </c>
      <c r="G4487" s="23">
        <v>0</v>
      </c>
      <c r="H4487" s="23">
        <v>0</v>
      </c>
      <c r="I4487" s="23">
        <v>0</v>
      </c>
      <c r="J4487" s="23">
        <v>0</v>
      </c>
      <c r="K4487" s="23">
        <v>193.39099999999999</v>
      </c>
    </row>
    <row r="4488" spans="1:11" x14ac:dyDescent="0.25">
      <c r="A4488">
        <v>4487</v>
      </c>
      <c r="B4488" s="23">
        <v>241.0486832</v>
      </c>
      <c r="C4488" s="23">
        <v>0</v>
      </c>
      <c r="D4488" s="23">
        <v>0</v>
      </c>
      <c r="E4488" s="23">
        <v>0</v>
      </c>
      <c r="F4488" s="23">
        <v>0</v>
      </c>
      <c r="G4488" s="23">
        <v>0</v>
      </c>
      <c r="H4488" s="23">
        <v>0</v>
      </c>
      <c r="I4488" s="23">
        <v>0</v>
      </c>
      <c r="J4488" s="23">
        <v>0</v>
      </c>
      <c r="K4488" s="23">
        <v>241.04900000000001</v>
      </c>
    </row>
    <row r="4489" spans="1:11" x14ac:dyDescent="0.25">
      <c r="A4489">
        <v>4488</v>
      </c>
      <c r="B4489" s="23">
        <v>237.59526360000001</v>
      </c>
      <c r="C4489" s="23">
        <v>0</v>
      </c>
      <c r="D4489" s="23">
        <v>0</v>
      </c>
      <c r="E4489" s="23">
        <v>0</v>
      </c>
      <c r="F4489" s="23">
        <v>0</v>
      </c>
      <c r="G4489" s="23">
        <v>0</v>
      </c>
      <c r="H4489" s="23">
        <v>0</v>
      </c>
      <c r="I4489" s="23">
        <v>0</v>
      </c>
      <c r="J4489" s="23">
        <v>0</v>
      </c>
      <c r="K4489" s="23">
        <v>237.595</v>
      </c>
    </row>
    <row r="4490" spans="1:11" x14ac:dyDescent="0.25">
      <c r="A4490">
        <v>4489</v>
      </c>
      <c r="B4490" s="23">
        <v>234.832528</v>
      </c>
      <c r="C4490" s="23">
        <v>0</v>
      </c>
      <c r="D4490" s="23">
        <v>0</v>
      </c>
      <c r="E4490" s="23">
        <v>0</v>
      </c>
      <c r="F4490" s="23">
        <v>0</v>
      </c>
      <c r="G4490" s="23">
        <v>0</v>
      </c>
      <c r="H4490" s="23">
        <v>0</v>
      </c>
      <c r="I4490" s="23">
        <v>0</v>
      </c>
      <c r="J4490" s="23">
        <v>0</v>
      </c>
      <c r="K4490" s="23">
        <v>234.833</v>
      </c>
    </row>
    <row r="4491" spans="1:11" x14ac:dyDescent="0.25">
      <c r="A4491">
        <v>4490</v>
      </c>
      <c r="B4491" s="23">
        <v>251.40894180000001</v>
      </c>
      <c r="C4491" s="23">
        <v>0</v>
      </c>
      <c r="D4491" s="23">
        <v>0</v>
      </c>
      <c r="E4491" s="23">
        <v>0</v>
      </c>
      <c r="F4491" s="23">
        <v>0</v>
      </c>
      <c r="G4491" s="23">
        <v>0</v>
      </c>
      <c r="H4491" s="23">
        <v>0</v>
      </c>
      <c r="I4491" s="23">
        <v>0</v>
      </c>
      <c r="J4491" s="23">
        <v>0</v>
      </c>
      <c r="K4491" s="23">
        <v>251.40899999999999</v>
      </c>
    </row>
    <row r="4492" spans="1:11" x14ac:dyDescent="0.25">
      <c r="A4492">
        <v>4491</v>
      </c>
      <c r="B4492" s="23">
        <v>171.98029260000001</v>
      </c>
      <c r="C4492" s="23">
        <v>0</v>
      </c>
      <c r="D4492" s="23">
        <v>0</v>
      </c>
      <c r="E4492" s="23">
        <v>0</v>
      </c>
      <c r="F4492" s="23">
        <v>0</v>
      </c>
      <c r="G4492" s="23">
        <v>0</v>
      </c>
      <c r="H4492" s="23">
        <v>0</v>
      </c>
      <c r="I4492" s="23">
        <v>0</v>
      </c>
      <c r="J4492" s="23">
        <v>0</v>
      </c>
      <c r="K4492" s="23">
        <v>171.98</v>
      </c>
    </row>
    <row r="4493" spans="1:11" x14ac:dyDescent="0.25">
      <c r="A4493">
        <v>4492</v>
      </c>
      <c r="B4493" s="23">
        <v>178.8871316</v>
      </c>
      <c r="C4493" s="23">
        <v>0</v>
      </c>
      <c r="D4493" s="23">
        <v>0</v>
      </c>
      <c r="E4493" s="23">
        <v>0</v>
      </c>
      <c r="F4493" s="23">
        <v>0</v>
      </c>
      <c r="G4493" s="23">
        <v>0</v>
      </c>
      <c r="H4493" s="23">
        <v>0</v>
      </c>
      <c r="I4493" s="23">
        <v>0</v>
      </c>
      <c r="J4493" s="23">
        <v>0</v>
      </c>
      <c r="K4493" s="23">
        <v>178.887</v>
      </c>
    </row>
    <row r="4494" spans="1:11" x14ac:dyDescent="0.25">
      <c r="A4494">
        <v>4493</v>
      </c>
      <c r="B4494" s="23">
        <v>246.5741544</v>
      </c>
      <c r="C4494" s="23">
        <v>0</v>
      </c>
      <c r="D4494" s="23">
        <v>0</v>
      </c>
      <c r="E4494" s="23">
        <v>0</v>
      </c>
      <c r="F4494" s="23">
        <v>0</v>
      </c>
      <c r="G4494" s="23">
        <v>0</v>
      </c>
      <c r="H4494" s="23">
        <v>0</v>
      </c>
      <c r="I4494" s="23">
        <v>0</v>
      </c>
      <c r="J4494" s="23">
        <v>0</v>
      </c>
      <c r="K4494" s="23">
        <v>246.57400000000001</v>
      </c>
    </row>
    <row r="4495" spans="1:11" x14ac:dyDescent="0.25">
      <c r="A4495">
        <v>4494</v>
      </c>
      <c r="B4495" s="23">
        <v>227.92568900000001</v>
      </c>
      <c r="C4495" s="23">
        <v>0</v>
      </c>
      <c r="D4495" s="23">
        <v>0</v>
      </c>
      <c r="E4495" s="23">
        <v>0</v>
      </c>
      <c r="F4495" s="23">
        <v>0</v>
      </c>
      <c r="G4495" s="23">
        <v>0</v>
      </c>
      <c r="H4495" s="23">
        <v>0</v>
      </c>
      <c r="I4495" s="23">
        <v>0</v>
      </c>
      <c r="J4495" s="23">
        <v>0</v>
      </c>
      <c r="K4495" s="23">
        <v>227.92599999999999</v>
      </c>
    </row>
    <row r="4496" spans="1:11" x14ac:dyDescent="0.25">
      <c r="A4496">
        <v>4495</v>
      </c>
      <c r="B4496" s="23">
        <v>274.89219459999998</v>
      </c>
      <c r="C4496" s="23">
        <v>81.17</v>
      </c>
      <c r="D4496" s="23">
        <v>288.75599999999997</v>
      </c>
      <c r="E4496" s="23">
        <v>274.89299999999997</v>
      </c>
      <c r="F4496" s="23">
        <v>-13.863</v>
      </c>
      <c r="G4496" s="23">
        <v>0</v>
      </c>
      <c r="H4496" s="23">
        <v>0</v>
      </c>
      <c r="I4496" s="23">
        <v>0</v>
      </c>
      <c r="J4496" s="23">
        <v>0</v>
      </c>
      <c r="K4496" s="23">
        <v>0</v>
      </c>
    </row>
    <row r="4497" spans="1:11" x14ac:dyDescent="0.25">
      <c r="A4497">
        <v>4496</v>
      </c>
      <c r="B4497" s="23">
        <v>119.5694711</v>
      </c>
      <c r="C4497" s="23">
        <v>298.22000000000003</v>
      </c>
      <c r="D4497" s="23">
        <v>1170.5150000000001</v>
      </c>
      <c r="E4497" s="23">
        <v>119.57</v>
      </c>
      <c r="F4497" s="23">
        <v>-1050.9449999999999</v>
      </c>
      <c r="G4497" s="23">
        <v>0</v>
      </c>
      <c r="H4497" s="23">
        <v>0</v>
      </c>
      <c r="I4497" s="23">
        <v>0</v>
      </c>
      <c r="J4497" s="23">
        <v>0</v>
      </c>
      <c r="K4497" s="23">
        <v>0</v>
      </c>
    </row>
    <row r="4498" spans="1:11" x14ac:dyDescent="0.25">
      <c r="A4498">
        <v>4497</v>
      </c>
      <c r="B4498" s="23">
        <v>639.34450779999997</v>
      </c>
      <c r="C4498" s="23">
        <v>421.31</v>
      </c>
      <c r="D4498" s="23">
        <v>1653.3530000000001</v>
      </c>
      <c r="E4498" s="23">
        <v>639.34400000000005</v>
      </c>
      <c r="F4498" s="23">
        <v>-1014.009</v>
      </c>
      <c r="G4498" s="23">
        <v>0</v>
      </c>
      <c r="H4498" s="23">
        <v>0</v>
      </c>
      <c r="I4498" s="23">
        <v>0</v>
      </c>
      <c r="J4498" s="23">
        <v>0</v>
      </c>
      <c r="K4498" s="23">
        <v>0</v>
      </c>
    </row>
    <row r="4499" spans="1:11" x14ac:dyDescent="0.25">
      <c r="A4499">
        <v>4498</v>
      </c>
      <c r="B4499" s="23">
        <v>1147.06711</v>
      </c>
      <c r="C4499" s="23">
        <v>715.45</v>
      </c>
      <c r="D4499" s="23">
        <v>2779.835</v>
      </c>
      <c r="E4499" s="23">
        <v>1147.067</v>
      </c>
      <c r="F4499" s="23">
        <v>-260.97300000000001</v>
      </c>
      <c r="G4499" s="23">
        <v>0</v>
      </c>
      <c r="H4499" s="23">
        <v>1371.7950000000001</v>
      </c>
      <c r="I4499" s="23">
        <v>0</v>
      </c>
      <c r="J4499" s="23">
        <v>0</v>
      </c>
      <c r="K4499" s="23">
        <v>0</v>
      </c>
    </row>
    <row r="4500" spans="1:11" x14ac:dyDescent="0.25">
      <c r="A4500">
        <v>4499</v>
      </c>
      <c r="B4500" s="23">
        <v>1141.328391</v>
      </c>
      <c r="C4500" s="23">
        <v>835.73</v>
      </c>
      <c r="D4500" s="23">
        <v>3183.348</v>
      </c>
      <c r="E4500" s="23">
        <v>1141.328</v>
      </c>
      <c r="F4500" s="23">
        <v>0</v>
      </c>
      <c r="G4500" s="23">
        <v>0</v>
      </c>
      <c r="H4500" s="23">
        <v>2042.02</v>
      </c>
      <c r="I4500" s="23">
        <v>0</v>
      </c>
      <c r="J4500" s="23">
        <v>0</v>
      </c>
      <c r="K4500" s="23">
        <v>0</v>
      </c>
    </row>
    <row r="4501" spans="1:11" x14ac:dyDescent="0.25">
      <c r="A4501">
        <v>4500</v>
      </c>
      <c r="B4501" s="23">
        <v>1174.7928890000001</v>
      </c>
      <c r="C4501" s="23">
        <v>662.16</v>
      </c>
      <c r="D4501" s="23">
        <v>2499.2669999999998</v>
      </c>
      <c r="E4501" s="23">
        <v>1174.7929999999999</v>
      </c>
      <c r="F4501" s="23">
        <v>0</v>
      </c>
      <c r="G4501" s="23">
        <v>0</v>
      </c>
      <c r="H4501" s="23">
        <v>1324.4739999999999</v>
      </c>
      <c r="I4501" s="23">
        <v>0</v>
      </c>
      <c r="J4501" s="23">
        <v>0</v>
      </c>
      <c r="K4501" s="23">
        <v>0</v>
      </c>
    </row>
    <row r="4502" spans="1:11" x14ac:dyDescent="0.25">
      <c r="A4502">
        <v>4501</v>
      </c>
      <c r="B4502" s="23">
        <v>1161.3383670000001</v>
      </c>
      <c r="C4502" s="23">
        <v>897.35</v>
      </c>
      <c r="D4502" s="23">
        <v>3383.3820000000001</v>
      </c>
      <c r="E4502" s="23">
        <v>1161.3389999999999</v>
      </c>
      <c r="F4502" s="23">
        <v>0</v>
      </c>
      <c r="G4502" s="23">
        <v>0</v>
      </c>
      <c r="H4502" s="23">
        <v>2222.0430000000001</v>
      </c>
      <c r="I4502" s="23">
        <v>0</v>
      </c>
      <c r="J4502" s="23">
        <v>0</v>
      </c>
      <c r="K4502" s="23">
        <v>0</v>
      </c>
    </row>
    <row r="4503" spans="1:11" x14ac:dyDescent="0.25">
      <c r="A4503">
        <v>4502</v>
      </c>
      <c r="B4503" s="23">
        <v>906.23512940000001</v>
      </c>
      <c r="C4503" s="23">
        <v>469.01</v>
      </c>
      <c r="D4503" s="23">
        <v>1790.204</v>
      </c>
      <c r="E4503" s="23">
        <v>906.23500000000001</v>
      </c>
      <c r="F4503" s="23">
        <v>0</v>
      </c>
      <c r="G4503" s="23">
        <v>0</v>
      </c>
      <c r="H4503" s="23">
        <v>883.96900000000005</v>
      </c>
      <c r="I4503" s="23">
        <v>0</v>
      </c>
      <c r="J4503" s="23">
        <v>0</v>
      </c>
      <c r="K4503" s="23">
        <v>0</v>
      </c>
    </row>
    <row r="4504" spans="1:11" x14ac:dyDescent="0.25">
      <c r="A4504">
        <v>4503</v>
      </c>
      <c r="B4504" s="23">
        <v>844.80656610000005</v>
      </c>
      <c r="C4504" s="23">
        <v>147.96</v>
      </c>
      <c r="D4504" s="23">
        <v>554.41999999999996</v>
      </c>
      <c r="E4504" s="23">
        <v>554.41999999999996</v>
      </c>
      <c r="F4504" s="23">
        <v>0</v>
      </c>
      <c r="G4504" s="23">
        <v>0</v>
      </c>
      <c r="H4504" s="23">
        <v>0</v>
      </c>
      <c r="I4504" s="23">
        <v>0</v>
      </c>
      <c r="J4504" s="23">
        <v>0</v>
      </c>
      <c r="K4504" s="23">
        <v>290.38600000000002</v>
      </c>
    </row>
    <row r="4505" spans="1:11" x14ac:dyDescent="0.25">
      <c r="A4505">
        <v>4504</v>
      </c>
      <c r="B4505" s="23">
        <v>961.5295562</v>
      </c>
      <c r="C4505" s="23">
        <v>387.24</v>
      </c>
      <c r="D4505" s="23">
        <v>1516.058</v>
      </c>
      <c r="E4505" s="23">
        <v>961.53</v>
      </c>
      <c r="F4505" s="23">
        <v>-323.16800000000001</v>
      </c>
      <c r="G4505" s="23">
        <v>0</v>
      </c>
      <c r="H4505" s="23">
        <v>231.36</v>
      </c>
      <c r="I4505" s="23">
        <v>0</v>
      </c>
      <c r="J4505" s="23">
        <v>0</v>
      </c>
      <c r="K4505" s="23">
        <v>0</v>
      </c>
    </row>
    <row r="4506" spans="1:11" x14ac:dyDescent="0.25">
      <c r="A4506">
        <v>4505</v>
      </c>
      <c r="B4506" s="23">
        <v>1098.1261119999999</v>
      </c>
      <c r="C4506" s="23">
        <v>14.69</v>
      </c>
      <c r="D4506" s="23">
        <v>32.911000000000001</v>
      </c>
      <c r="E4506" s="23">
        <v>32.911000000000001</v>
      </c>
      <c r="F4506" s="23">
        <v>0</v>
      </c>
      <c r="G4506" s="23">
        <v>0</v>
      </c>
      <c r="H4506" s="23">
        <v>0</v>
      </c>
      <c r="I4506" s="23">
        <v>1065.2149999999999</v>
      </c>
      <c r="J4506" s="23">
        <v>0</v>
      </c>
      <c r="K4506" s="23">
        <v>0</v>
      </c>
    </row>
    <row r="4507" spans="1:11" x14ac:dyDescent="0.25">
      <c r="A4507">
        <v>4506</v>
      </c>
      <c r="B4507" s="23">
        <v>934.12667220000003</v>
      </c>
      <c r="C4507" s="23">
        <v>16.64</v>
      </c>
      <c r="D4507" s="23">
        <v>39.978000000000002</v>
      </c>
      <c r="E4507" s="23">
        <v>39.978000000000002</v>
      </c>
      <c r="F4507" s="23">
        <v>0</v>
      </c>
      <c r="G4507" s="23">
        <v>0</v>
      </c>
      <c r="H4507" s="23">
        <v>0</v>
      </c>
      <c r="I4507" s="23">
        <v>0</v>
      </c>
      <c r="J4507" s="23">
        <v>0</v>
      </c>
      <c r="K4507" s="23">
        <v>894.149</v>
      </c>
    </row>
    <row r="4508" spans="1:11" x14ac:dyDescent="0.25">
      <c r="A4508">
        <v>4507</v>
      </c>
      <c r="B4508" s="23">
        <v>1015.996026</v>
      </c>
      <c r="C4508" s="23">
        <v>0</v>
      </c>
      <c r="D4508" s="23">
        <v>0</v>
      </c>
      <c r="E4508" s="23">
        <v>0</v>
      </c>
      <c r="F4508" s="23">
        <v>0</v>
      </c>
      <c r="G4508" s="23">
        <v>0</v>
      </c>
      <c r="H4508" s="23">
        <v>0</v>
      </c>
      <c r="I4508" s="23">
        <v>0</v>
      </c>
      <c r="J4508" s="23">
        <v>0</v>
      </c>
      <c r="K4508" s="23">
        <v>1015.996</v>
      </c>
    </row>
    <row r="4509" spans="1:11" x14ac:dyDescent="0.25">
      <c r="A4509">
        <v>4508</v>
      </c>
      <c r="B4509" s="23">
        <v>813.62564120000002</v>
      </c>
      <c r="C4509" s="23">
        <v>0</v>
      </c>
      <c r="D4509" s="23">
        <v>0</v>
      </c>
      <c r="E4509" s="23">
        <v>0</v>
      </c>
      <c r="F4509" s="23">
        <v>0</v>
      </c>
      <c r="G4509" s="23">
        <v>0</v>
      </c>
      <c r="H4509" s="23">
        <v>0</v>
      </c>
      <c r="I4509" s="23">
        <v>0</v>
      </c>
      <c r="J4509" s="23">
        <v>0</v>
      </c>
      <c r="K4509" s="23">
        <v>813.62599999999998</v>
      </c>
    </row>
    <row r="4510" spans="1:11" x14ac:dyDescent="0.25">
      <c r="A4510">
        <v>4509</v>
      </c>
      <c r="B4510" s="23">
        <v>770.80323899999996</v>
      </c>
      <c r="C4510" s="23">
        <v>0</v>
      </c>
      <c r="D4510" s="23">
        <v>0</v>
      </c>
      <c r="E4510" s="23">
        <v>0</v>
      </c>
      <c r="F4510" s="23">
        <v>0</v>
      </c>
      <c r="G4510" s="23">
        <v>0</v>
      </c>
      <c r="H4510" s="23">
        <v>0</v>
      </c>
      <c r="I4510" s="23">
        <v>770.803</v>
      </c>
      <c r="J4510" s="23">
        <v>0</v>
      </c>
      <c r="K4510" s="23">
        <v>0</v>
      </c>
    </row>
    <row r="4511" spans="1:11" x14ac:dyDescent="0.25">
      <c r="A4511">
        <v>4510</v>
      </c>
      <c r="B4511" s="23">
        <v>861.97351460000004</v>
      </c>
      <c r="C4511" s="23">
        <v>0</v>
      </c>
      <c r="D4511" s="23">
        <v>0</v>
      </c>
      <c r="E4511" s="23">
        <v>0</v>
      </c>
      <c r="F4511" s="23">
        <v>0</v>
      </c>
      <c r="G4511" s="23">
        <v>0</v>
      </c>
      <c r="H4511" s="23">
        <v>0</v>
      </c>
      <c r="I4511" s="23">
        <v>861.97400000000005</v>
      </c>
      <c r="J4511" s="23">
        <v>0</v>
      </c>
      <c r="K4511" s="23">
        <v>0</v>
      </c>
    </row>
    <row r="4512" spans="1:11" x14ac:dyDescent="0.25">
      <c r="A4512">
        <v>4511</v>
      </c>
      <c r="B4512" s="23">
        <v>1115.454508</v>
      </c>
      <c r="C4512" s="23">
        <v>0</v>
      </c>
      <c r="D4512" s="23">
        <v>0</v>
      </c>
      <c r="E4512" s="23">
        <v>0</v>
      </c>
      <c r="F4512" s="23">
        <v>0</v>
      </c>
      <c r="G4512" s="23">
        <v>0</v>
      </c>
      <c r="H4512" s="23">
        <v>0</v>
      </c>
      <c r="I4512" s="23">
        <v>1115.4549999999999</v>
      </c>
      <c r="J4512" s="23">
        <v>0</v>
      </c>
      <c r="K4512" s="23">
        <v>0</v>
      </c>
    </row>
    <row r="4513" spans="1:11" x14ac:dyDescent="0.25">
      <c r="A4513">
        <v>4512</v>
      </c>
      <c r="B4513" s="23">
        <v>933.11395689999995</v>
      </c>
      <c r="C4513" s="23">
        <v>0</v>
      </c>
      <c r="D4513" s="23">
        <v>0</v>
      </c>
      <c r="E4513" s="23">
        <v>0</v>
      </c>
      <c r="F4513" s="23">
        <v>0</v>
      </c>
      <c r="G4513" s="23">
        <v>0</v>
      </c>
      <c r="H4513" s="23">
        <v>0</v>
      </c>
      <c r="I4513" s="23">
        <v>933.11400000000003</v>
      </c>
      <c r="J4513" s="23">
        <v>0</v>
      </c>
      <c r="K4513" s="23">
        <v>0</v>
      </c>
    </row>
    <row r="4514" spans="1:11" x14ac:dyDescent="0.25">
      <c r="A4514">
        <v>4513</v>
      </c>
      <c r="B4514" s="23">
        <v>1098.8780939999999</v>
      </c>
      <c r="C4514" s="23">
        <v>0</v>
      </c>
      <c r="D4514" s="23">
        <v>0</v>
      </c>
      <c r="E4514" s="23">
        <v>0</v>
      </c>
      <c r="F4514" s="23">
        <v>0</v>
      </c>
      <c r="G4514" s="23">
        <v>0</v>
      </c>
      <c r="H4514" s="23">
        <v>0</v>
      </c>
      <c r="I4514" s="23">
        <v>1098.8779999999999</v>
      </c>
      <c r="J4514" s="23">
        <v>0</v>
      </c>
      <c r="K4514" s="23">
        <v>0</v>
      </c>
    </row>
    <row r="4515" spans="1:11" x14ac:dyDescent="0.25">
      <c r="A4515">
        <v>4514</v>
      </c>
      <c r="B4515" s="23">
        <v>1076.085525</v>
      </c>
      <c r="C4515" s="23">
        <v>0</v>
      </c>
      <c r="D4515" s="23">
        <v>0</v>
      </c>
      <c r="E4515" s="23">
        <v>0</v>
      </c>
      <c r="F4515" s="23">
        <v>0</v>
      </c>
      <c r="G4515" s="23">
        <v>0</v>
      </c>
      <c r="H4515" s="23">
        <v>0</v>
      </c>
      <c r="I4515" s="23">
        <v>1076.086</v>
      </c>
      <c r="J4515" s="23">
        <v>0</v>
      </c>
      <c r="K4515" s="23">
        <v>0</v>
      </c>
    </row>
    <row r="4516" spans="1:11" x14ac:dyDescent="0.25">
      <c r="A4516">
        <v>4515</v>
      </c>
      <c r="B4516" s="23">
        <v>1114.07314</v>
      </c>
      <c r="C4516" s="23">
        <v>0</v>
      </c>
      <c r="D4516" s="23">
        <v>0</v>
      </c>
      <c r="E4516" s="23">
        <v>0</v>
      </c>
      <c r="F4516" s="23">
        <v>0</v>
      </c>
      <c r="G4516" s="23">
        <v>0</v>
      </c>
      <c r="H4516" s="23">
        <v>0</v>
      </c>
      <c r="I4516" s="23">
        <v>1114.0730000000001</v>
      </c>
      <c r="J4516" s="23">
        <v>0</v>
      </c>
      <c r="K4516" s="23">
        <v>0</v>
      </c>
    </row>
    <row r="4517" spans="1:11" x14ac:dyDescent="0.25">
      <c r="A4517">
        <v>4516</v>
      </c>
      <c r="B4517" s="23">
        <v>739.03177930000004</v>
      </c>
      <c r="C4517" s="23">
        <v>0</v>
      </c>
      <c r="D4517" s="23">
        <v>0</v>
      </c>
      <c r="E4517" s="23">
        <v>0</v>
      </c>
      <c r="F4517" s="23">
        <v>0</v>
      </c>
      <c r="G4517" s="23">
        <v>0</v>
      </c>
      <c r="H4517" s="23">
        <v>0</v>
      </c>
      <c r="I4517" s="23">
        <v>739.03200000000004</v>
      </c>
      <c r="J4517" s="23">
        <v>0</v>
      </c>
      <c r="K4517" s="23">
        <v>0</v>
      </c>
    </row>
    <row r="4518" spans="1:11" x14ac:dyDescent="0.25">
      <c r="A4518">
        <v>4517</v>
      </c>
      <c r="B4518" s="23">
        <v>871.64308930000004</v>
      </c>
      <c r="C4518" s="23">
        <v>0</v>
      </c>
      <c r="D4518" s="23">
        <v>0</v>
      </c>
      <c r="E4518" s="23">
        <v>0</v>
      </c>
      <c r="F4518" s="23">
        <v>0</v>
      </c>
      <c r="G4518" s="23">
        <v>0</v>
      </c>
      <c r="H4518" s="23">
        <v>0</v>
      </c>
      <c r="I4518" s="23">
        <v>871.64300000000003</v>
      </c>
      <c r="J4518" s="23">
        <v>0</v>
      </c>
      <c r="K4518" s="23">
        <v>0</v>
      </c>
    </row>
    <row r="4519" spans="1:11" x14ac:dyDescent="0.25">
      <c r="A4519">
        <v>4518</v>
      </c>
      <c r="B4519" s="23">
        <v>1126.505451</v>
      </c>
      <c r="C4519" s="23">
        <v>0</v>
      </c>
      <c r="D4519" s="23">
        <v>0</v>
      </c>
      <c r="E4519" s="23">
        <v>0</v>
      </c>
      <c r="F4519" s="23">
        <v>0</v>
      </c>
      <c r="G4519" s="23">
        <v>0</v>
      </c>
      <c r="H4519" s="23">
        <v>0</v>
      </c>
      <c r="I4519" s="23">
        <v>96.69</v>
      </c>
      <c r="J4519" s="23">
        <v>0</v>
      </c>
      <c r="K4519" s="23">
        <v>1029.8150000000001</v>
      </c>
    </row>
    <row r="4520" spans="1:11" x14ac:dyDescent="0.25">
      <c r="A4520">
        <v>4519</v>
      </c>
      <c r="B4520" s="23">
        <v>891.67292259999999</v>
      </c>
      <c r="C4520" s="23">
        <v>75.94</v>
      </c>
      <c r="D4520" s="23">
        <v>270.69099999999997</v>
      </c>
      <c r="E4520" s="23">
        <v>270.69099999999997</v>
      </c>
      <c r="F4520" s="23">
        <v>0</v>
      </c>
      <c r="G4520" s="23">
        <v>0</v>
      </c>
      <c r="H4520" s="23">
        <v>0</v>
      </c>
      <c r="I4520" s="23">
        <v>0</v>
      </c>
      <c r="J4520" s="23">
        <v>0</v>
      </c>
      <c r="K4520" s="23">
        <v>620.98199999999997</v>
      </c>
    </row>
    <row r="4521" spans="1:11" x14ac:dyDescent="0.25">
      <c r="A4521">
        <v>4520</v>
      </c>
      <c r="B4521" s="23">
        <v>1175.0536219999999</v>
      </c>
      <c r="C4521" s="23">
        <v>224.52</v>
      </c>
      <c r="D4521" s="23">
        <v>882.34799999999996</v>
      </c>
      <c r="E4521" s="23">
        <v>882.34799999999996</v>
      </c>
      <c r="F4521" s="23">
        <v>0</v>
      </c>
      <c r="G4521" s="23">
        <v>0</v>
      </c>
      <c r="H4521" s="23">
        <v>0</v>
      </c>
      <c r="I4521" s="23">
        <v>0</v>
      </c>
      <c r="J4521" s="23">
        <v>0</v>
      </c>
      <c r="K4521" s="23">
        <v>292.70600000000002</v>
      </c>
    </row>
    <row r="4522" spans="1:11" x14ac:dyDescent="0.25">
      <c r="A4522">
        <v>4521</v>
      </c>
      <c r="B4522" s="23">
        <v>977.32895050000002</v>
      </c>
      <c r="C4522" s="23">
        <v>359.72</v>
      </c>
      <c r="D4522" s="23">
        <v>1410.0609999999999</v>
      </c>
      <c r="E4522" s="23">
        <v>977.32899999999995</v>
      </c>
      <c r="F4522" s="23">
        <v>-432.73200000000003</v>
      </c>
      <c r="G4522" s="23">
        <v>0</v>
      </c>
      <c r="H4522" s="23">
        <v>0</v>
      </c>
      <c r="I4522" s="23">
        <v>0</v>
      </c>
      <c r="J4522" s="23">
        <v>0</v>
      </c>
      <c r="K4522" s="23">
        <v>0</v>
      </c>
    </row>
    <row r="4523" spans="1:11" x14ac:dyDescent="0.25">
      <c r="A4523">
        <v>4522</v>
      </c>
      <c r="B4523" s="23">
        <v>1380.4794199999999</v>
      </c>
      <c r="C4523" s="23">
        <v>386.39</v>
      </c>
      <c r="D4523" s="23">
        <v>1490.7819999999999</v>
      </c>
      <c r="E4523" s="23">
        <v>1380.48</v>
      </c>
      <c r="F4523" s="23">
        <v>-110.30200000000001</v>
      </c>
      <c r="G4523" s="23">
        <v>0</v>
      </c>
      <c r="H4523" s="23">
        <v>0</v>
      </c>
      <c r="I4523" s="23">
        <v>0</v>
      </c>
      <c r="J4523" s="23">
        <v>0</v>
      </c>
      <c r="K4523" s="23">
        <v>0</v>
      </c>
    </row>
    <row r="4524" spans="1:11" x14ac:dyDescent="0.25">
      <c r="A4524">
        <v>4523</v>
      </c>
      <c r="B4524" s="23">
        <v>1327.134448</v>
      </c>
      <c r="C4524" s="23">
        <v>630.45000000000005</v>
      </c>
      <c r="D4524" s="23">
        <v>2390.4810000000002</v>
      </c>
      <c r="E4524" s="23">
        <v>1327.134</v>
      </c>
      <c r="F4524" s="23">
        <v>-1063.347</v>
      </c>
      <c r="G4524" s="23">
        <v>0</v>
      </c>
      <c r="H4524" s="23">
        <v>0</v>
      </c>
      <c r="I4524" s="23">
        <v>0</v>
      </c>
      <c r="J4524" s="23">
        <v>0</v>
      </c>
      <c r="K4524" s="23">
        <v>0</v>
      </c>
    </row>
    <row r="4525" spans="1:11" x14ac:dyDescent="0.25">
      <c r="A4525">
        <v>4524</v>
      </c>
      <c r="B4525" s="23">
        <v>1231.0111059999999</v>
      </c>
      <c r="C4525" s="23">
        <v>271.25</v>
      </c>
      <c r="D4525" s="23">
        <v>1029.4280000000001</v>
      </c>
      <c r="E4525" s="23">
        <v>1029.4280000000001</v>
      </c>
      <c r="F4525" s="23">
        <v>0</v>
      </c>
      <c r="G4525" s="23">
        <v>0</v>
      </c>
      <c r="H4525" s="23">
        <v>0</v>
      </c>
      <c r="I4525" s="23">
        <v>0</v>
      </c>
      <c r="J4525" s="23">
        <v>0</v>
      </c>
      <c r="K4525" s="23">
        <v>201.584</v>
      </c>
    </row>
    <row r="4526" spans="1:11" x14ac:dyDescent="0.25">
      <c r="A4526">
        <v>4525</v>
      </c>
      <c r="B4526" s="23">
        <v>1202.3589469999999</v>
      </c>
      <c r="C4526" s="23">
        <v>781.74</v>
      </c>
      <c r="D4526" s="23">
        <v>2921.7489999999998</v>
      </c>
      <c r="E4526" s="23">
        <v>1202.3599999999999</v>
      </c>
      <c r="F4526" s="23">
        <v>-1684.559</v>
      </c>
      <c r="G4526" s="23">
        <v>0</v>
      </c>
      <c r="H4526" s="23">
        <v>34.83</v>
      </c>
      <c r="I4526" s="23">
        <v>0</v>
      </c>
      <c r="J4526" s="23">
        <v>0</v>
      </c>
      <c r="K4526" s="23">
        <v>0</v>
      </c>
    </row>
    <row r="4527" spans="1:11" x14ac:dyDescent="0.25">
      <c r="A4527">
        <v>4526</v>
      </c>
      <c r="B4527" s="23">
        <v>1118.7188530000001</v>
      </c>
      <c r="C4527" s="23">
        <v>628.84</v>
      </c>
      <c r="D4527" s="23">
        <v>2382.7689999999998</v>
      </c>
      <c r="E4527" s="23">
        <v>1118.7190000000001</v>
      </c>
      <c r="F4527" s="23">
        <v>-1264.05</v>
      </c>
      <c r="G4527" s="23">
        <v>0</v>
      </c>
      <c r="H4527" s="23">
        <v>0</v>
      </c>
      <c r="I4527" s="23">
        <v>0</v>
      </c>
      <c r="J4527" s="23">
        <v>0</v>
      </c>
      <c r="K4527" s="23">
        <v>0</v>
      </c>
    </row>
    <row r="4528" spans="1:11" x14ac:dyDescent="0.25">
      <c r="A4528">
        <v>4527</v>
      </c>
      <c r="B4528" s="23">
        <v>1397.57989</v>
      </c>
      <c r="C4528" s="23">
        <v>589.58000000000004</v>
      </c>
      <c r="D4528" s="23">
        <v>2261.1</v>
      </c>
      <c r="E4528" s="23">
        <v>1397.58</v>
      </c>
      <c r="F4528" s="23">
        <v>-863.52</v>
      </c>
      <c r="G4528" s="23">
        <v>0</v>
      </c>
      <c r="H4528" s="23">
        <v>0</v>
      </c>
      <c r="I4528" s="23">
        <v>0</v>
      </c>
      <c r="J4528" s="23">
        <v>0</v>
      </c>
      <c r="K4528" s="23">
        <v>0</v>
      </c>
    </row>
    <row r="4529" spans="1:11" x14ac:dyDescent="0.25">
      <c r="A4529">
        <v>4528</v>
      </c>
      <c r="B4529" s="23">
        <v>1387.754048</v>
      </c>
      <c r="C4529" s="23">
        <v>316.76</v>
      </c>
      <c r="D4529" s="23">
        <v>1234.0070000000001</v>
      </c>
      <c r="E4529" s="23">
        <v>1234.0070000000001</v>
      </c>
      <c r="F4529" s="23">
        <v>0</v>
      </c>
      <c r="G4529" s="23">
        <v>0</v>
      </c>
      <c r="H4529" s="23">
        <v>0</v>
      </c>
      <c r="I4529" s="23">
        <v>153.74700000000001</v>
      </c>
      <c r="J4529" s="23">
        <v>0</v>
      </c>
      <c r="K4529" s="23">
        <v>0</v>
      </c>
    </row>
    <row r="4530" spans="1:11" x14ac:dyDescent="0.25">
      <c r="A4530">
        <v>4529</v>
      </c>
      <c r="B4530" s="23">
        <v>1404.9020029999999</v>
      </c>
      <c r="C4530" s="23">
        <v>18.61</v>
      </c>
      <c r="D4530" s="23">
        <v>47.938000000000002</v>
      </c>
      <c r="E4530" s="23">
        <v>47.938000000000002</v>
      </c>
      <c r="F4530" s="23">
        <v>0</v>
      </c>
      <c r="G4530" s="23">
        <v>0</v>
      </c>
      <c r="H4530" s="23">
        <v>0</v>
      </c>
      <c r="I4530" s="23">
        <v>1356.9639999999999</v>
      </c>
      <c r="J4530" s="23">
        <v>0</v>
      </c>
      <c r="K4530" s="23">
        <v>0</v>
      </c>
    </row>
    <row r="4531" spans="1:11" x14ac:dyDescent="0.25">
      <c r="A4531">
        <v>4530</v>
      </c>
      <c r="B4531" s="23">
        <v>1178.58647</v>
      </c>
      <c r="C4531" s="23">
        <v>38.229999999999997</v>
      </c>
      <c r="D4531" s="23">
        <v>123.818</v>
      </c>
      <c r="E4531" s="23">
        <v>123.818</v>
      </c>
      <c r="F4531" s="23">
        <v>0</v>
      </c>
      <c r="G4531" s="23">
        <v>0</v>
      </c>
      <c r="H4531" s="23">
        <v>0</v>
      </c>
      <c r="I4531" s="23">
        <v>0</v>
      </c>
      <c r="J4531" s="23">
        <v>0</v>
      </c>
      <c r="K4531" s="23">
        <v>1054.768</v>
      </c>
    </row>
    <row r="4532" spans="1:11" x14ac:dyDescent="0.25">
      <c r="A4532">
        <v>4531</v>
      </c>
      <c r="B4532" s="23">
        <v>1232.870772</v>
      </c>
      <c r="C4532" s="23">
        <v>0</v>
      </c>
      <c r="D4532" s="23">
        <v>0</v>
      </c>
      <c r="E4532" s="23">
        <v>0</v>
      </c>
      <c r="F4532" s="23">
        <v>0</v>
      </c>
      <c r="G4532" s="23">
        <v>0</v>
      </c>
      <c r="H4532" s="23">
        <v>0</v>
      </c>
      <c r="I4532" s="23">
        <v>0</v>
      </c>
      <c r="J4532" s="23">
        <v>0</v>
      </c>
      <c r="K4532" s="23">
        <v>1232.8710000000001</v>
      </c>
    </row>
    <row r="4533" spans="1:11" x14ac:dyDescent="0.25">
      <c r="A4533">
        <v>4532</v>
      </c>
      <c r="B4533" s="23">
        <v>1013.23329</v>
      </c>
      <c r="C4533" s="23">
        <v>0</v>
      </c>
      <c r="D4533" s="23">
        <v>0</v>
      </c>
      <c r="E4533" s="23">
        <v>0</v>
      </c>
      <c r="F4533" s="23">
        <v>0</v>
      </c>
      <c r="G4533" s="23">
        <v>0</v>
      </c>
      <c r="H4533" s="23">
        <v>0</v>
      </c>
      <c r="I4533" s="23">
        <v>0</v>
      </c>
      <c r="J4533" s="23">
        <v>0</v>
      </c>
      <c r="K4533" s="23">
        <v>1013.2329999999999</v>
      </c>
    </row>
    <row r="4534" spans="1:11" x14ac:dyDescent="0.25">
      <c r="A4534">
        <v>4533</v>
      </c>
      <c r="B4534" s="23">
        <v>1301.939163</v>
      </c>
      <c r="C4534" s="23">
        <v>0</v>
      </c>
      <c r="D4534" s="23">
        <v>0</v>
      </c>
      <c r="E4534" s="23">
        <v>0</v>
      </c>
      <c r="F4534" s="23">
        <v>0</v>
      </c>
      <c r="G4534" s="23">
        <v>0</v>
      </c>
      <c r="H4534" s="23">
        <v>0</v>
      </c>
      <c r="I4534" s="23">
        <v>1301.9390000000001</v>
      </c>
      <c r="J4534" s="23">
        <v>0</v>
      </c>
      <c r="K4534" s="23">
        <v>0</v>
      </c>
    </row>
    <row r="4535" spans="1:11" x14ac:dyDescent="0.25">
      <c r="A4535">
        <v>4534</v>
      </c>
      <c r="B4535" s="23">
        <v>1252.900605</v>
      </c>
      <c r="C4535" s="23">
        <v>0</v>
      </c>
      <c r="D4535" s="23">
        <v>0</v>
      </c>
      <c r="E4535" s="23">
        <v>0</v>
      </c>
      <c r="F4535" s="23">
        <v>0</v>
      </c>
      <c r="G4535" s="23">
        <v>0</v>
      </c>
      <c r="H4535" s="23">
        <v>0</v>
      </c>
      <c r="I4535" s="23">
        <v>1252.9010000000001</v>
      </c>
      <c r="J4535" s="23">
        <v>0</v>
      </c>
      <c r="K4535" s="23">
        <v>0</v>
      </c>
    </row>
    <row r="4536" spans="1:11" x14ac:dyDescent="0.25">
      <c r="A4536">
        <v>4535</v>
      </c>
      <c r="B4536" s="23">
        <v>1488.4238170000001</v>
      </c>
      <c r="C4536" s="23">
        <v>0</v>
      </c>
      <c r="D4536" s="23">
        <v>0</v>
      </c>
      <c r="E4536" s="23">
        <v>0</v>
      </c>
      <c r="F4536" s="23">
        <v>0</v>
      </c>
      <c r="G4536" s="23">
        <v>0</v>
      </c>
      <c r="H4536" s="23">
        <v>0</v>
      </c>
      <c r="I4536" s="23">
        <v>1488.424</v>
      </c>
      <c r="J4536" s="23">
        <v>0</v>
      </c>
      <c r="K4536" s="23">
        <v>0</v>
      </c>
    </row>
    <row r="4537" spans="1:11" x14ac:dyDescent="0.25">
      <c r="A4537">
        <v>4536</v>
      </c>
      <c r="B4537" s="23">
        <v>1379.9864439999999</v>
      </c>
      <c r="C4537" s="23">
        <v>0</v>
      </c>
      <c r="D4537" s="23">
        <v>0</v>
      </c>
      <c r="E4537" s="23">
        <v>0</v>
      </c>
      <c r="F4537" s="23">
        <v>0</v>
      </c>
      <c r="G4537" s="23">
        <v>0</v>
      </c>
      <c r="H4537" s="23">
        <v>0</v>
      </c>
      <c r="I4537" s="23">
        <v>1379.9860000000001</v>
      </c>
      <c r="J4537" s="23">
        <v>0</v>
      </c>
      <c r="K4537" s="23">
        <v>0</v>
      </c>
    </row>
    <row r="4538" spans="1:11" x14ac:dyDescent="0.25">
      <c r="A4538">
        <v>4537</v>
      </c>
      <c r="B4538" s="23">
        <v>1263.2608640000001</v>
      </c>
      <c r="C4538" s="23">
        <v>0</v>
      </c>
      <c r="D4538" s="23">
        <v>0</v>
      </c>
      <c r="E4538" s="23">
        <v>0</v>
      </c>
      <c r="F4538" s="23">
        <v>0</v>
      </c>
      <c r="G4538" s="23">
        <v>0</v>
      </c>
      <c r="H4538" s="23">
        <v>0</v>
      </c>
      <c r="I4538" s="23">
        <v>1263.261</v>
      </c>
      <c r="J4538" s="23">
        <v>0</v>
      </c>
      <c r="K4538" s="23">
        <v>0</v>
      </c>
    </row>
    <row r="4539" spans="1:11" x14ac:dyDescent="0.25">
      <c r="A4539">
        <v>4538</v>
      </c>
      <c r="B4539" s="23">
        <v>1365.482082</v>
      </c>
      <c r="C4539" s="23">
        <v>0</v>
      </c>
      <c r="D4539" s="23">
        <v>0</v>
      </c>
      <c r="E4539" s="23">
        <v>0</v>
      </c>
      <c r="F4539" s="23">
        <v>0</v>
      </c>
      <c r="G4539" s="23">
        <v>0</v>
      </c>
      <c r="H4539" s="23">
        <v>0</v>
      </c>
      <c r="I4539" s="23">
        <v>1365.482</v>
      </c>
      <c r="J4539" s="23">
        <v>0</v>
      </c>
      <c r="K4539" s="23">
        <v>0</v>
      </c>
    </row>
    <row r="4540" spans="1:11" x14ac:dyDescent="0.25">
      <c r="A4540">
        <v>4539</v>
      </c>
      <c r="B4540" s="23">
        <v>1331.638571</v>
      </c>
      <c r="C4540" s="23">
        <v>0</v>
      </c>
      <c r="D4540" s="23">
        <v>0</v>
      </c>
      <c r="E4540" s="23">
        <v>0</v>
      </c>
      <c r="F4540" s="23">
        <v>0</v>
      </c>
      <c r="G4540" s="23">
        <v>0</v>
      </c>
      <c r="H4540" s="23">
        <v>0</v>
      </c>
      <c r="I4540" s="23">
        <v>1331.6389999999999</v>
      </c>
      <c r="J4540" s="23">
        <v>0</v>
      </c>
      <c r="K4540" s="23">
        <v>0</v>
      </c>
    </row>
    <row r="4541" spans="1:11" x14ac:dyDescent="0.25">
      <c r="A4541">
        <v>4540</v>
      </c>
      <c r="B4541" s="23">
        <v>1141.0098129999999</v>
      </c>
      <c r="C4541" s="23">
        <v>0</v>
      </c>
      <c r="D4541" s="23">
        <v>0</v>
      </c>
      <c r="E4541" s="23">
        <v>0</v>
      </c>
      <c r="F4541" s="23">
        <v>0</v>
      </c>
      <c r="G4541" s="23">
        <v>0</v>
      </c>
      <c r="H4541" s="23">
        <v>0</v>
      </c>
      <c r="I4541" s="23">
        <v>1141.01</v>
      </c>
      <c r="J4541" s="23">
        <v>0</v>
      </c>
      <c r="K4541" s="23">
        <v>0</v>
      </c>
    </row>
    <row r="4542" spans="1:11" x14ac:dyDescent="0.25">
      <c r="A4542">
        <v>4541</v>
      </c>
      <c r="B4542" s="23">
        <v>1093.352623</v>
      </c>
      <c r="C4542" s="23">
        <v>0</v>
      </c>
      <c r="D4542" s="23">
        <v>0</v>
      </c>
      <c r="E4542" s="23">
        <v>0</v>
      </c>
      <c r="F4542" s="23">
        <v>0</v>
      </c>
      <c r="G4542" s="23">
        <v>0</v>
      </c>
      <c r="H4542" s="23">
        <v>0</v>
      </c>
      <c r="I4542" s="23">
        <v>1093.3530000000001</v>
      </c>
      <c r="J4542" s="23">
        <v>0</v>
      </c>
      <c r="K4542" s="23">
        <v>0</v>
      </c>
    </row>
    <row r="4543" spans="1:11" x14ac:dyDescent="0.25">
      <c r="A4543">
        <v>4542</v>
      </c>
      <c r="B4543" s="23">
        <v>949.69037070000002</v>
      </c>
      <c r="C4543" s="23">
        <v>0</v>
      </c>
      <c r="D4543" s="23">
        <v>0</v>
      </c>
      <c r="E4543" s="23">
        <v>0</v>
      </c>
      <c r="F4543" s="23">
        <v>0</v>
      </c>
      <c r="G4543" s="23">
        <v>0</v>
      </c>
      <c r="H4543" s="23">
        <v>0</v>
      </c>
      <c r="I4543" s="23">
        <v>401.85500000000002</v>
      </c>
      <c r="J4543" s="23">
        <v>0</v>
      </c>
      <c r="K4543" s="23">
        <v>547.83500000000004</v>
      </c>
    </row>
    <row r="4544" spans="1:11" x14ac:dyDescent="0.25">
      <c r="A4544">
        <v>4543</v>
      </c>
      <c r="B4544" s="23">
        <v>966.95746829999996</v>
      </c>
      <c r="C4544" s="23">
        <v>103.6</v>
      </c>
      <c r="D4544" s="23">
        <v>295.11500000000001</v>
      </c>
      <c r="E4544" s="23">
        <v>295.11500000000001</v>
      </c>
      <c r="F4544" s="23">
        <v>0</v>
      </c>
      <c r="G4544" s="23">
        <v>0</v>
      </c>
      <c r="H4544" s="23">
        <v>0</v>
      </c>
      <c r="I4544" s="23">
        <v>0</v>
      </c>
      <c r="J4544" s="23">
        <v>0</v>
      </c>
      <c r="K4544" s="23">
        <v>671.84299999999996</v>
      </c>
    </row>
    <row r="4545" spans="1:11" x14ac:dyDescent="0.25">
      <c r="A4545">
        <v>4544</v>
      </c>
      <c r="B4545" s="23">
        <v>843.71355879999999</v>
      </c>
      <c r="C4545" s="23">
        <v>253.68</v>
      </c>
      <c r="D4545" s="23">
        <v>996.94999999999993</v>
      </c>
      <c r="E4545" s="23">
        <v>843.71299999999997</v>
      </c>
      <c r="F4545" s="23">
        <v>-153.23699999999999</v>
      </c>
      <c r="G4545" s="23">
        <v>0</v>
      </c>
      <c r="H4545" s="23">
        <v>0</v>
      </c>
      <c r="I4545" s="23">
        <v>0</v>
      </c>
      <c r="J4545" s="23">
        <v>0</v>
      </c>
      <c r="K4545" s="23">
        <v>0</v>
      </c>
    </row>
    <row r="4546" spans="1:11" x14ac:dyDescent="0.25">
      <c r="A4546">
        <v>4545</v>
      </c>
      <c r="B4546" s="23">
        <v>1005.3405</v>
      </c>
      <c r="C4546" s="23">
        <v>440.11</v>
      </c>
      <c r="D4546" s="23">
        <v>1726.242</v>
      </c>
      <c r="E4546" s="23">
        <v>1005.34</v>
      </c>
      <c r="F4546" s="23">
        <v>-720.90200000000004</v>
      </c>
      <c r="G4546" s="23">
        <v>0</v>
      </c>
      <c r="H4546" s="23">
        <v>0</v>
      </c>
      <c r="I4546" s="23">
        <v>0</v>
      </c>
      <c r="J4546" s="23">
        <v>0</v>
      </c>
      <c r="K4546" s="23">
        <v>0</v>
      </c>
    </row>
    <row r="4547" spans="1:11" x14ac:dyDescent="0.25">
      <c r="A4547">
        <v>4546</v>
      </c>
      <c r="B4547" s="23">
        <v>1563.6280710000001</v>
      </c>
      <c r="C4547" s="23">
        <v>722.53</v>
      </c>
      <c r="D4547" s="23">
        <v>2804.357</v>
      </c>
      <c r="E4547" s="23">
        <v>1563.6279999999999</v>
      </c>
      <c r="F4547" s="23">
        <v>-1240.729</v>
      </c>
      <c r="G4547" s="23">
        <v>0</v>
      </c>
      <c r="H4547" s="23">
        <v>0</v>
      </c>
      <c r="I4547" s="23">
        <v>0</v>
      </c>
      <c r="J4547" s="23">
        <v>0</v>
      </c>
      <c r="K4547" s="23">
        <v>0</v>
      </c>
    </row>
    <row r="4548" spans="1:11" x14ac:dyDescent="0.25">
      <c r="A4548">
        <v>4547</v>
      </c>
      <c r="B4548" s="23">
        <v>1371.9494729999999</v>
      </c>
      <c r="C4548" s="23">
        <v>848.08</v>
      </c>
      <c r="D4548" s="23">
        <v>3222.0450000000001</v>
      </c>
      <c r="E4548" s="23">
        <v>1371.95</v>
      </c>
      <c r="F4548" s="23">
        <v>-1684.559</v>
      </c>
      <c r="G4548" s="23">
        <v>0</v>
      </c>
      <c r="H4548" s="23">
        <v>165.536</v>
      </c>
      <c r="I4548" s="23">
        <v>0</v>
      </c>
      <c r="J4548" s="23">
        <v>0</v>
      </c>
      <c r="K4548" s="23">
        <v>0</v>
      </c>
    </row>
    <row r="4549" spans="1:11" x14ac:dyDescent="0.25">
      <c r="A4549">
        <v>4548</v>
      </c>
      <c r="B4549" s="23">
        <v>1263.657144</v>
      </c>
      <c r="C4549" s="23">
        <v>664.31</v>
      </c>
      <c r="D4549" s="23">
        <v>2495.114</v>
      </c>
      <c r="E4549" s="23">
        <v>1263.6569999999999</v>
      </c>
      <c r="F4549" s="23">
        <v>-1231.4570000000001</v>
      </c>
      <c r="G4549" s="23">
        <v>0</v>
      </c>
      <c r="H4549" s="23">
        <v>0</v>
      </c>
      <c r="I4549" s="23">
        <v>0</v>
      </c>
      <c r="J4549" s="23">
        <v>0</v>
      </c>
      <c r="K4549" s="23">
        <v>0</v>
      </c>
    </row>
    <row r="4550" spans="1:11" x14ac:dyDescent="0.25">
      <c r="A4550">
        <v>4549</v>
      </c>
      <c r="B4550" s="23">
        <v>1241.5077739999999</v>
      </c>
      <c r="C4550" s="23">
        <v>202.73</v>
      </c>
      <c r="D4550" s="23">
        <v>760.61199999999997</v>
      </c>
      <c r="E4550" s="23">
        <v>760.61199999999997</v>
      </c>
      <c r="F4550" s="23">
        <v>0</v>
      </c>
      <c r="G4550" s="23">
        <v>0</v>
      </c>
      <c r="H4550" s="23">
        <v>0</v>
      </c>
      <c r="I4550" s="23">
        <v>480.89600000000002</v>
      </c>
      <c r="J4550" s="23">
        <v>0</v>
      </c>
      <c r="K4550" s="23">
        <v>0</v>
      </c>
    </row>
    <row r="4551" spans="1:11" x14ac:dyDescent="0.25">
      <c r="A4551">
        <v>4550</v>
      </c>
      <c r="B4551" s="23">
        <v>1242.3883960000001</v>
      </c>
      <c r="C4551" s="23">
        <v>95.77</v>
      </c>
      <c r="D4551" s="23">
        <v>342.392</v>
      </c>
      <c r="E4551" s="23">
        <v>342.392</v>
      </c>
      <c r="F4551" s="23">
        <v>0</v>
      </c>
      <c r="G4551" s="23">
        <v>0</v>
      </c>
      <c r="H4551" s="23">
        <v>0</v>
      </c>
      <c r="I4551" s="23">
        <v>899.99699999999996</v>
      </c>
      <c r="J4551" s="23">
        <v>0</v>
      </c>
      <c r="K4551" s="23">
        <v>0</v>
      </c>
    </row>
    <row r="4552" spans="1:11" x14ac:dyDescent="0.25">
      <c r="A4552">
        <v>4551</v>
      </c>
      <c r="B4552" s="23">
        <v>1546.4283150000001</v>
      </c>
      <c r="C4552" s="23">
        <v>95.6</v>
      </c>
      <c r="D4552" s="23">
        <v>344.30799999999999</v>
      </c>
      <c r="E4552" s="23">
        <v>344.30799999999999</v>
      </c>
      <c r="F4552" s="23">
        <v>0</v>
      </c>
      <c r="G4552" s="23">
        <v>0</v>
      </c>
      <c r="H4552" s="23">
        <v>0</v>
      </c>
      <c r="I4552" s="23">
        <v>1202.1199999999999</v>
      </c>
      <c r="J4552" s="23">
        <v>0</v>
      </c>
      <c r="K4552" s="23">
        <v>0</v>
      </c>
    </row>
    <row r="4553" spans="1:11" x14ac:dyDescent="0.25">
      <c r="A4553">
        <v>4552</v>
      </c>
      <c r="B4553" s="23">
        <v>1391.920599</v>
      </c>
      <c r="C4553" s="23">
        <v>54.66</v>
      </c>
      <c r="D4553" s="23">
        <v>185.988</v>
      </c>
      <c r="E4553" s="23">
        <v>185.988</v>
      </c>
      <c r="F4553" s="23">
        <v>0</v>
      </c>
      <c r="G4553" s="23">
        <v>0</v>
      </c>
      <c r="H4553" s="23">
        <v>0</v>
      </c>
      <c r="I4553" s="23">
        <v>1205.933</v>
      </c>
      <c r="J4553" s="23">
        <v>0</v>
      </c>
      <c r="K4553" s="23">
        <v>0</v>
      </c>
    </row>
    <row r="4554" spans="1:11" x14ac:dyDescent="0.25">
      <c r="A4554">
        <v>4553</v>
      </c>
      <c r="B4554" s="23">
        <v>1102.5551230000001</v>
      </c>
      <c r="C4554" s="23">
        <v>35.28</v>
      </c>
      <c r="D4554" s="23">
        <v>112.541</v>
      </c>
      <c r="E4554" s="23">
        <v>112.541</v>
      </c>
      <c r="F4554" s="23">
        <v>0</v>
      </c>
      <c r="G4554" s="23">
        <v>0</v>
      </c>
      <c r="H4554" s="23">
        <v>0</v>
      </c>
      <c r="I4554" s="23">
        <v>990.01400000000001</v>
      </c>
      <c r="J4554" s="23">
        <v>0</v>
      </c>
      <c r="K4554" s="23">
        <v>0</v>
      </c>
    </row>
    <row r="4555" spans="1:11" x14ac:dyDescent="0.25">
      <c r="A4555">
        <v>4554</v>
      </c>
      <c r="B4555" s="23">
        <v>1208.6277669999999</v>
      </c>
      <c r="C4555" s="23">
        <v>33.32</v>
      </c>
      <c r="D4555" s="23">
        <v>104.142</v>
      </c>
      <c r="E4555" s="23">
        <v>104.142</v>
      </c>
      <c r="F4555" s="23">
        <v>0</v>
      </c>
      <c r="G4555" s="23">
        <v>0</v>
      </c>
      <c r="H4555" s="23">
        <v>0</v>
      </c>
      <c r="I4555" s="23">
        <v>0</v>
      </c>
      <c r="J4555" s="23">
        <v>0</v>
      </c>
      <c r="K4555" s="23">
        <v>1104.4860000000001</v>
      </c>
    </row>
    <row r="4556" spans="1:11" x14ac:dyDescent="0.25">
      <c r="A4556">
        <v>4555</v>
      </c>
      <c r="B4556" s="23">
        <v>1185.904266</v>
      </c>
      <c r="C4556" s="23">
        <v>0</v>
      </c>
      <c r="D4556" s="23">
        <v>0</v>
      </c>
      <c r="E4556" s="23">
        <v>0</v>
      </c>
      <c r="F4556" s="23">
        <v>0</v>
      </c>
      <c r="G4556" s="23">
        <v>0</v>
      </c>
      <c r="H4556" s="23">
        <v>0</v>
      </c>
      <c r="I4556" s="23">
        <v>0</v>
      </c>
      <c r="J4556" s="23">
        <v>0</v>
      </c>
      <c r="K4556" s="23">
        <v>1185.904</v>
      </c>
    </row>
    <row r="4557" spans="1:11" x14ac:dyDescent="0.25">
      <c r="A4557">
        <v>4556</v>
      </c>
      <c r="B4557" s="23">
        <v>1010.470554</v>
      </c>
      <c r="C4557" s="23">
        <v>0</v>
      </c>
      <c r="D4557" s="23">
        <v>0</v>
      </c>
      <c r="E4557" s="23">
        <v>0</v>
      </c>
      <c r="F4557" s="23">
        <v>0</v>
      </c>
      <c r="G4557" s="23">
        <v>0</v>
      </c>
      <c r="H4557" s="23">
        <v>0</v>
      </c>
      <c r="I4557" s="23">
        <v>0</v>
      </c>
      <c r="J4557" s="23">
        <v>0</v>
      </c>
      <c r="K4557" s="23">
        <v>1010.471</v>
      </c>
    </row>
    <row r="4558" spans="1:11" x14ac:dyDescent="0.25">
      <c r="A4558">
        <v>4557</v>
      </c>
      <c r="B4558" s="23">
        <v>1031.1910720000001</v>
      </c>
      <c r="C4558" s="23">
        <v>0</v>
      </c>
      <c r="D4558" s="23">
        <v>0</v>
      </c>
      <c r="E4558" s="23">
        <v>0</v>
      </c>
      <c r="F4558" s="23">
        <v>0</v>
      </c>
      <c r="G4558" s="23">
        <v>0</v>
      </c>
      <c r="H4558" s="23">
        <v>0</v>
      </c>
      <c r="I4558" s="23">
        <v>1031.191</v>
      </c>
      <c r="J4558" s="23">
        <v>0</v>
      </c>
      <c r="K4558" s="23">
        <v>0</v>
      </c>
    </row>
    <row r="4559" spans="1:11" x14ac:dyDescent="0.25">
      <c r="A4559">
        <v>4558</v>
      </c>
      <c r="B4559" s="23">
        <v>1206.6247840000001</v>
      </c>
      <c r="C4559" s="23">
        <v>0</v>
      </c>
      <c r="D4559" s="23">
        <v>0</v>
      </c>
      <c r="E4559" s="23">
        <v>0</v>
      </c>
      <c r="F4559" s="23">
        <v>0</v>
      </c>
      <c r="G4559" s="23">
        <v>0</v>
      </c>
      <c r="H4559" s="23">
        <v>0</v>
      </c>
      <c r="I4559" s="23">
        <v>424.928</v>
      </c>
      <c r="J4559" s="23">
        <v>0</v>
      </c>
      <c r="K4559" s="23">
        <v>781.697</v>
      </c>
    </row>
    <row r="4560" spans="1:11" x14ac:dyDescent="0.25">
      <c r="A4560">
        <v>4559</v>
      </c>
      <c r="B4560" s="23">
        <v>1274.3118059999999</v>
      </c>
      <c r="C4560" s="23">
        <v>0</v>
      </c>
      <c r="D4560" s="23">
        <v>0</v>
      </c>
      <c r="E4560" s="23">
        <v>0</v>
      </c>
      <c r="F4560" s="23">
        <v>0</v>
      </c>
      <c r="G4560" s="23">
        <v>0</v>
      </c>
      <c r="H4560" s="23">
        <v>0</v>
      </c>
      <c r="I4560" s="23">
        <v>1274.3119999999999</v>
      </c>
      <c r="J4560" s="23">
        <v>0</v>
      </c>
      <c r="K4560" s="23">
        <v>0</v>
      </c>
    </row>
    <row r="4561" spans="1:11" x14ac:dyDescent="0.25">
      <c r="A4561">
        <v>4560</v>
      </c>
      <c r="B4561" s="23">
        <v>1225.2732490000001</v>
      </c>
      <c r="C4561" s="23">
        <v>0</v>
      </c>
      <c r="D4561" s="23">
        <v>0</v>
      </c>
      <c r="E4561" s="23">
        <v>0</v>
      </c>
      <c r="F4561" s="23">
        <v>0</v>
      </c>
      <c r="G4561" s="23">
        <v>0</v>
      </c>
      <c r="H4561" s="23">
        <v>0</v>
      </c>
      <c r="I4561" s="23">
        <v>1225.2729999999999</v>
      </c>
      <c r="J4561" s="23">
        <v>0</v>
      </c>
      <c r="K4561" s="23">
        <v>0</v>
      </c>
    </row>
    <row r="4562" spans="1:11" x14ac:dyDescent="0.25">
      <c r="A4562">
        <v>4561</v>
      </c>
      <c r="B4562" s="23">
        <v>1292.960272</v>
      </c>
      <c r="C4562" s="23">
        <v>0</v>
      </c>
      <c r="D4562" s="23">
        <v>0</v>
      </c>
      <c r="E4562" s="23">
        <v>0</v>
      </c>
      <c r="F4562" s="23">
        <v>0</v>
      </c>
      <c r="G4562" s="23">
        <v>0</v>
      </c>
      <c r="H4562" s="23">
        <v>0</v>
      </c>
      <c r="I4562" s="23">
        <v>1292.96</v>
      </c>
      <c r="J4562" s="23">
        <v>0</v>
      </c>
      <c r="K4562" s="23">
        <v>0</v>
      </c>
    </row>
    <row r="4563" spans="1:11" x14ac:dyDescent="0.25">
      <c r="A4563">
        <v>4562</v>
      </c>
      <c r="B4563" s="23">
        <v>1131.340238</v>
      </c>
      <c r="C4563" s="23">
        <v>0</v>
      </c>
      <c r="D4563" s="23">
        <v>0</v>
      </c>
      <c r="E4563" s="23">
        <v>0</v>
      </c>
      <c r="F4563" s="23">
        <v>0</v>
      </c>
      <c r="G4563" s="23">
        <v>0</v>
      </c>
      <c r="H4563" s="23">
        <v>0</v>
      </c>
      <c r="I4563" s="23">
        <v>1131.3399999999999</v>
      </c>
      <c r="J4563" s="23">
        <v>0</v>
      </c>
      <c r="K4563" s="23">
        <v>0</v>
      </c>
    </row>
    <row r="4564" spans="1:11" x14ac:dyDescent="0.25">
      <c r="A4564">
        <v>4563</v>
      </c>
      <c r="B4564" s="23">
        <v>1158.27691</v>
      </c>
      <c r="C4564" s="23">
        <v>0</v>
      </c>
      <c r="D4564" s="23">
        <v>0</v>
      </c>
      <c r="E4564" s="23">
        <v>0</v>
      </c>
      <c r="F4564" s="23">
        <v>0</v>
      </c>
      <c r="G4564" s="23">
        <v>0</v>
      </c>
      <c r="H4564" s="23">
        <v>0</v>
      </c>
      <c r="I4564" s="23">
        <v>1158.277</v>
      </c>
      <c r="J4564" s="23">
        <v>0</v>
      </c>
      <c r="K4564" s="23">
        <v>0</v>
      </c>
    </row>
    <row r="4565" spans="1:11" x14ac:dyDescent="0.25">
      <c r="A4565">
        <v>4564</v>
      </c>
      <c r="B4565" s="23">
        <v>1222.5105129999999</v>
      </c>
      <c r="C4565" s="23">
        <v>0</v>
      </c>
      <c r="D4565" s="23">
        <v>0</v>
      </c>
      <c r="E4565" s="23">
        <v>0</v>
      </c>
      <c r="F4565" s="23">
        <v>0</v>
      </c>
      <c r="G4565" s="23">
        <v>0</v>
      </c>
      <c r="H4565" s="23">
        <v>0</v>
      </c>
      <c r="I4565" s="23">
        <v>1222.511</v>
      </c>
      <c r="J4565" s="23">
        <v>0</v>
      </c>
      <c r="K4565" s="23">
        <v>0</v>
      </c>
    </row>
    <row r="4566" spans="1:11" x14ac:dyDescent="0.25">
      <c r="A4566">
        <v>4565</v>
      </c>
      <c r="B4566" s="23">
        <v>826.74863540000001</v>
      </c>
      <c r="C4566" s="23">
        <v>0</v>
      </c>
      <c r="D4566" s="23">
        <v>0</v>
      </c>
      <c r="E4566" s="23">
        <v>0</v>
      </c>
      <c r="F4566" s="23">
        <v>0</v>
      </c>
      <c r="G4566" s="23">
        <v>0</v>
      </c>
      <c r="H4566" s="23">
        <v>0</v>
      </c>
      <c r="I4566" s="23">
        <v>0</v>
      </c>
      <c r="J4566" s="23">
        <v>0</v>
      </c>
      <c r="K4566" s="23">
        <v>826.74900000000002</v>
      </c>
    </row>
    <row r="4567" spans="1:11" x14ac:dyDescent="0.25">
      <c r="A4567">
        <v>4566</v>
      </c>
      <c r="B4567" s="23">
        <v>1008.398503</v>
      </c>
      <c r="C4567" s="23">
        <v>0</v>
      </c>
      <c r="D4567" s="23">
        <v>0</v>
      </c>
      <c r="E4567" s="23">
        <v>0</v>
      </c>
      <c r="F4567" s="23">
        <v>0</v>
      </c>
      <c r="G4567" s="23">
        <v>0</v>
      </c>
      <c r="H4567" s="23">
        <v>0</v>
      </c>
      <c r="I4567" s="23">
        <v>0</v>
      </c>
      <c r="J4567" s="23">
        <v>0</v>
      </c>
      <c r="K4567" s="23">
        <v>1008.399</v>
      </c>
    </row>
    <row r="4568" spans="1:11" x14ac:dyDescent="0.25">
      <c r="A4568">
        <v>4567</v>
      </c>
      <c r="B4568" s="23">
        <v>964.19473270000003</v>
      </c>
      <c r="C4568" s="23">
        <v>94.99</v>
      </c>
      <c r="D4568" s="23">
        <v>330.05099999999999</v>
      </c>
      <c r="E4568" s="23">
        <v>330.05099999999999</v>
      </c>
      <c r="F4568" s="23">
        <v>0</v>
      </c>
      <c r="G4568" s="23">
        <v>0</v>
      </c>
      <c r="H4568" s="23">
        <v>0</v>
      </c>
      <c r="I4568" s="23">
        <v>0</v>
      </c>
      <c r="J4568" s="23">
        <v>0</v>
      </c>
      <c r="K4568" s="23">
        <v>634.14400000000001</v>
      </c>
    </row>
    <row r="4569" spans="1:11" x14ac:dyDescent="0.25">
      <c r="A4569">
        <v>4568</v>
      </c>
      <c r="B4569" s="23">
        <v>949.78879310000002</v>
      </c>
      <c r="C4569" s="23">
        <v>269.72000000000003</v>
      </c>
      <c r="D4569" s="23">
        <v>1055.845</v>
      </c>
      <c r="E4569" s="23">
        <v>949.78899999999999</v>
      </c>
      <c r="F4569" s="23">
        <v>-106.056</v>
      </c>
      <c r="G4569" s="23">
        <v>0</v>
      </c>
      <c r="H4569" s="23">
        <v>0</v>
      </c>
      <c r="I4569" s="23">
        <v>0</v>
      </c>
      <c r="J4569" s="23">
        <v>0</v>
      </c>
      <c r="K4569" s="23">
        <v>0</v>
      </c>
    </row>
    <row r="4570" spans="1:11" x14ac:dyDescent="0.25">
      <c r="A4570">
        <v>4569</v>
      </c>
      <c r="B4570" s="23">
        <v>1299.464788</v>
      </c>
      <c r="C4570" s="23">
        <v>414.56</v>
      </c>
      <c r="D4570" s="23">
        <v>1617.8589999999999</v>
      </c>
      <c r="E4570" s="23">
        <v>1299.4649999999999</v>
      </c>
      <c r="F4570" s="23">
        <v>-318.39400000000001</v>
      </c>
      <c r="G4570" s="23">
        <v>0</v>
      </c>
      <c r="H4570" s="23">
        <v>0</v>
      </c>
      <c r="I4570" s="23">
        <v>0</v>
      </c>
      <c r="J4570" s="23">
        <v>0</v>
      </c>
      <c r="K4570" s="23">
        <v>0</v>
      </c>
    </row>
    <row r="4571" spans="1:11" x14ac:dyDescent="0.25">
      <c r="A4571">
        <v>4570</v>
      </c>
      <c r="B4571" s="23">
        <v>1185.0607689999999</v>
      </c>
      <c r="C4571" s="23">
        <v>489.96</v>
      </c>
      <c r="D4571" s="23">
        <v>1879.3969999999999</v>
      </c>
      <c r="E4571" s="23">
        <v>1185.0609999999999</v>
      </c>
      <c r="F4571" s="23">
        <v>-694.33600000000001</v>
      </c>
      <c r="G4571" s="23">
        <v>0</v>
      </c>
      <c r="H4571" s="23">
        <v>0</v>
      </c>
      <c r="I4571" s="23">
        <v>0</v>
      </c>
      <c r="J4571" s="23">
        <v>0</v>
      </c>
      <c r="K4571" s="23">
        <v>0</v>
      </c>
    </row>
    <row r="4572" spans="1:11" x14ac:dyDescent="0.25">
      <c r="A4572">
        <v>4571</v>
      </c>
      <c r="B4572" s="23">
        <v>1494.3067169999999</v>
      </c>
      <c r="C4572" s="23">
        <v>627.89</v>
      </c>
      <c r="D4572" s="23">
        <v>2369.3020000000001</v>
      </c>
      <c r="E4572" s="23">
        <v>1494.307</v>
      </c>
      <c r="F4572" s="23">
        <v>-874.995</v>
      </c>
      <c r="G4572" s="23">
        <v>0</v>
      </c>
      <c r="H4572" s="23">
        <v>0</v>
      </c>
      <c r="I4572" s="23">
        <v>0</v>
      </c>
      <c r="J4572" s="23">
        <v>0</v>
      </c>
      <c r="K4572" s="23">
        <v>0</v>
      </c>
    </row>
    <row r="4573" spans="1:11" x14ac:dyDescent="0.25">
      <c r="A4573">
        <v>4572</v>
      </c>
      <c r="B4573" s="23">
        <v>1253.3754510000001</v>
      </c>
      <c r="C4573" s="23">
        <v>757.22</v>
      </c>
      <c r="D4573" s="23">
        <v>2817.6379999999999</v>
      </c>
      <c r="E4573" s="23">
        <v>1253.375</v>
      </c>
      <c r="F4573" s="23">
        <v>-1564.2629999999999</v>
      </c>
      <c r="G4573" s="23">
        <v>0</v>
      </c>
      <c r="H4573" s="23">
        <v>0</v>
      </c>
      <c r="I4573" s="23">
        <v>0</v>
      </c>
      <c r="J4573" s="23">
        <v>0</v>
      </c>
      <c r="K4573" s="23">
        <v>0</v>
      </c>
    </row>
    <row r="4574" spans="1:11" x14ac:dyDescent="0.25">
      <c r="A4574">
        <v>4573</v>
      </c>
      <c r="B4574" s="23">
        <v>1225.6263610000001</v>
      </c>
      <c r="C4574" s="23">
        <v>735.66</v>
      </c>
      <c r="D4574" s="23">
        <v>2744.4859999999999</v>
      </c>
      <c r="E4574" s="23">
        <v>1225.627</v>
      </c>
      <c r="F4574" s="23">
        <v>-1518.8589999999999</v>
      </c>
      <c r="G4574" s="23">
        <v>0</v>
      </c>
      <c r="H4574" s="23">
        <v>0</v>
      </c>
      <c r="I4574" s="23">
        <v>0</v>
      </c>
      <c r="J4574" s="23">
        <v>0</v>
      </c>
      <c r="K4574" s="23">
        <v>0</v>
      </c>
    </row>
    <row r="4575" spans="1:11" x14ac:dyDescent="0.25">
      <c r="A4575">
        <v>4574</v>
      </c>
      <c r="B4575" s="23">
        <v>1352.754504</v>
      </c>
      <c r="C4575" s="23">
        <v>587.29999999999995</v>
      </c>
      <c r="D4575" s="23">
        <v>2219.0450000000001</v>
      </c>
      <c r="E4575" s="23">
        <v>1352.7539999999999</v>
      </c>
      <c r="F4575" s="23">
        <v>-866.29100000000005</v>
      </c>
      <c r="G4575" s="23">
        <v>0</v>
      </c>
      <c r="H4575" s="23">
        <v>0</v>
      </c>
      <c r="I4575" s="23">
        <v>0</v>
      </c>
      <c r="J4575" s="23">
        <v>0</v>
      </c>
      <c r="K4575" s="23">
        <v>0</v>
      </c>
    </row>
    <row r="4576" spans="1:11" x14ac:dyDescent="0.25">
      <c r="A4576">
        <v>4575</v>
      </c>
      <c r="B4576" s="23">
        <v>1293.071645</v>
      </c>
      <c r="C4576" s="23">
        <v>591.73</v>
      </c>
      <c r="D4576" s="23">
        <v>2254.5859999999998</v>
      </c>
      <c r="E4576" s="23">
        <v>1293.0719999999999</v>
      </c>
      <c r="F4576" s="23">
        <v>-961.51400000000001</v>
      </c>
      <c r="G4576" s="23">
        <v>0</v>
      </c>
      <c r="H4576" s="23">
        <v>0</v>
      </c>
      <c r="I4576" s="23">
        <v>0</v>
      </c>
      <c r="J4576" s="23">
        <v>0</v>
      </c>
      <c r="K4576" s="23">
        <v>0</v>
      </c>
    </row>
    <row r="4577" spans="1:11" x14ac:dyDescent="0.25">
      <c r="A4577">
        <v>4576</v>
      </c>
      <c r="B4577" s="23">
        <v>998.76173549999999</v>
      </c>
      <c r="C4577" s="23">
        <v>378.78</v>
      </c>
      <c r="D4577" s="23">
        <v>1473.8119999999999</v>
      </c>
      <c r="E4577" s="23">
        <v>998.76099999999997</v>
      </c>
      <c r="F4577" s="23">
        <v>-386.791</v>
      </c>
      <c r="G4577" s="23">
        <v>0</v>
      </c>
      <c r="H4577" s="23">
        <v>88.26</v>
      </c>
      <c r="I4577" s="23">
        <v>0</v>
      </c>
      <c r="J4577" s="23">
        <v>0</v>
      </c>
      <c r="K4577" s="23">
        <v>0</v>
      </c>
    </row>
    <row r="4578" spans="1:11" x14ac:dyDescent="0.25">
      <c r="A4578">
        <v>4577</v>
      </c>
      <c r="B4578" s="23">
        <v>1126.9880659999999</v>
      </c>
      <c r="C4578" s="23">
        <v>162.34</v>
      </c>
      <c r="D4578" s="23">
        <v>625.40800000000002</v>
      </c>
      <c r="E4578" s="23">
        <v>625.40800000000002</v>
      </c>
      <c r="F4578" s="23">
        <v>0</v>
      </c>
      <c r="G4578" s="23">
        <v>0</v>
      </c>
      <c r="H4578" s="23">
        <v>0</v>
      </c>
      <c r="I4578" s="23">
        <v>501.58</v>
      </c>
      <c r="J4578" s="23">
        <v>0</v>
      </c>
      <c r="K4578" s="23">
        <v>0</v>
      </c>
    </row>
    <row r="4579" spans="1:11" x14ac:dyDescent="0.25">
      <c r="A4579">
        <v>4578</v>
      </c>
      <c r="B4579" s="23">
        <v>1225.8162990000001</v>
      </c>
      <c r="C4579" s="23">
        <v>35.28</v>
      </c>
      <c r="D4579" s="23">
        <v>112.19499999999999</v>
      </c>
      <c r="E4579" s="23">
        <v>112.19499999999999</v>
      </c>
      <c r="F4579" s="23">
        <v>0</v>
      </c>
      <c r="G4579" s="23">
        <v>0</v>
      </c>
      <c r="H4579" s="23">
        <v>0</v>
      </c>
      <c r="I4579" s="23">
        <v>0</v>
      </c>
      <c r="J4579" s="23">
        <v>0</v>
      </c>
      <c r="K4579" s="23">
        <v>1113.6210000000001</v>
      </c>
    </row>
    <row r="4580" spans="1:11" x14ac:dyDescent="0.25">
      <c r="A4580">
        <v>4579</v>
      </c>
      <c r="B4580" s="23">
        <v>1032.572439</v>
      </c>
      <c r="C4580" s="23">
        <v>0</v>
      </c>
      <c r="D4580" s="23">
        <v>0</v>
      </c>
      <c r="E4580" s="23">
        <v>0</v>
      </c>
      <c r="F4580" s="23">
        <v>0</v>
      </c>
      <c r="G4580" s="23">
        <v>0</v>
      </c>
      <c r="H4580" s="23">
        <v>0</v>
      </c>
      <c r="I4580" s="23">
        <v>0</v>
      </c>
      <c r="J4580" s="23">
        <v>0</v>
      </c>
      <c r="K4580" s="23">
        <v>1032.5719999999999</v>
      </c>
    </row>
    <row r="4581" spans="1:11" x14ac:dyDescent="0.25">
      <c r="A4581">
        <v>4580</v>
      </c>
      <c r="B4581" s="23">
        <v>1021.521497</v>
      </c>
      <c r="C4581" s="23">
        <v>0</v>
      </c>
      <c r="D4581" s="23">
        <v>0</v>
      </c>
      <c r="E4581" s="23">
        <v>0</v>
      </c>
      <c r="F4581" s="23">
        <v>0</v>
      </c>
      <c r="G4581" s="23">
        <v>0</v>
      </c>
      <c r="H4581" s="23">
        <v>0</v>
      </c>
      <c r="I4581" s="23">
        <v>0</v>
      </c>
      <c r="J4581" s="23">
        <v>0</v>
      </c>
      <c r="K4581" s="23">
        <v>1021.521</v>
      </c>
    </row>
    <row r="4582" spans="1:11" x14ac:dyDescent="0.25">
      <c r="A4582">
        <v>4581</v>
      </c>
      <c r="B4582" s="23">
        <v>1216.2943580000001</v>
      </c>
      <c r="C4582" s="23">
        <v>0</v>
      </c>
      <c r="D4582" s="23">
        <v>0</v>
      </c>
      <c r="E4582" s="23">
        <v>0</v>
      </c>
      <c r="F4582" s="23">
        <v>0</v>
      </c>
      <c r="G4582" s="23">
        <v>0</v>
      </c>
      <c r="H4582" s="23">
        <v>0</v>
      </c>
      <c r="I4582" s="23">
        <v>1216.2940000000001</v>
      </c>
      <c r="J4582" s="23">
        <v>0</v>
      </c>
      <c r="K4582" s="23">
        <v>0</v>
      </c>
    </row>
    <row r="4583" spans="1:11" x14ac:dyDescent="0.25">
      <c r="A4583">
        <v>4582</v>
      </c>
      <c r="B4583" s="23">
        <v>1219.057094</v>
      </c>
      <c r="C4583" s="23">
        <v>0</v>
      </c>
      <c r="D4583" s="23">
        <v>0</v>
      </c>
      <c r="E4583" s="23">
        <v>0</v>
      </c>
      <c r="F4583" s="23">
        <v>0</v>
      </c>
      <c r="G4583" s="23">
        <v>0</v>
      </c>
      <c r="H4583" s="23">
        <v>0</v>
      </c>
      <c r="I4583" s="23">
        <v>1219.057</v>
      </c>
      <c r="J4583" s="23">
        <v>0</v>
      </c>
      <c r="K4583" s="23">
        <v>0</v>
      </c>
    </row>
    <row r="4584" spans="1:11" x14ac:dyDescent="0.25">
      <c r="A4584">
        <v>4583</v>
      </c>
      <c r="B4584" s="23">
        <v>1163.1116979999999</v>
      </c>
      <c r="C4584" s="23">
        <v>0</v>
      </c>
      <c r="D4584" s="23">
        <v>0</v>
      </c>
      <c r="E4584" s="23">
        <v>0</v>
      </c>
      <c r="F4584" s="23">
        <v>0</v>
      </c>
      <c r="G4584" s="23">
        <v>0</v>
      </c>
      <c r="H4584" s="23">
        <v>0</v>
      </c>
      <c r="I4584" s="23">
        <v>1163.1120000000001</v>
      </c>
      <c r="J4584" s="23">
        <v>0</v>
      </c>
      <c r="K4584" s="23">
        <v>0</v>
      </c>
    </row>
    <row r="4585" spans="1:11" x14ac:dyDescent="0.25">
      <c r="A4585">
        <v>4584</v>
      </c>
      <c r="B4585" s="23">
        <v>1101.6408300000001</v>
      </c>
      <c r="C4585" s="23">
        <v>0</v>
      </c>
      <c r="D4585" s="23">
        <v>0</v>
      </c>
      <c r="E4585" s="23">
        <v>0</v>
      </c>
      <c r="F4585" s="23">
        <v>0</v>
      </c>
      <c r="G4585" s="23">
        <v>0</v>
      </c>
      <c r="H4585" s="23">
        <v>0</v>
      </c>
      <c r="I4585" s="23">
        <v>1101.6410000000001</v>
      </c>
      <c r="J4585" s="23">
        <v>0</v>
      </c>
      <c r="K4585" s="23">
        <v>0</v>
      </c>
    </row>
    <row r="4586" spans="1:11" x14ac:dyDescent="0.25">
      <c r="A4586">
        <v>4585</v>
      </c>
      <c r="B4586" s="23">
        <v>1022.212181</v>
      </c>
      <c r="C4586" s="23">
        <v>0</v>
      </c>
      <c r="D4586" s="23">
        <v>0</v>
      </c>
      <c r="E4586" s="23">
        <v>0</v>
      </c>
      <c r="F4586" s="23">
        <v>0</v>
      </c>
      <c r="G4586" s="23">
        <v>0</v>
      </c>
      <c r="H4586" s="23">
        <v>0</v>
      </c>
      <c r="I4586" s="23">
        <v>1022.212</v>
      </c>
      <c r="J4586" s="23">
        <v>0</v>
      </c>
      <c r="K4586" s="23">
        <v>0</v>
      </c>
    </row>
    <row r="4587" spans="1:11" x14ac:dyDescent="0.25">
      <c r="A4587">
        <v>4586</v>
      </c>
      <c r="B4587" s="23">
        <v>1254.972657</v>
      </c>
      <c r="C4587" s="23">
        <v>0</v>
      </c>
      <c r="D4587" s="23">
        <v>0</v>
      </c>
      <c r="E4587" s="23">
        <v>0</v>
      </c>
      <c r="F4587" s="23">
        <v>0</v>
      </c>
      <c r="G4587" s="23">
        <v>0</v>
      </c>
      <c r="H4587" s="23">
        <v>0</v>
      </c>
      <c r="I4587" s="23">
        <v>1254.973</v>
      </c>
      <c r="J4587" s="23">
        <v>0</v>
      </c>
      <c r="K4587" s="23">
        <v>0</v>
      </c>
    </row>
    <row r="4588" spans="1:11" x14ac:dyDescent="0.25">
      <c r="A4588">
        <v>4587</v>
      </c>
      <c r="B4588" s="23">
        <v>1133.41229</v>
      </c>
      <c r="C4588" s="23">
        <v>0</v>
      </c>
      <c r="D4588" s="23">
        <v>0</v>
      </c>
      <c r="E4588" s="23">
        <v>0</v>
      </c>
      <c r="F4588" s="23">
        <v>0</v>
      </c>
      <c r="G4588" s="23">
        <v>0</v>
      </c>
      <c r="H4588" s="23">
        <v>0</v>
      </c>
      <c r="I4588" s="23">
        <v>1133.412</v>
      </c>
      <c r="J4588" s="23">
        <v>0</v>
      </c>
      <c r="K4588" s="23">
        <v>0</v>
      </c>
    </row>
    <row r="4589" spans="1:11" x14ac:dyDescent="0.25">
      <c r="A4589">
        <v>4588</v>
      </c>
      <c r="B4589" s="23">
        <v>973.17362349999996</v>
      </c>
      <c r="C4589" s="23">
        <v>0</v>
      </c>
      <c r="D4589" s="23">
        <v>0</v>
      </c>
      <c r="E4589" s="23">
        <v>0</v>
      </c>
      <c r="F4589" s="23">
        <v>0</v>
      </c>
      <c r="G4589" s="23">
        <v>0</v>
      </c>
      <c r="H4589" s="23">
        <v>0</v>
      </c>
      <c r="I4589" s="23">
        <v>973.17399999999998</v>
      </c>
      <c r="J4589" s="23">
        <v>0</v>
      </c>
      <c r="K4589" s="23">
        <v>0</v>
      </c>
    </row>
    <row r="4590" spans="1:11" x14ac:dyDescent="0.25">
      <c r="A4590">
        <v>4589</v>
      </c>
      <c r="B4590" s="23">
        <v>1258.4260770000001</v>
      </c>
      <c r="C4590" s="23">
        <v>0</v>
      </c>
      <c r="D4590" s="23">
        <v>0</v>
      </c>
      <c r="E4590" s="23">
        <v>0</v>
      </c>
      <c r="F4590" s="23">
        <v>0</v>
      </c>
      <c r="G4590" s="23">
        <v>0</v>
      </c>
      <c r="H4590" s="23">
        <v>0</v>
      </c>
      <c r="I4590" s="23">
        <v>1258.4259999999999</v>
      </c>
      <c r="J4590" s="23">
        <v>0</v>
      </c>
      <c r="K4590" s="23">
        <v>0</v>
      </c>
    </row>
    <row r="4591" spans="1:11" x14ac:dyDescent="0.25">
      <c r="A4591">
        <v>4590</v>
      </c>
      <c r="B4591" s="23">
        <v>1203.862048</v>
      </c>
      <c r="C4591" s="23">
        <v>0</v>
      </c>
      <c r="D4591" s="23">
        <v>0</v>
      </c>
      <c r="E4591" s="23">
        <v>0</v>
      </c>
      <c r="F4591" s="23">
        <v>0</v>
      </c>
      <c r="G4591" s="23">
        <v>0</v>
      </c>
      <c r="H4591" s="23">
        <v>0</v>
      </c>
      <c r="I4591" s="23">
        <v>1203.8620000000001</v>
      </c>
      <c r="J4591" s="23">
        <v>0</v>
      </c>
      <c r="K4591" s="23">
        <v>0</v>
      </c>
    </row>
    <row r="4592" spans="1:11" x14ac:dyDescent="0.25">
      <c r="A4592">
        <v>4591</v>
      </c>
      <c r="B4592" s="23">
        <v>1112.6917719999999</v>
      </c>
      <c r="C4592" s="23">
        <v>52.72</v>
      </c>
      <c r="D4592" s="23">
        <v>182.48</v>
      </c>
      <c r="E4592" s="23">
        <v>182.48</v>
      </c>
      <c r="F4592" s="23">
        <v>0</v>
      </c>
      <c r="G4592" s="23">
        <v>0</v>
      </c>
      <c r="H4592" s="23">
        <v>0</v>
      </c>
      <c r="I4592" s="23">
        <v>797.35799999999995</v>
      </c>
      <c r="J4592" s="23">
        <v>0</v>
      </c>
      <c r="K4592" s="23">
        <v>132.85300000000001</v>
      </c>
    </row>
    <row r="4593" spans="1:11" x14ac:dyDescent="0.25">
      <c r="A4593">
        <v>4592</v>
      </c>
      <c r="B4593" s="23">
        <v>1002.444807</v>
      </c>
      <c r="C4593" s="23">
        <v>101.99</v>
      </c>
      <c r="D4593" s="23">
        <v>381.72399999999999</v>
      </c>
      <c r="E4593" s="23">
        <v>381.72399999999999</v>
      </c>
      <c r="F4593" s="23">
        <v>0</v>
      </c>
      <c r="G4593" s="23">
        <v>0</v>
      </c>
      <c r="H4593" s="23">
        <v>0</v>
      </c>
      <c r="I4593" s="23">
        <v>0</v>
      </c>
      <c r="J4593" s="23">
        <v>0</v>
      </c>
      <c r="K4593" s="23">
        <v>620.721</v>
      </c>
    </row>
    <row r="4594" spans="1:11" x14ac:dyDescent="0.25">
      <c r="A4594">
        <v>4593</v>
      </c>
      <c r="B4594" s="23">
        <v>715.81875660000003</v>
      </c>
      <c r="C4594" s="23">
        <v>207.53</v>
      </c>
      <c r="D4594" s="23">
        <v>798.93100000000004</v>
      </c>
      <c r="E4594" s="23">
        <v>715.81799999999998</v>
      </c>
      <c r="F4594" s="23">
        <v>-83.113</v>
      </c>
      <c r="G4594" s="23">
        <v>0</v>
      </c>
      <c r="H4594" s="23">
        <v>0</v>
      </c>
      <c r="I4594" s="23">
        <v>0</v>
      </c>
      <c r="J4594" s="23">
        <v>0</v>
      </c>
      <c r="K4594" s="23">
        <v>0</v>
      </c>
    </row>
    <row r="4595" spans="1:11" x14ac:dyDescent="0.25">
      <c r="A4595">
        <v>4594</v>
      </c>
      <c r="B4595" s="23">
        <v>888.07704950000004</v>
      </c>
      <c r="C4595" s="23">
        <v>472.76</v>
      </c>
      <c r="D4595" s="23">
        <v>1809.5550000000001</v>
      </c>
      <c r="E4595" s="23">
        <v>888.077</v>
      </c>
      <c r="F4595" s="23">
        <v>-921.47799999999995</v>
      </c>
      <c r="G4595" s="23">
        <v>0</v>
      </c>
      <c r="H4595" s="23">
        <v>0</v>
      </c>
      <c r="I4595" s="23">
        <v>0</v>
      </c>
      <c r="J4595" s="23">
        <v>0</v>
      </c>
      <c r="K4595" s="23">
        <v>0</v>
      </c>
    </row>
    <row r="4596" spans="1:11" x14ac:dyDescent="0.25">
      <c r="A4596">
        <v>4595</v>
      </c>
      <c r="B4596" s="23">
        <v>1386.135258</v>
      </c>
      <c r="C4596" s="23">
        <v>589.67999999999995</v>
      </c>
      <c r="D4596" s="23">
        <v>2229.0819999999999</v>
      </c>
      <c r="E4596" s="23">
        <v>1386.135</v>
      </c>
      <c r="F4596" s="23">
        <v>-842.947</v>
      </c>
      <c r="G4596" s="23">
        <v>0</v>
      </c>
      <c r="H4596" s="23">
        <v>0</v>
      </c>
      <c r="I4596" s="23">
        <v>0</v>
      </c>
      <c r="J4596" s="23">
        <v>0</v>
      </c>
      <c r="K4596" s="23">
        <v>0</v>
      </c>
    </row>
    <row r="4597" spans="1:11" x14ac:dyDescent="0.25">
      <c r="A4597">
        <v>4596</v>
      </c>
      <c r="B4597" s="23">
        <v>1199.056615</v>
      </c>
      <c r="C4597" s="23">
        <v>619.04999999999995</v>
      </c>
      <c r="D4597" s="23">
        <v>2331.8760000000002</v>
      </c>
      <c r="E4597" s="23">
        <v>1199.057</v>
      </c>
      <c r="F4597" s="23">
        <v>-1132.819</v>
      </c>
      <c r="G4597" s="23">
        <v>0</v>
      </c>
      <c r="H4597" s="23">
        <v>0</v>
      </c>
      <c r="I4597" s="23">
        <v>0</v>
      </c>
      <c r="J4597" s="23">
        <v>0</v>
      </c>
      <c r="K4597" s="23">
        <v>0</v>
      </c>
    </row>
    <row r="4598" spans="1:11" x14ac:dyDescent="0.25">
      <c r="A4598">
        <v>4597</v>
      </c>
      <c r="B4598" s="23">
        <v>1228.048935</v>
      </c>
      <c r="C4598" s="23">
        <v>469.8</v>
      </c>
      <c r="D4598" s="23">
        <v>1783.3240000000001</v>
      </c>
      <c r="E4598" s="23">
        <v>1228.049</v>
      </c>
      <c r="F4598" s="23">
        <v>-555.27499999999998</v>
      </c>
      <c r="G4598" s="23">
        <v>0</v>
      </c>
      <c r="H4598" s="23">
        <v>0</v>
      </c>
      <c r="I4598" s="23">
        <v>0</v>
      </c>
      <c r="J4598" s="23">
        <v>0</v>
      </c>
      <c r="K4598" s="23">
        <v>0</v>
      </c>
    </row>
    <row r="4599" spans="1:11" x14ac:dyDescent="0.25">
      <c r="A4599">
        <v>4598</v>
      </c>
      <c r="B4599" s="23">
        <v>1402.9447769999999</v>
      </c>
      <c r="C4599" s="23">
        <v>566.28</v>
      </c>
      <c r="D4599" s="23">
        <v>2149.85</v>
      </c>
      <c r="E4599" s="23">
        <v>1402.9449999999999</v>
      </c>
      <c r="F4599" s="23">
        <v>-746.90499999999997</v>
      </c>
      <c r="G4599" s="23">
        <v>0</v>
      </c>
      <c r="H4599" s="23">
        <v>0</v>
      </c>
      <c r="I4599" s="23">
        <v>0</v>
      </c>
      <c r="J4599" s="23">
        <v>0</v>
      </c>
      <c r="K4599" s="23">
        <v>0</v>
      </c>
    </row>
    <row r="4600" spans="1:11" x14ac:dyDescent="0.25">
      <c r="A4600">
        <v>4599</v>
      </c>
      <c r="B4600" s="23">
        <v>1345.1535280000001</v>
      </c>
      <c r="C4600" s="23">
        <v>370.99</v>
      </c>
      <c r="D4600" s="23">
        <v>1426.587</v>
      </c>
      <c r="E4600" s="23">
        <v>1345.154</v>
      </c>
      <c r="F4600" s="23">
        <v>-81.433000000000007</v>
      </c>
      <c r="G4600" s="23">
        <v>0</v>
      </c>
      <c r="H4600" s="23">
        <v>0</v>
      </c>
      <c r="I4600" s="23">
        <v>0</v>
      </c>
      <c r="J4600" s="23">
        <v>0</v>
      </c>
      <c r="K4600" s="23">
        <v>0</v>
      </c>
    </row>
    <row r="4601" spans="1:11" x14ac:dyDescent="0.25">
      <c r="A4601">
        <v>4600</v>
      </c>
      <c r="B4601" s="23">
        <v>1550.7355930000001</v>
      </c>
      <c r="C4601" s="23">
        <v>32.36</v>
      </c>
      <c r="D4601" s="23">
        <v>99.207999999999998</v>
      </c>
      <c r="E4601" s="23">
        <v>99.207999999999998</v>
      </c>
      <c r="F4601" s="23">
        <v>0</v>
      </c>
      <c r="G4601" s="23">
        <v>0</v>
      </c>
      <c r="H4601" s="23">
        <v>0</v>
      </c>
      <c r="I4601" s="23">
        <v>1451.527</v>
      </c>
      <c r="J4601" s="23">
        <v>0</v>
      </c>
      <c r="K4601" s="23">
        <v>0</v>
      </c>
    </row>
    <row r="4602" spans="1:11" x14ac:dyDescent="0.25">
      <c r="A4602">
        <v>4601</v>
      </c>
      <c r="B4602" s="23">
        <v>1497.0150619999999</v>
      </c>
      <c r="C4602" s="23">
        <v>16.649999999999999</v>
      </c>
      <c r="D4602" s="23">
        <v>40.298000000000002</v>
      </c>
      <c r="E4602" s="23">
        <v>40.298000000000002</v>
      </c>
      <c r="F4602" s="23">
        <v>0</v>
      </c>
      <c r="G4602" s="23">
        <v>0</v>
      </c>
      <c r="H4602" s="23">
        <v>0</v>
      </c>
      <c r="I4602" s="23">
        <v>1456.7170000000001</v>
      </c>
      <c r="J4602" s="23">
        <v>0</v>
      </c>
      <c r="K4602" s="23">
        <v>0</v>
      </c>
    </row>
    <row r="4603" spans="1:11" x14ac:dyDescent="0.25">
      <c r="A4603">
        <v>4602</v>
      </c>
      <c r="B4603" s="23">
        <v>1191.2751969999999</v>
      </c>
      <c r="C4603" s="23">
        <v>9.7899999999999991</v>
      </c>
      <c r="D4603" s="23">
        <v>14.103</v>
      </c>
      <c r="E4603" s="23">
        <v>14.103</v>
      </c>
      <c r="F4603" s="23">
        <v>0</v>
      </c>
      <c r="G4603" s="23">
        <v>0</v>
      </c>
      <c r="H4603" s="23">
        <v>0</v>
      </c>
      <c r="I4603" s="23">
        <v>0</v>
      </c>
      <c r="J4603" s="23">
        <v>0</v>
      </c>
      <c r="K4603" s="23">
        <v>1177.173</v>
      </c>
    </row>
    <row r="4604" spans="1:11" x14ac:dyDescent="0.25">
      <c r="A4604">
        <v>4603</v>
      </c>
      <c r="B4604" s="23">
        <v>1230.79872</v>
      </c>
      <c r="C4604" s="23">
        <v>0</v>
      </c>
      <c r="D4604" s="23">
        <v>0</v>
      </c>
      <c r="E4604" s="23">
        <v>0</v>
      </c>
      <c r="F4604" s="23">
        <v>0</v>
      </c>
      <c r="G4604" s="23">
        <v>0</v>
      </c>
      <c r="H4604" s="23">
        <v>0</v>
      </c>
      <c r="I4604" s="23">
        <v>0</v>
      </c>
      <c r="J4604" s="23">
        <v>0</v>
      </c>
      <c r="K4604" s="23">
        <v>1230.799</v>
      </c>
    </row>
    <row r="4605" spans="1:11" x14ac:dyDescent="0.25">
      <c r="A4605">
        <v>4604</v>
      </c>
      <c r="B4605" s="23">
        <v>1251.5192380000001</v>
      </c>
      <c r="C4605" s="23">
        <v>0</v>
      </c>
      <c r="D4605" s="23">
        <v>0</v>
      </c>
      <c r="E4605" s="23">
        <v>0</v>
      </c>
      <c r="F4605" s="23">
        <v>0</v>
      </c>
      <c r="G4605" s="23">
        <v>0</v>
      </c>
      <c r="H4605" s="23">
        <v>0</v>
      </c>
      <c r="I4605" s="23">
        <v>0</v>
      </c>
      <c r="J4605" s="23">
        <v>0</v>
      </c>
      <c r="K4605" s="23">
        <v>1251.519</v>
      </c>
    </row>
    <row r="4606" spans="1:11" x14ac:dyDescent="0.25">
      <c r="A4606">
        <v>4605</v>
      </c>
      <c r="B4606" s="23">
        <v>1339.2360940000001</v>
      </c>
      <c r="C4606" s="23">
        <v>0</v>
      </c>
      <c r="D4606" s="23">
        <v>0</v>
      </c>
      <c r="E4606" s="23">
        <v>0</v>
      </c>
      <c r="F4606" s="23">
        <v>0</v>
      </c>
      <c r="G4606" s="23">
        <v>0</v>
      </c>
      <c r="H4606" s="23">
        <v>0</v>
      </c>
      <c r="I4606" s="23">
        <v>1339.2360000000001</v>
      </c>
      <c r="J4606" s="23">
        <v>0</v>
      </c>
      <c r="K4606" s="23">
        <v>0</v>
      </c>
    </row>
    <row r="4607" spans="1:11" x14ac:dyDescent="0.25">
      <c r="A4607">
        <v>4606</v>
      </c>
      <c r="B4607" s="23">
        <v>1237.014876</v>
      </c>
      <c r="C4607" s="23">
        <v>0</v>
      </c>
      <c r="D4607" s="23">
        <v>0</v>
      </c>
      <c r="E4607" s="23">
        <v>0</v>
      </c>
      <c r="F4607" s="23">
        <v>0</v>
      </c>
      <c r="G4607" s="23">
        <v>0</v>
      </c>
      <c r="H4607" s="23">
        <v>0</v>
      </c>
      <c r="I4607" s="23">
        <v>158.78200000000001</v>
      </c>
      <c r="J4607" s="23">
        <v>0</v>
      </c>
      <c r="K4607" s="23">
        <v>1078.2329999999999</v>
      </c>
    </row>
    <row r="4608" spans="1:11" x14ac:dyDescent="0.25">
      <c r="A4608">
        <v>4607</v>
      </c>
      <c r="B4608" s="23">
        <v>1361.3379789999999</v>
      </c>
      <c r="C4608" s="23">
        <v>0</v>
      </c>
      <c r="D4608" s="23">
        <v>0</v>
      </c>
      <c r="E4608" s="23">
        <v>0</v>
      </c>
      <c r="F4608" s="23">
        <v>0</v>
      </c>
      <c r="G4608" s="23">
        <v>0</v>
      </c>
      <c r="H4608" s="23">
        <v>0</v>
      </c>
      <c r="I4608" s="23">
        <v>1361.338</v>
      </c>
      <c r="J4608" s="23">
        <v>0</v>
      </c>
      <c r="K4608" s="23">
        <v>0</v>
      </c>
    </row>
    <row r="4609" spans="1:11" x14ac:dyDescent="0.25">
      <c r="A4609">
        <v>4608</v>
      </c>
      <c r="B4609" s="23">
        <v>1507.7629669999999</v>
      </c>
      <c r="C4609" s="23">
        <v>0</v>
      </c>
      <c r="D4609" s="23">
        <v>0</v>
      </c>
      <c r="E4609" s="23">
        <v>0</v>
      </c>
      <c r="F4609" s="23">
        <v>0</v>
      </c>
      <c r="G4609" s="23">
        <v>0</v>
      </c>
      <c r="H4609" s="23">
        <v>0</v>
      </c>
      <c r="I4609" s="23">
        <v>1507.7629999999999</v>
      </c>
      <c r="J4609" s="23">
        <v>0</v>
      </c>
      <c r="K4609" s="23">
        <v>0</v>
      </c>
    </row>
    <row r="4610" spans="1:11" x14ac:dyDescent="0.25">
      <c r="A4610">
        <v>4609</v>
      </c>
      <c r="B4610" s="23">
        <v>607.80183720000002</v>
      </c>
      <c r="C4610" s="23">
        <v>0</v>
      </c>
      <c r="D4610" s="23">
        <v>0</v>
      </c>
      <c r="E4610" s="23">
        <v>0</v>
      </c>
      <c r="F4610" s="23">
        <v>0</v>
      </c>
      <c r="G4610" s="23">
        <v>0</v>
      </c>
      <c r="H4610" s="23">
        <v>0</v>
      </c>
      <c r="I4610" s="23">
        <v>607.80200000000002</v>
      </c>
      <c r="J4610" s="23">
        <v>0</v>
      </c>
      <c r="K4610" s="23">
        <v>0</v>
      </c>
    </row>
    <row r="4611" spans="1:11" x14ac:dyDescent="0.25">
      <c r="A4611">
        <v>4610</v>
      </c>
      <c r="B4611" s="23">
        <v>762.51503209999998</v>
      </c>
      <c r="C4611" s="23">
        <v>0</v>
      </c>
      <c r="D4611" s="23">
        <v>0</v>
      </c>
      <c r="E4611" s="23">
        <v>0</v>
      </c>
      <c r="F4611" s="23">
        <v>0</v>
      </c>
      <c r="G4611" s="23">
        <v>0</v>
      </c>
      <c r="H4611" s="23">
        <v>0</v>
      </c>
      <c r="I4611" s="23">
        <v>762.51499999999999</v>
      </c>
      <c r="J4611" s="23">
        <v>0</v>
      </c>
      <c r="K4611" s="23">
        <v>0</v>
      </c>
    </row>
    <row r="4612" spans="1:11" x14ac:dyDescent="0.25">
      <c r="A4612">
        <v>4611</v>
      </c>
      <c r="B4612" s="23">
        <v>928.27916960000005</v>
      </c>
      <c r="C4612" s="23">
        <v>0</v>
      </c>
      <c r="D4612" s="23">
        <v>0</v>
      </c>
      <c r="E4612" s="23">
        <v>0</v>
      </c>
      <c r="F4612" s="23">
        <v>0</v>
      </c>
      <c r="G4612" s="23">
        <v>0</v>
      </c>
      <c r="H4612" s="23">
        <v>0</v>
      </c>
      <c r="I4612" s="23">
        <v>928.279</v>
      </c>
      <c r="J4612" s="23">
        <v>0</v>
      </c>
      <c r="K4612" s="23">
        <v>0</v>
      </c>
    </row>
    <row r="4613" spans="1:11" x14ac:dyDescent="0.25">
      <c r="A4613">
        <v>4612</v>
      </c>
      <c r="B4613" s="23">
        <v>756.98956090000001</v>
      </c>
      <c r="C4613" s="23">
        <v>0</v>
      </c>
      <c r="D4613" s="23">
        <v>0</v>
      </c>
      <c r="E4613" s="23">
        <v>0</v>
      </c>
      <c r="F4613" s="23">
        <v>0</v>
      </c>
      <c r="G4613" s="23">
        <v>0</v>
      </c>
      <c r="H4613" s="23">
        <v>0</v>
      </c>
      <c r="I4613" s="23">
        <v>756.99</v>
      </c>
      <c r="J4613" s="23">
        <v>0</v>
      </c>
      <c r="K4613" s="23">
        <v>0</v>
      </c>
    </row>
    <row r="4614" spans="1:11" x14ac:dyDescent="0.25">
      <c r="A4614">
        <v>4613</v>
      </c>
      <c r="B4614" s="23">
        <v>800.50264700000002</v>
      </c>
      <c r="C4614" s="23">
        <v>0</v>
      </c>
      <c r="D4614" s="23">
        <v>0</v>
      </c>
      <c r="E4614" s="23">
        <v>0</v>
      </c>
      <c r="F4614" s="23">
        <v>0</v>
      </c>
      <c r="G4614" s="23">
        <v>0</v>
      </c>
      <c r="H4614" s="23">
        <v>0</v>
      </c>
      <c r="I4614" s="23">
        <v>0</v>
      </c>
      <c r="J4614" s="23">
        <v>0</v>
      </c>
      <c r="K4614" s="23">
        <v>800.50300000000004</v>
      </c>
    </row>
    <row r="4615" spans="1:11" x14ac:dyDescent="0.25">
      <c r="A4615">
        <v>4614</v>
      </c>
      <c r="B4615" s="23">
        <v>622.30619920000004</v>
      </c>
      <c r="C4615" s="23">
        <v>0</v>
      </c>
      <c r="D4615" s="23">
        <v>0</v>
      </c>
      <c r="E4615" s="23">
        <v>0</v>
      </c>
      <c r="F4615" s="23">
        <v>0</v>
      </c>
      <c r="G4615" s="23">
        <v>0</v>
      </c>
      <c r="H4615" s="23">
        <v>0</v>
      </c>
      <c r="I4615" s="23">
        <v>0</v>
      </c>
      <c r="J4615" s="23">
        <v>0</v>
      </c>
      <c r="K4615" s="23">
        <v>622.30600000000004</v>
      </c>
    </row>
    <row r="4616" spans="1:11" x14ac:dyDescent="0.25">
      <c r="A4616">
        <v>4615</v>
      </c>
      <c r="B4616" s="23">
        <v>551.16575690000002</v>
      </c>
      <c r="C4616" s="23">
        <v>46.92</v>
      </c>
      <c r="D4616" s="23">
        <v>159.84899999999999</v>
      </c>
      <c r="E4616" s="23">
        <v>159.84899999999999</v>
      </c>
      <c r="F4616" s="23">
        <v>0</v>
      </c>
      <c r="G4616" s="23">
        <v>0</v>
      </c>
      <c r="H4616" s="23">
        <v>0</v>
      </c>
      <c r="I4616" s="23">
        <v>0</v>
      </c>
      <c r="J4616" s="23">
        <v>0</v>
      </c>
      <c r="K4616" s="23">
        <v>391.31599999999997</v>
      </c>
    </row>
    <row r="4617" spans="1:11" x14ac:dyDescent="0.25">
      <c r="A4617">
        <v>4616</v>
      </c>
      <c r="B4617" s="23">
        <v>537.63007909999999</v>
      </c>
      <c r="C4617" s="23">
        <v>318.19</v>
      </c>
      <c r="D4617" s="23">
        <v>1230.5150000000001</v>
      </c>
      <c r="E4617" s="23">
        <v>537.63</v>
      </c>
      <c r="F4617" s="23">
        <v>-692.88499999999999</v>
      </c>
      <c r="G4617" s="23">
        <v>0</v>
      </c>
      <c r="H4617" s="23">
        <v>0</v>
      </c>
      <c r="I4617" s="23">
        <v>0</v>
      </c>
      <c r="J4617" s="23">
        <v>0</v>
      </c>
      <c r="K4617" s="23">
        <v>0</v>
      </c>
    </row>
    <row r="4618" spans="1:11" x14ac:dyDescent="0.25">
      <c r="A4618">
        <v>4617</v>
      </c>
      <c r="B4618" s="23">
        <v>520.87581420000004</v>
      </c>
      <c r="C4618" s="23">
        <v>536.61</v>
      </c>
      <c r="D4618" s="23">
        <v>2149.3130000000001</v>
      </c>
      <c r="E4618" s="23">
        <v>520.87599999999998</v>
      </c>
      <c r="F4618" s="23">
        <v>-1628.4369999999999</v>
      </c>
      <c r="G4618" s="23">
        <v>0</v>
      </c>
      <c r="H4618" s="23">
        <v>0</v>
      </c>
      <c r="I4618" s="23">
        <v>0</v>
      </c>
      <c r="J4618" s="23">
        <v>0</v>
      </c>
      <c r="K4618" s="23">
        <v>0</v>
      </c>
    </row>
    <row r="4619" spans="1:11" x14ac:dyDescent="0.25">
      <c r="A4619">
        <v>4618</v>
      </c>
      <c r="B4619" s="23">
        <v>948.35907740000005</v>
      </c>
      <c r="C4619" s="23">
        <v>721.75</v>
      </c>
      <c r="D4619" s="23">
        <v>2822.5610000000001</v>
      </c>
      <c r="E4619" s="23">
        <v>948.36</v>
      </c>
      <c r="F4619" s="23">
        <v>-1684.559</v>
      </c>
      <c r="G4619" s="23">
        <v>0</v>
      </c>
      <c r="H4619" s="23">
        <v>189.642</v>
      </c>
      <c r="I4619" s="23">
        <v>0</v>
      </c>
      <c r="J4619" s="23">
        <v>0</v>
      </c>
      <c r="K4619" s="23">
        <v>0</v>
      </c>
    </row>
    <row r="4620" spans="1:11" x14ac:dyDescent="0.25">
      <c r="A4620">
        <v>4619</v>
      </c>
      <c r="B4620" s="23">
        <v>845.27018769999995</v>
      </c>
      <c r="C4620" s="23">
        <v>854.48</v>
      </c>
      <c r="D4620" s="23">
        <v>3280.8519999999999</v>
      </c>
      <c r="E4620" s="23">
        <v>845.27099999999996</v>
      </c>
      <c r="F4620" s="23">
        <v>-1684.559</v>
      </c>
      <c r="G4620" s="23">
        <v>0</v>
      </c>
      <c r="H4620" s="23">
        <v>751.02200000000005</v>
      </c>
      <c r="I4620" s="23">
        <v>0</v>
      </c>
      <c r="J4620" s="23">
        <v>0</v>
      </c>
      <c r="K4620" s="23">
        <v>0</v>
      </c>
    </row>
    <row r="4621" spans="1:11" x14ac:dyDescent="0.25">
      <c r="A4621">
        <v>4620</v>
      </c>
      <c r="B4621" s="23">
        <v>618.95897239999999</v>
      </c>
      <c r="C4621" s="23">
        <v>922.7</v>
      </c>
      <c r="D4621" s="23">
        <v>3510.4229999999998</v>
      </c>
      <c r="E4621" s="23">
        <v>618.95899999999995</v>
      </c>
      <c r="F4621" s="23">
        <v>-1601.058</v>
      </c>
      <c r="G4621" s="23">
        <v>0</v>
      </c>
      <c r="H4621" s="23">
        <v>1290.4059999999999</v>
      </c>
      <c r="I4621" s="23">
        <v>0</v>
      </c>
      <c r="J4621" s="23">
        <v>0</v>
      </c>
      <c r="K4621" s="23">
        <v>0</v>
      </c>
    </row>
    <row r="4622" spans="1:11" x14ac:dyDescent="0.25">
      <c r="A4622">
        <v>4621</v>
      </c>
      <c r="B4622" s="23">
        <v>587.22981709999999</v>
      </c>
      <c r="C4622" s="23">
        <v>525.16</v>
      </c>
      <c r="D4622" s="23">
        <v>2004.3050000000001</v>
      </c>
      <c r="E4622" s="23">
        <v>587.23</v>
      </c>
      <c r="F4622" s="23">
        <v>0</v>
      </c>
      <c r="G4622" s="23">
        <v>0</v>
      </c>
      <c r="H4622" s="23">
        <v>1417.075</v>
      </c>
      <c r="I4622" s="23">
        <v>0</v>
      </c>
      <c r="J4622" s="23">
        <v>0</v>
      </c>
      <c r="K4622" s="23">
        <v>0</v>
      </c>
    </row>
    <row r="4623" spans="1:11" x14ac:dyDescent="0.25">
      <c r="A4623">
        <v>4622</v>
      </c>
      <c r="B4623" s="23">
        <v>673.70516880000002</v>
      </c>
      <c r="C4623" s="23">
        <v>850.13</v>
      </c>
      <c r="D4623" s="23">
        <v>3264.817</v>
      </c>
      <c r="E4623" s="23">
        <v>673.70500000000004</v>
      </c>
      <c r="F4623" s="23">
        <v>0</v>
      </c>
      <c r="G4623" s="23">
        <v>0</v>
      </c>
      <c r="H4623" s="23">
        <v>2591.1120000000001</v>
      </c>
      <c r="I4623" s="23">
        <v>0</v>
      </c>
      <c r="J4623" s="23">
        <v>0</v>
      </c>
      <c r="K4623" s="23">
        <v>0</v>
      </c>
    </row>
    <row r="4624" spans="1:11" x14ac:dyDescent="0.25">
      <c r="A4624">
        <v>4623</v>
      </c>
      <c r="B4624" s="23">
        <v>761.97888880000005</v>
      </c>
      <c r="C4624" s="23">
        <v>485.35</v>
      </c>
      <c r="D4624" s="23">
        <v>1876.028</v>
      </c>
      <c r="E4624" s="23">
        <v>761.97799999999995</v>
      </c>
      <c r="F4624" s="23">
        <v>0</v>
      </c>
      <c r="G4624" s="23">
        <v>0</v>
      </c>
      <c r="H4624" s="23">
        <v>1114.05</v>
      </c>
      <c r="I4624" s="23">
        <v>0</v>
      </c>
      <c r="J4624" s="23">
        <v>0</v>
      </c>
      <c r="K4624" s="23">
        <v>0</v>
      </c>
    </row>
    <row r="4625" spans="1:11" x14ac:dyDescent="0.25">
      <c r="A4625">
        <v>4624</v>
      </c>
      <c r="B4625" s="23">
        <v>727.59491720000005</v>
      </c>
      <c r="C4625" s="23">
        <v>29.42</v>
      </c>
      <c r="D4625" s="23">
        <v>88.04</v>
      </c>
      <c r="E4625" s="23">
        <v>88.04</v>
      </c>
      <c r="F4625" s="23">
        <v>0</v>
      </c>
      <c r="G4625" s="23">
        <v>0</v>
      </c>
      <c r="H4625" s="23">
        <v>0</v>
      </c>
      <c r="I4625" s="23">
        <v>639.55499999999995</v>
      </c>
      <c r="J4625" s="23">
        <v>0</v>
      </c>
      <c r="K4625" s="23">
        <v>0</v>
      </c>
    </row>
    <row r="4626" spans="1:11" x14ac:dyDescent="0.25">
      <c r="A4626">
        <v>4625</v>
      </c>
      <c r="B4626" s="23">
        <v>423.39786789999999</v>
      </c>
      <c r="C4626" s="23">
        <v>21.55</v>
      </c>
      <c r="D4626" s="23">
        <v>59.37</v>
      </c>
      <c r="E4626" s="23">
        <v>59.37</v>
      </c>
      <c r="F4626" s="23">
        <v>0</v>
      </c>
      <c r="G4626" s="23">
        <v>0</v>
      </c>
      <c r="H4626" s="23">
        <v>0</v>
      </c>
      <c r="I4626" s="23">
        <v>364.02800000000002</v>
      </c>
      <c r="J4626" s="23">
        <v>0</v>
      </c>
      <c r="K4626" s="23">
        <v>0</v>
      </c>
    </row>
    <row r="4627" spans="1:11" x14ac:dyDescent="0.25">
      <c r="A4627">
        <v>4626</v>
      </c>
      <c r="B4627" s="23">
        <v>585.84067909999999</v>
      </c>
      <c r="C4627" s="23">
        <v>10.77</v>
      </c>
      <c r="D4627" s="23">
        <v>17.800999999999998</v>
      </c>
      <c r="E4627" s="23">
        <v>17.800999999999998</v>
      </c>
      <c r="F4627" s="23">
        <v>0</v>
      </c>
      <c r="G4627" s="23">
        <v>0</v>
      </c>
      <c r="H4627" s="23">
        <v>0</v>
      </c>
      <c r="I4627" s="23">
        <v>0</v>
      </c>
      <c r="J4627" s="23">
        <v>0</v>
      </c>
      <c r="K4627" s="23">
        <v>568.03899999999999</v>
      </c>
    </row>
    <row r="4628" spans="1:11" x14ac:dyDescent="0.25">
      <c r="A4628">
        <v>4627</v>
      </c>
      <c r="B4628" s="23">
        <v>736.95972759999995</v>
      </c>
      <c r="C4628" s="23">
        <v>0</v>
      </c>
      <c r="D4628" s="23">
        <v>0</v>
      </c>
      <c r="E4628" s="23">
        <v>0</v>
      </c>
      <c r="F4628" s="23">
        <v>0</v>
      </c>
      <c r="G4628" s="23">
        <v>0</v>
      </c>
      <c r="H4628" s="23">
        <v>0</v>
      </c>
      <c r="I4628" s="23">
        <v>0</v>
      </c>
      <c r="J4628" s="23">
        <v>0</v>
      </c>
      <c r="K4628" s="23">
        <v>736.96</v>
      </c>
    </row>
    <row r="4629" spans="1:11" x14ac:dyDescent="0.25">
      <c r="A4629">
        <v>4628</v>
      </c>
      <c r="B4629" s="23">
        <v>609.18320500000004</v>
      </c>
      <c r="C4629" s="23">
        <v>0</v>
      </c>
      <c r="D4629" s="23">
        <v>0</v>
      </c>
      <c r="E4629" s="23">
        <v>0</v>
      </c>
      <c r="F4629" s="23">
        <v>0</v>
      </c>
      <c r="G4629" s="23">
        <v>0</v>
      </c>
      <c r="H4629" s="23">
        <v>0</v>
      </c>
      <c r="I4629" s="23">
        <v>0</v>
      </c>
      <c r="J4629" s="23">
        <v>0</v>
      </c>
      <c r="K4629" s="23">
        <v>609.18299999999999</v>
      </c>
    </row>
    <row r="4630" spans="1:11" x14ac:dyDescent="0.25">
      <c r="A4630">
        <v>4629</v>
      </c>
      <c r="B4630" s="23">
        <v>715.54852649999998</v>
      </c>
      <c r="C4630" s="23">
        <v>0</v>
      </c>
      <c r="D4630" s="23">
        <v>0</v>
      </c>
      <c r="E4630" s="23">
        <v>0</v>
      </c>
      <c r="F4630" s="23">
        <v>0</v>
      </c>
      <c r="G4630" s="23">
        <v>0</v>
      </c>
      <c r="H4630" s="23">
        <v>0</v>
      </c>
      <c r="I4630" s="23">
        <v>715.54899999999998</v>
      </c>
      <c r="J4630" s="23">
        <v>0</v>
      </c>
      <c r="K4630" s="23">
        <v>0</v>
      </c>
    </row>
    <row r="4631" spans="1:11" x14ac:dyDescent="0.25">
      <c r="A4631">
        <v>4630</v>
      </c>
      <c r="B4631" s="23">
        <v>707.95100360000004</v>
      </c>
      <c r="C4631" s="23">
        <v>0</v>
      </c>
      <c r="D4631" s="23">
        <v>0</v>
      </c>
      <c r="E4631" s="23">
        <v>0</v>
      </c>
      <c r="F4631" s="23">
        <v>0</v>
      </c>
      <c r="G4631" s="23">
        <v>0</v>
      </c>
      <c r="H4631" s="23">
        <v>0</v>
      </c>
      <c r="I4631" s="23">
        <v>707.95100000000002</v>
      </c>
      <c r="J4631" s="23">
        <v>0</v>
      </c>
      <c r="K4631" s="23">
        <v>0</v>
      </c>
    </row>
    <row r="4632" spans="1:11" x14ac:dyDescent="0.25">
      <c r="A4632">
        <v>4631</v>
      </c>
      <c r="B4632" s="23">
        <v>652.00560719999999</v>
      </c>
      <c r="C4632" s="23">
        <v>0</v>
      </c>
      <c r="D4632" s="23">
        <v>0</v>
      </c>
      <c r="E4632" s="23">
        <v>0</v>
      </c>
      <c r="F4632" s="23">
        <v>0</v>
      </c>
      <c r="G4632" s="23">
        <v>0</v>
      </c>
      <c r="H4632" s="23">
        <v>0</v>
      </c>
      <c r="I4632" s="23">
        <v>652.00599999999997</v>
      </c>
      <c r="J4632" s="23">
        <v>0</v>
      </c>
      <c r="K4632" s="23">
        <v>0</v>
      </c>
    </row>
    <row r="4633" spans="1:11" x14ac:dyDescent="0.25">
      <c r="A4633">
        <v>4632</v>
      </c>
      <c r="B4633" s="23">
        <v>602.27636600000005</v>
      </c>
      <c r="C4633" s="23">
        <v>0</v>
      </c>
      <c r="D4633" s="23">
        <v>0</v>
      </c>
      <c r="E4633" s="23">
        <v>0</v>
      </c>
      <c r="F4633" s="23">
        <v>0</v>
      </c>
      <c r="G4633" s="23">
        <v>0</v>
      </c>
      <c r="H4633" s="23">
        <v>0</v>
      </c>
      <c r="I4633" s="23">
        <v>602.27599999999995</v>
      </c>
      <c r="J4633" s="23">
        <v>0</v>
      </c>
      <c r="K4633" s="23">
        <v>0</v>
      </c>
    </row>
    <row r="4634" spans="1:11" x14ac:dyDescent="0.25">
      <c r="A4634">
        <v>4633</v>
      </c>
      <c r="B4634" s="23">
        <v>1192.8111060000001</v>
      </c>
      <c r="C4634" s="23">
        <v>0</v>
      </c>
      <c r="D4634" s="23">
        <v>0</v>
      </c>
      <c r="E4634" s="23">
        <v>0</v>
      </c>
      <c r="F4634" s="23">
        <v>0</v>
      </c>
      <c r="G4634" s="23">
        <v>0</v>
      </c>
      <c r="H4634" s="23">
        <v>0</v>
      </c>
      <c r="I4634" s="23">
        <v>1192.8109999999999</v>
      </c>
      <c r="J4634" s="23">
        <v>0</v>
      </c>
      <c r="K4634" s="23">
        <v>0</v>
      </c>
    </row>
    <row r="4635" spans="1:11" x14ac:dyDescent="0.25">
      <c r="A4635">
        <v>4634</v>
      </c>
      <c r="B4635" s="23">
        <v>1270.858387</v>
      </c>
      <c r="C4635" s="23">
        <v>0</v>
      </c>
      <c r="D4635" s="23">
        <v>0</v>
      </c>
      <c r="E4635" s="23">
        <v>0</v>
      </c>
      <c r="F4635" s="23">
        <v>0</v>
      </c>
      <c r="G4635" s="23">
        <v>0</v>
      </c>
      <c r="H4635" s="23">
        <v>0</v>
      </c>
      <c r="I4635" s="23">
        <v>1270.8579999999999</v>
      </c>
      <c r="J4635" s="23">
        <v>0</v>
      </c>
      <c r="K4635" s="23">
        <v>0</v>
      </c>
    </row>
    <row r="4636" spans="1:11" x14ac:dyDescent="0.25">
      <c r="A4636">
        <v>4635</v>
      </c>
      <c r="B4636" s="23">
        <v>1317.824893</v>
      </c>
      <c r="C4636" s="23">
        <v>0</v>
      </c>
      <c r="D4636" s="23">
        <v>0</v>
      </c>
      <c r="E4636" s="23">
        <v>0</v>
      </c>
      <c r="F4636" s="23">
        <v>0</v>
      </c>
      <c r="G4636" s="23">
        <v>0</v>
      </c>
      <c r="H4636" s="23">
        <v>0</v>
      </c>
      <c r="I4636" s="23">
        <v>1143.2470000000001</v>
      </c>
      <c r="J4636" s="23">
        <v>0</v>
      </c>
      <c r="K4636" s="23">
        <v>174.578</v>
      </c>
    </row>
    <row r="4637" spans="1:11" x14ac:dyDescent="0.25">
      <c r="A4637">
        <v>4636</v>
      </c>
      <c r="B4637" s="23">
        <v>1299.867111</v>
      </c>
      <c r="C4637" s="23">
        <v>0</v>
      </c>
      <c r="D4637" s="23">
        <v>0</v>
      </c>
      <c r="E4637" s="23">
        <v>0</v>
      </c>
      <c r="F4637" s="23">
        <v>0</v>
      </c>
      <c r="G4637" s="23">
        <v>0</v>
      </c>
      <c r="H4637" s="23">
        <v>0</v>
      </c>
      <c r="I4637" s="23">
        <v>0</v>
      </c>
      <c r="J4637" s="23">
        <v>0</v>
      </c>
      <c r="K4637" s="23">
        <v>1299.867</v>
      </c>
    </row>
    <row r="4638" spans="1:11" x14ac:dyDescent="0.25">
      <c r="A4638">
        <v>4637</v>
      </c>
      <c r="B4638" s="23">
        <v>1154.132807</v>
      </c>
      <c r="C4638" s="23">
        <v>0</v>
      </c>
      <c r="D4638" s="23">
        <v>0</v>
      </c>
      <c r="E4638" s="23">
        <v>0</v>
      </c>
      <c r="F4638" s="23">
        <v>0</v>
      </c>
      <c r="G4638" s="23">
        <v>0</v>
      </c>
      <c r="H4638" s="23">
        <v>0</v>
      </c>
      <c r="I4638" s="23">
        <v>0</v>
      </c>
      <c r="J4638" s="23">
        <v>0</v>
      </c>
      <c r="K4638" s="23">
        <v>1154.133</v>
      </c>
    </row>
    <row r="4639" spans="1:11" x14ac:dyDescent="0.25">
      <c r="A4639">
        <v>4638</v>
      </c>
      <c r="B4639" s="23">
        <v>1298.485743</v>
      </c>
      <c r="C4639" s="23">
        <v>0</v>
      </c>
      <c r="D4639" s="23">
        <v>0</v>
      </c>
      <c r="E4639" s="23">
        <v>0</v>
      </c>
      <c r="F4639" s="23">
        <v>0</v>
      </c>
      <c r="G4639" s="23">
        <v>0</v>
      </c>
      <c r="H4639" s="23">
        <v>0</v>
      </c>
      <c r="I4639" s="23">
        <v>0</v>
      </c>
      <c r="J4639" s="23">
        <v>0</v>
      </c>
      <c r="K4639" s="23">
        <v>1298.4860000000001</v>
      </c>
    </row>
    <row r="4640" spans="1:11" x14ac:dyDescent="0.25">
      <c r="A4640">
        <v>4639</v>
      </c>
      <c r="B4640" s="23">
        <v>998.728928</v>
      </c>
      <c r="C4640" s="23">
        <v>101.39</v>
      </c>
      <c r="D4640" s="23">
        <v>288.125</v>
      </c>
      <c r="E4640" s="23">
        <v>288.125</v>
      </c>
      <c r="F4640" s="23">
        <v>0</v>
      </c>
      <c r="G4640" s="23">
        <v>0</v>
      </c>
      <c r="H4640" s="23">
        <v>0</v>
      </c>
      <c r="I4640" s="23">
        <v>0</v>
      </c>
      <c r="J4640" s="23">
        <v>0</v>
      </c>
      <c r="K4640" s="23">
        <v>710.60299999999995</v>
      </c>
    </row>
    <row r="4641" spans="1:11" x14ac:dyDescent="0.25">
      <c r="A4641">
        <v>4640</v>
      </c>
      <c r="B4641" s="23">
        <v>130.6100533</v>
      </c>
      <c r="C4641" s="23">
        <v>318.23</v>
      </c>
      <c r="D4641" s="23">
        <v>1225.856</v>
      </c>
      <c r="E4641" s="23">
        <v>130.61099999999999</v>
      </c>
      <c r="F4641" s="23">
        <v>-1095.2449999999999</v>
      </c>
      <c r="G4641" s="23">
        <v>0</v>
      </c>
      <c r="H4641" s="23">
        <v>0</v>
      </c>
      <c r="I4641" s="23">
        <v>0</v>
      </c>
      <c r="J4641" s="23">
        <v>0</v>
      </c>
      <c r="K4641" s="23">
        <v>0</v>
      </c>
    </row>
    <row r="4642" spans="1:11" x14ac:dyDescent="0.25">
      <c r="A4642">
        <v>4641</v>
      </c>
      <c r="B4642" s="23">
        <v>175.92323429999999</v>
      </c>
      <c r="C4642" s="23">
        <v>536.49</v>
      </c>
      <c r="D4642" s="23">
        <v>2131.6610000000001</v>
      </c>
      <c r="E4642" s="23">
        <v>175.923</v>
      </c>
      <c r="F4642" s="23">
        <v>-1684.559</v>
      </c>
      <c r="G4642" s="23">
        <v>0</v>
      </c>
      <c r="H4642" s="23">
        <v>271.17899999999997</v>
      </c>
      <c r="I4642" s="23">
        <v>0</v>
      </c>
      <c r="J4642" s="23">
        <v>0</v>
      </c>
      <c r="K4642" s="23">
        <v>0</v>
      </c>
    </row>
    <row r="4643" spans="1:11" x14ac:dyDescent="0.25">
      <c r="A4643">
        <v>4642</v>
      </c>
      <c r="B4643" s="23">
        <v>234.31969520000001</v>
      </c>
      <c r="C4643" s="23">
        <v>722.37</v>
      </c>
      <c r="D4643" s="23">
        <v>2797.4859999999999</v>
      </c>
      <c r="E4643" s="23">
        <v>234.32</v>
      </c>
      <c r="F4643" s="23">
        <v>-1684.559</v>
      </c>
      <c r="G4643" s="23">
        <v>0</v>
      </c>
      <c r="H4643" s="23">
        <v>878.60699999999997</v>
      </c>
      <c r="I4643" s="23">
        <v>0</v>
      </c>
      <c r="J4643" s="23">
        <v>0</v>
      </c>
      <c r="K4643" s="23">
        <v>0</v>
      </c>
    </row>
    <row r="4644" spans="1:11" x14ac:dyDescent="0.25">
      <c r="A4644">
        <v>4643</v>
      </c>
      <c r="B4644" s="23">
        <v>194.84020319999999</v>
      </c>
      <c r="C4644" s="23">
        <v>507.75</v>
      </c>
      <c r="D4644" s="23">
        <v>1936.38</v>
      </c>
      <c r="E4644" s="23">
        <v>194.84100000000001</v>
      </c>
      <c r="F4644" s="23">
        <v>-1684.559</v>
      </c>
      <c r="G4644" s="23">
        <v>0</v>
      </c>
      <c r="H4644" s="23">
        <v>56.98</v>
      </c>
      <c r="I4644" s="23">
        <v>0</v>
      </c>
      <c r="J4644" s="23">
        <v>0</v>
      </c>
      <c r="K4644" s="23">
        <v>0</v>
      </c>
    </row>
    <row r="4645" spans="1:11" x14ac:dyDescent="0.25">
      <c r="A4645">
        <v>4644</v>
      </c>
      <c r="B4645" s="23">
        <v>182.07636460000001</v>
      </c>
      <c r="C4645" s="23">
        <v>406.52</v>
      </c>
      <c r="D4645" s="23">
        <v>1549.9290000000001</v>
      </c>
      <c r="E4645" s="23">
        <v>182.07599999999999</v>
      </c>
      <c r="F4645" s="23">
        <v>-1142.575</v>
      </c>
      <c r="G4645" s="23">
        <v>0</v>
      </c>
      <c r="H4645" s="23">
        <v>225.27799999999999</v>
      </c>
      <c r="I4645" s="23">
        <v>0</v>
      </c>
      <c r="J4645" s="23">
        <v>0</v>
      </c>
      <c r="K4645" s="23">
        <v>0</v>
      </c>
    </row>
    <row r="4646" spans="1:11" x14ac:dyDescent="0.25">
      <c r="A4646">
        <v>4645</v>
      </c>
      <c r="B4646" s="23">
        <v>203.54541040000001</v>
      </c>
      <c r="C4646" s="23">
        <v>390.82</v>
      </c>
      <c r="D4646" s="23">
        <v>1491.184</v>
      </c>
      <c r="E4646" s="23">
        <v>203.54499999999999</v>
      </c>
      <c r="F4646" s="23">
        <v>0</v>
      </c>
      <c r="G4646" s="23">
        <v>0</v>
      </c>
      <c r="H4646" s="23">
        <v>1287.6389999999999</v>
      </c>
      <c r="I4646" s="23">
        <v>0</v>
      </c>
      <c r="J4646" s="23">
        <v>0</v>
      </c>
      <c r="K4646" s="23">
        <v>0</v>
      </c>
    </row>
    <row r="4647" spans="1:11" x14ac:dyDescent="0.25">
      <c r="A4647">
        <v>4646</v>
      </c>
      <c r="B4647" s="23">
        <v>203.7793796</v>
      </c>
      <c r="C4647" s="23">
        <v>588.73</v>
      </c>
      <c r="D4647" s="23">
        <v>2247.002</v>
      </c>
      <c r="E4647" s="23">
        <v>203.779</v>
      </c>
      <c r="F4647" s="23">
        <v>0</v>
      </c>
      <c r="G4647" s="23">
        <v>0</v>
      </c>
      <c r="H4647" s="23">
        <v>2043.223</v>
      </c>
      <c r="I4647" s="23">
        <v>0</v>
      </c>
      <c r="J4647" s="23">
        <v>0</v>
      </c>
      <c r="K4647" s="23">
        <v>0</v>
      </c>
    </row>
    <row r="4648" spans="1:11" x14ac:dyDescent="0.25">
      <c r="A4648">
        <v>4647</v>
      </c>
      <c r="B4648" s="23">
        <v>223.50962870000001</v>
      </c>
      <c r="C4648" s="23">
        <v>593.41</v>
      </c>
      <c r="D4648" s="23">
        <v>2287.1610000000001</v>
      </c>
      <c r="E4648" s="23">
        <v>223.51</v>
      </c>
      <c r="F4648" s="23">
        <v>0</v>
      </c>
      <c r="G4648" s="23">
        <v>0</v>
      </c>
      <c r="H4648" s="23">
        <v>2063.6509999999998</v>
      </c>
      <c r="I4648" s="23">
        <v>0</v>
      </c>
      <c r="J4648" s="23">
        <v>0</v>
      </c>
      <c r="K4648" s="23">
        <v>0</v>
      </c>
    </row>
    <row r="4649" spans="1:11" x14ac:dyDescent="0.25">
      <c r="A4649">
        <v>4648</v>
      </c>
      <c r="B4649" s="23">
        <v>227.84453360000001</v>
      </c>
      <c r="C4649" s="23">
        <v>453.63</v>
      </c>
      <c r="D4649" s="23">
        <v>1777.59</v>
      </c>
      <c r="E4649" s="23">
        <v>227.845</v>
      </c>
      <c r="F4649" s="23">
        <v>0</v>
      </c>
      <c r="G4649" s="23">
        <v>0</v>
      </c>
      <c r="H4649" s="23">
        <v>1549.7449999999999</v>
      </c>
      <c r="I4649" s="23">
        <v>0</v>
      </c>
      <c r="J4649" s="23">
        <v>0</v>
      </c>
      <c r="K4649" s="23">
        <v>0</v>
      </c>
    </row>
    <row r="4650" spans="1:11" x14ac:dyDescent="0.25">
      <c r="A4650">
        <v>4649</v>
      </c>
      <c r="B4650" s="23">
        <v>436.24113510000001</v>
      </c>
      <c r="C4650" s="23">
        <v>20.57</v>
      </c>
      <c r="D4650" s="23">
        <v>55.262999999999998</v>
      </c>
      <c r="E4650" s="23">
        <v>55.262999999999998</v>
      </c>
      <c r="F4650" s="23">
        <v>0</v>
      </c>
      <c r="G4650" s="23">
        <v>0</v>
      </c>
      <c r="H4650" s="23">
        <v>0</v>
      </c>
      <c r="I4650" s="23">
        <v>0</v>
      </c>
      <c r="J4650" s="23">
        <v>0</v>
      </c>
      <c r="K4650" s="23">
        <v>380.97800000000001</v>
      </c>
    </row>
    <row r="4651" spans="1:11" x14ac:dyDescent="0.25">
      <c r="A4651">
        <v>4650</v>
      </c>
      <c r="B4651" s="23">
        <v>395.23177820000001</v>
      </c>
      <c r="C4651" s="23">
        <v>67.63</v>
      </c>
      <c r="D4651" s="23">
        <v>235.85300000000001</v>
      </c>
      <c r="E4651" s="23">
        <v>235.85300000000001</v>
      </c>
      <c r="F4651" s="23">
        <v>0</v>
      </c>
      <c r="G4651" s="23">
        <v>0</v>
      </c>
      <c r="H4651" s="23">
        <v>0</v>
      </c>
      <c r="I4651" s="23">
        <v>0</v>
      </c>
      <c r="J4651" s="23">
        <v>0</v>
      </c>
      <c r="K4651" s="23">
        <v>159.37899999999999</v>
      </c>
    </row>
    <row r="4652" spans="1:11" x14ac:dyDescent="0.25">
      <c r="A4652">
        <v>4651</v>
      </c>
      <c r="B4652" s="23">
        <v>255.55304520000001</v>
      </c>
      <c r="C4652" s="23">
        <v>0</v>
      </c>
      <c r="D4652" s="23">
        <v>0</v>
      </c>
      <c r="E4652" s="23">
        <v>0</v>
      </c>
      <c r="F4652" s="23">
        <v>0</v>
      </c>
      <c r="G4652" s="23">
        <v>0</v>
      </c>
      <c r="H4652" s="23">
        <v>0</v>
      </c>
      <c r="I4652" s="23">
        <v>0</v>
      </c>
      <c r="J4652" s="23">
        <v>0</v>
      </c>
      <c r="K4652" s="23">
        <v>255.553</v>
      </c>
    </row>
    <row r="4653" spans="1:11" x14ac:dyDescent="0.25">
      <c r="A4653">
        <v>4652</v>
      </c>
      <c r="B4653" s="23">
        <v>228.61637289999999</v>
      </c>
      <c r="C4653" s="23">
        <v>0</v>
      </c>
      <c r="D4653" s="23">
        <v>0</v>
      </c>
      <c r="E4653" s="23">
        <v>0</v>
      </c>
      <c r="F4653" s="23">
        <v>0</v>
      </c>
      <c r="G4653" s="23">
        <v>0</v>
      </c>
      <c r="H4653" s="23">
        <v>0</v>
      </c>
      <c r="I4653" s="23">
        <v>0</v>
      </c>
      <c r="J4653" s="23">
        <v>0</v>
      </c>
      <c r="K4653" s="23">
        <v>228.61600000000001</v>
      </c>
    </row>
    <row r="4654" spans="1:11" x14ac:dyDescent="0.25">
      <c r="A4654">
        <v>4653</v>
      </c>
      <c r="B4654" s="23">
        <v>206.51448790000001</v>
      </c>
      <c r="C4654" s="23">
        <v>0</v>
      </c>
      <c r="D4654" s="23">
        <v>0</v>
      </c>
      <c r="E4654" s="23">
        <v>0</v>
      </c>
      <c r="F4654" s="23">
        <v>0</v>
      </c>
      <c r="G4654" s="23">
        <v>0</v>
      </c>
      <c r="H4654" s="23">
        <v>0</v>
      </c>
      <c r="I4654" s="23">
        <v>0</v>
      </c>
      <c r="J4654" s="23">
        <v>0</v>
      </c>
      <c r="K4654" s="23">
        <v>206.51400000000001</v>
      </c>
    </row>
    <row r="4655" spans="1:11" x14ac:dyDescent="0.25">
      <c r="A4655">
        <v>4654</v>
      </c>
      <c r="B4655" s="23">
        <v>243.81141880000001</v>
      </c>
      <c r="C4655" s="23">
        <v>0</v>
      </c>
      <c r="D4655" s="23">
        <v>0</v>
      </c>
      <c r="E4655" s="23">
        <v>0</v>
      </c>
      <c r="F4655" s="23">
        <v>0</v>
      </c>
      <c r="G4655" s="23">
        <v>0</v>
      </c>
      <c r="H4655" s="23">
        <v>0</v>
      </c>
      <c r="I4655" s="23">
        <v>0</v>
      </c>
      <c r="J4655" s="23">
        <v>0</v>
      </c>
      <c r="K4655" s="23">
        <v>243.81100000000001</v>
      </c>
    </row>
    <row r="4656" spans="1:11" x14ac:dyDescent="0.25">
      <c r="A4656">
        <v>4655</v>
      </c>
      <c r="B4656" s="23">
        <v>205.13312010000001</v>
      </c>
      <c r="C4656" s="23">
        <v>0</v>
      </c>
      <c r="D4656" s="23">
        <v>0</v>
      </c>
      <c r="E4656" s="23">
        <v>0</v>
      </c>
      <c r="F4656" s="23">
        <v>0</v>
      </c>
      <c r="G4656" s="23">
        <v>0</v>
      </c>
      <c r="H4656" s="23">
        <v>0</v>
      </c>
      <c r="I4656" s="23">
        <v>0</v>
      </c>
      <c r="J4656" s="23">
        <v>0</v>
      </c>
      <c r="K4656" s="23">
        <v>205.13300000000001</v>
      </c>
    </row>
    <row r="4657" spans="1:11" x14ac:dyDescent="0.25">
      <c r="A4657">
        <v>4656</v>
      </c>
      <c r="B4657" s="23">
        <v>192.7008098</v>
      </c>
      <c r="C4657" s="23">
        <v>0</v>
      </c>
      <c r="D4657" s="23">
        <v>0</v>
      </c>
      <c r="E4657" s="23">
        <v>0</v>
      </c>
      <c r="F4657" s="23">
        <v>0</v>
      </c>
      <c r="G4657" s="23">
        <v>0</v>
      </c>
      <c r="H4657" s="23">
        <v>0</v>
      </c>
      <c r="I4657" s="23">
        <v>0</v>
      </c>
      <c r="J4657" s="23">
        <v>0</v>
      </c>
      <c r="K4657" s="23">
        <v>192.70099999999999</v>
      </c>
    </row>
    <row r="4658" spans="1:11" x14ac:dyDescent="0.25">
      <c r="A4658">
        <v>4657</v>
      </c>
      <c r="B4658" s="23">
        <v>223.78158550000001</v>
      </c>
      <c r="C4658" s="23">
        <v>0</v>
      </c>
      <c r="D4658" s="23">
        <v>0</v>
      </c>
      <c r="E4658" s="23">
        <v>0</v>
      </c>
      <c r="F4658" s="23">
        <v>0</v>
      </c>
      <c r="G4658" s="23">
        <v>0</v>
      </c>
      <c r="H4658" s="23">
        <v>0</v>
      </c>
      <c r="I4658" s="23">
        <v>0</v>
      </c>
      <c r="J4658" s="23">
        <v>0</v>
      </c>
      <c r="K4658" s="23">
        <v>223.78200000000001</v>
      </c>
    </row>
    <row r="4659" spans="1:11" x14ac:dyDescent="0.25">
      <c r="A4659">
        <v>4658</v>
      </c>
      <c r="B4659" s="23">
        <v>188.5567063</v>
      </c>
      <c r="C4659" s="23">
        <v>0</v>
      </c>
      <c r="D4659" s="23">
        <v>0</v>
      </c>
      <c r="E4659" s="23">
        <v>0</v>
      </c>
      <c r="F4659" s="23">
        <v>0</v>
      </c>
      <c r="G4659" s="23">
        <v>0</v>
      </c>
      <c r="H4659" s="23">
        <v>0</v>
      </c>
      <c r="I4659" s="23">
        <v>0</v>
      </c>
      <c r="J4659" s="23">
        <v>0</v>
      </c>
      <c r="K4659" s="23">
        <v>188.55699999999999</v>
      </c>
    </row>
    <row r="4660" spans="1:11" x14ac:dyDescent="0.25">
      <c r="A4660">
        <v>4659</v>
      </c>
      <c r="B4660" s="23">
        <v>172.67097649999999</v>
      </c>
      <c r="C4660" s="23">
        <v>0</v>
      </c>
      <c r="D4660" s="23">
        <v>0</v>
      </c>
      <c r="E4660" s="23">
        <v>0</v>
      </c>
      <c r="F4660" s="23">
        <v>0</v>
      </c>
      <c r="G4660" s="23">
        <v>0</v>
      </c>
      <c r="H4660" s="23">
        <v>0</v>
      </c>
      <c r="I4660" s="23">
        <v>0</v>
      </c>
      <c r="J4660" s="23">
        <v>0</v>
      </c>
      <c r="K4660" s="23">
        <v>172.67099999999999</v>
      </c>
    </row>
    <row r="4661" spans="1:11" x14ac:dyDescent="0.25">
      <c r="A4661">
        <v>4660</v>
      </c>
      <c r="B4661" s="23">
        <v>181.64986730000001</v>
      </c>
      <c r="C4661" s="23">
        <v>0</v>
      </c>
      <c r="D4661" s="23">
        <v>0</v>
      </c>
      <c r="E4661" s="23">
        <v>0</v>
      </c>
      <c r="F4661" s="23">
        <v>0</v>
      </c>
      <c r="G4661" s="23">
        <v>0</v>
      </c>
      <c r="H4661" s="23">
        <v>0</v>
      </c>
      <c r="I4661" s="23">
        <v>0</v>
      </c>
      <c r="J4661" s="23">
        <v>0</v>
      </c>
      <c r="K4661" s="23">
        <v>181.65</v>
      </c>
    </row>
    <row r="4662" spans="1:11" x14ac:dyDescent="0.25">
      <c r="A4662">
        <v>4661</v>
      </c>
      <c r="B4662" s="23">
        <v>106.36532149999999</v>
      </c>
      <c r="C4662" s="23">
        <v>0</v>
      </c>
      <c r="D4662" s="23">
        <v>0</v>
      </c>
      <c r="E4662" s="23">
        <v>0</v>
      </c>
      <c r="F4662" s="23">
        <v>0</v>
      </c>
      <c r="G4662" s="23">
        <v>0</v>
      </c>
      <c r="H4662" s="23">
        <v>0</v>
      </c>
      <c r="I4662" s="23">
        <v>0</v>
      </c>
      <c r="J4662" s="23">
        <v>0</v>
      </c>
      <c r="K4662" s="23">
        <v>106.36499999999999</v>
      </c>
    </row>
    <row r="4663" spans="1:11" x14ac:dyDescent="0.25">
      <c r="A4663">
        <v>4662</v>
      </c>
      <c r="B4663" s="23">
        <v>155.4038788</v>
      </c>
      <c r="C4663" s="23">
        <v>0</v>
      </c>
      <c r="D4663" s="23">
        <v>0</v>
      </c>
      <c r="E4663" s="23">
        <v>0</v>
      </c>
      <c r="F4663" s="23">
        <v>0</v>
      </c>
      <c r="G4663" s="23">
        <v>0</v>
      </c>
      <c r="H4663" s="23">
        <v>0</v>
      </c>
      <c r="I4663" s="23">
        <v>0</v>
      </c>
      <c r="J4663" s="23">
        <v>0</v>
      </c>
      <c r="K4663" s="23">
        <v>155.404</v>
      </c>
    </row>
    <row r="4664" spans="1:11" x14ac:dyDescent="0.25">
      <c r="A4664">
        <v>4663</v>
      </c>
      <c r="B4664" s="23">
        <v>132.61130990000001</v>
      </c>
      <c r="C4664" s="23">
        <v>100.53</v>
      </c>
      <c r="D4664" s="23">
        <v>295.56900000000002</v>
      </c>
      <c r="E4664" s="23">
        <v>132.61099999999999</v>
      </c>
      <c r="F4664" s="23">
        <v>-162.958</v>
      </c>
      <c r="G4664" s="23">
        <v>0</v>
      </c>
      <c r="H4664" s="23">
        <v>0</v>
      </c>
      <c r="I4664" s="23">
        <v>0</v>
      </c>
      <c r="J4664" s="23">
        <v>0</v>
      </c>
      <c r="K4664" s="23">
        <v>0</v>
      </c>
    </row>
    <row r="4665" spans="1:11" x14ac:dyDescent="0.25">
      <c r="A4665">
        <v>4664</v>
      </c>
      <c r="B4665" s="23">
        <v>210.65168449999999</v>
      </c>
      <c r="C4665" s="23">
        <v>313.29000000000002</v>
      </c>
      <c r="D4665" s="23">
        <v>1205.239</v>
      </c>
      <c r="E4665" s="23">
        <v>210.65199999999999</v>
      </c>
      <c r="F4665" s="23">
        <v>-994.58699999999999</v>
      </c>
      <c r="G4665" s="23">
        <v>0</v>
      </c>
      <c r="H4665" s="23">
        <v>0</v>
      </c>
      <c r="I4665" s="23">
        <v>0</v>
      </c>
      <c r="J4665" s="23">
        <v>0</v>
      </c>
      <c r="K4665" s="23">
        <v>0</v>
      </c>
    </row>
    <row r="4666" spans="1:11" x14ac:dyDescent="0.25">
      <c r="A4666">
        <v>4665</v>
      </c>
      <c r="B4666" s="23">
        <v>378.0492893</v>
      </c>
      <c r="C4666" s="23">
        <v>530.49</v>
      </c>
      <c r="D4666" s="23">
        <v>2101.808</v>
      </c>
      <c r="E4666" s="23">
        <v>378.04899999999998</v>
      </c>
      <c r="F4666" s="23">
        <v>-1684.559</v>
      </c>
      <c r="G4666" s="23">
        <v>0</v>
      </c>
      <c r="H4666" s="23">
        <v>39.200000000000003</v>
      </c>
      <c r="I4666" s="23">
        <v>0</v>
      </c>
      <c r="J4666" s="23">
        <v>0</v>
      </c>
      <c r="K4666" s="23">
        <v>0</v>
      </c>
    </row>
    <row r="4667" spans="1:11" x14ac:dyDescent="0.25">
      <c r="A4667">
        <v>4666</v>
      </c>
      <c r="B4667" s="23">
        <v>837.02773860000002</v>
      </c>
      <c r="C4667" s="23">
        <v>715.66</v>
      </c>
      <c r="D4667" s="23">
        <v>2756.9560000000001</v>
      </c>
      <c r="E4667" s="23">
        <v>837.02800000000002</v>
      </c>
      <c r="F4667" s="23">
        <v>-386.52100000000002</v>
      </c>
      <c r="G4667" s="23">
        <v>0</v>
      </c>
      <c r="H4667" s="23">
        <v>1533.4069999999999</v>
      </c>
      <c r="I4667" s="23">
        <v>0</v>
      </c>
      <c r="J4667" s="23">
        <v>0</v>
      </c>
      <c r="K4667" s="23">
        <v>0</v>
      </c>
    </row>
    <row r="4668" spans="1:11" x14ac:dyDescent="0.25">
      <c r="A4668">
        <v>4667</v>
      </c>
      <c r="B4668" s="23">
        <v>1269.6824979999999</v>
      </c>
      <c r="C4668" s="23">
        <v>566.89</v>
      </c>
      <c r="D4668" s="23">
        <v>2143.971</v>
      </c>
      <c r="E4668" s="23">
        <v>1269.682</v>
      </c>
      <c r="F4668" s="23">
        <v>0</v>
      </c>
      <c r="G4668" s="23">
        <v>0</v>
      </c>
      <c r="H4668" s="23">
        <v>874.28899999999999</v>
      </c>
      <c r="I4668" s="23">
        <v>0</v>
      </c>
      <c r="J4668" s="23">
        <v>0</v>
      </c>
      <c r="K4668" s="23">
        <v>0</v>
      </c>
    </row>
    <row r="4669" spans="1:11" x14ac:dyDescent="0.25">
      <c r="A4669">
        <v>4668</v>
      </c>
      <c r="B4669" s="23">
        <v>1312.5903719999999</v>
      </c>
      <c r="C4669" s="23">
        <v>784.48</v>
      </c>
      <c r="D4669" s="23">
        <v>2919.5639999999999</v>
      </c>
      <c r="E4669" s="23">
        <v>1312.5909999999999</v>
      </c>
      <c r="F4669" s="23">
        <v>0</v>
      </c>
      <c r="G4669" s="23">
        <v>0</v>
      </c>
      <c r="H4669" s="23">
        <v>1606.973</v>
      </c>
      <c r="I4669" s="23">
        <v>0</v>
      </c>
      <c r="J4669" s="23">
        <v>0</v>
      </c>
      <c r="K4669" s="23">
        <v>0</v>
      </c>
    </row>
    <row r="4670" spans="1:11" x14ac:dyDescent="0.25">
      <c r="A4670">
        <v>4669</v>
      </c>
      <c r="B4670" s="23">
        <v>1239.856176</v>
      </c>
      <c r="C4670" s="23">
        <v>763.38</v>
      </c>
      <c r="D4670" s="23">
        <v>2849.19</v>
      </c>
      <c r="E4670" s="23">
        <v>1239.856</v>
      </c>
      <c r="F4670" s="23">
        <v>0</v>
      </c>
      <c r="G4670" s="23">
        <v>0</v>
      </c>
      <c r="H4670" s="23">
        <v>1609.3340000000001</v>
      </c>
      <c r="I4670" s="23">
        <v>0</v>
      </c>
      <c r="J4670" s="23">
        <v>0</v>
      </c>
      <c r="K4670" s="23">
        <v>0</v>
      </c>
    </row>
    <row r="4671" spans="1:11" x14ac:dyDescent="0.25">
      <c r="A4671">
        <v>4670</v>
      </c>
      <c r="B4671" s="23">
        <v>1427.338006</v>
      </c>
      <c r="C4671" s="23">
        <v>837.46</v>
      </c>
      <c r="D4671" s="23">
        <v>3173.2179999999998</v>
      </c>
      <c r="E4671" s="23">
        <v>1427.338</v>
      </c>
      <c r="F4671" s="23">
        <v>0</v>
      </c>
      <c r="G4671" s="23">
        <v>0</v>
      </c>
      <c r="H4671" s="23">
        <v>1745.88</v>
      </c>
      <c r="I4671" s="23">
        <v>0</v>
      </c>
      <c r="J4671" s="23">
        <v>0</v>
      </c>
      <c r="K4671" s="23">
        <v>0</v>
      </c>
    </row>
    <row r="4672" spans="1:11" x14ac:dyDescent="0.25">
      <c r="A4672">
        <v>4671</v>
      </c>
      <c r="B4672" s="23">
        <v>1379.6333320000001</v>
      </c>
      <c r="C4672" s="23">
        <v>704.34</v>
      </c>
      <c r="D4672" s="23">
        <v>2718.393</v>
      </c>
      <c r="E4672" s="23">
        <v>1379.633</v>
      </c>
      <c r="F4672" s="23">
        <v>0</v>
      </c>
      <c r="G4672" s="23">
        <v>0</v>
      </c>
      <c r="H4672" s="23">
        <v>1338.76</v>
      </c>
      <c r="I4672" s="23">
        <v>0</v>
      </c>
      <c r="J4672" s="23">
        <v>0</v>
      </c>
      <c r="K4672" s="23">
        <v>0</v>
      </c>
    </row>
    <row r="4673" spans="1:11" x14ac:dyDescent="0.25">
      <c r="A4673">
        <v>4672</v>
      </c>
      <c r="B4673" s="23">
        <v>1408.114546</v>
      </c>
      <c r="C4673" s="23">
        <v>443.87</v>
      </c>
      <c r="D4673" s="23">
        <v>1728.6179999999999</v>
      </c>
      <c r="E4673" s="23">
        <v>1408.114</v>
      </c>
      <c r="F4673" s="23">
        <v>0</v>
      </c>
      <c r="G4673" s="23">
        <v>0</v>
      </c>
      <c r="H4673" s="23">
        <v>320.50400000000002</v>
      </c>
      <c r="I4673" s="23">
        <v>0</v>
      </c>
      <c r="J4673" s="23">
        <v>0</v>
      </c>
      <c r="K4673" s="23">
        <v>0</v>
      </c>
    </row>
    <row r="4674" spans="1:11" x14ac:dyDescent="0.25">
      <c r="A4674">
        <v>4673</v>
      </c>
      <c r="B4674" s="23">
        <v>1482.091109</v>
      </c>
      <c r="C4674" s="23">
        <v>301.48</v>
      </c>
      <c r="D4674" s="23">
        <v>1150.9680000000001</v>
      </c>
      <c r="E4674" s="23">
        <v>1150.9680000000001</v>
      </c>
      <c r="F4674" s="23">
        <v>0</v>
      </c>
      <c r="G4674" s="23">
        <v>0</v>
      </c>
      <c r="H4674" s="23">
        <v>0</v>
      </c>
      <c r="I4674" s="23">
        <v>331.12400000000002</v>
      </c>
      <c r="J4674" s="23">
        <v>0</v>
      </c>
      <c r="K4674" s="23">
        <v>0</v>
      </c>
    </row>
    <row r="4675" spans="1:11" x14ac:dyDescent="0.25">
      <c r="A4675">
        <v>4674</v>
      </c>
      <c r="B4675" s="23">
        <v>1357.8284410000001</v>
      </c>
      <c r="C4675" s="23">
        <v>94.64</v>
      </c>
      <c r="D4675" s="23">
        <v>281.37900000000002</v>
      </c>
      <c r="E4675" s="23">
        <v>281.37900000000002</v>
      </c>
      <c r="F4675" s="23">
        <v>0</v>
      </c>
      <c r="G4675" s="23">
        <v>0</v>
      </c>
      <c r="H4675" s="23">
        <v>0</v>
      </c>
      <c r="I4675" s="23">
        <v>0</v>
      </c>
      <c r="J4675" s="23">
        <v>0</v>
      </c>
      <c r="K4675" s="23">
        <v>1076.4490000000001</v>
      </c>
    </row>
    <row r="4676" spans="1:11" x14ac:dyDescent="0.25">
      <c r="A4676">
        <v>4675</v>
      </c>
      <c r="B4676" s="23">
        <v>1372.388921</v>
      </c>
      <c r="C4676" s="23">
        <v>0</v>
      </c>
      <c r="D4676" s="23">
        <v>0</v>
      </c>
      <c r="E4676" s="23">
        <v>0</v>
      </c>
      <c r="F4676" s="23">
        <v>0</v>
      </c>
      <c r="G4676" s="23">
        <v>0</v>
      </c>
      <c r="H4676" s="23">
        <v>0</v>
      </c>
      <c r="I4676" s="23">
        <v>0</v>
      </c>
      <c r="J4676" s="23">
        <v>0</v>
      </c>
      <c r="K4676" s="23">
        <v>1372.3889999999999</v>
      </c>
    </row>
    <row r="4677" spans="1:11" x14ac:dyDescent="0.25">
      <c r="A4677">
        <v>4676</v>
      </c>
      <c r="B4677" s="23">
        <v>1344.761565</v>
      </c>
      <c r="C4677" s="23">
        <v>0</v>
      </c>
      <c r="D4677" s="23">
        <v>0</v>
      </c>
      <c r="E4677" s="23">
        <v>0</v>
      </c>
      <c r="F4677" s="23">
        <v>0</v>
      </c>
      <c r="G4677" s="23">
        <v>0</v>
      </c>
      <c r="H4677" s="23">
        <v>0</v>
      </c>
      <c r="I4677" s="23">
        <v>0</v>
      </c>
      <c r="J4677" s="23">
        <v>0</v>
      </c>
      <c r="K4677" s="23">
        <v>1344.7619999999999</v>
      </c>
    </row>
    <row r="4678" spans="1:11" x14ac:dyDescent="0.25">
      <c r="A4678">
        <v>4677</v>
      </c>
      <c r="B4678" s="23">
        <v>1383.4398639999999</v>
      </c>
      <c r="C4678" s="23">
        <v>0</v>
      </c>
      <c r="D4678" s="23">
        <v>0</v>
      </c>
      <c r="E4678" s="23">
        <v>0</v>
      </c>
      <c r="F4678" s="23">
        <v>0</v>
      </c>
      <c r="G4678" s="23">
        <v>0</v>
      </c>
      <c r="H4678" s="23">
        <v>0</v>
      </c>
      <c r="I4678" s="23">
        <v>1383.44</v>
      </c>
      <c r="J4678" s="23">
        <v>0</v>
      </c>
      <c r="K4678" s="23">
        <v>0</v>
      </c>
    </row>
    <row r="4679" spans="1:11" x14ac:dyDescent="0.25">
      <c r="A4679">
        <v>4678</v>
      </c>
      <c r="B4679" s="23">
        <v>1246.68445</v>
      </c>
      <c r="C4679" s="23">
        <v>0</v>
      </c>
      <c r="D4679" s="23">
        <v>0</v>
      </c>
      <c r="E4679" s="23">
        <v>0</v>
      </c>
      <c r="F4679" s="23">
        <v>0</v>
      </c>
      <c r="G4679" s="23">
        <v>0</v>
      </c>
      <c r="H4679" s="23">
        <v>0</v>
      </c>
      <c r="I4679" s="23">
        <v>818.79</v>
      </c>
      <c r="J4679" s="23">
        <v>0</v>
      </c>
      <c r="K4679" s="23">
        <v>427.89400000000001</v>
      </c>
    </row>
    <row r="4680" spans="1:11" x14ac:dyDescent="0.25">
      <c r="A4680">
        <v>4679</v>
      </c>
      <c r="B4680" s="23">
        <v>1187.2856340000001</v>
      </c>
      <c r="C4680" s="23">
        <v>0</v>
      </c>
      <c r="D4680" s="23">
        <v>0</v>
      </c>
      <c r="E4680" s="23">
        <v>0</v>
      </c>
      <c r="F4680" s="23">
        <v>0</v>
      </c>
      <c r="G4680" s="23">
        <v>0</v>
      </c>
      <c r="H4680" s="23">
        <v>0</v>
      </c>
      <c r="I4680" s="23">
        <v>1187.2860000000001</v>
      </c>
      <c r="J4680" s="23">
        <v>0</v>
      </c>
      <c r="K4680" s="23">
        <v>0</v>
      </c>
    </row>
    <row r="4681" spans="1:11" x14ac:dyDescent="0.25">
      <c r="A4681">
        <v>4680</v>
      </c>
      <c r="B4681" s="23">
        <v>944.16489939999997</v>
      </c>
      <c r="C4681" s="23">
        <v>0</v>
      </c>
      <c r="D4681" s="23">
        <v>0</v>
      </c>
      <c r="E4681" s="23">
        <v>0</v>
      </c>
      <c r="F4681" s="23">
        <v>0</v>
      </c>
      <c r="G4681" s="23">
        <v>0</v>
      </c>
      <c r="H4681" s="23">
        <v>0</v>
      </c>
      <c r="I4681" s="23">
        <v>944.16499999999996</v>
      </c>
      <c r="J4681" s="23">
        <v>0</v>
      </c>
      <c r="K4681" s="23">
        <v>0</v>
      </c>
    </row>
    <row r="4682" spans="1:11" x14ac:dyDescent="0.25">
      <c r="A4682">
        <v>4681</v>
      </c>
      <c r="B4682" s="23">
        <v>1060.1997960000001</v>
      </c>
      <c r="C4682" s="23">
        <v>0</v>
      </c>
      <c r="D4682" s="23">
        <v>0</v>
      </c>
      <c r="E4682" s="23">
        <v>0</v>
      </c>
      <c r="F4682" s="23">
        <v>0</v>
      </c>
      <c r="G4682" s="23">
        <v>0</v>
      </c>
      <c r="H4682" s="23">
        <v>0</v>
      </c>
      <c r="I4682" s="23">
        <v>1060.2</v>
      </c>
      <c r="J4682" s="23">
        <v>0</v>
      </c>
      <c r="K4682" s="23">
        <v>0</v>
      </c>
    </row>
    <row r="4683" spans="1:11" x14ac:dyDescent="0.25">
      <c r="A4683">
        <v>4682</v>
      </c>
      <c r="B4683" s="23">
        <v>1112.0010890000001</v>
      </c>
      <c r="C4683" s="23">
        <v>0</v>
      </c>
      <c r="D4683" s="23">
        <v>0</v>
      </c>
      <c r="E4683" s="23">
        <v>0</v>
      </c>
      <c r="F4683" s="23">
        <v>0</v>
      </c>
      <c r="G4683" s="23">
        <v>0</v>
      </c>
      <c r="H4683" s="23">
        <v>0</v>
      </c>
      <c r="I4683" s="23">
        <v>1112.001</v>
      </c>
      <c r="J4683" s="23">
        <v>0</v>
      </c>
      <c r="K4683" s="23">
        <v>0</v>
      </c>
    </row>
    <row r="4684" spans="1:11" x14ac:dyDescent="0.25">
      <c r="A4684">
        <v>4683</v>
      </c>
      <c r="B4684" s="23">
        <v>985.6059338</v>
      </c>
      <c r="C4684" s="23">
        <v>0</v>
      </c>
      <c r="D4684" s="23">
        <v>0</v>
      </c>
      <c r="E4684" s="23">
        <v>0</v>
      </c>
      <c r="F4684" s="23">
        <v>0</v>
      </c>
      <c r="G4684" s="23">
        <v>0</v>
      </c>
      <c r="H4684" s="23">
        <v>0</v>
      </c>
      <c r="I4684" s="23">
        <v>985.60599999999999</v>
      </c>
      <c r="J4684" s="23">
        <v>0</v>
      </c>
      <c r="K4684" s="23">
        <v>0</v>
      </c>
    </row>
    <row r="4685" spans="1:11" x14ac:dyDescent="0.25">
      <c r="A4685">
        <v>4684</v>
      </c>
      <c r="B4685" s="23">
        <v>1117.52656</v>
      </c>
      <c r="C4685" s="23">
        <v>0</v>
      </c>
      <c r="D4685" s="23">
        <v>0</v>
      </c>
      <c r="E4685" s="23">
        <v>0</v>
      </c>
      <c r="F4685" s="23">
        <v>0</v>
      </c>
      <c r="G4685" s="23">
        <v>0</v>
      </c>
      <c r="H4685" s="23">
        <v>0</v>
      </c>
      <c r="I4685" s="23">
        <v>1117.527</v>
      </c>
      <c r="J4685" s="23">
        <v>0</v>
      </c>
      <c r="K4685" s="23">
        <v>0</v>
      </c>
    </row>
    <row r="4686" spans="1:11" x14ac:dyDescent="0.25">
      <c r="A4686">
        <v>4685</v>
      </c>
      <c r="B4686" s="23">
        <v>919.99096269999995</v>
      </c>
      <c r="C4686" s="23">
        <v>0</v>
      </c>
      <c r="D4686" s="23">
        <v>0</v>
      </c>
      <c r="E4686" s="23">
        <v>0</v>
      </c>
      <c r="F4686" s="23">
        <v>0</v>
      </c>
      <c r="G4686" s="23">
        <v>0</v>
      </c>
      <c r="H4686" s="23">
        <v>0</v>
      </c>
      <c r="I4686" s="23">
        <v>0</v>
      </c>
      <c r="J4686" s="23">
        <v>0</v>
      </c>
      <c r="K4686" s="23">
        <v>919.99099999999999</v>
      </c>
    </row>
    <row r="4687" spans="1:11" x14ac:dyDescent="0.25">
      <c r="A4687">
        <v>4686</v>
      </c>
      <c r="B4687" s="23">
        <v>716.23921040000005</v>
      </c>
      <c r="C4687" s="23">
        <v>0</v>
      </c>
      <c r="D4687" s="23">
        <v>0</v>
      </c>
      <c r="E4687" s="23">
        <v>0</v>
      </c>
      <c r="F4687" s="23">
        <v>0</v>
      </c>
      <c r="G4687" s="23">
        <v>0</v>
      </c>
      <c r="H4687" s="23">
        <v>0</v>
      </c>
      <c r="I4687" s="23">
        <v>0</v>
      </c>
      <c r="J4687" s="23">
        <v>0</v>
      </c>
      <c r="K4687" s="23">
        <v>716.23900000000003</v>
      </c>
    </row>
    <row r="4688" spans="1:11" x14ac:dyDescent="0.25">
      <c r="A4688">
        <v>4687</v>
      </c>
      <c r="B4688" s="23">
        <v>888.91018689999999</v>
      </c>
      <c r="C4688" s="23">
        <v>55.77</v>
      </c>
      <c r="D4688" s="23">
        <v>194.785</v>
      </c>
      <c r="E4688" s="23">
        <v>194.785</v>
      </c>
      <c r="F4688" s="23">
        <v>0</v>
      </c>
      <c r="G4688" s="23">
        <v>0</v>
      </c>
      <c r="H4688" s="23">
        <v>0</v>
      </c>
      <c r="I4688" s="23">
        <v>0</v>
      </c>
      <c r="J4688" s="23">
        <v>0</v>
      </c>
      <c r="K4688" s="23">
        <v>694.125</v>
      </c>
    </row>
    <row r="4689" spans="1:11" x14ac:dyDescent="0.25">
      <c r="A4689">
        <v>4688</v>
      </c>
      <c r="B4689" s="23">
        <v>709.94276330000002</v>
      </c>
      <c r="C4689" s="23">
        <v>272.52</v>
      </c>
      <c r="D4689" s="23">
        <v>1070.1489999999999</v>
      </c>
      <c r="E4689" s="23">
        <v>709.94299999999998</v>
      </c>
      <c r="F4689" s="23">
        <v>-360.20600000000002</v>
      </c>
      <c r="G4689" s="23">
        <v>0</v>
      </c>
      <c r="H4689" s="23">
        <v>0</v>
      </c>
      <c r="I4689" s="23">
        <v>0</v>
      </c>
      <c r="J4689" s="23">
        <v>0</v>
      </c>
      <c r="K4689" s="23">
        <v>0</v>
      </c>
    </row>
    <row r="4690" spans="1:11" x14ac:dyDescent="0.25">
      <c r="A4690">
        <v>4689</v>
      </c>
      <c r="B4690" s="23">
        <v>511.27271789999998</v>
      </c>
      <c r="C4690" s="23">
        <v>535.67999999999995</v>
      </c>
      <c r="D4690" s="23">
        <v>2134.3629999999998</v>
      </c>
      <c r="E4690" s="23">
        <v>511.27300000000002</v>
      </c>
      <c r="F4690" s="23">
        <v>-1623.09</v>
      </c>
      <c r="G4690" s="23">
        <v>0</v>
      </c>
      <c r="H4690" s="23">
        <v>0</v>
      </c>
      <c r="I4690" s="23">
        <v>0</v>
      </c>
      <c r="J4690" s="23">
        <v>0</v>
      </c>
      <c r="K4690" s="23">
        <v>0</v>
      </c>
    </row>
    <row r="4691" spans="1:11" x14ac:dyDescent="0.25">
      <c r="A4691">
        <v>4690</v>
      </c>
      <c r="B4691" s="23">
        <v>207.67483680000001</v>
      </c>
      <c r="C4691" s="23">
        <v>721.43</v>
      </c>
      <c r="D4691" s="23">
        <v>2804.7130000000002</v>
      </c>
      <c r="E4691" s="23">
        <v>207.67500000000001</v>
      </c>
      <c r="F4691" s="23">
        <v>-1684.559</v>
      </c>
      <c r="G4691" s="23">
        <v>0</v>
      </c>
      <c r="H4691" s="23">
        <v>912.47900000000004</v>
      </c>
      <c r="I4691" s="23">
        <v>0</v>
      </c>
      <c r="J4691" s="23">
        <v>0</v>
      </c>
      <c r="K4691" s="23">
        <v>0</v>
      </c>
    </row>
    <row r="4692" spans="1:11" x14ac:dyDescent="0.25">
      <c r="A4692">
        <v>4691</v>
      </c>
      <c r="B4692" s="23">
        <v>138.76875699999999</v>
      </c>
      <c r="C4692" s="23">
        <v>849.15</v>
      </c>
      <c r="D4692" s="23">
        <v>3242.2939999999999</v>
      </c>
      <c r="E4692" s="23">
        <v>138.76900000000001</v>
      </c>
      <c r="F4692" s="23">
        <v>-1684.559</v>
      </c>
      <c r="G4692" s="23">
        <v>0</v>
      </c>
      <c r="H4692" s="23">
        <v>1418.9659999999999</v>
      </c>
      <c r="I4692" s="23">
        <v>0</v>
      </c>
      <c r="J4692" s="23">
        <v>0</v>
      </c>
      <c r="K4692" s="23">
        <v>0</v>
      </c>
    </row>
    <row r="4693" spans="1:11" x14ac:dyDescent="0.25">
      <c r="A4693">
        <v>4692</v>
      </c>
      <c r="B4693" s="23">
        <v>202.417869</v>
      </c>
      <c r="C4693" s="23">
        <v>917.34</v>
      </c>
      <c r="D4693" s="23">
        <v>3467.8629999999998</v>
      </c>
      <c r="E4693" s="23">
        <v>202.41900000000001</v>
      </c>
      <c r="F4693" s="23">
        <v>-1684.559</v>
      </c>
      <c r="G4693" s="23">
        <v>0</v>
      </c>
      <c r="H4693" s="23">
        <v>1580.885</v>
      </c>
      <c r="I4693" s="23">
        <v>0</v>
      </c>
      <c r="J4693" s="23">
        <v>0</v>
      </c>
      <c r="K4693" s="23">
        <v>0</v>
      </c>
    </row>
    <row r="4694" spans="1:11" x14ac:dyDescent="0.25">
      <c r="A4694">
        <v>4693</v>
      </c>
      <c r="B4694" s="23">
        <v>689.91724680000004</v>
      </c>
      <c r="C4694" s="23">
        <v>915.92</v>
      </c>
      <c r="D4694" s="23">
        <v>3464.3910000000001</v>
      </c>
      <c r="E4694" s="23">
        <v>689.91700000000003</v>
      </c>
      <c r="F4694" s="23">
        <v>-254.524</v>
      </c>
      <c r="G4694" s="23">
        <v>0</v>
      </c>
      <c r="H4694" s="23">
        <v>2519.9499999999998</v>
      </c>
      <c r="I4694" s="23">
        <v>0</v>
      </c>
      <c r="J4694" s="23">
        <v>0</v>
      </c>
      <c r="K4694" s="23">
        <v>0</v>
      </c>
    </row>
    <row r="4695" spans="1:11" x14ac:dyDescent="0.25">
      <c r="A4695">
        <v>4694</v>
      </c>
      <c r="B4695" s="23">
        <v>1105.1745410000001</v>
      </c>
      <c r="C4695" s="23">
        <v>645.64</v>
      </c>
      <c r="D4695" s="23">
        <v>2452.9409999999998</v>
      </c>
      <c r="E4695" s="23">
        <v>1105.175</v>
      </c>
      <c r="F4695" s="23">
        <v>0</v>
      </c>
      <c r="G4695" s="23">
        <v>0</v>
      </c>
      <c r="H4695" s="23">
        <v>1347.7660000000001</v>
      </c>
      <c r="I4695" s="23">
        <v>0</v>
      </c>
      <c r="J4695" s="23">
        <v>0</v>
      </c>
      <c r="K4695" s="23">
        <v>0</v>
      </c>
    </row>
    <row r="4696" spans="1:11" x14ac:dyDescent="0.25">
      <c r="A4696">
        <v>4695</v>
      </c>
      <c r="B4696" s="23">
        <v>1065.588857</v>
      </c>
      <c r="C4696" s="23">
        <v>502.08</v>
      </c>
      <c r="D4696" s="23">
        <v>1933.317</v>
      </c>
      <c r="E4696" s="23">
        <v>1065.5889999999999</v>
      </c>
      <c r="F4696" s="23">
        <v>0</v>
      </c>
      <c r="G4696" s="23">
        <v>0</v>
      </c>
      <c r="H4696" s="23">
        <v>867.72799999999995</v>
      </c>
      <c r="I4696" s="23">
        <v>0</v>
      </c>
      <c r="J4696" s="23">
        <v>0</v>
      </c>
      <c r="K4696" s="23">
        <v>0</v>
      </c>
    </row>
    <row r="4697" spans="1:11" x14ac:dyDescent="0.25">
      <c r="A4697">
        <v>4696</v>
      </c>
      <c r="B4697" s="23">
        <v>1205.890932</v>
      </c>
      <c r="C4697" s="23">
        <v>338.18</v>
      </c>
      <c r="D4697" s="23">
        <v>1317.4649999999999</v>
      </c>
      <c r="E4697" s="23">
        <v>1205.8910000000001</v>
      </c>
      <c r="F4697" s="23">
        <v>0</v>
      </c>
      <c r="G4697" s="23">
        <v>0</v>
      </c>
      <c r="H4697" s="23">
        <v>111.574</v>
      </c>
      <c r="I4697" s="23">
        <v>0</v>
      </c>
      <c r="J4697" s="23">
        <v>0</v>
      </c>
      <c r="K4697" s="23">
        <v>0</v>
      </c>
    </row>
    <row r="4698" spans="1:11" x14ac:dyDescent="0.25">
      <c r="A4698">
        <v>4697</v>
      </c>
      <c r="B4698" s="23">
        <v>1007.9081169999999</v>
      </c>
      <c r="C4698" s="23">
        <v>137.76</v>
      </c>
      <c r="D4698" s="23">
        <v>525.38400000000001</v>
      </c>
      <c r="E4698" s="23">
        <v>525.38400000000001</v>
      </c>
      <c r="F4698" s="23">
        <v>0</v>
      </c>
      <c r="G4698" s="23">
        <v>0</v>
      </c>
      <c r="H4698" s="23">
        <v>0</v>
      </c>
      <c r="I4698" s="23">
        <v>482.524</v>
      </c>
      <c r="J4698" s="23">
        <v>0</v>
      </c>
      <c r="K4698" s="23">
        <v>0</v>
      </c>
    </row>
    <row r="4699" spans="1:11" x14ac:dyDescent="0.25">
      <c r="A4699">
        <v>4698</v>
      </c>
      <c r="B4699" s="23">
        <v>1302.5098399999999</v>
      </c>
      <c r="C4699" s="23">
        <v>40.19</v>
      </c>
      <c r="D4699" s="23">
        <v>131.37</v>
      </c>
      <c r="E4699" s="23">
        <v>131.37</v>
      </c>
      <c r="F4699" s="23">
        <v>0</v>
      </c>
      <c r="G4699" s="23">
        <v>0</v>
      </c>
      <c r="H4699" s="23">
        <v>0</v>
      </c>
      <c r="I4699" s="23">
        <v>0</v>
      </c>
      <c r="J4699" s="23">
        <v>0</v>
      </c>
      <c r="K4699" s="23">
        <v>1171.1389999999999</v>
      </c>
    </row>
    <row r="4700" spans="1:11" x14ac:dyDescent="0.25">
      <c r="A4700">
        <v>4699</v>
      </c>
      <c r="B4700" s="23">
        <v>973.17362349999996</v>
      </c>
      <c r="C4700" s="23">
        <v>0</v>
      </c>
      <c r="D4700" s="23">
        <v>0</v>
      </c>
      <c r="E4700" s="23">
        <v>0</v>
      </c>
      <c r="F4700" s="23">
        <v>0</v>
      </c>
      <c r="G4700" s="23">
        <v>0</v>
      </c>
      <c r="H4700" s="23">
        <v>0</v>
      </c>
      <c r="I4700" s="23">
        <v>0</v>
      </c>
      <c r="J4700" s="23">
        <v>0</v>
      </c>
      <c r="K4700" s="23">
        <v>973.17399999999998</v>
      </c>
    </row>
    <row r="4701" spans="1:11" x14ac:dyDescent="0.25">
      <c r="A4701">
        <v>4700</v>
      </c>
      <c r="B4701" s="23">
        <v>879.93129620000002</v>
      </c>
      <c r="C4701" s="23">
        <v>0</v>
      </c>
      <c r="D4701" s="23">
        <v>0</v>
      </c>
      <c r="E4701" s="23">
        <v>0</v>
      </c>
      <c r="F4701" s="23">
        <v>0</v>
      </c>
      <c r="G4701" s="23">
        <v>0</v>
      </c>
      <c r="H4701" s="23">
        <v>0</v>
      </c>
      <c r="I4701" s="23">
        <v>0</v>
      </c>
      <c r="J4701" s="23">
        <v>0</v>
      </c>
      <c r="K4701" s="23">
        <v>879.93100000000004</v>
      </c>
    </row>
    <row r="4702" spans="1:11" x14ac:dyDescent="0.25">
      <c r="A4702">
        <v>4701</v>
      </c>
      <c r="B4702" s="23">
        <v>879.24061219999999</v>
      </c>
      <c r="C4702" s="23">
        <v>0</v>
      </c>
      <c r="D4702" s="23">
        <v>0</v>
      </c>
      <c r="E4702" s="23">
        <v>0</v>
      </c>
      <c r="F4702" s="23">
        <v>0</v>
      </c>
      <c r="G4702" s="23">
        <v>0</v>
      </c>
      <c r="H4702" s="23">
        <v>0</v>
      </c>
      <c r="I4702" s="23">
        <v>804.91200000000003</v>
      </c>
      <c r="J4702" s="23">
        <v>0</v>
      </c>
      <c r="K4702" s="23">
        <v>74.328999999999994</v>
      </c>
    </row>
    <row r="4703" spans="1:11" x14ac:dyDescent="0.25">
      <c r="A4703">
        <v>4702</v>
      </c>
      <c r="B4703" s="23">
        <v>925.51643390000004</v>
      </c>
      <c r="C4703" s="23">
        <v>0</v>
      </c>
      <c r="D4703" s="23">
        <v>0</v>
      </c>
      <c r="E4703" s="23">
        <v>0</v>
      </c>
      <c r="F4703" s="23">
        <v>0</v>
      </c>
      <c r="G4703" s="23">
        <v>0</v>
      </c>
      <c r="H4703" s="23">
        <v>0</v>
      </c>
      <c r="I4703" s="23">
        <v>0</v>
      </c>
      <c r="J4703" s="23">
        <v>0</v>
      </c>
      <c r="K4703" s="23">
        <v>925.51599999999996</v>
      </c>
    </row>
    <row r="4704" spans="1:11" x14ac:dyDescent="0.25">
      <c r="A4704">
        <v>4703</v>
      </c>
      <c r="B4704" s="23">
        <v>1076.085525</v>
      </c>
      <c r="C4704" s="23">
        <v>0</v>
      </c>
      <c r="D4704" s="23">
        <v>0</v>
      </c>
      <c r="E4704" s="23">
        <v>0</v>
      </c>
      <c r="F4704" s="23">
        <v>0</v>
      </c>
      <c r="G4704" s="23">
        <v>0</v>
      </c>
      <c r="H4704" s="23">
        <v>0</v>
      </c>
      <c r="I4704" s="23">
        <v>1076.086</v>
      </c>
      <c r="J4704" s="23">
        <v>0</v>
      </c>
      <c r="K4704" s="23">
        <v>0</v>
      </c>
    </row>
    <row r="4705" spans="1:11" x14ac:dyDescent="0.25">
      <c r="A4705">
        <v>4704</v>
      </c>
      <c r="B4705" s="23">
        <v>1077.466893</v>
      </c>
      <c r="C4705" s="23">
        <v>0</v>
      </c>
      <c r="D4705" s="23">
        <v>0</v>
      </c>
      <c r="E4705" s="23">
        <v>0</v>
      </c>
      <c r="F4705" s="23">
        <v>0</v>
      </c>
      <c r="G4705" s="23">
        <v>0</v>
      </c>
      <c r="H4705" s="23">
        <v>0</v>
      </c>
      <c r="I4705" s="23">
        <v>1077.4670000000001</v>
      </c>
      <c r="J4705" s="23">
        <v>0</v>
      </c>
      <c r="K4705" s="23">
        <v>0</v>
      </c>
    </row>
    <row r="4706" spans="1:11" x14ac:dyDescent="0.25">
      <c r="A4706">
        <v>4705</v>
      </c>
      <c r="B4706" s="23">
        <v>1165.874433</v>
      </c>
      <c r="C4706" s="23">
        <v>0</v>
      </c>
      <c r="D4706" s="23">
        <v>0</v>
      </c>
      <c r="E4706" s="23">
        <v>0</v>
      </c>
      <c r="F4706" s="23">
        <v>0</v>
      </c>
      <c r="G4706" s="23">
        <v>0</v>
      </c>
      <c r="H4706" s="23">
        <v>0</v>
      </c>
      <c r="I4706" s="23">
        <v>1165.874</v>
      </c>
      <c r="J4706" s="23">
        <v>0</v>
      </c>
      <c r="K4706" s="23">
        <v>0</v>
      </c>
    </row>
    <row r="4707" spans="1:11" x14ac:dyDescent="0.25">
      <c r="A4707">
        <v>4706</v>
      </c>
      <c r="B4707" s="23">
        <v>1019.449445</v>
      </c>
      <c r="C4707" s="23">
        <v>0</v>
      </c>
      <c r="D4707" s="23">
        <v>0</v>
      </c>
      <c r="E4707" s="23">
        <v>0</v>
      </c>
      <c r="F4707" s="23">
        <v>0</v>
      </c>
      <c r="G4707" s="23">
        <v>0</v>
      </c>
      <c r="H4707" s="23">
        <v>0</v>
      </c>
      <c r="I4707" s="23">
        <v>1019.449</v>
      </c>
      <c r="J4707" s="23">
        <v>0</v>
      </c>
      <c r="K4707" s="23">
        <v>0</v>
      </c>
    </row>
    <row r="4708" spans="1:11" x14ac:dyDescent="0.25">
      <c r="A4708">
        <v>4707</v>
      </c>
      <c r="B4708" s="23">
        <v>1090.5898870000001</v>
      </c>
      <c r="C4708" s="23">
        <v>0</v>
      </c>
      <c r="D4708" s="23">
        <v>0</v>
      </c>
      <c r="E4708" s="23">
        <v>0</v>
      </c>
      <c r="F4708" s="23">
        <v>0</v>
      </c>
      <c r="G4708" s="23">
        <v>0</v>
      </c>
      <c r="H4708" s="23">
        <v>0</v>
      </c>
      <c r="I4708" s="23">
        <v>1090.5899999999999</v>
      </c>
      <c r="J4708" s="23">
        <v>0</v>
      </c>
      <c r="K4708" s="23">
        <v>0</v>
      </c>
    </row>
    <row r="4709" spans="1:11" x14ac:dyDescent="0.25">
      <c r="A4709">
        <v>4708</v>
      </c>
      <c r="B4709" s="23">
        <v>797.73991130000002</v>
      </c>
      <c r="C4709" s="23">
        <v>0</v>
      </c>
      <c r="D4709" s="23">
        <v>0</v>
      </c>
      <c r="E4709" s="23">
        <v>0</v>
      </c>
      <c r="F4709" s="23">
        <v>0</v>
      </c>
      <c r="G4709" s="23">
        <v>0</v>
      </c>
      <c r="H4709" s="23">
        <v>0</v>
      </c>
      <c r="I4709" s="23">
        <v>797.74</v>
      </c>
      <c r="J4709" s="23">
        <v>0</v>
      </c>
      <c r="K4709" s="23">
        <v>0</v>
      </c>
    </row>
    <row r="4710" spans="1:11" x14ac:dyDescent="0.25">
      <c r="A4710">
        <v>4709</v>
      </c>
      <c r="B4710" s="23">
        <v>1000.1102959999999</v>
      </c>
      <c r="C4710" s="23">
        <v>0</v>
      </c>
      <c r="D4710" s="23">
        <v>0</v>
      </c>
      <c r="E4710" s="23">
        <v>0</v>
      </c>
      <c r="F4710" s="23">
        <v>0</v>
      </c>
      <c r="G4710" s="23">
        <v>0</v>
      </c>
      <c r="H4710" s="23">
        <v>0</v>
      </c>
      <c r="I4710" s="23">
        <v>0</v>
      </c>
      <c r="J4710" s="23">
        <v>0</v>
      </c>
      <c r="K4710" s="23">
        <v>1000.11</v>
      </c>
    </row>
    <row r="4711" spans="1:11" x14ac:dyDescent="0.25">
      <c r="A4711">
        <v>4710</v>
      </c>
      <c r="B4711" s="23">
        <v>815.69769289999999</v>
      </c>
      <c r="C4711" s="23">
        <v>0</v>
      </c>
      <c r="D4711" s="23">
        <v>0</v>
      </c>
      <c r="E4711" s="23">
        <v>0</v>
      </c>
      <c r="F4711" s="23">
        <v>0</v>
      </c>
      <c r="G4711" s="23">
        <v>0</v>
      </c>
      <c r="H4711" s="23">
        <v>0</v>
      </c>
      <c r="I4711" s="23">
        <v>0</v>
      </c>
      <c r="J4711" s="23">
        <v>0</v>
      </c>
      <c r="K4711" s="23">
        <v>815.69799999999998</v>
      </c>
    </row>
    <row r="4712" spans="1:11" x14ac:dyDescent="0.25">
      <c r="A4712">
        <v>4711</v>
      </c>
      <c r="B4712" s="23">
        <v>1003.563715</v>
      </c>
      <c r="C4712" s="23">
        <v>100.09</v>
      </c>
      <c r="D4712" s="23">
        <v>291.61200000000002</v>
      </c>
      <c r="E4712" s="23">
        <v>291.61200000000002</v>
      </c>
      <c r="F4712" s="23">
        <v>0</v>
      </c>
      <c r="G4712" s="23">
        <v>0</v>
      </c>
      <c r="H4712" s="23">
        <v>0</v>
      </c>
      <c r="I4712" s="23">
        <v>0</v>
      </c>
      <c r="J4712" s="23">
        <v>0</v>
      </c>
      <c r="K4712" s="23">
        <v>711.95100000000002</v>
      </c>
    </row>
    <row r="4713" spans="1:11" x14ac:dyDescent="0.25">
      <c r="A4713">
        <v>4712</v>
      </c>
      <c r="B4713" s="23">
        <v>951.69767079999997</v>
      </c>
      <c r="C4713" s="23">
        <v>306.25</v>
      </c>
      <c r="D4713" s="23">
        <v>1199.7059999999999</v>
      </c>
      <c r="E4713" s="23">
        <v>951.697</v>
      </c>
      <c r="F4713" s="23">
        <v>-248.00899999999999</v>
      </c>
      <c r="G4713" s="23">
        <v>0</v>
      </c>
      <c r="H4713" s="23">
        <v>0</v>
      </c>
      <c r="I4713" s="23">
        <v>0</v>
      </c>
      <c r="J4713" s="23">
        <v>0</v>
      </c>
      <c r="K4713" s="23">
        <v>0</v>
      </c>
    </row>
    <row r="4714" spans="1:11" x14ac:dyDescent="0.25">
      <c r="A4714">
        <v>4713</v>
      </c>
      <c r="B4714" s="23">
        <v>1121.6603030000001</v>
      </c>
      <c r="C4714" s="23">
        <v>421.71</v>
      </c>
      <c r="D4714" s="23">
        <v>1648.5650000000001</v>
      </c>
      <c r="E4714" s="23">
        <v>1121.6610000000001</v>
      </c>
      <c r="F4714" s="23">
        <v>-526.904</v>
      </c>
      <c r="G4714" s="23">
        <v>0</v>
      </c>
      <c r="H4714" s="23">
        <v>0</v>
      </c>
      <c r="I4714" s="23">
        <v>0</v>
      </c>
      <c r="J4714" s="23">
        <v>0</v>
      </c>
      <c r="K4714" s="23">
        <v>0</v>
      </c>
    </row>
    <row r="4715" spans="1:11" x14ac:dyDescent="0.25">
      <c r="A4715">
        <v>4714</v>
      </c>
      <c r="B4715" s="23">
        <v>1083.640744</v>
      </c>
      <c r="C4715" s="23">
        <v>585.03</v>
      </c>
      <c r="D4715" s="23">
        <v>2232.8739999999998</v>
      </c>
      <c r="E4715" s="23">
        <v>1083.6410000000001</v>
      </c>
      <c r="F4715" s="23">
        <v>-1149.2329999999999</v>
      </c>
      <c r="G4715" s="23">
        <v>0</v>
      </c>
      <c r="H4715" s="23">
        <v>0</v>
      </c>
      <c r="I4715" s="23">
        <v>0</v>
      </c>
      <c r="J4715" s="23">
        <v>0</v>
      </c>
      <c r="K4715" s="23">
        <v>0</v>
      </c>
    </row>
    <row r="4716" spans="1:11" x14ac:dyDescent="0.25">
      <c r="A4716">
        <v>4715</v>
      </c>
      <c r="B4716" s="23">
        <v>1503.6577139999999</v>
      </c>
      <c r="C4716" s="23">
        <v>647.92999999999995</v>
      </c>
      <c r="D4716" s="23">
        <v>2428.14</v>
      </c>
      <c r="E4716" s="23">
        <v>1503.6579999999999</v>
      </c>
      <c r="F4716" s="23">
        <v>-924.48199999999997</v>
      </c>
      <c r="G4716" s="23">
        <v>0</v>
      </c>
      <c r="H4716" s="23">
        <v>0</v>
      </c>
      <c r="I4716" s="23">
        <v>0</v>
      </c>
      <c r="J4716" s="23">
        <v>0</v>
      </c>
      <c r="K4716" s="23">
        <v>0</v>
      </c>
    </row>
    <row r="4717" spans="1:11" x14ac:dyDescent="0.25">
      <c r="A4717">
        <v>4716</v>
      </c>
      <c r="B4717" s="23">
        <v>1480.6329029999999</v>
      </c>
      <c r="C4717" s="23">
        <v>758.01</v>
      </c>
      <c r="D4717" s="23">
        <v>2791.0140000000001</v>
      </c>
      <c r="E4717" s="23">
        <v>1480.633</v>
      </c>
      <c r="F4717" s="23">
        <v>-1310.3810000000001</v>
      </c>
      <c r="G4717" s="23">
        <v>0</v>
      </c>
      <c r="H4717" s="23">
        <v>0</v>
      </c>
      <c r="I4717" s="23">
        <v>0</v>
      </c>
      <c r="J4717" s="23">
        <v>0</v>
      </c>
      <c r="K4717" s="23">
        <v>0</v>
      </c>
    </row>
    <row r="4718" spans="1:11" x14ac:dyDescent="0.25">
      <c r="A4718">
        <v>4717</v>
      </c>
      <c r="B4718" s="23">
        <v>1652.470742</v>
      </c>
      <c r="C4718" s="23">
        <v>710.88</v>
      </c>
      <c r="D4718" s="23">
        <v>2619.7269999999999</v>
      </c>
      <c r="E4718" s="23">
        <v>1652.47</v>
      </c>
      <c r="F4718" s="23">
        <v>-967.25699999999995</v>
      </c>
      <c r="G4718" s="23">
        <v>0</v>
      </c>
      <c r="H4718" s="23">
        <v>0</v>
      </c>
      <c r="I4718" s="23">
        <v>0</v>
      </c>
      <c r="J4718" s="23">
        <v>0</v>
      </c>
      <c r="K4718" s="23">
        <v>0</v>
      </c>
    </row>
    <row r="4719" spans="1:11" x14ac:dyDescent="0.25">
      <c r="A4719">
        <v>4718</v>
      </c>
      <c r="B4719" s="23">
        <v>1615.0866120000001</v>
      </c>
      <c r="C4719" s="23">
        <v>753.05</v>
      </c>
      <c r="D4719" s="23">
        <v>2772.8820000000001</v>
      </c>
      <c r="E4719" s="23">
        <v>1615.087</v>
      </c>
      <c r="F4719" s="23">
        <v>-1157.7950000000001</v>
      </c>
      <c r="G4719" s="23">
        <v>0</v>
      </c>
      <c r="H4719" s="23">
        <v>0</v>
      </c>
      <c r="I4719" s="23">
        <v>0</v>
      </c>
      <c r="J4719" s="23">
        <v>0</v>
      </c>
      <c r="K4719" s="23">
        <v>0</v>
      </c>
    </row>
    <row r="4720" spans="1:11" x14ac:dyDescent="0.25">
      <c r="A4720">
        <v>4719</v>
      </c>
      <c r="B4720" s="23">
        <v>1540.0610730000001</v>
      </c>
      <c r="C4720" s="23">
        <v>707.97</v>
      </c>
      <c r="D4720" s="23">
        <v>2685.674</v>
      </c>
      <c r="E4720" s="23">
        <v>1540.0619999999999</v>
      </c>
      <c r="F4720" s="23">
        <v>-1007.438</v>
      </c>
      <c r="G4720" s="23">
        <v>0</v>
      </c>
      <c r="H4720" s="23">
        <v>138.17400000000001</v>
      </c>
      <c r="I4720" s="23">
        <v>0</v>
      </c>
      <c r="J4720" s="23">
        <v>0</v>
      </c>
      <c r="K4720" s="23">
        <v>0</v>
      </c>
    </row>
    <row r="4721" spans="1:11" x14ac:dyDescent="0.25">
      <c r="A4721">
        <v>4720</v>
      </c>
      <c r="B4721" s="23">
        <v>1743.6634650000001</v>
      </c>
      <c r="C4721" s="23">
        <v>362.49</v>
      </c>
      <c r="D4721" s="23">
        <v>1393.769</v>
      </c>
      <c r="E4721" s="23">
        <v>1393.769</v>
      </c>
      <c r="F4721" s="23">
        <v>0</v>
      </c>
      <c r="G4721" s="23">
        <v>0</v>
      </c>
      <c r="H4721" s="23">
        <v>0</v>
      </c>
      <c r="I4721" s="23">
        <v>349.89499999999998</v>
      </c>
      <c r="J4721" s="23">
        <v>0</v>
      </c>
      <c r="K4721" s="23">
        <v>0</v>
      </c>
    </row>
    <row r="4722" spans="1:11" x14ac:dyDescent="0.25">
      <c r="A4722">
        <v>4721</v>
      </c>
      <c r="B4722" s="23">
        <v>1217.5980239999999</v>
      </c>
      <c r="C4722" s="23">
        <v>139.71</v>
      </c>
      <c r="D4722" s="23">
        <v>528.803</v>
      </c>
      <c r="E4722" s="23">
        <v>528.803</v>
      </c>
      <c r="F4722" s="23">
        <v>0</v>
      </c>
      <c r="G4722" s="23">
        <v>0</v>
      </c>
      <c r="H4722" s="23">
        <v>0</v>
      </c>
      <c r="I4722" s="23">
        <v>688.79499999999996</v>
      </c>
      <c r="J4722" s="23">
        <v>0</v>
      </c>
      <c r="K4722" s="23">
        <v>0</v>
      </c>
    </row>
    <row r="4723" spans="1:11" x14ac:dyDescent="0.25">
      <c r="A4723">
        <v>4722</v>
      </c>
      <c r="B4723" s="23">
        <v>1425.4722959999999</v>
      </c>
      <c r="C4723" s="23">
        <v>26.45</v>
      </c>
      <c r="D4723" s="23">
        <v>77.037000000000006</v>
      </c>
      <c r="E4723" s="23">
        <v>77.037000000000006</v>
      </c>
      <c r="F4723" s="23">
        <v>0</v>
      </c>
      <c r="G4723" s="23">
        <v>0</v>
      </c>
      <c r="H4723" s="23">
        <v>0</v>
      </c>
      <c r="I4723" s="23">
        <v>0</v>
      </c>
      <c r="J4723" s="23">
        <v>0</v>
      </c>
      <c r="K4723" s="23">
        <v>1348.4349999999999</v>
      </c>
    </row>
    <row r="4724" spans="1:11" x14ac:dyDescent="0.25">
      <c r="A4724">
        <v>4723</v>
      </c>
      <c r="B4724" s="23">
        <v>1408.9951679999999</v>
      </c>
      <c r="C4724" s="23">
        <v>0</v>
      </c>
      <c r="D4724" s="23">
        <v>0</v>
      </c>
      <c r="E4724" s="23">
        <v>0</v>
      </c>
      <c r="F4724" s="23">
        <v>0</v>
      </c>
      <c r="G4724" s="23">
        <v>0</v>
      </c>
      <c r="H4724" s="23">
        <v>0</v>
      </c>
      <c r="I4724" s="23">
        <v>0</v>
      </c>
      <c r="J4724" s="23">
        <v>0</v>
      </c>
      <c r="K4724" s="23">
        <v>1408.9949999999999</v>
      </c>
    </row>
    <row r="4725" spans="1:11" x14ac:dyDescent="0.25">
      <c r="A4725">
        <v>4724</v>
      </c>
      <c r="B4725" s="23">
        <v>1178.306744</v>
      </c>
      <c r="C4725" s="23">
        <v>0</v>
      </c>
      <c r="D4725" s="23">
        <v>0</v>
      </c>
      <c r="E4725" s="23">
        <v>0</v>
      </c>
      <c r="F4725" s="23">
        <v>0</v>
      </c>
      <c r="G4725" s="23">
        <v>0</v>
      </c>
      <c r="H4725" s="23">
        <v>0</v>
      </c>
      <c r="I4725" s="23">
        <v>0</v>
      </c>
      <c r="J4725" s="23">
        <v>0</v>
      </c>
      <c r="K4725" s="23">
        <v>1178.307</v>
      </c>
    </row>
    <row r="4726" spans="1:11" x14ac:dyDescent="0.25">
      <c r="A4726">
        <v>4725</v>
      </c>
      <c r="B4726" s="23">
        <v>1460.105777</v>
      </c>
      <c r="C4726" s="23">
        <v>0</v>
      </c>
      <c r="D4726" s="23">
        <v>0</v>
      </c>
      <c r="E4726" s="23">
        <v>0</v>
      </c>
      <c r="F4726" s="23">
        <v>0</v>
      </c>
      <c r="G4726" s="23">
        <v>0</v>
      </c>
      <c r="H4726" s="23">
        <v>0</v>
      </c>
      <c r="I4726" s="23">
        <v>1460.106</v>
      </c>
      <c r="J4726" s="23">
        <v>0</v>
      </c>
      <c r="K4726" s="23">
        <v>0</v>
      </c>
    </row>
    <row r="4727" spans="1:11" x14ac:dyDescent="0.25">
      <c r="A4727">
        <v>4726</v>
      </c>
      <c r="B4727" s="23">
        <v>1165.183749</v>
      </c>
      <c r="C4727" s="23">
        <v>0</v>
      </c>
      <c r="D4727" s="23">
        <v>0</v>
      </c>
      <c r="E4727" s="23">
        <v>0</v>
      </c>
      <c r="F4727" s="23">
        <v>0</v>
      </c>
      <c r="G4727" s="23">
        <v>0</v>
      </c>
      <c r="H4727" s="23">
        <v>0</v>
      </c>
      <c r="I4727" s="23">
        <v>1165.184</v>
      </c>
      <c r="J4727" s="23">
        <v>0</v>
      </c>
      <c r="K4727" s="23">
        <v>0</v>
      </c>
    </row>
    <row r="4728" spans="1:11" x14ac:dyDescent="0.25">
      <c r="A4728">
        <v>4727</v>
      </c>
      <c r="B4728" s="23">
        <v>1237.705559</v>
      </c>
      <c r="C4728" s="23">
        <v>0</v>
      </c>
      <c r="D4728" s="23">
        <v>0</v>
      </c>
      <c r="E4728" s="23">
        <v>0</v>
      </c>
      <c r="F4728" s="23">
        <v>0</v>
      </c>
      <c r="G4728" s="23">
        <v>0</v>
      </c>
      <c r="H4728" s="23">
        <v>0</v>
      </c>
      <c r="I4728" s="23">
        <v>1237.7059999999999</v>
      </c>
      <c r="J4728" s="23">
        <v>0</v>
      </c>
      <c r="K4728" s="23">
        <v>0</v>
      </c>
    </row>
    <row r="4729" spans="1:11" x14ac:dyDescent="0.25">
      <c r="A4729">
        <v>4728</v>
      </c>
      <c r="B4729" s="23">
        <v>1343.380197</v>
      </c>
      <c r="C4729" s="23">
        <v>0</v>
      </c>
      <c r="D4729" s="23">
        <v>0</v>
      </c>
      <c r="E4729" s="23">
        <v>0</v>
      </c>
      <c r="F4729" s="23">
        <v>0</v>
      </c>
      <c r="G4729" s="23">
        <v>0</v>
      </c>
      <c r="H4729" s="23">
        <v>0</v>
      </c>
      <c r="I4729" s="23">
        <v>1343.38</v>
      </c>
      <c r="J4729" s="23">
        <v>0</v>
      </c>
      <c r="K4729" s="23">
        <v>0</v>
      </c>
    </row>
    <row r="4730" spans="1:11" x14ac:dyDescent="0.25">
      <c r="A4730">
        <v>4729</v>
      </c>
      <c r="B4730" s="23">
        <v>1258.4260770000001</v>
      </c>
      <c r="C4730" s="23">
        <v>0</v>
      </c>
      <c r="D4730" s="23">
        <v>0</v>
      </c>
      <c r="E4730" s="23">
        <v>0</v>
      </c>
      <c r="F4730" s="23">
        <v>0</v>
      </c>
      <c r="G4730" s="23">
        <v>0</v>
      </c>
      <c r="H4730" s="23">
        <v>0</v>
      </c>
      <c r="I4730" s="23">
        <v>1258.4259999999999</v>
      </c>
      <c r="J4730" s="23">
        <v>0</v>
      </c>
      <c r="K4730" s="23">
        <v>0</v>
      </c>
    </row>
    <row r="4731" spans="1:11" x14ac:dyDescent="0.25">
      <c r="A4731">
        <v>4730</v>
      </c>
      <c r="B4731" s="23">
        <v>1290.1975359999999</v>
      </c>
      <c r="C4731" s="23">
        <v>0</v>
      </c>
      <c r="D4731" s="23">
        <v>0</v>
      </c>
      <c r="E4731" s="23">
        <v>0</v>
      </c>
      <c r="F4731" s="23">
        <v>0</v>
      </c>
      <c r="G4731" s="23">
        <v>0</v>
      </c>
      <c r="H4731" s="23">
        <v>0</v>
      </c>
      <c r="I4731" s="23">
        <v>1290.1980000000001</v>
      </c>
      <c r="J4731" s="23">
        <v>0</v>
      </c>
      <c r="K4731" s="23">
        <v>0</v>
      </c>
    </row>
    <row r="4732" spans="1:11" x14ac:dyDescent="0.25">
      <c r="A4732">
        <v>4731</v>
      </c>
      <c r="B4732" s="23">
        <v>1518.813909</v>
      </c>
      <c r="C4732" s="23">
        <v>0</v>
      </c>
      <c r="D4732" s="23">
        <v>0</v>
      </c>
      <c r="E4732" s="23">
        <v>0</v>
      </c>
      <c r="F4732" s="23">
        <v>0</v>
      </c>
      <c r="G4732" s="23">
        <v>0</v>
      </c>
      <c r="H4732" s="23">
        <v>0</v>
      </c>
      <c r="I4732" s="23">
        <v>1518.8140000000001</v>
      </c>
      <c r="J4732" s="23">
        <v>0</v>
      </c>
      <c r="K4732" s="23">
        <v>0</v>
      </c>
    </row>
    <row r="4733" spans="1:11" x14ac:dyDescent="0.25">
      <c r="A4733">
        <v>4732</v>
      </c>
      <c r="B4733" s="23">
        <v>1493.258605</v>
      </c>
      <c r="C4733" s="23">
        <v>0</v>
      </c>
      <c r="D4733" s="23">
        <v>0</v>
      </c>
      <c r="E4733" s="23">
        <v>0</v>
      </c>
      <c r="F4733" s="23">
        <v>0</v>
      </c>
      <c r="G4733" s="23">
        <v>0</v>
      </c>
      <c r="H4733" s="23">
        <v>0</v>
      </c>
      <c r="I4733" s="23">
        <v>1493.259</v>
      </c>
      <c r="J4733" s="23">
        <v>0</v>
      </c>
      <c r="K4733" s="23">
        <v>0</v>
      </c>
    </row>
    <row r="4734" spans="1:11" x14ac:dyDescent="0.25">
      <c r="A4734">
        <v>4733</v>
      </c>
      <c r="B4734" s="23">
        <v>1221.129146</v>
      </c>
      <c r="C4734" s="23">
        <v>0</v>
      </c>
      <c r="D4734" s="23">
        <v>0</v>
      </c>
      <c r="E4734" s="23">
        <v>0</v>
      </c>
      <c r="F4734" s="23">
        <v>0</v>
      </c>
      <c r="G4734" s="23">
        <v>0</v>
      </c>
      <c r="H4734" s="23">
        <v>0</v>
      </c>
      <c r="I4734" s="23">
        <v>1221.1289999999999</v>
      </c>
      <c r="J4734" s="23">
        <v>0</v>
      </c>
      <c r="K4734" s="23">
        <v>0</v>
      </c>
    </row>
    <row r="4735" spans="1:11" x14ac:dyDescent="0.25">
      <c r="A4735">
        <v>4734</v>
      </c>
      <c r="B4735" s="23">
        <v>1216.2943580000001</v>
      </c>
      <c r="C4735" s="23">
        <v>0</v>
      </c>
      <c r="D4735" s="23">
        <v>0</v>
      </c>
      <c r="E4735" s="23">
        <v>0</v>
      </c>
      <c r="F4735" s="23">
        <v>0</v>
      </c>
      <c r="G4735" s="23">
        <v>0</v>
      </c>
      <c r="H4735" s="23">
        <v>0</v>
      </c>
      <c r="I4735" s="23">
        <v>111.114</v>
      </c>
      <c r="J4735" s="23">
        <v>0</v>
      </c>
      <c r="K4735" s="23">
        <v>1105.181</v>
      </c>
    </row>
    <row r="4736" spans="1:11" x14ac:dyDescent="0.25">
      <c r="A4736">
        <v>4735</v>
      </c>
      <c r="B4736" s="23">
        <v>1270.1677030000001</v>
      </c>
      <c r="C4736" s="23">
        <v>82.09</v>
      </c>
      <c r="D4736" s="23">
        <v>288.404</v>
      </c>
      <c r="E4736" s="23">
        <v>288.404</v>
      </c>
      <c r="F4736" s="23">
        <v>0</v>
      </c>
      <c r="G4736" s="23">
        <v>0</v>
      </c>
      <c r="H4736" s="23">
        <v>0</v>
      </c>
      <c r="I4736" s="23">
        <v>0</v>
      </c>
      <c r="J4736" s="23">
        <v>0</v>
      </c>
      <c r="K4736" s="23">
        <v>981.76300000000003</v>
      </c>
    </row>
    <row r="4737" spans="1:11" x14ac:dyDescent="0.25">
      <c r="A4737">
        <v>4736</v>
      </c>
      <c r="B4737" s="23">
        <v>1420.8680240000001</v>
      </c>
      <c r="C4737" s="23">
        <v>245.85</v>
      </c>
      <c r="D4737" s="23">
        <v>966.74599999999998</v>
      </c>
      <c r="E4737" s="23">
        <v>966.74599999999998</v>
      </c>
      <c r="F4737" s="23">
        <v>0</v>
      </c>
      <c r="G4737" s="23">
        <v>0</v>
      </c>
      <c r="H4737" s="23">
        <v>0</v>
      </c>
      <c r="I4737" s="23">
        <v>0</v>
      </c>
      <c r="J4737" s="23">
        <v>0</v>
      </c>
      <c r="K4737" s="23">
        <v>454.12200000000001</v>
      </c>
    </row>
    <row r="4738" spans="1:11" x14ac:dyDescent="0.25">
      <c r="A4738">
        <v>4737</v>
      </c>
      <c r="B4738" s="23">
        <v>1032.7373399999999</v>
      </c>
      <c r="C4738" s="23">
        <v>408.81</v>
      </c>
      <c r="D4738" s="23">
        <v>1608.0029999999999</v>
      </c>
      <c r="E4738" s="23">
        <v>1032.7370000000001</v>
      </c>
      <c r="F4738" s="23">
        <v>-575.26599999999996</v>
      </c>
      <c r="G4738" s="23">
        <v>0</v>
      </c>
      <c r="H4738" s="23">
        <v>0</v>
      </c>
      <c r="I4738" s="23">
        <v>0</v>
      </c>
      <c r="J4738" s="23">
        <v>0</v>
      </c>
      <c r="K4738" s="23">
        <v>0</v>
      </c>
    </row>
    <row r="4739" spans="1:11" x14ac:dyDescent="0.25">
      <c r="A4739">
        <v>4738</v>
      </c>
      <c r="B4739" s="23">
        <v>983.64870819999999</v>
      </c>
      <c r="C4739" s="23">
        <v>547.94000000000005</v>
      </c>
      <c r="D4739" s="23">
        <v>2119.279</v>
      </c>
      <c r="E4739" s="23">
        <v>983.649</v>
      </c>
      <c r="F4739" s="23">
        <v>-1135.6300000000001</v>
      </c>
      <c r="G4739" s="23">
        <v>0</v>
      </c>
      <c r="H4739" s="23">
        <v>0</v>
      </c>
      <c r="I4739" s="23">
        <v>0</v>
      </c>
      <c r="J4739" s="23">
        <v>0</v>
      </c>
      <c r="K4739" s="23">
        <v>0</v>
      </c>
    </row>
    <row r="4740" spans="1:11" x14ac:dyDescent="0.25">
      <c r="A4740">
        <v>4739</v>
      </c>
      <c r="B4740" s="23">
        <v>1036.9712320000001</v>
      </c>
      <c r="C4740" s="23">
        <v>625.51</v>
      </c>
      <c r="D4740" s="23">
        <v>2387.6039999999998</v>
      </c>
      <c r="E4740" s="23">
        <v>1036.971</v>
      </c>
      <c r="F4740" s="23">
        <v>-1350.633</v>
      </c>
      <c r="G4740" s="23">
        <v>0</v>
      </c>
      <c r="H4740" s="23">
        <v>0</v>
      </c>
      <c r="I4740" s="23">
        <v>0</v>
      </c>
      <c r="J4740" s="23">
        <v>0</v>
      </c>
      <c r="K4740" s="23">
        <v>0</v>
      </c>
    </row>
    <row r="4741" spans="1:11" x14ac:dyDescent="0.25">
      <c r="A4741">
        <v>4740</v>
      </c>
      <c r="B4741" s="23">
        <v>1264.5446730000001</v>
      </c>
      <c r="C4741" s="23">
        <v>631.45000000000005</v>
      </c>
      <c r="D4741" s="23">
        <v>2396.1529999999998</v>
      </c>
      <c r="E4741" s="23">
        <v>1264.5440000000001</v>
      </c>
      <c r="F4741" s="23">
        <v>-1131.6089999999999</v>
      </c>
      <c r="G4741" s="23">
        <v>0</v>
      </c>
      <c r="H4741" s="23">
        <v>0</v>
      </c>
      <c r="I4741" s="23">
        <v>0</v>
      </c>
      <c r="J4741" s="23">
        <v>0</v>
      </c>
      <c r="K4741" s="23">
        <v>0</v>
      </c>
    </row>
    <row r="4742" spans="1:11" x14ac:dyDescent="0.25">
      <c r="A4742">
        <v>4741</v>
      </c>
      <c r="B4742" s="23">
        <v>1287.5099130000001</v>
      </c>
      <c r="C4742" s="23">
        <v>738.42</v>
      </c>
      <c r="D4742" s="23">
        <v>2781.989</v>
      </c>
      <c r="E4742" s="23">
        <v>1287.51</v>
      </c>
      <c r="F4742" s="23">
        <v>-1494.479</v>
      </c>
      <c r="G4742" s="23">
        <v>0</v>
      </c>
      <c r="H4742" s="23">
        <v>0</v>
      </c>
      <c r="I4742" s="23">
        <v>0</v>
      </c>
      <c r="J4742" s="23">
        <v>0</v>
      </c>
      <c r="K4742" s="23">
        <v>0</v>
      </c>
    </row>
    <row r="4743" spans="1:11" x14ac:dyDescent="0.25">
      <c r="A4743">
        <v>4742</v>
      </c>
      <c r="B4743" s="23">
        <v>1054.9635479999999</v>
      </c>
      <c r="C4743" s="23">
        <v>680.13</v>
      </c>
      <c r="D4743" s="23">
        <v>2575.328</v>
      </c>
      <c r="E4743" s="23">
        <v>1054.9639999999999</v>
      </c>
      <c r="F4743" s="23">
        <v>-1520.364</v>
      </c>
      <c r="G4743" s="23">
        <v>0</v>
      </c>
      <c r="H4743" s="23">
        <v>0</v>
      </c>
      <c r="I4743" s="23">
        <v>0</v>
      </c>
      <c r="J4743" s="23">
        <v>0</v>
      </c>
      <c r="K4743" s="23">
        <v>0</v>
      </c>
    </row>
    <row r="4744" spans="1:11" x14ac:dyDescent="0.25">
      <c r="A4744">
        <v>4743</v>
      </c>
      <c r="B4744" s="23">
        <v>1243.885454</v>
      </c>
      <c r="C4744" s="23">
        <v>236.97</v>
      </c>
      <c r="D4744" s="23">
        <v>904.27700000000004</v>
      </c>
      <c r="E4744" s="23">
        <v>904.27700000000004</v>
      </c>
      <c r="F4744" s="23">
        <v>0</v>
      </c>
      <c r="G4744" s="23">
        <v>0</v>
      </c>
      <c r="H4744" s="23">
        <v>0</v>
      </c>
      <c r="I4744" s="23">
        <v>339.60899999999998</v>
      </c>
      <c r="J4744" s="23">
        <v>0</v>
      </c>
      <c r="K4744" s="23">
        <v>0</v>
      </c>
    </row>
    <row r="4745" spans="1:11" x14ac:dyDescent="0.25">
      <c r="A4745">
        <v>4744</v>
      </c>
      <c r="B4745" s="23">
        <v>986.92514000000006</v>
      </c>
      <c r="C4745" s="23">
        <v>193.62</v>
      </c>
      <c r="D4745" s="23">
        <v>741.47799999999995</v>
      </c>
      <c r="E4745" s="23">
        <v>741.47799999999995</v>
      </c>
      <c r="F4745" s="23">
        <v>0</v>
      </c>
      <c r="G4745" s="23">
        <v>0</v>
      </c>
      <c r="H4745" s="23">
        <v>0</v>
      </c>
      <c r="I4745" s="23">
        <v>245.447</v>
      </c>
      <c r="J4745" s="23">
        <v>0</v>
      </c>
      <c r="K4745" s="23">
        <v>0</v>
      </c>
    </row>
    <row r="4746" spans="1:11" x14ac:dyDescent="0.25">
      <c r="A4746">
        <v>4745</v>
      </c>
      <c r="B4746" s="23">
        <v>1104.9379819999999</v>
      </c>
      <c r="C4746" s="23">
        <v>236.51</v>
      </c>
      <c r="D4746" s="23">
        <v>920.11500000000001</v>
      </c>
      <c r="E4746" s="23">
        <v>920.11500000000001</v>
      </c>
      <c r="F4746" s="23">
        <v>0</v>
      </c>
      <c r="G4746" s="23">
        <v>0</v>
      </c>
      <c r="H4746" s="23">
        <v>0</v>
      </c>
      <c r="I4746" s="23">
        <v>184.82300000000001</v>
      </c>
      <c r="J4746" s="23">
        <v>0</v>
      </c>
      <c r="K4746" s="23">
        <v>0</v>
      </c>
    </row>
    <row r="4747" spans="1:11" x14ac:dyDescent="0.25">
      <c r="A4747">
        <v>4746</v>
      </c>
      <c r="B4747" s="23">
        <v>1034.117845</v>
      </c>
      <c r="C4747" s="23">
        <v>5.87</v>
      </c>
      <c r="D4747" s="23">
        <v>0</v>
      </c>
      <c r="E4747" s="23">
        <v>0</v>
      </c>
      <c r="F4747" s="23">
        <v>0</v>
      </c>
      <c r="G4747" s="23">
        <v>0</v>
      </c>
      <c r="H4747" s="23">
        <v>0</v>
      </c>
      <c r="I4747" s="23">
        <v>0</v>
      </c>
      <c r="J4747" s="23">
        <v>0</v>
      </c>
      <c r="K4747" s="23">
        <v>1034.1179999999999</v>
      </c>
    </row>
    <row r="4748" spans="1:11" x14ac:dyDescent="0.25">
      <c r="A4748">
        <v>4747</v>
      </c>
      <c r="B4748" s="23">
        <v>840.56231349999996</v>
      </c>
      <c r="C4748" s="23">
        <v>0</v>
      </c>
      <c r="D4748" s="23">
        <v>0</v>
      </c>
      <c r="E4748" s="23">
        <v>0</v>
      </c>
      <c r="F4748" s="23">
        <v>0</v>
      </c>
      <c r="G4748" s="23">
        <v>0</v>
      </c>
      <c r="H4748" s="23">
        <v>0</v>
      </c>
      <c r="I4748" s="23">
        <v>0</v>
      </c>
      <c r="J4748" s="23">
        <v>0</v>
      </c>
      <c r="K4748" s="23">
        <v>840.56200000000001</v>
      </c>
    </row>
    <row r="4749" spans="1:11" x14ac:dyDescent="0.25">
      <c r="A4749">
        <v>4748</v>
      </c>
      <c r="B4749" s="23">
        <v>1201.789996</v>
      </c>
      <c r="C4749" s="23">
        <v>0</v>
      </c>
      <c r="D4749" s="23">
        <v>0</v>
      </c>
      <c r="E4749" s="23">
        <v>0</v>
      </c>
      <c r="F4749" s="23">
        <v>0</v>
      </c>
      <c r="G4749" s="23">
        <v>0</v>
      </c>
      <c r="H4749" s="23">
        <v>0</v>
      </c>
      <c r="I4749" s="23">
        <v>0</v>
      </c>
      <c r="J4749" s="23">
        <v>0</v>
      </c>
      <c r="K4749" s="23">
        <v>1201.79</v>
      </c>
    </row>
    <row r="4750" spans="1:11" x14ac:dyDescent="0.25">
      <c r="A4750">
        <v>4749</v>
      </c>
      <c r="B4750" s="23">
        <v>714.16715869999996</v>
      </c>
      <c r="C4750" s="23">
        <v>0</v>
      </c>
      <c r="D4750" s="23">
        <v>0</v>
      </c>
      <c r="E4750" s="23">
        <v>0</v>
      </c>
      <c r="F4750" s="23">
        <v>0</v>
      </c>
      <c r="G4750" s="23">
        <v>0</v>
      </c>
      <c r="H4750" s="23">
        <v>0</v>
      </c>
      <c r="I4750" s="23">
        <v>714.16700000000003</v>
      </c>
      <c r="J4750" s="23">
        <v>0</v>
      </c>
      <c r="K4750" s="23">
        <v>0</v>
      </c>
    </row>
    <row r="4751" spans="1:11" x14ac:dyDescent="0.25">
      <c r="A4751">
        <v>4750</v>
      </c>
      <c r="B4751" s="23">
        <v>1128.5775020000001</v>
      </c>
      <c r="C4751" s="23">
        <v>0</v>
      </c>
      <c r="D4751" s="23">
        <v>0</v>
      </c>
      <c r="E4751" s="23">
        <v>0</v>
      </c>
      <c r="F4751" s="23">
        <v>0</v>
      </c>
      <c r="G4751" s="23">
        <v>0</v>
      </c>
      <c r="H4751" s="23">
        <v>0</v>
      </c>
      <c r="I4751" s="23">
        <v>1128.578</v>
      </c>
      <c r="J4751" s="23">
        <v>0</v>
      </c>
      <c r="K4751" s="23">
        <v>0</v>
      </c>
    </row>
    <row r="4752" spans="1:11" x14ac:dyDescent="0.25">
      <c r="A4752">
        <v>4751</v>
      </c>
      <c r="B4752" s="23">
        <v>844.70641699999999</v>
      </c>
      <c r="C4752" s="23">
        <v>0</v>
      </c>
      <c r="D4752" s="23">
        <v>0</v>
      </c>
      <c r="E4752" s="23">
        <v>0</v>
      </c>
      <c r="F4752" s="23">
        <v>0</v>
      </c>
      <c r="G4752" s="23">
        <v>0</v>
      </c>
      <c r="H4752" s="23">
        <v>0</v>
      </c>
      <c r="I4752" s="23">
        <v>844.70600000000002</v>
      </c>
      <c r="J4752" s="23">
        <v>0</v>
      </c>
      <c r="K4752" s="23">
        <v>0</v>
      </c>
    </row>
    <row r="4753" spans="1:11" x14ac:dyDescent="0.25">
      <c r="A4753">
        <v>4752</v>
      </c>
      <c r="B4753" s="23">
        <v>1005.635767</v>
      </c>
      <c r="C4753" s="23">
        <v>0</v>
      </c>
      <c r="D4753" s="23">
        <v>0</v>
      </c>
      <c r="E4753" s="23">
        <v>0</v>
      </c>
      <c r="F4753" s="23">
        <v>0</v>
      </c>
      <c r="G4753" s="23">
        <v>0</v>
      </c>
      <c r="H4753" s="23">
        <v>0</v>
      </c>
      <c r="I4753" s="23">
        <v>1005.636</v>
      </c>
      <c r="J4753" s="23">
        <v>0</v>
      </c>
      <c r="K4753" s="23">
        <v>0</v>
      </c>
    </row>
    <row r="4754" spans="1:11" x14ac:dyDescent="0.25">
      <c r="A4754">
        <v>4753</v>
      </c>
      <c r="B4754" s="23">
        <v>1029.1190200000001</v>
      </c>
      <c r="C4754" s="23">
        <v>0</v>
      </c>
      <c r="D4754" s="23">
        <v>0</v>
      </c>
      <c r="E4754" s="23">
        <v>0</v>
      </c>
      <c r="F4754" s="23">
        <v>0</v>
      </c>
      <c r="G4754" s="23">
        <v>0</v>
      </c>
      <c r="H4754" s="23">
        <v>0</v>
      </c>
      <c r="I4754" s="23">
        <v>1029.1189999999999</v>
      </c>
      <c r="J4754" s="23">
        <v>0</v>
      </c>
      <c r="K4754" s="23">
        <v>0</v>
      </c>
    </row>
    <row r="4755" spans="1:11" x14ac:dyDescent="0.25">
      <c r="A4755">
        <v>4754</v>
      </c>
      <c r="B4755" s="23">
        <v>1085.7551000000001</v>
      </c>
      <c r="C4755" s="23">
        <v>0</v>
      </c>
      <c r="D4755" s="23">
        <v>0</v>
      </c>
      <c r="E4755" s="23">
        <v>0</v>
      </c>
      <c r="F4755" s="23">
        <v>0</v>
      </c>
      <c r="G4755" s="23">
        <v>0</v>
      </c>
      <c r="H4755" s="23">
        <v>0</v>
      </c>
      <c r="I4755" s="23">
        <v>1085.7550000000001</v>
      </c>
      <c r="J4755" s="23">
        <v>0</v>
      </c>
      <c r="K4755" s="23">
        <v>0</v>
      </c>
    </row>
    <row r="4756" spans="1:11" x14ac:dyDescent="0.25">
      <c r="A4756">
        <v>4755</v>
      </c>
      <c r="B4756" s="23">
        <v>1188.6670019999999</v>
      </c>
      <c r="C4756" s="23">
        <v>0</v>
      </c>
      <c r="D4756" s="23">
        <v>0</v>
      </c>
      <c r="E4756" s="23">
        <v>0</v>
      </c>
      <c r="F4756" s="23">
        <v>0</v>
      </c>
      <c r="G4756" s="23">
        <v>0</v>
      </c>
      <c r="H4756" s="23">
        <v>0</v>
      </c>
      <c r="I4756" s="23">
        <v>1188.6669999999999</v>
      </c>
      <c r="J4756" s="23">
        <v>0</v>
      </c>
      <c r="K4756" s="23">
        <v>0</v>
      </c>
    </row>
    <row r="4757" spans="1:11" x14ac:dyDescent="0.25">
      <c r="A4757">
        <v>4756</v>
      </c>
      <c r="B4757" s="23">
        <v>1035.3351749999999</v>
      </c>
      <c r="C4757" s="23">
        <v>0</v>
      </c>
      <c r="D4757" s="23">
        <v>0</v>
      </c>
      <c r="E4757" s="23">
        <v>0</v>
      </c>
      <c r="F4757" s="23">
        <v>0</v>
      </c>
      <c r="G4757" s="23">
        <v>0</v>
      </c>
      <c r="H4757" s="23">
        <v>0</v>
      </c>
      <c r="I4757" s="23">
        <v>1035.335</v>
      </c>
      <c r="J4757" s="23">
        <v>0</v>
      </c>
      <c r="K4757" s="23">
        <v>0</v>
      </c>
    </row>
    <row r="4758" spans="1:11" x14ac:dyDescent="0.25">
      <c r="A4758">
        <v>4757</v>
      </c>
      <c r="B4758" s="23">
        <v>943.47421550000001</v>
      </c>
      <c r="C4758" s="23">
        <v>0</v>
      </c>
      <c r="D4758" s="23">
        <v>0</v>
      </c>
      <c r="E4758" s="23">
        <v>0</v>
      </c>
      <c r="F4758" s="23">
        <v>0</v>
      </c>
      <c r="G4758" s="23">
        <v>0</v>
      </c>
      <c r="H4758" s="23">
        <v>0</v>
      </c>
      <c r="I4758" s="23">
        <v>376.40199999999999</v>
      </c>
      <c r="J4758" s="23">
        <v>0</v>
      </c>
      <c r="K4758" s="23">
        <v>567.072</v>
      </c>
    </row>
    <row r="4759" spans="1:11" x14ac:dyDescent="0.25">
      <c r="A4759">
        <v>4758</v>
      </c>
      <c r="B4759" s="23">
        <v>1012.542606</v>
      </c>
      <c r="C4759" s="23">
        <v>0</v>
      </c>
      <c r="D4759" s="23">
        <v>0</v>
      </c>
      <c r="E4759" s="23">
        <v>0</v>
      </c>
      <c r="F4759" s="23">
        <v>0</v>
      </c>
      <c r="G4759" s="23">
        <v>0</v>
      </c>
      <c r="H4759" s="23">
        <v>0</v>
      </c>
      <c r="I4759" s="23">
        <v>0</v>
      </c>
      <c r="J4759" s="23">
        <v>0</v>
      </c>
      <c r="K4759" s="23">
        <v>1012.543</v>
      </c>
    </row>
    <row r="4760" spans="1:11" x14ac:dyDescent="0.25">
      <c r="A4760">
        <v>4759</v>
      </c>
      <c r="B4760" s="23">
        <v>1096.806043</v>
      </c>
      <c r="C4760" s="23">
        <v>12.73</v>
      </c>
      <c r="D4760" s="23">
        <v>25.509</v>
      </c>
      <c r="E4760" s="23">
        <v>25.509</v>
      </c>
      <c r="F4760" s="23">
        <v>0</v>
      </c>
      <c r="G4760" s="23">
        <v>0</v>
      </c>
      <c r="H4760" s="23">
        <v>0</v>
      </c>
      <c r="I4760" s="23">
        <v>0</v>
      </c>
      <c r="J4760" s="23">
        <v>0</v>
      </c>
      <c r="K4760" s="23">
        <v>1071.298</v>
      </c>
    </row>
    <row r="4761" spans="1:11" x14ac:dyDescent="0.25">
      <c r="A4761">
        <v>4760</v>
      </c>
      <c r="B4761" s="23">
        <v>934.34769100000005</v>
      </c>
      <c r="C4761" s="23">
        <v>34.299999999999997</v>
      </c>
      <c r="D4761" s="23">
        <v>109.881</v>
      </c>
      <c r="E4761" s="23">
        <v>109.881</v>
      </c>
      <c r="F4761" s="23">
        <v>0</v>
      </c>
      <c r="G4761" s="23">
        <v>0</v>
      </c>
      <c r="H4761" s="23">
        <v>0</v>
      </c>
      <c r="I4761" s="23">
        <v>0</v>
      </c>
      <c r="J4761" s="23">
        <v>0</v>
      </c>
      <c r="K4761" s="23">
        <v>824.46699999999998</v>
      </c>
    </row>
    <row r="4762" spans="1:11" x14ac:dyDescent="0.25">
      <c r="A4762">
        <v>4761</v>
      </c>
      <c r="B4762" s="23">
        <v>1094.2418789999999</v>
      </c>
      <c r="C4762" s="23">
        <v>429.02</v>
      </c>
      <c r="D4762" s="23">
        <v>1686.8219999999999</v>
      </c>
      <c r="E4762" s="23">
        <v>1094.242</v>
      </c>
      <c r="F4762" s="23">
        <v>-592.58000000000004</v>
      </c>
      <c r="G4762" s="23">
        <v>0</v>
      </c>
      <c r="H4762" s="23">
        <v>0</v>
      </c>
      <c r="I4762" s="23">
        <v>0</v>
      </c>
      <c r="J4762" s="23">
        <v>0</v>
      </c>
      <c r="K4762" s="23">
        <v>0</v>
      </c>
    </row>
    <row r="4763" spans="1:11" x14ac:dyDescent="0.25">
      <c r="A4763">
        <v>4762</v>
      </c>
      <c r="B4763" s="23">
        <v>1260.8348370000001</v>
      </c>
      <c r="C4763" s="23">
        <v>602.89</v>
      </c>
      <c r="D4763" s="23">
        <v>2323.7449999999999</v>
      </c>
      <c r="E4763" s="23">
        <v>1260.835</v>
      </c>
      <c r="F4763" s="23">
        <v>-1062.9100000000001</v>
      </c>
      <c r="G4763" s="23">
        <v>0</v>
      </c>
      <c r="H4763" s="23">
        <v>0</v>
      </c>
      <c r="I4763" s="23">
        <v>0</v>
      </c>
      <c r="J4763" s="23">
        <v>0</v>
      </c>
      <c r="K4763" s="23">
        <v>0</v>
      </c>
    </row>
    <row r="4764" spans="1:11" x14ac:dyDescent="0.25">
      <c r="A4764">
        <v>4763</v>
      </c>
      <c r="B4764" s="23">
        <v>1083.1261850000001</v>
      </c>
      <c r="C4764" s="23">
        <v>596.29</v>
      </c>
      <c r="D4764" s="23">
        <v>2274.6799999999998</v>
      </c>
      <c r="E4764" s="23">
        <v>1083.126</v>
      </c>
      <c r="F4764" s="23">
        <v>-1191.5540000000001</v>
      </c>
      <c r="G4764" s="23">
        <v>0</v>
      </c>
      <c r="H4764" s="23">
        <v>0</v>
      </c>
      <c r="I4764" s="23">
        <v>0</v>
      </c>
      <c r="J4764" s="23">
        <v>0</v>
      </c>
      <c r="K4764" s="23">
        <v>0</v>
      </c>
    </row>
    <row r="4765" spans="1:11" x14ac:dyDescent="0.25">
      <c r="A4765">
        <v>4764</v>
      </c>
      <c r="B4765" s="23">
        <v>1249.8857700000001</v>
      </c>
      <c r="C4765" s="23">
        <v>691.6</v>
      </c>
      <c r="D4765" s="23">
        <v>2614.66</v>
      </c>
      <c r="E4765" s="23">
        <v>1249.886</v>
      </c>
      <c r="F4765" s="23">
        <v>-1364.7739999999999</v>
      </c>
      <c r="G4765" s="23">
        <v>0</v>
      </c>
      <c r="H4765" s="23">
        <v>0</v>
      </c>
      <c r="I4765" s="23">
        <v>0</v>
      </c>
      <c r="J4765" s="23">
        <v>0</v>
      </c>
      <c r="K4765" s="23">
        <v>0</v>
      </c>
    </row>
    <row r="4766" spans="1:11" x14ac:dyDescent="0.25">
      <c r="A4766">
        <v>4765</v>
      </c>
      <c r="B4766" s="23">
        <v>1115.5132160000001</v>
      </c>
      <c r="C4766" s="23">
        <v>729.3</v>
      </c>
      <c r="D4766" s="23">
        <v>2754.6</v>
      </c>
      <c r="E4766" s="23">
        <v>1115.5129999999999</v>
      </c>
      <c r="F4766" s="23">
        <v>-1639.087</v>
      </c>
      <c r="G4766" s="23">
        <v>0</v>
      </c>
      <c r="H4766" s="23">
        <v>0</v>
      </c>
      <c r="I4766" s="23">
        <v>0</v>
      </c>
      <c r="J4766" s="23">
        <v>0</v>
      </c>
      <c r="K4766" s="23">
        <v>0</v>
      </c>
    </row>
    <row r="4767" spans="1:11" x14ac:dyDescent="0.25">
      <c r="A4767">
        <v>4766</v>
      </c>
      <c r="B4767" s="23">
        <v>1150.340089</v>
      </c>
      <c r="C4767" s="23">
        <v>639.17999999999995</v>
      </c>
      <c r="D4767" s="23">
        <v>2439.4059999999999</v>
      </c>
      <c r="E4767" s="23">
        <v>1150.3399999999999</v>
      </c>
      <c r="F4767" s="23">
        <v>-1289.066</v>
      </c>
      <c r="G4767" s="23">
        <v>0</v>
      </c>
      <c r="H4767" s="23">
        <v>0</v>
      </c>
      <c r="I4767" s="23">
        <v>0</v>
      </c>
      <c r="J4767" s="23">
        <v>0</v>
      </c>
      <c r="K4767" s="23">
        <v>0</v>
      </c>
    </row>
    <row r="4768" spans="1:11" x14ac:dyDescent="0.25">
      <c r="A4768">
        <v>4767</v>
      </c>
      <c r="B4768" s="23">
        <v>1467.423573</v>
      </c>
      <c r="C4768" s="23">
        <v>534.82000000000005</v>
      </c>
      <c r="D4768" s="23">
        <v>2071.857</v>
      </c>
      <c r="E4768" s="23">
        <v>1467.423</v>
      </c>
      <c r="F4768" s="23">
        <v>-151.52699999999999</v>
      </c>
      <c r="G4768" s="23">
        <v>0</v>
      </c>
      <c r="H4768" s="23">
        <v>452.90699999999998</v>
      </c>
      <c r="I4768" s="23">
        <v>0</v>
      </c>
      <c r="J4768" s="23">
        <v>0</v>
      </c>
      <c r="K4768" s="23">
        <v>0</v>
      </c>
    </row>
    <row r="4769" spans="1:11" x14ac:dyDescent="0.25">
      <c r="A4769">
        <v>4768</v>
      </c>
      <c r="B4769" s="23">
        <v>1501.283488</v>
      </c>
      <c r="C4769" s="23">
        <v>483.77</v>
      </c>
      <c r="D4769" s="23">
        <v>1912.0229999999999</v>
      </c>
      <c r="E4769" s="23">
        <v>1501.2829999999999</v>
      </c>
      <c r="F4769" s="23">
        <v>0</v>
      </c>
      <c r="G4769" s="23">
        <v>0</v>
      </c>
      <c r="H4769" s="23">
        <v>410.74</v>
      </c>
      <c r="I4769" s="23">
        <v>0</v>
      </c>
      <c r="J4769" s="23">
        <v>0</v>
      </c>
      <c r="K4769" s="23">
        <v>0</v>
      </c>
    </row>
    <row r="4770" spans="1:11" x14ac:dyDescent="0.25">
      <c r="A4770">
        <v>4769</v>
      </c>
      <c r="B4770" s="23">
        <v>1430.406369</v>
      </c>
      <c r="C4770" s="23">
        <v>271.39999999999998</v>
      </c>
      <c r="D4770" s="23">
        <v>1070.9860000000001</v>
      </c>
      <c r="E4770" s="23">
        <v>1070.9860000000001</v>
      </c>
      <c r="F4770" s="23">
        <v>0</v>
      </c>
      <c r="G4770" s="23">
        <v>0</v>
      </c>
      <c r="H4770" s="23">
        <v>0</v>
      </c>
      <c r="I4770" s="23">
        <v>359.42</v>
      </c>
      <c r="J4770" s="23">
        <v>0</v>
      </c>
      <c r="K4770" s="23">
        <v>0</v>
      </c>
    </row>
    <row r="4771" spans="1:11" x14ac:dyDescent="0.25">
      <c r="A4771">
        <v>4770</v>
      </c>
      <c r="B4771" s="23">
        <v>1592.4209559999999</v>
      </c>
      <c r="C4771" s="23">
        <v>88.93</v>
      </c>
      <c r="D4771" s="23">
        <v>305.57499999999999</v>
      </c>
      <c r="E4771" s="23">
        <v>305.57499999999999</v>
      </c>
      <c r="F4771" s="23">
        <v>0</v>
      </c>
      <c r="G4771" s="23">
        <v>0</v>
      </c>
      <c r="H4771" s="23">
        <v>0</v>
      </c>
      <c r="I4771" s="23">
        <v>0</v>
      </c>
      <c r="J4771" s="23">
        <v>0</v>
      </c>
      <c r="K4771" s="23">
        <v>1286.846</v>
      </c>
    </row>
    <row r="4772" spans="1:11" x14ac:dyDescent="0.25">
      <c r="A4772">
        <v>4771</v>
      </c>
      <c r="B4772" s="23">
        <v>1372.388921</v>
      </c>
      <c r="C4772" s="23">
        <v>0</v>
      </c>
      <c r="D4772" s="23">
        <v>0</v>
      </c>
      <c r="E4772" s="23">
        <v>0</v>
      </c>
      <c r="F4772" s="23">
        <v>0</v>
      </c>
      <c r="G4772" s="23">
        <v>0</v>
      </c>
      <c r="H4772" s="23">
        <v>0</v>
      </c>
      <c r="I4772" s="23">
        <v>0</v>
      </c>
      <c r="J4772" s="23">
        <v>0</v>
      </c>
      <c r="K4772" s="23">
        <v>1372.3889999999999</v>
      </c>
    </row>
    <row r="4773" spans="1:11" x14ac:dyDescent="0.25">
      <c r="A4773">
        <v>4772</v>
      </c>
      <c r="B4773" s="23">
        <v>1328.8758350000001</v>
      </c>
      <c r="C4773" s="23">
        <v>0</v>
      </c>
      <c r="D4773" s="23">
        <v>0</v>
      </c>
      <c r="E4773" s="23">
        <v>0</v>
      </c>
      <c r="F4773" s="23">
        <v>0</v>
      </c>
      <c r="G4773" s="23">
        <v>0</v>
      </c>
      <c r="H4773" s="23">
        <v>0</v>
      </c>
      <c r="I4773" s="23">
        <v>0</v>
      </c>
      <c r="J4773" s="23">
        <v>0</v>
      </c>
      <c r="K4773" s="23">
        <v>1328.876</v>
      </c>
    </row>
    <row r="4774" spans="1:11" x14ac:dyDescent="0.25">
      <c r="A4774">
        <v>4773</v>
      </c>
      <c r="B4774" s="23">
        <v>1486.351766</v>
      </c>
      <c r="C4774" s="23">
        <v>0</v>
      </c>
      <c r="D4774" s="23">
        <v>0</v>
      </c>
      <c r="E4774" s="23">
        <v>0</v>
      </c>
      <c r="F4774" s="23">
        <v>0</v>
      </c>
      <c r="G4774" s="23">
        <v>0</v>
      </c>
      <c r="H4774" s="23">
        <v>0</v>
      </c>
      <c r="I4774" s="23">
        <v>1486.3520000000001</v>
      </c>
      <c r="J4774" s="23">
        <v>0</v>
      </c>
      <c r="K4774" s="23">
        <v>0</v>
      </c>
    </row>
    <row r="4775" spans="1:11" x14ac:dyDescent="0.25">
      <c r="A4775">
        <v>4774</v>
      </c>
      <c r="B4775" s="23">
        <v>1364.1007139999999</v>
      </c>
      <c r="C4775" s="23">
        <v>0</v>
      </c>
      <c r="D4775" s="23">
        <v>0</v>
      </c>
      <c r="E4775" s="23">
        <v>0</v>
      </c>
      <c r="F4775" s="23">
        <v>0</v>
      </c>
      <c r="G4775" s="23">
        <v>0</v>
      </c>
      <c r="H4775" s="23">
        <v>0</v>
      </c>
      <c r="I4775" s="23">
        <v>1364.1010000000001</v>
      </c>
      <c r="J4775" s="23">
        <v>0</v>
      </c>
      <c r="K4775" s="23">
        <v>0</v>
      </c>
    </row>
    <row r="4776" spans="1:11" x14ac:dyDescent="0.25">
      <c r="A4776">
        <v>4775</v>
      </c>
      <c r="B4776" s="23">
        <v>1410.376536</v>
      </c>
      <c r="C4776" s="23">
        <v>0</v>
      </c>
      <c r="D4776" s="23">
        <v>0</v>
      </c>
      <c r="E4776" s="23">
        <v>0</v>
      </c>
      <c r="F4776" s="23">
        <v>0</v>
      </c>
      <c r="G4776" s="23">
        <v>0</v>
      </c>
      <c r="H4776" s="23">
        <v>0</v>
      </c>
      <c r="I4776" s="23">
        <v>1410.377</v>
      </c>
      <c r="J4776" s="23">
        <v>0</v>
      </c>
      <c r="K4776" s="23">
        <v>0</v>
      </c>
    </row>
    <row r="4777" spans="1:11" x14ac:dyDescent="0.25">
      <c r="A4777">
        <v>4776</v>
      </c>
      <c r="B4777" s="23">
        <v>1210.7688869999999</v>
      </c>
      <c r="C4777" s="23">
        <v>0</v>
      </c>
      <c r="D4777" s="23">
        <v>0</v>
      </c>
      <c r="E4777" s="23">
        <v>0</v>
      </c>
      <c r="F4777" s="23">
        <v>0</v>
      </c>
      <c r="G4777" s="23">
        <v>0</v>
      </c>
      <c r="H4777" s="23">
        <v>0</v>
      </c>
      <c r="I4777" s="23">
        <v>1210.769</v>
      </c>
      <c r="J4777" s="23">
        <v>0</v>
      </c>
      <c r="K4777" s="23">
        <v>0</v>
      </c>
    </row>
    <row r="4778" spans="1:11" x14ac:dyDescent="0.25">
      <c r="A4778">
        <v>4777</v>
      </c>
      <c r="B4778" s="23">
        <v>1007.0171350000001</v>
      </c>
      <c r="C4778" s="23">
        <v>0</v>
      </c>
      <c r="D4778" s="23">
        <v>0</v>
      </c>
      <c r="E4778" s="23">
        <v>0</v>
      </c>
      <c r="F4778" s="23">
        <v>0</v>
      </c>
      <c r="G4778" s="23">
        <v>0</v>
      </c>
      <c r="H4778" s="23">
        <v>0</v>
      </c>
      <c r="I4778" s="23">
        <v>1007.0170000000001</v>
      </c>
      <c r="J4778" s="23">
        <v>0</v>
      </c>
      <c r="K4778" s="23">
        <v>0</v>
      </c>
    </row>
    <row r="4779" spans="1:11" x14ac:dyDescent="0.25">
      <c r="A4779">
        <v>4778</v>
      </c>
      <c r="B4779" s="23">
        <v>820.53248020000001</v>
      </c>
      <c r="C4779" s="23">
        <v>0</v>
      </c>
      <c r="D4779" s="23">
        <v>0</v>
      </c>
      <c r="E4779" s="23">
        <v>0</v>
      </c>
      <c r="F4779" s="23">
        <v>0</v>
      </c>
      <c r="G4779" s="23">
        <v>0</v>
      </c>
      <c r="H4779" s="23">
        <v>0</v>
      </c>
      <c r="I4779" s="23">
        <v>820.53200000000004</v>
      </c>
      <c r="J4779" s="23">
        <v>0</v>
      </c>
      <c r="K4779" s="23">
        <v>0</v>
      </c>
    </row>
    <row r="4780" spans="1:11" x14ac:dyDescent="0.25">
      <c r="A4780">
        <v>4779</v>
      </c>
      <c r="B4780" s="23">
        <v>1060.89048</v>
      </c>
      <c r="C4780" s="23">
        <v>0</v>
      </c>
      <c r="D4780" s="23">
        <v>0</v>
      </c>
      <c r="E4780" s="23">
        <v>0</v>
      </c>
      <c r="F4780" s="23">
        <v>0</v>
      </c>
      <c r="G4780" s="23">
        <v>0</v>
      </c>
      <c r="H4780" s="23">
        <v>0</v>
      </c>
      <c r="I4780" s="23">
        <v>1060.8900000000001</v>
      </c>
      <c r="J4780" s="23">
        <v>0</v>
      </c>
      <c r="K4780" s="23">
        <v>0</v>
      </c>
    </row>
    <row r="4781" spans="1:11" x14ac:dyDescent="0.25">
      <c r="A4781">
        <v>4780</v>
      </c>
      <c r="B4781" s="23">
        <v>1237.705559</v>
      </c>
      <c r="C4781" s="23">
        <v>0</v>
      </c>
      <c r="D4781" s="23">
        <v>0</v>
      </c>
      <c r="E4781" s="23">
        <v>0</v>
      </c>
      <c r="F4781" s="23">
        <v>0</v>
      </c>
      <c r="G4781" s="23">
        <v>0</v>
      </c>
      <c r="H4781" s="23">
        <v>0</v>
      </c>
      <c r="I4781" s="23">
        <v>1237.7059999999999</v>
      </c>
      <c r="J4781" s="23">
        <v>0</v>
      </c>
      <c r="K4781" s="23">
        <v>0</v>
      </c>
    </row>
    <row r="4782" spans="1:11" x14ac:dyDescent="0.25">
      <c r="A4782">
        <v>4781</v>
      </c>
      <c r="B4782" s="23">
        <v>960.74131309999996</v>
      </c>
      <c r="C4782" s="23">
        <v>0</v>
      </c>
      <c r="D4782" s="23">
        <v>0</v>
      </c>
      <c r="E4782" s="23">
        <v>0</v>
      </c>
      <c r="F4782" s="23">
        <v>0</v>
      </c>
      <c r="G4782" s="23">
        <v>0</v>
      </c>
      <c r="H4782" s="23">
        <v>0</v>
      </c>
      <c r="I4782" s="23">
        <v>437.14299999999997</v>
      </c>
      <c r="J4782" s="23">
        <v>0</v>
      </c>
      <c r="K4782" s="23">
        <v>523.59799999999996</v>
      </c>
    </row>
    <row r="4783" spans="1:11" x14ac:dyDescent="0.25">
      <c r="A4783">
        <v>4782</v>
      </c>
      <c r="B4783" s="23">
        <v>1200.408629</v>
      </c>
      <c r="C4783" s="23">
        <v>0</v>
      </c>
      <c r="D4783" s="23">
        <v>0</v>
      </c>
      <c r="E4783" s="23">
        <v>0</v>
      </c>
      <c r="F4783" s="23">
        <v>0</v>
      </c>
      <c r="G4783" s="23">
        <v>0</v>
      </c>
      <c r="H4783" s="23">
        <v>0</v>
      </c>
      <c r="I4783" s="23">
        <v>0</v>
      </c>
      <c r="J4783" s="23">
        <v>0</v>
      </c>
      <c r="K4783" s="23">
        <v>1200.4090000000001</v>
      </c>
    </row>
    <row r="4784" spans="1:11" x14ac:dyDescent="0.25">
      <c r="A4784">
        <v>4783</v>
      </c>
      <c r="B4784" s="23">
        <v>1122.361347</v>
      </c>
      <c r="C4784" s="23">
        <v>99.82</v>
      </c>
      <c r="D4784" s="23">
        <v>282.62900000000002</v>
      </c>
      <c r="E4784" s="23">
        <v>282.62900000000002</v>
      </c>
      <c r="F4784" s="23">
        <v>0</v>
      </c>
      <c r="G4784" s="23">
        <v>0</v>
      </c>
      <c r="H4784" s="23">
        <v>0</v>
      </c>
      <c r="I4784" s="23">
        <v>0</v>
      </c>
      <c r="J4784" s="23">
        <v>0</v>
      </c>
      <c r="K4784" s="23">
        <v>839.73199999999997</v>
      </c>
    </row>
    <row r="4785" spans="1:11" x14ac:dyDescent="0.25">
      <c r="A4785">
        <v>4784</v>
      </c>
      <c r="B4785" s="23">
        <v>1070.465085</v>
      </c>
      <c r="C4785" s="23">
        <v>317.85000000000002</v>
      </c>
      <c r="D4785" s="23">
        <v>1236.58</v>
      </c>
      <c r="E4785" s="23">
        <v>1070.4649999999999</v>
      </c>
      <c r="F4785" s="23">
        <v>-166.11500000000001</v>
      </c>
      <c r="G4785" s="23">
        <v>0</v>
      </c>
      <c r="H4785" s="23">
        <v>0</v>
      </c>
      <c r="I4785" s="23">
        <v>0</v>
      </c>
      <c r="J4785" s="23">
        <v>0</v>
      </c>
      <c r="K4785" s="23">
        <v>0</v>
      </c>
    </row>
    <row r="4786" spans="1:11" x14ac:dyDescent="0.25">
      <c r="A4786">
        <v>4785</v>
      </c>
      <c r="B4786" s="23">
        <v>1185.275744</v>
      </c>
      <c r="C4786" s="23">
        <v>538.66999999999996</v>
      </c>
      <c r="D4786" s="23">
        <v>2173.4630000000002</v>
      </c>
      <c r="E4786" s="23">
        <v>1185.2760000000001</v>
      </c>
      <c r="F4786" s="23">
        <v>-988.18700000000001</v>
      </c>
      <c r="G4786" s="23">
        <v>0</v>
      </c>
      <c r="H4786" s="23">
        <v>0</v>
      </c>
      <c r="I4786" s="23">
        <v>0</v>
      </c>
      <c r="J4786" s="23">
        <v>0</v>
      </c>
      <c r="K4786" s="23">
        <v>0</v>
      </c>
    </row>
    <row r="4787" spans="1:11" x14ac:dyDescent="0.25">
      <c r="A4787">
        <v>4786</v>
      </c>
      <c r="B4787" s="23">
        <v>1241.5500790000001</v>
      </c>
      <c r="C4787" s="23">
        <v>520.03</v>
      </c>
      <c r="D4787" s="23">
        <v>2026.3679999999999</v>
      </c>
      <c r="E4787" s="23">
        <v>1241.5509999999999</v>
      </c>
      <c r="F4787" s="23">
        <v>-784.81700000000001</v>
      </c>
      <c r="G4787" s="23">
        <v>0</v>
      </c>
      <c r="H4787" s="23">
        <v>0</v>
      </c>
      <c r="I4787" s="23">
        <v>0</v>
      </c>
      <c r="J4787" s="23">
        <v>0</v>
      </c>
      <c r="K4787" s="23">
        <v>0</v>
      </c>
    </row>
    <row r="4788" spans="1:11" x14ac:dyDescent="0.25">
      <c r="A4788">
        <v>4787</v>
      </c>
      <c r="B4788" s="23">
        <v>1273.342259</v>
      </c>
      <c r="C4788" s="23">
        <v>652.21</v>
      </c>
      <c r="D4788" s="23">
        <v>2502.2060000000001</v>
      </c>
      <c r="E4788" s="23">
        <v>1273.3420000000001</v>
      </c>
      <c r="F4788" s="23">
        <v>-1228.864</v>
      </c>
      <c r="G4788" s="23">
        <v>0</v>
      </c>
      <c r="H4788" s="23">
        <v>0</v>
      </c>
      <c r="I4788" s="23">
        <v>0</v>
      </c>
      <c r="J4788" s="23">
        <v>0</v>
      </c>
      <c r="K4788" s="23">
        <v>0</v>
      </c>
    </row>
    <row r="4789" spans="1:11" x14ac:dyDescent="0.25">
      <c r="A4789">
        <v>4788</v>
      </c>
      <c r="B4789" s="23">
        <v>1429.0673059999999</v>
      </c>
      <c r="C4789" s="23">
        <v>929.29</v>
      </c>
      <c r="D4789" s="23">
        <v>3551.3620000000001</v>
      </c>
      <c r="E4789" s="23">
        <v>1429.068</v>
      </c>
      <c r="F4789" s="23">
        <v>-1684.559</v>
      </c>
      <c r="G4789" s="23">
        <v>0</v>
      </c>
      <c r="H4789" s="23">
        <v>437.73500000000001</v>
      </c>
      <c r="I4789" s="23">
        <v>0</v>
      </c>
      <c r="J4789" s="23">
        <v>0</v>
      </c>
      <c r="K4789" s="23">
        <v>0</v>
      </c>
    </row>
    <row r="4790" spans="1:11" x14ac:dyDescent="0.25">
      <c r="A4790">
        <v>4789</v>
      </c>
      <c r="B4790" s="23">
        <v>1265.533214</v>
      </c>
      <c r="C4790" s="23">
        <v>658.53</v>
      </c>
      <c r="D4790" s="23">
        <v>2508.1469999999999</v>
      </c>
      <c r="E4790" s="23">
        <v>1265.5329999999999</v>
      </c>
      <c r="F4790" s="23">
        <v>-1242.614</v>
      </c>
      <c r="G4790" s="23">
        <v>0</v>
      </c>
      <c r="H4790" s="23">
        <v>0</v>
      </c>
      <c r="I4790" s="23">
        <v>0</v>
      </c>
      <c r="J4790" s="23">
        <v>0</v>
      </c>
      <c r="K4790" s="23">
        <v>0</v>
      </c>
    </row>
    <row r="4791" spans="1:11" x14ac:dyDescent="0.25">
      <c r="A4791">
        <v>4790</v>
      </c>
      <c r="B4791" s="23">
        <v>1185.2800609999999</v>
      </c>
      <c r="C4791" s="23">
        <v>679.89</v>
      </c>
      <c r="D4791" s="23">
        <v>2595.2730000000001</v>
      </c>
      <c r="E4791" s="23">
        <v>1185.28</v>
      </c>
      <c r="F4791" s="23">
        <v>-1196.3430000000001</v>
      </c>
      <c r="G4791" s="23">
        <v>0</v>
      </c>
      <c r="H4791" s="23">
        <v>213.65</v>
      </c>
      <c r="I4791" s="23">
        <v>0</v>
      </c>
      <c r="J4791" s="23">
        <v>0</v>
      </c>
      <c r="K4791" s="23">
        <v>0</v>
      </c>
    </row>
    <row r="4792" spans="1:11" x14ac:dyDescent="0.25">
      <c r="A4792">
        <v>4791</v>
      </c>
      <c r="B4792" s="23">
        <v>1296.223753</v>
      </c>
      <c r="C4792" s="23">
        <v>669.75</v>
      </c>
      <c r="D4792" s="23">
        <v>2566.9850000000001</v>
      </c>
      <c r="E4792" s="23">
        <v>1296.2239999999999</v>
      </c>
      <c r="F4792" s="23">
        <v>0</v>
      </c>
      <c r="G4792" s="23">
        <v>0</v>
      </c>
      <c r="H4792" s="23">
        <v>1270.761</v>
      </c>
      <c r="I4792" s="23">
        <v>0</v>
      </c>
      <c r="J4792" s="23">
        <v>0</v>
      </c>
      <c r="K4792" s="23">
        <v>0</v>
      </c>
    </row>
    <row r="4793" spans="1:11" x14ac:dyDescent="0.25">
      <c r="A4793">
        <v>4792</v>
      </c>
      <c r="B4793" s="23">
        <v>1491.710609</v>
      </c>
      <c r="C4793" s="23">
        <v>386.56</v>
      </c>
      <c r="D4793" s="23">
        <v>1513.8050000000001</v>
      </c>
      <c r="E4793" s="23">
        <v>1491.71</v>
      </c>
      <c r="F4793" s="23">
        <v>0</v>
      </c>
      <c r="G4793" s="23">
        <v>0</v>
      </c>
      <c r="H4793" s="23">
        <v>22.094999999999999</v>
      </c>
      <c r="I4793" s="23">
        <v>0</v>
      </c>
      <c r="J4793" s="23">
        <v>0</v>
      </c>
      <c r="K4793" s="23">
        <v>0</v>
      </c>
    </row>
    <row r="4794" spans="1:11" x14ac:dyDescent="0.25">
      <c r="A4794">
        <v>4793</v>
      </c>
      <c r="B4794" s="23">
        <v>1623.4697880000001</v>
      </c>
      <c r="C4794" s="23">
        <v>167.8</v>
      </c>
      <c r="D4794" s="23">
        <v>647.98299999999995</v>
      </c>
      <c r="E4794" s="23">
        <v>647.98299999999995</v>
      </c>
      <c r="F4794" s="23">
        <v>0</v>
      </c>
      <c r="G4794" s="23">
        <v>0</v>
      </c>
      <c r="H4794" s="23">
        <v>0</v>
      </c>
      <c r="I4794" s="23">
        <v>975.48699999999997</v>
      </c>
      <c r="J4794" s="23">
        <v>0</v>
      </c>
      <c r="K4794" s="23">
        <v>0</v>
      </c>
    </row>
    <row r="4795" spans="1:11" x14ac:dyDescent="0.25">
      <c r="A4795">
        <v>4794</v>
      </c>
      <c r="B4795" s="23">
        <v>1365.0331369999999</v>
      </c>
      <c r="C4795" s="23">
        <v>9.7899999999999991</v>
      </c>
      <c r="D4795" s="23">
        <v>14.092000000000001</v>
      </c>
      <c r="E4795" s="23">
        <v>14.092000000000001</v>
      </c>
      <c r="F4795" s="23">
        <v>0</v>
      </c>
      <c r="G4795" s="23">
        <v>0</v>
      </c>
      <c r="H4795" s="23">
        <v>0</v>
      </c>
      <c r="I4795" s="23">
        <v>0</v>
      </c>
      <c r="J4795" s="23">
        <v>0</v>
      </c>
      <c r="K4795" s="23">
        <v>1350.941</v>
      </c>
    </row>
    <row r="4796" spans="1:11" x14ac:dyDescent="0.25">
      <c r="A4796">
        <v>4795</v>
      </c>
      <c r="B4796" s="23">
        <v>1483.5890300000001</v>
      </c>
      <c r="C4796" s="23">
        <v>0</v>
      </c>
      <c r="D4796" s="23">
        <v>0</v>
      </c>
      <c r="E4796" s="23">
        <v>0</v>
      </c>
      <c r="F4796" s="23">
        <v>0</v>
      </c>
      <c r="G4796" s="23">
        <v>0</v>
      </c>
      <c r="H4796" s="23">
        <v>0</v>
      </c>
      <c r="I4796" s="23">
        <v>0</v>
      </c>
      <c r="J4796" s="23">
        <v>0</v>
      </c>
      <c r="K4796" s="23">
        <v>1483.5889999999999</v>
      </c>
    </row>
    <row r="4797" spans="1:11" x14ac:dyDescent="0.25">
      <c r="A4797">
        <v>4796</v>
      </c>
      <c r="B4797" s="23">
        <v>1207.315468</v>
      </c>
      <c r="C4797" s="23">
        <v>0</v>
      </c>
      <c r="D4797" s="23">
        <v>0</v>
      </c>
      <c r="E4797" s="23">
        <v>0</v>
      </c>
      <c r="F4797" s="23">
        <v>0</v>
      </c>
      <c r="G4797" s="23">
        <v>0</v>
      </c>
      <c r="H4797" s="23">
        <v>0</v>
      </c>
      <c r="I4797" s="23">
        <v>0</v>
      </c>
      <c r="J4797" s="23">
        <v>0</v>
      </c>
      <c r="K4797" s="23">
        <v>1207.3150000000001</v>
      </c>
    </row>
    <row r="4798" spans="1:11" x14ac:dyDescent="0.25">
      <c r="A4798">
        <v>4797</v>
      </c>
      <c r="B4798" s="23">
        <v>1394.490806</v>
      </c>
      <c r="C4798" s="23">
        <v>0</v>
      </c>
      <c r="D4798" s="23">
        <v>0</v>
      </c>
      <c r="E4798" s="23">
        <v>0</v>
      </c>
      <c r="F4798" s="23">
        <v>0</v>
      </c>
      <c r="G4798" s="23">
        <v>0</v>
      </c>
      <c r="H4798" s="23">
        <v>0</v>
      </c>
      <c r="I4798" s="23">
        <v>1394.491</v>
      </c>
      <c r="J4798" s="23">
        <v>0</v>
      </c>
      <c r="K4798" s="23">
        <v>0</v>
      </c>
    </row>
    <row r="4799" spans="1:11" x14ac:dyDescent="0.25">
      <c r="A4799">
        <v>4798</v>
      </c>
      <c r="B4799" s="23">
        <v>1198.336577</v>
      </c>
      <c r="C4799" s="23">
        <v>0</v>
      </c>
      <c r="D4799" s="23">
        <v>0</v>
      </c>
      <c r="E4799" s="23">
        <v>0</v>
      </c>
      <c r="F4799" s="23">
        <v>0</v>
      </c>
      <c r="G4799" s="23">
        <v>0</v>
      </c>
      <c r="H4799" s="23">
        <v>0</v>
      </c>
      <c r="I4799" s="23">
        <v>1198.337</v>
      </c>
      <c r="J4799" s="23">
        <v>0</v>
      </c>
      <c r="K4799" s="23">
        <v>0</v>
      </c>
    </row>
    <row r="4800" spans="1:11" x14ac:dyDescent="0.25">
      <c r="A4800">
        <v>4799</v>
      </c>
      <c r="B4800" s="23">
        <v>1087.8271520000001</v>
      </c>
      <c r="C4800" s="23">
        <v>0</v>
      </c>
      <c r="D4800" s="23">
        <v>0</v>
      </c>
      <c r="E4800" s="23">
        <v>0</v>
      </c>
      <c r="F4800" s="23">
        <v>0</v>
      </c>
      <c r="G4800" s="23">
        <v>0</v>
      </c>
      <c r="H4800" s="23">
        <v>0</v>
      </c>
      <c r="I4800" s="23">
        <v>1087.827</v>
      </c>
      <c r="J4800" s="23">
        <v>0</v>
      </c>
      <c r="K4800" s="23">
        <v>0</v>
      </c>
    </row>
    <row r="4801" spans="1:11" x14ac:dyDescent="0.25">
      <c r="A4801">
        <v>4800</v>
      </c>
      <c r="B4801" s="23">
        <v>982.8431981</v>
      </c>
      <c r="C4801" s="23">
        <v>0</v>
      </c>
      <c r="D4801" s="23">
        <v>0</v>
      </c>
      <c r="E4801" s="23">
        <v>0</v>
      </c>
      <c r="F4801" s="23">
        <v>0</v>
      </c>
      <c r="G4801" s="23">
        <v>0</v>
      </c>
      <c r="H4801" s="23">
        <v>0</v>
      </c>
      <c r="I4801" s="23">
        <v>982.84299999999996</v>
      </c>
      <c r="J4801" s="23">
        <v>0</v>
      </c>
      <c r="K4801" s="23">
        <v>0</v>
      </c>
    </row>
    <row r="4802" spans="1:11" x14ac:dyDescent="0.25">
      <c r="A4802">
        <v>4801</v>
      </c>
      <c r="B4802" s="23">
        <v>1308.846002</v>
      </c>
      <c r="C4802" s="23">
        <v>0</v>
      </c>
      <c r="D4802" s="23">
        <v>0</v>
      </c>
      <c r="E4802" s="23">
        <v>0</v>
      </c>
      <c r="F4802" s="23">
        <v>0</v>
      </c>
      <c r="G4802" s="23">
        <v>0</v>
      </c>
      <c r="H4802" s="23">
        <v>0</v>
      </c>
      <c r="I4802" s="23">
        <v>1308.846</v>
      </c>
      <c r="J4802" s="23">
        <v>0</v>
      </c>
      <c r="K4802" s="23">
        <v>0</v>
      </c>
    </row>
    <row r="4803" spans="1:11" x14ac:dyDescent="0.25">
      <c r="A4803">
        <v>4802</v>
      </c>
      <c r="B4803" s="23">
        <v>1232.1800880000001</v>
      </c>
      <c r="C4803" s="23">
        <v>0</v>
      </c>
      <c r="D4803" s="23">
        <v>0</v>
      </c>
      <c r="E4803" s="23">
        <v>0</v>
      </c>
      <c r="F4803" s="23">
        <v>0</v>
      </c>
      <c r="G4803" s="23">
        <v>0</v>
      </c>
      <c r="H4803" s="23">
        <v>0</v>
      </c>
      <c r="I4803" s="23">
        <v>1232.18</v>
      </c>
      <c r="J4803" s="23">
        <v>0</v>
      </c>
      <c r="K4803" s="23">
        <v>0</v>
      </c>
    </row>
    <row r="4804" spans="1:11" x14ac:dyDescent="0.25">
      <c r="A4804">
        <v>4803</v>
      </c>
      <c r="B4804" s="23">
        <v>1165.874433</v>
      </c>
      <c r="C4804" s="23">
        <v>0</v>
      </c>
      <c r="D4804" s="23">
        <v>0</v>
      </c>
      <c r="E4804" s="23">
        <v>0</v>
      </c>
      <c r="F4804" s="23">
        <v>0</v>
      </c>
      <c r="G4804" s="23">
        <v>0</v>
      </c>
      <c r="H4804" s="23">
        <v>0</v>
      </c>
      <c r="I4804" s="23">
        <v>1165.874</v>
      </c>
      <c r="J4804" s="23">
        <v>0</v>
      </c>
      <c r="K4804" s="23">
        <v>0</v>
      </c>
    </row>
    <row r="4805" spans="1:11" x14ac:dyDescent="0.25">
      <c r="A4805">
        <v>4804</v>
      </c>
      <c r="B4805" s="23">
        <v>1230.1080360000001</v>
      </c>
      <c r="C4805" s="23">
        <v>0</v>
      </c>
      <c r="D4805" s="23">
        <v>0</v>
      </c>
      <c r="E4805" s="23">
        <v>0</v>
      </c>
      <c r="F4805" s="23">
        <v>0</v>
      </c>
      <c r="G4805" s="23">
        <v>0</v>
      </c>
      <c r="H4805" s="23">
        <v>0</v>
      </c>
      <c r="I4805" s="23">
        <v>1230.1079999999999</v>
      </c>
      <c r="J4805" s="23">
        <v>0</v>
      </c>
      <c r="K4805" s="23">
        <v>0</v>
      </c>
    </row>
    <row r="4806" spans="1:11" x14ac:dyDescent="0.25">
      <c r="A4806">
        <v>4805</v>
      </c>
      <c r="B4806" s="23">
        <v>1178.997427</v>
      </c>
      <c r="C4806" s="23">
        <v>0</v>
      </c>
      <c r="D4806" s="23">
        <v>0</v>
      </c>
      <c r="E4806" s="23">
        <v>0</v>
      </c>
      <c r="F4806" s="23">
        <v>0</v>
      </c>
      <c r="G4806" s="23">
        <v>0</v>
      </c>
      <c r="H4806" s="23">
        <v>0</v>
      </c>
      <c r="I4806" s="23">
        <v>580.11400000000003</v>
      </c>
      <c r="J4806" s="23">
        <v>0</v>
      </c>
      <c r="K4806" s="23">
        <v>598.88300000000004</v>
      </c>
    </row>
    <row r="4807" spans="1:11" x14ac:dyDescent="0.25">
      <c r="A4807">
        <v>4806</v>
      </c>
      <c r="B4807" s="23">
        <v>1110.619721</v>
      </c>
      <c r="C4807" s="23">
        <v>0</v>
      </c>
      <c r="D4807" s="23">
        <v>0</v>
      </c>
      <c r="E4807" s="23">
        <v>0</v>
      </c>
      <c r="F4807" s="23">
        <v>0</v>
      </c>
      <c r="G4807" s="23">
        <v>0</v>
      </c>
      <c r="H4807" s="23">
        <v>0</v>
      </c>
      <c r="I4807" s="23">
        <v>0</v>
      </c>
      <c r="J4807" s="23">
        <v>0</v>
      </c>
      <c r="K4807" s="23">
        <v>1110.6199999999999</v>
      </c>
    </row>
    <row r="4808" spans="1:11" x14ac:dyDescent="0.25">
      <c r="A4808">
        <v>4807</v>
      </c>
      <c r="B4808" s="23">
        <v>929.66053739999995</v>
      </c>
      <c r="C4808" s="23">
        <v>39.21</v>
      </c>
      <c r="D4808" s="23">
        <v>129.15899999999999</v>
      </c>
      <c r="E4808" s="23">
        <v>129.15899999999999</v>
      </c>
      <c r="F4808" s="23">
        <v>0</v>
      </c>
      <c r="G4808" s="23">
        <v>0</v>
      </c>
      <c r="H4808" s="23">
        <v>0</v>
      </c>
      <c r="I4808" s="23">
        <v>0</v>
      </c>
      <c r="J4808" s="23">
        <v>0</v>
      </c>
      <c r="K4808" s="23">
        <v>800.50099999999998</v>
      </c>
    </row>
    <row r="4809" spans="1:11" x14ac:dyDescent="0.25">
      <c r="A4809">
        <v>4808</v>
      </c>
      <c r="B4809" s="23">
        <v>777.62115249999999</v>
      </c>
      <c r="C4809" s="23">
        <v>312.3</v>
      </c>
      <c r="D4809" s="23">
        <v>1210.394</v>
      </c>
      <c r="E4809" s="23">
        <v>777.62099999999998</v>
      </c>
      <c r="F4809" s="23">
        <v>-432.77300000000002</v>
      </c>
      <c r="G4809" s="23">
        <v>0</v>
      </c>
      <c r="H4809" s="23">
        <v>0</v>
      </c>
      <c r="I4809" s="23">
        <v>0</v>
      </c>
      <c r="J4809" s="23">
        <v>0</v>
      </c>
      <c r="K4809" s="23">
        <v>0</v>
      </c>
    </row>
    <row r="4810" spans="1:11" x14ac:dyDescent="0.25">
      <c r="A4810">
        <v>4809</v>
      </c>
      <c r="B4810" s="23">
        <v>947.27297699999997</v>
      </c>
      <c r="C4810" s="23">
        <v>400.15</v>
      </c>
      <c r="D4810" s="23">
        <v>1575.175</v>
      </c>
      <c r="E4810" s="23">
        <v>947.27300000000002</v>
      </c>
      <c r="F4810" s="23">
        <v>-627.90200000000004</v>
      </c>
      <c r="G4810" s="23">
        <v>0</v>
      </c>
      <c r="H4810" s="23">
        <v>0</v>
      </c>
      <c r="I4810" s="23">
        <v>0</v>
      </c>
      <c r="J4810" s="23">
        <v>0</v>
      </c>
      <c r="K4810" s="23">
        <v>0</v>
      </c>
    </row>
    <row r="4811" spans="1:11" x14ac:dyDescent="0.25">
      <c r="A4811">
        <v>4810</v>
      </c>
      <c r="B4811" s="23">
        <v>1179.908267</v>
      </c>
      <c r="C4811" s="23">
        <v>338.99</v>
      </c>
      <c r="D4811" s="23">
        <v>1311.829</v>
      </c>
      <c r="E4811" s="23">
        <v>1179.9079999999999</v>
      </c>
      <c r="F4811" s="23">
        <v>-131.92099999999999</v>
      </c>
      <c r="G4811" s="23">
        <v>0</v>
      </c>
      <c r="H4811" s="23">
        <v>0</v>
      </c>
      <c r="I4811" s="23">
        <v>0</v>
      </c>
      <c r="J4811" s="23">
        <v>0</v>
      </c>
      <c r="K4811" s="23">
        <v>0</v>
      </c>
    </row>
    <row r="4812" spans="1:11" x14ac:dyDescent="0.25">
      <c r="A4812">
        <v>4811</v>
      </c>
      <c r="B4812" s="23">
        <v>1059.587677</v>
      </c>
      <c r="C4812" s="23">
        <v>594.79999999999995</v>
      </c>
      <c r="D4812" s="23">
        <v>2275.7080000000001</v>
      </c>
      <c r="E4812" s="23">
        <v>1059.587</v>
      </c>
      <c r="F4812" s="23">
        <v>-1216.1210000000001</v>
      </c>
      <c r="G4812" s="23">
        <v>0</v>
      </c>
      <c r="H4812" s="23">
        <v>0</v>
      </c>
      <c r="I4812" s="23">
        <v>0</v>
      </c>
      <c r="J4812" s="23">
        <v>0</v>
      </c>
      <c r="K4812" s="23">
        <v>0</v>
      </c>
    </row>
    <row r="4813" spans="1:11" x14ac:dyDescent="0.25">
      <c r="A4813">
        <v>4812</v>
      </c>
      <c r="B4813" s="23">
        <v>1194.513641</v>
      </c>
      <c r="C4813" s="23">
        <v>552.01</v>
      </c>
      <c r="D4813" s="23">
        <v>2104.665</v>
      </c>
      <c r="E4813" s="23">
        <v>1194.5139999999999</v>
      </c>
      <c r="F4813" s="23">
        <v>-910.15099999999995</v>
      </c>
      <c r="G4813" s="23">
        <v>0</v>
      </c>
      <c r="H4813" s="23">
        <v>0</v>
      </c>
      <c r="I4813" s="23">
        <v>0</v>
      </c>
      <c r="J4813" s="23">
        <v>0</v>
      </c>
      <c r="K4813" s="23">
        <v>0</v>
      </c>
    </row>
    <row r="4814" spans="1:11" x14ac:dyDescent="0.25">
      <c r="A4814">
        <v>4813</v>
      </c>
      <c r="B4814" s="23">
        <v>1267.6268500000001</v>
      </c>
      <c r="C4814" s="23">
        <v>696.77</v>
      </c>
      <c r="D4814" s="23">
        <v>2638.2829999999999</v>
      </c>
      <c r="E4814" s="23">
        <v>1267.627</v>
      </c>
      <c r="F4814" s="23">
        <v>-1370.6559999999999</v>
      </c>
      <c r="G4814" s="23">
        <v>0</v>
      </c>
      <c r="H4814" s="23">
        <v>0</v>
      </c>
      <c r="I4814" s="23">
        <v>0</v>
      </c>
      <c r="J4814" s="23">
        <v>0</v>
      </c>
      <c r="K4814" s="23">
        <v>0</v>
      </c>
    </row>
    <row r="4815" spans="1:11" x14ac:dyDescent="0.25">
      <c r="A4815">
        <v>4814</v>
      </c>
      <c r="B4815" s="23">
        <v>887.07987460000004</v>
      </c>
      <c r="C4815" s="23">
        <v>662.28</v>
      </c>
      <c r="D4815" s="23">
        <v>2522.3009999999999</v>
      </c>
      <c r="E4815" s="23">
        <v>887.08</v>
      </c>
      <c r="F4815" s="23">
        <v>-1635.221</v>
      </c>
      <c r="G4815" s="23">
        <v>0</v>
      </c>
      <c r="H4815" s="23">
        <v>0</v>
      </c>
      <c r="I4815" s="23">
        <v>0</v>
      </c>
      <c r="J4815" s="23">
        <v>0</v>
      </c>
      <c r="K4815" s="23">
        <v>0</v>
      </c>
    </row>
    <row r="4816" spans="1:11" x14ac:dyDescent="0.25">
      <c r="A4816">
        <v>4815</v>
      </c>
      <c r="B4816" s="23">
        <v>1241.5595760000001</v>
      </c>
      <c r="C4816" s="23">
        <v>609.04999999999995</v>
      </c>
      <c r="D4816" s="23">
        <v>2347.0680000000002</v>
      </c>
      <c r="E4816" s="23">
        <v>1241.559</v>
      </c>
      <c r="F4816" s="23">
        <v>-966.75400000000002</v>
      </c>
      <c r="G4816" s="23">
        <v>0</v>
      </c>
      <c r="H4816" s="23">
        <v>138.755</v>
      </c>
      <c r="I4816" s="23">
        <v>0</v>
      </c>
      <c r="J4816" s="23">
        <v>0</v>
      </c>
      <c r="K4816" s="23">
        <v>0</v>
      </c>
    </row>
    <row r="4817" spans="1:11" x14ac:dyDescent="0.25">
      <c r="A4817">
        <v>4816</v>
      </c>
      <c r="B4817" s="23">
        <v>536.72096639999995</v>
      </c>
      <c r="C4817" s="23">
        <v>390.93</v>
      </c>
      <c r="D4817" s="23">
        <v>1531.348</v>
      </c>
      <c r="E4817" s="23">
        <v>536.721</v>
      </c>
      <c r="F4817" s="23">
        <v>0</v>
      </c>
      <c r="G4817" s="23">
        <v>0</v>
      </c>
      <c r="H4817" s="23">
        <v>994.62699999999995</v>
      </c>
      <c r="I4817" s="23">
        <v>0</v>
      </c>
      <c r="J4817" s="23">
        <v>0</v>
      </c>
      <c r="K4817" s="23">
        <v>0</v>
      </c>
    </row>
    <row r="4818" spans="1:11" x14ac:dyDescent="0.25">
      <c r="A4818">
        <v>4817</v>
      </c>
      <c r="B4818" s="23">
        <v>511.43934539999998</v>
      </c>
      <c r="C4818" s="23">
        <v>196.5</v>
      </c>
      <c r="D4818" s="23">
        <v>764.49599999999998</v>
      </c>
      <c r="E4818" s="23">
        <v>511.43900000000002</v>
      </c>
      <c r="F4818" s="23">
        <v>0</v>
      </c>
      <c r="G4818" s="23">
        <v>0</v>
      </c>
      <c r="H4818" s="23">
        <v>253.05699999999999</v>
      </c>
      <c r="I4818" s="23">
        <v>0</v>
      </c>
      <c r="J4818" s="23">
        <v>0</v>
      </c>
      <c r="K4818" s="23">
        <v>0</v>
      </c>
    </row>
    <row r="4819" spans="1:11" x14ac:dyDescent="0.25">
      <c r="A4819">
        <v>4818</v>
      </c>
      <c r="B4819" s="23">
        <v>220.4507624</v>
      </c>
      <c r="C4819" s="23">
        <v>59.13</v>
      </c>
      <c r="D4819" s="23">
        <v>205.07599999999999</v>
      </c>
      <c r="E4819" s="23">
        <v>205.07599999999999</v>
      </c>
      <c r="F4819" s="23">
        <v>0</v>
      </c>
      <c r="G4819" s="23">
        <v>0</v>
      </c>
      <c r="H4819" s="23">
        <v>0</v>
      </c>
      <c r="I4819" s="23">
        <v>0</v>
      </c>
      <c r="J4819" s="23">
        <v>0</v>
      </c>
      <c r="K4819" s="23">
        <v>15.375</v>
      </c>
    </row>
    <row r="4820" spans="1:11" x14ac:dyDescent="0.25">
      <c r="A4820">
        <v>4819</v>
      </c>
      <c r="B4820" s="23">
        <v>219.6374821</v>
      </c>
      <c r="C4820" s="23">
        <v>0</v>
      </c>
      <c r="D4820" s="23">
        <v>0</v>
      </c>
      <c r="E4820" s="23">
        <v>0</v>
      </c>
      <c r="F4820" s="23">
        <v>0</v>
      </c>
      <c r="G4820" s="23">
        <v>0</v>
      </c>
      <c r="H4820" s="23">
        <v>0</v>
      </c>
      <c r="I4820" s="23">
        <v>0</v>
      </c>
      <c r="J4820" s="23">
        <v>0</v>
      </c>
      <c r="K4820" s="23">
        <v>219.637</v>
      </c>
    </row>
    <row r="4821" spans="1:11" x14ac:dyDescent="0.25">
      <c r="A4821">
        <v>4820</v>
      </c>
      <c r="B4821" s="23">
        <v>234.832528</v>
      </c>
      <c r="C4821" s="23">
        <v>0</v>
      </c>
      <c r="D4821" s="23">
        <v>0</v>
      </c>
      <c r="E4821" s="23">
        <v>0</v>
      </c>
      <c r="F4821" s="23">
        <v>0</v>
      </c>
      <c r="G4821" s="23">
        <v>0</v>
      </c>
      <c r="H4821" s="23">
        <v>0</v>
      </c>
      <c r="I4821" s="23">
        <v>0</v>
      </c>
      <c r="J4821" s="23">
        <v>0</v>
      </c>
      <c r="K4821" s="23">
        <v>234.833</v>
      </c>
    </row>
    <row r="4822" spans="1:11" x14ac:dyDescent="0.25">
      <c r="A4822">
        <v>4821</v>
      </c>
      <c r="B4822" s="23">
        <v>155.4038788</v>
      </c>
      <c r="C4822" s="23">
        <v>0</v>
      </c>
      <c r="D4822" s="23">
        <v>0</v>
      </c>
      <c r="E4822" s="23">
        <v>0</v>
      </c>
      <c r="F4822" s="23">
        <v>0</v>
      </c>
      <c r="G4822" s="23">
        <v>0</v>
      </c>
      <c r="H4822" s="23">
        <v>0</v>
      </c>
      <c r="I4822" s="23">
        <v>0</v>
      </c>
      <c r="J4822" s="23">
        <v>0</v>
      </c>
      <c r="K4822" s="23">
        <v>155.404</v>
      </c>
    </row>
    <row r="4823" spans="1:11" x14ac:dyDescent="0.25">
      <c r="A4823">
        <v>4822</v>
      </c>
      <c r="B4823" s="23">
        <v>212.0399591</v>
      </c>
      <c r="C4823" s="23">
        <v>0</v>
      </c>
      <c r="D4823" s="23">
        <v>0</v>
      </c>
      <c r="E4823" s="23">
        <v>0</v>
      </c>
      <c r="F4823" s="23">
        <v>0</v>
      </c>
      <c r="G4823" s="23">
        <v>0</v>
      </c>
      <c r="H4823" s="23">
        <v>0</v>
      </c>
      <c r="I4823" s="23">
        <v>0</v>
      </c>
      <c r="J4823" s="23">
        <v>0</v>
      </c>
      <c r="K4823" s="23">
        <v>212.04</v>
      </c>
    </row>
    <row r="4824" spans="1:11" x14ac:dyDescent="0.25">
      <c r="A4824">
        <v>4823</v>
      </c>
      <c r="B4824" s="23">
        <v>91.170275579999995</v>
      </c>
      <c r="C4824" s="23">
        <v>0</v>
      </c>
      <c r="D4824" s="23">
        <v>0</v>
      </c>
      <c r="E4824" s="23">
        <v>0</v>
      </c>
      <c r="F4824" s="23">
        <v>0</v>
      </c>
      <c r="G4824" s="23">
        <v>0</v>
      </c>
      <c r="H4824" s="23">
        <v>0</v>
      </c>
      <c r="I4824" s="23">
        <v>0</v>
      </c>
      <c r="J4824" s="23">
        <v>0</v>
      </c>
      <c r="K4824" s="23">
        <v>91.17</v>
      </c>
    </row>
    <row r="4825" spans="1:11" x14ac:dyDescent="0.25">
      <c r="A4825">
        <v>4824</v>
      </c>
      <c r="B4825" s="23">
        <v>85.644804339999993</v>
      </c>
      <c r="C4825" s="23">
        <v>0</v>
      </c>
      <c r="D4825" s="23">
        <v>0</v>
      </c>
      <c r="E4825" s="23">
        <v>0</v>
      </c>
      <c r="F4825" s="23">
        <v>0</v>
      </c>
      <c r="G4825" s="23">
        <v>0</v>
      </c>
      <c r="H4825" s="23">
        <v>0</v>
      </c>
      <c r="I4825" s="23">
        <v>0</v>
      </c>
      <c r="J4825" s="23">
        <v>0</v>
      </c>
      <c r="K4825" s="23">
        <v>85.644999999999996</v>
      </c>
    </row>
    <row r="4826" spans="1:11" x14ac:dyDescent="0.25">
      <c r="A4826">
        <v>4825</v>
      </c>
      <c r="B4826" s="23">
        <v>78.737965279999997</v>
      </c>
      <c r="C4826" s="23">
        <v>0</v>
      </c>
      <c r="D4826" s="23">
        <v>0</v>
      </c>
      <c r="E4826" s="23">
        <v>0</v>
      </c>
      <c r="F4826" s="23">
        <v>0</v>
      </c>
      <c r="G4826" s="23">
        <v>0</v>
      </c>
      <c r="H4826" s="23">
        <v>0</v>
      </c>
      <c r="I4826" s="23">
        <v>0</v>
      </c>
      <c r="J4826" s="23">
        <v>0</v>
      </c>
      <c r="K4826" s="23">
        <v>78.738</v>
      </c>
    </row>
    <row r="4827" spans="1:11" x14ac:dyDescent="0.25">
      <c r="A4827">
        <v>4826</v>
      </c>
      <c r="B4827" s="23">
        <v>84.954120430000003</v>
      </c>
      <c r="C4827" s="23">
        <v>0</v>
      </c>
      <c r="D4827" s="23">
        <v>0</v>
      </c>
      <c r="E4827" s="23">
        <v>0</v>
      </c>
      <c r="F4827" s="23">
        <v>0</v>
      </c>
      <c r="G4827" s="23">
        <v>0</v>
      </c>
      <c r="H4827" s="23">
        <v>0</v>
      </c>
      <c r="I4827" s="23">
        <v>0</v>
      </c>
      <c r="J4827" s="23">
        <v>0</v>
      </c>
      <c r="K4827" s="23">
        <v>84.953999999999994</v>
      </c>
    </row>
    <row r="4828" spans="1:11" x14ac:dyDescent="0.25">
      <c r="A4828">
        <v>4827</v>
      </c>
      <c r="B4828" s="23">
        <v>77.356597460000003</v>
      </c>
      <c r="C4828" s="23">
        <v>0</v>
      </c>
      <c r="D4828" s="23">
        <v>0</v>
      </c>
      <c r="E4828" s="23">
        <v>0</v>
      </c>
      <c r="F4828" s="23">
        <v>0</v>
      </c>
      <c r="G4828" s="23">
        <v>0</v>
      </c>
      <c r="H4828" s="23">
        <v>0</v>
      </c>
      <c r="I4828" s="23">
        <v>0</v>
      </c>
      <c r="J4828" s="23">
        <v>0</v>
      </c>
      <c r="K4828" s="23">
        <v>77.356999999999999</v>
      </c>
    </row>
    <row r="4829" spans="1:11" x14ac:dyDescent="0.25">
      <c r="A4829">
        <v>4828</v>
      </c>
      <c r="B4829" s="23">
        <v>82.191384810000002</v>
      </c>
      <c r="C4829" s="23">
        <v>0</v>
      </c>
      <c r="D4829" s="23">
        <v>0</v>
      </c>
      <c r="E4829" s="23">
        <v>0</v>
      </c>
      <c r="F4829" s="23">
        <v>0</v>
      </c>
      <c r="G4829" s="23">
        <v>0</v>
      </c>
      <c r="H4829" s="23">
        <v>0</v>
      </c>
      <c r="I4829" s="23">
        <v>0</v>
      </c>
      <c r="J4829" s="23">
        <v>0</v>
      </c>
      <c r="K4829" s="23">
        <v>82.191000000000003</v>
      </c>
    </row>
    <row r="4830" spans="1:11" x14ac:dyDescent="0.25">
      <c r="A4830">
        <v>4829</v>
      </c>
      <c r="B4830" s="23">
        <v>78.737965279999997</v>
      </c>
      <c r="C4830" s="23">
        <v>0</v>
      </c>
      <c r="D4830" s="23">
        <v>0</v>
      </c>
      <c r="E4830" s="23">
        <v>0</v>
      </c>
      <c r="F4830" s="23">
        <v>0</v>
      </c>
      <c r="G4830" s="23">
        <v>0</v>
      </c>
      <c r="H4830" s="23">
        <v>0</v>
      </c>
      <c r="I4830" s="23">
        <v>0</v>
      </c>
      <c r="J4830" s="23">
        <v>0</v>
      </c>
      <c r="K4830" s="23">
        <v>78.738</v>
      </c>
    </row>
    <row r="4831" spans="1:11" x14ac:dyDescent="0.25">
      <c r="A4831">
        <v>4830</v>
      </c>
      <c r="B4831" s="23">
        <v>83.572752620000003</v>
      </c>
      <c r="C4831" s="23">
        <v>0</v>
      </c>
      <c r="D4831" s="23">
        <v>0</v>
      </c>
      <c r="E4831" s="23">
        <v>0</v>
      </c>
      <c r="F4831" s="23">
        <v>0</v>
      </c>
      <c r="G4831" s="23">
        <v>0</v>
      </c>
      <c r="H4831" s="23">
        <v>0</v>
      </c>
      <c r="I4831" s="23">
        <v>0</v>
      </c>
      <c r="J4831" s="23">
        <v>0</v>
      </c>
      <c r="K4831" s="23">
        <v>83.572999999999993</v>
      </c>
    </row>
    <row r="4832" spans="1:11" x14ac:dyDescent="0.25">
      <c r="A4832">
        <v>4831</v>
      </c>
      <c r="B4832" s="23">
        <v>66.996338879999996</v>
      </c>
      <c r="C4832" s="23">
        <v>71.86</v>
      </c>
      <c r="D4832" s="23">
        <v>254.38800000000001</v>
      </c>
      <c r="E4832" s="23">
        <v>66.995999999999995</v>
      </c>
      <c r="F4832" s="23">
        <v>-187.392</v>
      </c>
      <c r="G4832" s="23">
        <v>0</v>
      </c>
      <c r="H4832" s="23">
        <v>0</v>
      </c>
      <c r="I4832" s="23">
        <v>0</v>
      </c>
      <c r="J4832" s="23">
        <v>0</v>
      </c>
      <c r="K4832" s="23">
        <v>0</v>
      </c>
    </row>
    <row r="4833" spans="1:11" x14ac:dyDescent="0.25">
      <c r="A4833">
        <v>4832</v>
      </c>
      <c r="B4833" s="23">
        <v>81.198526689999994</v>
      </c>
      <c r="C4833" s="23">
        <v>220.74</v>
      </c>
      <c r="D4833" s="23">
        <v>870.39400000000001</v>
      </c>
      <c r="E4833" s="23">
        <v>81.197999999999993</v>
      </c>
      <c r="F4833" s="23">
        <v>-789.19600000000003</v>
      </c>
      <c r="G4833" s="23">
        <v>0</v>
      </c>
      <c r="H4833" s="23">
        <v>0</v>
      </c>
      <c r="I4833" s="23">
        <v>0</v>
      </c>
      <c r="J4833" s="23">
        <v>0</v>
      </c>
      <c r="K4833" s="23">
        <v>0</v>
      </c>
    </row>
    <row r="4834" spans="1:11" x14ac:dyDescent="0.25">
      <c r="A4834">
        <v>4833</v>
      </c>
      <c r="B4834" s="23">
        <v>713.05774770000005</v>
      </c>
      <c r="C4834" s="23">
        <v>338.95</v>
      </c>
      <c r="D4834" s="23">
        <v>1335.442</v>
      </c>
      <c r="E4834" s="23">
        <v>713.05799999999999</v>
      </c>
      <c r="F4834" s="23">
        <v>-622.38400000000001</v>
      </c>
      <c r="G4834" s="23">
        <v>0</v>
      </c>
      <c r="H4834" s="23">
        <v>0</v>
      </c>
      <c r="I4834" s="23">
        <v>0</v>
      </c>
      <c r="J4834" s="23">
        <v>0</v>
      </c>
      <c r="K4834" s="23">
        <v>0</v>
      </c>
    </row>
    <row r="4835" spans="1:11" x14ac:dyDescent="0.25">
      <c r="A4835">
        <v>4834</v>
      </c>
      <c r="B4835" s="23">
        <v>1109.9109060000001</v>
      </c>
      <c r="C4835" s="23">
        <v>596.17999999999995</v>
      </c>
      <c r="D4835" s="23">
        <v>2316.6570000000002</v>
      </c>
      <c r="E4835" s="23">
        <v>1109.9100000000001</v>
      </c>
      <c r="F4835" s="23">
        <v>-69.981999999999999</v>
      </c>
      <c r="G4835" s="23">
        <v>0</v>
      </c>
      <c r="H4835" s="23">
        <v>1136.7650000000001</v>
      </c>
      <c r="I4835" s="23">
        <v>0</v>
      </c>
      <c r="J4835" s="23">
        <v>0</v>
      </c>
      <c r="K4835" s="23">
        <v>0</v>
      </c>
    </row>
    <row r="4836" spans="1:11" x14ac:dyDescent="0.25">
      <c r="A4836">
        <v>4835</v>
      </c>
      <c r="B4836" s="23">
        <v>1211.748795</v>
      </c>
      <c r="C4836" s="23">
        <v>745.4</v>
      </c>
      <c r="D4836" s="23">
        <v>2850.9209999999998</v>
      </c>
      <c r="E4836" s="23">
        <v>1211.749</v>
      </c>
      <c r="F4836" s="23">
        <v>0</v>
      </c>
      <c r="G4836" s="23">
        <v>0</v>
      </c>
      <c r="H4836" s="23">
        <v>1639.172</v>
      </c>
      <c r="I4836" s="23">
        <v>0</v>
      </c>
      <c r="J4836" s="23">
        <v>0</v>
      </c>
      <c r="K4836" s="23">
        <v>0</v>
      </c>
    </row>
    <row r="4837" spans="1:11" x14ac:dyDescent="0.25">
      <c r="A4837">
        <v>4836</v>
      </c>
      <c r="B4837" s="23">
        <v>1105.188355</v>
      </c>
      <c r="C4837" s="23">
        <v>926.97</v>
      </c>
      <c r="D4837" s="23">
        <v>3554.498000000001</v>
      </c>
      <c r="E4837" s="23">
        <v>1105.1890000000001</v>
      </c>
      <c r="F4837" s="23">
        <v>0</v>
      </c>
      <c r="G4837" s="23">
        <v>0</v>
      </c>
      <c r="H4837" s="23">
        <v>2449.3090000000002</v>
      </c>
      <c r="I4837" s="23">
        <v>0</v>
      </c>
      <c r="J4837" s="23">
        <v>0</v>
      </c>
      <c r="K4837" s="23">
        <v>0</v>
      </c>
    </row>
    <row r="4838" spans="1:11" x14ac:dyDescent="0.25">
      <c r="A4838">
        <v>4837</v>
      </c>
      <c r="B4838" s="23">
        <v>969.13398600000005</v>
      </c>
      <c r="C4838" s="23">
        <v>733.96</v>
      </c>
      <c r="D4838" s="23">
        <v>2792.114</v>
      </c>
      <c r="E4838" s="23">
        <v>969.13400000000001</v>
      </c>
      <c r="F4838" s="23">
        <v>0</v>
      </c>
      <c r="G4838" s="23">
        <v>0</v>
      </c>
      <c r="H4838" s="23">
        <v>1822.98</v>
      </c>
      <c r="I4838" s="23">
        <v>0</v>
      </c>
      <c r="J4838" s="23">
        <v>0</v>
      </c>
      <c r="K4838" s="23">
        <v>0</v>
      </c>
    </row>
    <row r="4839" spans="1:11" x14ac:dyDescent="0.25">
      <c r="A4839">
        <v>4838</v>
      </c>
      <c r="B4839" s="23">
        <v>1192.2620119999999</v>
      </c>
      <c r="C4839" s="23">
        <v>524.59</v>
      </c>
      <c r="D4839" s="23">
        <v>2013.934</v>
      </c>
      <c r="E4839" s="23">
        <v>1192.2619999999999</v>
      </c>
      <c r="F4839" s="23">
        <v>0</v>
      </c>
      <c r="G4839" s="23">
        <v>0</v>
      </c>
      <c r="H4839" s="23">
        <v>821.67200000000003</v>
      </c>
      <c r="I4839" s="23">
        <v>0</v>
      </c>
      <c r="J4839" s="23">
        <v>0</v>
      </c>
      <c r="K4839" s="23">
        <v>0</v>
      </c>
    </row>
    <row r="4840" spans="1:11" x14ac:dyDescent="0.25">
      <c r="A4840">
        <v>4839</v>
      </c>
      <c r="B4840" s="23">
        <v>1204.9136140000001</v>
      </c>
      <c r="C4840" s="23">
        <v>546.24</v>
      </c>
      <c r="D4840" s="23">
        <v>2111.2869999999998</v>
      </c>
      <c r="E4840" s="23">
        <v>1204.913</v>
      </c>
      <c r="F4840" s="23">
        <v>0</v>
      </c>
      <c r="G4840" s="23">
        <v>0</v>
      </c>
      <c r="H4840" s="23">
        <v>906.37400000000002</v>
      </c>
      <c r="I4840" s="23">
        <v>0</v>
      </c>
      <c r="J4840" s="23">
        <v>0</v>
      </c>
      <c r="K4840" s="23">
        <v>0</v>
      </c>
    </row>
    <row r="4841" spans="1:11" x14ac:dyDescent="0.25">
      <c r="A4841">
        <v>4840</v>
      </c>
      <c r="B4841" s="23">
        <v>1193.866125</v>
      </c>
      <c r="C4841" s="23">
        <v>432.42</v>
      </c>
      <c r="D4841" s="23">
        <v>1693.527</v>
      </c>
      <c r="E4841" s="23">
        <v>1193.866</v>
      </c>
      <c r="F4841" s="23">
        <v>0</v>
      </c>
      <c r="G4841" s="23">
        <v>0</v>
      </c>
      <c r="H4841" s="23">
        <v>499.661</v>
      </c>
      <c r="I4841" s="23">
        <v>0</v>
      </c>
      <c r="J4841" s="23">
        <v>0</v>
      </c>
      <c r="K4841" s="23">
        <v>0</v>
      </c>
    </row>
    <row r="4842" spans="1:11" x14ac:dyDescent="0.25">
      <c r="A4842">
        <v>4841</v>
      </c>
      <c r="B4842" s="23">
        <v>893.74152089999995</v>
      </c>
      <c r="C4842" s="23">
        <v>163.68</v>
      </c>
      <c r="D4842" s="23">
        <v>631.36400000000003</v>
      </c>
      <c r="E4842" s="23">
        <v>631.36400000000003</v>
      </c>
      <c r="F4842" s="23">
        <v>0</v>
      </c>
      <c r="G4842" s="23">
        <v>0</v>
      </c>
      <c r="H4842" s="23">
        <v>0</v>
      </c>
      <c r="I4842" s="23">
        <v>262.37700000000001</v>
      </c>
      <c r="J4842" s="23">
        <v>0</v>
      </c>
      <c r="K4842" s="23">
        <v>0</v>
      </c>
    </row>
    <row r="4843" spans="1:11" x14ac:dyDescent="0.25">
      <c r="A4843">
        <v>4842</v>
      </c>
      <c r="B4843" s="23">
        <v>898.8076873</v>
      </c>
      <c r="C4843" s="23">
        <v>25.47</v>
      </c>
      <c r="D4843" s="23">
        <v>73.876000000000005</v>
      </c>
      <c r="E4843" s="23">
        <v>73.876000000000005</v>
      </c>
      <c r="F4843" s="23">
        <v>0</v>
      </c>
      <c r="G4843" s="23">
        <v>0</v>
      </c>
      <c r="H4843" s="23">
        <v>0</v>
      </c>
      <c r="I4843" s="23">
        <v>0</v>
      </c>
      <c r="J4843" s="23">
        <v>0</v>
      </c>
      <c r="K4843" s="23">
        <v>824.93200000000002</v>
      </c>
    </row>
    <row r="4844" spans="1:11" x14ac:dyDescent="0.25">
      <c r="A4844">
        <v>4843</v>
      </c>
      <c r="B4844" s="23">
        <v>882.69403179999995</v>
      </c>
      <c r="C4844" s="23">
        <v>0</v>
      </c>
      <c r="D4844" s="23">
        <v>0</v>
      </c>
      <c r="E4844" s="23">
        <v>0</v>
      </c>
      <c r="F4844" s="23">
        <v>0</v>
      </c>
      <c r="G4844" s="23">
        <v>0</v>
      </c>
      <c r="H4844" s="23">
        <v>0</v>
      </c>
      <c r="I4844" s="23">
        <v>0</v>
      </c>
      <c r="J4844" s="23">
        <v>0</v>
      </c>
      <c r="K4844" s="23">
        <v>882.69399999999996</v>
      </c>
    </row>
    <row r="4845" spans="1:11" x14ac:dyDescent="0.25">
      <c r="A4845">
        <v>4844</v>
      </c>
      <c r="B4845" s="23">
        <v>1020.830813</v>
      </c>
      <c r="C4845" s="23">
        <v>0</v>
      </c>
      <c r="D4845" s="23">
        <v>0</v>
      </c>
      <c r="E4845" s="23">
        <v>0</v>
      </c>
      <c r="F4845" s="23">
        <v>0</v>
      </c>
      <c r="G4845" s="23">
        <v>0</v>
      </c>
      <c r="H4845" s="23">
        <v>0</v>
      </c>
      <c r="I4845" s="23">
        <v>0</v>
      </c>
      <c r="J4845" s="23">
        <v>0</v>
      </c>
      <c r="K4845" s="23">
        <v>1020.831</v>
      </c>
    </row>
    <row r="4846" spans="1:11" x14ac:dyDescent="0.25">
      <c r="A4846">
        <v>4845</v>
      </c>
      <c r="B4846" s="23">
        <v>1455.9616739999999</v>
      </c>
      <c r="C4846" s="23">
        <v>0</v>
      </c>
      <c r="D4846" s="23">
        <v>0</v>
      </c>
      <c r="E4846" s="23">
        <v>0</v>
      </c>
      <c r="F4846" s="23">
        <v>0</v>
      </c>
      <c r="G4846" s="23">
        <v>0</v>
      </c>
      <c r="H4846" s="23">
        <v>0</v>
      </c>
      <c r="I4846" s="23">
        <v>1455.962</v>
      </c>
      <c r="J4846" s="23">
        <v>0</v>
      </c>
      <c r="K4846" s="23">
        <v>0</v>
      </c>
    </row>
    <row r="4847" spans="1:11" x14ac:dyDescent="0.25">
      <c r="A4847">
        <v>4846</v>
      </c>
      <c r="B4847" s="23">
        <v>774.94734249999999</v>
      </c>
      <c r="C4847" s="23">
        <v>0</v>
      </c>
      <c r="D4847" s="23">
        <v>0</v>
      </c>
      <c r="E4847" s="23">
        <v>0</v>
      </c>
      <c r="F4847" s="23">
        <v>0</v>
      </c>
      <c r="G4847" s="23">
        <v>0</v>
      </c>
      <c r="H4847" s="23">
        <v>0</v>
      </c>
      <c r="I4847" s="23">
        <v>774.947</v>
      </c>
      <c r="J4847" s="23">
        <v>0</v>
      </c>
      <c r="K4847" s="23">
        <v>0</v>
      </c>
    </row>
    <row r="4848" spans="1:11" x14ac:dyDescent="0.25">
      <c r="A4848">
        <v>4847</v>
      </c>
      <c r="B4848" s="23">
        <v>1051.2209049999999</v>
      </c>
      <c r="C4848" s="23">
        <v>0</v>
      </c>
      <c r="D4848" s="23">
        <v>0</v>
      </c>
      <c r="E4848" s="23">
        <v>0</v>
      </c>
      <c r="F4848" s="23">
        <v>0</v>
      </c>
      <c r="G4848" s="23">
        <v>0</v>
      </c>
      <c r="H4848" s="23">
        <v>0</v>
      </c>
      <c r="I4848" s="23">
        <v>1051.221</v>
      </c>
      <c r="J4848" s="23">
        <v>0</v>
      </c>
      <c r="K4848" s="23">
        <v>0</v>
      </c>
    </row>
    <row r="4849" spans="1:11" x14ac:dyDescent="0.25">
      <c r="A4849">
        <v>4848</v>
      </c>
      <c r="B4849" s="23">
        <v>1114.07314</v>
      </c>
      <c r="C4849" s="23">
        <v>0</v>
      </c>
      <c r="D4849" s="23">
        <v>0</v>
      </c>
      <c r="E4849" s="23">
        <v>0</v>
      </c>
      <c r="F4849" s="23">
        <v>0</v>
      </c>
      <c r="G4849" s="23">
        <v>0</v>
      </c>
      <c r="H4849" s="23">
        <v>0</v>
      </c>
      <c r="I4849" s="23">
        <v>1114.0730000000001</v>
      </c>
      <c r="J4849" s="23">
        <v>0</v>
      </c>
      <c r="K4849" s="23">
        <v>0</v>
      </c>
    </row>
    <row r="4850" spans="1:11" x14ac:dyDescent="0.25">
      <c r="A4850">
        <v>4849</v>
      </c>
      <c r="B4850" s="23">
        <v>966.95746829999996</v>
      </c>
      <c r="C4850" s="23">
        <v>0</v>
      </c>
      <c r="D4850" s="23">
        <v>0</v>
      </c>
      <c r="E4850" s="23">
        <v>0</v>
      </c>
      <c r="F4850" s="23">
        <v>0</v>
      </c>
      <c r="G4850" s="23">
        <v>0</v>
      </c>
      <c r="H4850" s="23">
        <v>0</v>
      </c>
      <c r="I4850" s="23">
        <v>966.95699999999999</v>
      </c>
      <c r="J4850" s="23">
        <v>0</v>
      </c>
      <c r="K4850" s="23">
        <v>0</v>
      </c>
    </row>
    <row r="4851" spans="1:11" x14ac:dyDescent="0.25">
      <c r="A4851">
        <v>4850</v>
      </c>
      <c r="B4851" s="23">
        <v>895.12634209999999</v>
      </c>
      <c r="C4851" s="23">
        <v>0</v>
      </c>
      <c r="D4851" s="23">
        <v>0</v>
      </c>
      <c r="E4851" s="23">
        <v>0</v>
      </c>
      <c r="F4851" s="23">
        <v>0</v>
      </c>
      <c r="G4851" s="23">
        <v>0</v>
      </c>
      <c r="H4851" s="23">
        <v>0</v>
      </c>
      <c r="I4851" s="23">
        <v>895.12599999999998</v>
      </c>
      <c r="J4851" s="23">
        <v>0</v>
      </c>
      <c r="K4851" s="23">
        <v>0</v>
      </c>
    </row>
    <row r="4852" spans="1:11" x14ac:dyDescent="0.25">
      <c r="A4852">
        <v>4851</v>
      </c>
      <c r="B4852" s="23">
        <v>941.40216380000004</v>
      </c>
      <c r="C4852" s="23">
        <v>0</v>
      </c>
      <c r="D4852" s="23">
        <v>0</v>
      </c>
      <c r="E4852" s="23">
        <v>0</v>
      </c>
      <c r="F4852" s="23">
        <v>0</v>
      </c>
      <c r="G4852" s="23">
        <v>0</v>
      </c>
      <c r="H4852" s="23">
        <v>0</v>
      </c>
      <c r="I4852" s="23">
        <v>941.40200000000004</v>
      </c>
      <c r="J4852" s="23">
        <v>0</v>
      </c>
      <c r="K4852" s="23">
        <v>0</v>
      </c>
    </row>
    <row r="4853" spans="1:11" x14ac:dyDescent="0.25">
      <c r="A4853">
        <v>4852</v>
      </c>
      <c r="B4853" s="23">
        <v>939.33011209999995</v>
      </c>
      <c r="C4853" s="23">
        <v>0</v>
      </c>
      <c r="D4853" s="23">
        <v>0</v>
      </c>
      <c r="E4853" s="23">
        <v>0</v>
      </c>
      <c r="F4853" s="23">
        <v>0</v>
      </c>
      <c r="G4853" s="23">
        <v>0</v>
      </c>
      <c r="H4853" s="23">
        <v>0</v>
      </c>
      <c r="I4853" s="23">
        <v>939.33</v>
      </c>
      <c r="J4853" s="23">
        <v>0</v>
      </c>
      <c r="K4853" s="23">
        <v>0</v>
      </c>
    </row>
    <row r="4854" spans="1:11" x14ac:dyDescent="0.25">
      <c r="A4854">
        <v>4853</v>
      </c>
      <c r="B4854" s="23">
        <v>1111.3104049999999</v>
      </c>
      <c r="C4854" s="23">
        <v>0</v>
      </c>
      <c r="D4854" s="23">
        <v>0</v>
      </c>
      <c r="E4854" s="23">
        <v>0</v>
      </c>
      <c r="F4854" s="23">
        <v>0</v>
      </c>
      <c r="G4854" s="23">
        <v>0</v>
      </c>
      <c r="H4854" s="23">
        <v>0</v>
      </c>
      <c r="I4854" s="23">
        <v>1111.31</v>
      </c>
      <c r="J4854" s="23">
        <v>0</v>
      </c>
      <c r="K4854" s="23">
        <v>0</v>
      </c>
    </row>
    <row r="4855" spans="1:11" x14ac:dyDescent="0.25">
      <c r="A4855">
        <v>4854</v>
      </c>
      <c r="B4855" s="23">
        <v>1126.505451</v>
      </c>
      <c r="C4855" s="23">
        <v>0</v>
      </c>
      <c r="D4855" s="23">
        <v>0</v>
      </c>
      <c r="E4855" s="23">
        <v>0</v>
      </c>
      <c r="F4855" s="23">
        <v>0</v>
      </c>
      <c r="G4855" s="23">
        <v>0</v>
      </c>
      <c r="H4855" s="23">
        <v>0</v>
      </c>
      <c r="I4855" s="23">
        <v>184.62899999999999</v>
      </c>
      <c r="J4855" s="23">
        <v>0</v>
      </c>
      <c r="K4855" s="23">
        <v>941.87699999999995</v>
      </c>
    </row>
    <row r="4856" spans="1:11" x14ac:dyDescent="0.25">
      <c r="A4856">
        <v>4855</v>
      </c>
      <c r="B4856" s="23">
        <v>1100.259462</v>
      </c>
      <c r="C4856" s="23">
        <v>97.79</v>
      </c>
      <c r="D4856" s="23">
        <v>291.38499999999999</v>
      </c>
      <c r="E4856" s="23">
        <v>291.38499999999999</v>
      </c>
      <c r="F4856" s="23">
        <v>0</v>
      </c>
      <c r="G4856" s="23">
        <v>0</v>
      </c>
      <c r="H4856" s="23">
        <v>0</v>
      </c>
      <c r="I4856" s="23">
        <v>0</v>
      </c>
      <c r="J4856" s="23">
        <v>0</v>
      </c>
      <c r="K4856" s="23">
        <v>808.87400000000002</v>
      </c>
    </row>
    <row r="4857" spans="1:11" x14ac:dyDescent="0.25">
      <c r="A4857">
        <v>4856</v>
      </c>
      <c r="B4857" s="23">
        <v>882.82353499999999</v>
      </c>
      <c r="C4857" s="23">
        <v>200.67</v>
      </c>
      <c r="D4857" s="23">
        <v>786.70899999999995</v>
      </c>
      <c r="E4857" s="23">
        <v>786.70899999999995</v>
      </c>
      <c r="F4857" s="23">
        <v>0</v>
      </c>
      <c r="G4857" s="23">
        <v>0</v>
      </c>
      <c r="H4857" s="23">
        <v>0</v>
      </c>
      <c r="I4857" s="23">
        <v>0</v>
      </c>
      <c r="J4857" s="23">
        <v>0</v>
      </c>
      <c r="K4857" s="23">
        <v>96.114000000000004</v>
      </c>
    </row>
    <row r="4858" spans="1:11" x14ac:dyDescent="0.25">
      <c r="A4858">
        <v>4857</v>
      </c>
      <c r="B4858" s="23">
        <v>886.20097929999997</v>
      </c>
      <c r="C4858" s="23">
        <v>348.05</v>
      </c>
      <c r="D4858" s="23">
        <v>1369.1690000000001</v>
      </c>
      <c r="E4858" s="23">
        <v>886.20100000000002</v>
      </c>
      <c r="F4858" s="23">
        <v>-482.96800000000002</v>
      </c>
      <c r="G4858" s="23">
        <v>0</v>
      </c>
      <c r="H4858" s="23">
        <v>0</v>
      </c>
      <c r="I4858" s="23">
        <v>0</v>
      </c>
      <c r="J4858" s="23">
        <v>0</v>
      </c>
      <c r="K4858" s="23">
        <v>0</v>
      </c>
    </row>
    <row r="4859" spans="1:11" x14ac:dyDescent="0.25">
      <c r="A4859">
        <v>4858</v>
      </c>
      <c r="B4859" s="23">
        <v>1103.5738819999999</v>
      </c>
      <c r="C4859" s="23">
        <v>412.36</v>
      </c>
      <c r="D4859" s="23">
        <v>1599.479</v>
      </c>
      <c r="E4859" s="23">
        <v>1103.5730000000001</v>
      </c>
      <c r="F4859" s="23">
        <v>-495.90600000000001</v>
      </c>
      <c r="G4859" s="23">
        <v>0</v>
      </c>
      <c r="H4859" s="23">
        <v>0</v>
      </c>
      <c r="I4859" s="23">
        <v>0</v>
      </c>
      <c r="J4859" s="23">
        <v>0</v>
      </c>
      <c r="K4859" s="23">
        <v>0</v>
      </c>
    </row>
    <row r="4860" spans="1:11" x14ac:dyDescent="0.25">
      <c r="A4860">
        <v>4859</v>
      </c>
      <c r="B4860" s="23">
        <v>1112.401685</v>
      </c>
      <c r="C4860" s="23">
        <v>584.12</v>
      </c>
      <c r="D4860" s="23">
        <v>2241.873</v>
      </c>
      <c r="E4860" s="23">
        <v>1112.402</v>
      </c>
      <c r="F4860" s="23">
        <v>-1129.471</v>
      </c>
      <c r="G4860" s="23">
        <v>0</v>
      </c>
      <c r="H4860" s="23">
        <v>0</v>
      </c>
      <c r="I4860" s="23">
        <v>0</v>
      </c>
      <c r="J4860" s="23">
        <v>0</v>
      </c>
      <c r="K4860" s="23">
        <v>0</v>
      </c>
    </row>
    <row r="4861" spans="1:11" x14ac:dyDescent="0.25">
      <c r="A4861">
        <v>4860</v>
      </c>
      <c r="B4861" s="23">
        <v>1166.93118</v>
      </c>
      <c r="C4861" s="23">
        <v>595.95000000000005</v>
      </c>
      <c r="D4861" s="23">
        <v>2277.3609999999999</v>
      </c>
      <c r="E4861" s="23">
        <v>1166.931</v>
      </c>
      <c r="F4861" s="23">
        <v>-1110.43</v>
      </c>
      <c r="G4861" s="23">
        <v>0</v>
      </c>
      <c r="H4861" s="23">
        <v>0</v>
      </c>
      <c r="I4861" s="23">
        <v>0</v>
      </c>
      <c r="J4861" s="23">
        <v>0</v>
      </c>
      <c r="K4861" s="23">
        <v>0</v>
      </c>
    </row>
    <row r="4862" spans="1:11" x14ac:dyDescent="0.25">
      <c r="A4862">
        <v>4861</v>
      </c>
      <c r="B4862" s="23">
        <v>990.00645359999999</v>
      </c>
      <c r="C4862" s="23">
        <v>750.35</v>
      </c>
      <c r="D4862" s="23">
        <v>2853.3130000000001</v>
      </c>
      <c r="E4862" s="23">
        <v>990.00699999999995</v>
      </c>
      <c r="F4862" s="23">
        <v>-1684.559</v>
      </c>
      <c r="G4862" s="23">
        <v>0</v>
      </c>
      <c r="H4862" s="23">
        <v>178.74700000000001</v>
      </c>
      <c r="I4862" s="23">
        <v>0</v>
      </c>
      <c r="J4862" s="23">
        <v>0</v>
      </c>
      <c r="K4862" s="23">
        <v>0</v>
      </c>
    </row>
    <row r="4863" spans="1:11" x14ac:dyDescent="0.25">
      <c r="A4863">
        <v>4862</v>
      </c>
      <c r="B4863" s="23">
        <v>1284.044406</v>
      </c>
      <c r="C4863" s="23">
        <v>367.96</v>
      </c>
      <c r="D4863" s="23">
        <v>1415.806</v>
      </c>
      <c r="E4863" s="23">
        <v>1284.0450000000001</v>
      </c>
      <c r="F4863" s="23">
        <v>-131.761</v>
      </c>
      <c r="G4863" s="23">
        <v>0</v>
      </c>
      <c r="H4863" s="23">
        <v>0</v>
      </c>
      <c r="I4863" s="23">
        <v>0</v>
      </c>
      <c r="J4863" s="23">
        <v>0</v>
      </c>
      <c r="K4863" s="23">
        <v>0</v>
      </c>
    </row>
    <row r="4864" spans="1:11" x14ac:dyDescent="0.25">
      <c r="A4864">
        <v>4863</v>
      </c>
      <c r="B4864" s="23">
        <v>1002.387826</v>
      </c>
      <c r="C4864" s="23">
        <v>274.51</v>
      </c>
      <c r="D4864" s="23">
        <v>1059.1310000000001</v>
      </c>
      <c r="E4864" s="23">
        <v>1002.388</v>
      </c>
      <c r="F4864" s="23">
        <v>-56.743000000000002</v>
      </c>
      <c r="G4864" s="23">
        <v>0</v>
      </c>
      <c r="H4864" s="23">
        <v>0</v>
      </c>
      <c r="I4864" s="23">
        <v>0</v>
      </c>
      <c r="J4864" s="23">
        <v>0</v>
      </c>
      <c r="K4864" s="23">
        <v>0</v>
      </c>
    </row>
    <row r="4865" spans="1:11" x14ac:dyDescent="0.25">
      <c r="A4865">
        <v>4864</v>
      </c>
      <c r="B4865" s="23">
        <v>1384.917064</v>
      </c>
      <c r="C4865" s="23">
        <v>204.9</v>
      </c>
      <c r="D4865" s="23">
        <v>792.52599999999995</v>
      </c>
      <c r="E4865" s="23">
        <v>792.52599999999995</v>
      </c>
      <c r="F4865" s="23">
        <v>0</v>
      </c>
      <c r="G4865" s="23">
        <v>0</v>
      </c>
      <c r="H4865" s="23">
        <v>0</v>
      </c>
      <c r="I4865" s="23">
        <v>592.39099999999996</v>
      </c>
      <c r="J4865" s="23">
        <v>0</v>
      </c>
      <c r="K4865" s="23">
        <v>0</v>
      </c>
    </row>
    <row r="4866" spans="1:11" x14ac:dyDescent="0.25">
      <c r="A4866">
        <v>4865</v>
      </c>
      <c r="B4866" s="23">
        <v>1471.905248</v>
      </c>
      <c r="C4866" s="23">
        <v>79.260000000000005</v>
      </c>
      <c r="D4866" s="23">
        <v>289.572</v>
      </c>
      <c r="E4866" s="23">
        <v>289.572</v>
      </c>
      <c r="F4866" s="23">
        <v>0</v>
      </c>
      <c r="G4866" s="23">
        <v>0</v>
      </c>
      <c r="H4866" s="23">
        <v>0</v>
      </c>
      <c r="I4866" s="23">
        <v>1182.3330000000001</v>
      </c>
      <c r="J4866" s="23">
        <v>0</v>
      </c>
      <c r="K4866" s="23">
        <v>0</v>
      </c>
    </row>
    <row r="4867" spans="1:11" x14ac:dyDescent="0.25">
      <c r="A4867">
        <v>4866</v>
      </c>
      <c r="B4867" s="23">
        <v>1181.088473</v>
      </c>
      <c r="C4867" s="23">
        <v>58.08</v>
      </c>
      <c r="D4867" s="23">
        <v>201.52699999999999</v>
      </c>
      <c r="E4867" s="23">
        <v>201.52699999999999</v>
      </c>
      <c r="F4867" s="23">
        <v>0</v>
      </c>
      <c r="G4867" s="23">
        <v>0</v>
      </c>
      <c r="H4867" s="23">
        <v>0</v>
      </c>
      <c r="I4867" s="23">
        <v>0</v>
      </c>
      <c r="J4867" s="23">
        <v>0</v>
      </c>
      <c r="K4867" s="23">
        <v>979.56200000000001</v>
      </c>
    </row>
    <row r="4868" spans="1:11" x14ac:dyDescent="0.25">
      <c r="A4868">
        <v>4867</v>
      </c>
      <c r="B4868" s="23">
        <v>1185.213583</v>
      </c>
      <c r="C4868" s="23">
        <v>0</v>
      </c>
      <c r="D4868" s="23">
        <v>0</v>
      </c>
      <c r="E4868" s="23">
        <v>0</v>
      </c>
      <c r="F4868" s="23">
        <v>0</v>
      </c>
      <c r="G4868" s="23">
        <v>0</v>
      </c>
      <c r="H4868" s="23">
        <v>0</v>
      </c>
      <c r="I4868" s="23">
        <v>0</v>
      </c>
      <c r="J4868" s="23">
        <v>0</v>
      </c>
      <c r="K4868" s="23">
        <v>1185.2139999999999</v>
      </c>
    </row>
    <row r="4869" spans="1:11" x14ac:dyDescent="0.25">
      <c r="A4869">
        <v>4868</v>
      </c>
      <c r="B4869" s="23">
        <v>1040.1699619999999</v>
      </c>
      <c r="C4869" s="23">
        <v>0</v>
      </c>
      <c r="D4869" s="23">
        <v>0</v>
      </c>
      <c r="E4869" s="23">
        <v>0</v>
      </c>
      <c r="F4869" s="23">
        <v>0</v>
      </c>
      <c r="G4869" s="23">
        <v>0</v>
      </c>
      <c r="H4869" s="23">
        <v>0</v>
      </c>
      <c r="I4869" s="23">
        <v>0</v>
      </c>
      <c r="J4869" s="23">
        <v>0</v>
      </c>
      <c r="K4869" s="23">
        <v>1040.17</v>
      </c>
    </row>
    <row r="4870" spans="1:11" x14ac:dyDescent="0.25">
      <c r="A4870">
        <v>4869</v>
      </c>
      <c r="B4870" s="23">
        <v>1251.5192380000001</v>
      </c>
      <c r="C4870" s="23">
        <v>0</v>
      </c>
      <c r="D4870" s="23">
        <v>0</v>
      </c>
      <c r="E4870" s="23">
        <v>0</v>
      </c>
      <c r="F4870" s="23">
        <v>0</v>
      </c>
      <c r="G4870" s="23">
        <v>0</v>
      </c>
      <c r="H4870" s="23">
        <v>0</v>
      </c>
      <c r="I4870" s="23">
        <v>1022.388</v>
      </c>
      <c r="J4870" s="23">
        <v>0</v>
      </c>
      <c r="K4870" s="23">
        <v>229.13200000000001</v>
      </c>
    </row>
    <row r="4871" spans="1:11" x14ac:dyDescent="0.25">
      <c r="A4871">
        <v>4870</v>
      </c>
      <c r="B4871" s="23">
        <v>1156.895542</v>
      </c>
      <c r="C4871" s="23">
        <v>0</v>
      </c>
      <c r="D4871" s="23">
        <v>0</v>
      </c>
      <c r="E4871" s="23">
        <v>0</v>
      </c>
      <c r="F4871" s="23">
        <v>0</v>
      </c>
      <c r="G4871" s="23">
        <v>0</v>
      </c>
      <c r="H4871" s="23">
        <v>0</v>
      </c>
      <c r="I4871" s="23">
        <v>0</v>
      </c>
      <c r="J4871" s="23">
        <v>0</v>
      </c>
      <c r="K4871" s="23">
        <v>1156.896</v>
      </c>
    </row>
    <row r="4872" spans="1:11" x14ac:dyDescent="0.25">
      <c r="A4872">
        <v>4871</v>
      </c>
      <c r="B4872" s="23">
        <v>1042.9326980000001</v>
      </c>
      <c r="C4872" s="23">
        <v>0</v>
      </c>
      <c r="D4872" s="23">
        <v>0</v>
      </c>
      <c r="E4872" s="23">
        <v>0</v>
      </c>
      <c r="F4872" s="23">
        <v>0</v>
      </c>
      <c r="G4872" s="23">
        <v>0</v>
      </c>
      <c r="H4872" s="23">
        <v>0</v>
      </c>
      <c r="I4872" s="23">
        <v>1042.933</v>
      </c>
      <c r="J4872" s="23">
        <v>0</v>
      </c>
      <c r="K4872" s="23">
        <v>0</v>
      </c>
    </row>
    <row r="4873" spans="1:11" x14ac:dyDescent="0.25">
      <c r="A4873">
        <v>4872</v>
      </c>
      <c r="B4873" s="23">
        <v>1049.8395370000001</v>
      </c>
      <c r="C4873" s="23">
        <v>0</v>
      </c>
      <c r="D4873" s="23">
        <v>0</v>
      </c>
      <c r="E4873" s="23">
        <v>0</v>
      </c>
      <c r="F4873" s="23">
        <v>0</v>
      </c>
      <c r="G4873" s="23">
        <v>0</v>
      </c>
      <c r="H4873" s="23">
        <v>0</v>
      </c>
      <c r="I4873" s="23">
        <v>1049.8399999999999</v>
      </c>
      <c r="J4873" s="23">
        <v>0</v>
      </c>
      <c r="K4873" s="23">
        <v>0</v>
      </c>
    </row>
    <row r="4874" spans="1:11" x14ac:dyDescent="0.25">
      <c r="A4874">
        <v>4873</v>
      </c>
      <c r="B4874" s="23">
        <v>880.62198009999997</v>
      </c>
      <c r="C4874" s="23">
        <v>0</v>
      </c>
      <c r="D4874" s="23">
        <v>0</v>
      </c>
      <c r="E4874" s="23">
        <v>0</v>
      </c>
      <c r="F4874" s="23">
        <v>0</v>
      </c>
      <c r="G4874" s="23">
        <v>0</v>
      </c>
      <c r="H4874" s="23">
        <v>0</v>
      </c>
      <c r="I4874" s="23">
        <v>880.62199999999996</v>
      </c>
      <c r="J4874" s="23">
        <v>0</v>
      </c>
      <c r="K4874" s="23">
        <v>0</v>
      </c>
    </row>
    <row r="4875" spans="1:11" x14ac:dyDescent="0.25">
      <c r="A4875">
        <v>4874</v>
      </c>
      <c r="B4875" s="23">
        <v>931.04190519999997</v>
      </c>
      <c r="C4875" s="23">
        <v>0</v>
      </c>
      <c r="D4875" s="23">
        <v>0</v>
      </c>
      <c r="E4875" s="23">
        <v>0</v>
      </c>
      <c r="F4875" s="23">
        <v>0</v>
      </c>
      <c r="G4875" s="23">
        <v>0</v>
      </c>
      <c r="H4875" s="23">
        <v>0</v>
      </c>
      <c r="I4875" s="23">
        <v>931.04200000000003</v>
      </c>
      <c r="J4875" s="23">
        <v>0</v>
      </c>
      <c r="K4875" s="23">
        <v>0</v>
      </c>
    </row>
    <row r="4876" spans="1:11" x14ac:dyDescent="0.25">
      <c r="A4876">
        <v>4875</v>
      </c>
      <c r="B4876" s="23">
        <v>782.54486540000005</v>
      </c>
      <c r="C4876" s="23">
        <v>0</v>
      </c>
      <c r="D4876" s="23">
        <v>0</v>
      </c>
      <c r="E4876" s="23">
        <v>0</v>
      </c>
      <c r="F4876" s="23">
        <v>0</v>
      </c>
      <c r="G4876" s="23">
        <v>0</v>
      </c>
      <c r="H4876" s="23">
        <v>0</v>
      </c>
      <c r="I4876" s="23">
        <v>782.54499999999996</v>
      </c>
      <c r="J4876" s="23">
        <v>0</v>
      </c>
      <c r="K4876" s="23">
        <v>0</v>
      </c>
    </row>
    <row r="4877" spans="1:11" x14ac:dyDescent="0.25">
      <c r="A4877">
        <v>4876</v>
      </c>
      <c r="B4877" s="23">
        <v>743.17588279999995</v>
      </c>
      <c r="C4877" s="23">
        <v>0</v>
      </c>
      <c r="D4877" s="23">
        <v>0</v>
      </c>
      <c r="E4877" s="23">
        <v>0</v>
      </c>
      <c r="F4877" s="23">
        <v>0</v>
      </c>
      <c r="G4877" s="23">
        <v>0</v>
      </c>
      <c r="H4877" s="23">
        <v>0</v>
      </c>
      <c r="I4877" s="23">
        <v>743.17600000000004</v>
      </c>
      <c r="J4877" s="23">
        <v>0</v>
      </c>
      <c r="K4877" s="23">
        <v>0</v>
      </c>
    </row>
    <row r="4878" spans="1:11" x14ac:dyDescent="0.25">
      <c r="A4878">
        <v>4877</v>
      </c>
      <c r="B4878" s="23">
        <v>860.59214680000002</v>
      </c>
      <c r="C4878" s="23">
        <v>0</v>
      </c>
      <c r="D4878" s="23">
        <v>0</v>
      </c>
      <c r="E4878" s="23">
        <v>0</v>
      </c>
      <c r="F4878" s="23">
        <v>0</v>
      </c>
      <c r="G4878" s="23">
        <v>0</v>
      </c>
      <c r="H4878" s="23">
        <v>0</v>
      </c>
      <c r="I4878" s="23">
        <v>0</v>
      </c>
      <c r="J4878" s="23">
        <v>0</v>
      </c>
      <c r="K4878" s="23">
        <v>860.59199999999998</v>
      </c>
    </row>
    <row r="4879" spans="1:11" x14ac:dyDescent="0.25">
      <c r="A4879">
        <v>4878</v>
      </c>
      <c r="B4879" s="23">
        <v>848.85052040000005</v>
      </c>
      <c r="C4879" s="23">
        <v>0</v>
      </c>
      <c r="D4879" s="23">
        <v>0</v>
      </c>
      <c r="E4879" s="23">
        <v>0</v>
      </c>
      <c r="F4879" s="23">
        <v>0</v>
      </c>
      <c r="G4879" s="23">
        <v>0</v>
      </c>
      <c r="H4879" s="23">
        <v>0</v>
      </c>
      <c r="I4879" s="23">
        <v>0</v>
      </c>
      <c r="J4879" s="23">
        <v>0</v>
      </c>
      <c r="K4879" s="23">
        <v>848.851</v>
      </c>
    </row>
    <row r="4880" spans="1:11" x14ac:dyDescent="0.25">
      <c r="A4880">
        <v>4879</v>
      </c>
      <c r="B4880" s="23">
        <v>506.27130299999999</v>
      </c>
      <c r="C4880" s="23">
        <v>72.38</v>
      </c>
      <c r="D4880" s="23">
        <v>254.83699999999999</v>
      </c>
      <c r="E4880" s="23">
        <v>254.83699999999999</v>
      </c>
      <c r="F4880" s="23">
        <v>0</v>
      </c>
      <c r="G4880" s="23">
        <v>0</v>
      </c>
      <c r="H4880" s="23">
        <v>0</v>
      </c>
      <c r="I4880" s="23">
        <v>0</v>
      </c>
      <c r="J4880" s="23">
        <v>0</v>
      </c>
      <c r="K4880" s="23">
        <v>251.434</v>
      </c>
    </row>
    <row r="4881" spans="1:11" x14ac:dyDescent="0.25">
      <c r="A4881">
        <v>4880</v>
      </c>
      <c r="B4881" s="23">
        <v>90.021150230000003</v>
      </c>
      <c r="C4881" s="23">
        <v>196.43</v>
      </c>
      <c r="D4881" s="23">
        <v>771.06200000000001</v>
      </c>
      <c r="E4881" s="23">
        <v>90.021000000000001</v>
      </c>
      <c r="F4881" s="23">
        <v>-681.04100000000005</v>
      </c>
      <c r="G4881" s="23">
        <v>0</v>
      </c>
      <c r="H4881" s="23">
        <v>0</v>
      </c>
      <c r="I4881" s="23">
        <v>0</v>
      </c>
      <c r="J4881" s="23">
        <v>0</v>
      </c>
      <c r="K4881" s="23">
        <v>0</v>
      </c>
    </row>
    <row r="4882" spans="1:11" x14ac:dyDescent="0.25">
      <c r="A4882">
        <v>4881</v>
      </c>
      <c r="B4882" s="23">
        <v>76.987081570000001</v>
      </c>
      <c r="C4882" s="23">
        <v>441.29</v>
      </c>
      <c r="D4882" s="23">
        <v>1749.643</v>
      </c>
      <c r="E4882" s="23">
        <v>76.986999999999995</v>
      </c>
      <c r="F4882" s="23">
        <v>-1672.6559999999999</v>
      </c>
      <c r="G4882" s="23">
        <v>0</v>
      </c>
      <c r="H4882" s="23">
        <v>0</v>
      </c>
      <c r="I4882" s="23">
        <v>0</v>
      </c>
      <c r="J4882" s="23">
        <v>0</v>
      </c>
      <c r="K4882" s="23">
        <v>0</v>
      </c>
    </row>
    <row r="4883" spans="1:11" x14ac:dyDescent="0.25">
      <c r="A4883">
        <v>4882</v>
      </c>
      <c r="B4883" s="23">
        <v>90.852560990000001</v>
      </c>
      <c r="C4883" s="23">
        <v>572.73</v>
      </c>
      <c r="D4883" s="23">
        <v>2233.6439999999998</v>
      </c>
      <c r="E4883" s="23">
        <v>90.852999999999994</v>
      </c>
      <c r="F4883" s="23">
        <v>-1684.559</v>
      </c>
      <c r="G4883" s="23">
        <v>0</v>
      </c>
      <c r="H4883" s="23">
        <v>458.23200000000003</v>
      </c>
      <c r="I4883" s="23">
        <v>0</v>
      </c>
      <c r="J4883" s="23">
        <v>0</v>
      </c>
      <c r="K4883" s="23">
        <v>0</v>
      </c>
    </row>
    <row r="4884" spans="1:11" x14ac:dyDescent="0.25">
      <c r="A4884">
        <v>4883</v>
      </c>
      <c r="B4884" s="23">
        <v>77.379044690000001</v>
      </c>
      <c r="C4884" s="23">
        <v>688.37</v>
      </c>
      <c r="D4884" s="23">
        <v>2649.4050000000002</v>
      </c>
      <c r="E4884" s="23">
        <v>77.38</v>
      </c>
      <c r="F4884" s="23">
        <v>-1684.559</v>
      </c>
      <c r="G4884" s="23">
        <v>0</v>
      </c>
      <c r="H4884" s="23">
        <v>887.46600000000001</v>
      </c>
      <c r="I4884" s="23">
        <v>0</v>
      </c>
      <c r="J4884" s="23">
        <v>0</v>
      </c>
      <c r="K4884" s="23">
        <v>0</v>
      </c>
    </row>
    <row r="4885" spans="1:11" x14ac:dyDescent="0.25">
      <c r="A4885">
        <v>4884</v>
      </c>
      <c r="B4885" s="23">
        <v>103.2926415</v>
      </c>
      <c r="C4885" s="23">
        <v>750.7</v>
      </c>
      <c r="D4885" s="23">
        <v>2868.0610000000001</v>
      </c>
      <c r="E4885" s="23">
        <v>103.29300000000001</v>
      </c>
      <c r="F4885" s="23">
        <v>-1568.683</v>
      </c>
      <c r="G4885" s="23">
        <v>0</v>
      </c>
      <c r="H4885" s="23">
        <v>1196.085</v>
      </c>
      <c r="I4885" s="23">
        <v>0</v>
      </c>
      <c r="J4885" s="23">
        <v>0</v>
      </c>
      <c r="K4885" s="23">
        <v>0</v>
      </c>
    </row>
    <row r="4886" spans="1:11" x14ac:dyDescent="0.25">
      <c r="A4886">
        <v>4885</v>
      </c>
      <c r="B4886" s="23">
        <v>71.56521291</v>
      </c>
      <c r="C4886" s="23">
        <v>710.93</v>
      </c>
      <c r="D4886" s="23">
        <v>2717.19</v>
      </c>
      <c r="E4886" s="23">
        <v>71.564999999999998</v>
      </c>
      <c r="F4886" s="23">
        <v>0</v>
      </c>
      <c r="G4886" s="23">
        <v>0</v>
      </c>
      <c r="H4886" s="23">
        <v>2645.625</v>
      </c>
      <c r="I4886" s="23">
        <v>0</v>
      </c>
      <c r="J4886" s="23">
        <v>0</v>
      </c>
      <c r="K4886" s="23">
        <v>0</v>
      </c>
    </row>
    <row r="4887" spans="1:11" x14ac:dyDescent="0.25">
      <c r="A4887">
        <v>4886</v>
      </c>
      <c r="B4887" s="23">
        <v>75.749030669999996</v>
      </c>
      <c r="C4887" s="23">
        <v>649.69000000000005</v>
      </c>
      <c r="D4887" s="23">
        <v>2500.0059999999999</v>
      </c>
      <c r="E4887" s="23">
        <v>75.748999999999995</v>
      </c>
      <c r="F4887" s="23">
        <v>0</v>
      </c>
      <c r="G4887" s="23">
        <v>0</v>
      </c>
      <c r="H4887" s="23">
        <v>2424.2570000000001</v>
      </c>
      <c r="I4887" s="23">
        <v>0</v>
      </c>
      <c r="J4887" s="23">
        <v>0</v>
      </c>
      <c r="K4887" s="23">
        <v>0</v>
      </c>
    </row>
    <row r="4888" spans="1:11" x14ac:dyDescent="0.25">
      <c r="A4888">
        <v>4887</v>
      </c>
      <c r="B4888" s="23">
        <v>91.676201539999994</v>
      </c>
      <c r="C4888" s="23">
        <v>600.16</v>
      </c>
      <c r="D4888" s="23">
        <v>2336.308</v>
      </c>
      <c r="E4888" s="23">
        <v>91.676000000000002</v>
      </c>
      <c r="F4888" s="23">
        <v>0</v>
      </c>
      <c r="G4888" s="23">
        <v>0</v>
      </c>
      <c r="H4888" s="23">
        <v>2244.6320000000001</v>
      </c>
      <c r="I4888" s="23">
        <v>0</v>
      </c>
      <c r="J4888" s="23">
        <v>0</v>
      </c>
      <c r="K4888" s="23">
        <v>0</v>
      </c>
    </row>
    <row r="4889" spans="1:11" x14ac:dyDescent="0.25">
      <c r="A4889">
        <v>4888</v>
      </c>
      <c r="B4889" s="23">
        <v>85.339176710000004</v>
      </c>
      <c r="C4889" s="23">
        <v>398.12</v>
      </c>
      <c r="D4889" s="23">
        <v>1570.5309999999999</v>
      </c>
      <c r="E4889" s="23">
        <v>85.34</v>
      </c>
      <c r="F4889" s="23">
        <v>0</v>
      </c>
      <c r="G4889" s="23">
        <v>0</v>
      </c>
      <c r="H4889" s="23">
        <v>1485.191</v>
      </c>
      <c r="I4889" s="23">
        <v>0</v>
      </c>
      <c r="J4889" s="23">
        <v>0</v>
      </c>
      <c r="K4889" s="23">
        <v>0</v>
      </c>
    </row>
    <row r="4890" spans="1:11" x14ac:dyDescent="0.25">
      <c r="A4890">
        <v>4889</v>
      </c>
      <c r="B4890" s="23">
        <v>76.201428629999995</v>
      </c>
      <c r="C4890" s="23">
        <v>267.55</v>
      </c>
      <c r="D4890" s="23">
        <v>1052.9369999999999</v>
      </c>
      <c r="E4890" s="23">
        <v>76.201999999999998</v>
      </c>
      <c r="F4890" s="23">
        <v>0</v>
      </c>
      <c r="G4890" s="23">
        <v>0</v>
      </c>
      <c r="H4890" s="23">
        <v>976.73500000000001</v>
      </c>
      <c r="I4890" s="23">
        <v>0</v>
      </c>
      <c r="J4890" s="23">
        <v>0</v>
      </c>
      <c r="K4890" s="23">
        <v>0</v>
      </c>
    </row>
    <row r="4891" spans="1:11" x14ac:dyDescent="0.25">
      <c r="A4891">
        <v>4890</v>
      </c>
      <c r="B4891" s="23">
        <v>81.838272660000001</v>
      </c>
      <c r="C4891" s="23">
        <v>88.51</v>
      </c>
      <c r="D4891" s="23">
        <v>303.70499999999998</v>
      </c>
      <c r="E4891" s="23">
        <v>81.837999999999994</v>
      </c>
      <c r="F4891" s="23">
        <v>0</v>
      </c>
      <c r="G4891" s="23">
        <v>0</v>
      </c>
      <c r="H4891" s="23">
        <v>221.86699999999999</v>
      </c>
      <c r="I4891" s="23">
        <v>0</v>
      </c>
      <c r="J4891" s="23">
        <v>0</v>
      </c>
      <c r="K4891" s="23">
        <v>0</v>
      </c>
    </row>
    <row r="4892" spans="1:11" x14ac:dyDescent="0.25">
      <c r="A4892">
        <v>4891</v>
      </c>
      <c r="B4892" s="23">
        <v>78.047281369999993</v>
      </c>
      <c r="C4892" s="23">
        <v>0</v>
      </c>
      <c r="D4892" s="23">
        <v>0</v>
      </c>
      <c r="E4892" s="23">
        <v>0</v>
      </c>
      <c r="F4892" s="23">
        <v>0</v>
      </c>
      <c r="G4892" s="23">
        <v>0</v>
      </c>
      <c r="H4892" s="23">
        <v>0</v>
      </c>
      <c r="I4892" s="23">
        <v>0</v>
      </c>
      <c r="J4892" s="23">
        <v>0</v>
      </c>
      <c r="K4892" s="23">
        <v>78.046999999999997</v>
      </c>
    </row>
    <row r="4893" spans="1:11" x14ac:dyDescent="0.25">
      <c r="A4893">
        <v>4892</v>
      </c>
      <c r="B4893" s="23">
        <v>82.882068709999999</v>
      </c>
      <c r="C4893" s="23">
        <v>0</v>
      </c>
      <c r="D4893" s="23">
        <v>0</v>
      </c>
      <c r="E4893" s="23">
        <v>0</v>
      </c>
      <c r="F4893" s="23">
        <v>0</v>
      </c>
      <c r="G4893" s="23">
        <v>0</v>
      </c>
      <c r="H4893" s="23">
        <v>0</v>
      </c>
      <c r="I4893" s="23">
        <v>0</v>
      </c>
      <c r="J4893" s="23">
        <v>0</v>
      </c>
      <c r="K4893" s="23">
        <v>82.882000000000005</v>
      </c>
    </row>
    <row r="4894" spans="1:11" x14ac:dyDescent="0.25">
      <c r="A4894">
        <v>4893</v>
      </c>
      <c r="B4894" s="23">
        <v>75.284545750000007</v>
      </c>
      <c r="C4894" s="23">
        <v>0</v>
      </c>
      <c r="D4894" s="23">
        <v>0</v>
      </c>
      <c r="E4894" s="23">
        <v>0</v>
      </c>
      <c r="F4894" s="23">
        <v>0</v>
      </c>
      <c r="G4894" s="23">
        <v>0</v>
      </c>
      <c r="H4894" s="23">
        <v>0</v>
      </c>
      <c r="I4894" s="23">
        <v>0</v>
      </c>
      <c r="J4894" s="23">
        <v>0</v>
      </c>
      <c r="K4894" s="23">
        <v>75.284999999999997</v>
      </c>
    </row>
    <row r="4895" spans="1:11" x14ac:dyDescent="0.25">
      <c r="A4895">
        <v>4894</v>
      </c>
      <c r="B4895" s="23">
        <v>79.428649179999994</v>
      </c>
      <c r="C4895" s="23">
        <v>0</v>
      </c>
      <c r="D4895" s="23">
        <v>0</v>
      </c>
      <c r="E4895" s="23">
        <v>0</v>
      </c>
      <c r="F4895" s="23">
        <v>0</v>
      </c>
      <c r="G4895" s="23">
        <v>0</v>
      </c>
      <c r="H4895" s="23">
        <v>0</v>
      </c>
      <c r="I4895" s="23">
        <v>0</v>
      </c>
      <c r="J4895" s="23">
        <v>0</v>
      </c>
      <c r="K4895" s="23">
        <v>79.429000000000002</v>
      </c>
    </row>
    <row r="4896" spans="1:11" x14ac:dyDescent="0.25">
      <c r="A4896">
        <v>4895</v>
      </c>
      <c r="B4896" s="23">
        <v>75.975229650000003</v>
      </c>
      <c r="C4896" s="23">
        <v>0</v>
      </c>
      <c r="D4896" s="23">
        <v>0</v>
      </c>
      <c r="E4896" s="23">
        <v>0</v>
      </c>
      <c r="F4896" s="23">
        <v>0</v>
      </c>
      <c r="G4896" s="23">
        <v>0</v>
      </c>
      <c r="H4896" s="23">
        <v>0</v>
      </c>
      <c r="I4896" s="23">
        <v>0</v>
      </c>
      <c r="J4896" s="23">
        <v>0</v>
      </c>
      <c r="K4896" s="23">
        <v>75.974999999999994</v>
      </c>
    </row>
    <row r="4897" spans="1:11" x14ac:dyDescent="0.25">
      <c r="A4897">
        <v>4896</v>
      </c>
      <c r="B4897" s="23">
        <v>78.737965279999997</v>
      </c>
      <c r="C4897" s="23">
        <v>0</v>
      </c>
      <c r="D4897" s="23">
        <v>0</v>
      </c>
      <c r="E4897" s="23">
        <v>0</v>
      </c>
      <c r="F4897" s="23">
        <v>0</v>
      </c>
      <c r="G4897" s="23">
        <v>0</v>
      </c>
      <c r="H4897" s="23">
        <v>0</v>
      </c>
      <c r="I4897" s="23">
        <v>0</v>
      </c>
      <c r="J4897" s="23">
        <v>0</v>
      </c>
      <c r="K4897" s="23">
        <v>78.738</v>
      </c>
    </row>
    <row r="4898" spans="1:11" x14ac:dyDescent="0.25">
      <c r="A4898">
        <v>4897</v>
      </c>
      <c r="B4898" s="23">
        <v>74.593861840000002</v>
      </c>
      <c r="C4898" s="23">
        <v>0</v>
      </c>
      <c r="D4898" s="23">
        <v>0</v>
      </c>
      <c r="E4898" s="23">
        <v>0</v>
      </c>
      <c r="F4898" s="23">
        <v>0</v>
      </c>
      <c r="G4898" s="23">
        <v>0</v>
      </c>
      <c r="H4898" s="23">
        <v>0</v>
      </c>
      <c r="I4898" s="23">
        <v>0</v>
      </c>
      <c r="J4898" s="23">
        <v>0</v>
      </c>
      <c r="K4898" s="23">
        <v>74.593999999999994</v>
      </c>
    </row>
    <row r="4899" spans="1:11" x14ac:dyDescent="0.25">
      <c r="A4899">
        <v>4898</v>
      </c>
      <c r="B4899" s="23">
        <v>80.810016989999994</v>
      </c>
      <c r="C4899" s="23">
        <v>0</v>
      </c>
      <c r="D4899" s="23">
        <v>0</v>
      </c>
      <c r="E4899" s="23">
        <v>0</v>
      </c>
      <c r="F4899" s="23">
        <v>0</v>
      </c>
      <c r="G4899" s="23">
        <v>0</v>
      </c>
      <c r="H4899" s="23">
        <v>0</v>
      </c>
      <c r="I4899" s="23">
        <v>0</v>
      </c>
      <c r="J4899" s="23">
        <v>0</v>
      </c>
      <c r="K4899" s="23">
        <v>80.81</v>
      </c>
    </row>
    <row r="4900" spans="1:11" x14ac:dyDescent="0.25">
      <c r="A4900">
        <v>4899</v>
      </c>
      <c r="B4900" s="23">
        <v>74.593861840000002</v>
      </c>
      <c r="C4900" s="23">
        <v>0</v>
      </c>
      <c r="D4900" s="23">
        <v>0</v>
      </c>
      <c r="E4900" s="23">
        <v>0</v>
      </c>
      <c r="F4900" s="23">
        <v>0</v>
      </c>
      <c r="G4900" s="23">
        <v>0</v>
      </c>
      <c r="H4900" s="23">
        <v>0</v>
      </c>
      <c r="I4900" s="23">
        <v>0</v>
      </c>
      <c r="J4900" s="23">
        <v>0</v>
      </c>
      <c r="K4900" s="23">
        <v>74.593999999999994</v>
      </c>
    </row>
    <row r="4901" spans="1:11" x14ac:dyDescent="0.25">
      <c r="A4901">
        <v>4900</v>
      </c>
      <c r="B4901" s="23">
        <v>77.356597460000003</v>
      </c>
      <c r="C4901" s="23">
        <v>0</v>
      </c>
      <c r="D4901" s="23">
        <v>0</v>
      </c>
      <c r="E4901" s="23">
        <v>0</v>
      </c>
      <c r="F4901" s="23">
        <v>0</v>
      </c>
      <c r="G4901" s="23">
        <v>0</v>
      </c>
      <c r="H4901" s="23">
        <v>0</v>
      </c>
      <c r="I4901" s="23">
        <v>0</v>
      </c>
      <c r="J4901" s="23">
        <v>0</v>
      </c>
      <c r="K4901" s="23">
        <v>77.356999999999999</v>
      </c>
    </row>
    <row r="4902" spans="1:11" x14ac:dyDescent="0.25">
      <c r="A4902">
        <v>4901</v>
      </c>
      <c r="B4902" s="23">
        <v>71.831126220000002</v>
      </c>
      <c r="C4902" s="23">
        <v>0</v>
      </c>
      <c r="D4902" s="23">
        <v>0</v>
      </c>
      <c r="E4902" s="23">
        <v>0</v>
      </c>
      <c r="F4902" s="23">
        <v>0</v>
      </c>
      <c r="G4902" s="23">
        <v>0</v>
      </c>
      <c r="H4902" s="23">
        <v>0</v>
      </c>
      <c r="I4902" s="23">
        <v>0</v>
      </c>
      <c r="J4902" s="23">
        <v>0</v>
      </c>
      <c r="K4902" s="23">
        <v>71.831000000000003</v>
      </c>
    </row>
    <row r="4903" spans="1:11" x14ac:dyDescent="0.25">
      <c r="A4903">
        <v>4902</v>
      </c>
      <c r="B4903" s="23">
        <v>79.428649179999994</v>
      </c>
      <c r="C4903" s="23">
        <v>0</v>
      </c>
      <c r="D4903" s="23">
        <v>0</v>
      </c>
      <c r="E4903" s="23">
        <v>0</v>
      </c>
      <c r="F4903" s="23">
        <v>0</v>
      </c>
      <c r="G4903" s="23">
        <v>0</v>
      </c>
      <c r="H4903" s="23">
        <v>0</v>
      </c>
      <c r="I4903" s="23">
        <v>0</v>
      </c>
      <c r="J4903" s="23">
        <v>0</v>
      </c>
      <c r="K4903" s="23">
        <v>79.429000000000002</v>
      </c>
    </row>
    <row r="4904" spans="1:11" x14ac:dyDescent="0.25">
      <c r="A4904">
        <v>4903</v>
      </c>
      <c r="B4904" s="23">
        <v>66.305654970000006</v>
      </c>
      <c r="C4904" s="23">
        <v>42.13</v>
      </c>
      <c r="D4904" s="23">
        <v>140.47800000000001</v>
      </c>
      <c r="E4904" s="23">
        <v>66.305999999999997</v>
      </c>
      <c r="F4904" s="23">
        <v>-74.171999999999997</v>
      </c>
      <c r="G4904" s="23">
        <v>0</v>
      </c>
      <c r="H4904" s="23">
        <v>0</v>
      </c>
      <c r="I4904" s="23">
        <v>0</v>
      </c>
      <c r="J4904" s="23">
        <v>0</v>
      </c>
      <c r="K4904" s="23">
        <v>0</v>
      </c>
    </row>
    <row r="4905" spans="1:11" x14ac:dyDescent="0.25">
      <c r="A4905">
        <v>4904</v>
      </c>
      <c r="B4905" s="23">
        <v>72.920680079999997</v>
      </c>
      <c r="C4905" s="23">
        <v>129.94</v>
      </c>
      <c r="D4905" s="23">
        <v>497.50400000000002</v>
      </c>
      <c r="E4905" s="23">
        <v>72.921000000000006</v>
      </c>
      <c r="F4905" s="23">
        <v>-424.58300000000003</v>
      </c>
      <c r="G4905" s="23">
        <v>0</v>
      </c>
      <c r="H4905" s="23">
        <v>0</v>
      </c>
      <c r="I4905" s="23">
        <v>0</v>
      </c>
      <c r="J4905" s="23">
        <v>0</v>
      </c>
      <c r="K4905" s="23">
        <v>0</v>
      </c>
    </row>
    <row r="4906" spans="1:11" x14ac:dyDescent="0.25">
      <c r="A4906">
        <v>4905</v>
      </c>
      <c r="B4906" s="23">
        <v>154.28497089999999</v>
      </c>
      <c r="C4906" s="23">
        <v>362.47</v>
      </c>
      <c r="D4906" s="23">
        <v>1429.144</v>
      </c>
      <c r="E4906" s="23">
        <v>154.285</v>
      </c>
      <c r="F4906" s="23">
        <v>-535.08799999999997</v>
      </c>
      <c r="G4906" s="23">
        <v>0</v>
      </c>
      <c r="H4906" s="23">
        <v>739.77099999999996</v>
      </c>
      <c r="I4906" s="23">
        <v>0</v>
      </c>
      <c r="J4906" s="23">
        <v>0</v>
      </c>
      <c r="K4906" s="23">
        <v>0</v>
      </c>
    </row>
    <row r="4907" spans="1:11" x14ac:dyDescent="0.25">
      <c r="A4907">
        <v>4906</v>
      </c>
      <c r="B4907" s="23">
        <v>105.3491528</v>
      </c>
      <c r="C4907" s="23">
        <v>576.17999999999995</v>
      </c>
      <c r="D4907" s="23">
        <v>2243.9029999999998</v>
      </c>
      <c r="E4907" s="23">
        <v>105.349</v>
      </c>
      <c r="F4907" s="23">
        <v>0</v>
      </c>
      <c r="G4907" s="23">
        <v>0</v>
      </c>
      <c r="H4907" s="23">
        <v>2138.5540000000001</v>
      </c>
      <c r="I4907" s="23">
        <v>0</v>
      </c>
      <c r="J4907" s="23">
        <v>0</v>
      </c>
      <c r="K4907" s="23">
        <v>0</v>
      </c>
    </row>
    <row r="4908" spans="1:11" x14ac:dyDescent="0.25">
      <c r="A4908">
        <v>4907</v>
      </c>
      <c r="B4908" s="23">
        <v>130.54875509999999</v>
      </c>
      <c r="C4908" s="23">
        <v>663.59</v>
      </c>
      <c r="D4908" s="23">
        <v>2556.2820000000002</v>
      </c>
      <c r="E4908" s="23">
        <v>130.54900000000001</v>
      </c>
      <c r="F4908" s="23">
        <v>0</v>
      </c>
      <c r="G4908" s="23">
        <v>0</v>
      </c>
      <c r="H4908" s="23">
        <v>2425.7330000000002</v>
      </c>
      <c r="I4908" s="23">
        <v>0</v>
      </c>
      <c r="J4908" s="23">
        <v>0</v>
      </c>
      <c r="K4908" s="23">
        <v>0</v>
      </c>
    </row>
    <row r="4909" spans="1:11" x14ac:dyDescent="0.25">
      <c r="A4909">
        <v>4908</v>
      </c>
      <c r="B4909" s="23">
        <v>202.72694999999999</v>
      </c>
      <c r="C4909" s="23">
        <v>625.23</v>
      </c>
      <c r="D4909" s="23">
        <v>2402.4810000000002</v>
      </c>
      <c r="E4909" s="23">
        <v>202.727</v>
      </c>
      <c r="F4909" s="23">
        <v>0</v>
      </c>
      <c r="G4909" s="23">
        <v>0</v>
      </c>
      <c r="H4909" s="23">
        <v>2199.7539999999999</v>
      </c>
      <c r="I4909" s="23">
        <v>0</v>
      </c>
      <c r="J4909" s="23">
        <v>0</v>
      </c>
      <c r="K4909" s="23">
        <v>0</v>
      </c>
    </row>
    <row r="4910" spans="1:11" x14ac:dyDescent="0.25">
      <c r="A4910">
        <v>4909</v>
      </c>
      <c r="B4910" s="23">
        <v>354.69122299999998</v>
      </c>
      <c r="C4910" s="23">
        <v>464.85</v>
      </c>
      <c r="D4910" s="23">
        <v>1792.6010000000001</v>
      </c>
      <c r="E4910" s="23">
        <v>354.69099999999997</v>
      </c>
      <c r="F4910" s="23">
        <v>0</v>
      </c>
      <c r="G4910" s="23">
        <v>0</v>
      </c>
      <c r="H4910" s="23">
        <v>1437.91</v>
      </c>
      <c r="I4910" s="23">
        <v>0</v>
      </c>
      <c r="J4910" s="23">
        <v>0</v>
      </c>
      <c r="K4910" s="23">
        <v>0</v>
      </c>
    </row>
    <row r="4911" spans="1:11" x14ac:dyDescent="0.25">
      <c r="A4911">
        <v>4910</v>
      </c>
      <c r="B4911" s="23">
        <v>688.60063060000004</v>
      </c>
      <c r="C4911" s="23">
        <v>549.88</v>
      </c>
      <c r="D4911" s="23">
        <v>2129.5279999999998</v>
      </c>
      <c r="E4911" s="23">
        <v>688.601</v>
      </c>
      <c r="F4911" s="23">
        <v>0</v>
      </c>
      <c r="G4911" s="23">
        <v>0</v>
      </c>
      <c r="H4911" s="23">
        <v>1440.9269999999999</v>
      </c>
      <c r="I4911" s="23">
        <v>0</v>
      </c>
      <c r="J4911" s="23">
        <v>0</v>
      </c>
      <c r="K4911" s="23">
        <v>0</v>
      </c>
    </row>
    <row r="4912" spans="1:11" x14ac:dyDescent="0.25">
      <c r="A4912">
        <v>4911</v>
      </c>
      <c r="B4912" s="23">
        <v>987.82302909999999</v>
      </c>
      <c r="C4912" s="23">
        <v>458.34</v>
      </c>
      <c r="D4912" s="23">
        <v>1790.7</v>
      </c>
      <c r="E4912" s="23">
        <v>987.82299999999998</v>
      </c>
      <c r="F4912" s="23">
        <v>0</v>
      </c>
      <c r="G4912" s="23">
        <v>0</v>
      </c>
      <c r="H4912" s="23">
        <v>802.87699999999995</v>
      </c>
      <c r="I4912" s="23">
        <v>0</v>
      </c>
      <c r="J4912" s="23">
        <v>0</v>
      </c>
      <c r="K4912" s="23">
        <v>0</v>
      </c>
    </row>
    <row r="4913" spans="1:11" x14ac:dyDescent="0.25">
      <c r="A4913">
        <v>4912</v>
      </c>
      <c r="B4913" s="23">
        <v>1032.5448120000001</v>
      </c>
      <c r="C4913" s="23">
        <v>412.68</v>
      </c>
      <c r="D4913" s="23">
        <v>1634.5650000000001</v>
      </c>
      <c r="E4913" s="23">
        <v>1032.5450000000001</v>
      </c>
      <c r="F4913" s="23">
        <v>0</v>
      </c>
      <c r="G4913" s="23">
        <v>0</v>
      </c>
      <c r="H4913" s="23">
        <v>602.02</v>
      </c>
      <c r="I4913" s="23">
        <v>0</v>
      </c>
      <c r="J4913" s="23">
        <v>0</v>
      </c>
      <c r="K4913" s="23">
        <v>0</v>
      </c>
    </row>
    <row r="4914" spans="1:11" x14ac:dyDescent="0.25">
      <c r="A4914">
        <v>4913</v>
      </c>
      <c r="B4914" s="23">
        <v>1329.4033449999999</v>
      </c>
      <c r="C4914" s="23">
        <v>191.54</v>
      </c>
      <c r="D4914" s="23">
        <v>750.34199999999998</v>
      </c>
      <c r="E4914" s="23">
        <v>750.34199999999998</v>
      </c>
      <c r="F4914" s="23">
        <v>0</v>
      </c>
      <c r="G4914" s="23">
        <v>0</v>
      </c>
      <c r="H4914" s="23">
        <v>0</v>
      </c>
      <c r="I4914" s="23">
        <v>579.06100000000004</v>
      </c>
      <c r="J4914" s="23">
        <v>0</v>
      </c>
      <c r="K4914" s="23">
        <v>0</v>
      </c>
    </row>
    <row r="4915" spans="1:11" x14ac:dyDescent="0.25">
      <c r="A4915">
        <v>4914</v>
      </c>
      <c r="B4915" s="23">
        <v>1196.1436550000001</v>
      </c>
      <c r="C4915" s="23">
        <v>18.61</v>
      </c>
      <c r="D4915" s="23">
        <v>47.622999999999998</v>
      </c>
      <c r="E4915" s="23">
        <v>47.622999999999998</v>
      </c>
      <c r="F4915" s="23">
        <v>0</v>
      </c>
      <c r="G4915" s="23">
        <v>0</v>
      </c>
      <c r="H4915" s="23">
        <v>0</v>
      </c>
      <c r="I4915" s="23">
        <v>0</v>
      </c>
      <c r="J4915" s="23">
        <v>0</v>
      </c>
      <c r="K4915" s="23">
        <v>1148.521</v>
      </c>
    </row>
    <row r="4916" spans="1:11" x14ac:dyDescent="0.25">
      <c r="A4916">
        <v>4915</v>
      </c>
      <c r="B4916" s="23">
        <v>1400.7069610000001</v>
      </c>
      <c r="C4916" s="23">
        <v>0</v>
      </c>
      <c r="D4916" s="23">
        <v>0</v>
      </c>
      <c r="E4916" s="23">
        <v>0</v>
      </c>
      <c r="F4916" s="23">
        <v>0</v>
      </c>
      <c r="G4916" s="23">
        <v>0</v>
      </c>
      <c r="H4916" s="23">
        <v>0</v>
      </c>
      <c r="I4916" s="23">
        <v>0</v>
      </c>
      <c r="J4916" s="23">
        <v>0</v>
      </c>
      <c r="K4916" s="23">
        <v>1400.7070000000001</v>
      </c>
    </row>
    <row r="4917" spans="1:11" x14ac:dyDescent="0.25">
      <c r="A4917">
        <v>4916</v>
      </c>
      <c r="B4917" s="23">
        <v>823.29521590000002</v>
      </c>
      <c r="C4917" s="23">
        <v>0</v>
      </c>
      <c r="D4917" s="23">
        <v>0</v>
      </c>
      <c r="E4917" s="23">
        <v>0</v>
      </c>
      <c r="F4917" s="23">
        <v>0</v>
      </c>
      <c r="G4917" s="23">
        <v>0</v>
      </c>
      <c r="H4917" s="23">
        <v>0</v>
      </c>
      <c r="I4917" s="23">
        <v>0</v>
      </c>
      <c r="J4917" s="23">
        <v>0</v>
      </c>
      <c r="K4917" s="23">
        <v>823.29499999999996</v>
      </c>
    </row>
    <row r="4918" spans="1:11" x14ac:dyDescent="0.25">
      <c r="A4918">
        <v>4917</v>
      </c>
      <c r="B4918" s="23">
        <v>1177.6160600000001</v>
      </c>
      <c r="C4918" s="23">
        <v>0</v>
      </c>
      <c r="D4918" s="23">
        <v>0</v>
      </c>
      <c r="E4918" s="23">
        <v>0</v>
      </c>
      <c r="F4918" s="23">
        <v>0</v>
      </c>
      <c r="G4918" s="23">
        <v>0</v>
      </c>
      <c r="H4918" s="23">
        <v>0</v>
      </c>
      <c r="I4918" s="23">
        <v>1177.616</v>
      </c>
      <c r="J4918" s="23">
        <v>0</v>
      </c>
      <c r="K4918" s="23">
        <v>0</v>
      </c>
    </row>
    <row r="4919" spans="1:11" x14ac:dyDescent="0.25">
      <c r="A4919">
        <v>4918</v>
      </c>
      <c r="B4919" s="23">
        <v>1352.3590879999999</v>
      </c>
      <c r="C4919" s="23">
        <v>0</v>
      </c>
      <c r="D4919" s="23">
        <v>0</v>
      </c>
      <c r="E4919" s="23">
        <v>0</v>
      </c>
      <c r="F4919" s="23">
        <v>0</v>
      </c>
      <c r="G4919" s="23">
        <v>0</v>
      </c>
      <c r="H4919" s="23">
        <v>0</v>
      </c>
      <c r="I4919" s="23">
        <v>1352.3589999999999</v>
      </c>
      <c r="J4919" s="23">
        <v>0</v>
      </c>
      <c r="K4919" s="23">
        <v>0</v>
      </c>
    </row>
    <row r="4920" spans="1:11" x14ac:dyDescent="0.25">
      <c r="A4920">
        <v>4919</v>
      </c>
      <c r="B4920" s="23">
        <v>1335.0919899999999</v>
      </c>
      <c r="C4920" s="23">
        <v>0</v>
      </c>
      <c r="D4920" s="23">
        <v>0</v>
      </c>
      <c r="E4920" s="23">
        <v>0</v>
      </c>
      <c r="F4920" s="23">
        <v>0</v>
      </c>
      <c r="G4920" s="23">
        <v>0</v>
      </c>
      <c r="H4920" s="23">
        <v>0</v>
      </c>
      <c r="I4920" s="23">
        <v>1335.0920000000001</v>
      </c>
      <c r="J4920" s="23">
        <v>0</v>
      </c>
      <c r="K4920" s="23">
        <v>0</v>
      </c>
    </row>
    <row r="4921" spans="1:11" x14ac:dyDescent="0.25">
      <c r="A4921">
        <v>4920</v>
      </c>
      <c r="B4921" s="23">
        <v>1360.647295</v>
      </c>
      <c r="C4921" s="23">
        <v>0</v>
      </c>
      <c r="D4921" s="23">
        <v>0</v>
      </c>
      <c r="E4921" s="23">
        <v>0</v>
      </c>
      <c r="F4921" s="23">
        <v>0</v>
      </c>
      <c r="G4921" s="23">
        <v>0</v>
      </c>
      <c r="H4921" s="23">
        <v>0</v>
      </c>
      <c r="I4921" s="23">
        <v>1360.6469999999999</v>
      </c>
      <c r="J4921" s="23">
        <v>0</v>
      </c>
      <c r="K4921" s="23">
        <v>0</v>
      </c>
    </row>
    <row r="4922" spans="1:11" x14ac:dyDescent="0.25">
      <c r="A4922">
        <v>4921</v>
      </c>
      <c r="B4922" s="23">
        <v>1288.125485</v>
      </c>
      <c r="C4922" s="23">
        <v>0</v>
      </c>
      <c r="D4922" s="23">
        <v>0</v>
      </c>
      <c r="E4922" s="23">
        <v>0</v>
      </c>
      <c r="F4922" s="23">
        <v>0</v>
      </c>
      <c r="G4922" s="23">
        <v>0</v>
      </c>
      <c r="H4922" s="23">
        <v>0</v>
      </c>
      <c r="I4922" s="23">
        <v>1288.125</v>
      </c>
      <c r="J4922" s="23">
        <v>0</v>
      </c>
      <c r="K4922" s="23">
        <v>0</v>
      </c>
    </row>
    <row r="4923" spans="1:11" x14ac:dyDescent="0.25">
      <c r="A4923">
        <v>4922</v>
      </c>
      <c r="B4923" s="23">
        <v>1518.813909</v>
      </c>
      <c r="C4923" s="23">
        <v>0</v>
      </c>
      <c r="D4923" s="23">
        <v>0</v>
      </c>
      <c r="E4923" s="23">
        <v>0</v>
      </c>
      <c r="F4923" s="23">
        <v>0</v>
      </c>
      <c r="G4923" s="23">
        <v>0</v>
      </c>
      <c r="H4923" s="23">
        <v>0</v>
      </c>
      <c r="I4923" s="23">
        <v>1518.8140000000001</v>
      </c>
      <c r="J4923" s="23">
        <v>0</v>
      </c>
      <c r="K4923" s="23">
        <v>0</v>
      </c>
    </row>
    <row r="4924" spans="1:11" x14ac:dyDescent="0.25">
      <c r="A4924">
        <v>4923</v>
      </c>
      <c r="B4924" s="23">
        <v>1469.7753520000001</v>
      </c>
      <c r="C4924" s="23">
        <v>0</v>
      </c>
      <c r="D4924" s="23">
        <v>0</v>
      </c>
      <c r="E4924" s="23">
        <v>0</v>
      </c>
      <c r="F4924" s="23">
        <v>0</v>
      </c>
      <c r="G4924" s="23">
        <v>0</v>
      </c>
      <c r="H4924" s="23">
        <v>0</v>
      </c>
      <c r="I4924" s="23">
        <v>1469.7750000000001</v>
      </c>
      <c r="J4924" s="23">
        <v>0</v>
      </c>
      <c r="K4924" s="23">
        <v>0</v>
      </c>
    </row>
    <row r="4925" spans="1:11" x14ac:dyDescent="0.25">
      <c r="A4925">
        <v>4924</v>
      </c>
      <c r="B4925" s="23">
        <v>1038.0979110000001</v>
      </c>
      <c r="C4925" s="23">
        <v>0</v>
      </c>
      <c r="D4925" s="23">
        <v>0</v>
      </c>
      <c r="E4925" s="23">
        <v>0</v>
      </c>
      <c r="F4925" s="23">
        <v>0</v>
      </c>
      <c r="G4925" s="23">
        <v>0</v>
      </c>
      <c r="H4925" s="23">
        <v>0</v>
      </c>
      <c r="I4925" s="23">
        <v>1038.098</v>
      </c>
      <c r="J4925" s="23">
        <v>0</v>
      </c>
      <c r="K4925" s="23">
        <v>0</v>
      </c>
    </row>
    <row r="4926" spans="1:11" x14ac:dyDescent="0.25">
      <c r="A4926">
        <v>4925</v>
      </c>
      <c r="B4926" s="23">
        <v>1302.6298469999999</v>
      </c>
      <c r="C4926" s="23">
        <v>0</v>
      </c>
      <c r="D4926" s="23">
        <v>0</v>
      </c>
      <c r="E4926" s="23">
        <v>0</v>
      </c>
      <c r="F4926" s="23">
        <v>0</v>
      </c>
      <c r="G4926" s="23">
        <v>0</v>
      </c>
      <c r="H4926" s="23">
        <v>0</v>
      </c>
      <c r="I4926" s="23">
        <v>1302.6300000000001</v>
      </c>
      <c r="J4926" s="23">
        <v>0</v>
      </c>
      <c r="K4926" s="23">
        <v>0</v>
      </c>
    </row>
    <row r="4927" spans="1:11" x14ac:dyDescent="0.25">
      <c r="A4927">
        <v>4926</v>
      </c>
      <c r="B4927" s="23">
        <v>1125.8147670000001</v>
      </c>
      <c r="C4927" s="23">
        <v>0</v>
      </c>
      <c r="D4927" s="23">
        <v>0</v>
      </c>
      <c r="E4927" s="23">
        <v>0</v>
      </c>
      <c r="F4927" s="23">
        <v>0</v>
      </c>
      <c r="G4927" s="23">
        <v>0</v>
      </c>
      <c r="H4927" s="23">
        <v>0</v>
      </c>
      <c r="I4927" s="23">
        <v>1015.025</v>
      </c>
      <c r="J4927" s="23">
        <v>0</v>
      </c>
      <c r="K4927" s="23">
        <v>110.789</v>
      </c>
    </row>
    <row r="4928" spans="1:11" x14ac:dyDescent="0.25">
      <c r="A4928">
        <v>4927</v>
      </c>
      <c r="B4928" s="23">
        <v>1215.603674</v>
      </c>
      <c r="C4928" s="23">
        <v>6.85</v>
      </c>
      <c r="D4928" s="23">
        <v>3.5640000000000001</v>
      </c>
      <c r="E4928" s="23">
        <v>3.5640000000000001</v>
      </c>
      <c r="F4928" s="23">
        <v>0</v>
      </c>
      <c r="G4928" s="23">
        <v>0</v>
      </c>
      <c r="H4928" s="23">
        <v>0</v>
      </c>
      <c r="I4928" s="23">
        <v>0</v>
      </c>
      <c r="J4928" s="23">
        <v>0</v>
      </c>
      <c r="K4928" s="23">
        <v>1212.039</v>
      </c>
    </row>
    <row r="4929" spans="1:11" x14ac:dyDescent="0.25">
      <c r="A4929">
        <v>4928</v>
      </c>
      <c r="B4929" s="23">
        <v>1164.55609</v>
      </c>
      <c r="C4929" s="23">
        <v>17.63</v>
      </c>
      <c r="D4929" s="23">
        <v>44.606000000000002</v>
      </c>
      <c r="E4929" s="23">
        <v>44.606000000000002</v>
      </c>
      <c r="F4929" s="23">
        <v>0</v>
      </c>
      <c r="G4929" s="23">
        <v>0</v>
      </c>
      <c r="H4929" s="23">
        <v>0</v>
      </c>
      <c r="I4929" s="23">
        <v>0</v>
      </c>
      <c r="J4929" s="23">
        <v>0</v>
      </c>
      <c r="K4929" s="23">
        <v>1119.95</v>
      </c>
    </row>
    <row r="4930" spans="1:11" x14ac:dyDescent="0.25">
      <c r="A4930">
        <v>4929</v>
      </c>
      <c r="B4930" s="23">
        <v>1265.2016860000001</v>
      </c>
      <c r="C4930" s="23">
        <v>138.91</v>
      </c>
      <c r="D4930" s="23">
        <v>528.654</v>
      </c>
      <c r="E4930" s="23">
        <v>528.654</v>
      </c>
      <c r="F4930" s="23">
        <v>0</v>
      </c>
      <c r="G4930" s="23">
        <v>0</v>
      </c>
      <c r="H4930" s="23">
        <v>0</v>
      </c>
      <c r="I4930" s="23">
        <v>0</v>
      </c>
      <c r="J4930" s="23">
        <v>0</v>
      </c>
      <c r="K4930" s="23">
        <v>736.548</v>
      </c>
    </row>
    <row r="4931" spans="1:11" x14ac:dyDescent="0.25">
      <c r="A4931">
        <v>4930</v>
      </c>
      <c r="B4931" s="23">
        <v>1521.977241</v>
      </c>
      <c r="C4931" s="23">
        <v>485.18</v>
      </c>
      <c r="D4931" s="23">
        <v>1893.039</v>
      </c>
      <c r="E4931" s="23">
        <v>1521.9770000000001</v>
      </c>
      <c r="F4931" s="23">
        <v>-371.06200000000001</v>
      </c>
      <c r="G4931" s="23">
        <v>0</v>
      </c>
      <c r="H4931" s="23">
        <v>0</v>
      </c>
      <c r="I4931" s="23">
        <v>0</v>
      </c>
      <c r="J4931" s="23">
        <v>0</v>
      </c>
      <c r="K4931" s="23">
        <v>0</v>
      </c>
    </row>
    <row r="4932" spans="1:11" x14ac:dyDescent="0.25">
      <c r="A4932">
        <v>4931</v>
      </c>
      <c r="B4932" s="23">
        <v>1459.9883609999999</v>
      </c>
      <c r="C4932" s="23">
        <v>750.17</v>
      </c>
      <c r="D4932" s="23">
        <v>2881.223</v>
      </c>
      <c r="E4932" s="23">
        <v>1459.9880000000001</v>
      </c>
      <c r="F4932" s="23">
        <v>-1421.2349999999999</v>
      </c>
      <c r="G4932" s="23">
        <v>0</v>
      </c>
      <c r="H4932" s="23">
        <v>0</v>
      </c>
      <c r="I4932" s="23">
        <v>0</v>
      </c>
      <c r="J4932" s="23">
        <v>0</v>
      </c>
      <c r="K4932" s="23">
        <v>0</v>
      </c>
    </row>
    <row r="4933" spans="1:11" x14ac:dyDescent="0.25">
      <c r="A4933">
        <v>4932</v>
      </c>
      <c r="B4933" s="23">
        <v>1450.668445</v>
      </c>
      <c r="C4933" s="23">
        <v>807.57</v>
      </c>
      <c r="D4933" s="23">
        <v>3078.8910000000001</v>
      </c>
      <c r="E4933" s="23">
        <v>1450.6679999999999</v>
      </c>
      <c r="F4933" s="23">
        <v>-1628.223</v>
      </c>
      <c r="G4933" s="23">
        <v>0</v>
      </c>
      <c r="H4933" s="23">
        <v>0</v>
      </c>
      <c r="I4933" s="23">
        <v>0</v>
      </c>
      <c r="J4933" s="23">
        <v>0</v>
      </c>
      <c r="K4933" s="23">
        <v>0</v>
      </c>
    </row>
    <row r="4934" spans="1:11" x14ac:dyDescent="0.25">
      <c r="A4934">
        <v>4933</v>
      </c>
      <c r="B4934" s="23">
        <v>1401.736944</v>
      </c>
      <c r="C4934" s="23">
        <v>755.13</v>
      </c>
      <c r="D4934" s="23">
        <v>2884.886</v>
      </c>
      <c r="E4934" s="23">
        <v>1401.7370000000001</v>
      </c>
      <c r="F4934" s="23">
        <v>-1483.1489999999999</v>
      </c>
      <c r="G4934" s="23">
        <v>0</v>
      </c>
      <c r="H4934" s="23">
        <v>0</v>
      </c>
      <c r="I4934" s="23">
        <v>0</v>
      </c>
      <c r="J4934" s="23">
        <v>0</v>
      </c>
      <c r="K4934" s="23">
        <v>0</v>
      </c>
    </row>
    <row r="4935" spans="1:11" x14ac:dyDescent="0.25">
      <c r="A4935">
        <v>4934</v>
      </c>
      <c r="B4935" s="23">
        <v>1375.396849</v>
      </c>
      <c r="C4935" s="23">
        <v>845.43</v>
      </c>
      <c r="D4935" s="23">
        <v>3279.4209999999998</v>
      </c>
      <c r="E4935" s="23">
        <v>1375.3979999999999</v>
      </c>
      <c r="F4935" s="23">
        <v>-1684.559</v>
      </c>
      <c r="G4935" s="23">
        <v>0</v>
      </c>
      <c r="H4935" s="23">
        <v>219.464</v>
      </c>
      <c r="I4935" s="23">
        <v>0</v>
      </c>
      <c r="J4935" s="23">
        <v>0</v>
      </c>
      <c r="K4935" s="23">
        <v>0</v>
      </c>
    </row>
    <row r="4936" spans="1:11" x14ac:dyDescent="0.25">
      <c r="A4936">
        <v>4935</v>
      </c>
      <c r="B4936" s="23">
        <v>1381.8305700000001</v>
      </c>
      <c r="C4936" s="23">
        <v>709.37</v>
      </c>
      <c r="D4936" s="23">
        <v>2789.8879999999999</v>
      </c>
      <c r="E4936" s="23">
        <v>1381.8309999999999</v>
      </c>
      <c r="F4936" s="23">
        <v>-703.27099999999996</v>
      </c>
      <c r="G4936" s="23">
        <v>0</v>
      </c>
      <c r="H4936" s="23">
        <v>704.78599999999994</v>
      </c>
      <c r="I4936" s="23">
        <v>0</v>
      </c>
      <c r="J4936" s="23">
        <v>0</v>
      </c>
      <c r="K4936" s="23">
        <v>0</v>
      </c>
    </row>
    <row r="4937" spans="1:11" x14ac:dyDescent="0.25">
      <c r="A4937">
        <v>4936</v>
      </c>
      <c r="B4937" s="23">
        <v>1788.7210930000001</v>
      </c>
      <c r="C4937" s="23">
        <v>435.37</v>
      </c>
      <c r="D4937" s="23">
        <v>1717.3050000000001</v>
      </c>
      <c r="E4937" s="23">
        <v>1717.3050000000001</v>
      </c>
      <c r="F4937" s="23">
        <v>0</v>
      </c>
      <c r="G4937" s="23">
        <v>0</v>
      </c>
      <c r="H4937" s="23">
        <v>0</v>
      </c>
      <c r="I4937" s="23">
        <v>71.415999999999997</v>
      </c>
      <c r="J4937" s="23">
        <v>0</v>
      </c>
      <c r="K4937" s="23">
        <v>0</v>
      </c>
    </row>
    <row r="4938" spans="1:11" x14ac:dyDescent="0.25">
      <c r="A4938">
        <v>4937</v>
      </c>
      <c r="B4938" s="23">
        <v>1525.3581389999999</v>
      </c>
      <c r="C4938" s="23">
        <v>303.27</v>
      </c>
      <c r="D4938" s="23">
        <v>1175.117</v>
      </c>
      <c r="E4938" s="23">
        <v>1175.117</v>
      </c>
      <c r="F4938" s="23">
        <v>0</v>
      </c>
      <c r="G4938" s="23">
        <v>0</v>
      </c>
      <c r="H4938" s="23">
        <v>0</v>
      </c>
      <c r="I4938" s="23">
        <v>350.24099999999999</v>
      </c>
      <c r="J4938" s="23">
        <v>0</v>
      </c>
      <c r="K4938" s="23">
        <v>0</v>
      </c>
    </row>
    <row r="4939" spans="1:11" x14ac:dyDescent="0.25">
      <c r="A4939">
        <v>4938</v>
      </c>
      <c r="B4939" s="23">
        <v>1702.660151</v>
      </c>
      <c r="C4939" s="23">
        <v>95.1</v>
      </c>
      <c r="D4939" s="23">
        <v>294.08699999999999</v>
      </c>
      <c r="E4939" s="23">
        <v>294.08699999999999</v>
      </c>
      <c r="F4939" s="23">
        <v>0</v>
      </c>
      <c r="G4939" s="23">
        <v>0</v>
      </c>
      <c r="H4939" s="23">
        <v>0</v>
      </c>
      <c r="I4939" s="23">
        <v>0</v>
      </c>
      <c r="J4939" s="23">
        <v>0</v>
      </c>
      <c r="K4939" s="23">
        <v>1408.5730000000001</v>
      </c>
    </row>
    <row r="4940" spans="1:11" x14ac:dyDescent="0.25">
      <c r="A4940">
        <v>4939</v>
      </c>
      <c r="B4940" s="23">
        <v>1469.7753520000001</v>
      </c>
      <c r="C4940" s="23">
        <v>0</v>
      </c>
      <c r="D4940" s="23">
        <v>0</v>
      </c>
      <c r="E4940" s="23">
        <v>0</v>
      </c>
      <c r="F4940" s="23">
        <v>0</v>
      </c>
      <c r="G4940" s="23">
        <v>0</v>
      </c>
      <c r="H4940" s="23">
        <v>0</v>
      </c>
      <c r="I4940" s="23">
        <v>0</v>
      </c>
      <c r="J4940" s="23">
        <v>0</v>
      </c>
      <c r="K4940" s="23">
        <v>1469.7750000000001</v>
      </c>
    </row>
    <row r="4941" spans="1:11" x14ac:dyDescent="0.25">
      <c r="A4941">
        <v>4940</v>
      </c>
      <c r="B4941" s="23">
        <v>1623.797863</v>
      </c>
      <c r="C4941" s="23">
        <v>0</v>
      </c>
      <c r="D4941" s="23">
        <v>0</v>
      </c>
      <c r="E4941" s="23">
        <v>0</v>
      </c>
      <c r="F4941" s="23">
        <v>0</v>
      </c>
      <c r="G4941" s="23">
        <v>0</v>
      </c>
      <c r="H4941" s="23">
        <v>0</v>
      </c>
      <c r="I4941" s="23">
        <v>0</v>
      </c>
      <c r="J4941" s="23">
        <v>0</v>
      </c>
      <c r="K4941" s="23">
        <v>1623.798</v>
      </c>
    </row>
    <row r="4942" spans="1:11" x14ac:dyDescent="0.25">
      <c r="A4942">
        <v>4941</v>
      </c>
      <c r="B4942" s="23">
        <v>1571.3058860000001</v>
      </c>
      <c r="C4942" s="23">
        <v>0</v>
      </c>
      <c r="D4942" s="23">
        <v>0</v>
      </c>
      <c r="E4942" s="23">
        <v>0</v>
      </c>
      <c r="F4942" s="23">
        <v>0</v>
      </c>
      <c r="G4942" s="23">
        <v>0</v>
      </c>
      <c r="H4942" s="23">
        <v>0</v>
      </c>
      <c r="I4942" s="23">
        <v>1571.306</v>
      </c>
      <c r="J4942" s="23">
        <v>0</v>
      </c>
      <c r="K4942" s="23">
        <v>0</v>
      </c>
    </row>
    <row r="4943" spans="1:11" x14ac:dyDescent="0.25">
      <c r="A4943">
        <v>4942</v>
      </c>
      <c r="B4943" s="23">
        <v>1333.0199379999999</v>
      </c>
      <c r="C4943" s="23">
        <v>0</v>
      </c>
      <c r="D4943" s="23">
        <v>0</v>
      </c>
      <c r="E4943" s="23">
        <v>0</v>
      </c>
      <c r="F4943" s="23">
        <v>0</v>
      </c>
      <c r="G4943" s="23">
        <v>0</v>
      </c>
      <c r="H4943" s="23">
        <v>0</v>
      </c>
      <c r="I4943" s="23">
        <v>1333.02</v>
      </c>
      <c r="J4943" s="23">
        <v>0</v>
      </c>
      <c r="K4943" s="23">
        <v>0</v>
      </c>
    </row>
    <row r="4944" spans="1:11" x14ac:dyDescent="0.25">
      <c r="A4944">
        <v>4943</v>
      </c>
      <c r="B4944" s="23">
        <v>1336.473358</v>
      </c>
      <c r="C4944" s="23">
        <v>0</v>
      </c>
      <c r="D4944" s="23">
        <v>0</v>
      </c>
      <c r="E4944" s="23">
        <v>0</v>
      </c>
      <c r="F4944" s="23">
        <v>0</v>
      </c>
      <c r="G4944" s="23">
        <v>0</v>
      </c>
      <c r="H4944" s="23">
        <v>0</v>
      </c>
      <c r="I4944" s="23">
        <v>1336.473</v>
      </c>
      <c r="J4944" s="23">
        <v>0</v>
      </c>
      <c r="K4944" s="23">
        <v>0</v>
      </c>
    </row>
    <row r="4945" spans="1:11" x14ac:dyDescent="0.25">
      <c r="A4945">
        <v>4944</v>
      </c>
      <c r="B4945" s="23">
        <v>1509.1443340000001</v>
      </c>
      <c r="C4945" s="23">
        <v>0</v>
      </c>
      <c r="D4945" s="23">
        <v>0</v>
      </c>
      <c r="E4945" s="23">
        <v>0</v>
      </c>
      <c r="F4945" s="23">
        <v>0</v>
      </c>
      <c r="G4945" s="23">
        <v>0</v>
      </c>
      <c r="H4945" s="23">
        <v>0</v>
      </c>
      <c r="I4945" s="23">
        <v>1509.144</v>
      </c>
      <c r="J4945" s="23">
        <v>0</v>
      </c>
      <c r="K4945" s="23">
        <v>0</v>
      </c>
    </row>
    <row r="4946" spans="1:11" x14ac:dyDescent="0.25">
      <c r="A4946">
        <v>4945</v>
      </c>
      <c r="B4946" s="23">
        <v>1440.7666280000001</v>
      </c>
      <c r="C4946" s="23">
        <v>0</v>
      </c>
      <c r="D4946" s="23">
        <v>0</v>
      </c>
      <c r="E4946" s="23">
        <v>0</v>
      </c>
      <c r="F4946" s="23">
        <v>0</v>
      </c>
      <c r="G4946" s="23">
        <v>0</v>
      </c>
      <c r="H4946" s="23">
        <v>0</v>
      </c>
      <c r="I4946" s="23">
        <v>1440.7670000000001</v>
      </c>
      <c r="J4946" s="23">
        <v>0</v>
      </c>
      <c r="K4946" s="23">
        <v>0</v>
      </c>
    </row>
    <row r="4947" spans="1:11" x14ac:dyDescent="0.25">
      <c r="A4947">
        <v>4946</v>
      </c>
      <c r="B4947" s="23">
        <v>1415.9020069999999</v>
      </c>
      <c r="C4947" s="23">
        <v>0</v>
      </c>
      <c r="D4947" s="23">
        <v>0</v>
      </c>
      <c r="E4947" s="23">
        <v>0</v>
      </c>
      <c r="F4947" s="23">
        <v>0</v>
      </c>
      <c r="G4947" s="23">
        <v>0</v>
      </c>
      <c r="H4947" s="23">
        <v>0</v>
      </c>
      <c r="I4947" s="23">
        <v>1415.902</v>
      </c>
      <c r="J4947" s="23">
        <v>0</v>
      </c>
      <c r="K4947" s="23">
        <v>0</v>
      </c>
    </row>
    <row r="4948" spans="1:11" x14ac:dyDescent="0.25">
      <c r="A4948">
        <v>4947</v>
      </c>
      <c r="B4948" s="23">
        <v>1212.8409389999999</v>
      </c>
      <c r="C4948" s="23">
        <v>0</v>
      </c>
      <c r="D4948" s="23">
        <v>0</v>
      </c>
      <c r="E4948" s="23">
        <v>0</v>
      </c>
      <c r="F4948" s="23">
        <v>0</v>
      </c>
      <c r="G4948" s="23">
        <v>0</v>
      </c>
      <c r="H4948" s="23">
        <v>0</v>
      </c>
      <c r="I4948" s="23">
        <v>1212.8409999999999</v>
      </c>
      <c r="J4948" s="23">
        <v>0</v>
      </c>
      <c r="K4948" s="23">
        <v>0</v>
      </c>
    </row>
    <row r="4949" spans="1:11" x14ac:dyDescent="0.25">
      <c r="A4949">
        <v>4948</v>
      </c>
      <c r="B4949" s="23">
        <v>1147.9166520000001</v>
      </c>
      <c r="C4949" s="23">
        <v>0</v>
      </c>
      <c r="D4949" s="23">
        <v>0</v>
      </c>
      <c r="E4949" s="23">
        <v>0</v>
      </c>
      <c r="F4949" s="23">
        <v>0</v>
      </c>
      <c r="G4949" s="23">
        <v>0</v>
      </c>
      <c r="H4949" s="23">
        <v>0</v>
      </c>
      <c r="I4949" s="23">
        <v>1147.9169999999999</v>
      </c>
      <c r="J4949" s="23">
        <v>0</v>
      </c>
      <c r="K4949" s="23">
        <v>0</v>
      </c>
    </row>
    <row r="4950" spans="1:11" x14ac:dyDescent="0.25">
      <c r="A4950">
        <v>4949</v>
      </c>
      <c r="B4950" s="23">
        <v>1229.417353</v>
      </c>
      <c r="C4950" s="23">
        <v>0</v>
      </c>
      <c r="D4950" s="23">
        <v>0</v>
      </c>
      <c r="E4950" s="23">
        <v>0</v>
      </c>
      <c r="F4950" s="23">
        <v>0</v>
      </c>
      <c r="G4950" s="23">
        <v>0</v>
      </c>
      <c r="H4950" s="23">
        <v>0</v>
      </c>
      <c r="I4950" s="23">
        <v>1183.461</v>
      </c>
      <c r="J4950" s="23">
        <v>0</v>
      </c>
      <c r="K4950" s="23">
        <v>45.956000000000003</v>
      </c>
    </row>
    <row r="4951" spans="1:11" x14ac:dyDescent="0.25">
      <c r="A4951">
        <v>4950</v>
      </c>
      <c r="B4951" s="23">
        <v>988.36866940000004</v>
      </c>
      <c r="C4951" s="23">
        <v>0</v>
      </c>
      <c r="D4951" s="23">
        <v>0</v>
      </c>
      <c r="E4951" s="23">
        <v>0</v>
      </c>
      <c r="F4951" s="23">
        <v>0</v>
      </c>
      <c r="G4951" s="23">
        <v>0</v>
      </c>
      <c r="H4951" s="23">
        <v>0</v>
      </c>
      <c r="I4951" s="23">
        <v>0</v>
      </c>
      <c r="J4951" s="23">
        <v>0</v>
      </c>
      <c r="K4951" s="23">
        <v>988.36900000000003</v>
      </c>
    </row>
    <row r="4952" spans="1:11" x14ac:dyDescent="0.25">
      <c r="A4952">
        <v>4951</v>
      </c>
      <c r="B4952" s="23">
        <v>1297.795059</v>
      </c>
      <c r="C4952" s="23">
        <v>98.75</v>
      </c>
      <c r="D4952" s="23">
        <v>282.41699999999997</v>
      </c>
      <c r="E4952" s="23">
        <v>282.41699999999997</v>
      </c>
      <c r="F4952" s="23">
        <v>0</v>
      </c>
      <c r="G4952" s="23">
        <v>0</v>
      </c>
      <c r="H4952" s="23">
        <v>0</v>
      </c>
      <c r="I4952" s="23">
        <v>0</v>
      </c>
      <c r="J4952" s="23">
        <v>0</v>
      </c>
      <c r="K4952" s="23">
        <v>1015.378</v>
      </c>
    </row>
    <row r="4953" spans="1:11" x14ac:dyDescent="0.25">
      <c r="A4953">
        <v>4952</v>
      </c>
      <c r="B4953" s="23">
        <v>1047.8218770000001</v>
      </c>
      <c r="C4953" s="23">
        <v>319.17</v>
      </c>
      <c r="D4953" s="23">
        <v>1234.6579999999999</v>
      </c>
      <c r="E4953" s="23">
        <v>1047.8219999999999</v>
      </c>
      <c r="F4953" s="23">
        <v>-186.83600000000001</v>
      </c>
      <c r="G4953" s="23">
        <v>0</v>
      </c>
      <c r="H4953" s="23">
        <v>0</v>
      </c>
      <c r="I4953" s="23">
        <v>0</v>
      </c>
      <c r="J4953" s="23">
        <v>0</v>
      </c>
      <c r="K4953" s="23">
        <v>0</v>
      </c>
    </row>
    <row r="4954" spans="1:11" x14ac:dyDescent="0.25">
      <c r="A4954">
        <v>4953</v>
      </c>
      <c r="B4954" s="23">
        <v>1384.7711569999999</v>
      </c>
      <c r="C4954" s="23">
        <v>543.83000000000004</v>
      </c>
      <c r="D4954" s="23">
        <v>2167.703</v>
      </c>
      <c r="E4954" s="23">
        <v>1384.771</v>
      </c>
      <c r="F4954" s="23">
        <v>-782.93200000000002</v>
      </c>
      <c r="G4954" s="23">
        <v>0</v>
      </c>
      <c r="H4954" s="23">
        <v>0</v>
      </c>
      <c r="I4954" s="23">
        <v>0</v>
      </c>
      <c r="J4954" s="23">
        <v>0</v>
      </c>
      <c r="K4954" s="23">
        <v>0</v>
      </c>
    </row>
    <row r="4955" spans="1:11" x14ac:dyDescent="0.25">
      <c r="A4955">
        <v>4954</v>
      </c>
      <c r="B4955" s="23">
        <v>1349.767296</v>
      </c>
      <c r="C4955" s="23">
        <v>733.06</v>
      </c>
      <c r="D4955" s="23">
        <v>2846.6179999999999</v>
      </c>
      <c r="E4955" s="23">
        <v>1349.7670000000001</v>
      </c>
      <c r="F4955" s="23">
        <v>-1496.8510000000001</v>
      </c>
      <c r="G4955" s="23">
        <v>0</v>
      </c>
      <c r="H4955" s="23">
        <v>0</v>
      </c>
      <c r="I4955" s="23">
        <v>0</v>
      </c>
      <c r="J4955" s="23">
        <v>0</v>
      </c>
      <c r="K4955" s="23">
        <v>0</v>
      </c>
    </row>
    <row r="4956" spans="1:11" x14ac:dyDescent="0.25">
      <c r="A4956">
        <v>4955</v>
      </c>
      <c r="B4956" s="23">
        <v>1301.2096280000001</v>
      </c>
      <c r="C4956" s="23">
        <v>865.37</v>
      </c>
      <c r="D4956" s="23">
        <v>3298.4879999999998</v>
      </c>
      <c r="E4956" s="23">
        <v>1301.21</v>
      </c>
      <c r="F4956" s="23">
        <v>-1684.559</v>
      </c>
      <c r="G4956" s="23">
        <v>0</v>
      </c>
      <c r="H4956" s="23">
        <v>312.71899999999999</v>
      </c>
      <c r="I4956" s="23">
        <v>0</v>
      </c>
      <c r="J4956" s="23">
        <v>0</v>
      </c>
      <c r="K4956" s="23">
        <v>0</v>
      </c>
    </row>
    <row r="4957" spans="1:11" x14ac:dyDescent="0.25">
      <c r="A4957">
        <v>4956</v>
      </c>
      <c r="B4957" s="23">
        <v>1364.704199</v>
      </c>
      <c r="C4957" s="23">
        <v>933.3</v>
      </c>
      <c r="D4957" s="23">
        <v>3535.2809999999999</v>
      </c>
      <c r="E4957" s="23">
        <v>1364.7049999999999</v>
      </c>
      <c r="F4957" s="23">
        <v>-1684.559</v>
      </c>
      <c r="G4957" s="23">
        <v>0</v>
      </c>
      <c r="H4957" s="23">
        <v>486.017</v>
      </c>
      <c r="I4957" s="23">
        <v>0</v>
      </c>
      <c r="J4957" s="23">
        <v>0</v>
      </c>
      <c r="K4957" s="23">
        <v>0</v>
      </c>
    </row>
    <row r="4958" spans="1:11" x14ac:dyDescent="0.25">
      <c r="A4958">
        <v>4957</v>
      </c>
      <c r="B4958" s="23">
        <v>1493.145505</v>
      </c>
      <c r="C4958" s="23">
        <v>932.37</v>
      </c>
      <c r="D4958" s="23">
        <v>3537.7139999999999</v>
      </c>
      <c r="E4958" s="23">
        <v>1493.145</v>
      </c>
      <c r="F4958" s="23">
        <v>-1455.7619999999999</v>
      </c>
      <c r="G4958" s="23">
        <v>0</v>
      </c>
      <c r="H4958" s="23">
        <v>588.80700000000002</v>
      </c>
      <c r="I4958" s="23">
        <v>0</v>
      </c>
      <c r="J4958" s="23">
        <v>0</v>
      </c>
      <c r="K4958" s="23">
        <v>0</v>
      </c>
    </row>
    <row r="4959" spans="1:11" x14ac:dyDescent="0.25">
      <c r="A4959">
        <v>4958</v>
      </c>
      <c r="B4959" s="23">
        <v>1284.495077</v>
      </c>
      <c r="C4959" s="23">
        <v>847.15</v>
      </c>
      <c r="D4959" s="23">
        <v>3247.4650000000001</v>
      </c>
      <c r="E4959" s="23">
        <v>1284.4949999999999</v>
      </c>
      <c r="F4959" s="23">
        <v>0</v>
      </c>
      <c r="G4959" s="23">
        <v>0</v>
      </c>
      <c r="H4959" s="23">
        <v>1962.97</v>
      </c>
      <c r="I4959" s="23">
        <v>0</v>
      </c>
      <c r="J4959" s="23">
        <v>0</v>
      </c>
      <c r="K4959" s="23">
        <v>0</v>
      </c>
    </row>
    <row r="4960" spans="1:11" x14ac:dyDescent="0.25">
      <c r="A4960">
        <v>4959</v>
      </c>
      <c r="B4960" s="23">
        <v>1168.196858</v>
      </c>
      <c r="C4960" s="23">
        <v>710.99</v>
      </c>
      <c r="D4960" s="23">
        <v>2772.9540000000002</v>
      </c>
      <c r="E4960" s="23">
        <v>1168.1969999999999</v>
      </c>
      <c r="F4960" s="23">
        <v>0</v>
      </c>
      <c r="G4960" s="23">
        <v>0</v>
      </c>
      <c r="H4960" s="23">
        <v>1604.7570000000001</v>
      </c>
      <c r="I4960" s="23">
        <v>0</v>
      </c>
      <c r="J4960" s="23">
        <v>0</v>
      </c>
      <c r="K4960" s="23">
        <v>0</v>
      </c>
    </row>
    <row r="4961" spans="1:11" x14ac:dyDescent="0.25">
      <c r="A4961">
        <v>4960</v>
      </c>
      <c r="B4961" s="23">
        <v>1479.656448</v>
      </c>
      <c r="C4961" s="23">
        <v>523.30999999999995</v>
      </c>
      <c r="D4961" s="23">
        <v>2081.2689999999998</v>
      </c>
      <c r="E4961" s="23">
        <v>1479.6559999999999</v>
      </c>
      <c r="F4961" s="23">
        <v>0</v>
      </c>
      <c r="G4961" s="23">
        <v>0</v>
      </c>
      <c r="H4961" s="23">
        <v>601.61300000000006</v>
      </c>
      <c r="I4961" s="23">
        <v>0</v>
      </c>
      <c r="J4961" s="23">
        <v>0</v>
      </c>
      <c r="K4961" s="23">
        <v>0</v>
      </c>
    </row>
    <row r="4962" spans="1:11" x14ac:dyDescent="0.25">
      <c r="A4962">
        <v>4961</v>
      </c>
      <c r="B4962" s="23">
        <v>1510.8356470000001</v>
      </c>
      <c r="C4962" s="23">
        <v>188.46</v>
      </c>
      <c r="D4962" s="23">
        <v>731.10500000000002</v>
      </c>
      <c r="E4962" s="23">
        <v>731.10500000000002</v>
      </c>
      <c r="F4962" s="23">
        <v>0</v>
      </c>
      <c r="G4962" s="23">
        <v>0</v>
      </c>
      <c r="H4962" s="23">
        <v>0</v>
      </c>
      <c r="I4962" s="23">
        <v>779.73099999999999</v>
      </c>
      <c r="J4962" s="23">
        <v>0</v>
      </c>
      <c r="K4962" s="23">
        <v>0</v>
      </c>
    </row>
    <row r="4963" spans="1:11" x14ac:dyDescent="0.25">
      <c r="A4963">
        <v>4962</v>
      </c>
      <c r="B4963" s="23">
        <v>1394.176545</v>
      </c>
      <c r="C4963" s="23">
        <v>92.01</v>
      </c>
      <c r="D4963" s="23">
        <v>309.68200000000002</v>
      </c>
      <c r="E4963" s="23">
        <v>309.68200000000002</v>
      </c>
      <c r="F4963" s="23">
        <v>0</v>
      </c>
      <c r="G4963" s="23">
        <v>0</v>
      </c>
      <c r="H4963" s="23">
        <v>0</v>
      </c>
      <c r="I4963" s="23">
        <v>0</v>
      </c>
      <c r="J4963" s="23">
        <v>0</v>
      </c>
      <c r="K4963" s="23">
        <v>1084.4939999999999</v>
      </c>
    </row>
    <row r="4964" spans="1:11" x14ac:dyDescent="0.25">
      <c r="A4964">
        <v>4963</v>
      </c>
      <c r="B4964" s="23">
        <v>1384.1314110000001</v>
      </c>
      <c r="C4964" s="23">
        <v>0</v>
      </c>
      <c r="D4964" s="23">
        <v>0</v>
      </c>
      <c r="E4964" s="23">
        <v>0</v>
      </c>
      <c r="F4964" s="23">
        <v>0</v>
      </c>
      <c r="G4964" s="23">
        <v>0</v>
      </c>
      <c r="H4964" s="23">
        <v>0</v>
      </c>
      <c r="I4964" s="23">
        <v>0</v>
      </c>
      <c r="J4964" s="23">
        <v>0</v>
      </c>
      <c r="K4964" s="23">
        <v>1384.1310000000001</v>
      </c>
    </row>
    <row r="4965" spans="1:11" x14ac:dyDescent="0.25">
      <c r="A4965">
        <v>4964</v>
      </c>
      <c r="B4965" s="23">
        <v>1029.1190200000001</v>
      </c>
      <c r="C4965" s="23">
        <v>0</v>
      </c>
      <c r="D4965" s="23">
        <v>0</v>
      </c>
      <c r="E4965" s="23">
        <v>0</v>
      </c>
      <c r="F4965" s="23">
        <v>0</v>
      </c>
      <c r="G4965" s="23">
        <v>0</v>
      </c>
      <c r="H4965" s="23">
        <v>0</v>
      </c>
      <c r="I4965" s="23">
        <v>0</v>
      </c>
      <c r="J4965" s="23">
        <v>0</v>
      </c>
      <c r="K4965" s="23">
        <v>1029.1189999999999</v>
      </c>
    </row>
    <row r="4966" spans="1:11" x14ac:dyDescent="0.25">
      <c r="A4966">
        <v>4965</v>
      </c>
      <c r="B4966" s="23">
        <v>1141.7004959999999</v>
      </c>
      <c r="C4966" s="23">
        <v>0</v>
      </c>
      <c r="D4966" s="23">
        <v>0</v>
      </c>
      <c r="E4966" s="23">
        <v>0</v>
      </c>
      <c r="F4966" s="23">
        <v>0</v>
      </c>
      <c r="G4966" s="23">
        <v>0</v>
      </c>
      <c r="H4966" s="23">
        <v>0</v>
      </c>
      <c r="I4966" s="23">
        <v>1141.7</v>
      </c>
      <c r="J4966" s="23">
        <v>0</v>
      </c>
      <c r="K4966" s="23">
        <v>0</v>
      </c>
    </row>
    <row r="4967" spans="1:11" x14ac:dyDescent="0.25">
      <c r="A4967">
        <v>4966</v>
      </c>
      <c r="B4967" s="23">
        <v>1211.4595710000001</v>
      </c>
      <c r="C4967" s="23">
        <v>0</v>
      </c>
      <c r="D4967" s="23">
        <v>0</v>
      </c>
      <c r="E4967" s="23">
        <v>0</v>
      </c>
      <c r="F4967" s="23">
        <v>0</v>
      </c>
      <c r="G4967" s="23">
        <v>0</v>
      </c>
      <c r="H4967" s="23">
        <v>0</v>
      </c>
      <c r="I4967" s="23">
        <v>1211.46</v>
      </c>
      <c r="J4967" s="23">
        <v>0</v>
      </c>
      <c r="K4967" s="23">
        <v>0</v>
      </c>
    </row>
    <row r="4968" spans="1:11" x14ac:dyDescent="0.25">
      <c r="A4968">
        <v>4967</v>
      </c>
      <c r="B4968" s="23">
        <v>1361.3379789999999</v>
      </c>
      <c r="C4968" s="23">
        <v>0</v>
      </c>
      <c r="D4968" s="23">
        <v>0</v>
      </c>
      <c r="E4968" s="23">
        <v>0</v>
      </c>
      <c r="F4968" s="23">
        <v>0</v>
      </c>
      <c r="G4968" s="23">
        <v>0</v>
      </c>
      <c r="H4968" s="23">
        <v>0</v>
      </c>
      <c r="I4968" s="23">
        <v>1361.338</v>
      </c>
      <c r="J4968" s="23">
        <v>0</v>
      </c>
      <c r="K4968" s="23">
        <v>0</v>
      </c>
    </row>
    <row r="4969" spans="1:11" x14ac:dyDescent="0.25">
      <c r="A4969">
        <v>4968</v>
      </c>
      <c r="B4969" s="23">
        <v>1071.250738</v>
      </c>
      <c r="C4969" s="23">
        <v>0</v>
      </c>
      <c r="D4969" s="23">
        <v>0</v>
      </c>
      <c r="E4969" s="23">
        <v>0</v>
      </c>
      <c r="F4969" s="23">
        <v>0</v>
      </c>
      <c r="G4969" s="23">
        <v>0</v>
      </c>
      <c r="H4969" s="23">
        <v>0</v>
      </c>
      <c r="I4969" s="23">
        <v>1071.251</v>
      </c>
      <c r="J4969" s="23">
        <v>0</v>
      </c>
      <c r="K4969" s="23">
        <v>0</v>
      </c>
    </row>
    <row r="4970" spans="1:11" x14ac:dyDescent="0.25">
      <c r="A4970">
        <v>4969</v>
      </c>
      <c r="B4970" s="23">
        <v>1274.3118059999999</v>
      </c>
      <c r="C4970" s="23">
        <v>0</v>
      </c>
      <c r="D4970" s="23">
        <v>0</v>
      </c>
      <c r="E4970" s="23">
        <v>0</v>
      </c>
      <c r="F4970" s="23">
        <v>0</v>
      </c>
      <c r="G4970" s="23">
        <v>0</v>
      </c>
      <c r="H4970" s="23">
        <v>0</v>
      </c>
      <c r="I4970" s="23">
        <v>1274.3119999999999</v>
      </c>
      <c r="J4970" s="23">
        <v>0</v>
      </c>
      <c r="K4970" s="23">
        <v>0</v>
      </c>
    </row>
    <row r="4971" spans="1:11" x14ac:dyDescent="0.25">
      <c r="A4971">
        <v>4970</v>
      </c>
      <c r="B4971" s="23">
        <v>875.78719269999999</v>
      </c>
      <c r="C4971" s="23">
        <v>0</v>
      </c>
      <c r="D4971" s="23">
        <v>0</v>
      </c>
      <c r="E4971" s="23">
        <v>0</v>
      </c>
      <c r="F4971" s="23">
        <v>0</v>
      </c>
      <c r="G4971" s="23">
        <v>0</v>
      </c>
      <c r="H4971" s="23">
        <v>0</v>
      </c>
      <c r="I4971" s="23">
        <v>875.78700000000003</v>
      </c>
      <c r="J4971" s="23">
        <v>0</v>
      </c>
      <c r="K4971" s="23">
        <v>0</v>
      </c>
    </row>
    <row r="4972" spans="1:11" x14ac:dyDescent="0.25">
      <c r="A4972">
        <v>4971</v>
      </c>
      <c r="B4972" s="23">
        <v>1036.716543</v>
      </c>
      <c r="C4972" s="23">
        <v>0</v>
      </c>
      <c r="D4972" s="23">
        <v>0</v>
      </c>
      <c r="E4972" s="23">
        <v>0</v>
      </c>
      <c r="F4972" s="23">
        <v>0</v>
      </c>
      <c r="G4972" s="23">
        <v>0</v>
      </c>
      <c r="H4972" s="23">
        <v>0</v>
      </c>
      <c r="I4972" s="23">
        <v>1036.7170000000001</v>
      </c>
      <c r="J4972" s="23">
        <v>0</v>
      </c>
      <c r="K4972" s="23">
        <v>0</v>
      </c>
    </row>
    <row r="4973" spans="1:11" x14ac:dyDescent="0.25">
      <c r="A4973">
        <v>4972</v>
      </c>
      <c r="B4973" s="23">
        <v>911.70275579999998</v>
      </c>
      <c r="C4973" s="23">
        <v>0</v>
      </c>
      <c r="D4973" s="23">
        <v>0</v>
      </c>
      <c r="E4973" s="23">
        <v>0</v>
      </c>
      <c r="F4973" s="23">
        <v>0</v>
      </c>
      <c r="G4973" s="23">
        <v>0</v>
      </c>
      <c r="H4973" s="23">
        <v>0</v>
      </c>
      <c r="I4973" s="23">
        <v>911.70299999999997</v>
      </c>
      <c r="J4973" s="23">
        <v>0</v>
      </c>
      <c r="K4973" s="23">
        <v>0</v>
      </c>
    </row>
    <row r="4974" spans="1:11" x14ac:dyDescent="0.25">
      <c r="A4974">
        <v>4973</v>
      </c>
      <c r="B4974" s="23">
        <v>1306.0832660000001</v>
      </c>
      <c r="C4974" s="23">
        <v>0</v>
      </c>
      <c r="D4974" s="23">
        <v>0</v>
      </c>
      <c r="E4974" s="23">
        <v>0</v>
      </c>
      <c r="F4974" s="23">
        <v>0</v>
      </c>
      <c r="G4974" s="23">
        <v>0</v>
      </c>
      <c r="H4974" s="23">
        <v>0</v>
      </c>
      <c r="I4974" s="23">
        <v>1035.944</v>
      </c>
      <c r="J4974" s="23">
        <v>0</v>
      </c>
      <c r="K4974" s="23">
        <v>270.13900000000001</v>
      </c>
    </row>
    <row r="4975" spans="1:11" x14ac:dyDescent="0.25">
      <c r="A4975">
        <v>4974</v>
      </c>
      <c r="B4975" s="23">
        <v>1031.1910720000001</v>
      </c>
      <c r="C4975" s="23">
        <v>0</v>
      </c>
      <c r="D4975" s="23">
        <v>0</v>
      </c>
      <c r="E4975" s="23">
        <v>0</v>
      </c>
      <c r="F4975" s="23">
        <v>0</v>
      </c>
      <c r="G4975" s="23">
        <v>0</v>
      </c>
      <c r="H4975" s="23">
        <v>0</v>
      </c>
      <c r="I4975" s="23">
        <v>0</v>
      </c>
      <c r="J4975" s="23">
        <v>0</v>
      </c>
      <c r="K4975" s="23">
        <v>1031.191</v>
      </c>
    </row>
    <row r="4976" spans="1:11" x14ac:dyDescent="0.25">
      <c r="A4976">
        <v>4975</v>
      </c>
      <c r="B4976" s="23">
        <v>1167.9464849999999</v>
      </c>
      <c r="C4976" s="23">
        <v>34.299999999999997</v>
      </c>
      <c r="D4976" s="23">
        <v>109.473</v>
      </c>
      <c r="E4976" s="23">
        <v>109.473</v>
      </c>
      <c r="F4976" s="23">
        <v>0</v>
      </c>
      <c r="G4976" s="23">
        <v>0</v>
      </c>
      <c r="H4976" s="23">
        <v>0</v>
      </c>
      <c r="I4976" s="23">
        <v>0</v>
      </c>
      <c r="J4976" s="23">
        <v>0</v>
      </c>
      <c r="K4976" s="23">
        <v>1058.4739999999999</v>
      </c>
    </row>
    <row r="4977" spans="1:11" x14ac:dyDescent="0.25">
      <c r="A4977">
        <v>4976</v>
      </c>
      <c r="B4977" s="23">
        <v>1102.069917</v>
      </c>
      <c r="C4977" s="23">
        <v>108</v>
      </c>
      <c r="D4977" s="23">
        <v>407.77</v>
      </c>
      <c r="E4977" s="23">
        <v>407.77</v>
      </c>
      <c r="F4977" s="23">
        <v>0</v>
      </c>
      <c r="G4977" s="23">
        <v>0</v>
      </c>
      <c r="H4977" s="23">
        <v>0</v>
      </c>
      <c r="I4977" s="23">
        <v>0</v>
      </c>
      <c r="J4977" s="23">
        <v>0</v>
      </c>
      <c r="K4977" s="23">
        <v>694.3</v>
      </c>
    </row>
    <row r="4978" spans="1:11" x14ac:dyDescent="0.25">
      <c r="A4978">
        <v>4977</v>
      </c>
      <c r="B4978" s="23">
        <v>1017.123567</v>
      </c>
      <c r="C4978" s="23">
        <v>280.13</v>
      </c>
      <c r="D4978" s="23">
        <v>1094.5519999999999</v>
      </c>
      <c r="E4978" s="23">
        <v>1017.123</v>
      </c>
      <c r="F4978" s="23">
        <v>-77.429000000000002</v>
      </c>
      <c r="G4978" s="23">
        <v>0</v>
      </c>
      <c r="H4978" s="23">
        <v>0</v>
      </c>
      <c r="I4978" s="23">
        <v>0</v>
      </c>
      <c r="J4978" s="23">
        <v>0</v>
      </c>
      <c r="K4978" s="23">
        <v>0</v>
      </c>
    </row>
    <row r="4979" spans="1:11" x14ac:dyDescent="0.25">
      <c r="A4979">
        <v>4978</v>
      </c>
      <c r="B4979" s="23">
        <v>1192.6798759999999</v>
      </c>
      <c r="C4979" s="23">
        <v>333.51</v>
      </c>
      <c r="D4979" s="23">
        <v>1288.0509999999999</v>
      </c>
      <c r="E4979" s="23">
        <v>1192.68</v>
      </c>
      <c r="F4979" s="23">
        <v>-95.370999999999995</v>
      </c>
      <c r="G4979" s="23">
        <v>0</v>
      </c>
      <c r="H4979" s="23">
        <v>0</v>
      </c>
      <c r="I4979" s="23">
        <v>0</v>
      </c>
      <c r="J4979" s="23">
        <v>0</v>
      </c>
      <c r="K4979" s="23">
        <v>0</v>
      </c>
    </row>
    <row r="4980" spans="1:11" x14ac:dyDescent="0.25">
      <c r="A4980">
        <v>4979</v>
      </c>
      <c r="B4980" s="23">
        <v>1048.535871</v>
      </c>
      <c r="C4980" s="23">
        <v>687.02</v>
      </c>
      <c r="D4980" s="23">
        <v>2612.9650000000001</v>
      </c>
      <c r="E4980" s="23">
        <v>1048.5350000000001</v>
      </c>
      <c r="F4980" s="23">
        <v>-1564.43</v>
      </c>
      <c r="G4980" s="23">
        <v>0</v>
      </c>
      <c r="H4980" s="23">
        <v>0</v>
      </c>
      <c r="I4980" s="23">
        <v>0</v>
      </c>
      <c r="J4980" s="23">
        <v>0</v>
      </c>
      <c r="K4980" s="23">
        <v>0</v>
      </c>
    </row>
    <row r="4981" spans="1:11" x14ac:dyDescent="0.25">
      <c r="A4981">
        <v>4980</v>
      </c>
      <c r="B4981" s="23">
        <v>1037.468525</v>
      </c>
      <c r="C4981" s="23">
        <v>750.19</v>
      </c>
      <c r="D4981" s="23">
        <v>2832.5520000000001</v>
      </c>
      <c r="E4981" s="23">
        <v>1037.4690000000001</v>
      </c>
      <c r="F4981" s="23">
        <v>-1684.559</v>
      </c>
      <c r="G4981" s="23">
        <v>0</v>
      </c>
      <c r="H4981" s="23">
        <v>110.524</v>
      </c>
      <c r="I4981" s="23">
        <v>0</v>
      </c>
      <c r="J4981" s="23">
        <v>0</v>
      </c>
      <c r="K4981" s="23">
        <v>0</v>
      </c>
    </row>
    <row r="4982" spans="1:11" x14ac:dyDescent="0.25">
      <c r="A4982">
        <v>4981</v>
      </c>
      <c r="B4982" s="23">
        <v>1077.826912</v>
      </c>
      <c r="C4982" s="23">
        <v>717.87</v>
      </c>
      <c r="D4982" s="23">
        <v>2715.924</v>
      </c>
      <c r="E4982" s="23">
        <v>1077.827</v>
      </c>
      <c r="F4982" s="23">
        <v>-1638.097</v>
      </c>
      <c r="G4982" s="23">
        <v>0</v>
      </c>
      <c r="H4982" s="23">
        <v>0</v>
      </c>
      <c r="I4982" s="23">
        <v>0</v>
      </c>
      <c r="J4982" s="23">
        <v>0</v>
      </c>
      <c r="K4982" s="23">
        <v>0</v>
      </c>
    </row>
    <row r="4983" spans="1:11" x14ac:dyDescent="0.25">
      <c r="A4983">
        <v>4982</v>
      </c>
      <c r="B4983" s="23">
        <v>1076.3005009999999</v>
      </c>
      <c r="C4983" s="23">
        <v>715.23</v>
      </c>
      <c r="D4983" s="23">
        <v>2720.3150000000001</v>
      </c>
      <c r="E4983" s="23">
        <v>1076.3</v>
      </c>
      <c r="F4983" s="23">
        <v>-1644.0150000000001</v>
      </c>
      <c r="G4983" s="23">
        <v>0</v>
      </c>
      <c r="H4983" s="23">
        <v>0</v>
      </c>
      <c r="I4983" s="23">
        <v>0</v>
      </c>
      <c r="J4983" s="23">
        <v>0</v>
      </c>
      <c r="K4983" s="23">
        <v>0</v>
      </c>
    </row>
    <row r="4984" spans="1:11" x14ac:dyDescent="0.25">
      <c r="A4984">
        <v>4983</v>
      </c>
      <c r="B4984" s="23">
        <v>852.64410169999996</v>
      </c>
      <c r="C4984" s="23">
        <v>276.8</v>
      </c>
      <c r="D4984" s="23">
        <v>1063.7070000000001</v>
      </c>
      <c r="E4984" s="23">
        <v>852.64400000000001</v>
      </c>
      <c r="F4984" s="23">
        <v>-211.06299999999999</v>
      </c>
      <c r="G4984" s="23">
        <v>0</v>
      </c>
      <c r="H4984" s="23">
        <v>0</v>
      </c>
      <c r="I4984" s="23">
        <v>0</v>
      </c>
      <c r="J4984" s="23">
        <v>0</v>
      </c>
      <c r="K4984" s="23">
        <v>0</v>
      </c>
    </row>
    <row r="4985" spans="1:11" x14ac:dyDescent="0.25">
      <c r="A4985">
        <v>4984</v>
      </c>
      <c r="B4985" s="23">
        <v>422.94719659999998</v>
      </c>
      <c r="C4985" s="23">
        <v>303.69</v>
      </c>
      <c r="D4985" s="23">
        <v>1183.3409999999999</v>
      </c>
      <c r="E4985" s="23">
        <v>422.947</v>
      </c>
      <c r="F4985" s="23">
        <v>-376.53399999999999</v>
      </c>
      <c r="G4985" s="23">
        <v>0</v>
      </c>
      <c r="H4985" s="23">
        <v>383.86</v>
      </c>
      <c r="I4985" s="23">
        <v>0</v>
      </c>
      <c r="J4985" s="23">
        <v>0</v>
      </c>
      <c r="K4985" s="23">
        <v>0</v>
      </c>
    </row>
    <row r="4986" spans="1:11" x14ac:dyDescent="0.25">
      <c r="A4986">
        <v>4985</v>
      </c>
      <c r="B4986" s="23">
        <v>167.48307700000001</v>
      </c>
      <c r="C4986" s="23">
        <v>91.7</v>
      </c>
      <c r="D4986" s="23">
        <v>338.80200000000002</v>
      </c>
      <c r="E4986" s="23">
        <v>167.48400000000001</v>
      </c>
      <c r="F4986" s="23">
        <v>0</v>
      </c>
      <c r="G4986" s="23">
        <v>0</v>
      </c>
      <c r="H4986" s="23">
        <v>171.31800000000001</v>
      </c>
      <c r="I4986" s="23">
        <v>0</v>
      </c>
      <c r="J4986" s="23">
        <v>0</v>
      </c>
      <c r="K4986" s="23">
        <v>0</v>
      </c>
    </row>
    <row r="4987" spans="1:11" x14ac:dyDescent="0.25">
      <c r="A4987">
        <v>4986</v>
      </c>
      <c r="B4987" s="23">
        <v>147.32633060000001</v>
      </c>
      <c r="C4987" s="23">
        <v>71.040000000000006</v>
      </c>
      <c r="D4987" s="23">
        <v>247.36799999999999</v>
      </c>
      <c r="E4987" s="23">
        <v>147.327</v>
      </c>
      <c r="F4987" s="23">
        <v>0</v>
      </c>
      <c r="G4987" s="23">
        <v>0</v>
      </c>
      <c r="H4987" s="23">
        <v>100.041</v>
      </c>
      <c r="I4987" s="23">
        <v>0</v>
      </c>
      <c r="J4987" s="23">
        <v>0</v>
      </c>
      <c r="K4987" s="23">
        <v>0</v>
      </c>
    </row>
    <row r="4988" spans="1:11" x14ac:dyDescent="0.25">
      <c r="A4988">
        <v>4987</v>
      </c>
      <c r="B4988" s="23">
        <v>102.2212181</v>
      </c>
      <c r="C4988" s="23">
        <v>0</v>
      </c>
      <c r="D4988" s="23">
        <v>0</v>
      </c>
      <c r="E4988" s="23">
        <v>0</v>
      </c>
      <c r="F4988" s="23">
        <v>0</v>
      </c>
      <c r="G4988" s="23">
        <v>0</v>
      </c>
      <c r="H4988" s="23">
        <v>0</v>
      </c>
      <c r="I4988" s="23">
        <v>0</v>
      </c>
      <c r="J4988" s="23">
        <v>0</v>
      </c>
      <c r="K4988" s="23">
        <v>102.221</v>
      </c>
    </row>
    <row r="4989" spans="1:11" x14ac:dyDescent="0.25">
      <c r="A4989">
        <v>4988</v>
      </c>
      <c r="B4989" s="23">
        <v>109.818741</v>
      </c>
      <c r="C4989" s="23">
        <v>0</v>
      </c>
      <c r="D4989" s="23">
        <v>0</v>
      </c>
      <c r="E4989" s="23">
        <v>0</v>
      </c>
      <c r="F4989" s="23">
        <v>0</v>
      </c>
      <c r="G4989" s="23">
        <v>0</v>
      </c>
      <c r="H4989" s="23">
        <v>0</v>
      </c>
      <c r="I4989" s="23">
        <v>0</v>
      </c>
      <c r="J4989" s="23">
        <v>0</v>
      </c>
      <c r="K4989" s="23">
        <v>109.819</v>
      </c>
    </row>
    <row r="4990" spans="1:11" x14ac:dyDescent="0.25">
      <c r="A4990">
        <v>4989</v>
      </c>
      <c r="B4990" s="23">
        <v>87.026172149999994</v>
      </c>
      <c r="C4990" s="23">
        <v>0</v>
      </c>
      <c r="D4990" s="23">
        <v>0</v>
      </c>
      <c r="E4990" s="23">
        <v>0</v>
      </c>
      <c r="F4990" s="23">
        <v>0</v>
      </c>
      <c r="G4990" s="23">
        <v>0</v>
      </c>
      <c r="H4990" s="23">
        <v>0</v>
      </c>
      <c r="I4990" s="23">
        <v>0</v>
      </c>
      <c r="J4990" s="23">
        <v>0</v>
      </c>
      <c r="K4990" s="23">
        <v>87.025999999999996</v>
      </c>
    </row>
    <row r="4991" spans="1:11" x14ac:dyDescent="0.25">
      <c r="A4991">
        <v>4990</v>
      </c>
      <c r="B4991" s="23">
        <v>81.500700899999998</v>
      </c>
      <c r="C4991" s="23">
        <v>0</v>
      </c>
      <c r="D4991" s="23">
        <v>0</v>
      </c>
      <c r="E4991" s="23">
        <v>0</v>
      </c>
      <c r="F4991" s="23">
        <v>0</v>
      </c>
      <c r="G4991" s="23">
        <v>0</v>
      </c>
      <c r="H4991" s="23">
        <v>0</v>
      </c>
      <c r="I4991" s="23">
        <v>0</v>
      </c>
      <c r="J4991" s="23">
        <v>0</v>
      </c>
      <c r="K4991" s="23">
        <v>81.501000000000005</v>
      </c>
    </row>
    <row r="4992" spans="1:11" x14ac:dyDescent="0.25">
      <c r="A4992">
        <v>4991</v>
      </c>
      <c r="B4992" s="23">
        <v>81.500700899999998</v>
      </c>
      <c r="C4992" s="23">
        <v>0</v>
      </c>
      <c r="D4992" s="23">
        <v>0</v>
      </c>
      <c r="E4992" s="23">
        <v>0</v>
      </c>
      <c r="F4992" s="23">
        <v>0</v>
      </c>
      <c r="G4992" s="23">
        <v>0</v>
      </c>
      <c r="H4992" s="23">
        <v>0</v>
      </c>
      <c r="I4992" s="23">
        <v>0</v>
      </c>
      <c r="J4992" s="23">
        <v>0</v>
      </c>
      <c r="K4992" s="23">
        <v>81.501000000000005</v>
      </c>
    </row>
    <row r="4993" spans="1:11" x14ac:dyDescent="0.25">
      <c r="A4993">
        <v>4992</v>
      </c>
      <c r="B4993" s="23">
        <v>85.644804339999993</v>
      </c>
      <c r="C4993" s="23">
        <v>0</v>
      </c>
      <c r="D4993" s="23">
        <v>0</v>
      </c>
      <c r="E4993" s="23">
        <v>0</v>
      </c>
      <c r="F4993" s="23">
        <v>0</v>
      </c>
      <c r="G4993" s="23">
        <v>0</v>
      </c>
      <c r="H4993" s="23">
        <v>0</v>
      </c>
      <c r="I4993" s="23">
        <v>0</v>
      </c>
      <c r="J4993" s="23">
        <v>0</v>
      </c>
      <c r="K4993" s="23">
        <v>85.644999999999996</v>
      </c>
    </row>
    <row r="4994" spans="1:11" x14ac:dyDescent="0.25">
      <c r="A4994">
        <v>4993</v>
      </c>
      <c r="B4994" s="23">
        <v>80.119333089999998</v>
      </c>
      <c r="C4994" s="23">
        <v>0</v>
      </c>
      <c r="D4994" s="23">
        <v>0</v>
      </c>
      <c r="E4994" s="23">
        <v>0</v>
      </c>
      <c r="F4994" s="23">
        <v>0</v>
      </c>
      <c r="G4994" s="23">
        <v>0</v>
      </c>
      <c r="H4994" s="23">
        <v>0</v>
      </c>
      <c r="I4994" s="23">
        <v>0</v>
      </c>
      <c r="J4994" s="23">
        <v>0</v>
      </c>
      <c r="K4994" s="23">
        <v>80.119</v>
      </c>
    </row>
    <row r="4995" spans="1:11" x14ac:dyDescent="0.25">
      <c r="A4995">
        <v>4994</v>
      </c>
      <c r="B4995" s="23">
        <v>78.737965279999997</v>
      </c>
      <c r="C4995" s="23">
        <v>0</v>
      </c>
      <c r="D4995" s="23">
        <v>0</v>
      </c>
      <c r="E4995" s="23">
        <v>0</v>
      </c>
      <c r="F4995" s="23">
        <v>0</v>
      </c>
      <c r="G4995" s="23">
        <v>0</v>
      </c>
      <c r="H4995" s="23">
        <v>0</v>
      </c>
      <c r="I4995" s="23">
        <v>0</v>
      </c>
      <c r="J4995" s="23">
        <v>0</v>
      </c>
      <c r="K4995" s="23">
        <v>78.738</v>
      </c>
    </row>
    <row r="4996" spans="1:11" x14ac:dyDescent="0.25">
      <c r="A4996">
        <v>4995</v>
      </c>
      <c r="B4996" s="23">
        <v>73.903177929999998</v>
      </c>
      <c r="C4996" s="23">
        <v>0</v>
      </c>
      <c r="D4996" s="23">
        <v>0</v>
      </c>
      <c r="E4996" s="23">
        <v>0</v>
      </c>
      <c r="F4996" s="23">
        <v>0</v>
      </c>
      <c r="G4996" s="23">
        <v>0</v>
      </c>
      <c r="H4996" s="23">
        <v>0</v>
      </c>
      <c r="I4996" s="23">
        <v>0</v>
      </c>
      <c r="J4996" s="23">
        <v>0</v>
      </c>
      <c r="K4996" s="23">
        <v>73.903000000000006</v>
      </c>
    </row>
    <row r="4997" spans="1:11" x14ac:dyDescent="0.25">
      <c r="A4997">
        <v>4996</v>
      </c>
      <c r="B4997" s="23">
        <v>80.810016989999994</v>
      </c>
      <c r="C4997" s="23">
        <v>0</v>
      </c>
      <c r="D4997" s="23">
        <v>0</v>
      </c>
      <c r="E4997" s="23">
        <v>0</v>
      </c>
      <c r="F4997" s="23">
        <v>0</v>
      </c>
      <c r="G4997" s="23">
        <v>0</v>
      </c>
      <c r="H4997" s="23">
        <v>0</v>
      </c>
      <c r="I4997" s="23">
        <v>0</v>
      </c>
      <c r="J4997" s="23">
        <v>0</v>
      </c>
      <c r="K4997" s="23">
        <v>80.81</v>
      </c>
    </row>
    <row r="4998" spans="1:11" x14ac:dyDescent="0.25">
      <c r="A4998">
        <v>4997</v>
      </c>
      <c r="B4998" s="23">
        <v>77.356597460000003</v>
      </c>
      <c r="C4998" s="23">
        <v>0</v>
      </c>
      <c r="D4998" s="23">
        <v>0</v>
      </c>
      <c r="E4998" s="23">
        <v>0</v>
      </c>
      <c r="F4998" s="23">
        <v>0</v>
      </c>
      <c r="G4998" s="23">
        <v>0</v>
      </c>
      <c r="H4998" s="23">
        <v>0</v>
      </c>
      <c r="I4998" s="23">
        <v>0</v>
      </c>
      <c r="J4998" s="23">
        <v>0</v>
      </c>
      <c r="K4998" s="23">
        <v>77.356999999999999</v>
      </c>
    </row>
    <row r="4999" spans="1:11" x14ac:dyDescent="0.25">
      <c r="A4999">
        <v>4998</v>
      </c>
      <c r="B4999" s="23">
        <v>80.810016989999994</v>
      </c>
      <c r="C4999" s="23">
        <v>0</v>
      </c>
      <c r="D4999" s="23">
        <v>0</v>
      </c>
      <c r="E4999" s="23">
        <v>0</v>
      </c>
      <c r="F4999" s="23">
        <v>0</v>
      </c>
      <c r="G4999" s="23">
        <v>0</v>
      </c>
      <c r="H4999" s="23">
        <v>0</v>
      </c>
      <c r="I4999" s="23">
        <v>0</v>
      </c>
      <c r="J4999" s="23">
        <v>0</v>
      </c>
      <c r="K4999" s="23">
        <v>80.81</v>
      </c>
    </row>
    <row r="5000" spans="1:11" x14ac:dyDescent="0.25">
      <c r="A5000">
        <v>4999</v>
      </c>
      <c r="B5000" s="23">
        <v>70.449758399999993</v>
      </c>
      <c r="C5000" s="23">
        <v>37.24</v>
      </c>
      <c r="D5000" s="23">
        <v>121.617</v>
      </c>
      <c r="E5000" s="23">
        <v>70.448999999999998</v>
      </c>
      <c r="F5000" s="23">
        <v>-51.167999999999999</v>
      </c>
      <c r="G5000" s="23">
        <v>0</v>
      </c>
      <c r="H5000" s="23">
        <v>0</v>
      </c>
      <c r="I5000" s="23">
        <v>0</v>
      </c>
      <c r="J5000" s="23">
        <v>0</v>
      </c>
      <c r="K5000" s="23">
        <v>0</v>
      </c>
    </row>
    <row r="5001" spans="1:11" x14ac:dyDescent="0.25">
      <c r="A5001">
        <v>5000</v>
      </c>
      <c r="B5001" s="23">
        <v>82.070515119999996</v>
      </c>
      <c r="C5001" s="23">
        <v>116.12</v>
      </c>
      <c r="D5001" s="23">
        <v>442.04399999999998</v>
      </c>
      <c r="E5001" s="23">
        <v>82.07</v>
      </c>
      <c r="F5001" s="23">
        <v>-359.97399999999999</v>
      </c>
      <c r="G5001" s="23">
        <v>0</v>
      </c>
      <c r="H5001" s="23">
        <v>0</v>
      </c>
      <c r="I5001" s="23">
        <v>0</v>
      </c>
      <c r="J5001" s="23">
        <v>0</v>
      </c>
      <c r="K5001" s="23">
        <v>0</v>
      </c>
    </row>
    <row r="5002" spans="1:11" x14ac:dyDescent="0.25">
      <c r="A5002">
        <v>5001</v>
      </c>
      <c r="B5002" s="23">
        <v>531.20240200000001</v>
      </c>
      <c r="C5002" s="23">
        <v>368.2</v>
      </c>
      <c r="D5002" s="23">
        <v>1444.7750000000001</v>
      </c>
      <c r="E5002" s="23">
        <v>531.202</v>
      </c>
      <c r="F5002" s="23">
        <v>-723.39499999999998</v>
      </c>
      <c r="G5002" s="23">
        <v>0</v>
      </c>
      <c r="H5002" s="23">
        <v>190.178</v>
      </c>
      <c r="I5002" s="23">
        <v>0</v>
      </c>
      <c r="J5002" s="23">
        <v>0</v>
      </c>
      <c r="K5002" s="23">
        <v>0</v>
      </c>
    </row>
    <row r="5003" spans="1:11" x14ac:dyDescent="0.25">
      <c r="A5003">
        <v>5002</v>
      </c>
      <c r="B5003" s="23">
        <v>1284.546879</v>
      </c>
      <c r="C5003" s="23">
        <v>509.29</v>
      </c>
      <c r="D5003" s="23">
        <v>1971.8330000000001</v>
      </c>
      <c r="E5003" s="23">
        <v>1284.547</v>
      </c>
      <c r="F5003" s="23">
        <v>0</v>
      </c>
      <c r="G5003" s="23">
        <v>0</v>
      </c>
      <c r="H5003" s="23">
        <v>687.28599999999994</v>
      </c>
      <c r="I5003" s="23">
        <v>0</v>
      </c>
      <c r="J5003" s="23">
        <v>0</v>
      </c>
      <c r="K5003" s="23">
        <v>0</v>
      </c>
    </row>
    <row r="5004" spans="1:11" x14ac:dyDescent="0.25">
      <c r="A5004">
        <v>5003</v>
      </c>
      <c r="B5004" s="23">
        <v>1356.113818</v>
      </c>
      <c r="C5004" s="23">
        <v>367.36</v>
      </c>
      <c r="D5004" s="23">
        <v>1413.693</v>
      </c>
      <c r="E5004" s="23">
        <v>1356.114</v>
      </c>
      <c r="F5004" s="23">
        <v>0</v>
      </c>
      <c r="G5004" s="23">
        <v>0</v>
      </c>
      <c r="H5004" s="23">
        <v>57.579000000000001</v>
      </c>
      <c r="I5004" s="23">
        <v>0</v>
      </c>
      <c r="J5004" s="23">
        <v>0</v>
      </c>
      <c r="K5004" s="23">
        <v>0</v>
      </c>
    </row>
    <row r="5005" spans="1:11" x14ac:dyDescent="0.25">
      <c r="A5005">
        <v>5004</v>
      </c>
      <c r="B5005" s="23">
        <v>1186.7149569999999</v>
      </c>
      <c r="C5005" s="23">
        <v>624.20000000000005</v>
      </c>
      <c r="D5005" s="23">
        <v>2382.1019999999999</v>
      </c>
      <c r="E5005" s="23">
        <v>1186.7149999999999</v>
      </c>
      <c r="F5005" s="23">
        <v>0</v>
      </c>
      <c r="G5005" s="23">
        <v>0</v>
      </c>
      <c r="H5005" s="23">
        <v>1195.3869999999999</v>
      </c>
      <c r="I5005" s="23">
        <v>0</v>
      </c>
      <c r="J5005" s="23">
        <v>0</v>
      </c>
      <c r="K5005" s="23">
        <v>0</v>
      </c>
    </row>
    <row r="5006" spans="1:11" x14ac:dyDescent="0.25">
      <c r="A5006">
        <v>5005</v>
      </c>
      <c r="B5006" s="23">
        <v>1505.9818660000001</v>
      </c>
      <c r="C5006" s="23">
        <v>459.35</v>
      </c>
      <c r="D5006" s="23">
        <v>1761.08</v>
      </c>
      <c r="E5006" s="23">
        <v>1505.982</v>
      </c>
      <c r="F5006" s="23">
        <v>0</v>
      </c>
      <c r="G5006" s="23">
        <v>0</v>
      </c>
      <c r="H5006" s="23">
        <v>255.09800000000001</v>
      </c>
      <c r="I5006" s="23">
        <v>0</v>
      </c>
      <c r="J5006" s="23">
        <v>0</v>
      </c>
      <c r="K5006" s="23">
        <v>0</v>
      </c>
    </row>
    <row r="5007" spans="1:11" x14ac:dyDescent="0.25">
      <c r="A5007">
        <v>5006</v>
      </c>
      <c r="B5007" s="23">
        <v>1112.083971</v>
      </c>
      <c r="C5007" s="23">
        <v>119.23</v>
      </c>
      <c r="D5007" s="23">
        <v>437.142</v>
      </c>
      <c r="E5007" s="23">
        <v>437.142</v>
      </c>
      <c r="F5007" s="23">
        <v>0</v>
      </c>
      <c r="G5007" s="23">
        <v>0</v>
      </c>
      <c r="H5007" s="23">
        <v>0</v>
      </c>
      <c r="I5007" s="23">
        <v>674.94200000000001</v>
      </c>
      <c r="J5007" s="23">
        <v>0</v>
      </c>
      <c r="K5007" s="23">
        <v>0</v>
      </c>
    </row>
    <row r="5008" spans="1:11" x14ac:dyDescent="0.25">
      <c r="A5008">
        <v>5007</v>
      </c>
      <c r="B5008" s="23">
        <v>1330.2779230000001</v>
      </c>
      <c r="C5008" s="23">
        <v>79.42</v>
      </c>
      <c r="D5008" s="23">
        <v>281.81299999999999</v>
      </c>
      <c r="E5008" s="23">
        <v>281.81299999999999</v>
      </c>
      <c r="F5008" s="23">
        <v>0</v>
      </c>
      <c r="G5008" s="23">
        <v>0</v>
      </c>
      <c r="H5008" s="23">
        <v>0</v>
      </c>
      <c r="I5008" s="23">
        <v>1048.4649999999999</v>
      </c>
      <c r="J5008" s="23">
        <v>0</v>
      </c>
      <c r="K5008" s="23">
        <v>0</v>
      </c>
    </row>
    <row r="5009" spans="1:11" x14ac:dyDescent="0.25">
      <c r="A5009">
        <v>5008</v>
      </c>
      <c r="B5009" s="23">
        <v>1190.5629289999999</v>
      </c>
      <c r="C5009" s="23">
        <v>225.5</v>
      </c>
      <c r="D5009" s="23">
        <v>874.02099999999996</v>
      </c>
      <c r="E5009" s="23">
        <v>874.02099999999996</v>
      </c>
      <c r="F5009" s="23">
        <v>0</v>
      </c>
      <c r="G5009" s="23">
        <v>0</v>
      </c>
      <c r="H5009" s="23">
        <v>0</v>
      </c>
      <c r="I5009" s="23">
        <v>316.54199999999997</v>
      </c>
      <c r="J5009" s="23">
        <v>0</v>
      </c>
      <c r="K5009" s="23">
        <v>0</v>
      </c>
    </row>
    <row r="5010" spans="1:11" x14ac:dyDescent="0.25">
      <c r="A5010">
        <v>5009</v>
      </c>
      <c r="B5010" s="23">
        <v>1041.9355230000001</v>
      </c>
      <c r="C5010" s="23">
        <v>87.83</v>
      </c>
      <c r="D5010" s="23">
        <v>323.95499999999998</v>
      </c>
      <c r="E5010" s="23">
        <v>323.95499999999998</v>
      </c>
      <c r="F5010" s="23">
        <v>0</v>
      </c>
      <c r="G5010" s="23">
        <v>0</v>
      </c>
      <c r="H5010" s="23">
        <v>0</v>
      </c>
      <c r="I5010" s="23">
        <v>717.98</v>
      </c>
      <c r="J5010" s="23">
        <v>0</v>
      </c>
      <c r="K5010" s="23">
        <v>0</v>
      </c>
    </row>
    <row r="5011" spans="1:11" x14ac:dyDescent="0.25">
      <c r="A5011">
        <v>5010</v>
      </c>
      <c r="B5011" s="23">
        <v>1168.674293</v>
      </c>
      <c r="C5011" s="23">
        <v>48.75</v>
      </c>
      <c r="D5011" s="23">
        <v>165.547</v>
      </c>
      <c r="E5011" s="23">
        <v>165.547</v>
      </c>
      <c r="F5011" s="23">
        <v>0</v>
      </c>
      <c r="G5011" s="23">
        <v>0</v>
      </c>
      <c r="H5011" s="23">
        <v>0</v>
      </c>
      <c r="I5011" s="23">
        <v>0</v>
      </c>
      <c r="J5011" s="23">
        <v>0</v>
      </c>
      <c r="K5011" s="23">
        <v>1003.127</v>
      </c>
    </row>
    <row r="5012" spans="1:11" x14ac:dyDescent="0.25">
      <c r="A5012">
        <v>5011</v>
      </c>
      <c r="B5012" s="23">
        <v>1443.53368</v>
      </c>
      <c r="C5012" s="23">
        <v>0</v>
      </c>
      <c r="D5012" s="23">
        <v>0</v>
      </c>
      <c r="E5012" s="23">
        <v>0</v>
      </c>
      <c r="F5012" s="23">
        <v>0</v>
      </c>
      <c r="G5012" s="23">
        <v>0</v>
      </c>
      <c r="H5012" s="23">
        <v>0</v>
      </c>
      <c r="I5012" s="23">
        <v>0</v>
      </c>
      <c r="J5012" s="23">
        <v>0</v>
      </c>
      <c r="K5012" s="23">
        <v>1443.5340000000001</v>
      </c>
    </row>
    <row r="5013" spans="1:11" x14ac:dyDescent="0.25">
      <c r="A5013">
        <v>5012</v>
      </c>
      <c r="B5013" s="23">
        <v>1038.0979110000001</v>
      </c>
      <c r="C5013" s="23">
        <v>0</v>
      </c>
      <c r="D5013" s="23">
        <v>0</v>
      </c>
      <c r="E5013" s="23">
        <v>0</v>
      </c>
      <c r="F5013" s="23">
        <v>0</v>
      </c>
      <c r="G5013" s="23">
        <v>0</v>
      </c>
      <c r="H5013" s="23">
        <v>0</v>
      </c>
      <c r="I5013" s="23">
        <v>0</v>
      </c>
      <c r="J5013" s="23">
        <v>0</v>
      </c>
      <c r="K5013" s="23">
        <v>1038.098</v>
      </c>
    </row>
    <row r="5014" spans="1:11" x14ac:dyDescent="0.25">
      <c r="A5014">
        <v>5013</v>
      </c>
      <c r="B5014" s="23">
        <v>1286.744117</v>
      </c>
      <c r="C5014" s="23">
        <v>0</v>
      </c>
      <c r="D5014" s="23">
        <v>0</v>
      </c>
      <c r="E5014" s="23">
        <v>0</v>
      </c>
      <c r="F5014" s="23">
        <v>0</v>
      </c>
      <c r="G5014" s="23">
        <v>0</v>
      </c>
      <c r="H5014" s="23">
        <v>0</v>
      </c>
      <c r="I5014" s="23">
        <v>1286.7439999999999</v>
      </c>
      <c r="J5014" s="23">
        <v>0</v>
      </c>
      <c r="K5014" s="23">
        <v>0</v>
      </c>
    </row>
    <row r="5015" spans="1:11" x14ac:dyDescent="0.25">
      <c r="A5015">
        <v>5014</v>
      </c>
      <c r="B5015" s="23">
        <v>712.78579090000005</v>
      </c>
      <c r="C5015" s="23">
        <v>0</v>
      </c>
      <c r="D5015" s="23">
        <v>0</v>
      </c>
      <c r="E5015" s="23">
        <v>0</v>
      </c>
      <c r="F5015" s="23">
        <v>0</v>
      </c>
      <c r="G5015" s="23">
        <v>0</v>
      </c>
      <c r="H5015" s="23">
        <v>0</v>
      </c>
      <c r="I5015" s="23">
        <v>96.213999999999999</v>
      </c>
      <c r="J5015" s="23">
        <v>0</v>
      </c>
      <c r="K5015" s="23">
        <v>616.572</v>
      </c>
    </row>
    <row r="5016" spans="1:11" x14ac:dyDescent="0.25">
      <c r="A5016">
        <v>5015</v>
      </c>
      <c r="B5016" s="23">
        <v>1145.8445999999999</v>
      </c>
      <c r="C5016" s="23">
        <v>0</v>
      </c>
      <c r="D5016" s="23">
        <v>0</v>
      </c>
      <c r="E5016" s="23">
        <v>0</v>
      </c>
      <c r="F5016" s="23">
        <v>0</v>
      </c>
      <c r="G5016" s="23">
        <v>0</v>
      </c>
      <c r="H5016" s="23">
        <v>0</v>
      </c>
      <c r="I5016" s="23">
        <v>1145.845</v>
      </c>
      <c r="J5016" s="23">
        <v>0</v>
      </c>
      <c r="K5016" s="23">
        <v>0</v>
      </c>
    </row>
    <row r="5017" spans="1:11" x14ac:dyDescent="0.25">
      <c r="A5017">
        <v>5016</v>
      </c>
      <c r="B5017" s="23">
        <v>1181.7601629999999</v>
      </c>
      <c r="C5017" s="23">
        <v>0</v>
      </c>
      <c r="D5017" s="23">
        <v>0</v>
      </c>
      <c r="E5017" s="23">
        <v>0</v>
      </c>
      <c r="F5017" s="23">
        <v>0</v>
      </c>
      <c r="G5017" s="23">
        <v>0</v>
      </c>
      <c r="H5017" s="23">
        <v>0</v>
      </c>
      <c r="I5017" s="23">
        <v>1181.76</v>
      </c>
      <c r="J5017" s="23">
        <v>0</v>
      </c>
      <c r="K5017" s="23">
        <v>0</v>
      </c>
    </row>
    <row r="5018" spans="1:11" x14ac:dyDescent="0.25">
      <c r="A5018">
        <v>5017</v>
      </c>
      <c r="B5018" s="23">
        <v>911.70275579999998</v>
      </c>
      <c r="C5018" s="23">
        <v>0</v>
      </c>
      <c r="D5018" s="23">
        <v>0</v>
      </c>
      <c r="E5018" s="23">
        <v>0</v>
      </c>
      <c r="F5018" s="23">
        <v>0</v>
      </c>
      <c r="G5018" s="23">
        <v>0</v>
      </c>
      <c r="H5018" s="23">
        <v>0</v>
      </c>
      <c r="I5018" s="23">
        <v>911.70299999999997</v>
      </c>
      <c r="J5018" s="23">
        <v>0</v>
      </c>
      <c r="K5018" s="23">
        <v>0</v>
      </c>
    </row>
    <row r="5019" spans="1:11" x14ac:dyDescent="0.25">
      <c r="A5019">
        <v>5018</v>
      </c>
      <c r="B5019" s="23">
        <v>1009.089187</v>
      </c>
      <c r="C5019" s="23">
        <v>0</v>
      </c>
      <c r="D5019" s="23">
        <v>0</v>
      </c>
      <c r="E5019" s="23">
        <v>0</v>
      </c>
      <c r="F5019" s="23">
        <v>0</v>
      </c>
      <c r="G5019" s="23">
        <v>0</v>
      </c>
      <c r="H5019" s="23">
        <v>0</v>
      </c>
      <c r="I5019" s="23">
        <v>1009.0890000000001</v>
      </c>
      <c r="J5019" s="23">
        <v>0</v>
      </c>
      <c r="K5019" s="23">
        <v>0</v>
      </c>
    </row>
    <row r="5020" spans="1:11" x14ac:dyDescent="0.25">
      <c r="A5020">
        <v>5019</v>
      </c>
      <c r="B5020" s="23">
        <v>973.86430740000003</v>
      </c>
      <c r="C5020" s="23">
        <v>0</v>
      </c>
      <c r="D5020" s="23">
        <v>0</v>
      </c>
      <c r="E5020" s="23">
        <v>0</v>
      </c>
      <c r="F5020" s="23">
        <v>0</v>
      </c>
      <c r="G5020" s="23">
        <v>0</v>
      </c>
      <c r="H5020" s="23">
        <v>0</v>
      </c>
      <c r="I5020" s="23">
        <v>973.86400000000003</v>
      </c>
      <c r="J5020" s="23">
        <v>0</v>
      </c>
      <c r="K5020" s="23">
        <v>0</v>
      </c>
    </row>
    <row r="5021" spans="1:11" x14ac:dyDescent="0.25">
      <c r="A5021">
        <v>5020</v>
      </c>
      <c r="B5021" s="23">
        <v>848.15983649999998</v>
      </c>
      <c r="C5021" s="23">
        <v>0</v>
      </c>
      <c r="D5021" s="23">
        <v>0</v>
      </c>
      <c r="E5021" s="23">
        <v>0</v>
      </c>
      <c r="F5021" s="23">
        <v>0</v>
      </c>
      <c r="G5021" s="23">
        <v>0</v>
      </c>
      <c r="H5021" s="23">
        <v>0</v>
      </c>
      <c r="I5021" s="23">
        <v>848.16</v>
      </c>
      <c r="J5021" s="23">
        <v>0</v>
      </c>
      <c r="K5021" s="23">
        <v>0</v>
      </c>
    </row>
    <row r="5022" spans="1:11" x14ac:dyDescent="0.25">
      <c r="A5022">
        <v>5021</v>
      </c>
      <c r="B5022" s="23">
        <v>780.47281369999996</v>
      </c>
      <c r="C5022" s="23">
        <v>0</v>
      </c>
      <c r="D5022" s="23">
        <v>0</v>
      </c>
      <c r="E5022" s="23">
        <v>0</v>
      </c>
      <c r="F5022" s="23">
        <v>0</v>
      </c>
      <c r="G5022" s="23">
        <v>0</v>
      </c>
      <c r="H5022" s="23">
        <v>0</v>
      </c>
      <c r="I5022" s="23">
        <v>0</v>
      </c>
      <c r="J5022" s="23">
        <v>0</v>
      </c>
      <c r="K5022" s="23">
        <v>780.47299999999996</v>
      </c>
    </row>
    <row r="5023" spans="1:11" x14ac:dyDescent="0.25">
      <c r="A5023">
        <v>5022</v>
      </c>
      <c r="B5023" s="23">
        <v>770.80323899999996</v>
      </c>
      <c r="C5023" s="23">
        <v>0</v>
      </c>
      <c r="D5023" s="23">
        <v>0</v>
      </c>
      <c r="E5023" s="23">
        <v>0</v>
      </c>
      <c r="F5023" s="23">
        <v>0</v>
      </c>
      <c r="G5023" s="23">
        <v>0</v>
      </c>
      <c r="H5023" s="23">
        <v>0</v>
      </c>
      <c r="I5023" s="23">
        <v>0</v>
      </c>
      <c r="J5023" s="23">
        <v>0</v>
      </c>
      <c r="K5023" s="23">
        <v>770.803</v>
      </c>
    </row>
    <row r="5024" spans="1:11" x14ac:dyDescent="0.25">
      <c r="A5024">
        <v>5023</v>
      </c>
      <c r="B5024" s="23">
        <v>969.02952000000005</v>
      </c>
      <c r="C5024" s="23">
        <v>46.87</v>
      </c>
      <c r="D5024" s="23">
        <v>160.08699999999999</v>
      </c>
      <c r="E5024" s="23">
        <v>160.08699999999999</v>
      </c>
      <c r="F5024" s="23">
        <v>0</v>
      </c>
      <c r="G5024" s="23">
        <v>0</v>
      </c>
      <c r="H5024" s="23">
        <v>0</v>
      </c>
      <c r="I5024" s="23">
        <v>0</v>
      </c>
      <c r="J5024" s="23">
        <v>0</v>
      </c>
      <c r="K5024" s="23">
        <v>808.94299999999998</v>
      </c>
    </row>
    <row r="5025" spans="1:11" x14ac:dyDescent="0.25">
      <c r="A5025">
        <v>5024</v>
      </c>
      <c r="B5025" s="23">
        <v>708.54326500000002</v>
      </c>
      <c r="C5025" s="23">
        <v>158.44</v>
      </c>
      <c r="D5025" s="23">
        <v>618.24300000000005</v>
      </c>
      <c r="E5025" s="23">
        <v>618.24300000000005</v>
      </c>
      <c r="F5025" s="23">
        <v>0</v>
      </c>
      <c r="G5025" s="23">
        <v>0</v>
      </c>
      <c r="H5025" s="23">
        <v>0</v>
      </c>
      <c r="I5025" s="23">
        <v>0</v>
      </c>
      <c r="J5025" s="23">
        <v>0</v>
      </c>
      <c r="K5025" s="23">
        <v>90.3</v>
      </c>
    </row>
    <row r="5026" spans="1:11" x14ac:dyDescent="0.25">
      <c r="A5026">
        <v>5025</v>
      </c>
      <c r="B5026" s="23">
        <v>1101.8299050000001</v>
      </c>
      <c r="C5026" s="23">
        <v>441.37</v>
      </c>
      <c r="D5026" s="23">
        <v>1756.952</v>
      </c>
      <c r="E5026" s="23">
        <v>1101.829</v>
      </c>
      <c r="F5026" s="23">
        <v>-655.12300000000005</v>
      </c>
      <c r="G5026" s="23">
        <v>0</v>
      </c>
      <c r="H5026" s="23">
        <v>0</v>
      </c>
      <c r="I5026" s="23">
        <v>0</v>
      </c>
      <c r="J5026" s="23">
        <v>0</v>
      </c>
      <c r="K5026" s="23">
        <v>0</v>
      </c>
    </row>
    <row r="5027" spans="1:11" x14ac:dyDescent="0.25">
      <c r="A5027">
        <v>5026</v>
      </c>
      <c r="B5027" s="23">
        <v>952.12416810000002</v>
      </c>
      <c r="C5027" s="23">
        <v>573.48</v>
      </c>
      <c r="D5027" s="23">
        <v>2249.1509999999998</v>
      </c>
      <c r="E5027" s="23">
        <v>952.12400000000002</v>
      </c>
      <c r="F5027" s="23">
        <v>-1297.027</v>
      </c>
      <c r="G5027" s="23">
        <v>0</v>
      </c>
      <c r="H5027" s="23">
        <v>0</v>
      </c>
      <c r="I5027" s="23">
        <v>0</v>
      </c>
      <c r="J5027" s="23">
        <v>0</v>
      </c>
      <c r="K5027" s="23">
        <v>0</v>
      </c>
    </row>
    <row r="5028" spans="1:11" x14ac:dyDescent="0.25">
      <c r="A5028">
        <v>5027</v>
      </c>
      <c r="B5028" s="23">
        <v>1203.653116</v>
      </c>
      <c r="C5028" s="23">
        <v>717.55</v>
      </c>
      <c r="D5028" s="23">
        <v>2779.835</v>
      </c>
      <c r="E5028" s="23">
        <v>1203.653</v>
      </c>
      <c r="F5028" s="23">
        <v>-1576.182</v>
      </c>
      <c r="G5028" s="23">
        <v>0</v>
      </c>
      <c r="H5028" s="23">
        <v>0</v>
      </c>
      <c r="I5028" s="23">
        <v>0</v>
      </c>
      <c r="J5028" s="23">
        <v>0</v>
      </c>
      <c r="K5028" s="23">
        <v>0</v>
      </c>
    </row>
    <row r="5029" spans="1:11" x14ac:dyDescent="0.25">
      <c r="A5029">
        <v>5028</v>
      </c>
      <c r="B5029" s="23">
        <v>1159.539998</v>
      </c>
      <c r="C5029" s="23">
        <v>742.37</v>
      </c>
      <c r="D5029" s="23">
        <v>2861.4380000000001</v>
      </c>
      <c r="E5029" s="23">
        <v>1159.54</v>
      </c>
      <c r="F5029" s="23">
        <v>-1684.559</v>
      </c>
      <c r="G5029" s="23">
        <v>0</v>
      </c>
      <c r="H5029" s="23">
        <v>17.338999999999999</v>
      </c>
      <c r="I5029" s="23">
        <v>0</v>
      </c>
      <c r="J5029" s="23">
        <v>0</v>
      </c>
      <c r="K5029" s="23">
        <v>0</v>
      </c>
    </row>
    <row r="5030" spans="1:11" x14ac:dyDescent="0.25">
      <c r="A5030">
        <v>5029</v>
      </c>
      <c r="B5030" s="23">
        <v>964.40625460000001</v>
      </c>
      <c r="C5030" s="23">
        <v>671.6</v>
      </c>
      <c r="D5030" s="23">
        <v>2592.375</v>
      </c>
      <c r="E5030" s="23">
        <v>964.40700000000004</v>
      </c>
      <c r="F5030" s="23">
        <v>-1627.9680000000001</v>
      </c>
      <c r="G5030" s="23">
        <v>0</v>
      </c>
      <c r="H5030" s="23">
        <v>0</v>
      </c>
      <c r="I5030" s="23">
        <v>0</v>
      </c>
      <c r="J5030" s="23">
        <v>0</v>
      </c>
      <c r="K5030" s="23">
        <v>0</v>
      </c>
    </row>
    <row r="5031" spans="1:11" x14ac:dyDescent="0.25">
      <c r="A5031">
        <v>5030</v>
      </c>
      <c r="B5031" s="23">
        <v>1140.2509239999999</v>
      </c>
      <c r="C5031" s="23">
        <v>243.02</v>
      </c>
      <c r="D5031" s="23">
        <v>933.77800000000002</v>
      </c>
      <c r="E5031" s="23">
        <v>933.77800000000002</v>
      </c>
      <c r="F5031" s="23">
        <v>0</v>
      </c>
      <c r="G5031" s="23">
        <v>0</v>
      </c>
      <c r="H5031" s="23">
        <v>0</v>
      </c>
      <c r="I5031" s="23">
        <v>0</v>
      </c>
      <c r="J5031" s="23">
        <v>0</v>
      </c>
      <c r="K5031" s="23">
        <v>206.47300000000001</v>
      </c>
    </row>
    <row r="5032" spans="1:11" x14ac:dyDescent="0.25">
      <c r="A5032">
        <v>5031</v>
      </c>
      <c r="B5032" s="23">
        <v>833.86181629999999</v>
      </c>
      <c r="C5032" s="23">
        <v>511.18</v>
      </c>
      <c r="D5032" s="23">
        <v>1999.64</v>
      </c>
      <c r="E5032" s="23">
        <v>833.86199999999997</v>
      </c>
      <c r="F5032" s="23">
        <v>-680.42100000000005</v>
      </c>
      <c r="G5032" s="23">
        <v>0</v>
      </c>
      <c r="H5032" s="23">
        <v>485.35700000000003</v>
      </c>
      <c r="I5032" s="23">
        <v>0</v>
      </c>
      <c r="J5032" s="23">
        <v>0</v>
      </c>
      <c r="K5032" s="23">
        <v>0</v>
      </c>
    </row>
    <row r="5033" spans="1:11" x14ac:dyDescent="0.25">
      <c r="A5033">
        <v>5032</v>
      </c>
      <c r="B5033" s="23">
        <v>1036.9884999999999</v>
      </c>
      <c r="C5033" s="23">
        <v>541.05999999999995</v>
      </c>
      <c r="D5033" s="23">
        <v>2180.8339999999998</v>
      </c>
      <c r="E5033" s="23">
        <v>1036.9880000000001</v>
      </c>
      <c r="F5033" s="23">
        <v>0</v>
      </c>
      <c r="G5033" s="23">
        <v>0</v>
      </c>
      <c r="H5033" s="23">
        <v>1143.846</v>
      </c>
      <c r="I5033" s="23">
        <v>0</v>
      </c>
      <c r="J5033" s="23">
        <v>0</v>
      </c>
      <c r="K5033" s="23">
        <v>0</v>
      </c>
    </row>
    <row r="5034" spans="1:11" x14ac:dyDescent="0.25">
      <c r="A5034">
        <v>5033</v>
      </c>
      <c r="B5034" s="23">
        <v>1019.831048</v>
      </c>
      <c r="C5034" s="23">
        <v>233.16</v>
      </c>
      <c r="D5034" s="23">
        <v>918.33799999999997</v>
      </c>
      <c r="E5034" s="23">
        <v>918.33799999999997</v>
      </c>
      <c r="F5034" s="23">
        <v>0</v>
      </c>
      <c r="G5034" s="23">
        <v>0</v>
      </c>
      <c r="H5034" s="23">
        <v>0</v>
      </c>
      <c r="I5034" s="23">
        <v>101.49299999999999</v>
      </c>
      <c r="J5034" s="23">
        <v>0</v>
      </c>
      <c r="K5034" s="23">
        <v>0</v>
      </c>
    </row>
    <row r="5035" spans="1:11" x14ac:dyDescent="0.25">
      <c r="A5035">
        <v>5034</v>
      </c>
      <c r="B5035" s="23">
        <v>933.72780220000004</v>
      </c>
      <c r="C5035" s="23">
        <v>86.59</v>
      </c>
      <c r="D5035" s="23">
        <v>297.39299999999997</v>
      </c>
      <c r="E5035" s="23">
        <v>297.39299999999997</v>
      </c>
      <c r="F5035" s="23">
        <v>0</v>
      </c>
      <c r="G5035" s="23">
        <v>0</v>
      </c>
      <c r="H5035" s="23">
        <v>0</v>
      </c>
      <c r="I5035" s="23">
        <v>0</v>
      </c>
      <c r="J5035" s="23">
        <v>0</v>
      </c>
      <c r="K5035" s="23">
        <v>636.33500000000004</v>
      </c>
    </row>
    <row r="5036" spans="1:11" x14ac:dyDescent="0.25">
      <c r="A5036">
        <v>5035</v>
      </c>
      <c r="B5036" s="23">
        <v>870.26172150000002</v>
      </c>
      <c r="C5036" s="23">
        <v>0</v>
      </c>
      <c r="D5036" s="23">
        <v>0</v>
      </c>
      <c r="E5036" s="23">
        <v>0</v>
      </c>
      <c r="F5036" s="23">
        <v>0</v>
      </c>
      <c r="G5036" s="23">
        <v>0</v>
      </c>
      <c r="H5036" s="23">
        <v>0</v>
      </c>
      <c r="I5036" s="23">
        <v>0</v>
      </c>
      <c r="J5036" s="23">
        <v>0</v>
      </c>
      <c r="K5036" s="23">
        <v>870.26199999999994</v>
      </c>
    </row>
    <row r="5037" spans="1:11" x14ac:dyDescent="0.25">
      <c r="A5037">
        <v>5036</v>
      </c>
      <c r="B5037" s="23">
        <v>1061.5811630000001</v>
      </c>
      <c r="C5037" s="23">
        <v>0</v>
      </c>
      <c r="D5037" s="23">
        <v>0</v>
      </c>
      <c r="E5037" s="23">
        <v>0</v>
      </c>
      <c r="F5037" s="23">
        <v>0</v>
      </c>
      <c r="G5037" s="23">
        <v>0</v>
      </c>
      <c r="H5037" s="23">
        <v>0</v>
      </c>
      <c r="I5037" s="23">
        <v>0</v>
      </c>
      <c r="J5037" s="23">
        <v>0</v>
      </c>
      <c r="K5037" s="23">
        <v>1061.5809999999999</v>
      </c>
    </row>
    <row r="5038" spans="1:11" x14ac:dyDescent="0.25">
      <c r="A5038">
        <v>5037</v>
      </c>
      <c r="B5038" s="23">
        <v>730.05288859999996</v>
      </c>
      <c r="C5038" s="23">
        <v>0</v>
      </c>
      <c r="D5038" s="23">
        <v>0</v>
      </c>
      <c r="E5038" s="23">
        <v>0</v>
      </c>
      <c r="F5038" s="23">
        <v>0</v>
      </c>
      <c r="G5038" s="23">
        <v>0</v>
      </c>
      <c r="H5038" s="23">
        <v>0</v>
      </c>
      <c r="I5038" s="23">
        <v>248.87</v>
      </c>
      <c r="J5038" s="23">
        <v>0</v>
      </c>
      <c r="K5038" s="23">
        <v>481.18299999999999</v>
      </c>
    </row>
    <row r="5039" spans="1:11" x14ac:dyDescent="0.25">
      <c r="A5039">
        <v>5038</v>
      </c>
      <c r="B5039" s="23">
        <v>1020.830813</v>
      </c>
      <c r="C5039" s="23">
        <v>0</v>
      </c>
      <c r="D5039" s="23">
        <v>0</v>
      </c>
      <c r="E5039" s="23">
        <v>0</v>
      </c>
      <c r="F5039" s="23">
        <v>0</v>
      </c>
      <c r="G5039" s="23">
        <v>0</v>
      </c>
      <c r="H5039" s="23">
        <v>0</v>
      </c>
      <c r="I5039" s="23">
        <v>0</v>
      </c>
      <c r="J5039" s="23">
        <v>0</v>
      </c>
      <c r="K5039" s="23">
        <v>1020.831</v>
      </c>
    </row>
    <row r="5040" spans="1:11" x14ac:dyDescent="0.25">
      <c r="A5040">
        <v>5039</v>
      </c>
      <c r="B5040" s="23">
        <v>954.52515800000003</v>
      </c>
      <c r="C5040" s="23">
        <v>0</v>
      </c>
      <c r="D5040" s="23">
        <v>0</v>
      </c>
      <c r="E5040" s="23">
        <v>0</v>
      </c>
      <c r="F5040" s="23">
        <v>0</v>
      </c>
      <c r="G5040" s="23">
        <v>0</v>
      </c>
      <c r="H5040" s="23">
        <v>0</v>
      </c>
      <c r="I5040" s="23">
        <v>954.52499999999998</v>
      </c>
      <c r="J5040" s="23">
        <v>0</v>
      </c>
      <c r="K5040" s="23">
        <v>0</v>
      </c>
    </row>
    <row r="5041" spans="1:11" x14ac:dyDescent="0.25">
      <c r="A5041">
        <v>5040</v>
      </c>
      <c r="B5041" s="23">
        <v>756.98956090000001</v>
      </c>
      <c r="C5041" s="23">
        <v>0</v>
      </c>
      <c r="D5041" s="23">
        <v>0</v>
      </c>
      <c r="E5041" s="23">
        <v>0</v>
      </c>
      <c r="F5041" s="23">
        <v>0</v>
      </c>
      <c r="G5041" s="23">
        <v>0</v>
      </c>
      <c r="H5041" s="23">
        <v>0</v>
      </c>
      <c r="I5041" s="23">
        <v>756.99</v>
      </c>
      <c r="J5041" s="23">
        <v>0</v>
      </c>
      <c r="K5041" s="23">
        <v>0</v>
      </c>
    </row>
    <row r="5042" spans="1:11" x14ac:dyDescent="0.25">
      <c r="A5042">
        <v>5041</v>
      </c>
      <c r="B5042" s="23">
        <v>995.27550840000004</v>
      </c>
      <c r="C5042" s="23">
        <v>0</v>
      </c>
      <c r="D5042" s="23">
        <v>0</v>
      </c>
      <c r="E5042" s="23">
        <v>0</v>
      </c>
      <c r="F5042" s="23">
        <v>0</v>
      </c>
      <c r="G5042" s="23">
        <v>0</v>
      </c>
      <c r="H5042" s="23">
        <v>0</v>
      </c>
      <c r="I5042" s="23">
        <v>995.27599999999995</v>
      </c>
      <c r="J5042" s="23">
        <v>0</v>
      </c>
      <c r="K5042" s="23">
        <v>0</v>
      </c>
    </row>
    <row r="5043" spans="1:11" x14ac:dyDescent="0.25">
      <c r="A5043">
        <v>5042</v>
      </c>
      <c r="B5043" s="23">
        <v>975.9363591</v>
      </c>
      <c r="C5043" s="23">
        <v>0</v>
      </c>
      <c r="D5043" s="23">
        <v>0</v>
      </c>
      <c r="E5043" s="23">
        <v>0</v>
      </c>
      <c r="F5043" s="23">
        <v>0</v>
      </c>
      <c r="G5043" s="23">
        <v>0</v>
      </c>
      <c r="H5043" s="23">
        <v>0</v>
      </c>
      <c r="I5043" s="23">
        <v>975.93600000000004</v>
      </c>
      <c r="J5043" s="23">
        <v>0</v>
      </c>
      <c r="K5043" s="23">
        <v>0</v>
      </c>
    </row>
    <row r="5044" spans="1:11" x14ac:dyDescent="0.25">
      <c r="A5044">
        <v>5043</v>
      </c>
      <c r="B5044" s="23">
        <v>974.55499129999998</v>
      </c>
      <c r="C5044" s="23">
        <v>0</v>
      </c>
      <c r="D5044" s="23">
        <v>0</v>
      </c>
      <c r="E5044" s="23">
        <v>0</v>
      </c>
      <c r="F5044" s="23">
        <v>0</v>
      </c>
      <c r="G5044" s="23">
        <v>0</v>
      </c>
      <c r="H5044" s="23">
        <v>0</v>
      </c>
      <c r="I5044" s="23">
        <v>974.55499999999995</v>
      </c>
      <c r="J5044" s="23">
        <v>0</v>
      </c>
      <c r="K5044" s="23">
        <v>0</v>
      </c>
    </row>
    <row r="5045" spans="1:11" x14ac:dyDescent="0.25">
      <c r="A5045">
        <v>5044</v>
      </c>
      <c r="B5045" s="23">
        <v>919.3002788</v>
      </c>
      <c r="C5045" s="23">
        <v>0</v>
      </c>
      <c r="D5045" s="23">
        <v>0</v>
      </c>
      <c r="E5045" s="23">
        <v>0</v>
      </c>
      <c r="F5045" s="23">
        <v>0</v>
      </c>
      <c r="G5045" s="23">
        <v>0</v>
      </c>
      <c r="H5045" s="23">
        <v>0</v>
      </c>
      <c r="I5045" s="23">
        <v>919.3</v>
      </c>
      <c r="J5045" s="23">
        <v>0</v>
      </c>
      <c r="K5045" s="23">
        <v>0</v>
      </c>
    </row>
    <row r="5046" spans="1:11" x14ac:dyDescent="0.25">
      <c r="A5046">
        <v>5045</v>
      </c>
      <c r="B5046" s="23">
        <v>1018.068077</v>
      </c>
      <c r="C5046" s="23">
        <v>0</v>
      </c>
      <c r="D5046" s="23">
        <v>0</v>
      </c>
      <c r="E5046" s="23">
        <v>0</v>
      </c>
      <c r="F5046" s="23">
        <v>0</v>
      </c>
      <c r="G5046" s="23">
        <v>0</v>
      </c>
      <c r="H5046" s="23">
        <v>0</v>
      </c>
      <c r="I5046" s="23">
        <v>0</v>
      </c>
      <c r="J5046" s="23">
        <v>0</v>
      </c>
      <c r="K5046" s="23">
        <v>1018.068</v>
      </c>
    </row>
    <row r="5047" spans="1:11" x14ac:dyDescent="0.25">
      <c r="A5047">
        <v>5046</v>
      </c>
      <c r="B5047" s="23">
        <v>664.43791750000003</v>
      </c>
      <c r="C5047" s="23">
        <v>0</v>
      </c>
      <c r="D5047" s="23">
        <v>0</v>
      </c>
      <c r="E5047" s="23">
        <v>0</v>
      </c>
      <c r="F5047" s="23">
        <v>0</v>
      </c>
      <c r="G5047" s="23">
        <v>0</v>
      </c>
      <c r="H5047" s="23">
        <v>0</v>
      </c>
      <c r="I5047" s="23">
        <v>0</v>
      </c>
      <c r="J5047" s="23">
        <v>0</v>
      </c>
      <c r="K5047" s="23">
        <v>664.43799999999999</v>
      </c>
    </row>
    <row r="5048" spans="1:11" x14ac:dyDescent="0.25">
      <c r="A5048">
        <v>5047</v>
      </c>
      <c r="B5048" s="23">
        <v>891.67292259999999</v>
      </c>
      <c r="C5048" s="23">
        <v>58.4</v>
      </c>
      <c r="D5048" s="23">
        <v>204.65700000000001</v>
      </c>
      <c r="E5048" s="23">
        <v>204.65700000000001</v>
      </c>
      <c r="F5048" s="23">
        <v>0</v>
      </c>
      <c r="G5048" s="23">
        <v>0</v>
      </c>
      <c r="H5048" s="23">
        <v>0</v>
      </c>
      <c r="I5048" s="23">
        <v>0</v>
      </c>
      <c r="J5048" s="23">
        <v>0</v>
      </c>
      <c r="K5048" s="23">
        <v>687.01599999999996</v>
      </c>
    </row>
    <row r="5049" spans="1:11" x14ac:dyDescent="0.25">
      <c r="A5049">
        <v>5048</v>
      </c>
      <c r="B5049" s="23">
        <v>882.84166549999998</v>
      </c>
      <c r="C5049" s="23">
        <v>195.94</v>
      </c>
      <c r="D5049" s="23">
        <v>770.70600000000002</v>
      </c>
      <c r="E5049" s="23">
        <v>770.70600000000002</v>
      </c>
      <c r="F5049" s="23">
        <v>0</v>
      </c>
      <c r="G5049" s="23">
        <v>0</v>
      </c>
      <c r="H5049" s="23">
        <v>0</v>
      </c>
      <c r="I5049" s="23">
        <v>0</v>
      </c>
      <c r="J5049" s="23">
        <v>0</v>
      </c>
      <c r="K5049" s="23">
        <v>112.136</v>
      </c>
    </row>
    <row r="5050" spans="1:11" x14ac:dyDescent="0.25">
      <c r="A5050">
        <v>5049</v>
      </c>
      <c r="B5050" s="23">
        <v>1164.6709169999999</v>
      </c>
      <c r="C5050" s="23">
        <v>546.64</v>
      </c>
      <c r="D5050" s="23">
        <v>2208.7139999999999</v>
      </c>
      <c r="E5050" s="23">
        <v>1164.671</v>
      </c>
      <c r="F5050" s="23">
        <v>-1044.0429999999999</v>
      </c>
      <c r="G5050" s="23">
        <v>0</v>
      </c>
      <c r="H5050" s="23">
        <v>0</v>
      </c>
      <c r="I5050" s="23">
        <v>0</v>
      </c>
      <c r="J5050" s="23">
        <v>0</v>
      </c>
      <c r="K5050" s="23">
        <v>0</v>
      </c>
    </row>
    <row r="5051" spans="1:11" x14ac:dyDescent="0.25">
      <c r="A5051">
        <v>5050</v>
      </c>
      <c r="B5051" s="23">
        <v>1275.9642679999999</v>
      </c>
      <c r="C5051" s="23">
        <v>738.34</v>
      </c>
      <c r="D5051" s="23">
        <v>2919.8679999999999</v>
      </c>
      <c r="E5051" s="23">
        <v>1275.9639999999999</v>
      </c>
      <c r="F5051" s="23">
        <v>-1643.904</v>
      </c>
      <c r="G5051" s="23">
        <v>0</v>
      </c>
      <c r="H5051" s="23">
        <v>0</v>
      </c>
      <c r="I5051" s="23">
        <v>0</v>
      </c>
      <c r="J5051" s="23">
        <v>0</v>
      </c>
      <c r="K5051" s="23">
        <v>0</v>
      </c>
    </row>
    <row r="5052" spans="1:11" x14ac:dyDescent="0.25">
      <c r="A5052">
        <v>5051</v>
      </c>
      <c r="B5052" s="23">
        <v>1281.64687</v>
      </c>
      <c r="C5052" s="23">
        <v>446.69</v>
      </c>
      <c r="D5052" s="23">
        <v>1725.1569999999999</v>
      </c>
      <c r="E5052" s="23">
        <v>1281.6469999999999</v>
      </c>
      <c r="F5052" s="23">
        <v>-443.51</v>
      </c>
      <c r="G5052" s="23">
        <v>0</v>
      </c>
      <c r="H5052" s="23">
        <v>0</v>
      </c>
      <c r="I5052" s="23">
        <v>0</v>
      </c>
      <c r="J5052" s="23">
        <v>0</v>
      </c>
      <c r="K5052" s="23">
        <v>0</v>
      </c>
    </row>
    <row r="5053" spans="1:11" x14ac:dyDescent="0.25">
      <c r="A5053">
        <v>5052</v>
      </c>
      <c r="B5053" s="23">
        <v>1165.210513</v>
      </c>
      <c r="C5053" s="23">
        <v>941.41</v>
      </c>
      <c r="D5053" s="23">
        <v>3624.308</v>
      </c>
      <c r="E5053" s="23">
        <v>1165.211</v>
      </c>
      <c r="F5053" s="23">
        <v>-1684.559</v>
      </c>
      <c r="G5053" s="23">
        <v>0</v>
      </c>
      <c r="H5053" s="23">
        <v>774.53800000000001</v>
      </c>
      <c r="I5053" s="23">
        <v>0</v>
      </c>
      <c r="J5053" s="23">
        <v>0</v>
      </c>
      <c r="K5053" s="23">
        <v>0</v>
      </c>
    </row>
    <row r="5054" spans="1:11" x14ac:dyDescent="0.25">
      <c r="A5054">
        <v>5053</v>
      </c>
      <c r="B5054" s="23">
        <v>1262.2861359999999</v>
      </c>
      <c r="C5054" s="23">
        <v>490.79</v>
      </c>
      <c r="D5054" s="23">
        <v>1884.6189999999999</v>
      </c>
      <c r="E5054" s="23">
        <v>1262.2860000000001</v>
      </c>
      <c r="F5054" s="23">
        <v>-622.33299999999997</v>
      </c>
      <c r="G5054" s="23">
        <v>0</v>
      </c>
      <c r="H5054" s="23">
        <v>0</v>
      </c>
      <c r="I5054" s="23">
        <v>0</v>
      </c>
      <c r="J5054" s="23">
        <v>0</v>
      </c>
      <c r="K5054" s="23">
        <v>0</v>
      </c>
    </row>
    <row r="5055" spans="1:11" x14ac:dyDescent="0.25">
      <c r="A5055">
        <v>5054</v>
      </c>
      <c r="B5055" s="23">
        <v>1118.1697590000001</v>
      </c>
      <c r="C5055" s="23">
        <v>580.28</v>
      </c>
      <c r="D5055" s="23">
        <v>2231.087</v>
      </c>
      <c r="E5055" s="23">
        <v>1118.17</v>
      </c>
      <c r="F5055" s="23">
        <v>-1112.9169999999999</v>
      </c>
      <c r="G5055" s="23">
        <v>0</v>
      </c>
      <c r="H5055" s="23">
        <v>0</v>
      </c>
      <c r="I5055" s="23">
        <v>0</v>
      </c>
      <c r="J5055" s="23">
        <v>0</v>
      </c>
      <c r="K5055" s="23">
        <v>0</v>
      </c>
    </row>
    <row r="5056" spans="1:11" x14ac:dyDescent="0.25">
      <c r="A5056">
        <v>5055</v>
      </c>
      <c r="B5056" s="23">
        <v>1150.151877</v>
      </c>
      <c r="C5056" s="23">
        <v>593.1</v>
      </c>
      <c r="D5056" s="23">
        <v>2299.0729999999999</v>
      </c>
      <c r="E5056" s="23">
        <v>1150.152</v>
      </c>
      <c r="F5056" s="23">
        <v>-740.23199999999997</v>
      </c>
      <c r="G5056" s="23">
        <v>0</v>
      </c>
      <c r="H5056" s="23">
        <v>408.68900000000002</v>
      </c>
      <c r="I5056" s="23">
        <v>0</v>
      </c>
      <c r="J5056" s="23">
        <v>0</v>
      </c>
      <c r="K5056" s="23">
        <v>0</v>
      </c>
    </row>
    <row r="5057" spans="1:11" x14ac:dyDescent="0.25">
      <c r="A5057">
        <v>5056</v>
      </c>
      <c r="B5057" s="23">
        <v>1238.557691</v>
      </c>
      <c r="C5057" s="23">
        <v>374.02</v>
      </c>
      <c r="D5057" s="23">
        <v>1470.2729999999999</v>
      </c>
      <c r="E5057" s="23">
        <v>1238.557</v>
      </c>
      <c r="F5057" s="23">
        <v>0</v>
      </c>
      <c r="G5057" s="23">
        <v>0</v>
      </c>
      <c r="H5057" s="23">
        <v>231.71600000000001</v>
      </c>
      <c r="I5057" s="23">
        <v>0</v>
      </c>
      <c r="J5057" s="23">
        <v>0</v>
      </c>
      <c r="K5057" s="23">
        <v>0</v>
      </c>
    </row>
    <row r="5058" spans="1:11" x14ac:dyDescent="0.25">
      <c r="A5058">
        <v>5057</v>
      </c>
      <c r="B5058" s="23">
        <v>954.50875429999996</v>
      </c>
      <c r="C5058" s="23">
        <v>129.05000000000001</v>
      </c>
      <c r="D5058" s="23">
        <v>492.726</v>
      </c>
      <c r="E5058" s="23">
        <v>492.726</v>
      </c>
      <c r="F5058" s="23">
        <v>0</v>
      </c>
      <c r="G5058" s="23">
        <v>0</v>
      </c>
      <c r="H5058" s="23">
        <v>0</v>
      </c>
      <c r="I5058" s="23">
        <v>461.78300000000002</v>
      </c>
      <c r="J5058" s="23">
        <v>0</v>
      </c>
      <c r="K5058" s="23">
        <v>0</v>
      </c>
    </row>
    <row r="5059" spans="1:11" x14ac:dyDescent="0.25">
      <c r="A5059">
        <v>5058</v>
      </c>
      <c r="B5059" s="23">
        <v>1051.396166</v>
      </c>
      <c r="C5059" s="23">
        <v>42.1</v>
      </c>
      <c r="D5059" s="23">
        <v>139.33600000000001</v>
      </c>
      <c r="E5059" s="23">
        <v>139.33600000000001</v>
      </c>
      <c r="F5059" s="23">
        <v>0</v>
      </c>
      <c r="G5059" s="23">
        <v>0</v>
      </c>
      <c r="H5059" s="23">
        <v>0</v>
      </c>
      <c r="I5059" s="23">
        <v>0</v>
      </c>
      <c r="J5059" s="23">
        <v>0</v>
      </c>
      <c r="K5059" s="23">
        <v>912.06</v>
      </c>
    </row>
    <row r="5060" spans="1:11" x14ac:dyDescent="0.25">
      <c r="A5060">
        <v>5059</v>
      </c>
      <c r="B5060" s="23">
        <v>866.12711490000004</v>
      </c>
      <c r="C5060" s="23">
        <v>0</v>
      </c>
      <c r="D5060" s="23">
        <v>0</v>
      </c>
      <c r="E5060" s="23">
        <v>0</v>
      </c>
      <c r="F5060" s="23">
        <v>0</v>
      </c>
      <c r="G5060" s="23">
        <v>0</v>
      </c>
      <c r="H5060" s="23">
        <v>0</v>
      </c>
      <c r="I5060" s="23">
        <v>0</v>
      </c>
      <c r="J5060" s="23">
        <v>0</v>
      </c>
      <c r="K5060" s="23">
        <v>866.12699999999995</v>
      </c>
    </row>
    <row r="5061" spans="1:11" x14ac:dyDescent="0.25">
      <c r="A5061">
        <v>5060</v>
      </c>
      <c r="B5061" s="23">
        <v>1031.8817550000001</v>
      </c>
      <c r="C5061" s="23">
        <v>0</v>
      </c>
      <c r="D5061" s="23">
        <v>0</v>
      </c>
      <c r="E5061" s="23">
        <v>0</v>
      </c>
      <c r="F5061" s="23">
        <v>0</v>
      </c>
      <c r="G5061" s="23">
        <v>0</v>
      </c>
      <c r="H5061" s="23">
        <v>0</v>
      </c>
      <c r="I5061" s="23">
        <v>0</v>
      </c>
      <c r="J5061" s="23">
        <v>0</v>
      </c>
      <c r="K5061" s="23">
        <v>1031.8820000000001</v>
      </c>
    </row>
    <row r="5062" spans="1:11" x14ac:dyDescent="0.25">
      <c r="A5062">
        <v>5061</v>
      </c>
      <c r="B5062" s="23">
        <v>910.32138799999996</v>
      </c>
      <c r="C5062" s="23">
        <v>0</v>
      </c>
      <c r="D5062" s="23">
        <v>0</v>
      </c>
      <c r="E5062" s="23">
        <v>0</v>
      </c>
      <c r="F5062" s="23">
        <v>0</v>
      </c>
      <c r="G5062" s="23">
        <v>0</v>
      </c>
      <c r="H5062" s="23">
        <v>0</v>
      </c>
      <c r="I5062" s="23">
        <v>910.32100000000003</v>
      </c>
      <c r="J5062" s="23">
        <v>0</v>
      </c>
      <c r="K5062" s="23">
        <v>0</v>
      </c>
    </row>
    <row r="5063" spans="1:11" x14ac:dyDescent="0.25">
      <c r="A5063">
        <v>5062</v>
      </c>
      <c r="B5063" s="23">
        <v>1085.7551000000001</v>
      </c>
      <c r="C5063" s="23">
        <v>0</v>
      </c>
      <c r="D5063" s="23">
        <v>0</v>
      </c>
      <c r="E5063" s="23">
        <v>0</v>
      </c>
      <c r="F5063" s="23">
        <v>0</v>
      </c>
      <c r="G5063" s="23">
        <v>0</v>
      </c>
      <c r="H5063" s="23">
        <v>0</v>
      </c>
      <c r="I5063" s="23">
        <v>447.685</v>
      </c>
      <c r="J5063" s="23">
        <v>0</v>
      </c>
      <c r="K5063" s="23">
        <v>638.07000000000005</v>
      </c>
    </row>
    <row r="5064" spans="1:11" x14ac:dyDescent="0.25">
      <c r="A5064">
        <v>5063</v>
      </c>
      <c r="B5064" s="23">
        <v>1110.619721</v>
      </c>
      <c r="C5064" s="23">
        <v>0</v>
      </c>
      <c r="D5064" s="23">
        <v>0</v>
      </c>
      <c r="E5064" s="23">
        <v>0</v>
      </c>
      <c r="F5064" s="23">
        <v>0</v>
      </c>
      <c r="G5064" s="23">
        <v>0</v>
      </c>
      <c r="H5064" s="23">
        <v>0</v>
      </c>
      <c r="I5064" s="23">
        <v>1110.6199999999999</v>
      </c>
      <c r="J5064" s="23">
        <v>0</v>
      </c>
      <c r="K5064" s="23">
        <v>0</v>
      </c>
    </row>
    <row r="5065" spans="1:11" x14ac:dyDescent="0.25">
      <c r="A5065">
        <v>5064</v>
      </c>
      <c r="B5065" s="23">
        <v>991.13140499999997</v>
      </c>
      <c r="C5065" s="23">
        <v>0</v>
      </c>
      <c r="D5065" s="23">
        <v>0</v>
      </c>
      <c r="E5065" s="23">
        <v>0</v>
      </c>
      <c r="F5065" s="23">
        <v>0</v>
      </c>
      <c r="G5065" s="23">
        <v>0</v>
      </c>
      <c r="H5065" s="23">
        <v>0</v>
      </c>
      <c r="I5065" s="23">
        <v>991.13099999999997</v>
      </c>
      <c r="J5065" s="23">
        <v>0</v>
      </c>
      <c r="K5065" s="23">
        <v>0</v>
      </c>
    </row>
    <row r="5066" spans="1:11" x14ac:dyDescent="0.25">
      <c r="A5066">
        <v>5065</v>
      </c>
      <c r="B5066" s="23">
        <v>1030.5003879999999</v>
      </c>
      <c r="C5066" s="23">
        <v>0</v>
      </c>
      <c r="D5066" s="23">
        <v>0</v>
      </c>
      <c r="E5066" s="23">
        <v>0</v>
      </c>
      <c r="F5066" s="23">
        <v>0</v>
      </c>
      <c r="G5066" s="23">
        <v>0</v>
      </c>
      <c r="H5066" s="23">
        <v>0</v>
      </c>
      <c r="I5066" s="23">
        <v>1030.5</v>
      </c>
      <c r="J5066" s="23">
        <v>0</v>
      </c>
      <c r="K5066" s="23">
        <v>0</v>
      </c>
    </row>
    <row r="5067" spans="1:11" x14ac:dyDescent="0.25">
      <c r="A5067">
        <v>5066</v>
      </c>
      <c r="B5067" s="23">
        <v>809.48153769999999</v>
      </c>
      <c r="C5067" s="23">
        <v>0</v>
      </c>
      <c r="D5067" s="23">
        <v>0</v>
      </c>
      <c r="E5067" s="23">
        <v>0</v>
      </c>
      <c r="F5067" s="23">
        <v>0</v>
      </c>
      <c r="G5067" s="23">
        <v>0</v>
      </c>
      <c r="H5067" s="23">
        <v>0</v>
      </c>
      <c r="I5067" s="23">
        <v>809.48199999999997</v>
      </c>
      <c r="J5067" s="23">
        <v>0</v>
      </c>
      <c r="K5067" s="23">
        <v>0</v>
      </c>
    </row>
    <row r="5068" spans="1:11" x14ac:dyDescent="0.25">
      <c r="A5068">
        <v>5067</v>
      </c>
      <c r="B5068" s="23">
        <v>1055.365008</v>
      </c>
      <c r="C5068" s="23">
        <v>0</v>
      </c>
      <c r="D5068" s="23">
        <v>0</v>
      </c>
      <c r="E5068" s="23">
        <v>0</v>
      </c>
      <c r="F5068" s="23">
        <v>0</v>
      </c>
      <c r="G5068" s="23">
        <v>0</v>
      </c>
      <c r="H5068" s="23">
        <v>0</v>
      </c>
      <c r="I5068" s="23">
        <v>1055.365</v>
      </c>
      <c r="J5068" s="23">
        <v>0</v>
      </c>
      <c r="K5068" s="23">
        <v>0</v>
      </c>
    </row>
    <row r="5069" spans="1:11" x14ac:dyDescent="0.25">
      <c r="A5069">
        <v>5068</v>
      </c>
      <c r="B5069" s="23">
        <v>926.89780180000002</v>
      </c>
      <c r="C5069" s="23">
        <v>0</v>
      </c>
      <c r="D5069" s="23">
        <v>0</v>
      </c>
      <c r="E5069" s="23">
        <v>0</v>
      </c>
      <c r="F5069" s="23">
        <v>0</v>
      </c>
      <c r="G5069" s="23">
        <v>0</v>
      </c>
      <c r="H5069" s="23">
        <v>0</v>
      </c>
      <c r="I5069" s="23">
        <v>926.89800000000002</v>
      </c>
      <c r="J5069" s="23">
        <v>0</v>
      </c>
      <c r="K5069" s="23">
        <v>0</v>
      </c>
    </row>
    <row r="5070" spans="1:11" x14ac:dyDescent="0.25">
      <c r="A5070">
        <v>5069</v>
      </c>
      <c r="B5070" s="23">
        <v>813.62564120000002</v>
      </c>
      <c r="C5070" s="23">
        <v>0</v>
      </c>
      <c r="D5070" s="23">
        <v>0</v>
      </c>
      <c r="E5070" s="23">
        <v>0</v>
      </c>
      <c r="F5070" s="23">
        <v>0</v>
      </c>
      <c r="G5070" s="23">
        <v>0</v>
      </c>
      <c r="H5070" s="23">
        <v>0</v>
      </c>
      <c r="I5070" s="23">
        <v>0</v>
      </c>
      <c r="J5070" s="23">
        <v>0</v>
      </c>
      <c r="K5070" s="23">
        <v>813.62599999999998</v>
      </c>
    </row>
    <row r="5071" spans="1:11" x14ac:dyDescent="0.25">
      <c r="A5071">
        <v>5070</v>
      </c>
      <c r="B5071" s="23">
        <v>907.55865240000003</v>
      </c>
      <c r="C5071" s="23">
        <v>0</v>
      </c>
      <c r="D5071" s="23">
        <v>0</v>
      </c>
      <c r="E5071" s="23">
        <v>0</v>
      </c>
      <c r="F5071" s="23">
        <v>0</v>
      </c>
      <c r="G5071" s="23">
        <v>0</v>
      </c>
      <c r="H5071" s="23">
        <v>0</v>
      </c>
      <c r="I5071" s="23">
        <v>0</v>
      </c>
      <c r="J5071" s="23">
        <v>0</v>
      </c>
      <c r="K5071" s="23">
        <v>907.55899999999997</v>
      </c>
    </row>
    <row r="5072" spans="1:11" x14ac:dyDescent="0.25">
      <c r="A5072">
        <v>5071</v>
      </c>
      <c r="B5072" s="23">
        <v>821.22316409999996</v>
      </c>
      <c r="C5072" s="23">
        <v>80</v>
      </c>
      <c r="D5072" s="23">
        <v>279.18400000000003</v>
      </c>
      <c r="E5072" s="23">
        <v>279.18400000000003</v>
      </c>
      <c r="F5072" s="23">
        <v>0</v>
      </c>
      <c r="G5072" s="23">
        <v>0</v>
      </c>
      <c r="H5072" s="23">
        <v>0</v>
      </c>
      <c r="I5072" s="23">
        <v>0</v>
      </c>
      <c r="J5072" s="23">
        <v>0</v>
      </c>
      <c r="K5072" s="23">
        <v>542.04</v>
      </c>
    </row>
    <row r="5073" spans="1:11" x14ac:dyDescent="0.25">
      <c r="A5073">
        <v>5072</v>
      </c>
      <c r="B5073" s="23">
        <v>962.44298560000004</v>
      </c>
      <c r="C5073" s="23">
        <v>257.14</v>
      </c>
      <c r="D5073" s="23">
        <v>1015.924</v>
      </c>
      <c r="E5073" s="23">
        <v>962.44299999999998</v>
      </c>
      <c r="F5073" s="23">
        <v>-53.481000000000002</v>
      </c>
      <c r="G5073" s="23">
        <v>0</v>
      </c>
      <c r="H5073" s="23">
        <v>0</v>
      </c>
      <c r="I5073" s="23">
        <v>0</v>
      </c>
      <c r="J5073" s="23">
        <v>0</v>
      </c>
      <c r="K5073" s="23">
        <v>0</v>
      </c>
    </row>
    <row r="5074" spans="1:11" x14ac:dyDescent="0.25">
      <c r="A5074">
        <v>5073</v>
      </c>
      <c r="B5074" s="23">
        <v>1008.272453</v>
      </c>
      <c r="C5074" s="23">
        <v>538.38</v>
      </c>
      <c r="D5074" s="23">
        <v>2166.3180000000002</v>
      </c>
      <c r="E5074" s="23">
        <v>1008.272</v>
      </c>
      <c r="F5074" s="23">
        <v>-1158.046</v>
      </c>
      <c r="G5074" s="23">
        <v>0</v>
      </c>
      <c r="H5074" s="23">
        <v>0</v>
      </c>
      <c r="I5074" s="23">
        <v>0</v>
      </c>
      <c r="J5074" s="23">
        <v>0</v>
      </c>
      <c r="K5074" s="23">
        <v>0</v>
      </c>
    </row>
    <row r="5075" spans="1:11" x14ac:dyDescent="0.25">
      <c r="A5075">
        <v>5074</v>
      </c>
      <c r="B5075" s="23">
        <v>1436.7718850000001</v>
      </c>
      <c r="C5075" s="23">
        <v>730.72</v>
      </c>
      <c r="D5075" s="23">
        <v>2881.6729999999998</v>
      </c>
      <c r="E5075" s="23">
        <v>1436.7719999999999</v>
      </c>
      <c r="F5075" s="23">
        <v>-1444.9010000000001</v>
      </c>
      <c r="G5075" s="23">
        <v>0</v>
      </c>
      <c r="H5075" s="23">
        <v>0</v>
      </c>
      <c r="I5075" s="23">
        <v>0</v>
      </c>
      <c r="J5075" s="23">
        <v>0</v>
      </c>
      <c r="K5075" s="23">
        <v>0</v>
      </c>
    </row>
    <row r="5076" spans="1:11" x14ac:dyDescent="0.25">
      <c r="A5076">
        <v>5075</v>
      </c>
      <c r="B5076" s="23">
        <v>1155.714473</v>
      </c>
      <c r="C5076" s="23">
        <v>864.71</v>
      </c>
      <c r="D5076" s="23">
        <v>3356.9490000000001</v>
      </c>
      <c r="E5076" s="23">
        <v>1155.7149999999999</v>
      </c>
      <c r="F5076" s="23">
        <v>-1684.559</v>
      </c>
      <c r="G5076" s="23">
        <v>0</v>
      </c>
      <c r="H5076" s="23">
        <v>516.67499999999995</v>
      </c>
      <c r="I5076" s="23">
        <v>0</v>
      </c>
      <c r="J5076" s="23">
        <v>0</v>
      </c>
      <c r="K5076" s="23">
        <v>0</v>
      </c>
    </row>
    <row r="5077" spans="1:11" x14ac:dyDescent="0.25">
      <c r="A5077">
        <v>5076</v>
      </c>
      <c r="B5077" s="23">
        <v>1137.1704729999999</v>
      </c>
      <c r="C5077" s="23">
        <v>75.73</v>
      </c>
      <c r="D5077" s="23">
        <v>262.95299999999997</v>
      </c>
      <c r="E5077" s="23">
        <v>262.95299999999997</v>
      </c>
      <c r="F5077" s="23">
        <v>0</v>
      </c>
      <c r="G5077" s="23">
        <v>0</v>
      </c>
      <c r="H5077" s="23">
        <v>0</v>
      </c>
      <c r="I5077" s="23">
        <v>0</v>
      </c>
      <c r="J5077" s="23">
        <v>0</v>
      </c>
      <c r="K5077" s="23">
        <v>874.21799999999996</v>
      </c>
    </row>
    <row r="5078" spans="1:11" x14ac:dyDescent="0.25">
      <c r="A5078">
        <v>5077</v>
      </c>
      <c r="B5078" s="23">
        <v>1170.2102010000001</v>
      </c>
      <c r="C5078" s="23">
        <v>365.14</v>
      </c>
      <c r="D5078" s="23">
        <v>1401.538</v>
      </c>
      <c r="E5078" s="23">
        <v>1170.21</v>
      </c>
      <c r="F5078" s="23">
        <v>-231.328</v>
      </c>
      <c r="G5078" s="23">
        <v>0</v>
      </c>
      <c r="H5078" s="23">
        <v>0</v>
      </c>
      <c r="I5078" s="23">
        <v>0</v>
      </c>
      <c r="J5078" s="23">
        <v>0</v>
      </c>
      <c r="K5078" s="23">
        <v>0</v>
      </c>
    </row>
    <row r="5079" spans="1:11" x14ac:dyDescent="0.25">
      <c r="A5079">
        <v>5078</v>
      </c>
      <c r="B5079" s="23">
        <v>1059.332987</v>
      </c>
      <c r="C5079" s="23">
        <v>729.51</v>
      </c>
      <c r="D5079" s="23">
        <v>2808.107</v>
      </c>
      <c r="E5079" s="23">
        <v>1059.3330000000001</v>
      </c>
      <c r="F5079" s="23">
        <v>-1684.559</v>
      </c>
      <c r="G5079" s="23">
        <v>0</v>
      </c>
      <c r="H5079" s="23">
        <v>64.215000000000003</v>
      </c>
      <c r="I5079" s="23">
        <v>0</v>
      </c>
      <c r="J5079" s="23">
        <v>0</v>
      </c>
      <c r="K5079" s="23">
        <v>0</v>
      </c>
    </row>
    <row r="5080" spans="1:11" x14ac:dyDescent="0.25">
      <c r="A5080">
        <v>5079</v>
      </c>
      <c r="B5080" s="23">
        <v>1086.2247649999999</v>
      </c>
      <c r="C5080" s="23">
        <v>553.91999999999996</v>
      </c>
      <c r="D5080" s="23">
        <v>2158.3890000000001</v>
      </c>
      <c r="E5080" s="23">
        <v>1086.2249999999999</v>
      </c>
      <c r="F5080" s="23">
        <v>-1072.164</v>
      </c>
      <c r="G5080" s="23">
        <v>0</v>
      </c>
      <c r="H5080" s="23">
        <v>0</v>
      </c>
      <c r="I5080" s="23">
        <v>0</v>
      </c>
      <c r="J5080" s="23">
        <v>0</v>
      </c>
      <c r="K5080" s="23">
        <v>0</v>
      </c>
    </row>
    <row r="5081" spans="1:11" x14ac:dyDescent="0.25">
      <c r="A5081">
        <v>5080</v>
      </c>
      <c r="B5081" s="23">
        <v>1050.34719</v>
      </c>
      <c r="C5081" s="23">
        <v>67.64</v>
      </c>
      <c r="D5081" s="23">
        <v>238.54400000000001</v>
      </c>
      <c r="E5081" s="23">
        <v>238.54400000000001</v>
      </c>
      <c r="F5081" s="23">
        <v>0</v>
      </c>
      <c r="G5081" s="23">
        <v>0</v>
      </c>
      <c r="H5081" s="23">
        <v>0</v>
      </c>
      <c r="I5081" s="23">
        <v>811.803</v>
      </c>
      <c r="J5081" s="23">
        <v>0</v>
      </c>
      <c r="K5081" s="23">
        <v>0</v>
      </c>
    </row>
    <row r="5082" spans="1:11" x14ac:dyDescent="0.25">
      <c r="A5082">
        <v>5081</v>
      </c>
      <c r="B5082" s="23">
        <v>1100.0177229999999</v>
      </c>
      <c r="C5082" s="23">
        <v>115.16</v>
      </c>
      <c r="D5082" s="23">
        <v>436.40300000000002</v>
      </c>
      <c r="E5082" s="23">
        <v>436.40300000000002</v>
      </c>
      <c r="F5082" s="23">
        <v>0</v>
      </c>
      <c r="G5082" s="23">
        <v>0</v>
      </c>
      <c r="H5082" s="23">
        <v>0</v>
      </c>
      <c r="I5082" s="23">
        <v>663.61400000000003</v>
      </c>
      <c r="J5082" s="23">
        <v>0</v>
      </c>
      <c r="K5082" s="23">
        <v>0</v>
      </c>
    </row>
    <row r="5083" spans="1:11" x14ac:dyDescent="0.25">
      <c r="A5083">
        <v>5082</v>
      </c>
      <c r="B5083" s="23">
        <v>961.45012750000001</v>
      </c>
      <c r="C5083" s="23">
        <v>67.58</v>
      </c>
      <c r="D5083" s="23">
        <v>235.745</v>
      </c>
      <c r="E5083" s="23">
        <v>235.745</v>
      </c>
      <c r="F5083" s="23">
        <v>0</v>
      </c>
      <c r="G5083" s="23">
        <v>0</v>
      </c>
      <c r="H5083" s="23">
        <v>0</v>
      </c>
      <c r="I5083" s="23">
        <v>0</v>
      </c>
      <c r="J5083" s="23">
        <v>0</v>
      </c>
      <c r="K5083" s="23">
        <v>725.70600000000002</v>
      </c>
    </row>
    <row r="5084" spans="1:11" x14ac:dyDescent="0.25">
      <c r="A5084">
        <v>5083</v>
      </c>
      <c r="B5084" s="23">
        <v>1004.254399</v>
      </c>
      <c r="C5084" s="23">
        <v>0</v>
      </c>
      <c r="D5084" s="23">
        <v>0</v>
      </c>
      <c r="E5084" s="23">
        <v>0</v>
      </c>
      <c r="F5084" s="23">
        <v>0</v>
      </c>
      <c r="G5084" s="23">
        <v>0</v>
      </c>
      <c r="H5084" s="23">
        <v>0</v>
      </c>
      <c r="I5084" s="23">
        <v>0</v>
      </c>
      <c r="J5084" s="23">
        <v>0</v>
      </c>
      <c r="K5084" s="23">
        <v>1004.254</v>
      </c>
    </row>
    <row r="5085" spans="1:11" x14ac:dyDescent="0.25">
      <c r="A5085">
        <v>5084</v>
      </c>
      <c r="B5085" s="23">
        <v>918.60959490000005</v>
      </c>
      <c r="C5085" s="23">
        <v>0</v>
      </c>
      <c r="D5085" s="23">
        <v>0</v>
      </c>
      <c r="E5085" s="23">
        <v>0</v>
      </c>
      <c r="F5085" s="23">
        <v>0</v>
      </c>
      <c r="G5085" s="23">
        <v>0</v>
      </c>
      <c r="H5085" s="23">
        <v>0</v>
      </c>
      <c r="I5085" s="23">
        <v>0</v>
      </c>
      <c r="J5085" s="23">
        <v>0</v>
      </c>
      <c r="K5085" s="23">
        <v>918.61</v>
      </c>
    </row>
    <row r="5086" spans="1:11" x14ac:dyDescent="0.25">
      <c r="A5086">
        <v>5085</v>
      </c>
      <c r="B5086" s="23">
        <v>1251.5192380000001</v>
      </c>
      <c r="C5086" s="23">
        <v>0</v>
      </c>
      <c r="D5086" s="23">
        <v>0</v>
      </c>
      <c r="E5086" s="23">
        <v>0</v>
      </c>
      <c r="F5086" s="23">
        <v>0</v>
      </c>
      <c r="G5086" s="23">
        <v>0</v>
      </c>
      <c r="H5086" s="23">
        <v>0</v>
      </c>
      <c r="I5086" s="23">
        <v>1251.519</v>
      </c>
      <c r="J5086" s="23">
        <v>0</v>
      </c>
      <c r="K5086" s="23">
        <v>0</v>
      </c>
    </row>
    <row r="5087" spans="1:11" x14ac:dyDescent="0.25">
      <c r="A5087">
        <v>5086</v>
      </c>
      <c r="B5087" s="23">
        <v>1076.085525</v>
      </c>
      <c r="C5087" s="23">
        <v>0</v>
      </c>
      <c r="D5087" s="23">
        <v>0</v>
      </c>
      <c r="E5087" s="23">
        <v>0</v>
      </c>
      <c r="F5087" s="23">
        <v>0</v>
      </c>
      <c r="G5087" s="23">
        <v>0</v>
      </c>
      <c r="H5087" s="23">
        <v>0</v>
      </c>
      <c r="I5087" s="23">
        <v>1076.086</v>
      </c>
      <c r="J5087" s="23">
        <v>0</v>
      </c>
      <c r="K5087" s="23">
        <v>0</v>
      </c>
    </row>
    <row r="5088" spans="1:11" x14ac:dyDescent="0.25">
      <c r="A5088">
        <v>5087</v>
      </c>
      <c r="B5088" s="23">
        <v>1287.4348010000001</v>
      </c>
      <c r="C5088" s="23">
        <v>0</v>
      </c>
      <c r="D5088" s="23">
        <v>0</v>
      </c>
      <c r="E5088" s="23">
        <v>0</v>
      </c>
      <c r="F5088" s="23">
        <v>0</v>
      </c>
      <c r="G5088" s="23">
        <v>0</v>
      </c>
      <c r="H5088" s="23">
        <v>0</v>
      </c>
      <c r="I5088" s="23">
        <v>1287.4349999999999</v>
      </c>
      <c r="J5088" s="23">
        <v>0</v>
      </c>
      <c r="K5088" s="23">
        <v>0</v>
      </c>
    </row>
    <row r="5089" spans="1:11" x14ac:dyDescent="0.25">
      <c r="A5089">
        <v>5088</v>
      </c>
      <c r="B5089" s="23">
        <v>1154.132807</v>
      </c>
      <c r="C5089" s="23">
        <v>0</v>
      </c>
      <c r="D5089" s="23">
        <v>0</v>
      </c>
      <c r="E5089" s="23">
        <v>0</v>
      </c>
      <c r="F5089" s="23">
        <v>0</v>
      </c>
      <c r="G5089" s="23">
        <v>0</v>
      </c>
      <c r="H5089" s="23">
        <v>0</v>
      </c>
      <c r="I5089" s="23">
        <v>1154.133</v>
      </c>
      <c r="J5089" s="23">
        <v>0</v>
      </c>
      <c r="K5089" s="23">
        <v>0</v>
      </c>
    </row>
    <row r="5090" spans="1:11" x14ac:dyDescent="0.25">
      <c r="A5090">
        <v>5089</v>
      </c>
      <c r="B5090" s="23">
        <v>1704.543919</v>
      </c>
      <c r="C5090" s="23">
        <v>0</v>
      </c>
      <c r="D5090" s="23">
        <v>0</v>
      </c>
      <c r="E5090" s="23">
        <v>0</v>
      </c>
      <c r="F5090" s="23">
        <v>0</v>
      </c>
      <c r="G5090" s="23">
        <v>0</v>
      </c>
      <c r="H5090" s="23">
        <v>0</v>
      </c>
      <c r="I5090" s="23">
        <v>1704.5440000000001</v>
      </c>
      <c r="J5090" s="23">
        <v>0</v>
      </c>
      <c r="K5090" s="23">
        <v>0</v>
      </c>
    </row>
    <row r="5091" spans="1:11" x14ac:dyDescent="0.25">
      <c r="A5091">
        <v>5090</v>
      </c>
      <c r="B5091" s="23">
        <v>1118.034183</v>
      </c>
      <c r="C5091" s="23">
        <v>0</v>
      </c>
      <c r="D5091" s="23">
        <v>0</v>
      </c>
      <c r="E5091" s="23">
        <v>0</v>
      </c>
      <c r="F5091" s="23">
        <v>0</v>
      </c>
      <c r="G5091" s="23">
        <v>0</v>
      </c>
      <c r="H5091" s="23">
        <v>0</v>
      </c>
      <c r="I5091" s="23">
        <v>1118.0340000000001</v>
      </c>
      <c r="J5091" s="23">
        <v>0</v>
      </c>
      <c r="K5091" s="23">
        <v>0</v>
      </c>
    </row>
    <row r="5092" spans="1:11" x14ac:dyDescent="0.25">
      <c r="A5092">
        <v>5091</v>
      </c>
      <c r="B5092" s="23">
        <v>1386.5855160000001</v>
      </c>
      <c r="C5092" s="23">
        <v>0</v>
      </c>
      <c r="D5092" s="23">
        <v>0</v>
      </c>
      <c r="E5092" s="23">
        <v>0</v>
      </c>
      <c r="F5092" s="23">
        <v>0</v>
      </c>
      <c r="G5092" s="23">
        <v>0</v>
      </c>
      <c r="H5092" s="23">
        <v>0</v>
      </c>
      <c r="I5092" s="23">
        <v>1386.586</v>
      </c>
      <c r="J5092" s="23">
        <v>0</v>
      </c>
      <c r="K5092" s="23">
        <v>0</v>
      </c>
    </row>
    <row r="5093" spans="1:11" x14ac:dyDescent="0.25">
      <c r="A5093">
        <v>5092</v>
      </c>
      <c r="B5093" s="23">
        <v>1257.4896229999999</v>
      </c>
      <c r="C5093" s="23">
        <v>0</v>
      </c>
      <c r="D5093" s="23">
        <v>0</v>
      </c>
      <c r="E5093" s="23">
        <v>0</v>
      </c>
      <c r="F5093" s="23">
        <v>0</v>
      </c>
      <c r="G5093" s="23">
        <v>0</v>
      </c>
      <c r="H5093" s="23">
        <v>0</v>
      </c>
      <c r="I5093" s="23">
        <v>1257.49</v>
      </c>
      <c r="J5093" s="23">
        <v>0</v>
      </c>
      <c r="K5093" s="23">
        <v>0</v>
      </c>
    </row>
    <row r="5094" spans="1:11" x14ac:dyDescent="0.25">
      <c r="A5094">
        <v>5093</v>
      </c>
      <c r="B5094" s="23">
        <v>1113.2528540000001</v>
      </c>
      <c r="C5094" s="23">
        <v>0</v>
      </c>
      <c r="D5094" s="23">
        <v>0</v>
      </c>
      <c r="E5094" s="23">
        <v>0</v>
      </c>
      <c r="F5094" s="23">
        <v>0</v>
      </c>
      <c r="G5094" s="23">
        <v>0</v>
      </c>
      <c r="H5094" s="23">
        <v>0</v>
      </c>
      <c r="I5094" s="23">
        <v>1113.2529999999999</v>
      </c>
      <c r="J5094" s="23">
        <v>0</v>
      </c>
      <c r="K5094" s="23">
        <v>0</v>
      </c>
    </row>
    <row r="5095" spans="1:11" x14ac:dyDescent="0.25">
      <c r="A5095">
        <v>5094</v>
      </c>
      <c r="B5095" s="23">
        <v>1508.509415</v>
      </c>
      <c r="C5095" s="23">
        <v>0</v>
      </c>
      <c r="D5095" s="23">
        <v>0</v>
      </c>
      <c r="E5095" s="23">
        <v>0</v>
      </c>
      <c r="F5095" s="23">
        <v>0</v>
      </c>
      <c r="G5095" s="23">
        <v>0</v>
      </c>
      <c r="H5095" s="23">
        <v>0</v>
      </c>
      <c r="I5095" s="23">
        <v>42.265999999999998</v>
      </c>
      <c r="J5095" s="23">
        <v>0</v>
      </c>
      <c r="K5095" s="23">
        <v>1466.2429999999999</v>
      </c>
    </row>
    <row r="5096" spans="1:11" x14ac:dyDescent="0.25">
      <c r="A5096">
        <v>5095</v>
      </c>
      <c r="B5096" s="23">
        <v>1345.147328</v>
      </c>
      <c r="C5096" s="23">
        <v>41.16</v>
      </c>
      <c r="D5096" s="23">
        <v>136.88200000000001</v>
      </c>
      <c r="E5096" s="23">
        <v>136.88200000000001</v>
      </c>
      <c r="F5096" s="23">
        <v>0</v>
      </c>
      <c r="G5096" s="23">
        <v>0</v>
      </c>
      <c r="H5096" s="23">
        <v>0</v>
      </c>
      <c r="I5096" s="23">
        <v>0</v>
      </c>
      <c r="J5096" s="23">
        <v>0</v>
      </c>
      <c r="K5096" s="23">
        <v>1208.2650000000001</v>
      </c>
    </row>
    <row r="5097" spans="1:11" x14ac:dyDescent="0.25">
      <c r="A5097">
        <v>5096</v>
      </c>
      <c r="B5097" s="23">
        <v>1347.8467869999999</v>
      </c>
      <c r="C5097" s="23">
        <v>208.34</v>
      </c>
      <c r="D5097" s="23">
        <v>823.13800000000003</v>
      </c>
      <c r="E5097" s="23">
        <v>823.13800000000003</v>
      </c>
      <c r="F5097" s="23">
        <v>0</v>
      </c>
      <c r="G5097" s="23">
        <v>0</v>
      </c>
      <c r="H5097" s="23">
        <v>0</v>
      </c>
      <c r="I5097" s="23">
        <v>0</v>
      </c>
      <c r="J5097" s="23">
        <v>0</v>
      </c>
      <c r="K5097" s="23">
        <v>524.70899999999995</v>
      </c>
    </row>
    <row r="5098" spans="1:11" x14ac:dyDescent="0.25">
      <c r="A5098">
        <v>5097</v>
      </c>
      <c r="B5098" s="23">
        <v>1439.8056959999999</v>
      </c>
      <c r="C5098" s="23">
        <v>394.94</v>
      </c>
      <c r="D5098" s="23">
        <v>1568.7070000000001</v>
      </c>
      <c r="E5098" s="23">
        <v>1439.806</v>
      </c>
      <c r="F5098" s="23">
        <v>-128.90100000000001</v>
      </c>
      <c r="G5098" s="23">
        <v>0</v>
      </c>
      <c r="H5098" s="23">
        <v>0</v>
      </c>
      <c r="I5098" s="23">
        <v>0</v>
      </c>
      <c r="J5098" s="23">
        <v>0</v>
      </c>
      <c r="K5098" s="23">
        <v>0</v>
      </c>
    </row>
    <row r="5099" spans="1:11" x14ac:dyDescent="0.25">
      <c r="A5099">
        <v>5098</v>
      </c>
      <c r="B5099" s="23">
        <v>1331.5524150000001</v>
      </c>
      <c r="C5099" s="23">
        <v>512.84</v>
      </c>
      <c r="D5099" s="23">
        <v>2006.376</v>
      </c>
      <c r="E5099" s="23">
        <v>1331.5519999999999</v>
      </c>
      <c r="F5099" s="23">
        <v>-674.82399999999996</v>
      </c>
      <c r="G5099" s="23">
        <v>0</v>
      </c>
      <c r="H5099" s="23">
        <v>0</v>
      </c>
      <c r="I5099" s="23">
        <v>0</v>
      </c>
      <c r="J5099" s="23">
        <v>0</v>
      </c>
      <c r="K5099" s="23">
        <v>0</v>
      </c>
    </row>
    <row r="5100" spans="1:11" x14ac:dyDescent="0.25">
      <c r="A5100">
        <v>5099</v>
      </c>
      <c r="B5100" s="23">
        <v>1361.53135</v>
      </c>
      <c r="C5100" s="23">
        <v>571.36</v>
      </c>
      <c r="D5100" s="23">
        <v>2208.8530000000001</v>
      </c>
      <c r="E5100" s="23">
        <v>1361.5309999999999</v>
      </c>
      <c r="F5100" s="23">
        <v>-847.322</v>
      </c>
      <c r="G5100" s="23">
        <v>0</v>
      </c>
      <c r="H5100" s="23">
        <v>0</v>
      </c>
      <c r="I5100" s="23">
        <v>0</v>
      </c>
      <c r="J5100" s="23">
        <v>0</v>
      </c>
      <c r="K5100" s="23">
        <v>0</v>
      </c>
    </row>
    <row r="5101" spans="1:11" x14ac:dyDescent="0.25">
      <c r="A5101">
        <v>5100</v>
      </c>
      <c r="B5101" s="23">
        <v>1417.913184</v>
      </c>
      <c r="C5101" s="23">
        <v>757.82</v>
      </c>
      <c r="D5101" s="23">
        <v>2894.4580000000001</v>
      </c>
      <c r="E5101" s="23">
        <v>1417.913</v>
      </c>
      <c r="F5101" s="23">
        <v>-1476.5450000000001</v>
      </c>
      <c r="G5101" s="23">
        <v>0</v>
      </c>
      <c r="H5101" s="23">
        <v>0</v>
      </c>
      <c r="I5101" s="23">
        <v>0</v>
      </c>
      <c r="J5101" s="23">
        <v>0</v>
      </c>
      <c r="K5101" s="23">
        <v>0</v>
      </c>
    </row>
    <row r="5102" spans="1:11" x14ac:dyDescent="0.25">
      <c r="A5102">
        <v>5101</v>
      </c>
      <c r="B5102" s="23">
        <v>1620.5807870000001</v>
      </c>
      <c r="C5102" s="23">
        <v>790.48</v>
      </c>
      <c r="D5102" s="23">
        <v>3013.0639999999999</v>
      </c>
      <c r="E5102" s="23">
        <v>1620.5809999999999</v>
      </c>
      <c r="F5102" s="23">
        <v>-1392.4829999999999</v>
      </c>
      <c r="G5102" s="23">
        <v>0</v>
      </c>
      <c r="H5102" s="23">
        <v>0</v>
      </c>
      <c r="I5102" s="23">
        <v>0</v>
      </c>
      <c r="J5102" s="23">
        <v>0</v>
      </c>
      <c r="K5102" s="23">
        <v>0</v>
      </c>
    </row>
    <row r="5103" spans="1:11" x14ac:dyDescent="0.25">
      <c r="A5103">
        <v>5102</v>
      </c>
      <c r="B5103" s="23">
        <v>1546.2629910000001</v>
      </c>
      <c r="C5103" s="23">
        <v>706.79</v>
      </c>
      <c r="D5103" s="23">
        <v>2712.4839999999999</v>
      </c>
      <c r="E5103" s="23">
        <v>1546.2629999999999</v>
      </c>
      <c r="F5103" s="23">
        <v>-1166.221</v>
      </c>
      <c r="G5103" s="23">
        <v>0</v>
      </c>
      <c r="H5103" s="23">
        <v>0</v>
      </c>
      <c r="I5103" s="23">
        <v>0</v>
      </c>
      <c r="J5103" s="23">
        <v>0</v>
      </c>
      <c r="K5103" s="23">
        <v>0</v>
      </c>
    </row>
    <row r="5104" spans="1:11" x14ac:dyDescent="0.25">
      <c r="A5104">
        <v>5103</v>
      </c>
      <c r="B5104" s="23">
        <v>1367.5966659999999</v>
      </c>
      <c r="C5104" s="23">
        <v>563.35</v>
      </c>
      <c r="D5104" s="23">
        <v>2189.2539999999999</v>
      </c>
      <c r="E5104" s="23">
        <v>1367.596</v>
      </c>
      <c r="F5104" s="23">
        <v>-821.65800000000002</v>
      </c>
      <c r="G5104" s="23">
        <v>0</v>
      </c>
      <c r="H5104" s="23">
        <v>0</v>
      </c>
      <c r="I5104" s="23">
        <v>0</v>
      </c>
      <c r="J5104" s="23">
        <v>0</v>
      </c>
      <c r="K5104" s="23">
        <v>0</v>
      </c>
    </row>
    <row r="5105" spans="1:11" x14ac:dyDescent="0.25">
      <c r="A5105">
        <v>5104</v>
      </c>
      <c r="B5105" s="23">
        <v>1582.149856</v>
      </c>
      <c r="C5105" s="23">
        <v>343.02</v>
      </c>
      <c r="D5105" s="23">
        <v>1347.251</v>
      </c>
      <c r="E5105" s="23">
        <v>1347.251</v>
      </c>
      <c r="F5105" s="23">
        <v>0</v>
      </c>
      <c r="G5105" s="23">
        <v>0</v>
      </c>
      <c r="H5105" s="23">
        <v>0</v>
      </c>
      <c r="I5105" s="23">
        <v>234.899</v>
      </c>
      <c r="J5105" s="23">
        <v>0</v>
      </c>
      <c r="K5105" s="23">
        <v>0</v>
      </c>
    </row>
    <row r="5106" spans="1:11" x14ac:dyDescent="0.25">
      <c r="A5106">
        <v>5105</v>
      </c>
      <c r="B5106" s="23">
        <v>1603.4885300000001</v>
      </c>
      <c r="C5106" s="23">
        <v>133.9</v>
      </c>
      <c r="D5106" s="23">
        <v>513.14599999999996</v>
      </c>
      <c r="E5106" s="23">
        <v>513.14599999999996</v>
      </c>
      <c r="F5106" s="23">
        <v>0</v>
      </c>
      <c r="G5106" s="23">
        <v>0</v>
      </c>
      <c r="H5106" s="23">
        <v>0</v>
      </c>
      <c r="I5106" s="23">
        <v>1090.3430000000001</v>
      </c>
      <c r="J5106" s="23">
        <v>0</v>
      </c>
      <c r="K5106" s="23">
        <v>0</v>
      </c>
    </row>
    <row r="5107" spans="1:11" x14ac:dyDescent="0.25">
      <c r="A5107">
        <v>5106</v>
      </c>
      <c r="B5107" s="23">
        <v>1628.2677699999999</v>
      </c>
      <c r="C5107" s="23">
        <v>62.77</v>
      </c>
      <c r="D5107" s="23">
        <v>218.21700000000001</v>
      </c>
      <c r="E5107" s="23">
        <v>218.21700000000001</v>
      </c>
      <c r="F5107" s="23">
        <v>0</v>
      </c>
      <c r="G5107" s="23">
        <v>0</v>
      </c>
      <c r="H5107" s="23">
        <v>0</v>
      </c>
      <c r="I5107" s="23">
        <v>0</v>
      </c>
      <c r="J5107" s="23">
        <v>0</v>
      </c>
      <c r="K5107" s="23">
        <v>1410.0509999999999</v>
      </c>
    </row>
    <row r="5108" spans="1:11" x14ac:dyDescent="0.25">
      <c r="A5108">
        <v>5107</v>
      </c>
      <c r="B5108" s="23">
        <v>1753.1560930000001</v>
      </c>
      <c r="C5108" s="23">
        <v>0</v>
      </c>
      <c r="D5108" s="23">
        <v>0</v>
      </c>
      <c r="E5108" s="23">
        <v>0</v>
      </c>
      <c r="F5108" s="23">
        <v>0</v>
      </c>
      <c r="G5108" s="23">
        <v>0</v>
      </c>
      <c r="H5108" s="23">
        <v>0</v>
      </c>
      <c r="I5108" s="23">
        <v>68.596999999999994</v>
      </c>
      <c r="J5108" s="23">
        <v>0</v>
      </c>
      <c r="K5108" s="23">
        <v>1684.559</v>
      </c>
    </row>
    <row r="5109" spans="1:11" x14ac:dyDescent="0.25">
      <c r="A5109">
        <v>5108</v>
      </c>
      <c r="B5109" s="23">
        <v>1494.1654269999999</v>
      </c>
      <c r="C5109" s="23">
        <v>0</v>
      </c>
      <c r="D5109" s="23">
        <v>0</v>
      </c>
      <c r="E5109" s="23">
        <v>0</v>
      </c>
      <c r="F5109" s="23">
        <v>0</v>
      </c>
      <c r="G5109" s="23">
        <v>0</v>
      </c>
      <c r="H5109" s="23">
        <v>0</v>
      </c>
      <c r="I5109" s="23">
        <v>0</v>
      </c>
      <c r="J5109" s="23">
        <v>0</v>
      </c>
      <c r="K5109" s="23">
        <v>1494.165</v>
      </c>
    </row>
    <row r="5110" spans="1:11" x14ac:dyDescent="0.25">
      <c r="A5110">
        <v>5109</v>
      </c>
      <c r="B5110" s="23">
        <v>1494.1654269999999</v>
      </c>
      <c r="C5110" s="23">
        <v>0</v>
      </c>
      <c r="D5110" s="23">
        <v>0</v>
      </c>
      <c r="E5110" s="23">
        <v>0</v>
      </c>
      <c r="F5110" s="23">
        <v>0</v>
      </c>
      <c r="G5110" s="23">
        <v>0</v>
      </c>
      <c r="H5110" s="23">
        <v>0</v>
      </c>
      <c r="I5110" s="23">
        <v>1494.165</v>
      </c>
      <c r="J5110" s="23">
        <v>0</v>
      </c>
      <c r="K5110" s="23">
        <v>0</v>
      </c>
    </row>
    <row r="5111" spans="1:11" x14ac:dyDescent="0.25">
      <c r="A5111">
        <v>5110</v>
      </c>
      <c r="B5111" s="23">
        <v>1460.6961209999999</v>
      </c>
      <c r="C5111" s="23">
        <v>0</v>
      </c>
      <c r="D5111" s="23">
        <v>0</v>
      </c>
      <c r="E5111" s="23">
        <v>0</v>
      </c>
      <c r="F5111" s="23">
        <v>0</v>
      </c>
      <c r="G5111" s="23">
        <v>0</v>
      </c>
      <c r="H5111" s="23">
        <v>0</v>
      </c>
      <c r="I5111" s="23">
        <v>1460.6959999999999</v>
      </c>
      <c r="J5111" s="23">
        <v>0</v>
      </c>
      <c r="K5111" s="23">
        <v>0</v>
      </c>
    </row>
    <row r="5112" spans="1:11" x14ac:dyDescent="0.25">
      <c r="A5112">
        <v>5111</v>
      </c>
      <c r="B5112" s="23">
        <v>1675.8559419999999</v>
      </c>
      <c r="C5112" s="23">
        <v>0</v>
      </c>
      <c r="D5112" s="23">
        <v>0</v>
      </c>
      <c r="E5112" s="23">
        <v>0</v>
      </c>
      <c r="F5112" s="23">
        <v>0</v>
      </c>
      <c r="G5112" s="23">
        <v>0</v>
      </c>
      <c r="H5112" s="23">
        <v>0</v>
      </c>
      <c r="I5112" s="23">
        <v>1675.856</v>
      </c>
      <c r="J5112" s="23">
        <v>0</v>
      </c>
      <c r="K5112" s="23">
        <v>0</v>
      </c>
    </row>
    <row r="5113" spans="1:11" x14ac:dyDescent="0.25">
      <c r="A5113">
        <v>5112</v>
      </c>
      <c r="B5113" s="23">
        <v>1392.1637330000001</v>
      </c>
      <c r="C5113" s="23">
        <v>0</v>
      </c>
      <c r="D5113" s="23">
        <v>0</v>
      </c>
      <c r="E5113" s="23">
        <v>0</v>
      </c>
      <c r="F5113" s="23">
        <v>0</v>
      </c>
      <c r="G5113" s="23">
        <v>0</v>
      </c>
      <c r="H5113" s="23">
        <v>0</v>
      </c>
      <c r="I5113" s="23">
        <v>1392.164</v>
      </c>
      <c r="J5113" s="23">
        <v>0</v>
      </c>
      <c r="K5113" s="23">
        <v>0</v>
      </c>
    </row>
    <row r="5114" spans="1:11" x14ac:dyDescent="0.25">
      <c r="A5114">
        <v>5113</v>
      </c>
      <c r="B5114" s="23">
        <v>1467.0712269999999</v>
      </c>
      <c r="C5114" s="23">
        <v>0</v>
      </c>
      <c r="D5114" s="23">
        <v>0</v>
      </c>
      <c r="E5114" s="23">
        <v>0</v>
      </c>
      <c r="F5114" s="23">
        <v>0</v>
      </c>
      <c r="G5114" s="23">
        <v>0</v>
      </c>
      <c r="H5114" s="23">
        <v>0</v>
      </c>
      <c r="I5114" s="23">
        <v>1467.0709999999999</v>
      </c>
      <c r="J5114" s="23">
        <v>0</v>
      </c>
      <c r="K5114" s="23">
        <v>0</v>
      </c>
    </row>
    <row r="5115" spans="1:11" x14ac:dyDescent="0.25">
      <c r="A5115">
        <v>5114</v>
      </c>
      <c r="B5115" s="23">
        <v>1345.147328</v>
      </c>
      <c r="C5115" s="23">
        <v>0</v>
      </c>
      <c r="D5115" s="23">
        <v>0</v>
      </c>
      <c r="E5115" s="23">
        <v>0</v>
      </c>
      <c r="F5115" s="23">
        <v>0</v>
      </c>
      <c r="G5115" s="23">
        <v>0</v>
      </c>
      <c r="H5115" s="23">
        <v>0</v>
      </c>
      <c r="I5115" s="23">
        <v>1345.1469999999999</v>
      </c>
      <c r="J5115" s="23">
        <v>0</v>
      </c>
      <c r="K5115" s="23">
        <v>0</v>
      </c>
    </row>
    <row r="5116" spans="1:11" x14ac:dyDescent="0.25">
      <c r="A5116">
        <v>5115</v>
      </c>
      <c r="B5116" s="23">
        <v>1282.193158</v>
      </c>
      <c r="C5116" s="23">
        <v>0</v>
      </c>
      <c r="D5116" s="23">
        <v>0</v>
      </c>
      <c r="E5116" s="23">
        <v>0</v>
      </c>
      <c r="F5116" s="23">
        <v>0</v>
      </c>
      <c r="G5116" s="23">
        <v>0</v>
      </c>
      <c r="H5116" s="23">
        <v>0</v>
      </c>
      <c r="I5116" s="23">
        <v>1282.193</v>
      </c>
      <c r="J5116" s="23">
        <v>0</v>
      </c>
      <c r="K5116" s="23">
        <v>0</v>
      </c>
    </row>
    <row r="5117" spans="1:11" x14ac:dyDescent="0.25">
      <c r="A5117">
        <v>5116</v>
      </c>
      <c r="B5117" s="23">
        <v>1174.613247</v>
      </c>
      <c r="C5117" s="23">
        <v>0</v>
      </c>
      <c r="D5117" s="23">
        <v>0</v>
      </c>
      <c r="E5117" s="23">
        <v>0</v>
      </c>
      <c r="F5117" s="23">
        <v>0</v>
      </c>
      <c r="G5117" s="23">
        <v>0</v>
      </c>
      <c r="H5117" s="23">
        <v>0</v>
      </c>
      <c r="I5117" s="23">
        <v>1174.6130000000001</v>
      </c>
      <c r="J5117" s="23">
        <v>0</v>
      </c>
      <c r="K5117" s="23">
        <v>0</v>
      </c>
    </row>
    <row r="5118" spans="1:11" x14ac:dyDescent="0.25">
      <c r="A5118">
        <v>5117</v>
      </c>
      <c r="B5118" s="23">
        <v>1106.8777480000001</v>
      </c>
      <c r="C5118" s="23">
        <v>0</v>
      </c>
      <c r="D5118" s="23">
        <v>0</v>
      </c>
      <c r="E5118" s="23">
        <v>0</v>
      </c>
      <c r="F5118" s="23">
        <v>0</v>
      </c>
      <c r="G5118" s="23">
        <v>0</v>
      </c>
      <c r="H5118" s="23">
        <v>0</v>
      </c>
      <c r="I5118" s="23">
        <v>1106.8779999999999</v>
      </c>
      <c r="J5118" s="23">
        <v>0</v>
      </c>
      <c r="K5118" s="23">
        <v>0</v>
      </c>
    </row>
    <row r="5119" spans="1:11" x14ac:dyDescent="0.25">
      <c r="A5119">
        <v>5118</v>
      </c>
      <c r="B5119" s="23">
        <v>1184.972794</v>
      </c>
      <c r="C5119" s="23">
        <v>0</v>
      </c>
      <c r="D5119" s="23">
        <v>0</v>
      </c>
      <c r="E5119" s="23">
        <v>0</v>
      </c>
      <c r="F5119" s="23">
        <v>0</v>
      </c>
      <c r="G5119" s="23">
        <v>0</v>
      </c>
      <c r="H5119" s="23">
        <v>0</v>
      </c>
      <c r="I5119" s="23">
        <v>1184.973</v>
      </c>
      <c r="J5119" s="23">
        <v>0</v>
      </c>
      <c r="K5119" s="23">
        <v>0</v>
      </c>
    </row>
    <row r="5120" spans="1:11" x14ac:dyDescent="0.25">
      <c r="A5120">
        <v>5119</v>
      </c>
      <c r="B5120" s="23">
        <v>1051.89246</v>
      </c>
      <c r="C5120" s="23">
        <v>74.92</v>
      </c>
      <c r="D5120" s="23">
        <v>262.96800000000002</v>
      </c>
      <c r="E5120" s="23">
        <v>262.96800000000002</v>
      </c>
      <c r="F5120" s="23">
        <v>0</v>
      </c>
      <c r="G5120" s="23">
        <v>0</v>
      </c>
      <c r="H5120" s="23">
        <v>0</v>
      </c>
      <c r="I5120" s="23">
        <v>788.92399999999998</v>
      </c>
      <c r="J5120" s="23">
        <v>0</v>
      </c>
      <c r="K5120" s="23">
        <v>0</v>
      </c>
    </row>
    <row r="5121" spans="1:11" x14ac:dyDescent="0.25">
      <c r="A5121">
        <v>5120</v>
      </c>
      <c r="B5121" s="23">
        <v>1003.1398349999999</v>
      </c>
      <c r="C5121" s="23">
        <v>237.13</v>
      </c>
      <c r="D5121" s="23">
        <v>938.93399999999997</v>
      </c>
      <c r="E5121" s="23">
        <v>938.93399999999997</v>
      </c>
      <c r="F5121" s="23">
        <v>0</v>
      </c>
      <c r="G5121" s="23">
        <v>0</v>
      </c>
      <c r="H5121" s="23">
        <v>0</v>
      </c>
      <c r="I5121" s="23">
        <v>64.206000000000003</v>
      </c>
      <c r="J5121" s="23">
        <v>0</v>
      </c>
      <c r="K5121" s="23">
        <v>0</v>
      </c>
    </row>
    <row r="5122" spans="1:11" x14ac:dyDescent="0.25">
      <c r="A5122">
        <v>5121</v>
      </c>
      <c r="B5122" s="23">
        <v>1520.475688</v>
      </c>
      <c r="C5122" s="23">
        <v>270.60000000000002</v>
      </c>
      <c r="D5122" s="23">
        <v>1064.761</v>
      </c>
      <c r="E5122" s="23">
        <v>1064.761</v>
      </c>
      <c r="F5122" s="23">
        <v>0</v>
      </c>
      <c r="G5122" s="23">
        <v>0</v>
      </c>
      <c r="H5122" s="23">
        <v>0</v>
      </c>
      <c r="I5122" s="23">
        <v>455.714</v>
      </c>
      <c r="J5122" s="23">
        <v>0</v>
      </c>
      <c r="K5122" s="23">
        <v>0</v>
      </c>
    </row>
    <row r="5123" spans="1:11" x14ac:dyDescent="0.25">
      <c r="A5123">
        <v>5122</v>
      </c>
      <c r="B5123" s="23">
        <v>1744.6383539999999</v>
      </c>
      <c r="C5123" s="23">
        <v>451.91</v>
      </c>
      <c r="D5123" s="23">
        <v>1770.461</v>
      </c>
      <c r="E5123" s="23">
        <v>1744.6379999999999</v>
      </c>
      <c r="F5123" s="23">
        <v>-25.823</v>
      </c>
      <c r="G5123" s="23">
        <v>0</v>
      </c>
      <c r="H5123" s="23">
        <v>0</v>
      </c>
      <c r="I5123" s="23">
        <v>0</v>
      </c>
      <c r="J5123" s="23">
        <v>0</v>
      </c>
      <c r="K5123" s="23">
        <v>0</v>
      </c>
    </row>
    <row r="5124" spans="1:11" x14ac:dyDescent="0.25">
      <c r="A5124">
        <v>5123</v>
      </c>
      <c r="B5124" s="23">
        <v>1595.174994</v>
      </c>
      <c r="C5124" s="23">
        <v>645.35</v>
      </c>
      <c r="D5124" s="23">
        <v>2500.5889999999999</v>
      </c>
      <c r="E5124" s="23">
        <v>1595.175</v>
      </c>
      <c r="F5124" s="23">
        <v>-905.41399999999999</v>
      </c>
      <c r="G5124" s="23">
        <v>0</v>
      </c>
      <c r="H5124" s="23">
        <v>0</v>
      </c>
      <c r="I5124" s="23">
        <v>0</v>
      </c>
      <c r="J5124" s="23">
        <v>0</v>
      </c>
      <c r="K5124" s="23">
        <v>0</v>
      </c>
    </row>
    <row r="5125" spans="1:11" x14ac:dyDescent="0.25">
      <c r="A5125">
        <v>5124</v>
      </c>
      <c r="B5125" s="23">
        <v>1462.402458</v>
      </c>
      <c r="C5125" s="23">
        <v>703.61</v>
      </c>
      <c r="D5125" s="23">
        <v>2710.9749999999999</v>
      </c>
      <c r="E5125" s="23">
        <v>1462.402</v>
      </c>
      <c r="F5125" s="23">
        <v>-1248.5730000000001</v>
      </c>
      <c r="G5125" s="23">
        <v>0</v>
      </c>
      <c r="H5125" s="23">
        <v>0</v>
      </c>
      <c r="I5125" s="23">
        <v>0</v>
      </c>
      <c r="J5125" s="23">
        <v>0</v>
      </c>
      <c r="K5125" s="23">
        <v>0</v>
      </c>
    </row>
    <row r="5126" spans="1:11" x14ac:dyDescent="0.25">
      <c r="A5126">
        <v>5125</v>
      </c>
      <c r="B5126" s="23">
        <v>1607.6891270000001</v>
      </c>
      <c r="C5126" s="23">
        <v>727.57</v>
      </c>
      <c r="D5126" s="23">
        <v>2799.3249999999998</v>
      </c>
      <c r="E5126" s="23">
        <v>1607.6890000000001</v>
      </c>
      <c r="F5126" s="23">
        <v>-1191.636</v>
      </c>
      <c r="G5126" s="23">
        <v>0</v>
      </c>
      <c r="H5126" s="23">
        <v>0</v>
      </c>
      <c r="I5126" s="23">
        <v>0</v>
      </c>
      <c r="J5126" s="23">
        <v>0</v>
      </c>
      <c r="K5126" s="23">
        <v>0</v>
      </c>
    </row>
    <row r="5127" spans="1:11" x14ac:dyDescent="0.25">
      <c r="A5127">
        <v>5126</v>
      </c>
      <c r="B5127" s="23">
        <v>1637.0923110000001</v>
      </c>
      <c r="C5127" s="23">
        <v>609.12</v>
      </c>
      <c r="D5127" s="23">
        <v>2360.2930000000001</v>
      </c>
      <c r="E5127" s="23">
        <v>1637.0930000000001</v>
      </c>
      <c r="F5127" s="23">
        <v>-723.2</v>
      </c>
      <c r="G5127" s="23">
        <v>0</v>
      </c>
      <c r="H5127" s="23">
        <v>0</v>
      </c>
      <c r="I5127" s="23">
        <v>0</v>
      </c>
      <c r="J5127" s="23">
        <v>0</v>
      </c>
      <c r="K5127" s="23">
        <v>0</v>
      </c>
    </row>
    <row r="5128" spans="1:11" x14ac:dyDescent="0.25">
      <c r="A5128">
        <v>5127</v>
      </c>
      <c r="B5128" s="23">
        <v>1664.4275689999999</v>
      </c>
      <c r="C5128" s="23">
        <v>404.93</v>
      </c>
      <c r="D5128" s="23">
        <v>1583.874</v>
      </c>
      <c r="E5128" s="23">
        <v>1583.874</v>
      </c>
      <c r="F5128" s="23">
        <v>0</v>
      </c>
      <c r="G5128" s="23">
        <v>0</v>
      </c>
      <c r="H5128" s="23">
        <v>0</v>
      </c>
      <c r="I5128" s="23">
        <v>80.554000000000002</v>
      </c>
      <c r="J5128" s="23">
        <v>0</v>
      </c>
      <c r="K5128" s="23">
        <v>0</v>
      </c>
    </row>
    <row r="5129" spans="1:11" x14ac:dyDescent="0.25">
      <c r="A5129">
        <v>5128</v>
      </c>
      <c r="B5129" s="23">
        <v>1619.2758819999999</v>
      </c>
      <c r="C5129" s="23">
        <v>157.28</v>
      </c>
      <c r="D5129" s="23">
        <v>604.47699999999998</v>
      </c>
      <c r="E5129" s="23">
        <v>604.47699999999998</v>
      </c>
      <c r="F5129" s="23">
        <v>0</v>
      </c>
      <c r="G5129" s="23">
        <v>0</v>
      </c>
      <c r="H5129" s="23">
        <v>0</v>
      </c>
      <c r="I5129" s="23">
        <v>1014.799</v>
      </c>
      <c r="J5129" s="23">
        <v>0</v>
      </c>
      <c r="K5129" s="23">
        <v>0</v>
      </c>
    </row>
    <row r="5130" spans="1:11" x14ac:dyDescent="0.25">
      <c r="A5130">
        <v>5129</v>
      </c>
      <c r="B5130" s="23">
        <v>1609.667402</v>
      </c>
      <c r="C5130" s="23">
        <v>164.04</v>
      </c>
      <c r="D5130" s="23">
        <v>639.89300000000003</v>
      </c>
      <c r="E5130" s="23">
        <v>639.89300000000003</v>
      </c>
      <c r="F5130" s="23">
        <v>0</v>
      </c>
      <c r="G5130" s="23">
        <v>0</v>
      </c>
      <c r="H5130" s="23">
        <v>0</v>
      </c>
      <c r="I5130" s="23">
        <v>969.774</v>
      </c>
      <c r="J5130" s="23">
        <v>0</v>
      </c>
      <c r="K5130" s="23">
        <v>0</v>
      </c>
    </row>
    <row r="5131" spans="1:11" x14ac:dyDescent="0.25">
      <c r="A5131">
        <v>5130</v>
      </c>
      <c r="B5131" s="23">
        <v>1842.5400569999999</v>
      </c>
      <c r="C5131" s="23">
        <v>65.25</v>
      </c>
      <c r="D5131" s="23">
        <v>227.91300000000001</v>
      </c>
      <c r="E5131" s="23">
        <v>227.91300000000001</v>
      </c>
      <c r="F5131" s="23">
        <v>0</v>
      </c>
      <c r="G5131" s="23">
        <v>0</v>
      </c>
      <c r="H5131" s="23">
        <v>0</v>
      </c>
      <c r="I5131" s="23">
        <v>0</v>
      </c>
      <c r="J5131" s="23">
        <v>0</v>
      </c>
      <c r="K5131" s="23">
        <v>1614.627</v>
      </c>
    </row>
    <row r="5132" spans="1:11" x14ac:dyDescent="0.25">
      <c r="A5132">
        <v>5131</v>
      </c>
      <c r="B5132" s="23">
        <v>1522.0624909999999</v>
      </c>
      <c r="C5132" s="23">
        <v>0</v>
      </c>
      <c r="D5132" s="23">
        <v>0</v>
      </c>
      <c r="E5132" s="23">
        <v>0</v>
      </c>
      <c r="F5132" s="23">
        <v>0</v>
      </c>
      <c r="G5132" s="23">
        <v>0</v>
      </c>
      <c r="H5132" s="23">
        <v>0</v>
      </c>
      <c r="I5132" s="23">
        <v>0</v>
      </c>
      <c r="J5132" s="23">
        <v>0</v>
      </c>
      <c r="K5132" s="23">
        <v>1522.0619999999999</v>
      </c>
    </row>
    <row r="5133" spans="1:11" x14ac:dyDescent="0.25">
      <c r="A5133">
        <v>5132</v>
      </c>
      <c r="B5133" s="23">
        <v>1333.1940050000001</v>
      </c>
      <c r="C5133" s="23">
        <v>0</v>
      </c>
      <c r="D5133" s="23">
        <v>0</v>
      </c>
      <c r="E5133" s="23">
        <v>0</v>
      </c>
      <c r="F5133" s="23">
        <v>0</v>
      </c>
      <c r="G5133" s="23">
        <v>0</v>
      </c>
      <c r="H5133" s="23">
        <v>0</v>
      </c>
      <c r="I5133" s="23">
        <v>0</v>
      </c>
      <c r="J5133" s="23">
        <v>0</v>
      </c>
      <c r="K5133" s="23">
        <v>1333.194</v>
      </c>
    </row>
    <row r="5134" spans="1:11" x14ac:dyDescent="0.25">
      <c r="A5134">
        <v>5133</v>
      </c>
      <c r="B5134" s="23">
        <v>1353.1162099999999</v>
      </c>
      <c r="C5134" s="23">
        <v>0</v>
      </c>
      <c r="D5134" s="23">
        <v>0</v>
      </c>
      <c r="E5134" s="23">
        <v>0</v>
      </c>
      <c r="F5134" s="23">
        <v>0</v>
      </c>
      <c r="G5134" s="23">
        <v>0</v>
      </c>
      <c r="H5134" s="23">
        <v>0</v>
      </c>
      <c r="I5134" s="23">
        <v>1353.116</v>
      </c>
      <c r="J5134" s="23">
        <v>0</v>
      </c>
      <c r="K5134" s="23">
        <v>0</v>
      </c>
    </row>
    <row r="5135" spans="1:11" x14ac:dyDescent="0.25">
      <c r="A5135">
        <v>5134</v>
      </c>
      <c r="B5135" s="23">
        <v>1412.8828269999999</v>
      </c>
      <c r="C5135" s="23">
        <v>0</v>
      </c>
      <c r="D5135" s="23">
        <v>0</v>
      </c>
      <c r="E5135" s="23">
        <v>0</v>
      </c>
      <c r="F5135" s="23">
        <v>0</v>
      </c>
      <c r="G5135" s="23">
        <v>0</v>
      </c>
      <c r="H5135" s="23">
        <v>0</v>
      </c>
      <c r="I5135" s="23">
        <v>1412.883</v>
      </c>
      <c r="J5135" s="23">
        <v>0</v>
      </c>
      <c r="K5135" s="23">
        <v>0</v>
      </c>
    </row>
    <row r="5136" spans="1:11" x14ac:dyDescent="0.25">
      <c r="A5136">
        <v>5135</v>
      </c>
      <c r="B5136" s="23">
        <v>1341.959775</v>
      </c>
      <c r="C5136" s="23">
        <v>0</v>
      </c>
      <c r="D5136" s="23">
        <v>0</v>
      </c>
      <c r="E5136" s="23">
        <v>0</v>
      </c>
      <c r="F5136" s="23">
        <v>0</v>
      </c>
      <c r="G5136" s="23">
        <v>0</v>
      </c>
      <c r="H5136" s="23">
        <v>0</v>
      </c>
      <c r="I5136" s="23">
        <v>1341.96</v>
      </c>
      <c r="J5136" s="23">
        <v>0</v>
      </c>
      <c r="K5136" s="23">
        <v>0</v>
      </c>
    </row>
    <row r="5137" spans="1:11" x14ac:dyDescent="0.25">
      <c r="A5137">
        <v>5136</v>
      </c>
      <c r="B5137" s="23">
        <v>1469.461892</v>
      </c>
      <c r="C5137" s="23">
        <v>0</v>
      </c>
      <c r="D5137" s="23">
        <v>0</v>
      </c>
      <c r="E5137" s="23">
        <v>0</v>
      </c>
      <c r="F5137" s="23">
        <v>0</v>
      </c>
      <c r="G5137" s="23">
        <v>0</v>
      </c>
      <c r="H5137" s="23">
        <v>0</v>
      </c>
      <c r="I5137" s="23">
        <v>1469.462</v>
      </c>
      <c r="J5137" s="23">
        <v>0</v>
      </c>
      <c r="K5137" s="23">
        <v>0</v>
      </c>
    </row>
    <row r="5138" spans="1:11" x14ac:dyDescent="0.25">
      <c r="A5138">
        <v>5137</v>
      </c>
      <c r="B5138" s="23">
        <v>1242.348747</v>
      </c>
      <c r="C5138" s="23">
        <v>0</v>
      </c>
      <c r="D5138" s="23">
        <v>0</v>
      </c>
      <c r="E5138" s="23">
        <v>0</v>
      </c>
      <c r="F5138" s="23">
        <v>0</v>
      </c>
      <c r="G5138" s="23">
        <v>0</v>
      </c>
      <c r="H5138" s="23">
        <v>0</v>
      </c>
      <c r="I5138" s="23">
        <v>1242.3489999999999</v>
      </c>
      <c r="J5138" s="23">
        <v>0</v>
      </c>
      <c r="K5138" s="23">
        <v>0</v>
      </c>
    </row>
    <row r="5139" spans="1:11" x14ac:dyDescent="0.25">
      <c r="A5139">
        <v>5138</v>
      </c>
      <c r="B5139" s="23">
        <v>1430.414368</v>
      </c>
      <c r="C5139" s="23">
        <v>0</v>
      </c>
      <c r="D5139" s="23">
        <v>0</v>
      </c>
      <c r="E5139" s="23">
        <v>0</v>
      </c>
      <c r="F5139" s="23">
        <v>0</v>
      </c>
      <c r="G5139" s="23">
        <v>0</v>
      </c>
      <c r="H5139" s="23">
        <v>0</v>
      </c>
      <c r="I5139" s="23">
        <v>1430.414</v>
      </c>
      <c r="J5139" s="23">
        <v>0</v>
      </c>
      <c r="K5139" s="23">
        <v>0</v>
      </c>
    </row>
    <row r="5140" spans="1:11" x14ac:dyDescent="0.25">
      <c r="A5140">
        <v>5139</v>
      </c>
      <c r="B5140" s="23">
        <v>1263.8647289999999</v>
      </c>
      <c r="C5140" s="23">
        <v>0</v>
      </c>
      <c r="D5140" s="23">
        <v>0</v>
      </c>
      <c r="E5140" s="23">
        <v>0</v>
      </c>
      <c r="F5140" s="23">
        <v>0</v>
      </c>
      <c r="G5140" s="23">
        <v>0</v>
      </c>
      <c r="H5140" s="23">
        <v>0</v>
      </c>
      <c r="I5140" s="23">
        <v>1263.865</v>
      </c>
      <c r="J5140" s="23">
        <v>0</v>
      </c>
      <c r="K5140" s="23">
        <v>0</v>
      </c>
    </row>
    <row r="5141" spans="1:11" x14ac:dyDescent="0.25">
      <c r="A5141">
        <v>5140</v>
      </c>
      <c r="B5141" s="23">
        <v>1263.8647289999999</v>
      </c>
      <c r="C5141" s="23">
        <v>0</v>
      </c>
      <c r="D5141" s="23">
        <v>0</v>
      </c>
      <c r="E5141" s="23">
        <v>0</v>
      </c>
      <c r="F5141" s="23">
        <v>0</v>
      </c>
      <c r="G5141" s="23">
        <v>0</v>
      </c>
      <c r="H5141" s="23">
        <v>0</v>
      </c>
      <c r="I5141" s="23">
        <v>1263.865</v>
      </c>
      <c r="J5141" s="23">
        <v>0</v>
      </c>
      <c r="K5141" s="23">
        <v>0</v>
      </c>
    </row>
    <row r="5142" spans="1:11" x14ac:dyDescent="0.25">
      <c r="A5142">
        <v>5141</v>
      </c>
      <c r="B5142" s="23">
        <v>1340.3659990000001</v>
      </c>
      <c r="C5142" s="23">
        <v>0</v>
      </c>
      <c r="D5142" s="23">
        <v>0</v>
      </c>
      <c r="E5142" s="23">
        <v>0</v>
      </c>
      <c r="F5142" s="23">
        <v>0</v>
      </c>
      <c r="G5142" s="23">
        <v>0</v>
      </c>
      <c r="H5142" s="23">
        <v>0</v>
      </c>
      <c r="I5142" s="23">
        <v>1340.366</v>
      </c>
      <c r="J5142" s="23">
        <v>0</v>
      </c>
      <c r="K5142" s="23">
        <v>0</v>
      </c>
    </row>
    <row r="5143" spans="1:11" x14ac:dyDescent="0.25">
      <c r="A5143">
        <v>5142</v>
      </c>
      <c r="B5143" s="23">
        <v>1114.0497419999999</v>
      </c>
      <c r="C5143" s="23">
        <v>0</v>
      </c>
      <c r="D5143" s="23">
        <v>0</v>
      </c>
      <c r="E5143" s="23">
        <v>0</v>
      </c>
      <c r="F5143" s="23">
        <v>0</v>
      </c>
      <c r="G5143" s="23">
        <v>0</v>
      </c>
      <c r="H5143" s="23">
        <v>0</v>
      </c>
      <c r="I5143" s="23">
        <v>1114.05</v>
      </c>
      <c r="J5143" s="23">
        <v>0</v>
      </c>
      <c r="K5143" s="23">
        <v>0</v>
      </c>
    </row>
    <row r="5144" spans="1:11" x14ac:dyDescent="0.25">
      <c r="A5144">
        <v>5143</v>
      </c>
      <c r="B5144" s="23">
        <v>1307.693581</v>
      </c>
      <c r="C5144" s="23">
        <v>47.82</v>
      </c>
      <c r="D5144" s="23">
        <v>163.53800000000001</v>
      </c>
      <c r="E5144" s="23">
        <v>163.53800000000001</v>
      </c>
      <c r="F5144" s="23">
        <v>0</v>
      </c>
      <c r="G5144" s="23">
        <v>0</v>
      </c>
      <c r="H5144" s="23">
        <v>0</v>
      </c>
      <c r="I5144" s="23">
        <v>1144.1559999999999</v>
      </c>
      <c r="J5144" s="23">
        <v>0</v>
      </c>
      <c r="K5144" s="23">
        <v>0</v>
      </c>
    </row>
    <row r="5145" spans="1:11" x14ac:dyDescent="0.25">
      <c r="A5145">
        <v>5144</v>
      </c>
      <c r="B5145" s="23">
        <v>1075.852897</v>
      </c>
      <c r="C5145" s="23">
        <v>154.38999999999999</v>
      </c>
      <c r="D5145" s="23">
        <v>599.90499999999997</v>
      </c>
      <c r="E5145" s="23">
        <v>599.90499999999997</v>
      </c>
      <c r="F5145" s="23">
        <v>0</v>
      </c>
      <c r="G5145" s="23">
        <v>0</v>
      </c>
      <c r="H5145" s="23">
        <v>0</v>
      </c>
      <c r="I5145" s="23">
        <v>475.94799999999998</v>
      </c>
      <c r="J5145" s="23">
        <v>0</v>
      </c>
      <c r="K5145" s="23">
        <v>0</v>
      </c>
    </row>
    <row r="5146" spans="1:11" x14ac:dyDescent="0.25">
      <c r="A5146">
        <v>5145</v>
      </c>
      <c r="B5146" s="23">
        <v>1014.010386</v>
      </c>
      <c r="C5146" s="23">
        <v>334.3</v>
      </c>
      <c r="D5146" s="23">
        <v>1317.6980000000001</v>
      </c>
      <c r="E5146" s="23">
        <v>1014.011</v>
      </c>
      <c r="F5146" s="23">
        <v>-303.68700000000001</v>
      </c>
      <c r="G5146" s="23">
        <v>0</v>
      </c>
      <c r="H5146" s="23">
        <v>0</v>
      </c>
      <c r="I5146" s="23">
        <v>0</v>
      </c>
      <c r="J5146" s="23">
        <v>0</v>
      </c>
      <c r="K5146" s="23">
        <v>0</v>
      </c>
    </row>
    <row r="5147" spans="1:11" x14ac:dyDescent="0.25">
      <c r="A5147">
        <v>5146</v>
      </c>
      <c r="B5147" s="23">
        <v>1160.598972</v>
      </c>
      <c r="C5147" s="23">
        <v>502.89</v>
      </c>
      <c r="D5147" s="23">
        <v>1959.182</v>
      </c>
      <c r="E5147" s="23">
        <v>1160.5989999999999</v>
      </c>
      <c r="F5147" s="23">
        <v>-798.58299999999997</v>
      </c>
      <c r="G5147" s="23">
        <v>0</v>
      </c>
      <c r="H5147" s="23">
        <v>0</v>
      </c>
      <c r="I5147" s="23">
        <v>0</v>
      </c>
      <c r="J5147" s="23">
        <v>0</v>
      </c>
      <c r="K5147" s="23">
        <v>0</v>
      </c>
    </row>
    <row r="5148" spans="1:11" x14ac:dyDescent="0.25">
      <c r="A5148">
        <v>5147</v>
      </c>
      <c r="B5148" s="23">
        <v>1335.6922489999999</v>
      </c>
      <c r="C5148" s="23">
        <v>593.48</v>
      </c>
      <c r="D5148" s="23">
        <v>2283.8960000000002</v>
      </c>
      <c r="E5148" s="23">
        <v>1335.692</v>
      </c>
      <c r="F5148" s="23">
        <v>-948.20399999999995</v>
      </c>
      <c r="G5148" s="23">
        <v>0</v>
      </c>
      <c r="H5148" s="23">
        <v>0</v>
      </c>
      <c r="I5148" s="23">
        <v>0</v>
      </c>
      <c r="J5148" s="23">
        <v>0</v>
      </c>
      <c r="K5148" s="23">
        <v>0</v>
      </c>
    </row>
    <row r="5149" spans="1:11" x14ac:dyDescent="0.25">
      <c r="A5149">
        <v>5148</v>
      </c>
      <c r="B5149" s="23">
        <v>1416.186925</v>
      </c>
      <c r="C5149" s="23">
        <v>727.01</v>
      </c>
      <c r="D5149" s="23">
        <v>2770.067</v>
      </c>
      <c r="E5149" s="23">
        <v>1416.1869999999999</v>
      </c>
      <c r="F5149" s="23">
        <v>-1353.88</v>
      </c>
      <c r="G5149" s="23">
        <v>0</v>
      </c>
      <c r="H5149" s="23">
        <v>0</v>
      </c>
      <c r="I5149" s="23">
        <v>0</v>
      </c>
      <c r="J5149" s="23">
        <v>0</v>
      </c>
      <c r="K5149" s="23">
        <v>0</v>
      </c>
    </row>
    <row r="5150" spans="1:11" x14ac:dyDescent="0.25">
      <c r="A5150">
        <v>5149</v>
      </c>
      <c r="B5150" s="23">
        <v>1072.533858</v>
      </c>
      <c r="C5150" s="23">
        <v>668.25</v>
      </c>
      <c r="D5150" s="23">
        <v>2552.578</v>
      </c>
      <c r="E5150" s="23">
        <v>1072.5340000000001</v>
      </c>
      <c r="F5150" s="23">
        <v>-1480.0440000000001</v>
      </c>
      <c r="G5150" s="23">
        <v>0</v>
      </c>
      <c r="H5150" s="23">
        <v>0</v>
      </c>
      <c r="I5150" s="23">
        <v>0</v>
      </c>
      <c r="J5150" s="23">
        <v>0</v>
      </c>
      <c r="K5150" s="23">
        <v>0</v>
      </c>
    </row>
    <row r="5151" spans="1:11" x14ac:dyDescent="0.25">
      <c r="A5151">
        <v>5150</v>
      </c>
      <c r="B5151" s="23">
        <v>1228.631312</v>
      </c>
      <c r="C5151" s="23">
        <v>130.93</v>
      </c>
      <c r="D5151" s="23">
        <v>485.065</v>
      </c>
      <c r="E5151" s="23">
        <v>485.065</v>
      </c>
      <c r="F5151" s="23">
        <v>0</v>
      </c>
      <c r="G5151" s="23">
        <v>0</v>
      </c>
      <c r="H5151" s="23">
        <v>0</v>
      </c>
      <c r="I5151" s="23">
        <v>743.56600000000003</v>
      </c>
      <c r="J5151" s="23">
        <v>0</v>
      </c>
      <c r="K5151" s="23">
        <v>0</v>
      </c>
    </row>
    <row r="5152" spans="1:11" x14ac:dyDescent="0.25">
      <c r="A5152">
        <v>5151</v>
      </c>
      <c r="B5152" s="23">
        <v>962.43378789999997</v>
      </c>
      <c r="C5152" s="23">
        <v>52.03</v>
      </c>
      <c r="D5152" s="23">
        <v>174.489</v>
      </c>
      <c r="E5152" s="23">
        <v>174.489</v>
      </c>
      <c r="F5152" s="23">
        <v>0</v>
      </c>
      <c r="G5152" s="23">
        <v>0</v>
      </c>
      <c r="H5152" s="23">
        <v>0</v>
      </c>
      <c r="I5152" s="23">
        <v>787.94500000000005</v>
      </c>
      <c r="J5152" s="23">
        <v>0</v>
      </c>
      <c r="K5152" s="23">
        <v>0</v>
      </c>
    </row>
    <row r="5153" spans="1:11" x14ac:dyDescent="0.25">
      <c r="A5153">
        <v>5152</v>
      </c>
      <c r="B5153" s="23">
        <v>1200.7083479999999</v>
      </c>
      <c r="C5153" s="23">
        <v>76.88</v>
      </c>
      <c r="D5153" s="23">
        <v>277.16399999999999</v>
      </c>
      <c r="E5153" s="23">
        <v>277.16399999999999</v>
      </c>
      <c r="F5153" s="23">
        <v>0</v>
      </c>
      <c r="G5153" s="23">
        <v>0</v>
      </c>
      <c r="H5153" s="23">
        <v>0</v>
      </c>
      <c r="I5153" s="23">
        <v>923.54499999999996</v>
      </c>
      <c r="J5153" s="23">
        <v>0</v>
      </c>
      <c r="K5153" s="23">
        <v>0</v>
      </c>
    </row>
    <row r="5154" spans="1:11" x14ac:dyDescent="0.25">
      <c r="A5154">
        <v>5153</v>
      </c>
      <c r="B5154" s="23">
        <v>1232.7183520000001</v>
      </c>
      <c r="C5154" s="23">
        <v>138.16</v>
      </c>
      <c r="D5154" s="23">
        <v>531.846</v>
      </c>
      <c r="E5154" s="23">
        <v>531.846</v>
      </c>
      <c r="F5154" s="23">
        <v>0</v>
      </c>
      <c r="G5154" s="23">
        <v>0</v>
      </c>
      <c r="H5154" s="23">
        <v>0</v>
      </c>
      <c r="I5154" s="23">
        <v>700.87199999999996</v>
      </c>
      <c r="J5154" s="23">
        <v>0</v>
      </c>
      <c r="K5154" s="23">
        <v>0</v>
      </c>
    </row>
    <row r="5155" spans="1:11" x14ac:dyDescent="0.25">
      <c r="A5155">
        <v>5154</v>
      </c>
      <c r="B5155" s="23">
        <v>856.28030709999996</v>
      </c>
      <c r="C5155" s="23">
        <v>45.89</v>
      </c>
      <c r="D5155" s="23">
        <v>154.523</v>
      </c>
      <c r="E5155" s="23">
        <v>154.523</v>
      </c>
      <c r="F5155" s="23">
        <v>0</v>
      </c>
      <c r="G5155" s="23">
        <v>0</v>
      </c>
      <c r="H5155" s="23">
        <v>0</v>
      </c>
      <c r="I5155" s="23">
        <v>701.75699999999995</v>
      </c>
      <c r="J5155" s="23">
        <v>0</v>
      </c>
      <c r="K5155" s="23">
        <v>0</v>
      </c>
    </row>
    <row r="5156" spans="1:11" x14ac:dyDescent="0.25">
      <c r="A5156">
        <v>5155</v>
      </c>
      <c r="B5156" s="23">
        <v>1170.6288059999999</v>
      </c>
      <c r="C5156" s="23">
        <v>0</v>
      </c>
      <c r="D5156" s="23">
        <v>0</v>
      </c>
      <c r="E5156" s="23">
        <v>0</v>
      </c>
      <c r="F5156" s="23">
        <v>0</v>
      </c>
      <c r="G5156" s="23">
        <v>0</v>
      </c>
      <c r="H5156" s="23">
        <v>0</v>
      </c>
      <c r="I5156" s="23">
        <v>687</v>
      </c>
      <c r="J5156" s="23">
        <v>0</v>
      </c>
      <c r="K5156" s="23">
        <v>483.62799999999999</v>
      </c>
    </row>
    <row r="5157" spans="1:11" x14ac:dyDescent="0.25">
      <c r="A5157">
        <v>5156</v>
      </c>
      <c r="B5157" s="23">
        <v>1184.972794</v>
      </c>
      <c r="C5157" s="23">
        <v>0</v>
      </c>
      <c r="D5157" s="23">
        <v>0</v>
      </c>
      <c r="E5157" s="23">
        <v>0</v>
      </c>
      <c r="F5157" s="23">
        <v>0</v>
      </c>
      <c r="G5157" s="23">
        <v>0</v>
      </c>
      <c r="H5157" s="23">
        <v>0</v>
      </c>
      <c r="I5157" s="23">
        <v>0</v>
      </c>
      <c r="J5157" s="23">
        <v>0</v>
      </c>
      <c r="K5157" s="23">
        <v>1184.973</v>
      </c>
    </row>
    <row r="5158" spans="1:11" x14ac:dyDescent="0.25">
      <c r="A5158">
        <v>5157</v>
      </c>
      <c r="B5158" s="23">
        <v>1341.162887</v>
      </c>
      <c r="C5158" s="23">
        <v>0</v>
      </c>
      <c r="D5158" s="23">
        <v>0</v>
      </c>
      <c r="E5158" s="23">
        <v>0</v>
      </c>
      <c r="F5158" s="23">
        <v>0</v>
      </c>
      <c r="G5158" s="23">
        <v>0</v>
      </c>
      <c r="H5158" s="23">
        <v>0</v>
      </c>
      <c r="I5158" s="23">
        <v>0</v>
      </c>
      <c r="J5158" s="23">
        <v>0</v>
      </c>
      <c r="K5158" s="23">
        <v>1341.163</v>
      </c>
    </row>
    <row r="5159" spans="1:11" x14ac:dyDescent="0.25">
      <c r="A5159">
        <v>5158</v>
      </c>
      <c r="B5159" s="23">
        <v>1157.0817059999999</v>
      </c>
      <c r="C5159" s="23">
        <v>0</v>
      </c>
      <c r="D5159" s="23">
        <v>0</v>
      </c>
      <c r="E5159" s="23">
        <v>0</v>
      </c>
      <c r="F5159" s="23">
        <v>0</v>
      </c>
      <c r="G5159" s="23">
        <v>0</v>
      </c>
      <c r="H5159" s="23">
        <v>0</v>
      </c>
      <c r="I5159" s="23">
        <v>0</v>
      </c>
      <c r="J5159" s="23">
        <v>0</v>
      </c>
      <c r="K5159" s="23">
        <v>1157.0820000000001</v>
      </c>
    </row>
    <row r="5160" spans="1:11" x14ac:dyDescent="0.25">
      <c r="A5160">
        <v>5159</v>
      </c>
      <c r="B5160" s="23">
        <v>1082.174213</v>
      </c>
      <c r="C5160" s="23">
        <v>0</v>
      </c>
      <c r="D5160" s="23">
        <v>0</v>
      </c>
      <c r="E5160" s="23">
        <v>0</v>
      </c>
      <c r="F5160" s="23">
        <v>0</v>
      </c>
      <c r="G5160" s="23">
        <v>0</v>
      </c>
      <c r="H5160" s="23">
        <v>0</v>
      </c>
      <c r="I5160" s="23">
        <v>0</v>
      </c>
      <c r="J5160" s="23">
        <v>0</v>
      </c>
      <c r="K5160" s="23">
        <v>1082.174</v>
      </c>
    </row>
    <row r="5161" spans="1:11" x14ac:dyDescent="0.25">
      <c r="A5161">
        <v>5160</v>
      </c>
      <c r="B5161" s="23">
        <v>136.26788690000001</v>
      </c>
      <c r="C5161" s="23">
        <v>0</v>
      </c>
      <c r="D5161" s="23">
        <v>0</v>
      </c>
      <c r="E5161" s="23">
        <v>0</v>
      </c>
      <c r="F5161" s="23">
        <v>0</v>
      </c>
      <c r="G5161" s="23">
        <v>0</v>
      </c>
      <c r="H5161" s="23">
        <v>0</v>
      </c>
      <c r="I5161" s="23">
        <v>0</v>
      </c>
      <c r="J5161" s="23">
        <v>0</v>
      </c>
      <c r="K5161" s="23">
        <v>136.268</v>
      </c>
    </row>
    <row r="5162" spans="1:11" x14ac:dyDescent="0.25">
      <c r="A5162">
        <v>5161</v>
      </c>
      <c r="B5162" s="23">
        <v>105.9861343</v>
      </c>
      <c r="C5162" s="23">
        <v>0</v>
      </c>
      <c r="D5162" s="23">
        <v>0</v>
      </c>
      <c r="E5162" s="23">
        <v>0</v>
      </c>
      <c r="F5162" s="23">
        <v>0</v>
      </c>
      <c r="G5162" s="23">
        <v>0</v>
      </c>
      <c r="H5162" s="23">
        <v>0</v>
      </c>
      <c r="I5162" s="23">
        <v>105.986</v>
      </c>
      <c r="J5162" s="23">
        <v>0</v>
      </c>
      <c r="K5162" s="23">
        <v>0</v>
      </c>
    </row>
    <row r="5163" spans="1:11" x14ac:dyDescent="0.25">
      <c r="A5163">
        <v>5162</v>
      </c>
      <c r="B5163" s="23">
        <v>87.657705030000002</v>
      </c>
      <c r="C5163" s="23">
        <v>0</v>
      </c>
      <c r="D5163" s="23">
        <v>0</v>
      </c>
      <c r="E5163" s="23">
        <v>0</v>
      </c>
      <c r="F5163" s="23">
        <v>0</v>
      </c>
      <c r="G5163" s="23">
        <v>0</v>
      </c>
      <c r="H5163" s="23">
        <v>0</v>
      </c>
      <c r="I5163" s="23">
        <v>87.658000000000001</v>
      </c>
      <c r="J5163" s="23">
        <v>0</v>
      </c>
      <c r="K5163" s="23">
        <v>0</v>
      </c>
    </row>
    <row r="5164" spans="1:11" x14ac:dyDescent="0.25">
      <c r="A5164">
        <v>5163</v>
      </c>
      <c r="B5164" s="23">
        <v>91.642146159999996</v>
      </c>
      <c r="C5164" s="23">
        <v>0</v>
      </c>
      <c r="D5164" s="23">
        <v>0</v>
      </c>
      <c r="E5164" s="23">
        <v>0</v>
      </c>
      <c r="F5164" s="23">
        <v>0</v>
      </c>
      <c r="G5164" s="23">
        <v>0</v>
      </c>
      <c r="H5164" s="23">
        <v>0</v>
      </c>
      <c r="I5164" s="23">
        <v>91.641999999999996</v>
      </c>
      <c r="J5164" s="23">
        <v>0</v>
      </c>
      <c r="K5164" s="23">
        <v>0</v>
      </c>
    </row>
    <row r="5165" spans="1:11" x14ac:dyDescent="0.25">
      <c r="A5165">
        <v>5164</v>
      </c>
      <c r="B5165" s="23">
        <v>87.657705030000002</v>
      </c>
      <c r="C5165" s="23">
        <v>0</v>
      </c>
      <c r="D5165" s="23">
        <v>0</v>
      </c>
      <c r="E5165" s="23">
        <v>0</v>
      </c>
      <c r="F5165" s="23">
        <v>0</v>
      </c>
      <c r="G5165" s="23">
        <v>0</v>
      </c>
      <c r="H5165" s="23">
        <v>0</v>
      </c>
      <c r="I5165" s="23">
        <v>87.658000000000001</v>
      </c>
      <c r="J5165" s="23">
        <v>0</v>
      </c>
      <c r="K5165" s="23">
        <v>0</v>
      </c>
    </row>
    <row r="5166" spans="1:11" x14ac:dyDescent="0.25">
      <c r="A5166">
        <v>5165</v>
      </c>
      <c r="B5166" s="23">
        <v>91.642146159999996</v>
      </c>
      <c r="C5166" s="23">
        <v>0</v>
      </c>
      <c r="D5166" s="23">
        <v>0</v>
      </c>
      <c r="E5166" s="23">
        <v>0</v>
      </c>
      <c r="F5166" s="23">
        <v>0</v>
      </c>
      <c r="G5166" s="23">
        <v>0</v>
      </c>
      <c r="H5166" s="23">
        <v>0</v>
      </c>
      <c r="I5166" s="23">
        <v>0</v>
      </c>
      <c r="J5166" s="23">
        <v>0</v>
      </c>
      <c r="K5166" s="23">
        <v>91.641999999999996</v>
      </c>
    </row>
    <row r="5167" spans="1:11" x14ac:dyDescent="0.25">
      <c r="A5167">
        <v>5166</v>
      </c>
      <c r="B5167" s="23">
        <v>84.470152119999995</v>
      </c>
      <c r="C5167" s="23">
        <v>0</v>
      </c>
      <c r="D5167" s="23">
        <v>0</v>
      </c>
      <c r="E5167" s="23">
        <v>0</v>
      </c>
      <c r="F5167" s="23">
        <v>0</v>
      </c>
      <c r="G5167" s="23">
        <v>0</v>
      </c>
      <c r="H5167" s="23">
        <v>0</v>
      </c>
      <c r="I5167" s="23">
        <v>0</v>
      </c>
      <c r="J5167" s="23">
        <v>0</v>
      </c>
      <c r="K5167" s="23">
        <v>84.47</v>
      </c>
    </row>
    <row r="5168" spans="1:11" x14ac:dyDescent="0.25">
      <c r="A5168">
        <v>5167</v>
      </c>
      <c r="B5168" s="23">
        <v>82.07948743</v>
      </c>
      <c r="C5168" s="23">
        <v>80.53</v>
      </c>
      <c r="D5168" s="23">
        <v>279.98399999999998</v>
      </c>
      <c r="E5168" s="23">
        <v>82.078999999999994</v>
      </c>
      <c r="F5168" s="23">
        <v>-197.905</v>
      </c>
      <c r="G5168" s="23">
        <v>0</v>
      </c>
      <c r="H5168" s="23">
        <v>0</v>
      </c>
      <c r="I5168" s="23">
        <v>0</v>
      </c>
      <c r="J5168" s="23">
        <v>0</v>
      </c>
      <c r="K5168" s="23">
        <v>0</v>
      </c>
    </row>
    <row r="5169" spans="1:11" x14ac:dyDescent="0.25">
      <c r="A5169">
        <v>5168</v>
      </c>
      <c r="B5169" s="23">
        <v>81.045524959999995</v>
      </c>
      <c r="C5169" s="23">
        <v>257.82</v>
      </c>
      <c r="D5169" s="23">
        <v>1014.581</v>
      </c>
      <c r="E5169" s="23">
        <v>81.045000000000002</v>
      </c>
      <c r="F5169" s="23">
        <v>-933.53599999999994</v>
      </c>
      <c r="G5169" s="23">
        <v>0</v>
      </c>
      <c r="H5169" s="23">
        <v>0</v>
      </c>
      <c r="I5169" s="23">
        <v>0</v>
      </c>
      <c r="J5169" s="23">
        <v>0</v>
      </c>
      <c r="K5169" s="23">
        <v>0</v>
      </c>
    </row>
    <row r="5170" spans="1:11" x14ac:dyDescent="0.25">
      <c r="A5170">
        <v>5169</v>
      </c>
      <c r="B5170" s="23">
        <v>801.82993060000001</v>
      </c>
      <c r="C5170" s="23">
        <v>342.58</v>
      </c>
      <c r="D5170" s="23">
        <v>1340.9739999999999</v>
      </c>
      <c r="E5170" s="23">
        <v>801.82899999999995</v>
      </c>
      <c r="F5170" s="23">
        <v>-539.14499999999998</v>
      </c>
      <c r="G5170" s="23">
        <v>0</v>
      </c>
      <c r="H5170" s="23">
        <v>0</v>
      </c>
      <c r="I5170" s="23">
        <v>0</v>
      </c>
      <c r="J5170" s="23">
        <v>0</v>
      </c>
      <c r="K5170" s="23">
        <v>0</v>
      </c>
    </row>
    <row r="5171" spans="1:11" x14ac:dyDescent="0.25">
      <c r="A5171">
        <v>5170</v>
      </c>
      <c r="B5171" s="23">
        <v>967.42330430000004</v>
      </c>
      <c r="C5171" s="23">
        <v>509.29</v>
      </c>
      <c r="D5171" s="23">
        <v>1958.2260000000001</v>
      </c>
      <c r="E5171" s="23">
        <v>967.423</v>
      </c>
      <c r="F5171" s="23">
        <v>-990.803</v>
      </c>
      <c r="G5171" s="23">
        <v>0</v>
      </c>
      <c r="H5171" s="23">
        <v>0</v>
      </c>
      <c r="I5171" s="23">
        <v>0</v>
      </c>
      <c r="J5171" s="23">
        <v>0</v>
      </c>
      <c r="K5171" s="23">
        <v>0</v>
      </c>
    </row>
    <row r="5172" spans="1:11" x14ac:dyDescent="0.25">
      <c r="A5172">
        <v>5171</v>
      </c>
      <c r="B5172" s="23">
        <v>1373.2187120000001</v>
      </c>
      <c r="C5172" s="23">
        <v>573.91999999999996</v>
      </c>
      <c r="D5172" s="23">
        <v>2178.732</v>
      </c>
      <c r="E5172" s="23">
        <v>1373.2190000000001</v>
      </c>
      <c r="F5172" s="23">
        <v>-805.51300000000003</v>
      </c>
      <c r="G5172" s="23">
        <v>0</v>
      </c>
      <c r="H5172" s="23">
        <v>0</v>
      </c>
      <c r="I5172" s="23">
        <v>0</v>
      </c>
      <c r="J5172" s="23">
        <v>0</v>
      </c>
      <c r="K5172" s="23">
        <v>0</v>
      </c>
    </row>
    <row r="5173" spans="1:11" x14ac:dyDescent="0.25">
      <c r="A5173">
        <v>5172</v>
      </c>
      <c r="B5173" s="23">
        <v>1296.801115</v>
      </c>
      <c r="C5173" s="23">
        <v>713.9</v>
      </c>
      <c r="D5173" s="23">
        <v>2671.607</v>
      </c>
      <c r="E5173" s="23">
        <v>1296.8009999999999</v>
      </c>
      <c r="F5173" s="23">
        <v>-1374.806</v>
      </c>
      <c r="G5173" s="23">
        <v>0</v>
      </c>
      <c r="H5173" s="23">
        <v>0</v>
      </c>
      <c r="I5173" s="23">
        <v>0</v>
      </c>
      <c r="J5173" s="23">
        <v>0</v>
      </c>
      <c r="K5173" s="23">
        <v>0</v>
      </c>
    </row>
    <row r="5174" spans="1:11" x14ac:dyDescent="0.25">
      <c r="A5174">
        <v>5173</v>
      </c>
      <c r="B5174" s="23">
        <v>1405.7098370000001</v>
      </c>
      <c r="C5174" s="23">
        <v>651.13</v>
      </c>
      <c r="D5174" s="23">
        <v>2440.29</v>
      </c>
      <c r="E5174" s="23">
        <v>1405.71</v>
      </c>
      <c r="F5174" s="23">
        <v>-1034.58</v>
      </c>
      <c r="G5174" s="23">
        <v>0</v>
      </c>
      <c r="H5174" s="23">
        <v>0</v>
      </c>
      <c r="I5174" s="23">
        <v>0</v>
      </c>
      <c r="J5174" s="23">
        <v>0</v>
      </c>
      <c r="K5174" s="23">
        <v>0</v>
      </c>
    </row>
    <row r="5175" spans="1:11" x14ac:dyDescent="0.25">
      <c r="A5175">
        <v>5174</v>
      </c>
      <c r="B5175" s="23">
        <v>1424.8809759999999</v>
      </c>
      <c r="C5175" s="23">
        <v>509.1</v>
      </c>
      <c r="D5175" s="23">
        <v>1924.835</v>
      </c>
      <c r="E5175" s="23">
        <v>1424.8810000000001</v>
      </c>
      <c r="F5175" s="23">
        <v>-499.95400000000001</v>
      </c>
      <c r="G5175" s="23">
        <v>0</v>
      </c>
      <c r="H5175" s="23">
        <v>0</v>
      </c>
      <c r="I5175" s="23">
        <v>0</v>
      </c>
      <c r="J5175" s="23">
        <v>0</v>
      </c>
      <c r="K5175" s="23">
        <v>0</v>
      </c>
    </row>
    <row r="5176" spans="1:11" x14ac:dyDescent="0.25">
      <c r="A5176">
        <v>5175</v>
      </c>
      <c r="B5176" s="23">
        <v>1143.21884</v>
      </c>
      <c r="C5176" s="23">
        <v>726.93</v>
      </c>
      <c r="D5176" s="23">
        <v>2778.5749999999998</v>
      </c>
      <c r="E5176" s="23">
        <v>1143.2190000000001</v>
      </c>
      <c r="F5176" s="23">
        <v>-915.25900000000001</v>
      </c>
      <c r="G5176" s="23">
        <v>0</v>
      </c>
      <c r="H5176" s="23">
        <v>720.09699999999998</v>
      </c>
      <c r="I5176" s="23">
        <v>0</v>
      </c>
      <c r="J5176" s="23">
        <v>0</v>
      </c>
      <c r="K5176" s="23">
        <v>0</v>
      </c>
    </row>
    <row r="5177" spans="1:11" x14ac:dyDescent="0.25">
      <c r="A5177">
        <v>5176</v>
      </c>
      <c r="B5177" s="23">
        <v>1188.5309</v>
      </c>
      <c r="C5177" s="23">
        <v>533.35</v>
      </c>
      <c r="D5177" s="23">
        <v>2089.0540000000001</v>
      </c>
      <c r="E5177" s="23">
        <v>1188.5309999999999</v>
      </c>
      <c r="F5177" s="23">
        <v>0</v>
      </c>
      <c r="G5177" s="23">
        <v>0</v>
      </c>
      <c r="H5177" s="23">
        <v>900.52300000000002</v>
      </c>
      <c r="I5177" s="23">
        <v>0</v>
      </c>
      <c r="J5177" s="23">
        <v>0</v>
      </c>
      <c r="K5177" s="23">
        <v>0</v>
      </c>
    </row>
    <row r="5178" spans="1:11" x14ac:dyDescent="0.25">
      <c r="A5178">
        <v>5177</v>
      </c>
      <c r="B5178" s="23">
        <v>1249.324507</v>
      </c>
      <c r="C5178" s="23">
        <v>308.69</v>
      </c>
      <c r="D5178" s="23">
        <v>1176.1969999999999</v>
      </c>
      <c r="E5178" s="23">
        <v>1176.1969999999999</v>
      </c>
      <c r="F5178" s="23">
        <v>0</v>
      </c>
      <c r="G5178" s="23">
        <v>0</v>
      </c>
      <c r="H5178" s="23">
        <v>0</v>
      </c>
      <c r="I5178" s="23">
        <v>73.126999999999995</v>
      </c>
      <c r="J5178" s="23">
        <v>0</v>
      </c>
      <c r="K5178" s="23">
        <v>0</v>
      </c>
    </row>
    <row r="5179" spans="1:11" x14ac:dyDescent="0.25">
      <c r="A5179">
        <v>5178</v>
      </c>
      <c r="B5179" s="23">
        <v>1404.2923719999999</v>
      </c>
      <c r="C5179" s="23">
        <v>5.87</v>
      </c>
      <c r="D5179" s="23">
        <v>0</v>
      </c>
      <c r="E5179" s="23">
        <v>0</v>
      </c>
      <c r="F5179" s="23">
        <v>0</v>
      </c>
      <c r="G5179" s="23">
        <v>0</v>
      </c>
      <c r="H5179" s="23">
        <v>0</v>
      </c>
      <c r="I5179" s="23">
        <v>0</v>
      </c>
      <c r="J5179" s="23">
        <v>0</v>
      </c>
      <c r="K5179" s="23">
        <v>1404.2919999999999</v>
      </c>
    </row>
    <row r="5180" spans="1:11" x14ac:dyDescent="0.25">
      <c r="A5180">
        <v>5179</v>
      </c>
      <c r="B5180" s="23">
        <v>1160.2692589999999</v>
      </c>
      <c r="C5180" s="23">
        <v>0</v>
      </c>
      <c r="D5180" s="23">
        <v>0</v>
      </c>
      <c r="E5180" s="23">
        <v>0</v>
      </c>
      <c r="F5180" s="23">
        <v>0</v>
      </c>
      <c r="G5180" s="23">
        <v>0</v>
      </c>
      <c r="H5180" s="23">
        <v>0</v>
      </c>
      <c r="I5180" s="23">
        <v>0</v>
      </c>
      <c r="J5180" s="23">
        <v>0</v>
      </c>
      <c r="K5180" s="23">
        <v>1160.269</v>
      </c>
    </row>
    <row r="5181" spans="1:11" x14ac:dyDescent="0.25">
      <c r="A5181">
        <v>5180</v>
      </c>
      <c r="B5181" s="23">
        <v>1162.659924</v>
      </c>
      <c r="C5181" s="23">
        <v>0</v>
      </c>
      <c r="D5181" s="23">
        <v>0</v>
      </c>
      <c r="E5181" s="23">
        <v>0</v>
      </c>
      <c r="F5181" s="23">
        <v>0</v>
      </c>
      <c r="G5181" s="23">
        <v>0</v>
      </c>
      <c r="H5181" s="23">
        <v>0</v>
      </c>
      <c r="I5181" s="23">
        <v>0</v>
      </c>
      <c r="J5181" s="23">
        <v>0</v>
      </c>
      <c r="K5181" s="23">
        <v>1162.6600000000001</v>
      </c>
    </row>
    <row r="5182" spans="1:11" x14ac:dyDescent="0.25">
      <c r="A5182">
        <v>5181</v>
      </c>
      <c r="B5182" s="23">
        <v>1369.8508629999999</v>
      </c>
      <c r="C5182" s="23">
        <v>0</v>
      </c>
      <c r="D5182" s="23">
        <v>0</v>
      </c>
      <c r="E5182" s="23">
        <v>0</v>
      </c>
      <c r="F5182" s="23">
        <v>0</v>
      </c>
      <c r="G5182" s="23">
        <v>0</v>
      </c>
      <c r="H5182" s="23">
        <v>0</v>
      </c>
      <c r="I5182" s="23">
        <v>1369.8510000000001</v>
      </c>
      <c r="J5182" s="23">
        <v>0</v>
      </c>
      <c r="K5182" s="23">
        <v>0</v>
      </c>
    </row>
    <row r="5183" spans="1:11" x14ac:dyDescent="0.25">
      <c r="A5183">
        <v>5182</v>
      </c>
      <c r="B5183" s="23">
        <v>1357.100651</v>
      </c>
      <c r="C5183" s="23">
        <v>0</v>
      </c>
      <c r="D5183" s="23">
        <v>0</v>
      </c>
      <c r="E5183" s="23">
        <v>0</v>
      </c>
      <c r="F5183" s="23">
        <v>0</v>
      </c>
      <c r="G5183" s="23">
        <v>0</v>
      </c>
      <c r="H5183" s="23">
        <v>0</v>
      </c>
      <c r="I5183" s="23">
        <v>1357.1010000000001</v>
      </c>
      <c r="J5183" s="23">
        <v>0</v>
      </c>
      <c r="K5183" s="23">
        <v>0</v>
      </c>
    </row>
    <row r="5184" spans="1:11" x14ac:dyDescent="0.25">
      <c r="A5184">
        <v>5183</v>
      </c>
      <c r="B5184" s="23">
        <v>1209.6763289999999</v>
      </c>
      <c r="C5184" s="23">
        <v>0</v>
      </c>
      <c r="D5184" s="23">
        <v>0</v>
      </c>
      <c r="E5184" s="23">
        <v>0</v>
      </c>
      <c r="F5184" s="23">
        <v>0</v>
      </c>
      <c r="G5184" s="23">
        <v>0</v>
      </c>
      <c r="H5184" s="23">
        <v>0</v>
      </c>
      <c r="I5184" s="23">
        <v>1209.6759999999999</v>
      </c>
      <c r="J5184" s="23">
        <v>0</v>
      </c>
      <c r="K5184" s="23">
        <v>0</v>
      </c>
    </row>
    <row r="5185" spans="1:11" x14ac:dyDescent="0.25">
      <c r="A5185">
        <v>5184</v>
      </c>
      <c r="B5185" s="23">
        <v>945.9063261</v>
      </c>
      <c r="C5185" s="23">
        <v>0</v>
      </c>
      <c r="D5185" s="23">
        <v>0</v>
      </c>
      <c r="E5185" s="23">
        <v>0</v>
      </c>
      <c r="F5185" s="23">
        <v>0</v>
      </c>
      <c r="G5185" s="23">
        <v>0</v>
      </c>
      <c r="H5185" s="23">
        <v>0</v>
      </c>
      <c r="I5185" s="23">
        <v>945.90599999999995</v>
      </c>
      <c r="J5185" s="23">
        <v>0</v>
      </c>
      <c r="K5185" s="23">
        <v>0</v>
      </c>
    </row>
    <row r="5186" spans="1:11" x14ac:dyDescent="0.25">
      <c r="A5186">
        <v>5185</v>
      </c>
      <c r="B5186" s="23">
        <v>1825.6709289999999</v>
      </c>
      <c r="C5186" s="23">
        <v>0</v>
      </c>
      <c r="D5186" s="23">
        <v>0</v>
      </c>
      <c r="E5186" s="23">
        <v>0</v>
      </c>
      <c r="F5186" s="23">
        <v>0</v>
      </c>
      <c r="G5186" s="23">
        <v>0</v>
      </c>
      <c r="H5186" s="23">
        <v>0</v>
      </c>
      <c r="I5186" s="23">
        <v>1825.671</v>
      </c>
      <c r="J5186" s="23">
        <v>0</v>
      </c>
      <c r="K5186" s="23">
        <v>0</v>
      </c>
    </row>
    <row r="5187" spans="1:11" x14ac:dyDescent="0.25">
      <c r="A5187">
        <v>5186</v>
      </c>
      <c r="B5187" s="23">
        <v>1777.857636</v>
      </c>
      <c r="C5187" s="23">
        <v>0</v>
      </c>
      <c r="D5187" s="23">
        <v>0</v>
      </c>
      <c r="E5187" s="23">
        <v>0</v>
      </c>
      <c r="F5187" s="23">
        <v>0</v>
      </c>
      <c r="G5187" s="23">
        <v>0</v>
      </c>
      <c r="H5187" s="23">
        <v>0</v>
      </c>
      <c r="I5187" s="23">
        <v>1777.8579999999999</v>
      </c>
      <c r="J5187" s="23">
        <v>0</v>
      </c>
      <c r="K5187" s="23">
        <v>0</v>
      </c>
    </row>
    <row r="5188" spans="1:11" x14ac:dyDescent="0.25">
      <c r="A5188">
        <v>5187</v>
      </c>
      <c r="B5188" s="23">
        <v>1880.656217</v>
      </c>
      <c r="C5188" s="23">
        <v>0</v>
      </c>
      <c r="D5188" s="23">
        <v>0</v>
      </c>
      <c r="E5188" s="23">
        <v>0</v>
      </c>
      <c r="F5188" s="23">
        <v>0</v>
      </c>
      <c r="G5188" s="23">
        <v>0</v>
      </c>
      <c r="H5188" s="23">
        <v>0</v>
      </c>
      <c r="I5188" s="23">
        <v>1880.6559999999999</v>
      </c>
      <c r="J5188" s="23">
        <v>0</v>
      </c>
      <c r="K5188" s="23">
        <v>0</v>
      </c>
    </row>
    <row r="5189" spans="1:11" x14ac:dyDescent="0.25">
      <c r="A5189">
        <v>5188</v>
      </c>
      <c r="B5189" s="23">
        <v>2020.908545</v>
      </c>
      <c r="C5189" s="23">
        <v>0</v>
      </c>
      <c r="D5189" s="23">
        <v>0</v>
      </c>
      <c r="E5189" s="23">
        <v>0</v>
      </c>
      <c r="F5189" s="23">
        <v>0</v>
      </c>
      <c r="G5189" s="23">
        <v>0</v>
      </c>
      <c r="H5189" s="23">
        <v>0</v>
      </c>
      <c r="I5189" s="23">
        <v>2020.9090000000001</v>
      </c>
      <c r="J5189" s="23">
        <v>0</v>
      </c>
      <c r="K5189" s="23">
        <v>0</v>
      </c>
    </row>
    <row r="5190" spans="1:11" x14ac:dyDescent="0.25">
      <c r="A5190">
        <v>5189</v>
      </c>
      <c r="B5190" s="23">
        <v>2148.4106609999999</v>
      </c>
      <c r="C5190" s="23">
        <v>0</v>
      </c>
      <c r="D5190" s="23">
        <v>0</v>
      </c>
      <c r="E5190" s="23">
        <v>0</v>
      </c>
      <c r="F5190" s="23">
        <v>0</v>
      </c>
      <c r="G5190" s="23">
        <v>0</v>
      </c>
      <c r="H5190" s="23">
        <v>0</v>
      </c>
      <c r="I5190" s="23">
        <v>2148.4110000000001</v>
      </c>
      <c r="J5190" s="23">
        <v>0</v>
      </c>
      <c r="K5190" s="23">
        <v>0</v>
      </c>
    </row>
    <row r="5191" spans="1:11" x14ac:dyDescent="0.25">
      <c r="A5191">
        <v>5190</v>
      </c>
      <c r="B5191" s="23">
        <v>2121.3164619999998</v>
      </c>
      <c r="C5191" s="23">
        <v>0</v>
      </c>
      <c r="D5191" s="23">
        <v>0</v>
      </c>
      <c r="E5191" s="23">
        <v>0</v>
      </c>
      <c r="F5191" s="23">
        <v>0</v>
      </c>
      <c r="G5191" s="23">
        <v>0</v>
      </c>
      <c r="H5191" s="23">
        <v>0</v>
      </c>
      <c r="I5191" s="23">
        <v>2121.3159999999998</v>
      </c>
      <c r="J5191" s="23">
        <v>0</v>
      </c>
      <c r="K5191" s="23">
        <v>0</v>
      </c>
    </row>
    <row r="5192" spans="1:11" x14ac:dyDescent="0.25">
      <c r="A5192">
        <v>5191</v>
      </c>
      <c r="B5192" s="23">
        <v>1969.1108099999999</v>
      </c>
      <c r="C5192" s="23">
        <v>80.87</v>
      </c>
      <c r="D5192" s="23">
        <v>281.43599999999998</v>
      </c>
      <c r="E5192" s="23">
        <v>281.43599999999998</v>
      </c>
      <c r="F5192" s="23">
        <v>0</v>
      </c>
      <c r="G5192" s="23">
        <v>0</v>
      </c>
      <c r="H5192" s="23">
        <v>0</v>
      </c>
      <c r="I5192" s="23">
        <v>1687.675</v>
      </c>
      <c r="J5192" s="23">
        <v>0</v>
      </c>
      <c r="K5192" s="23">
        <v>0</v>
      </c>
    </row>
    <row r="5193" spans="1:11" x14ac:dyDescent="0.25">
      <c r="A5193">
        <v>5192</v>
      </c>
      <c r="B5193" s="23">
        <v>1123.163155</v>
      </c>
      <c r="C5193" s="23">
        <v>260.07</v>
      </c>
      <c r="D5193" s="23">
        <v>1023.533</v>
      </c>
      <c r="E5193" s="23">
        <v>1023.533</v>
      </c>
      <c r="F5193" s="23">
        <v>0</v>
      </c>
      <c r="G5193" s="23">
        <v>0</v>
      </c>
      <c r="H5193" s="23">
        <v>0</v>
      </c>
      <c r="I5193" s="23">
        <v>99.63</v>
      </c>
      <c r="J5193" s="23">
        <v>0</v>
      </c>
      <c r="K5193" s="23">
        <v>0</v>
      </c>
    </row>
    <row r="5194" spans="1:11" x14ac:dyDescent="0.25">
      <c r="A5194">
        <v>5193</v>
      </c>
      <c r="B5194" s="23">
        <v>1632.030078</v>
      </c>
      <c r="C5194" s="23">
        <v>373.01</v>
      </c>
      <c r="D5194" s="23">
        <v>1459.7560000000001</v>
      </c>
      <c r="E5194" s="23">
        <v>1459.7560000000001</v>
      </c>
      <c r="F5194" s="23">
        <v>0</v>
      </c>
      <c r="G5194" s="23">
        <v>0</v>
      </c>
      <c r="H5194" s="23">
        <v>0</v>
      </c>
      <c r="I5194" s="23">
        <v>172.274</v>
      </c>
      <c r="J5194" s="23">
        <v>0</v>
      </c>
      <c r="K5194" s="23">
        <v>0</v>
      </c>
    </row>
    <row r="5195" spans="1:11" x14ac:dyDescent="0.25">
      <c r="A5195">
        <v>5194</v>
      </c>
      <c r="B5195" s="23">
        <v>1933.3125990000001</v>
      </c>
      <c r="C5195" s="23">
        <v>525.16999999999996</v>
      </c>
      <c r="D5195" s="23">
        <v>2017.8230000000001</v>
      </c>
      <c r="E5195" s="23">
        <v>1933.3119999999999</v>
      </c>
      <c r="F5195" s="23">
        <v>-84.510999999999996</v>
      </c>
      <c r="G5195" s="23">
        <v>0</v>
      </c>
      <c r="H5195" s="23">
        <v>0</v>
      </c>
      <c r="I5195" s="23">
        <v>0</v>
      </c>
      <c r="J5195" s="23">
        <v>0</v>
      </c>
      <c r="K5195" s="23">
        <v>0</v>
      </c>
    </row>
    <row r="5196" spans="1:11" x14ac:dyDescent="0.25">
      <c r="A5196">
        <v>5195</v>
      </c>
      <c r="B5196" s="23">
        <v>2180.0401510000002</v>
      </c>
      <c r="C5196" s="23">
        <v>667.52</v>
      </c>
      <c r="D5196" s="23">
        <v>2521.0819999999999</v>
      </c>
      <c r="E5196" s="23">
        <v>2180.04</v>
      </c>
      <c r="F5196" s="23">
        <v>-341.04199999999997</v>
      </c>
      <c r="G5196" s="23">
        <v>0</v>
      </c>
      <c r="H5196" s="23">
        <v>0</v>
      </c>
      <c r="I5196" s="23">
        <v>0</v>
      </c>
      <c r="J5196" s="23">
        <v>0</v>
      </c>
      <c r="K5196" s="23">
        <v>0</v>
      </c>
    </row>
    <row r="5197" spans="1:11" x14ac:dyDescent="0.25">
      <c r="A5197">
        <v>5196</v>
      </c>
      <c r="B5197" s="23">
        <v>2017.7698009999999</v>
      </c>
      <c r="C5197" s="23">
        <v>804.21</v>
      </c>
      <c r="D5197" s="23">
        <v>2990.0039999999999</v>
      </c>
      <c r="E5197" s="23">
        <v>2017.77</v>
      </c>
      <c r="F5197" s="23">
        <v>-972.23400000000004</v>
      </c>
      <c r="G5197" s="23">
        <v>0</v>
      </c>
      <c r="H5197" s="23">
        <v>0</v>
      </c>
      <c r="I5197" s="23">
        <v>0</v>
      </c>
      <c r="J5197" s="23">
        <v>0</v>
      </c>
      <c r="K5197" s="23">
        <v>0</v>
      </c>
    </row>
    <row r="5198" spans="1:11" x14ac:dyDescent="0.25">
      <c r="A5198">
        <v>5197</v>
      </c>
      <c r="B5198" s="23">
        <v>1936.1236220000001</v>
      </c>
      <c r="C5198" s="23">
        <v>781.9</v>
      </c>
      <c r="D5198" s="23">
        <v>2907.806</v>
      </c>
      <c r="E5198" s="23">
        <v>1936.123</v>
      </c>
      <c r="F5198" s="23">
        <v>-971.68299999999999</v>
      </c>
      <c r="G5198" s="23">
        <v>0</v>
      </c>
      <c r="H5198" s="23">
        <v>0</v>
      </c>
      <c r="I5198" s="23">
        <v>0</v>
      </c>
      <c r="J5198" s="23">
        <v>0</v>
      </c>
      <c r="K5198" s="23">
        <v>0</v>
      </c>
    </row>
    <row r="5199" spans="1:11" x14ac:dyDescent="0.25">
      <c r="A5199">
        <v>5198</v>
      </c>
      <c r="B5199" s="23">
        <v>2326.1844719999999</v>
      </c>
      <c r="C5199" s="23">
        <v>742.66</v>
      </c>
      <c r="D5199" s="23">
        <v>2777.18</v>
      </c>
      <c r="E5199" s="23">
        <v>2326.1849999999999</v>
      </c>
      <c r="F5199" s="23">
        <v>-450.995</v>
      </c>
      <c r="G5199" s="23">
        <v>0</v>
      </c>
      <c r="H5199" s="23">
        <v>0</v>
      </c>
      <c r="I5199" s="23">
        <v>0</v>
      </c>
      <c r="J5199" s="23">
        <v>0</v>
      </c>
      <c r="K5199" s="23">
        <v>0</v>
      </c>
    </row>
    <row r="5200" spans="1:11" x14ac:dyDescent="0.25">
      <c r="A5200">
        <v>5199</v>
      </c>
      <c r="B5200" s="23">
        <v>2160.3091989999998</v>
      </c>
      <c r="C5200" s="23">
        <v>540.14</v>
      </c>
      <c r="D5200" s="23">
        <v>2055.761</v>
      </c>
      <c r="E5200" s="23">
        <v>2055.761</v>
      </c>
      <c r="F5200" s="23">
        <v>0</v>
      </c>
      <c r="G5200" s="23">
        <v>0</v>
      </c>
      <c r="H5200" s="23">
        <v>0</v>
      </c>
      <c r="I5200" s="23">
        <v>104.548</v>
      </c>
      <c r="J5200" s="23">
        <v>0</v>
      </c>
      <c r="K5200" s="23">
        <v>0</v>
      </c>
    </row>
    <row r="5201" spans="1:11" x14ac:dyDescent="0.25">
      <c r="A5201">
        <v>5200</v>
      </c>
      <c r="B5201" s="23">
        <v>1965.936207</v>
      </c>
      <c r="C5201" s="23">
        <v>64.92</v>
      </c>
      <c r="D5201" s="23">
        <v>226.245</v>
      </c>
      <c r="E5201" s="23">
        <v>226.245</v>
      </c>
      <c r="F5201" s="23">
        <v>0</v>
      </c>
      <c r="G5201" s="23">
        <v>0</v>
      </c>
      <c r="H5201" s="23">
        <v>0</v>
      </c>
      <c r="I5201" s="23">
        <v>1739.691</v>
      </c>
      <c r="J5201" s="23">
        <v>0</v>
      </c>
      <c r="K5201" s="23">
        <v>0</v>
      </c>
    </row>
    <row r="5202" spans="1:11" x14ac:dyDescent="0.25">
      <c r="A5202">
        <v>5201</v>
      </c>
      <c r="B5202" s="23">
        <v>2270.9292380000002</v>
      </c>
      <c r="C5202" s="23">
        <v>88.89</v>
      </c>
      <c r="D5202" s="23">
        <v>326.32100000000003</v>
      </c>
      <c r="E5202" s="23">
        <v>326.32100000000003</v>
      </c>
      <c r="F5202" s="23">
        <v>0</v>
      </c>
      <c r="G5202" s="23">
        <v>0</v>
      </c>
      <c r="H5202" s="23">
        <v>0</v>
      </c>
      <c r="I5202" s="23">
        <v>1944.6079999999999</v>
      </c>
      <c r="J5202" s="23">
        <v>0</v>
      </c>
      <c r="K5202" s="23">
        <v>0</v>
      </c>
    </row>
    <row r="5203" spans="1:11" x14ac:dyDescent="0.25">
      <c r="A5203">
        <v>5202</v>
      </c>
      <c r="B5203" s="23">
        <v>1602.912779</v>
      </c>
      <c r="C5203" s="23">
        <v>27.43</v>
      </c>
      <c r="D5203" s="23">
        <v>80.953000000000003</v>
      </c>
      <c r="E5203" s="23">
        <v>80.953000000000003</v>
      </c>
      <c r="F5203" s="23">
        <v>0</v>
      </c>
      <c r="G5203" s="23">
        <v>0</v>
      </c>
      <c r="H5203" s="23">
        <v>0</v>
      </c>
      <c r="I5203" s="23">
        <v>0</v>
      </c>
      <c r="J5203" s="23">
        <v>0</v>
      </c>
      <c r="K5203" s="23">
        <v>1521.96</v>
      </c>
    </row>
    <row r="5204" spans="1:11" x14ac:dyDescent="0.25">
      <c r="A5204">
        <v>5203</v>
      </c>
      <c r="B5204" s="23">
        <v>2148.422615</v>
      </c>
      <c r="C5204" s="23">
        <v>0</v>
      </c>
      <c r="D5204" s="23">
        <v>0</v>
      </c>
      <c r="E5204" s="23">
        <v>0</v>
      </c>
      <c r="F5204" s="23">
        <v>0</v>
      </c>
      <c r="G5204" s="23">
        <v>0</v>
      </c>
      <c r="H5204" s="23">
        <v>0</v>
      </c>
      <c r="I5204" s="23">
        <v>463.863</v>
      </c>
      <c r="J5204" s="23">
        <v>0</v>
      </c>
      <c r="K5204" s="23">
        <v>1684.559</v>
      </c>
    </row>
    <row r="5205" spans="1:11" x14ac:dyDescent="0.25">
      <c r="A5205">
        <v>5204</v>
      </c>
      <c r="B5205" s="23">
        <v>2164.348426</v>
      </c>
      <c r="C5205" s="23">
        <v>0</v>
      </c>
      <c r="D5205" s="23">
        <v>0</v>
      </c>
      <c r="E5205" s="23">
        <v>0</v>
      </c>
      <c r="F5205" s="23">
        <v>0</v>
      </c>
      <c r="G5205" s="23">
        <v>0</v>
      </c>
      <c r="H5205" s="23">
        <v>0</v>
      </c>
      <c r="I5205" s="23">
        <v>479.78899999999999</v>
      </c>
      <c r="J5205" s="23">
        <v>0</v>
      </c>
      <c r="K5205" s="23">
        <v>1684.559</v>
      </c>
    </row>
    <row r="5206" spans="1:11" x14ac:dyDescent="0.25">
      <c r="A5206">
        <v>5205</v>
      </c>
      <c r="B5206" s="23">
        <v>1992.2205690000001</v>
      </c>
      <c r="C5206" s="23">
        <v>0</v>
      </c>
      <c r="D5206" s="23">
        <v>0</v>
      </c>
      <c r="E5206" s="23">
        <v>0</v>
      </c>
      <c r="F5206" s="23">
        <v>0</v>
      </c>
      <c r="G5206" s="23">
        <v>0</v>
      </c>
      <c r="H5206" s="23">
        <v>0</v>
      </c>
      <c r="I5206" s="23">
        <v>1992.221</v>
      </c>
      <c r="J5206" s="23">
        <v>0</v>
      </c>
      <c r="K5206" s="23">
        <v>0</v>
      </c>
    </row>
    <row r="5207" spans="1:11" x14ac:dyDescent="0.25">
      <c r="A5207">
        <v>5206</v>
      </c>
      <c r="B5207" s="23">
        <v>1660.715066</v>
      </c>
      <c r="C5207" s="23">
        <v>0</v>
      </c>
      <c r="D5207" s="23">
        <v>0</v>
      </c>
      <c r="E5207" s="23">
        <v>0</v>
      </c>
      <c r="F5207" s="23">
        <v>0</v>
      </c>
      <c r="G5207" s="23">
        <v>0</v>
      </c>
      <c r="H5207" s="23">
        <v>0</v>
      </c>
      <c r="I5207" s="23">
        <v>1660.7149999999999</v>
      </c>
      <c r="J5207" s="23">
        <v>0</v>
      </c>
      <c r="K5207" s="23">
        <v>0</v>
      </c>
    </row>
    <row r="5208" spans="1:11" x14ac:dyDescent="0.25">
      <c r="A5208">
        <v>5207</v>
      </c>
      <c r="B5208" s="23">
        <v>2342.8513889999999</v>
      </c>
      <c r="C5208" s="23">
        <v>0</v>
      </c>
      <c r="D5208" s="23">
        <v>0</v>
      </c>
      <c r="E5208" s="23">
        <v>0</v>
      </c>
      <c r="F5208" s="23">
        <v>0</v>
      </c>
      <c r="G5208" s="23">
        <v>0</v>
      </c>
      <c r="H5208" s="23">
        <v>0</v>
      </c>
      <c r="I5208" s="23">
        <v>2342.8510000000001</v>
      </c>
      <c r="J5208" s="23">
        <v>0</v>
      </c>
      <c r="K5208" s="23">
        <v>0</v>
      </c>
    </row>
    <row r="5209" spans="1:11" x14ac:dyDescent="0.25">
      <c r="A5209">
        <v>5208</v>
      </c>
      <c r="B5209" s="23">
        <v>2067.1280620000002</v>
      </c>
      <c r="C5209" s="23">
        <v>0</v>
      </c>
      <c r="D5209" s="23">
        <v>0</v>
      </c>
      <c r="E5209" s="23">
        <v>0</v>
      </c>
      <c r="F5209" s="23">
        <v>0</v>
      </c>
      <c r="G5209" s="23">
        <v>0</v>
      </c>
      <c r="H5209" s="23">
        <v>0</v>
      </c>
      <c r="I5209" s="23">
        <v>2067.1280000000002</v>
      </c>
      <c r="J5209" s="23">
        <v>0</v>
      </c>
      <c r="K5209" s="23">
        <v>0</v>
      </c>
    </row>
    <row r="5210" spans="1:11" x14ac:dyDescent="0.25">
      <c r="A5210">
        <v>5209</v>
      </c>
      <c r="B5210" s="23">
        <v>1512.4938560000001</v>
      </c>
      <c r="C5210" s="23">
        <v>0</v>
      </c>
      <c r="D5210" s="23">
        <v>0</v>
      </c>
      <c r="E5210" s="23">
        <v>0</v>
      </c>
      <c r="F5210" s="23">
        <v>0</v>
      </c>
      <c r="G5210" s="23">
        <v>0</v>
      </c>
      <c r="H5210" s="23">
        <v>0</v>
      </c>
      <c r="I5210" s="23">
        <v>1512.4939999999999</v>
      </c>
      <c r="J5210" s="23">
        <v>0</v>
      </c>
      <c r="K5210" s="23">
        <v>0</v>
      </c>
    </row>
    <row r="5211" spans="1:11" x14ac:dyDescent="0.25">
      <c r="A5211">
        <v>5210</v>
      </c>
      <c r="B5211" s="23">
        <v>1488.587209</v>
      </c>
      <c r="C5211" s="23">
        <v>0</v>
      </c>
      <c r="D5211" s="23">
        <v>0</v>
      </c>
      <c r="E5211" s="23">
        <v>0</v>
      </c>
      <c r="F5211" s="23">
        <v>0</v>
      </c>
      <c r="G5211" s="23">
        <v>0</v>
      </c>
      <c r="H5211" s="23">
        <v>0</v>
      </c>
      <c r="I5211" s="23">
        <v>1488.587</v>
      </c>
      <c r="J5211" s="23">
        <v>0</v>
      </c>
      <c r="K5211" s="23">
        <v>0</v>
      </c>
    </row>
    <row r="5212" spans="1:11" x14ac:dyDescent="0.25">
      <c r="A5212">
        <v>5211</v>
      </c>
      <c r="B5212" s="23">
        <v>1255.098958</v>
      </c>
      <c r="C5212" s="23">
        <v>0</v>
      </c>
      <c r="D5212" s="23">
        <v>0</v>
      </c>
      <c r="E5212" s="23">
        <v>0</v>
      </c>
      <c r="F5212" s="23">
        <v>0</v>
      </c>
      <c r="G5212" s="23">
        <v>0</v>
      </c>
      <c r="H5212" s="23">
        <v>0</v>
      </c>
      <c r="I5212" s="23">
        <v>1255.0989999999999</v>
      </c>
      <c r="J5212" s="23">
        <v>0</v>
      </c>
      <c r="K5212" s="23">
        <v>0</v>
      </c>
    </row>
    <row r="5213" spans="1:11" x14ac:dyDescent="0.25">
      <c r="A5213">
        <v>5212</v>
      </c>
      <c r="B5213" s="23">
        <v>1229.5985350000001</v>
      </c>
      <c r="C5213" s="23">
        <v>0</v>
      </c>
      <c r="D5213" s="23">
        <v>0</v>
      </c>
      <c r="E5213" s="23">
        <v>0</v>
      </c>
      <c r="F5213" s="23">
        <v>0</v>
      </c>
      <c r="G5213" s="23">
        <v>0</v>
      </c>
      <c r="H5213" s="23">
        <v>0</v>
      </c>
      <c r="I5213" s="23">
        <v>1229.5989999999999</v>
      </c>
      <c r="J5213" s="23">
        <v>0</v>
      </c>
      <c r="K5213" s="23">
        <v>0</v>
      </c>
    </row>
    <row r="5214" spans="1:11" x14ac:dyDescent="0.25">
      <c r="A5214">
        <v>5213</v>
      </c>
      <c r="B5214" s="23">
        <v>1267.0522820000001</v>
      </c>
      <c r="C5214" s="23">
        <v>0</v>
      </c>
      <c r="D5214" s="23">
        <v>0</v>
      </c>
      <c r="E5214" s="23">
        <v>0</v>
      </c>
      <c r="F5214" s="23">
        <v>0</v>
      </c>
      <c r="G5214" s="23">
        <v>0</v>
      </c>
      <c r="H5214" s="23">
        <v>0</v>
      </c>
      <c r="I5214" s="23">
        <v>1267.0519999999999</v>
      </c>
      <c r="J5214" s="23">
        <v>0</v>
      </c>
      <c r="K5214" s="23">
        <v>0</v>
      </c>
    </row>
    <row r="5215" spans="1:11" x14ac:dyDescent="0.25">
      <c r="A5215">
        <v>5214</v>
      </c>
      <c r="B5215" s="23">
        <v>1408.8983860000001</v>
      </c>
      <c r="C5215" s="23">
        <v>0</v>
      </c>
      <c r="D5215" s="23">
        <v>0</v>
      </c>
      <c r="E5215" s="23">
        <v>0</v>
      </c>
      <c r="F5215" s="23">
        <v>0</v>
      </c>
      <c r="G5215" s="23">
        <v>0</v>
      </c>
      <c r="H5215" s="23">
        <v>0</v>
      </c>
      <c r="I5215" s="23">
        <v>1408.8979999999999</v>
      </c>
      <c r="J5215" s="23">
        <v>0</v>
      </c>
      <c r="K5215" s="23">
        <v>0</v>
      </c>
    </row>
    <row r="5216" spans="1:11" x14ac:dyDescent="0.25">
      <c r="A5216">
        <v>5215</v>
      </c>
      <c r="B5216" s="23">
        <v>1368.257087</v>
      </c>
      <c r="C5216" s="23">
        <v>5.87</v>
      </c>
      <c r="D5216" s="23">
        <v>0</v>
      </c>
      <c r="E5216" s="23">
        <v>0</v>
      </c>
      <c r="F5216" s="23">
        <v>0</v>
      </c>
      <c r="G5216" s="23">
        <v>0</v>
      </c>
      <c r="H5216" s="23">
        <v>0</v>
      </c>
      <c r="I5216" s="23">
        <v>1368.2570000000001</v>
      </c>
      <c r="J5216" s="23">
        <v>0</v>
      </c>
      <c r="K5216" s="23">
        <v>0</v>
      </c>
    </row>
    <row r="5217" spans="1:11" x14ac:dyDescent="0.25">
      <c r="A5217">
        <v>5216</v>
      </c>
      <c r="B5217" s="23">
        <v>992.73546269999997</v>
      </c>
      <c r="C5217" s="23">
        <v>14.69</v>
      </c>
      <c r="D5217" s="23">
        <v>33.35</v>
      </c>
      <c r="E5217" s="23">
        <v>33.35</v>
      </c>
      <c r="F5217" s="23">
        <v>0</v>
      </c>
      <c r="G5217" s="23">
        <v>0</v>
      </c>
      <c r="H5217" s="23">
        <v>0</v>
      </c>
      <c r="I5217" s="23">
        <v>959.38499999999999</v>
      </c>
      <c r="J5217" s="23">
        <v>0</v>
      </c>
      <c r="K5217" s="23">
        <v>0</v>
      </c>
    </row>
    <row r="5218" spans="1:11" x14ac:dyDescent="0.25">
      <c r="A5218">
        <v>5217</v>
      </c>
      <c r="B5218" s="23">
        <v>1172.2624269999999</v>
      </c>
      <c r="C5218" s="23">
        <v>116.61</v>
      </c>
      <c r="D5218" s="23">
        <v>438.86200000000002</v>
      </c>
      <c r="E5218" s="23">
        <v>438.86200000000002</v>
      </c>
      <c r="F5218" s="23">
        <v>0</v>
      </c>
      <c r="G5218" s="23">
        <v>0</v>
      </c>
      <c r="H5218" s="23">
        <v>0</v>
      </c>
      <c r="I5218" s="23">
        <v>733.4</v>
      </c>
      <c r="J5218" s="23">
        <v>0</v>
      </c>
      <c r="K5218" s="23">
        <v>0</v>
      </c>
    </row>
    <row r="5219" spans="1:11" x14ac:dyDescent="0.25">
      <c r="A5219">
        <v>5218</v>
      </c>
      <c r="B5219" s="23">
        <v>1292.8316159999999</v>
      </c>
      <c r="C5219" s="23">
        <v>276.61</v>
      </c>
      <c r="D5219" s="23">
        <v>1070.413</v>
      </c>
      <c r="E5219" s="23">
        <v>1070.413</v>
      </c>
      <c r="F5219" s="23">
        <v>0</v>
      </c>
      <c r="G5219" s="23">
        <v>0</v>
      </c>
      <c r="H5219" s="23">
        <v>0</v>
      </c>
      <c r="I5219" s="23">
        <v>222.41900000000001</v>
      </c>
      <c r="J5219" s="23">
        <v>0</v>
      </c>
      <c r="K5219" s="23">
        <v>0</v>
      </c>
    </row>
    <row r="5220" spans="1:11" x14ac:dyDescent="0.25">
      <c r="A5220">
        <v>5219</v>
      </c>
      <c r="B5220" s="23">
        <v>1352.562373</v>
      </c>
      <c r="C5220" s="23">
        <v>623.44000000000005</v>
      </c>
      <c r="D5220" s="23">
        <v>2385.0990000000002</v>
      </c>
      <c r="E5220" s="23">
        <v>1352.5630000000001</v>
      </c>
      <c r="F5220" s="23">
        <v>-1032.5360000000001</v>
      </c>
      <c r="G5220" s="23">
        <v>0</v>
      </c>
      <c r="H5220" s="23">
        <v>0</v>
      </c>
      <c r="I5220" s="23">
        <v>0</v>
      </c>
      <c r="J5220" s="23">
        <v>0</v>
      </c>
      <c r="K5220" s="23">
        <v>0</v>
      </c>
    </row>
    <row r="5221" spans="1:11" x14ac:dyDescent="0.25">
      <c r="A5221">
        <v>5220</v>
      </c>
      <c r="B5221" s="23">
        <v>1429.4650750000001</v>
      </c>
      <c r="C5221" s="23">
        <v>727.18</v>
      </c>
      <c r="D5221" s="23">
        <v>2751.1080000000002</v>
      </c>
      <c r="E5221" s="23">
        <v>1429.4649999999999</v>
      </c>
      <c r="F5221" s="23">
        <v>-1321.643</v>
      </c>
      <c r="G5221" s="23">
        <v>0</v>
      </c>
      <c r="H5221" s="23">
        <v>0</v>
      </c>
      <c r="I5221" s="23">
        <v>0</v>
      </c>
      <c r="J5221" s="23">
        <v>0</v>
      </c>
      <c r="K5221" s="23">
        <v>0</v>
      </c>
    </row>
    <row r="5222" spans="1:11" x14ac:dyDescent="0.25">
      <c r="A5222">
        <v>5221</v>
      </c>
      <c r="B5222" s="23">
        <v>1429.4511299999999</v>
      </c>
      <c r="C5222" s="23">
        <v>796.74</v>
      </c>
      <c r="D5222" s="23">
        <v>3000.0360000000001</v>
      </c>
      <c r="E5222" s="23">
        <v>1429.451</v>
      </c>
      <c r="F5222" s="23">
        <v>-1570.585</v>
      </c>
      <c r="G5222" s="23">
        <v>0</v>
      </c>
      <c r="H5222" s="23">
        <v>0</v>
      </c>
      <c r="I5222" s="23">
        <v>0</v>
      </c>
      <c r="J5222" s="23">
        <v>0</v>
      </c>
      <c r="K5222" s="23">
        <v>0</v>
      </c>
    </row>
    <row r="5223" spans="1:11" x14ac:dyDescent="0.25">
      <c r="A5223">
        <v>5222</v>
      </c>
      <c r="B5223" s="23">
        <v>1083.651445</v>
      </c>
      <c r="C5223" s="23">
        <v>667.64</v>
      </c>
      <c r="D5223" s="23">
        <v>2541.404</v>
      </c>
      <c r="E5223" s="23">
        <v>1083.6510000000001</v>
      </c>
      <c r="F5223" s="23">
        <v>-1457.7529999999999</v>
      </c>
      <c r="G5223" s="23">
        <v>0</v>
      </c>
      <c r="H5223" s="23">
        <v>0</v>
      </c>
      <c r="I5223" s="23">
        <v>0</v>
      </c>
      <c r="J5223" s="23">
        <v>0</v>
      </c>
      <c r="K5223" s="23">
        <v>0</v>
      </c>
    </row>
    <row r="5224" spans="1:11" x14ac:dyDescent="0.25">
      <c r="A5224">
        <v>5223</v>
      </c>
      <c r="B5224" s="23">
        <v>1206.68003</v>
      </c>
      <c r="C5224" s="23">
        <v>458.88</v>
      </c>
      <c r="D5224" s="23">
        <v>1774.5940000000001</v>
      </c>
      <c r="E5224" s="23">
        <v>1206.68</v>
      </c>
      <c r="F5224" s="23">
        <v>-567.91399999999999</v>
      </c>
      <c r="G5224" s="23">
        <v>0</v>
      </c>
      <c r="H5224" s="23">
        <v>0</v>
      </c>
      <c r="I5224" s="23">
        <v>0</v>
      </c>
      <c r="J5224" s="23">
        <v>0</v>
      </c>
      <c r="K5224" s="23">
        <v>0</v>
      </c>
    </row>
    <row r="5225" spans="1:11" x14ac:dyDescent="0.25">
      <c r="A5225">
        <v>5224</v>
      </c>
      <c r="B5225" s="23">
        <v>1434.997472</v>
      </c>
      <c r="C5225" s="23">
        <v>174.01</v>
      </c>
      <c r="D5225" s="23">
        <v>667.18399999999997</v>
      </c>
      <c r="E5225" s="23">
        <v>667.18399999999997</v>
      </c>
      <c r="F5225" s="23">
        <v>0</v>
      </c>
      <c r="G5225" s="23">
        <v>0</v>
      </c>
      <c r="H5225" s="23">
        <v>0</v>
      </c>
      <c r="I5225" s="23">
        <v>767.81399999999996</v>
      </c>
      <c r="J5225" s="23">
        <v>0</v>
      </c>
      <c r="K5225" s="23">
        <v>0</v>
      </c>
    </row>
    <row r="5226" spans="1:11" x14ac:dyDescent="0.25">
      <c r="A5226">
        <v>5225</v>
      </c>
      <c r="B5226" s="23">
        <v>1270.931135</v>
      </c>
      <c r="C5226" s="23">
        <v>156.66</v>
      </c>
      <c r="D5226" s="23">
        <v>605.11699999999996</v>
      </c>
      <c r="E5226" s="23">
        <v>605.11699999999996</v>
      </c>
      <c r="F5226" s="23">
        <v>0</v>
      </c>
      <c r="G5226" s="23">
        <v>0</v>
      </c>
      <c r="H5226" s="23">
        <v>0</v>
      </c>
      <c r="I5226" s="23">
        <v>665.81399999999996</v>
      </c>
      <c r="J5226" s="23">
        <v>0</v>
      </c>
      <c r="K5226" s="23">
        <v>0</v>
      </c>
    </row>
    <row r="5227" spans="1:11" x14ac:dyDescent="0.25">
      <c r="A5227">
        <v>5226</v>
      </c>
      <c r="B5227" s="23">
        <v>1239.3474659999999</v>
      </c>
      <c r="C5227" s="23">
        <v>70.290000000000006</v>
      </c>
      <c r="D5227" s="23">
        <v>242.76</v>
      </c>
      <c r="E5227" s="23">
        <v>242.76</v>
      </c>
      <c r="F5227" s="23">
        <v>0</v>
      </c>
      <c r="G5227" s="23">
        <v>0</v>
      </c>
      <c r="H5227" s="23">
        <v>0</v>
      </c>
      <c r="I5227" s="23">
        <v>0</v>
      </c>
      <c r="J5227" s="23">
        <v>0</v>
      </c>
      <c r="K5227" s="23">
        <v>996.58799999999997</v>
      </c>
    </row>
    <row r="5228" spans="1:11" x14ac:dyDescent="0.25">
      <c r="A5228">
        <v>5227</v>
      </c>
      <c r="B5228" s="23">
        <v>795.29445109999995</v>
      </c>
      <c r="C5228" s="23">
        <v>0</v>
      </c>
      <c r="D5228" s="23">
        <v>0</v>
      </c>
      <c r="E5228" s="23">
        <v>0</v>
      </c>
      <c r="F5228" s="23">
        <v>0</v>
      </c>
      <c r="G5228" s="23">
        <v>0</v>
      </c>
      <c r="H5228" s="23">
        <v>0</v>
      </c>
      <c r="I5228" s="23">
        <v>0</v>
      </c>
      <c r="J5228" s="23">
        <v>0</v>
      </c>
      <c r="K5228" s="23">
        <v>795.29399999999998</v>
      </c>
    </row>
    <row r="5229" spans="1:11" x14ac:dyDescent="0.25">
      <c r="A5229">
        <v>5228</v>
      </c>
      <c r="B5229" s="23">
        <v>1205.6918880000001</v>
      </c>
      <c r="C5229" s="23">
        <v>0</v>
      </c>
      <c r="D5229" s="23">
        <v>0</v>
      </c>
      <c r="E5229" s="23">
        <v>0</v>
      </c>
      <c r="F5229" s="23">
        <v>0</v>
      </c>
      <c r="G5229" s="23">
        <v>0</v>
      </c>
      <c r="H5229" s="23">
        <v>0</v>
      </c>
      <c r="I5229" s="23">
        <v>0</v>
      </c>
      <c r="J5229" s="23">
        <v>0</v>
      </c>
      <c r="K5229" s="23">
        <v>1205.692</v>
      </c>
    </row>
    <row r="5230" spans="1:11" x14ac:dyDescent="0.25">
      <c r="A5230">
        <v>5229</v>
      </c>
      <c r="B5230" s="23">
        <v>1452.7272390000001</v>
      </c>
      <c r="C5230" s="23">
        <v>0</v>
      </c>
      <c r="D5230" s="23">
        <v>0</v>
      </c>
      <c r="E5230" s="23">
        <v>0</v>
      </c>
      <c r="F5230" s="23">
        <v>0</v>
      </c>
      <c r="G5230" s="23">
        <v>0</v>
      </c>
      <c r="H5230" s="23">
        <v>0</v>
      </c>
      <c r="I5230" s="23">
        <v>1452.7270000000001</v>
      </c>
      <c r="J5230" s="23">
        <v>0</v>
      </c>
      <c r="K5230" s="23">
        <v>0</v>
      </c>
    </row>
    <row r="5231" spans="1:11" x14ac:dyDescent="0.25">
      <c r="A5231">
        <v>5230</v>
      </c>
      <c r="B5231" s="23">
        <v>1126.7999540000001</v>
      </c>
      <c r="C5231" s="23">
        <v>0</v>
      </c>
      <c r="D5231" s="23">
        <v>0</v>
      </c>
      <c r="E5231" s="23">
        <v>0</v>
      </c>
      <c r="F5231" s="23">
        <v>0</v>
      </c>
      <c r="G5231" s="23">
        <v>0</v>
      </c>
      <c r="H5231" s="23">
        <v>0</v>
      </c>
      <c r="I5231" s="23">
        <v>1126.8</v>
      </c>
      <c r="J5231" s="23">
        <v>0</v>
      </c>
      <c r="K5231" s="23">
        <v>0</v>
      </c>
    </row>
    <row r="5232" spans="1:11" x14ac:dyDescent="0.25">
      <c r="A5232">
        <v>5231</v>
      </c>
      <c r="B5232" s="23">
        <v>1046.314243</v>
      </c>
      <c r="C5232" s="23">
        <v>0</v>
      </c>
      <c r="D5232" s="23">
        <v>0</v>
      </c>
      <c r="E5232" s="23">
        <v>0</v>
      </c>
      <c r="F5232" s="23">
        <v>0</v>
      </c>
      <c r="G5232" s="23">
        <v>0</v>
      </c>
      <c r="H5232" s="23">
        <v>0</v>
      </c>
      <c r="I5232" s="23">
        <v>1046.3140000000001</v>
      </c>
      <c r="J5232" s="23">
        <v>0</v>
      </c>
      <c r="K5232" s="23">
        <v>0</v>
      </c>
    </row>
    <row r="5233" spans="1:11" x14ac:dyDescent="0.25">
      <c r="A5233">
        <v>5232</v>
      </c>
      <c r="B5233" s="23">
        <v>945.9063261</v>
      </c>
      <c r="C5233" s="23">
        <v>0</v>
      </c>
      <c r="D5233" s="23">
        <v>0</v>
      </c>
      <c r="E5233" s="23">
        <v>0</v>
      </c>
      <c r="F5233" s="23">
        <v>0</v>
      </c>
      <c r="G5233" s="23">
        <v>0</v>
      </c>
      <c r="H5233" s="23">
        <v>0</v>
      </c>
      <c r="I5233" s="23">
        <v>945.90599999999995</v>
      </c>
      <c r="J5233" s="23">
        <v>0</v>
      </c>
      <c r="K5233" s="23">
        <v>0</v>
      </c>
    </row>
    <row r="5234" spans="1:11" x14ac:dyDescent="0.25">
      <c r="A5234">
        <v>5233</v>
      </c>
      <c r="B5234" s="23">
        <v>1189.754124</v>
      </c>
      <c r="C5234" s="23">
        <v>0</v>
      </c>
      <c r="D5234" s="23">
        <v>0</v>
      </c>
      <c r="E5234" s="23">
        <v>0</v>
      </c>
      <c r="F5234" s="23">
        <v>0</v>
      </c>
      <c r="G5234" s="23">
        <v>0</v>
      </c>
      <c r="H5234" s="23">
        <v>0</v>
      </c>
      <c r="I5234" s="23">
        <v>1189.7539999999999</v>
      </c>
      <c r="J5234" s="23">
        <v>0</v>
      </c>
      <c r="K5234" s="23">
        <v>0</v>
      </c>
    </row>
    <row r="5235" spans="1:11" x14ac:dyDescent="0.25">
      <c r="A5235">
        <v>5234</v>
      </c>
      <c r="B5235" s="23">
        <v>1080.5804370000001</v>
      </c>
      <c r="C5235" s="23">
        <v>0</v>
      </c>
      <c r="D5235" s="23">
        <v>0</v>
      </c>
      <c r="E5235" s="23">
        <v>0</v>
      </c>
      <c r="F5235" s="23">
        <v>0</v>
      </c>
      <c r="G5235" s="23">
        <v>0</v>
      </c>
      <c r="H5235" s="23">
        <v>0</v>
      </c>
      <c r="I5235" s="23">
        <v>1080.58</v>
      </c>
      <c r="J5235" s="23">
        <v>0</v>
      </c>
      <c r="K5235" s="23">
        <v>0</v>
      </c>
    </row>
    <row r="5236" spans="1:11" x14ac:dyDescent="0.25">
      <c r="A5236">
        <v>5235</v>
      </c>
      <c r="B5236" s="23">
        <v>1216.8483229999999</v>
      </c>
      <c r="C5236" s="23">
        <v>0</v>
      </c>
      <c r="D5236" s="23">
        <v>0</v>
      </c>
      <c r="E5236" s="23">
        <v>0</v>
      </c>
      <c r="F5236" s="23">
        <v>0</v>
      </c>
      <c r="G5236" s="23">
        <v>0</v>
      </c>
      <c r="H5236" s="23">
        <v>0</v>
      </c>
      <c r="I5236" s="23">
        <v>1216.848</v>
      </c>
      <c r="J5236" s="23">
        <v>0</v>
      </c>
      <c r="K5236" s="23">
        <v>0</v>
      </c>
    </row>
    <row r="5237" spans="1:11" x14ac:dyDescent="0.25">
      <c r="A5237">
        <v>5236</v>
      </c>
      <c r="B5237" s="23">
        <v>1073.4084419999999</v>
      </c>
      <c r="C5237" s="23">
        <v>0</v>
      </c>
      <c r="D5237" s="23">
        <v>0</v>
      </c>
      <c r="E5237" s="23">
        <v>0</v>
      </c>
      <c r="F5237" s="23">
        <v>0</v>
      </c>
      <c r="G5237" s="23">
        <v>0</v>
      </c>
      <c r="H5237" s="23">
        <v>0</v>
      </c>
      <c r="I5237" s="23">
        <v>1073.4079999999999</v>
      </c>
      <c r="J5237" s="23">
        <v>0</v>
      </c>
      <c r="K5237" s="23">
        <v>0</v>
      </c>
    </row>
    <row r="5238" spans="1:11" x14ac:dyDescent="0.25">
      <c r="A5238">
        <v>5237</v>
      </c>
      <c r="B5238" s="23">
        <v>1196.1292289999999</v>
      </c>
      <c r="C5238" s="23">
        <v>0</v>
      </c>
      <c r="D5238" s="23">
        <v>0</v>
      </c>
      <c r="E5238" s="23">
        <v>0</v>
      </c>
      <c r="F5238" s="23">
        <v>0</v>
      </c>
      <c r="G5238" s="23">
        <v>0</v>
      </c>
      <c r="H5238" s="23">
        <v>0</v>
      </c>
      <c r="I5238" s="23">
        <v>411.67099999999999</v>
      </c>
      <c r="J5238" s="23">
        <v>0</v>
      </c>
      <c r="K5238" s="23">
        <v>784.45799999999997</v>
      </c>
    </row>
    <row r="5239" spans="1:11" x14ac:dyDescent="0.25">
      <c r="A5239">
        <v>5238</v>
      </c>
      <c r="B5239" s="23">
        <v>1135.565724</v>
      </c>
      <c r="C5239" s="23">
        <v>0</v>
      </c>
      <c r="D5239" s="23">
        <v>0</v>
      </c>
      <c r="E5239" s="23">
        <v>0</v>
      </c>
      <c r="F5239" s="23">
        <v>0</v>
      </c>
      <c r="G5239" s="23">
        <v>0</v>
      </c>
      <c r="H5239" s="23">
        <v>0</v>
      </c>
      <c r="I5239" s="23">
        <v>0</v>
      </c>
      <c r="J5239" s="23">
        <v>0</v>
      </c>
      <c r="K5239" s="23">
        <v>1135.566</v>
      </c>
    </row>
    <row r="5240" spans="1:11" x14ac:dyDescent="0.25">
      <c r="A5240">
        <v>5239</v>
      </c>
      <c r="B5240" s="23">
        <v>1033.5640310000001</v>
      </c>
      <c r="C5240" s="23">
        <v>41.15</v>
      </c>
      <c r="D5240" s="23">
        <v>136.43799999999999</v>
      </c>
      <c r="E5240" s="23">
        <v>136.43799999999999</v>
      </c>
      <c r="F5240" s="23">
        <v>0</v>
      </c>
      <c r="G5240" s="23">
        <v>0</v>
      </c>
      <c r="H5240" s="23">
        <v>0</v>
      </c>
      <c r="I5240" s="23">
        <v>0</v>
      </c>
      <c r="J5240" s="23">
        <v>0</v>
      </c>
      <c r="K5240" s="23">
        <v>897.12599999999998</v>
      </c>
    </row>
    <row r="5241" spans="1:11" x14ac:dyDescent="0.25">
      <c r="A5241">
        <v>5240</v>
      </c>
      <c r="B5241" s="23">
        <v>863.52003669999999</v>
      </c>
      <c r="C5241" s="23">
        <v>320.18</v>
      </c>
      <c r="D5241" s="23">
        <v>1243.559</v>
      </c>
      <c r="E5241" s="23">
        <v>863.52</v>
      </c>
      <c r="F5241" s="23">
        <v>-380.03899999999999</v>
      </c>
      <c r="G5241" s="23">
        <v>0</v>
      </c>
      <c r="H5241" s="23">
        <v>0</v>
      </c>
      <c r="I5241" s="23">
        <v>0</v>
      </c>
      <c r="J5241" s="23">
        <v>0</v>
      </c>
      <c r="K5241" s="23">
        <v>0</v>
      </c>
    </row>
    <row r="5242" spans="1:11" x14ac:dyDescent="0.25">
      <c r="A5242">
        <v>5241</v>
      </c>
      <c r="B5242" s="23">
        <v>1062.67635</v>
      </c>
      <c r="C5242" s="23">
        <v>547.08000000000004</v>
      </c>
      <c r="D5242" s="23">
        <v>2177.2489999999998</v>
      </c>
      <c r="E5242" s="23">
        <v>1062.6759999999999</v>
      </c>
      <c r="F5242" s="23">
        <v>-1114.5730000000001</v>
      </c>
      <c r="G5242" s="23">
        <v>0</v>
      </c>
      <c r="H5242" s="23">
        <v>0</v>
      </c>
      <c r="I5242" s="23">
        <v>0</v>
      </c>
      <c r="J5242" s="23">
        <v>0</v>
      </c>
      <c r="K5242" s="23">
        <v>0</v>
      </c>
    </row>
    <row r="5243" spans="1:11" x14ac:dyDescent="0.25">
      <c r="A5243">
        <v>5242</v>
      </c>
      <c r="B5243" s="23">
        <v>1360.7414349999999</v>
      </c>
      <c r="C5243" s="23">
        <v>740.38</v>
      </c>
      <c r="D5243" s="23">
        <v>2865.7979999999998</v>
      </c>
      <c r="E5243" s="23">
        <v>1360.741</v>
      </c>
      <c r="F5243" s="23">
        <v>-1505.057</v>
      </c>
      <c r="G5243" s="23">
        <v>0</v>
      </c>
      <c r="H5243" s="23">
        <v>0</v>
      </c>
      <c r="I5243" s="23">
        <v>0</v>
      </c>
      <c r="J5243" s="23">
        <v>0</v>
      </c>
      <c r="K5243" s="23">
        <v>0</v>
      </c>
    </row>
    <row r="5244" spans="1:11" x14ac:dyDescent="0.25">
      <c r="A5244">
        <v>5243</v>
      </c>
      <c r="B5244" s="23">
        <v>1568.4882030000001</v>
      </c>
      <c r="C5244" s="23">
        <v>878</v>
      </c>
      <c r="D5244" s="23">
        <v>3335.4430000000002</v>
      </c>
      <c r="E5244" s="23">
        <v>1568.4880000000001</v>
      </c>
      <c r="F5244" s="23">
        <v>-1684.559</v>
      </c>
      <c r="G5244" s="23">
        <v>0</v>
      </c>
      <c r="H5244" s="23">
        <v>82.396000000000001</v>
      </c>
      <c r="I5244" s="23">
        <v>0</v>
      </c>
      <c r="J5244" s="23">
        <v>0</v>
      </c>
      <c r="K5244" s="23">
        <v>0</v>
      </c>
    </row>
    <row r="5245" spans="1:11" x14ac:dyDescent="0.25">
      <c r="A5245">
        <v>5244</v>
      </c>
      <c r="B5245" s="23">
        <v>1509.8551600000001</v>
      </c>
      <c r="C5245" s="23">
        <v>752.62</v>
      </c>
      <c r="D5245" s="23">
        <v>2832.18</v>
      </c>
      <c r="E5245" s="23">
        <v>1509.856</v>
      </c>
      <c r="F5245" s="23">
        <v>-1322.3240000000001</v>
      </c>
      <c r="G5245" s="23">
        <v>0</v>
      </c>
      <c r="H5245" s="23">
        <v>0</v>
      </c>
      <c r="I5245" s="23">
        <v>0</v>
      </c>
      <c r="J5245" s="23">
        <v>0</v>
      </c>
      <c r="K5245" s="23">
        <v>0</v>
      </c>
    </row>
    <row r="5246" spans="1:11" x14ac:dyDescent="0.25">
      <c r="A5246">
        <v>5245</v>
      </c>
      <c r="B5246" s="23">
        <v>1563.9349830000001</v>
      </c>
      <c r="C5246" s="23">
        <v>654.91999999999996</v>
      </c>
      <c r="D5246" s="23">
        <v>2480.768</v>
      </c>
      <c r="E5246" s="23">
        <v>1563.9349999999999</v>
      </c>
      <c r="F5246" s="23">
        <v>-916.83299999999997</v>
      </c>
      <c r="G5246" s="23">
        <v>0</v>
      </c>
      <c r="H5246" s="23">
        <v>0</v>
      </c>
      <c r="I5246" s="23">
        <v>0</v>
      </c>
      <c r="J5246" s="23">
        <v>0</v>
      </c>
      <c r="K5246" s="23">
        <v>0</v>
      </c>
    </row>
    <row r="5247" spans="1:11" x14ac:dyDescent="0.25">
      <c r="A5247">
        <v>5246</v>
      </c>
      <c r="B5247" s="23">
        <v>1577.8526360000001</v>
      </c>
      <c r="C5247" s="23">
        <v>873.63</v>
      </c>
      <c r="D5247" s="23">
        <v>3343.817</v>
      </c>
      <c r="E5247" s="23">
        <v>1577.8530000000001</v>
      </c>
      <c r="F5247" s="23">
        <v>-368.113</v>
      </c>
      <c r="G5247" s="23">
        <v>0</v>
      </c>
      <c r="H5247" s="23">
        <v>1397.8510000000001</v>
      </c>
      <c r="I5247" s="23">
        <v>0</v>
      </c>
      <c r="J5247" s="23">
        <v>0</v>
      </c>
      <c r="K5247" s="23">
        <v>0</v>
      </c>
    </row>
    <row r="5248" spans="1:11" x14ac:dyDescent="0.25">
      <c r="A5248">
        <v>5247</v>
      </c>
      <c r="B5248" s="23">
        <v>1437.990783</v>
      </c>
      <c r="C5248" s="23">
        <v>217.34</v>
      </c>
      <c r="D5248" s="23">
        <v>829.33699999999999</v>
      </c>
      <c r="E5248" s="23">
        <v>829.33699999999999</v>
      </c>
      <c r="F5248" s="23">
        <v>0</v>
      </c>
      <c r="G5248" s="23">
        <v>0</v>
      </c>
      <c r="H5248" s="23">
        <v>0</v>
      </c>
      <c r="I5248" s="23">
        <v>608.654</v>
      </c>
      <c r="J5248" s="23">
        <v>0</v>
      </c>
      <c r="K5248" s="23">
        <v>0</v>
      </c>
    </row>
    <row r="5249" spans="1:11" x14ac:dyDescent="0.25">
      <c r="A5249">
        <v>5248</v>
      </c>
      <c r="B5249" s="23">
        <v>1849.9351799999999</v>
      </c>
      <c r="C5249" s="23">
        <v>34.32</v>
      </c>
      <c r="D5249" s="23">
        <v>106.699</v>
      </c>
      <c r="E5249" s="23">
        <v>106.699</v>
      </c>
      <c r="F5249" s="23">
        <v>0</v>
      </c>
      <c r="G5249" s="23">
        <v>0</v>
      </c>
      <c r="H5249" s="23">
        <v>0</v>
      </c>
      <c r="I5249" s="23">
        <v>1743.2360000000001</v>
      </c>
      <c r="J5249" s="23">
        <v>0</v>
      </c>
      <c r="K5249" s="23">
        <v>0</v>
      </c>
    </row>
    <row r="5250" spans="1:11" x14ac:dyDescent="0.25">
      <c r="A5250">
        <v>5249</v>
      </c>
      <c r="B5250" s="23">
        <v>2043.374816</v>
      </c>
      <c r="C5250" s="23">
        <v>16.649999999999999</v>
      </c>
      <c r="D5250" s="23">
        <v>40.271999999999998</v>
      </c>
      <c r="E5250" s="23">
        <v>40.271999999999998</v>
      </c>
      <c r="F5250" s="23">
        <v>0</v>
      </c>
      <c r="G5250" s="23">
        <v>0</v>
      </c>
      <c r="H5250" s="23">
        <v>0</v>
      </c>
      <c r="I5250" s="23">
        <v>2003.1030000000001</v>
      </c>
      <c r="J5250" s="23">
        <v>0</v>
      </c>
      <c r="K5250" s="23">
        <v>0</v>
      </c>
    </row>
    <row r="5251" spans="1:11" x14ac:dyDescent="0.25">
      <c r="A5251">
        <v>5250</v>
      </c>
      <c r="B5251" s="23">
        <v>1857.414972</v>
      </c>
      <c r="C5251" s="23">
        <v>45.87</v>
      </c>
      <c r="D5251" s="23">
        <v>153.36099999999999</v>
      </c>
      <c r="E5251" s="23">
        <v>153.36099999999999</v>
      </c>
      <c r="F5251" s="23">
        <v>0</v>
      </c>
      <c r="G5251" s="23">
        <v>0</v>
      </c>
      <c r="H5251" s="23">
        <v>0</v>
      </c>
      <c r="I5251" s="23">
        <v>19.494</v>
      </c>
      <c r="J5251" s="23">
        <v>0</v>
      </c>
      <c r="K5251" s="23">
        <v>1684.559</v>
      </c>
    </row>
    <row r="5252" spans="1:11" x14ac:dyDescent="0.25">
      <c r="A5252">
        <v>5251</v>
      </c>
      <c r="B5252" s="23">
        <v>1680.6372719999999</v>
      </c>
      <c r="C5252" s="23">
        <v>0</v>
      </c>
      <c r="D5252" s="23">
        <v>0</v>
      </c>
      <c r="E5252" s="23">
        <v>0</v>
      </c>
      <c r="F5252" s="23">
        <v>0</v>
      </c>
      <c r="G5252" s="23">
        <v>0</v>
      </c>
      <c r="H5252" s="23">
        <v>0</v>
      </c>
      <c r="I5252" s="23">
        <v>0</v>
      </c>
      <c r="J5252" s="23">
        <v>0</v>
      </c>
      <c r="K5252" s="23">
        <v>1680.6369999999999</v>
      </c>
    </row>
    <row r="5253" spans="1:11" x14ac:dyDescent="0.25">
      <c r="A5253">
        <v>5252</v>
      </c>
      <c r="B5253" s="23">
        <v>1432.008145</v>
      </c>
      <c r="C5253" s="23">
        <v>0</v>
      </c>
      <c r="D5253" s="23">
        <v>0</v>
      </c>
      <c r="E5253" s="23">
        <v>0</v>
      </c>
      <c r="F5253" s="23">
        <v>0</v>
      </c>
      <c r="G5253" s="23">
        <v>0</v>
      </c>
      <c r="H5253" s="23">
        <v>0</v>
      </c>
      <c r="I5253" s="23">
        <v>0</v>
      </c>
      <c r="J5253" s="23">
        <v>0</v>
      </c>
      <c r="K5253" s="23">
        <v>1432.008</v>
      </c>
    </row>
    <row r="5254" spans="1:11" x14ac:dyDescent="0.25">
      <c r="A5254">
        <v>5253</v>
      </c>
      <c r="B5254" s="23">
        <v>1791.4047350000001</v>
      </c>
      <c r="C5254" s="23">
        <v>0</v>
      </c>
      <c r="D5254" s="23">
        <v>0</v>
      </c>
      <c r="E5254" s="23">
        <v>0</v>
      </c>
      <c r="F5254" s="23">
        <v>0</v>
      </c>
      <c r="G5254" s="23">
        <v>0</v>
      </c>
      <c r="H5254" s="23">
        <v>0</v>
      </c>
      <c r="I5254" s="23">
        <v>1791.405</v>
      </c>
      <c r="J5254" s="23">
        <v>0</v>
      </c>
      <c r="K5254" s="23">
        <v>0</v>
      </c>
    </row>
    <row r="5255" spans="1:11" x14ac:dyDescent="0.25">
      <c r="A5255">
        <v>5254</v>
      </c>
      <c r="B5255" s="23">
        <v>1433.6019209999999</v>
      </c>
      <c r="C5255" s="23">
        <v>0</v>
      </c>
      <c r="D5255" s="23">
        <v>0</v>
      </c>
      <c r="E5255" s="23">
        <v>0</v>
      </c>
      <c r="F5255" s="23">
        <v>0</v>
      </c>
      <c r="G5255" s="23">
        <v>0</v>
      </c>
      <c r="H5255" s="23">
        <v>0</v>
      </c>
      <c r="I5255" s="23">
        <v>1433.6020000000001</v>
      </c>
      <c r="J5255" s="23">
        <v>0</v>
      </c>
      <c r="K5255" s="23">
        <v>0</v>
      </c>
    </row>
    <row r="5256" spans="1:11" x14ac:dyDescent="0.25">
      <c r="A5256">
        <v>5255</v>
      </c>
      <c r="B5256" s="23">
        <v>1313.2717990000001</v>
      </c>
      <c r="C5256" s="23">
        <v>0</v>
      </c>
      <c r="D5256" s="23">
        <v>0</v>
      </c>
      <c r="E5256" s="23">
        <v>0</v>
      </c>
      <c r="F5256" s="23">
        <v>0</v>
      </c>
      <c r="G5256" s="23">
        <v>0</v>
      </c>
      <c r="H5256" s="23">
        <v>0</v>
      </c>
      <c r="I5256" s="23">
        <v>1313.2719999999999</v>
      </c>
      <c r="J5256" s="23">
        <v>0</v>
      </c>
      <c r="K5256" s="23">
        <v>0</v>
      </c>
    </row>
    <row r="5257" spans="1:11" x14ac:dyDescent="0.25">
      <c r="A5257">
        <v>5256</v>
      </c>
      <c r="B5257" s="23">
        <v>1328.412675</v>
      </c>
      <c r="C5257" s="23">
        <v>0</v>
      </c>
      <c r="D5257" s="23">
        <v>0</v>
      </c>
      <c r="E5257" s="23">
        <v>0</v>
      </c>
      <c r="F5257" s="23">
        <v>0</v>
      </c>
      <c r="G5257" s="23">
        <v>0</v>
      </c>
      <c r="H5257" s="23">
        <v>0</v>
      </c>
      <c r="I5257" s="23">
        <v>1328.413</v>
      </c>
      <c r="J5257" s="23">
        <v>0</v>
      </c>
      <c r="K5257" s="23">
        <v>0</v>
      </c>
    </row>
    <row r="5258" spans="1:11" x14ac:dyDescent="0.25">
      <c r="A5258">
        <v>5257</v>
      </c>
      <c r="B5258" s="23">
        <v>1421.648598</v>
      </c>
      <c r="C5258" s="23">
        <v>0</v>
      </c>
      <c r="D5258" s="23">
        <v>0</v>
      </c>
      <c r="E5258" s="23">
        <v>0</v>
      </c>
      <c r="F5258" s="23">
        <v>0</v>
      </c>
      <c r="G5258" s="23">
        <v>0</v>
      </c>
      <c r="H5258" s="23">
        <v>0</v>
      </c>
      <c r="I5258" s="23">
        <v>1421.6489999999999</v>
      </c>
      <c r="J5258" s="23">
        <v>0</v>
      </c>
      <c r="K5258" s="23">
        <v>0</v>
      </c>
    </row>
    <row r="5259" spans="1:11" x14ac:dyDescent="0.25">
      <c r="A5259">
        <v>5258</v>
      </c>
      <c r="B5259" s="23">
        <v>1459.102345</v>
      </c>
      <c r="C5259" s="23">
        <v>0</v>
      </c>
      <c r="D5259" s="23">
        <v>0</v>
      </c>
      <c r="E5259" s="23">
        <v>0</v>
      </c>
      <c r="F5259" s="23">
        <v>0</v>
      </c>
      <c r="G5259" s="23">
        <v>0</v>
      </c>
      <c r="H5259" s="23">
        <v>0</v>
      </c>
      <c r="I5259" s="23">
        <v>1459.1020000000001</v>
      </c>
      <c r="J5259" s="23">
        <v>0</v>
      </c>
      <c r="K5259" s="23">
        <v>0</v>
      </c>
    </row>
    <row r="5260" spans="1:11" x14ac:dyDescent="0.25">
      <c r="A5260">
        <v>5259</v>
      </c>
      <c r="B5260" s="23">
        <v>1105.2839719999999</v>
      </c>
      <c r="C5260" s="23">
        <v>0</v>
      </c>
      <c r="D5260" s="23">
        <v>0</v>
      </c>
      <c r="E5260" s="23">
        <v>0</v>
      </c>
      <c r="F5260" s="23">
        <v>0</v>
      </c>
      <c r="G5260" s="23">
        <v>0</v>
      </c>
      <c r="H5260" s="23">
        <v>0</v>
      </c>
      <c r="I5260" s="23">
        <v>1105.2840000000001</v>
      </c>
      <c r="J5260" s="23">
        <v>0</v>
      </c>
      <c r="K5260" s="23">
        <v>0</v>
      </c>
    </row>
    <row r="5261" spans="1:11" x14ac:dyDescent="0.25">
      <c r="A5261">
        <v>5260</v>
      </c>
      <c r="B5261" s="23">
        <v>1154.6910419999999</v>
      </c>
      <c r="C5261" s="23">
        <v>0</v>
      </c>
      <c r="D5261" s="23">
        <v>0</v>
      </c>
      <c r="E5261" s="23">
        <v>0</v>
      </c>
      <c r="F5261" s="23">
        <v>0</v>
      </c>
      <c r="G5261" s="23">
        <v>0</v>
      </c>
      <c r="H5261" s="23">
        <v>0</v>
      </c>
      <c r="I5261" s="23">
        <v>1154.691</v>
      </c>
      <c r="J5261" s="23">
        <v>0</v>
      </c>
      <c r="K5261" s="23">
        <v>0</v>
      </c>
    </row>
    <row r="5262" spans="1:11" x14ac:dyDescent="0.25">
      <c r="A5262">
        <v>5261</v>
      </c>
      <c r="B5262" s="23">
        <v>1428.023704</v>
      </c>
      <c r="C5262" s="23">
        <v>0</v>
      </c>
      <c r="D5262" s="23">
        <v>0</v>
      </c>
      <c r="E5262" s="23">
        <v>0</v>
      </c>
      <c r="F5262" s="23">
        <v>0</v>
      </c>
      <c r="G5262" s="23">
        <v>0</v>
      </c>
      <c r="H5262" s="23">
        <v>0</v>
      </c>
      <c r="I5262" s="23">
        <v>1428.0239999999999</v>
      </c>
      <c r="J5262" s="23">
        <v>0</v>
      </c>
      <c r="K5262" s="23">
        <v>0</v>
      </c>
    </row>
    <row r="5263" spans="1:11" x14ac:dyDescent="0.25">
      <c r="A5263">
        <v>5262</v>
      </c>
      <c r="B5263" s="23">
        <v>1184.972794</v>
      </c>
      <c r="C5263" s="23">
        <v>0</v>
      </c>
      <c r="D5263" s="23">
        <v>0</v>
      </c>
      <c r="E5263" s="23">
        <v>0</v>
      </c>
      <c r="F5263" s="23">
        <v>0</v>
      </c>
      <c r="G5263" s="23">
        <v>0</v>
      </c>
      <c r="H5263" s="23">
        <v>0</v>
      </c>
      <c r="I5263" s="23">
        <v>1184.973</v>
      </c>
      <c r="J5263" s="23">
        <v>0</v>
      </c>
      <c r="K5263" s="23">
        <v>0</v>
      </c>
    </row>
    <row r="5264" spans="1:11" x14ac:dyDescent="0.25">
      <c r="A5264">
        <v>5263</v>
      </c>
      <c r="B5264" s="23">
        <v>1434.3988099999999</v>
      </c>
      <c r="C5264" s="23">
        <v>83.8</v>
      </c>
      <c r="D5264" s="23">
        <v>289.32900000000001</v>
      </c>
      <c r="E5264" s="23">
        <v>289.32900000000001</v>
      </c>
      <c r="F5264" s="23">
        <v>0</v>
      </c>
      <c r="G5264" s="23">
        <v>0</v>
      </c>
      <c r="H5264" s="23">
        <v>0</v>
      </c>
      <c r="I5264" s="23">
        <v>1145.07</v>
      </c>
      <c r="J5264" s="23">
        <v>0</v>
      </c>
      <c r="K5264" s="23">
        <v>0</v>
      </c>
    </row>
    <row r="5265" spans="1:11" x14ac:dyDescent="0.25">
      <c r="A5265">
        <v>5264</v>
      </c>
      <c r="B5265" s="23">
        <v>1038.438995</v>
      </c>
      <c r="C5265" s="23">
        <v>260.69</v>
      </c>
      <c r="D5265" s="23">
        <v>1026.69</v>
      </c>
      <c r="E5265" s="23">
        <v>1026.69</v>
      </c>
      <c r="F5265" s="23">
        <v>0</v>
      </c>
      <c r="G5265" s="23">
        <v>0</v>
      </c>
      <c r="H5265" s="23">
        <v>0</v>
      </c>
      <c r="I5265" s="23">
        <v>11.749000000000001</v>
      </c>
      <c r="J5265" s="23">
        <v>0</v>
      </c>
      <c r="K5265" s="23">
        <v>0</v>
      </c>
    </row>
    <row r="5266" spans="1:11" x14ac:dyDescent="0.25">
      <c r="A5266">
        <v>5265</v>
      </c>
      <c r="B5266" s="23">
        <v>1255.509356</v>
      </c>
      <c r="C5266" s="23">
        <v>383.54</v>
      </c>
      <c r="D5266" s="23">
        <v>1505.1110000000001</v>
      </c>
      <c r="E5266" s="23">
        <v>1255.509</v>
      </c>
      <c r="F5266" s="23">
        <v>-249.602</v>
      </c>
      <c r="G5266" s="23">
        <v>0</v>
      </c>
      <c r="H5266" s="23">
        <v>0</v>
      </c>
      <c r="I5266" s="23">
        <v>0</v>
      </c>
      <c r="J5266" s="23">
        <v>0</v>
      </c>
      <c r="K5266" s="23">
        <v>0</v>
      </c>
    </row>
    <row r="5267" spans="1:11" x14ac:dyDescent="0.25">
      <c r="A5267">
        <v>5266</v>
      </c>
      <c r="B5267" s="23">
        <v>1522.3453870000001</v>
      </c>
      <c r="C5267" s="23">
        <v>530.41999999999996</v>
      </c>
      <c r="D5267" s="23">
        <v>2045.068</v>
      </c>
      <c r="E5267" s="23">
        <v>1522.346</v>
      </c>
      <c r="F5267" s="23">
        <v>-522.72199999999998</v>
      </c>
      <c r="G5267" s="23">
        <v>0</v>
      </c>
      <c r="H5267" s="23">
        <v>0</v>
      </c>
      <c r="I5267" s="23">
        <v>0</v>
      </c>
      <c r="J5267" s="23">
        <v>0</v>
      </c>
      <c r="K5267" s="23">
        <v>0</v>
      </c>
    </row>
    <row r="5268" spans="1:11" x14ac:dyDescent="0.25">
      <c r="A5268">
        <v>5267</v>
      </c>
      <c r="B5268" s="23">
        <v>1627.696999</v>
      </c>
      <c r="C5268" s="23">
        <v>682.48</v>
      </c>
      <c r="D5268" s="23">
        <v>2588.1390000000001</v>
      </c>
      <c r="E5268" s="23">
        <v>1627.6969999999999</v>
      </c>
      <c r="F5268" s="23">
        <v>-960.44200000000001</v>
      </c>
      <c r="G5268" s="23">
        <v>0</v>
      </c>
      <c r="H5268" s="23">
        <v>0</v>
      </c>
      <c r="I5268" s="23">
        <v>0</v>
      </c>
      <c r="J5268" s="23">
        <v>0</v>
      </c>
      <c r="K5268" s="23">
        <v>0</v>
      </c>
    </row>
    <row r="5269" spans="1:11" x14ac:dyDescent="0.25">
      <c r="A5269">
        <v>5268</v>
      </c>
      <c r="B5269" s="23">
        <v>1740.9656950000001</v>
      </c>
      <c r="C5269" s="23">
        <v>754.96</v>
      </c>
      <c r="D5269" s="23">
        <v>2834.36</v>
      </c>
      <c r="E5269" s="23">
        <v>1740.9659999999999</v>
      </c>
      <c r="F5269" s="23">
        <v>-1093.394</v>
      </c>
      <c r="G5269" s="23">
        <v>0</v>
      </c>
      <c r="H5269" s="23">
        <v>0</v>
      </c>
      <c r="I5269" s="23">
        <v>0</v>
      </c>
      <c r="J5269" s="23">
        <v>0</v>
      </c>
      <c r="K5269" s="23">
        <v>0</v>
      </c>
    </row>
    <row r="5270" spans="1:11" x14ac:dyDescent="0.25">
      <c r="A5270">
        <v>5269</v>
      </c>
      <c r="B5270" s="23">
        <v>1456.141905</v>
      </c>
      <c r="C5270" s="23">
        <v>745.2</v>
      </c>
      <c r="D5270" s="23">
        <v>2793.9740000000002</v>
      </c>
      <c r="E5270" s="23">
        <v>1456.1420000000001</v>
      </c>
      <c r="F5270" s="23">
        <v>-1337.8320000000001</v>
      </c>
      <c r="G5270" s="23">
        <v>0</v>
      </c>
      <c r="H5270" s="23">
        <v>0</v>
      </c>
      <c r="I5270" s="23">
        <v>0</v>
      </c>
      <c r="J5270" s="23">
        <v>0</v>
      </c>
      <c r="K5270" s="23">
        <v>0</v>
      </c>
    </row>
    <row r="5271" spans="1:11" x14ac:dyDescent="0.25">
      <c r="A5271">
        <v>5270</v>
      </c>
      <c r="B5271" s="23">
        <v>1415.658987</v>
      </c>
      <c r="C5271" s="23">
        <v>378.85</v>
      </c>
      <c r="D5271" s="23">
        <v>1445.4259999999999</v>
      </c>
      <c r="E5271" s="23">
        <v>1415.6590000000001</v>
      </c>
      <c r="F5271" s="23">
        <v>-29.766999999999999</v>
      </c>
      <c r="G5271" s="23">
        <v>0</v>
      </c>
      <c r="H5271" s="23">
        <v>0</v>
      </c>
      <c r="I5271" s="23">
        <v>0</v>
      </c>
      <c r="J5271" s="23">
        <v>0</v>
      </c>
      <c r="K5271" s="23">
        <v>0</v>
      </c>
    </row>
    <row r="5272" spans="1:11" x14ac:dyDescent="0.25">
      <c r="A5272">
        <v>5271</v>
      </c>
      <c r="B5272" s="23">
        <v>1574.2257979999999</v>
      </c>
      <c r="C5272" s="23">
        <v>270.77999999999997</v>
      </c>
      <c r="D5272" s="23">
        <v>1036.2049999999999</v>
      </c>
      <c r="E5272" s="23">
        <v>1036.2049999999999</v>
      </c>
      <c r="F5272" s="23">
        <v>0</v>
      </c>
      <c r="G5272" s="23">
        <v>0</v>
      </c>
      <c r="H5272" s="23">
        <v>0</v>
      </c>
      <c r="I5272" s="23">
        <v>538.02099999999996</v>
      </c>
      <c r="J5272" s="23">
        <v>0</v>
      </c>
      <c r="K5272" s="23">
        <v>0</v>
      </c>
    </row>
    <row r="5273" spans="1:11" x14ac:dyDescent="0.25">
      <c r="A5273">
        <v>5272</v>
      </c>
      <c r="B5273" s="23">
        <v>1456.6718350000001</v>
      </c>
      <c r="C5273" s="23">
        <v>31.38</v>
      </c>
      <c r="D5273" s="23">
        <v>95.143000000000001</v>
      </c>
      <c r="E5273" s="23">
        <v>95.143000000000001</v>
      </c>
      <c r="F5273" s="23">
        <v>0</v>
      </c>
      <c r="G5273" s="23">
        <v>0</v>
      </c>
      <c r="H5273" s="23">
        <v>0</v>
      </c>
      <c r="I5273" s="23">
        <v>1361.529</v>
      </c>
      <c r="J5273" s="23">
        <v>0</v>
      </c>
      <c r="K5273" s="23">
        <v>0</v>
      </c>
    </row>
    <row r="5274" spans="1:11" x14ac:dyDescent="0.25">
      <c r="A5274">
        <v>5273</v>
      </c>
      <c r="B5274" s="23">
        <v>1710.5644090000001</v>
      </c>
      <c r="C5274" s="23">
        <v>144.38</v>
      </c>
      <c r="D5274" s="23">
        <v>551.98199999999997</v>
      </c>
      <c r="E5274" s="23">
        <v>551.98199999999997</v>
      </c>
      <c r="F5274" s="23">
        <v>0</v>
      </c>
      <c r="G5274" s="23">
        <v>0</v>
      </c>
      <c r="H5274" s="23">
        <v>0</v>
      </c>
      <c r="I5274" s="23">
        <v>1158.5820000000001</v>
      </c>
      <c r="J5274" s="23">
        <v>0</v>
      </c>
      <c r="K5274" s="23">
        <v>0</v>
      </c>
    </row>
    <row r="5275" spans="1:11" x14ac:dyDescent="0.25">
      <c r="A5275">
        <v>5274</v>
      </c>
      <c r="B5275" s="23">
        <v>1605.2894980000001</v>
      </c>
      <c r="C5275" s="23">
        <v>41.11</v>
      </c>
      <c r="D5275" s="23">
        <v>134.16999999999999</v>
      </c>
      <c r="E5275" s="23">
        <v>134.16999999999999</v>
      </c>
      <c r="F5275" s="23">
        <v>0</v>
      </c>
      <c r="G5275" s="23">
        <v>0</v>
      </c>
      <c r="H5275" s="23">
        <v>0</v>
      </c>
      <c r="I5275" s="23">
        <v>0</v>
      </c>
      <c r="J5275" s="23">
        <v>0</v>
      </c>
      <c r="K5275" s="23">
        <v>1471.1189999999999</v>
      </c>
    </row>
    <row r="5276" spans="1:11" x14ac:dyDescent="0.25">
      <c r="A5276">
        <v>5275</v>
      </c>
      <c r="B5276" s="23">
        <v>1610.069831</v>
      </c>
      <c r="C5276" s="23">
        <v>0</v>
      </c>
      <c r="D5276" s="23">
        <v>0</v>
      </c>
      <c r="E5276" s="23">
        <v>0</v>
      </c>
      <c r="F5276" s="23">
        <v>0</v>
      </c>
      <c r="G5276" s="23">
        <v>0</v>
      </c>
      <c r="H5276" s="23">
        <v>0</v>
      </c>
      <c r="I5276" s="23">
        <v>0</v>
      </c>
      <c r="J5276" s="23">
        <v>0</v>
      </c>
      <c r="K5276" s="23">
        <v>1610.07</v>
      </c>
    </row>
    <row r="5277" spans="1:11" x14ac:dyDescent="0.25">
      <c r="A5277">
        <v>5276</v>
      </c>
      <c r="B5277" s="23">
        <v>1475.040109</v>
      </c>
      <c r="C5277" s="23">
        <v>0</v>
      </c>
      <c r="D5277" s="23">
        <v>0</v>
      </c>
      <c r="E5277" s="23">
        <v>0</v>
      </c>
      <c r="F5277" s="23">
        <v>0</v>
      </c>
      <c r="G5277" s="23">
        <v>0</v>
      </c>
      <c r="H5277" s="23">
        <v>0</v>
      </c>
      <c r="I5277" s="23">
        <v>0</v>
      </c>
      <c r="J5277" s="23">
        <v>0</v>
      </c>
      <c r="K5277" s="23">
        <v>1475.04</v>
      </c>
    </row>
    <row r="5278" spans="1:11" x14ac:dyDescent="0.25">
      <c r="A5278">
        <v>5277</v>
      </c>
      <c r="B5278" s="23">
        <v>1838.421141</v>
      </c>
      <c r="C5278" s="23">
        <v>0</v>
      </c>
      <c r="D5278" s="23">
        <v>0</v>
      </c>
      <c r="E5278" s="23">
        <v>0</v>
      </c>
      <c r="F5278" s="23">
        <v>0</v>
      </c>
      <c r="G5278" s="23">
        <v>0</v>
      </c>
      <c r="H5278" s="23">
        <v>0</v>
      </c>
      <c r="I5278" s="23">
        <v>1838.421</v>
      </c>
      <c r="J5278" s="23">
        <v>0</v>
      </c>
      <c r="K5278" s="23">
        <v>0</v>
      </c>
    </row>
    <row r="5279" spans="1:11" x14ac:dyDescent="0.25">
      <c r="A5279">
        <v>5278</v>
      </c>
      <c r="B5279" s="23">
        <v>1491.774762</v>
      </c>
      <c r="C5279" s="23">
        <v>0</v>
      </c>
      <c r="D5279" s="23">
        <v>0</v>
      </c>
      <c r="E5279" s="23">
        <v>0</v>
      </c>
      <c r="F5279" s="23">
        <v>0</v>
      </c>
      <c r="G5279" s="23">
        <v>0</v>
      </c>
      <c r="H5279" s="23">
        <v>0</v>
      </c>
      <c r="I5279" s="23">
        <v>1491.7750000000001</v>
      </c>
      <c r="J5279" s="23">
        <v>0</v>
      </c>
      <c r="K5279" s="23">
        <v>0</v>
      </c>
    </row>
    <row r="5280" spans="1:11" x14ac:dyDescent="0.25">
      <c r="A5280">
        <v>5279</v>
      </c>
      <c r="B5280" s="23">
        <v>1526.0409560000001</v>
      </c>
      <c r="C5280" s="23">
        <v>0</v>
      </c>
      <c r="D5280" s="23">
        <v>0</v>
      </c>
      <c r="E5280" s="23">
        <v>0</v>
      </c>
      <c r="F5280" s="23">
        <v>0</v>
      </c>
      <c r="G5280" s="23">
        <v>0</v>
      </c>
      <c r="H5280" s="23">
        <v>0</v>
      </c>
      <c r="I5280" s="23">
        <v>1526.0409999999999</v>
      </c>
      <c r="J5280" s="23">
        <v>0</v>
      </c>
      <c r="K5280" s="23">
        <v>0</v>
      </c>
    </row>
    <row r="5281" spans="1:11" x14ac:dyDescent="0.25">
      <c r="A5281">
        <v>5280</v>
      </c>
      <c r="B5281" s="23">
        <v>1497.352979</v>
      </c>
      <c r="C5281" s="23">
        <v>0</v>
      </c>
      <c r="D5281" s="23">
        <v>0</v>
      </c>
      <c r="E5281" s="23">
        <v>0</v>
      </c>
      <c r="F5281" s="23">
        <v>0</v>
      </c>
      <c r="G5281" s="23">
        <v>0</v>
      </c>
      <c r="H5281" s="23">
        <v>0</v>
      </c>
      <c r="I5281" s="23">
        <v>1497.3530000000001</v>
      </c>
      <c r="J5281" s="23">
        <v>0</v>
      </c>
      <c r="K5281" s="23">
        <v>0</v>
      </c>
    </row>
    <row r="5282" spans="1:11" x14ac:dyDescent="0.25">
      <c r="A5282">
        <v>5281</v>
      </c>
      <c r="B5282" s="23">
        <v>1734.028783</v>
      </c>
      <c r="C5282" s="23">
        <v>0</v>
      </c>
      <c r="D5282" s="23">
        <v>0</v>
      </c>
      <c r="E5282" s="23">
        <v>0</v>
      </c>
      <c r="F5282" s="23">
        <v>0</v>
      </c>
      <c r="G5282" s="23">
        <v>0</v>
      </c>
      <c r="H5282" s="23">
        <v>0</v>
      </c>
      <c r="I5282" s="23">
        <v>1734.029</v>
      </c>
      <c r="J5282" s="23">
        <v>0</v>
      </c>
      <c r="K5282" s="23">
        <v>0</v>
      </c>
    </row>
    <row r="5283" spans="1:11" x14ac:dyDescent="0.25">
      <c r="A5283">
        <v>5282</v>
      </c>
      <c r="B5283" s="23">
        <v>1447.945909</v>
      </c>
      <c r="C5283" s="23">
        <v>0</v>
      </c>
      <c r="D5283" s="23">
        <v>0</v>
      </c>
      <c r="E5283" s="23">
        <v>0</v>
      </c>
      <c r="F5283" s="23">
        <v>0</v>
      </c>
      <c r="G5283" s="23">
        <v>0</v>
      </c>
      <c r="H5283" s="23">
        <v>0</v>
      </c>
      <c r="I5283" s="23">
        <v>1447.9459999999999</v>
      </c>
      <c r="J5283" s="23">
        <v>0</v>
      </c>
      <c r="K5283" s="23">
        <v>0</v>
      </c>
    </row>
    <row r="5284" spans="1:11" x14ac:dyDescent="0.25">
      <c r="A5284">
        <v>5283</v>
      </c>
      <c r="B5284" s="23">
        <v>1251.114517</v>
      </c>
      <c r="C5284" s="23">
        <v>0</v>
      </c>
      <c r="D5284" s="23">
        <v>0</v>
      </c>
      <c r="E5284" s="23">
        <v>0</v>
      </c>
      <c r="F5284" s="23">
        <v>0</v>
      </c>
      <c r="G5284" s="23">
        <v>0</v>
      </c>
      <c r="H5284" s="23">
        <v>0</v>
      </c>
      <c r="I5284" s="23">
        <v>1251.115</v>
      </c>
      <c r="J5284" s="23">
        <v>0</v>
      </c>
      <c r="K5284" s="23">
        <v>0</v>
      </c>
    </row>
    <row r="5285" spans="1:11" x14ac:dyDescent="0.25">
      <c r="A5285">
        <v>5284</v>
      </c>
      <c r="B5285" s="23">
        <v>1269.4429459999999</v>
      </c>
      <c r="C5285" s="23">
        <v>0</v>
      </c>
      <c r="D5285" s="23">
        <v>0</v>
      </c>
      <c r="E5285" s="23">
        <v>0</v>
      </c>
      <c r="F5285" s="23">
        <v>0</v>
      </c>
      <c r="G5285" s="23">
        <v>0</v>
      </c>
      <c r="H5285" s="23">
        <v>0</v>
      </c>
      <c r="I5285" s="23">
        <v>1269.443</v>
      </c>
      <c r="J5285" s="23">
        <v>0</v>
      </c>
      <c r="K5285" s="23">
        <v>0</v>
      </c>
    </row>
    <row r="5286" spans="1:11" x14ac:dyDescent="0.25">
      <c r="A5286">
        <v>5285</v>
      </c>
      <c r="B5286" s="23">
        <v>1431.2112569999999</v>
      </c>
      <c r="C5286" s="23">
        <v>0</v>
      </c>
      <c r="D5286" s="23">
        <v>0</v>
      </c>
      <c r="E5286" s="23">
        <v>0</v>
      </c>
      <c r="F5286" s="23">
        <v>0</v>
      </c>
      <c r="G5286" s="23">
        <v>0</v>
      </c>
      <c r="H5286" s="23">
        <v>0</v>
      </c>
      <c r="I5286" s="23">
        <v>1431.211</v>
      </c>
      <c r="J5286" s="23">
        <v>0</v>
      </c>
      <c r="K5286" s="23">
        <v>0</v>
      </c>
    </row>
    <row r="5287" spans="1:11" x14ac:dyDescent="0.25">
      <c r="A5287">
        <v>5286</v>
      </c>
      <c r="B5287" s="23">
        <v>1506.9156379999999</v>
      </c>
      <c r="C5287" s="23">
        <v>0</v>
      </c>
      <c r="D5287" s="23">
        <v>0</v>
      </c>
      <c r="E5287" s="23">
        <v>0</v>
      </c>
      <c r="F5287" s="23">
        <v>0</v>
      </c>
      <c r="G5287" s="23">
        <v>0</v>
      </c>
      <c r="H5287" s="23">
        <v>0</v>
      </c>
      <c r="I5287" s="23">
        <v>1506.9159999999999</v>
      </c>
      <c r="J5287" s="23">
        <v>0</v>
      </c>
      <c r="K5287" s="23">
        <v>0</v>
      </c>
    </row>
    <row r="5288" spans="1:11" x14ac:dyDescent="0.25">
      <c r="A5288">
        <v>5287</v>
      </c>
      <c r="B5288" s="23">
        <v>1356.3037629999999</v>
      </c>
      <c r="C5288" s="23">
        <v>79.91</v>
      </c>
      <c r="D5288" s="23">
        <v>277.32900000000001</v>
      </c>
      <c r="E5288" s="23">
        <v>277.32900000000001</v>
      </c>
      <c r="F5288" s="23">
        <v>0</v>
      </c>
      <c r="G5288" s="23">
        <v>0</v>
      </c>
      <c r="H5288" s="23">
        <v>0</v>
      </c>
      <c r="I5288" s="23">
        <v>1078.9749999999999</v>
      </c>
      <c r="J5288" s="23">
        <v>0</v>
      </c>
      <c r="K5288" s="23">
        <v>0</v>
      </c>
    </row>
    <row r="5289" spans="1:11" x14ac:dyDescent="0.25">
      <c r="A5289">
        <v>5288</v>
      </c>
      <c r="B5289" s="23">
        <v>1302.39029</v>
      </c>
      <c r="C5289" s="23">
        <v>253.36</v>
      </c>
      <c r="D5289" s="23">
        <v>994.69299999999998</v>
      </c>
      <c r="E5289" s="23">
        <v>994.69299999999998</v>
      </c>
      <c r="F5289" s="23">
        <v>0</v>
      </c>
      <c r="G5289" s="23">
        <v>0</v>
      </c>
      <c r="H5289" s="23">
        <v>0</v>
      </c>
      <c r="I5289" s="23">
        <v>307.697</v>
      </c>
      <c r="J5289" s="23">
        <v>0</v>
      </c>
      <c r="K5289" s="23">
        <v>0</v>
      </c>
    </row>
    <row r="5290" spans="1:11" x14ac:dyDescent="0.25">
      <c r="A5290">
        <v>5289</v>
      </c>
      <c r="B5290" s="23">
        <v>1113.0576160000001</v>
      </c>
      <c r="C5290" s="23">
        <v>409.38</v>
      </c>
      <c r="D5290" s="23">
        <v>1598.586</v>
      </c>
      <c r="E5290" s="23">
        <v>1113.058</v>
      </c>
      <c r="F5290" s="23">
        <v>-485.52800000000002</v>
      </c>
      <c r="G5290" s="23">
        <v>0</v>
      </c>
      <c r="H5290" s="23">
        <v>0</v>
      </c>
      <c r="I5290" s="23">
        <v>0</v>
      </c>
      <c r="J5290" s="23">
        <v>0</v>
      </c>
      <c r="K5290" s="23">
        <v>0</v>
      </c>
    </row>
    <row r="5291" spans="1:11" x14ac:dyDescent="0.25">
      <c r="A5291">
        <v>5290</v>
      </c>
      <c r="B5291" s="23">
        <v>1552.269536</v>
      </c>
      <c r="C5291" s="23">
        <v>546.97</v>
      </c>
      <c r="D5291" s="23">
        <v>2090.1390000000001</v>
      </c>
      <c r="E5291" s="23">
        <v>1552.27</v>
      </c>
      <c r="F5291" s="23">
        <v>-537.86900000000003</v>
      </c>
      <c r="G5291" s="23">
        <v>0</v>
      </c>
      <c r="H5291" s="23">
        <v>0</v>
      </c>
      <c r="I5291" s="23">
        <v>0</v>
      </c>
      <c r="J5291" s="23">
        <v>0</v>
      </c>
      <c r="K5291" s="23">
        <v>0</v>
      </c>
    </row>
    <row r="5292" spans="1:11" x14ac:dyDescent="0.25">
      <c r="A5292">
        <v>5291</v>
      </c>
      <c r="B5292" s="23">
        <v>1629.220051</v>
      </c>
      <c r="C5292" s="23">
        <v>586.66</v>
      </c>
      <c r="D5292" s="23">
        <v>2207.6439999999998</v>
      </c>
      <c r="E5292" s="23">
        <v>1629.22</v>
      </c>
      <c r="F5292" s="23">
        <v>-578.42399999999998</v>
      </c>
      <c r="G5292" s="23">
        <v>0</v>
      </c>
      <c r="H5292" s="23">
        <v>0</v>
      </c>
      <c r="I5292" s="23">
        <v>0</v>
      </c>
      <c r="J5292" s="23">
        <v>0</v>
      </c>
      <c r="K5292" s="23">
        <v>0</v>
      </c>
    </row>
    <row r="5293" spans="1:11" x14ac:dyDescent="0.25">
      <c r="A5293">
        <v>5292</v>
      </c>
      <c r="B5293" s="23">
        <v>1607.957081</v>
      </c>
      <c r="C5293" s="23">
        <v>958.05</v>
      </c>
      <c r="D5293" s="23">
        <v>3530.74</v>
      </c>
      <c r="E5293" s="23">
        <v>1607.9570000000001</v>
      </c>
      <c r="F5293" s="23">
        <v>-1684.559</v>
      </c>
      <c r="G5293" s="23">
        <v>0</v>
      </c>
      <c r="H5293" s="23">
        <v>238.22399999999999</v>
      </c>
      <c r="I5293" s="23">
        <v>0</v>
      </c>
      <c r="J5293" s="23">
        <v>0</v>
      </c>
      <c r="K5293" s="23">
        <v>0</v>
      </c>
    </row>
    <row r="5294" spans="1:11" x14ac:dyDescent="0.25">
      <c r="A5294">
        <v>5293</v>
      </c>
      <c r="B5294" s="23">
        <v>1593.6599100000001</v>
      </c>
      <c r="C5294" s="23">
        <v>754.25</v>
      </c>
      <c r="D5294" s="23">
        <v>2772.98</v>
      </c>
      <c r="E5294" s="23">
        <v>1593.66</v>
      </c>
      <c r="F5294" s="23">
        <v>-1179.32</v>
      </c>
      <c r="G5294" s="23">
        <v>0</v>
      </c>
      <c r="H5294" s="23">
        <v>0</v>
      </c>
      <c r="I5294" s="23">
        <v>0</v>
      </c>
      <c r="J5294" s="23">
        <v>0</v>
      </c>
      <c r="K5294" s="23">
        <v>0</v>
      </c>
    </row>
    <row r="5295" spans="1:11" x14ac:dyDescent="0.25">
      <c r="A5295">
        <v>5294</v>
      </c>
      <c r="B5295" s="23">
        <v>1528.352928</v>
      </c>
      <c r="C5295" s="23">
        <v>516.47</v>
      </c>
      <c r="D5295" s="23">
        <v>1937.4179999999999</v>
      </c>
      <c r="E5295" s="23">
        <v>1528.3530000000001</v>
      </c>
      <c r="F5295" s="23">
        <v>-409.065</v>
      </c>
      <c r="G5295" s="23">
        <v>0</v>
      </c>
      <c r="H5295" s="23">
        <v>0</v>
      </c>
      <c r="I5295" s="23">
        <v>0</v>
      </c>
      <c r="J5295" s="23">
        <v>0</v>
      </c>
      <c r="K5295" s="23">
        <v>0</v>
      </c>
    </row>
    <row r="5296" spans="1:11" x14ac:dyDescent="0.25">
      <c r="A5296">
        <v>5295</v>
      </c>
      <c r="B5296" s="23">
        <v>1862.0259659999999</v>
      </c>
      <c r="C5296" s="23">
        <v>609.51</v>
      </c>
      <c r="D5296" s="23">
        <v>2297.8020000000001</v>
      </c>
      <c r="E5296" s="23">
        <v>1862.0260000000001</v>
      </c>
      <c r="F5296" s="23">
        <v>-435.77600000000001</v>
      </c>
      <c r="G5296" s="23">
        <v>0</v>
      </c>
      <c r="H5296" s="23">
        <v>0</v>
      </c>
      <c r="I5296" s="23">
        <v>0</v>
      </c>
      <c r="J5296" s="23">
        <v>0</v>
      </c>
      <c r="K5296" s="23">
        <v>0</v>
      </c>
    </row>
    <row r="5297" spans="1:11" x14ac:dyDescent="0.25">
      <c r="A5297">
        <v>5296</v>
      </c>
      <c r="B5297" s="23">
        <v>1724.675307</v>
      </c>
      <c r="C5297" s="23">
        <v>244.02</v>
      </c>
      <c r="D5297" s="23">
        <v>936.50599999999997</v>
      </c>
      <c r="E5297" s="23">
        <v>936.50599999999997</v>
      </c>
      <c r="F5297" s="23">
        <v>0</v>
      </c>
      <c r="G5297" s="23">
        <v>0</v>
      </c>
      <c r="H5297" s="23">
        <v>0</v>
      </c>
      <c r="I5297" s="23">
        <v>788.16899999999998</v>
      </c>
      <c r="J5297" s="23">
        <v>0</v>
      </c>
      <c r="K5297" s="23">
        <v>0</v>
      </c>
    </row>
    <row r="5298" spans="1:11" x14ac:dyDescent="0.25">
      <c r="A5298">
        <v>5297</v>
      </c>
      <c r="B5298" s="23">
        <v>1844.8819120000001</v>
      </c>
      <c r="C5298" s="23">
        <v>207.55</v>
      </c>
      <c r="D5298" s="23">
        <v>804.28800000000001</v>
      </c>
      <c r="E5298" s="23">
        <v>804.28800000000001</v>
      </c>
      <c r="F5298" s="23">
        <v>0</v>
      </c>
      <c r="G5298" s="23">
        <v>0</v>
      </c>
      <c r="H5298" s="23">
        <v>0</v>
      </c>
      <c r="I5298" s="23">
        <v>1040.5940000000001</v>
      </c>
      <c r="J5298" s="23">
        <v>0</v>
      </c>
      <c r="K5298" s="23">
        <v>0</v>
      </c>
    </row>
    <row r="5299" spans="1:11" x14ac:dyDescent="0.25">
      <c r="A5299">
        <v>5298</v>
      </c>
      <c r="B5299" s="23">
        <v>1817.683121</v>
      </c>
      <c r="C5299" s="23">
        <v>5.87</v>
      </c>
      <c r="D5299" s="23">
        <v>0</v>
      </c>
      <c r="E5299" s="23">
        <v>0</v>
      </c>
      <c r="F5299" s="23">
        <v>0</v>
      </c>
      <c r="G5299" s="23">
        <v>0</v>
      </c>
      <c r="H5299" s="23">
        <v>0</v>
      </c>
      <c r="I5299" s="23">
        <v>133.124</v>
      </c>
      <c r="J5299" s="23">
        <v>0</v>
      </c>
      <c r="K5299" s="23">
        <v>1684.559</v>
      </c>
    </row>
    <row r="5300" spans="1:11" x14ac:dyDescent="0.25">
      <c r="A5300">
        <v>5299</v>
      </c>
      <c r="B5300" s="23">
        <v>1765.9551140000001</v>
      </c>
      <c r="C5300" s="23">
        <v>0</v>
      </c>
      <c r="D5300" s="23">
        <v>0</v>
      </c>
      <c r="E5300" s="23">
        <v>0</v>
      </c>
      <c r="F5300" s="23">
        <v>0</v>
      </c>
      <c r="G5300" s="23">
        <v>0</v>
      </c>
      <c r="H5300" s="23">
        <v>0</v>
      </c>
      <c r="I5300" s="23">
        <v>81.396000000000001</v>
      </c>
      <c r="J5300" s="23">
        <v>0</v>
      </c>
      <c r="K5300" s="23">
        <v>1684.559</v>
      </c>
    </row>
    <row r="5301" spans="1:11" x14ac:dyDescent="0.25">
      <c r="A5301">
        <v>5300</v>
      </c>
      <c r="B5301" s="23">
        <v>1718.887907</v>
      </c>
      <c r="C5301" s="23">
        <v>0</v>
      </c>
      <c r="D5301" s="23">
        <v>0</v>
      </c>
      <c r="E5301" s="23">
        <v>0</v>
      </c>
      <c r="F5301" s="23">
        <v>0</v>
      </c>
      <c r="G5301" s="23">
        <v>0</v>
      </c>
      <c r="H5301" s="23">
        <v>0</v>
      </c>
      <c r="I5301" s="23">
        <v>34.328000000000003</v>
      </c>
      <c r="J5301" s="23">
        <v>0</v>
      </c>
      <c r="K5301" s="23">
        <v>1684.559</v>
      </c>
    </row>
    <row r="5302" spans="1:11" x14ac:dyDescent="0.25">
      <c r="A5302">
        <v>5301</v>
      </c>
      <c r="B5302" s="23">
        <v>1542.7756079999999</v>
      </c>
      <c r="C5302" s="23">
        <v>0</v>
      </c>
      <c r="D5302" s="23">
        <v>0</v>
      </c>
      <c r="E5302" s="23">
        <v>0</v>
      </c>
      <c r="F5302" s="23">
        <v>0</v>
      </c>
      <c r="G5302" s="23">
        <v>0</v>
      </c>
      <c r="H5302" s="23">
        <v>0</v>
      </c>
      <c r="I5302" s="23">
        <v>1542.7760000000001</v>
      </c>
      <c r="J5302" s="23">
        <v>0</v>
      </c>
      <c r="K5302" s="23">
        <v>0</v>
      </c>
    </row>
    <row r="5303" spans="1:11" x14ac:dyDescent="0.25">
      <c r="A5303">
        <v>5302</v>
      </c>
      <c r="B5303" s="23">
        <v>1653.5430719999999</v>
      </c>
      <c r="C5303" s="23">
        <v>0</v>
      </c>
      <c r="D5303" s="23">
        <v>0</v>
      </c>
      <c r="E5303" s="23">
        <v>0</v>
      </c>
      <c r="F5303" s="23">
        <v>0</v>
      </c>
      <c r="G5303" s="23">
        <v>0</v>
      </c>
      <c r="H5303" s="23">
        <v>0</v>
      </c>
      <c r="I5303" s="23">
        <v>1653.5429999999999</v>
      </c>
      <c r="J5303" s="23">
        <v>0</v>
      </c>
      <c r="K5303" s="23">
        <v>0</v>
      </c>
    </row>
    <row r="5304" spans="1:11" x14ac:dyDescent="0.25">
      <c r="A5304">
        <v>5303</v>
      </c>
      <c r="B5304" s="23">
        <v>1906.953528</v>
      </c>
      <c r="C5304" s="23">
        <v>0</v>
      </c>
      <c r="D5304" s="23">
        <v>0</v>
      </c>
      <c r="E5304" s="23">
        <v>0</v>
      </c>
      <c r="F5304" s="23">
        <v>0</v>
      </c>
      <c r="G5304" s="23">
        <v>0</v>
      </c>
      <c r="H5304" s="23">
        <v>0</v>
      </c>
      <c r="I5304" s="23">
        <v>1906.954</v>
      </c>
      <c r="J5304" s="23">
        <v>0</v>
      </c>
      <c r="K5304" s="23">
        <v>0</v>
      </c>
    </row>
    <row r="5305" spans="1:11" x14ac:dyDescent="0.25">
      <c r="A5305">
        <v>5304</v>
      </c>
      <c r="B5305" s="23">
        <v>1835.2335880000001</v>
      </c>
      <c r="C5305" s="23">
        <v>0</v>
      </c>
      <c r="D5305" s="23">
        <v>0</v>
      </c>
      <c r="E5305" s="23">
        <v>0</v>
      </c>
      <c r="F5305" s="23">
        <v>0</v>
      </c>
      <c r="G5305" s="23">
        <v>0</v>
      </c>
      <c r="H5305" s="23">
        <v>0</v>
      </c>
      <c r="I5305" s="23">
        <v>1835.2339999999999</v>
      </c>
      <c r="J5305" s="23">
        <v>0</v>
      </c>
      <c r="K5305" s="23">
        <v>0</v>
      </c>
    </row>
    <row r="5306" spans="1:11" x14ac:dyDescent="0.25">
      <c r="A5306">
        <v>5305</v>
      </c>
      <c r="B5306" s="23">
        <v>1701.356366</v>
      </c>
      <c r="C5306" s="23">
        <v>0</v>
      </c>
      <c r="D5306" s="23">
        <v>0</v>
      </c>
      <c r="E5306" s="23">
        <v>0</v>
      </c>
      <c r="F5306" s="23">
        <v>0</v>
      </c>
      <c r="G5306" s="23">
        <v>0</v>
      </c>
      <c r="H5306" s="23">
        <v>0</v>
      </c>
      <c r="I5306" s="23">
        <v>1701.356</v>
      </c>
      <c r="J5306" s="23">
        <v>0</v>
      </c>
      <c r="K5306" s="23">
        <v>0</v>
      </c>
    </row>
    <row r="5307" spans="1:11" x14ac:dyDescent="0.25">
      <c r="A5307">
        <v>5306</v>
      </c>
      <c r="B5307" s="23">
        <v>1351.522434</v>
      </c>
      <c r="C5307" s="23">
        <v>0</v>
      </c>
      <c r="D5307" s="23">
        <v>0</v>
      </c>
      <c r="E5307" s="23">
        <v>0</v>
      </c>
      <c r="F5307" s="23">
        <v>0</v>
      </c>
      <c r="G5307" s="23">
        <v>0</v>
      </c>
      <c r="H5307" s="23">
        <v>0</v>
      </c>
      <c r="I5307" s="23">
        <v>1351.5219999999999</v>
      </c>
      <c r="J5307" s="23">
        <v>0</v>
      </c>
      <c r="K5307" s="23">
        <v>0</v>
      </c>
    </row>
    <row r="5308" spans="1:11" x14ac:dyDescent="0.25">
      <c r="A5308">
        <v>5307</v>
      </c>
      <c r="B5308" s="23">
        <v>1069.4240010000001</v>
      </c>
      <c r="C5308" s="23">
        <v>0</v>
      </c>
      <c r="D5308" s="23">
        <v>0</v>
      </c>
      <c r="E5308" s="23">
        <v>0</v>
      </c>
      <c r="F5308" s="23">
        <v>0</v>
      </c>
      <c r="G5308" s="23">
        <v>0</v>
      </c>
      <c r="H5308" s="23">
        <v>0</v>
      </c>
      <c r="I5308" s="23">
        <v>1069.424</v>
      </c>
      <c r="J5308" s="23">
        <v>0</v>
      </c>
      <c r="K5308" s="23">
        <v>0</v>
      </c>
    </row>
    <row r="5309" spans="1:11" x14ac:dyDescent="0.25">
      <c r="A5309">
        <v>5308</v>
      </c>
      <c r="B5309" s="23">
        <v>1283.7869350000001</v>
      </c>
      <c r="C5309" s="23">
        <v>0</v>
      </c>
      <c r="D5309" s="23">
        <v>0</v>
      </c>
      <c r="E5309" s="23">
        <v>0</v>
      </c>
      <c r="F5309" s="23">
        <v>0</v>
      </c>
      <c r="G5309" s="23">
        <v>0</v>
      </c>
      <c r="H5309" s="23">
        <v>0</v>
      </c>
      <c r="I5309" s="23">
        <v>1283.787</v>
      </c>
      <c r="J5309" s="23">
        <v>0</v>
      </c>
      <c r="K5309" s="23">
        <v>0</v>
      </c>
    </row>
    <row r="5310" spans="1:11" x14ac:dyDescent="0.25">
      <c r="A5310">
        <v>5309</v>
      </c>
      <c r="B5310" s="23">
        <v>1391.366845</v>
      </c>
      <c r="C5310" s="23">
        <v>0</v>
      </c>
      <c r="D5310" s="23">
        <v>0</v>
      </c>
      <c r="E5310" s="23">
        <v>0</v>
      </c>
      <c r="F5310" s="23">
        <v>0</v>
      </c>
      <c r="G5310" s="23">
        <v>0</v>
      </c>
      <c r="H5310" s="23">
        <v>0</v>
      </c>
      <c r="I5310" s="23">
        <v>1391.367</v>
      </c>
      <c r="J5310" s="23">
        <v>0</v>
      </c>
      <c r="K5310" s="23">
        <v>0</v>
      </c>
    </row>
    <row r="5311" spans="1:11" x14ac:dyDescent="0.25">
      <c r="A5311">
        <v>5310</v>
      </c>
      <c r="B5311" s="23">
        <v>1366.6633099999999</v>
      </c>
      <c r="C5311" s="23">
        <v>0</v>
      </c>
      <c r="D5311" s="23">
        <v>0</v>
      </c>
      <c r="E5311" s="23">
        <v>0</v>
      </c>
      <c r="F5311" s="23">
        <v>0</v>
      </c>
      <c r="G5311" s="23">
        <v>0</v>
      </c>
      <c r="H5311" s="23">
        <v>0</v>
      </c>
      <c r="I5311" s="23">
        <v>1366.663</v>
      </c>
      <c r="J5311" s="23">
        <v>0</v>
      </c>
      <c r="K5311" s="23">
        <v>0</v>
      </c>
    </row>
    <row r="5312" spans="1:11" x14ac:dyDescent="0.25">
      <c r="A5312">
        <v>5311</v>
      </c>
      <c r="B5312" s="23">
        <v>1409.6952739999999</v>
      </c>
      <c r="C5312" s="23">
        <v>51.77</v>
      </c>
      <c r="D5312" s="23">
        <v>178.77699999999999</v>
      </c>
      <c r="E5312" s="23">
        <v>178.77699999999999</v>
      </c>
      <c r="F5312" s="23">
        <v>0</v>
      </c>
      <c r="G5312" s="23">
        <v>0</v>
      </c>
      <c r="H5312" s="23">
        <v>0</v>
      </c>
      <c r="I5312" s="23">
        <v>1230.9190000000001</v>
      </c>
      <c r="J5312" s="23">
        <v>0</v>
      </c>
      <c r="K5312" s="23">
        <v>0</v>
      </c>
    </row>
    <row r="5313" spans="1:11" x14ac:dyDescent="0.25">
      <c r="A5313">
        <v>5312</v>
      </c>
      <c r="B5313" s="23">
        <v>1126.676436</v>
      </c>
      <c r="C5313" s="23">
        <v>169.7</v>
      </c>
      <c r="D5313" s="23">
        <v>662.15700000000004</v>
      </c>
      <c r="E5313" s="23">
        <v>662.15700000000004</v>
      </c>
      <c r="F5313" s="23">
        <v>0</v>
      </c>
      <c r="G5313" s="23">
        <v>0</v>
      </c>
      <c r="H5313" s="23">
        <v>0</v>
      </c>
      <c r="I5313" s="23">
        <v>177.06399999999999</v>
      </c>
      <c r="J5313" s="23">
        <v>0</v>
      </c>
      <c r="K5313" s="23">
        <v>287.45499999999998</v>
      </c>
    </row>
    <row r="5314" spans="1:11" x14ac:dyDescent="0.25">
      <c r="A5314">
        <v>5313</v>
      </c>
      <c r="B5314" s="23">
        <v>1236.833284</v>
      </c>
      <c r="C5314" s="23">
        <v>332.23</v>
      </c>
      <c r="D5314" s="23">
        <v>1303.3879999999999</v>
      </c>
      <c r="E5314" s="23">
        <v>1236.8330000000001</v>
      </c>
      <c r="F5314" s="23">
        <v>-66.555000000000007</v>
      </c>
      <c r="G5314" s="23">
        <v>0</v>
      </c>
      <c r="H5314" s="23">
        <v>0</v>
      </c>
      <c r="I5314" s="23">
        <v>0</v>
      </c>
      <c r="J5314" s="23">
        <v>0</v>
      </c>
      <c r="K5314" s="23">
        <v>0</v>
      </c>
    </row>
    <row r="5315" spans="1:11" x14ac:dyDescent="0.25">
      <c r="A5315">
        <v>5314</v>
      </c>
      <c r="B5315" s="23">
        <v>853.22324460000004</v>
      </c>
      <c r="C5315" s="23">
        <v>573.23</v>
      </c>
      <c r="D5315" s="23">
        <v>2205.346</v>
      </c>
      <c r="E5315" s="23">
        <v>853.22400000000005</v>
      </c>
      <c r="F5315" s="23">
        <v>-1352.1220000000001</v>
      </c>
      <c r="G5315" s="23">
        <v>0</v>
      </c>
      <c r="H5315" s="23">
        <v>0</v>
      </c>
      <c r="I5315" s="23">
        <v>0</v>
      </c>
      <c r="J5315" s="23">
        <v>0</v>
      </c>
      <c r="K5315" s="23">
        <v>0</v>
      </c>
    </row>
    <row r="5316" spans="1:11" x14ac:dyDescent="0.25">
      <c r="A5316">
        <v>5315</v>
      </c>
      <c r="B5316" s="23">
        <v>1279.100236</v>
      </c>
      <c r="C5316" s="23">
        <v>624.73</v>
      </c>
      <c r="D5316" s="23">
        <v>2371.0740000000001</v>
      </c>
      <c r="E5316" s="23">
        <v>1279.1010000000001</v>
      </c>
      <c r="F5316" s="23">
        <v>-1091.973</v>
      </c>
      <c r="G5316" s="23">
        <v>0</v>
      </c>
      <c r="H5316" s="23">
        <v>0</v>
      </c>
      <c r="I5316" s="23">
        <v>0</v>
      </c>
      <c r="J5316" s="23">
        <v>0</v>
      </c>
      <c r="K5316" s="23">
        <v>0</v>
      </c>
    </row>
    <row r="5317" spans="1:11" x14ac:dyDescent="0.25">
      <c r="A5317">
        <v>5316</v>
      </c>
      <c r="B5317" s="23">
        <v>1487.592095</v>
      </c>
      <c r="C5317" s="23">
        <v>779.12</v>
      </c>
      <c r="D5317" s="23">
        <v>2907.2379999999998</v>
      </c>
      <c r="E5317" s="23">
        <v>1487.5920000000001</v>
      </c>
      <c r="F5317" s="23">
        <v>-1419.646</v>
      </c>
      <c r="G5317" s="23">
        <v>0</v>
      </c>
      <c r="H5317" s="23">
        <v>0</v>
      </c>
      <c r="I5317" s="23">
        <v>0</v>
      </c>
      <c r="J5317" s="23">
        <v>0</v>
      </c>
      <c r="K5317" s="23">
        <v>0</v>
      </c>
    </row>
    <row r="5318" spans="1:11" x14ac:dyDescent="0.25">
      <c r="A5318">
        <v>5317</v>
      </c>
      <c r="B5318" s="23">
        <v>1377.653395</v>
      </c>
      <c r="C5318" s="23">
        <v>734.39</v>
      </c>
      <c r="D5318" s="23">
        <v>2751.692</v>
      </c>
      <c r="E5318" s="23">
        <v>1377.653</v>
      </c>
      <c r="F5318" s="23">
        <v>-1374.039</v>
      </c>
      <c r="G5318" s="23">
        <v>0</v>
      </c>
      <c r="H5318" s="23">
        <v>0</v>
      </c>
      <c r="I5318" s="23">
        <v>0</v>
      </c>
      <c r="J5318" s="23">
        <v>0</v>
      </c>
      <c r="K5318" s="23">
        <v>0</v>
      </c>
    </row>
    <row r="5319" spans="1:11" x14ac:dyDescent="0.25">
      <c r="A5319">
        <v>5318</v>
      </c>
      <c r="B5319" s="23">
        <v>1389.681427</v>
      </c>
      <c r="C5319" s="23">
        <v>711</v>
      </c>
      <c r="D5319" s="23">
        <v>2685.364</v>
      </c>
      <c r="E5319" s="23">
        <v>1389.682</v>
      </c>
      <c r="F5319" s="23">
        <v>-1295.682</v>
      </c>
      <c r="G5319" s="23">
        <v>0</v>
      </c>
      <c r="H5319" s="23">
        <v>0</v>
      </c>
      <c r="I5319" s="23">
        <v>0</v>
      </c>
      <c r="J5319" s="23">
        <v>0</v>
      </c>
      <c r="K5319" s="23">
        <v>0</v>
      </c>
    </row>
    <row r="5320" spans="1:11" x14ac:dyDescent="0.25">
      <c r="A5320">
        <v>5319</v>
      </c>
      <c r="B5320" s="23">
        <v>1142.5534379999999</v>
      </c>
      <c r="C5320" s="23">
        <v>360.51</v>
      </c>
      <c r="D5320" s="23">
        <v>1391.6969999999999</v>
      </c>
      <c r="E5320" s="23">
        <v>1142.5530000000001</v>
      </c>
      <c r="F5320" s="23">
        <v>-249.14400000000001</v>
      </c>
      <c r="G5320" s="23">
        <v>0</v>
      </c>
      <c r="H5320" s="23">
        <v>0</v>
      </c>
      <c r="I5320" s="23">
        <v>0</v>
      </c>
      <c r="J5320" s="23">
        <v>0</v>
      </c>
      <c r="K5320" s="23">
        <v>0</v>
      </c>
    </row>
    <row r="5321" spans="1:11" x14ac:dyDescent="0.25">
      <c r="A5321">
        <v>5320</v>
      </c>
      <c r="B5321" s="23">
        <v>1250.1114339999999</v>
      </c>
      <c r="C5321" s="23">
        <v>246</v>
      </c>
      <c r="D5321" s="23">
        <v>955.58799999999997</v>
      </c>
      <c r="E5321" s="23">
        <v>955.58799999999997</v>
      </c>
      <c r="F5321" s="23">
        <v>0</v>
      </c>
      <c r="G5321" s="23">
        <v>0</v>
      </c>
      <c r="H5321" s="23">
        <v>0</v>
      </c>
      <c r="I5321" s="23">
        <v>294.52300000000002</v>
      </c>
      <c r="J5321" s="23">
        <v>0</v>
      </c>
      <c r="K5321" s="23">
        <v>0</v>
      </c>
    </row>
    <row r="5322" spans="1:11" x14ac:dyDescent="0.25">
      <c r="A5322">
        <v>5321</v>
      </c>
      <c r="B5322" s="23">
        <v>1587.433225</v>
      </c>
      <c r="C5322" s="23">
        <v>67.430000000000007</v>
      </c>
      <c r="D5322" s="23">
        <v>242.33099999999999</v>
      </c>
      <c r="E5322" s="23">
        <v>242.33099999999999</v>
      </c>
      <c r="F5322" s="23">
        <v>0</v>
      </c>
      <c r="G5322" s="23">
        <v>0</v>
      </c>
      <c r="H5322" s="23">
        <v>0</v>
      </c>
      <c r="I5322" s="23">
        <v>1345.1020000000001</v>
      </c>
      <c r="J5322" s="23">
        <v>0</v>
      </c>
      <c r="K5322" s="23">
        <v>0</v>
      </c>
    </row>
    <row r="5323" spans="1:11" x14ac:dyDescent="0.25">
      <c r="A5323">
        <v>5322</v>
      </c>
      <c r="B5323" s="23">
        <v>1534.0546629999999</v>
      </c>
      <c r="C5323" s="23">
        <v>43.01</v>
      </c>
      <c r="D5323" s="23">
        <v>142.46600000000001</v>
      </c>
      <c r="E5323" s="23">
        <v>142.46600000000001</v>
      </c>
      <c r="F5323" s="23">
        <v>0</v>
      </c>
      <c r="G5323" s="23">
        <v>0</v>
      </c>
      <c r="H5323" s="23">
        <v>0</v>
      </c>
      <c r="I5323" s="23">
        <v>1391.588</v>
      </c>
      <c r="J5323" s="23">
        <v>0</v>
      </c>
      <c r="K5323" s="23">
        <v>0</v>
      </c>
    </row>
    <row r="5324" spans="1:11" x14ac:dyDescent="0.25">
      <c r="A5324">
        <v>5323</v>
      </c>
      <c r="B5324" s="23">
        <v>1588.2052100000001</v>
      </c>
      <c r="C5324" s="23">
        <v>0</v>
      </c>
      <c r="D5324" s="23">
        <v>0</v>
      </c>
      <c r="E5324" s="23">
        <v>0</v>
      </c>
      <c r="F5324" s="23">
        <v>0</v>
      </c>
      <c r="G5324" s="23">
        <v>0</v>
      </c>
      <c r="H5324" s="23">
        <v>0</v>
      </c>
      <c r="I5324" s="23">
        <v>1588.2049999999999</v>
      </c>
      <c r="J5324" s="23">
        <v>0</v>
      </c>
      <c r="K5324" s="23">
        <v>0</v>
      </c>
    </row>
    <row r="5325" spans="1:11" x14ac:dyDescent="0.25">
      <c r="A5325">
        <v>5324</v>
      </c>
      <c r="B5325" s="23">
        <v>1595.3702310000001</v>
      </c>
      <c r="C5325" s="23">
        <v>0</v>
      </c>
      <c r="D5325" s="23">
        <v>0</v>
      </c>
      <c r="E5325" s="23">
        <v>0</v>
      </c>
      <c r="F5325" s="23">
        <v>0</v>
      </c>
      <c r="G5325" s="23">
        <v>0</v>
      </c>
      <c r="H5325" s="23">
        <v>0</v>
      </c>
      <c r="I5325" s="23">
        <v>1595.37</v>
      </c>
      <c r="J5325" s="23">
        <v>0</v>
      </c>
      <c r="K5325" s="23">
        <v>0</v>
      </c>
    </row>
    <row r="5326" spans="1:11" x14ac:dyDescent="0.25">
      <c r="A5326">
        <v>5325</v>
      </c>
      <c r="B5326" s="23">
        <v>1622.4644310000001</v>
      </c>
      <c r="C5326" s="23">
        <v>0</v>
      </c>
      <c r="D5326" s="23">
        <v>0</v>
      </c>
      <c r="E5326" s="23">
        <v>0</v>
      </c>
      <c r="F5326" s="23">
        <v>0</v>
      </c>
      <c r="G5326" s="23">
        <v>0</v>
      </c>
      <c r="H5326" s="23">
        <v>0</v>
      </c>
      <c r="I5326" s="23">
        <v>1622.4639999999999</v>
      </c>
      <c r="J5326" s="23">
        <v>0</v>
      </c>
      <c r="K5326" s="23">
        <v>0</v>
      </c>
    </row>
    <row r="5327" spans="1:11" x14ac:dyDescent="0.25">
      <c r="A5327">
        <v>5326</v>
      </c>
      <c r="B5327" s="23">
        <v>1469.461892</v>
      </c>
      <c r="C5327" s="23">
        <v>0</v>
      </c>
      <c r="D5327" s="23">
        <v>0</v>
      </c>
      <c r="E5327" s="23">
        <v>0</v>
      </c>
      <c r="F5327" s="23">
        <v>0</v>
      </c>
      <c r="G5327" s="23">
        <v>0</v>
      </c>
      <c r="H5327" s="23">
        <v>0</v>
      </c>
      <c r="I5327" s="23">
        <v>1469.462</v>
      </c>
      <c r="J5327" s="23">
        <v>0</v>
      </c>
      <c r="K5327" s="23">
        <v>0</v>
      </c>
    </row>
    <row r="5328" spans="1:11" x14ac:dyDescent="0.25">
      <c r="A5328">
        <v>5327</v>
      </c>
      <c r="B5328" s="23">
        <v>1749.1696589999999</v>
      </c>
      <c r="C5328" s="23">
        <v>0</v>
      </c>
      <c r="D5328" s="23">
        <v>0</v>
      </c>
      <c r="E5328" s="23">
        <v>0</v>
      </c>
      <c r="F5328" s="23">
        <v>0</v>
      </c>
      <c r="G5328" s="23">
        <v>0</v>
      </c>
      <c r="H5328" s="23">
        <v>0</v>
      </c>
      <c r="I5328" s="23">
        <v>1749.17</v>
      </c>
      <c r="J5328" s="23">
        <v>0</v>
      </c>
      <c r="K5328" s="23">
        <v>0</v>
      </c>
    </row>
    <row r="5329" spans="1:11" x14ac:dyDescent="0.25">
      <c r="A5329">
        <v>5328</v>
      </c>
      <c r="B5329" s="23">
        <v>1341.959775</v>
      </c>
      <c r="C5329" s="23">
        <v>0</v>
      </c>
      <c r="D5329" s="23">
        <v>0</v>
      </c>
      <c r="E5329" s="23">
        <v>0</v>
      </c>
      <c r="F5329" s="23">
        <v>0</v>
      </c>
      <c r="G5329" s="23">
        <v>0</v>
      </c>
      <c r="H5329" s="23">
        <v>0</v>
      </c>
      <c r="I5329" s="23">
        <v>1341.96</v>
      </c>
      <c r="J5329" s="23">
        <v>0</v>
      </c>
      <c r="K5329" s="23">
        <v>0</v>
      </c>
    </row>
    <row r="5330" spans="1:11" x14ac:dyDescent="0.25">
      <c r="A5330">
        <v>5329</v>
      </c>
      <c r="B5330" s="23">
        <v>1458.305456</v>
      </c>
      <c r="C5330" s="23">
        <v>0</v>
      </c>
      <c r="D5330" s="23">
        <v>0</v>
      </c>
      <c r="E5330" s="23">
        <v>0</v>
      </c>
      <c r="F5330" s="23">
        <v>0</v>
      </c>
      <c r="G5330" s="23">
        <v>0</v>
      </c>
      <c r="H5330" s="23">
        <v>0</v>
      </c>
      <c r="I5330" s="23">
        <v>1458.3050000000001</v>
      </c>
      <c r="J5330" s="23">
        <v>0</v>
      </c>
      <c r="K5330" s="23">
        <v>0</v>
      </c>
    </row>
    <row r="5331" spans="1:11" x14ac:dyDescent="0.25">
      <c r="A5331">
        <v>5330</v>
      </c>
      <c r="B5331" s="23">
        <v>1478.227662</v>
      </c>
      <c r="C5331" s="23">
        <v>0</v>
      </c>
      <c r="D5331" s="23">
        <v>0</v>
      </c>
      <c r="E5331" s="23">
        <v>0</v>
      </c>
      <c r="F5331" s="23">
        <v>0</v>
      </c>
      <c r="G5331" s="23">
        <v>0</v>
      </c>
      <c r="H5331" s="23">
        <v>0</v>
      </c>
      <c r="I5331" s="23">
        <v>1478.2280000000001</v>
      </c>
      <c r="J5331" s="23">
        <v>0</v>
      </c>
      <c r="K5331" s="23">
        <v>0</v>
      </c>
    </row>
    <row r="5332" spans="1:11" x14ac:dyDescent="0.25">
      <c r="A5332">
        <v>5331</v>
      </c>
      <c r="B5332" s="23">
        <v>1371.4446399999999</v>
      </c>
      <c r="C5332" s="23">
        <v>0</v>
      </c>
      <c r="D5332" s="23">
        <v>0</v>
      </c>
      <c r="E5332" s="23">
        <v>0</v>
      </c>
      <c r="F5332" s="23">
        <v>0</v>
      </c>
      <c r="G5332" s="23">
        <v>0</v>
      </c>
      <c r="H5332" s="23">
        <v>0</v>
      </c>
      <c r="I5332" s="23">
        <v>1371.4449999999999</v>
      </c>
      <c r="J5332" s="23">
        <v>0</v>
      </c>
      <c r="K5332" s="23">
        <v>0</v>
      </c>
    </row>
    <row r="5333" spans="1:11" x14ac:dyDescent="0.25">
      <c r="A5333">
        <v>5332</v>
      </c>
      <c r="B5333" s="23">
        <v>1293.3495929999999</v>
      </c>
      <c r="C5333" s="23">
        <v>0</v>
      </c>
      <c r="D5333" s="23">
        <v>0</v>
      </c>
      <c r="E5333" s="23">
        <v>0</v>
      </c>
      <c r="F5333" s="23">
        <v>0</v>
      </c>
      <c r="G5333" s="23">
        <v>0</v>
      </c>
      <c r="H5333" s="23">
        <v>0</v>
      </c>
      <c r="I5333" s="23">
        <v>1293.3499999999999</v>
      </c>
      <c r="J5333" s="23">
        <v>0</v>
      </c>
      <c r="K5333" s="23">
        <v>0</v>
      </c>
    </row>
    <row r="5334" spans="1:11" x14ac:dyDescent="0.25">
      <c r="A5334">
        <v>5333</v>
      </c>
      <c r="B5334" s="23">
        <v>1466.2743390000001</v>
      </c>
      <c r="C5334" s="23">
        <v>0</v>
      </c>
      <c r="D5334" s="23">
        <v>0</v>
      </c>
      <c r="E5334" s="23">
        <v>0</v>
      </c>
      <c r="F5334" s="23">
        <v>0</v>
      </c>
      <c r="G5334" s="23">
        <v>0</v>
      </c>
      <c r="H5334" s="23">
        <v>0</v>
      </c>
      <c r="I5334" s="23">
        <v>478.976</v>
      </c>
      <c r="J5334" s="23">
        <v>0</v>
      </c>
      <c r="K5334" s="23">
        <v>987.29899999999998</v>
      </c>
    </row>
    <row r="5335" spans="1:11" x14ac:dyDescent="0.25">
      <c r="A5335">
        <v>5334</v>
      </c>
      <c r="B5335" s="23">
        <v>1534.806726</v>
      </c>
      <c r="C5335" s="23">
        <v>0</v>
      </c>
      <c r="D5335" s="23">
        <v>0</v>
      </c>
      <c r="E5335" s="23">
        <v>0</v>
      </c>
      <c r="F5335" s="23">
        <v>0</v>
      </c>
      <c r="G5335" s="23">
        <v>0</v>
      </c>
      <c r="H5335" s="23">
        <v>0</v>
      </c>
      <c r="I5335" s="23">
        <v>0</v>
      </c>
      <c r="J5335" s="23">
        <v>0</v>
      </c>
      <c r="K5335" s="23">
        <v>1534.807</v>
      </c>
    </row>
    <row r="5336" spans="1:11" x14ac:dyDescent="0.25">
      <c r="A5336">
        <v>5335</v>
      </c>
      <c r="B5336" s="23">
        <v>1117.2372949999999</v>
      </c>
      <c r="C5336" s="23">
        <v>76.38</v>
      </c>
      <c r="D5336" s="23">
        <v>267.64800000000002</v>
      </c>
      <c r="E5336" s="23">
        <v>267.64800000000002</v>
      </c>
      <c r="F5336" s="23">
        <v>0</v>
      </c>
      <c r="G5336" s="23">
        <v>0</v>
      </c>
      <c r="H5336" s="23">
        <v>0</v>
      </c>
      <c r="I5336" s="23">
        <v>0</v>
      </c>
      <c r="J5336" s="23">
        <v>0</v>
      </c>
      <c r="K5336" s="23">
        <v>849.58900000000006</v>
      </c>
    </row>
    <row r="5337" spans="1:11" x14ac:dyDescent="0.25">
      <c r="A5337">
        <v>5336</v>
      </c>
      <c r="B5337" s="23">
        <v>1320.566315</v>
      </c>
      <c r="C5337" s="23">
        <v>328.19</v>
      </c>
      <c r="D5337" s="23">
        <v>1283.376</v>
      </c>
      <c r="E5337" s="23">
        <v>1283.376</v>
      </c>
      <c r="F5337" s="23">
        <v>0</v>
      </c>
      <c r="G5337" s="23">
        <v>0</v>
      </c>
      <c r="H5337" s="23">
        <v>0</v>
      </c>
      <c r="I5337" s="23">
        <v>0</v>
      </c>
      <c r="J5337" s="23">
        <v>0</v>
      </c>
      <c r="K5337" s="23">
        <v>37.19</v>
      </c>
    </row>
    <row r="5338" spans="1:11" x14ac:dyDescent="0.25">
      <c r="A5338">
        <v>5337</v>
      </c>
      <c r="B5338" s="23">
        <v>1426.244651</v>
      </c>
      <c r="C5338" s="23">
        <v>414.22</v>
      </c>
      <c r="D5338" s="23">
        <v>1636.1</v>
      </c>
      <c r="E5338" s="23">
        <v>1426.2449999999999</v>
      </c>
      <c r="F5338" s="23">
        <v>-209.85499999999999</v>
      </c>
      <c r="G5338" s="23">
        <v>0</v>
      </c>
      <c r="H5338" s="23">
        <v>0</v>
      </c>
      <c r="I5338" s="23">
        <v>0</v>
      </c>
      <c r="J5338" s="23">
        <v>0</v>
      </c>
      <c r="K5338" s="23">
        <v>0</v>
      </c>
    </row>
    <row r="5339" spans="1:11" x14ac:dyDescent="0.25">
      <c r="A5339">
        <v>5338</v>
      </c>
      <c r="B5339" s="23">
        <v>1743.70201</v>
      </c>
      <c r="C5339" s="23">
        <v>435.2</v>
      </c>
      <c r="D5339" s="23">
        <v>1692.1020000000001</v>
      </c>
      <c r="E5339" s="23">
        <v>1692.1020000000001</v>
      </c>
      <c r="F5339" s="23">
        <v>0</v>
      </c>
      <c r="G5339" s="23">
        <v>0</v>
      </c>
      <c r="H5339" s="23">
        <v>0</v>
      </c>
      <c r="I5339" s="23">
        <v>0</v>
      </c>
      <c r="J5339" s="23">
        <v>0</v>
      </c>
      <c r="K5339" s="23">
        <v>51.6</v>
      </c>
    </row>
    <row r="5340" spans="1:11" x14ac:dyDescent="0.25">
      <c r="A5340">
        <v>5339</v>
      </c>
      <c r="B5340" s="23">
        <v>1773.4518399999999</v>
      </c>
      <c r="C5340" s="23">
        <v>719.47</v>
      </c>
      <c r="D5340" s="23">
        <v>2750.127</v>
      </c>
      <c r="E5340" s="23">
        <v>1773.452</v>
      </c>
      <c r="F5340" s="23">
        <v>-976.67499999999995</v>
      </c>
      <c r="G5340" s="23">
        <v>0</v>
      </c>
      <c r="H5340" s="23">
        <v>0</v>
      </c>
      <c r="I5340" s="23">
        <v>0</v>
      </c>
      <c r="J5340" s="23">
        <v>0</v>
      </c>
      <c r="K5340" s="23">
        <v>0</v>
      </c>
    </row>
    <row r="5341" spans="1:11" x14ac:dyDescent="0.25">
      <c r="A5341">
        <v>5340</v>
      </c>
      <c r="B5341" s="23">
        <v>1551.070219</v>
      </c>
      <c r="C5341" s="23">
        <v>734.95</v>
      </c>
      <c r="D5341" s="23">
        <v>2797.1660000000002</v>
      </c>
      <c r="E5341" s="23">
        <v>1551.07</v>
      </c>
      <c r="F5341" s="23">
        <v>-1246.096</v>
      </c>
      <c r="G5341" s="23">
        <v>0</v>
      </c>
      <c r="H5341" s="23">
        <v>0</v>
      </c>
      <c r="I5341" s="23">
        <v>0</v>
      </c>
      <c r="J5341" s="23">
        <v>0</v>
      </c>
      <c r="K5341" s="23">
        <v>0</v>
      </c>
    </row>
    <row r="5342" spans="1:11" x14ac:dyDescent="0.25">
      <c r="A5342">
        <v>5341</v>
      </c>
      <c r="B5342" s="23">
        <v>1468.1539990000001</v>
      </c>
      <c r="C5342" s="23">
        <v>758.93</v>
      </c>
      <c r="D5342" s="23">
        <v>2886.6729999999998</v>
      </c>
      <c r="E5342" s="23">
        <v>1468.154</v>
      </c>
      <c r="F5342" s="23">
        <v>-1418.519</v>
      </c>
      <c r="G5342" s="23">
        <v>0</v>
      </c>
      <c r="H5342" s="23">
        <v>0</v>
      </c>
      <c r="I5342" s="23">
        <v>0</v>
      </c>
      <c r="J5342" s="23">
        <v>0</v>
      </c>
      <c r="K5342" s="23">
        <v>0</v>
      </c>
    </row>
    <row r="5343" spans="1:11" x14ac:dyDescent="0.25">
      <c r="A5343">
        <v>5342</v>
      </c>
      <c r="B5343" s="23">
        <v>1368.2013039999999</v>
      </c>
      <c r="C5343" s="23">
        <v>353.5</v>
      </c>
      <c r="D5343" s="23">
        <v>1361.5450000000001</v>
      </c>
      <c r="E5343" s="23">
        <v>1361.5450000000001</v>
      </c>
      <c r="F5343" s="23">
        <v>0</v>
      </c>
      <c r="G5343" s="23">
        <v>0</v>
      </c>
      <c r="H5343" s="23">
        <v>0</v>
      </c>
      <c r="I5343" s="23">
        <v>6.657</v>
      </c>
      <c r="J5343" s="23">
        <v>0</v>
      </c>
      <c r="K5343" s="23">
        <v>0</v>
      </c>
    </row>
    <row r="5344" spans="1:11" x14ac:dyDescent="0.25">
      <c r="A5344">
        <v>5343</v>
      </c>
      <c r="B5344" s="23">
        <v>1425.3879959999999</v>
      </c>
      <c r="C5344" s="23">
        <v>115.06</v>
      </c>
      <c r="D5344" s="23">
        <v>424.15</v>
      </c>
      <c r="E5344" s="23">
        <v>424.15</v>
      </c>
      <c r="F5344" s="23">
        <v>0</v>
      </c>
      <c r="G5344" s="23">
        <v>0</v>
      </c>
      <c r="H5344" s="23">
        <v>0</v>
      </c>
      <c r="I5344" s="23">
        <v>1001.2380000000001</v>
      </c>
      <c r="J5344" s="23">
        <v>0</v>
      </c>
      <c r="K5344" s="23">
        <v>0</v>
      </c>
    </row>
    <row r="5345" spans="1:11" x14ac:dyDescent="0.25">
      <c r="A5345">
        <v>5344</v>
      </c>
      <c r="B5345" s="23">
        <v>1789.556951</v>
      </c>
      <c r="C5345" s="23">
        <v>272.52</v>
      </c>
      <c r="D5345" s="23">
        <v>1065.0139999999999</v>
      </c>
      <c r="E5345" s="23">
        <v>1065.0139999999999</v>
      </c>
      <c r="F5345" s="23">
        <v>0</v>
      </c>
      <c r="G5345" s="23">
        <v>0</v>
      </c>
      <c r="H5345" s="23">
        <v>0</v>
      </c>
      <c r="I5345" s="23">
        <v>724.54300000000001</v>
      </c>
      <c r="J5345" s="23">
        <v>0</v>
      </c>
      <c r="K5345" s="23">
        <v>0</v>
      </c>
    </row>
    <row r="5346" spans="1:11" x14ac:dyDescent="0.25">
      <c r="A5346">
        <v>5345</v>
      </c>
      <c r="B5346" s="23">
        <v>1671.8207</v>
      </c>
      <c r="C5346" s="23">
        <v>15.67</v>
      </c>
      <c r="D5346" s="23">
        <v>36.713000000000001</v>
      </c>
      <c r="E5346" s="23">
        <v>36.713000000000001</v>
      </c>
      <c r="F5346" s="23">
        <v>0</v>
      </c>
      <c r="G5346" s="23">
        <v>0</v>
      </c>
      <c r="H5346" s="23">
        <v>0</v>
      </c>
      <c r="I5346" s="23">
        <v>1635.1079999999999</v>
      </c>
      <c r="J5346" s="23">
        <v>0</v>
      </c>
      <c r="K5346" s="23">
        <v>0</v>
      </c>
    </row>
    <row r="5347" spans="1:11" x14ac:dyDescent="0.25">
      <c r="A5347">
        <v>5346</v>
      </c>
      <c r="B5347" s="23">
        <v>1623.3210859999999</v>
      </c>
      <c r="C5347" s="23">
        <v>5.87</v>
      </c>
      <c r="D5347" s="23">
        <v>0</v>
      </c>
      <c r="E5347" s="23">
        <v>0</v>
      </c>
      <c r="F5347" s="23">
        <v>0</v>
      </c>
      <c r="G5347" s="23">
        <v>0</v>
      </c>
      <c r="H5347" s="23">
        <v>0</v>
      </c>
      <c r="I5347" s="23">
        <v>0</v>
      </c>
      <c r="J5347" s="23">
        <v>0</v>
      </c>
      <c r="K5347" s="23">
        <v>1623.3209999999999</v>
      </c>
    </row>
    <row r="5348" spans="1:11" x14ac:dyDescent="0.25">
      <c r="A5348">
        <v>5347</v>
      </c>
      <c r="B5348" s="23">
        <v>1399.335728</v>
      </c>
      <c r="C5348" s="23">
        <v>0</v>
      </c>
      <c r="D5348" s="23">
        <v>0</v>
      </c>
      <c r="E5348" s="23">
        <v>0</v>
      </c>
      <c r="F5348" s="23">
        <v>0</v>
      </c>
      <c r="G5348" s="23">
        <v>0</v>
      </c>
      <c r="H5348" s="23">
        <v>0</v>
      </c>
      <c r="I5348" s="23">
        <v>0</v>
      </c>
      <c r="J5348" s="23">
        <v>0</v>
      </c>
      <c r="K5348" s="23">
        <v>1399.336</v>
      </c>
    </row>
    <row r="5349" spans="1:11" x14ac:dyDescent="0.25">
      <c r="A5349">
        <v>5348</v>
      </c>
      <c r="B5349" s="23">
        <v>1383.3979629999999</v>
      </c>
      <c r="C5349" s="23">
        <v>0</v>
      </c>
      <c r="D5349" s="23">
        <v>0</v>
      </c>
      <c r="E5349" s="23">
        <v>0</v>
      </c>
      <c r="F5349" s="23">
        <v>0</v>
      </c>
      <c r="G5349" s="23">
        <v>0</v>
      </c>
      <c r="H5349" s="23">
        <v>0</v>
      </c>
      <c r="I5349" s="23">
        <v>0</v>
      </c>
      <c r="J5349" s="23">
        <v>0</v>
      </c>
      <c r="K5349" s="23">
        <v>1383.3979999999999</v>
      </c>
    </row>
    <row r="5350" spans="1:11" x14ac:dyDescent="0.25">
      <c r="A5350">
        <v>5349</v>
      </c>
      <c r="B5350" s="23">
        <v>1339.5691099999999</v>
      </c>
      <c r="C5350" s="23">
        <v>0</v>
      </c>
      <c r="D5350" s="23">
        <v>0</v>
      </c>
      <c r="E5350" s="23">
        <v>0</v>
      </c>
      <c r="F5350" s="23">
        <v>0</v>
      </c>
      <c r="G5350" s="23">
        <v>0</v>
      </c>
      <c r="H5350" s="23">
        <v>0</v>
      </c>
      <c r="I5350" s="23">
        <v>1339.569</v>
      </c>
      <c r="J5350" s="23">
        <v>0</v>
      </c>
      <c r="K5350" s="23">
        <v>0</v>
      </c>
    </row>
    <row r="5351" spans="1:11" x14ac:dyDescent="0.25">
      <c r="A5351">
        <v>5350</v>
      </c>
      <c r="B5351" s="23">
        <v>1674.262166</v>
      </c>
      <c r="C5351" s="23">
        <v>0</v>
      </c>
      <c r="D5351" s="23">
        <v>0</v>
      </c>
      <c r="E5351" s="23">
        <v>0</v>
      </c>
      <c r="F5351" s="23">
        <v>0</v>
      </c>
      <c r="G5351" s="23">
        <v>0</v>
      </c>
      <c r="H5351" s="23">
        <v>0</v>
      </c>
      <c r="I5351" s="23">
        <v>1674.2619999999999</v>
      </c>
      <c r="J5351" s="23">
        <v>0</v>
      </c>
      <c r="K5351" s="23">
        <v>0</v>
      </c>
    </row>
    <row r="5352" spans="1:11" x14ac:dyDescent="0.25">
      <c r="A5352">
        <v>5351</v>
      </c>
      <c r="B5352" s="23">
        <v>1441.570804</v>
      </c>
      <c r="C5352" s="23">
        <v>0</v>
      </c>
      <c r="D5352" s="23">
        <v>0</v>
      </c>
      <c r="E5352" s="23">
        <v>0</v>
      </c>
      <c r="F5352" s="23">
        <v>0</v>
      </c>
      <c r="G5352" s="23">
        <v>0</v>
      </c>
      <c r="H5352" s="23">
        <v>0</v>
      </c>
      <c r="I5352" s="23">
        <v>1441.5709999999999</v>
      </c>
      <c r="J5352" s="23">
        <v>0</v>
      </c>
      <c r="K5352" s="23">
        <v>0</v>
      </c>
    </row>
    <row r="5353" spans="1:11" x14ac:dyDescent="0.25">
      <c r="A5353">
        <v>5352</v>
      </c>
      <c r="B5353" s="23">
        <v>1500.540532</v>
      </c>
      <c r="C5353" s="23">
        <v>0</v>
      </c>
      <c r="D5353" s="23">
        <v>0</v>
      </c>
      <c r="E5353" s="23">
        <v>0</v>
      </c>
      <c r="F5353" s="23">
        <v>0</v>
      </c>
      <c r="G5353" s="23">
        <v>0</v>
      </c>
      <c r="H5353" s="23">
        <v>0</v>
      </c>
      <c r="I5353" s="23">
        <v>1500.5409999999999</v>
      </c>
      <c r="J5353" s="23">
        <v>0</v>
      </c>
      <c r="K5353" s="23">
        <v>0</v>
      </c>
    </row>
    <row r="5354" spans="1:11" x14ac:dyDescent="0.25">
      <c r="A5354">
        <v>5353</v>
      </c>
      <c r="B5354" s="23">
        <v>1355.506875</v>
      </c>
      <c r="C5354" s="23">
        <v>0</v>
      </c>
      <c r="D5354" s="23">
        <v>0</v>
      </c>
      <c r="E5354" s="23">
        <v>0</v>
      </c>
      <c r="F5354" s="23">
        <v>0</v>
      </c>
      <c r="G5354" s="23">
        <v>0</v>
      </c>
      <c r="H5354" s="23">
        <v>0</v>
      </c>
      <c r="I5354" s="23">
        <v>1355.5070000000001</v>
      </c>
      <c r="J5354" s="23">
        <v>0</v>
      </c>
      <c r="K5354" s="23">
        <v>0</v>
      </c>
    </row>
    <row r="5355" spans="1:11" x14ac:dyDescent="0.25">
      <c r="A5355">
        <v>5354</v>
      </c>
      <c r="B5355" s="23">
        <v>1402.5232800000001</v>
      </c>
      <c r="C5355" s="23">
        <v>0</v>
      </c>
      <c r="D5355" s="23">
        <v>0</v>
      </c>
      <c r="E5355" s="23">
        <v>0</v>
      </c>
      <c r="F5355" s="23">
        <v>0</v>
      </c>
      <c r="G5355" s="23">
        <v>0</v>
      </c>
      <c r="H5355" s="23">
        <v>0</v>
      </c>
      <c r="I5355" s="23">
        <v>1402.5229999999999</v>
      </c>
      <c r="J5355" s="23">
        <v>0</v>
      </c>
      <c r="K5355" s="23">
        <v>0</v>
      </c>
    </row>
    <row r="5356" spans="1:11" x14ac:dyDescent="0.25">
      <c r="A5356">
        <v>5355</v>
      </c>
      <c r="B5356" s="23">
        <v>1098.908866</v>
      </c>
      <c r="C5356" s="23">
        <v>0</v>
      </c>
      <c r="D5356" s="23">
        <v>0</v>
      </c>
      <c r="E5356" s="23">
        <v>0</v>
      </c>
      <c r="F5356" s="23">
        <v>0</v>
      </c>
      <c r="G5356" s="23">
        <v>0</v>
      </c>
      <c r="H5356" s="23">
        <v>0</v>
      </c>
      <c r="I5356" s="23">
        <v>1098.9090000000001</v>
      </c>
      <c r="J5356" s="23">
        <v>0</v>
      </c>
      <c r="K5356" s="23">
        <v>0</v>
      </c>
    </row>
    <row r="5357" spans="1:11" x14ac:dyDescent="0.25">
      <c r="A5357">
        <v>5356</v>
      </c>
      <c r="B5357" s="23">
        <v>1362.6788690000001</v>
      </c>
      <c r="C5357" s="23">
        <v>0</v>
      </c>
      <c r="D5357" s="23">
        <v>0</v>
      </c>
      <c r="E5357" s="23">
        <v>0</v>
      </c>
      <c r="F5357" s="23">
        <v>0</v>
      </c>
      <c r="G5357" s="23">
        <v>0</v>
      </c>
      <c r="H5357" s="23">
        <v>0</v>
      </c>
      <c r="I5357" s="23">
        <v>1362.6790000000001</v>
      </c>
      <c r="J5357" s="23">
        <v>0</v>
      </c>
      <c r="K5357" s="23">
        <v>0</v>
      </c>
    </row>
    <row r="5358" spans="1:11" x14ac:dyDescent="0.25">
      <c r="A5358">
        <v>5357</v>
      </c>
      <c r="B5358" s="23">
        <v>1237.567417</v>
      </c>
      <c r="C5358" s="23">
        <v>0</v>
      </c>
      <c r="D5358" s="23">
        <v>0</v>
      </c>
      <c r="E5358" s="23">
        <v>0</v>
      </c>
      <c r="F5358" s="23">
        <v>0</v>
      </c>
      <c r="G5358" s="23">
        <v>0</v>
      </c>
      <c r="H5358" s="23">
        <v>0</v>
      </c>
      <c r="I5358" s="23">
        <v>1237.567</v>
      </c>
      <c r="J5358" s="23">
        <v>0</v>
      </c>
      <c r="K5358" s="23">
        <v>0</v>
      </c>
    </row>
    <row r="5359" spans="1:11" x14ac:dyDescent="0.25">
      <c r="A5359">
        <v>5358</v>
      </c>
      <c r="B5359" s="23">
        <v>1263.8647289999999</v>
      </c>
      <c r="C5359" s="23">
        <v>0</v>
      </c>
      <c r="D5359" s="23">
        <v>0</v>
      </c>
      <c r="E5359" s="23">
        <v>0</v>
      </c>
      <c r="F5359" s="23">
        <v>0</v>
      </c>
      <c r="G5359" s="23">
        <v>0</v>
      </c>
      <c r="H5359" s="23">
        <v>0</v>
      </c>
      <c r="I5359" s="23">
        <v>1263.865</v>
      </c>
      <c r="J5359" s="23">
        <v>0</v>
      </c>
      <c r="K5359" s="23">
        <v>0</v>
      </c>
    </row>
    <row r="5360" spans="1:11" x14ac:dyDescent="0.25">
      <c r="A5360">
        <v>5359</v>
      </c>
      <c r="B5360" s="23">
        <v>1380.2104099999999</v>
      </c>
      <c r="C5360" s="23">
        <v>58.55</v>
      </c>
      <c r="D5360" s="23">
        <v>204.91</v>
      </c>
      <c r="E5360" s="23">
        <v>0</v>
      </c>
      <c r="F5360" s="23">
        <v>-204.91</v>
      </c>
      <c r="G5360" s="23">
        <v>0</v>
      </c>
      <c r="H5360" s="23">
        <v>0</v>
      </c>
      <c r="I5360" s="23">
        <v>1380.21</v>
      </c>
      <c r="J5360" s="23">
        <v>0</v>
      </c>
      <c r="K5360" s="23">
        <v>0</v>
      </c>
    </row>
    <row r="5361" spans="1:11" x14ac:dyDescent="0.25">
      <c r="A5361">
        <v>5360</v>
      </c>
      <c r="B5361" s="23">
        <v>1386.265764</v>
      </c>
      <c r="C5361" s="23">
        <v>26.45</v>
      </c>
      <c r="D5361" s="23">
        <v>79.319999999999993</v>
      </c>
      <c r="E5361" s="23">
        <v>0</v>
      </c>
      <c r="F5361" s="23">
        <v>-79.319999999999993</v>
      </c>
      <c r="G5361" s="23">
        <v>0</v>
      </c>
      <c r="H5361" s="23">
        <v>0</v>
      </c>
      <c r="I5361" s="23">
        <v>1386.2660000000001</v>
      </c>
      <c r="J5361" s="23">
        <v>0</v>
      </c>
      <c r="K5361" s="23">
        <v>0</v>
      </c>
    </row>
    <row r="5362" spans="1:11" x14ac:dyDescent="0.25">
      <c r="A5362">
        <v>5361</v>
      </c>
      <c r="B5362" s="23">
        <v>1418.5775900000001</v>
      </c>
      <c r="C5362" s="23">
        <v>124.29</v>
      </c>
      <c r="D5362" s="23">
        <v>469.58800000000002</v>
      </c>
      <c r="E5362" s="23">
        <v>0</v>
      </c>
      <c r="F5362" s="23">
        <v>-469.58800000000002</v>
      </c>
      <c r="G5362" s="23">
        <v>0</v>
      </c>
      <c r="H5362" s="23">
        <v>0</v>
      </c>
      <c r="I5362" s="23">
        <v>1418.578</v>
      </c>
      <c r="J5362" s="23">
        <v>0</v>
      </c>
      <c r="K5362" s="23">
        <v>0</v>
      </c>
    </row>
    <row r="5363" spans="1:11" x14ac:dyDescent="0.25">
      <c r="A5363">
        <v>5362</v>
      </c>
      <c r="B5363" s="23">
        <v>1606.5007680000001</v>
      </c>
      <c r="C5363" s="23">
        <v>506.45</v>
      </c>
      <c r="D5363" s="23">
        <v>1963.309</v>
      </c>
      <c r="E5363" s="23">
        <v>278.75</v>
      </c>
      <c r="F5363" s="23">
        <v>-1684.559</v>
      </c>
      <c r="G5363" s="23">
        <v>0</v>
      </c>
      <c r="H5363" s="23">
        <v>0</v>
      </c>
      <c r="I5363" s="23">
        <v>1327.751</v>
      </c>
      <c r="J5363" s="23">
        <v>0</v>
      </c>
      <c r="K5363" s="23">
        <v>0</v>
      </c>
    </row>
    <row r="5364" spans="1:11" x14ac:dyDescent="0.25">
      <c r="A5364">
        <v>5363</v>
      </c>
      <c r="B5364" s="23">
        <v>1395.5694350000001</v>
      </c>
      <c r="C5364" s="23">
        <v>234.15</v>
      </c>
      <c r="D5364" s="23">
        <v>892.096</v>
      </c>
      <c r="E5364" s="23">
        <v>892.096</v>
      </c>
      <c r="F5364" s="23">
        <v>0</v>
      </c>
      <c r="G5364" s="23">
        <v>0</v>
      </c>
      <c r="H5364" s="23">
        <v>0</v>
      </c>
      <c r="I5364" s="23">
        <v>0</v>
      </c>
      <c r="J5364" s="23">
        <v>0</v>
      </c>
      <c r="K5364" s="23">
        <v>503.47399999999999</v>
      </c>
    </row>
    <row r="5365" spans="1:11" x14ac:dyDescent="0.25">
      <c r="A5365">
        <v>5364</v>
      </c>
      <c r="B5365" s="23">
        <v>1749.141768</v>
      </c>
      <c r="C5365" s="23">
        <v>657.52</v>
      </c>
      <c r="D5365" s="23">
        <v>2491.71</v>
      </c>
      <c r="E5365" s="23">
        <v>1749.1420000000001</v>
      </c>
      <c r="F5365" s="23">
        <v>-742.56799999999998</v>
      </c>
      <c r="G5365" s="23">
        <v>0</v>
      </c>
      <c r="H5365" s="23">
        <v>0</v>
      </c>
      <c r="I5365" s="23">
        <v>0</v>
      </c>
      <c r="J5365" s="23">
        <v>0</v>
      </c>
      <c r="K5365" s="23">
        <v>0</v>
      </c>
    </row>
    <row r="5366" spans="1:11" x14ac:dyDescent="0.25">
      <c r="A5366">
        <v>5365</v>
      </c>
      <c r="B5366" s="23">
        <v>1070.1511620000001</v>
      </c>
      <c r="C5366" s="23">
        <v>391.87</v>
      </c>
      <c r="D5366" s="23">
        <v>1496.701</v>
      </c>
      <c r="E5366" s="23">
        <v>0</v>
      </c>
      <c r="F5366" s="23">
        <v>-1496.701</v>
      </c>
      <c r="G5366" s="23">
        <v>0</v>
      </c>
      <c r="H5366" s="23">
        <v>0</v>
      </c>
      <c r="I5366" s="23">
        <v>1070.1510000000001</v>
      </c>
      <c r="J5366" s="23">
        <v>0</v>
      </c>
      <c r="K5366" s="23">
        <v>0</v>
      </c>
    </row>
    <row r="5367" spans="1:11" x14ac:dyDescent="0.25">
      <c r="A5367">
        <v>5366</v>
      </c>
      <c r="B5367" s="23">
        <v>1155.298669</v>
      </c>
      <c r="C5367" s="23">
        <v>223.16</v>
      </c>
      <c r="D5367" s="23">
        <v>845.65000000000009</v>
      </c>
      <c r="E5367" s="23">
        <v>317.91000000000003</v>
      </c>
      <c r="F5367" s="23">
        <v>-527.74</v>
      </c>
      <c r="G5367" s="23">
        <v>0</v>
      </c>
      <c r="H5367" s="23">
        <v>0</v>
      </c>
      <c r="I5367" s="23">
        <v>837.38800000000003</v>
      </c>
      <c r="J5367" s="23">
        <v>0</v>
      </c>
      <c r="K5367" s="23">
        <v>0</v>
      </c>
    </row>
    <row r="5368" spans="1:11" x14ac:dyDescent="0.25">
      <c r="A5368">
        <v>5367</v>
      </c>
      <c r="B5368" s="23">
        <v>1561.86905</v>
      </c>
      <c r="C5368" s="23">
        <v>61.21</v>
      </c>
      <c r="D5368" s="23">
        <v>209.1</v>
      </c>
      <c r="E5368" s="23">
        <v>209.1</v>
      </c>
      <c r="F5368" s="23">
        <v>0</v>
      </c>
      <c r="G5368" s="23">
        <v>0</v>
      </c>
      <c r="H5368" s="23">
        <v>0</v>
      </c>
      <c r="I5368" s="23">
        <v>1352.769</v>
      </c>
      <c r="J5368" s="23">
        <v>0</v>
      </c>
      <c r="K5368" s="23">
        <v>0</v>
      </c>
    </row>
    <row r="5369" spans="1:11" x14ac:dyDescent="0.25">
      <c r="A5369">
        <v>5368</v>
      </c>
      <c r="B5369" s="23">
        <v>1337.3169049999999</v>
      </c>
      <c r="C5369" s="23">
        <v>408.01</v>
      </c>
      <c r="D5369" s="23">
        <v>1595.703</v>
      </c>
      <c r="E5369" s="23">
        <v>1337.317</v>
      </c>
      <c r="F5369" s="23">
        <v>-258.38600000000002</v>
      </c>
      <c r="G5369" s="23">
        <v>0</v>
      </c>
      <c r="H5369" s="23">
        <v>0</v>
      </c>
      <c r="I5369" s="23">
        <v>0</v>
      </c>
      <c r="J5369" s="23">
        <v>0</v>
      </c>
      <c r="K5369" s="23">
        <v>0</v>
      </c>
    </row>
    <row r="5370" spans="1:11" x14ac:dyDescent="0.25">
      <c r="A5370">
        <v>5369</v>
      </c>
      <c r="B5370" s="23">
        <v>1556.084638</v>
      </c>
      <c r="C5370" s="23">
        <v>225.36</v>
      </c>
      <c r="D5370" s="23">
        <v>879.53300000000002</v>
      </c>
      <c r="E5370" s="23">
        <v>879.53300000000002</v>
      </c>
      <c r="F5370" s="23">
        <v>0</v>
      </c>
      <c r="G5370" s="23">
        <v>0</v>
      </c>
      <c r="H5370" s="23">
        <v>0</v>
      </c>
      <c r="I5370" s="23">
        <v>676.55200000000002</v>
      </c>
      <c r="J5370" s="23">
        <v>0</v>
      </c>
      <c r="K5370" s="23">
        <v>0</v>
      </c>
    </row>
    <row r="5371" spans="1:11" x14ac:dyDescent="0.25">
      <c r="A5371">
        <v>5370</v>
      </c>
      <c r="B5371" s="23">
        <v>1554.339453</v>
      </c>
      <c r="C5371" s="23">
        <v>47.74</v>
      </c>
      <c r="D5371" s="23">
        <v>160.309</v>
      </c>
      <c r="E5371" s="23">
        <v>160.309</v>
      </c>
      <c r="F5371" s="23">
        <v>0</v>
      </c>
      <c r="G5371" s="23">
        <v>0</v>
      </c>
      <c r="H5371" s="23">
        <v>0</v>
      </c>
      <c r="I5371" s="23">
        <v>0</v>
      </c>
      <c r="J5371" s="23">
        <v>0</v>
      </c>
      <c r="K5371" s="23">
        <v>1394.03</v>
      </c>
    </row>
    <row r="5372" spans="1:11" x14ac:dyDescent="0.25">
      <c r="A5372">
        <v>5371</v>
      </c>
      <c r="B5372" s="23">
        <v>914.83864240000003</v>
      </c>
      <c r="C5372" s="23">
        <v>0</v>
      </c>
      <c r="D5372" s="23">
        <v>0</v>
      </c>
      <c r="E5372" s="23">
        <v>0</v>
      </c>
      <c r="F5372" s="23">
        <v>0</v>
      </c>
      <c r="G5372" s="23">
        <v>0</v>
      </c>
      <c r="H5372" s="23">
        <v>0</v>
      </c>
      <c r="I5372" s="23">
        <v>0</v>
      </c>
      <c r="J5372" s="23">
        <v>0</v>
      </c>
      <c r="K5372" s="23">
        <v>914.83900000000006</v>
      </c>
    </row>
    <row r="5373" spans="1:11" x14ac:dyDescent="0.25">
      <c r="A5373">
        <v>5372</v>
      </c>
      <c r="B5373" s="23">
        <v>1265.4585050000001</v>
      </c>
      <c r="C5373" s="23">
        <v>0</v>
      </c>
      <c r="D5373" s="23">
        <v>0</v>
      </c>
      <c r="E5373" s="23">
        <v>0</v>
      </c>
      <c r="F5373" s="23">
        <v>0</v>
      </c>
      <c r="G5373" s="23">
        <v>0</v>
      </c>
      <c r="H5373" s="23">
        <v>0</v>
      </c>
      <c r="I5373" s="23">
        <v>0</v>
      </c>
      <c r="J5373" s="23">
        <v>0</v>
      </c>
      <c r="K5373" s="23">
        <v>1265.4590000000001</v>
      </c>
    </row>
    <row r="5374" spans="1:11" x14ac:dyDescent="0.25">
      <c r="A5374">
        <v>5373</v>
      </c>
      <c r="B5374" s="23">
        <v>1199.3167820000001</v>
      </c>
      <c r="C5374" s="23">
        <v>0</v>
      </c>
      <c r="D5374" s="23">
        <v>0</v>
      </c>
      <c r="E5374" s="23">
        <v>0</v>
      </c>
      <c r="F5374" s="23">
        <v>0</v>
      </c>
      <c r="G5374" s="23">
        <v>0</v>
      </c>
      <c r="H5374" s="23">
        <v>0</v>
      </c>
      <c r="I5374" s="23">
        <v>1199.317</v>
      </c>
      <c r="J5374" s="23">
        <v>0</v>
      </c>
      <c r="K5374" s="23">
        <v>0</v>
      </c>
    </row>
    <row r="5375" spans="1:11" x14ac:dyDescent="0.25">
      <c r="A5375">
        <v>5374</v>
      </c>
      <c r="B5375" s="23">
        <v>1364.272645</v>
      </c>
      <c r="C5375" s="23">
        <v>0</v>
      </c>
      <c r="D5375" s="23">
        <v>0</v>
      </c>
      <c r="E5375" s="23">
        <v>0</v>
      </c>
      <c r="F5375" s="23">
        <v>0</v>
      </c>
      <c r="G5375" s="23">
        <v>0</v>
      </c>
      <c r="H5375" s="23">
        <v>0</v>
      </c>
      <c r="I5375" s="23">
        <v>1364.2729999999999</v>
      </c>
      <c r="J5375" s="23">
        <v>0</v>
      </c>
      <c r="K5375" s="23">
        <v>0</v>
      </c>
    </row>
    <row r="5376" spans="1:11" x14ac:dyDescent="0.25">
      <c r="A5376">
        <v>5375</v>
      </c>
      <c r="B5376" s="23">
        <v>1340.3659990000001</v>
      </c>
      <c r="C5376" s="23">
        <v>0</v>
      </c>
      <c r="D5376" s="23">
        <v>0</v>
      </c>
      <c r="E5376" s="23">
        <v>0</v>
      </c>
      <c r="F5376" s="23">
        <v>0</v>
      </c>
      <c r="G5376" s="23">
        <v>0</v>
      </c>
      <c r="H5376" s="23">
        <v>0</v>
      </c>
      <c r="I5376" s="23">
        <v>1340.366</v>
      </c>
      <c r="J5376" s="23">
        <v>0</v>
      </c>
      <c r="K5376" s="23">
        <v>0</v>
      </c>
    </row>
    <row r="5377" spans="1:11" x14ac:dyDescent="0.25">
      <c r="A5377">
        <v>5376</v>
      </c>
      <c r="B5377" s="23">
        <v>1275.021164</v>
      </c>
      <c r="C5377" s="23">
        <v>0</v>
      </c>
      <c r="D5377" s="23">
        <v>0</v>
      </c>
      <c r="E5377" s="23">
        <v>0</v>
      </c>
      <c r="F5377" s="23">
        <v>0</v>
      </c>
      <c r="G5377" s="23">
        <v>0</v>
      </c>
      <c r="H5377" s="23">
        <v>0</v>
      </c>
      <c r="I5377" s="23">
        <v>1275.021</v>
      </c>
      <c r="J5377" s="23">
        <v>0</v>
      </c>
      <c r="K5377" s="23">
        <v>0</v>
      </c>
    </row>
    <row r="5378" spans="1:11" x14ac:dyDescent="0.25">
      <c r="A5378">
        <v>5377</v>
      </c>
      <c r="B5378" s="23">
        <v>2321.335407</v>
      </c>
      <c r="C5378" s="23">
        <v>0</v>
      </c>
      <c r="D5378" s="23">
        <v>0</v>
      </c>
      <c r="E5378" s="23">
        <v>0</v>
      </c>
      <c r="F5378" s="23">
        <v>0</v>
      </c>
      <c r="G5378" s="23">
        <v>0</v>
      </c>
      <c r="H5378" s="23">
        <v>0</v>
      </c>
      <c r="I5378" s="23">
        <v>2321.335</v>
      </c>
      <c r="J5378" s="23">
        <v>0</v>
      </c>
      <c r="K5378" s="23">
        <v>0</v>
      </c>
    </row>
    <row r="5379" spans="1:11" x14ac:dyDescent="0.25">
      <c r="A5379">
        <v>5378</v>
      </c>
      <c r="B5379" s="23">
        <v>2049.5965209999999</v>
      </c>
      <c r="C5379" s="23">
        <v>0</v>
      </c>
      <c r="D5379" s="23">
        <v>0</v>
      </c>
      <c r="E5379" s="23">
        <v>0</v>
      </c>
      <c r="F5379" s="23">
        <v>0</v>
      </c>
      <c r="G5379" s="23">
        <v>0</v>
      </c>
      <c r="H5379" s="23">
        <v>0</v>
      </c>
      <c r="I5379" s="23">
        <v>2049.5970000000002</v>
      </c>
      <c r="J5379" s="23">
        <v>0</v>
      </c>
      <c r="K5379" s="23">
        <v>0</v>
      </c>
    </row>
    <row r="5380" spans="1:11" x14ac:dyDescent="0.25">
      <c r="A5380">
        <v>5379</v>
      </c>
      <c r="B5380" s="23">
        <v>2418.5557699999999</v>
      </c>
      <c r="C5380" s="23">
        <v>0</v>
      </c>
      <c r="D5380" s="23">
        <v>0</v>
      </c>
      <c r="E5380" s="23">
        <v>0</v>
      </c>
      <c r="F5380" s="23">
        <v>0</v>
      </c>
      <c r="G5380" s="23">
        <v>0</v>
      </c>
      <c r="H5380" s="23">
        <v>0</v>
      </c>
      <c r="I5380" s="23">
        <v>2418.556</v>
      </c>
      <c r="J5380" s="23">
        <v>0</v>
      </c>
      <c r="K5380" s="23">
        <v>0</v>
      </c>
    </row>
    <row r="5381" spans="1:11" x14ac:dyDescent="0.25">
      <c r="A5381">
        <v>5380</v>
      </c>
      <c r="B5381" s="23">
        <v>2200.208396</v>
      </c>
      <c r="C5381" s="23">
        <v>0</v>
      </c>
      <c r="D5381" s="23">
        <v>0</v>
      </c>
      <c r="E5381" s="23">
        <v>0</v>
      </c>
      <c r="F5381" s="23">
        <v>0</v>
      </c>
      <c r="G5381" s="23">
        <v>0</v>
      </c>
      <c r="H5381" s="23">
        <v>0</v>
      </c>
      <c r="I5381" s="23">
        <v>2200.2080000000001</v>
      </c>
      <c r="J5381" s="23">
        <v>0</v>
      </c>
      <c r="K5381" s="23">
        <v>0</v>
      </c>
    </row>
    <row r="5382" spans="1:11" x14ac:dyDescent="0.25">
      <c r="A5382">
        <v>5381</v>
      </c>
      <c r="B5382" s="23">
        <v>1996.2050099999999</v>
      </c>
      <c r="C5382" s="23">
        <v>0</v>
      </c>
      <c r="D5382" s="23">
        <v>0</v>
      </c>
      <c r="E5382" s="23">
        <v>0</v>
      </c>
      <c r="F5382" s="23">
        <v>0</v>
      </c>
      <c r="G5382" s="23">
        <v>0</v>
      </c>
      <c r="H5382" s="23">
        <v>0</v>
      </c>
      <c r="I5382" s="23">
        <v>1996.2049999999999</v>
      </c>
      <c r="J5382" s="23">
        <v>0</v>
      </c>
      <c r="K5382" s="23">
        <v>0</v>
      </c>
    </row>
    <row r="5383" spans="1:11" x14ac:dyDescent="0.25">
      <c r="A5383">
        <v>5382</v>
      </c>
      <c r="B5383" s="23">
        <v>2369.9455889999999</v>
      </c>
      <c r="C5383" s="23">
        <v>0</v>
      </c>
      <c r="D5383" s="23">
        <v>0</v>
      </c>
      <c r="E5383" s="23">
        <v>0</v>
      </c>
      <c r="F5383" s="23">
        <v>0</v>
      </c>
      <c r="G5383" s="23">
        <v>0</v>
      </c>
      <c r="H5383" s="23">
        <v>0</v>
      </c>
      <c r="I5383" s="23">
        <v>2369.9459999999999</v>
      </c>
      <c r="J5383" s="23">
        <v>0</v>
      </c>
      <c r="K5383" s="23">
        <v>0</v>
      </c>
    </row>
    <row r="5384" spans="1:11" x14ac:dyDescent="0.25">
      <c r="A5384">
        <v>5383</v>
      </c>
      <c r="B5384" s="23">
        <v>2032.861868</v>
      </c>
      <c r="C5384" s="23">
        <v>38.229999999999997</v>
      </c>
      <c r="D5384" s="23">
        <v>125.161</v>
      </c>
      <c r="E5384" s="23">
        <v>0</v>
      </c>
      <c r="F5384" s="23">
        <v>-125.161</v>
      </c>
      <c r="G5384" s="23">
        <v>0</v>
      </c>
      <c r="H5384" s="23">
        <v>0</v>
      </c>
      <c r="I5384" s="23">
        <v>2032.8620000000001</v>
      </c>
      <c r="J5384" s="23">
        <v>0</v>
      </c>
      <c r="K5384" s="23">
        <v>0</v>
      </c>
    </row>
    <row r="5385" spans="1:11" x14ac:dyDescent="0.25">
      <c r="A5385">
        <v>5384</v>
      </c>
      <c r="B5385" s="23">
        <v>1717.0809630000001</v>
      </c>
      <c r="C5385" s="23">
        <v>125.59</v>
      </c>
      <c r="D5385" s="23">
        <v>482.47699999999998</v>
      </c>
      <c r="E5385" s="23">
        <v>0</v>
      </c>
      <c r="F5385" s="23">
        <v>-482.47699999999998</v>
      </c>
      <c r="G5385" s="23">
        <v>0</v>
      </c>
      <c r="H5385" s="23">
        <v>0</v>
      </c>
      <c r="I5385" s="23">
        <v>1717.0809999999999</v>
      </c>
      <c r="J5385" s="23">
        <v>0</v>
      </c>
      <c r="K5385" s="23">
        <v>0</v>
      </c>
    </row>
    <row r="5386" spans="1:11" x14ac:dyDescent="0.25">
      <c r="A5386">
        <v>5385</v>
      </c>
      <c r="B5386" s="23">
        <v>1818.19811</v>
      </c>
      <c r="C5386" s="23">
        <v>359.33</v>
      </c>
      <c r="D5386" s="23">
        <v>1420.7080000000001</v>
      </c>
      <c r="E5386" s="23">
        <v>1289.2460000000001</v>
      </c>
      <c r="F5386" s="23">
        <v>-131.46199999999999</v>
      </c>
      <c r="G5386" s="23">
        <v>0</v>
      </c>
      <c r="H5386" s="23">
        <v>0</v>
      </c>
      <c r="I5386" s="23">
        <v>528.95299999999997</v>
      </c>
      <c r="J5386" s="23">
        <v>0</v>
      </c>
      <c r="K5386" s="23">
        <v>0</v>
      </c>
    </row>
    <row r="5387" spans="1:11" x14ac:dyDescent="0.25">
      <c r="A5387">
        <v>5386</v>
      </c>
      <c r="B5387" s="23">
        <v>2087.6529150000001</v>
      </c>
      <c r="C5387" s="23">
        <v>504.96</v>
      </c>
      <c r="D5387" s="23">
        <v>1967.4469999999999</v>
      </c>
      <c r="E5387" s="23">
        <v>1967.4469999999999</v>
      </c>
      <c r="F5387" s="23">
        <v>0</v>
      </c>
      <c r="G5387" s="23">
        <v>0</v>
      </c>
      <c r="H5387" s="23">
        <v>0</v>
      </c>
      <c r="I5387" s="23">
        <v>120.206</v>
      </c>
      <c r="J5387" s="23">
        <v>0</v>
      </c>
      <c r="K5387" s="23">
        <v>0</v>
      </c>
    </row>
    <row r="5388" spans="1:11" x14ac:dyDescent="0.25">
      <c r="A5388">
        <v>5387</v>
      </c>
      <c r="B5388" s="23">
        <v>2288.3681409999999</v>
      </c>
      <c r="C5388" s="23">
        <v>703.06</v>
      </c>
      <c r="D5388" s="23">
        <v>2697.8180000000002</v>
      </c>
      <c r="E5388" s="23">
        <v>2288.3679999999999</v>
      </c>
      <c r="F5388" s="23">
        <v>-409.45</v>
      </c>
      <c r="G5388" s="23">
        <v>0</v>
      </c>
      <c r="H5388" s="23">
        <v>0</v>
      </c>
      <c r="I5388" s="23">
        <v>0</v>
      </c>
      <c r="J5388" s="23">
        <v>0</v>
      </c>
      <c r="K5388" s="23">
        <v>0</v>
      </c>
    </row>
    <row r="5389" spans="1:11" x14ac:dyDescent="0.25">
      <c r="A5389">
        <v>5388</v>
      </c>
      <c r="B5389" s="23">
        <v>2277.558352</v>
      </c>
      <c r="C5389" s="23">
        <v>798.67</v>
      </c>
      <c r="D5389" s="23">
        <v>3038.5569999999998</v>
      </c>
      <c r="E5389" s="23">
        <v>2277.558</v>
      </c>
      <c r="F5389" s="23">
        <v>-760.99900000000002</v>
      </c>
      <c r="G5389" s="23">
        <v>0</v>
      </c>
      <c r="H5389" s="23">
        <v>0</v>
      </c>
      <c r="I5389" s="23">
        <v>0</v>
      </c>
      <c r="J5389" s="23">
        <v>0</v>
      </c>
      <c r="K5389" s="23">
        <v>0</v>
      </c>
    </row>
    <row r="5390" spans="1:11" x14ac:dyDescent="0.25">
      <c r="A5390">
        <v>5389</v>
      </c>
      <c r="B5390" s="23">
        <v>2252.5021940000001</v>
      </c>
      <c r="C5390" s="23">
        <v>694.75</v>
      </c>
      <c r="D5390" s="23">
        <v>2653.491</v>
      </c>
      <c r="E5390" s="23">
        <v>2252.502</v>
      </c>
      <c r="F5390" s="23">
        <v>-400.98899999999998</v>
      </c>
      <c r="G5390" s="23">
        <v>0</v>
      </c>
      <c r="H5390" s="23">
        <v>0</v>
      </c>
      <c r="I5390" s="23">
        <v>0</v>
      </c>
      <c r="J5390" s="23">
        <v>0</v>
      </c>
      <c r="K5390" s="23">
        <v>0</v>
      </c>
    </row>
    <row r="5391" spans="1:11" x14ac:dyDescent="0.25">
      <c r="A5391">
        <v>5390</v>
      </c>
      <c r="B5391" s="23">
        <v>2381.0830980000001</v>
      </c>
      <c r="C5391" s="23">
        <v>585.54999999999995</v>
      </c>
      <c r="D5391" s="23">
        <v>2251.75</v>
      </c>
      <c r="E5391" s="23">
        <v>2251.75</v>
      </c>
      <c r="F5391" s="23">
        <v>0</v>
      </c>
      <c r="G5391" s="23">
        <v>0</v>
      </c>
      <c r="H5391" s="23">
        <v>0</v>
      </c>
      <c r="I5391" s="23">
        <v>129.333</v>
      </c>
      <c r="J5391" s="23">
        <v>0</v>
      </c>
      <c r="K5391" s="23">
        <v>0</v>
      </c>
    </row>
    <row r="5392" spans="1:11" x14ac:dyDescent="0.25">
      <c r="A5392">
        <v>5391</v>
      </c>
      <c r="B5392" s="23">
        <v>2172.9458540000001</v>
      </c>
      <c r="C5392" s="23">
        <v>267.19</v>
      </c>
      <c r="D5392" s="23">
        <v>1033.989</v>
      </c>
      <c r="E5392" s="23">
        <v>1033.989</v>
      </c>
      <c r="F5392" s="23">
        <v>0</v>
      </c>
      <c r="G5392" s="23">
        <v>0</v>
      </c>
      <c r="H5392" s="23">
        <v>0</v>
      </c>
      <c r="I5392" s="23">
        <v>1138.9570000000001</v>
      </c>
      <c r="J5392" s="23">
        <v>0</v>
      </c>
      <c r="K5392" s="23">
        <v>0</v>
      </c>
    </row>
    <row r="5393" spans="1:11" x14ac:dyDescent="0.25">
      <c r="A5393">
        <v>5392</v>
      </c>
      <c r="B5393" s="23">
        <v>1845.8411659999999</v>
      </c>
      <c r="C5393" s="23">
        <v>42.17</v>
      </c>
      <c r="D5393" s="23">
        <v>138.65899999999999</v>
      </c>
      <c r="E5393" s="23">
        <v>138.65899999999999</v>
      </c>
      <c r="F5393" s="23">
        <v>0</v>
      </c>
      <c r="G5393" s="23">
        <v>0</v>
      </c>
      <c r="H5393" s="23">
        <v>0</v>
      </c>
      <c r="I5393" s="23">
        <v>1707.182</v>
      </c>
      <c r="J5393" s="23">
        <v>0</v>
      </c>
      <c r="K5393" s="23">
        <v>0</v>
      </c>
    </row>
    <row r="5394" spans="1:11" x14ac:dyDescent="0.25">
      <c r="A5394">
        <v>5393</v>
      </c>
      <c r="B5394" s="23">
        <v>2378.5559659999999</v>
      </c>
      <c r="C5394" s="23">
        <v>14.69</v>
      </c>
      <c r="D5394" s="23">
        <v>33.231000000000002</v>
      </c>
      <c r="E5394" s="23">
        <v>33.231000000000002</v>
      </c>
      <c r="F5394" s="23">
        <v>0</v>
      </c>
      <c r="G5394" s="23">
        <v>0</v>
      </c>
      <c r="H5394" s="23">
        <v>0</v>
      </c>
      <c r="I5394" s="23">
        <v>2345.3249999999998</v>
      </c>
      <c r="J5394" s="23">
        <v>0</v>
      </c>
      <c r="K5394" s="23">
        <v>0</v>
      </c>
    </row>
    <row r="5395" spans="1:11" x14ac:dyDescent="0.25">
      <c r="A5395">
        <v>5394</v>
      </c>
      <c r="B5395" s="23">
        <v>2247.4788100000001</v>
      </c>
      <c r="C5395" s="23">
        <v>10.77</v>
      </c>
      <c r="D5395" s="23">
        <v>17.702999999999999</v>
      </c>
      <c r="E5395" s="23">
        <v>17.702999999999999</v>
      </c>
      <c r="F5395" s="23">
        <v>0</v>
      </c>
      <c r="G5395" s="23">
        <v>0</v>
      </c>
      <c r="H5395" s="23">
        <v>0</v>
      </c>
      <c r="I5395" s="23">
        <v>545.21600000000001</v>
      </c>
      <c r="J5395" s="23">
        <v>0</v>
      </c>
      <c r="K5395" s="23">
        <v>1684.559</v>
      </c>
    </row>
    <row r="5396" spans="1:11" x14ac:dyDescent="0.25">
      <c r="A5396">
        <v>5395</v>
      </c>
      <c r="B5396" s="23">
        <v>2405.008671</v>
      </c>
      <c r="C5396" s="23">
        <v>0</v>
      </c>
      <c r="D5396" s="23">
        <v>0</v>
      </c>
      <c r="E5396" s="23">
        <v>0</v>
      </c>
      <c r="F5396" s="23">
        <v>0</v>
      </c>
      <c r="G5396" s="23">
        <v>0</v>
      </c>
      <c r="H5396" s="23">
        <v>0</v>
      </c>
      <c r="I5396" s="23">
        <v>720.44899999999996</v>
      </c>
      <c r="J5396" s="23">
        <v>0</v>
      </c>
      <c r="K5396" s="23">
        <v>1684.559</v>
      </c>
    </row>
    <row r="5397" spans="1:11" x14ac:dyDescent="0.25">
      <c r="A5397">
        <v>5396</v>
      </c>
      <c r="B5397" s="23">
        <v>1889.4219869999999</v>
      </c>
      <c r="C5397" s="23">
        <v>0</v>
      </c>
      <c r="D5397" s="23">
        <v>0</v>
      </c>
      <c r="E5397" s="23">
        <v>0</v>
      </c>
      <c r="F5397" s="23">
        <v>0</v>
      </c>
      <c r="G5397" s="23">
        <v>0</v>
      </c>
      <c r="H5397" s="23">
        <v>0</v>
      </c>
      <c r="I5397" s="23">
        <v>204.863</v>
      </c>
      <c r="J5397" s="23">
        <v>0</v>
      </c>
      <c r="K5397" s="23">
        <v>1684.559</v>
      </c>
    </row>
    <row r="5398" spans="1:11" x14ac:dyDescent="0.25">
      <c r="A5398">
        <v>5397</v>
      </c>
      <c r="B5398" s="23">
        <v>2380.3051359999999</v>
      </c>
      <c r="C5398" s="23">
        <v>0</v>
      </c>
      <c r="D5398" s="23">
        <v>0</v>
      </c>
      <c r="E5398" s="23">
        <v>0</v>
      </c>
      <c r="F5398" s="23">
        <v>0</v>
      </c>
      <c r="G5398" s="23">
        <v>0</v>
      </c>
      <c r="H5398" s="23">
        <v>0</v>
      </c>
      <c r="I5398" s="23">
        <v>2380.3049999999998</v>
      </c>
      <c r="J5398" s="23">
        <v>0</v>
      </c>
      <c r="K5398" s="23">
        <v>0</v>
      </c>
    </row>
    <row r="5399" spans="1:11" x14ac:dyDescent="0.25">
      <c r="A5399">
        <v>5398</v>
      </c>
      <c r="B5399" s="23">
        <v>2206.583502</v>
      </c>
      <c r="C5399" s="23">
        <v>0</v>
      </c>
      <c r="D5399" s="23">
        <v>0</v>
      </c>
      <c r="E5399" s="23">
        <v>0</v>
      </c>
      <c r="F5399" s="23">
        <v>0</v>
      </c>
      <c r="G5399" s="23">
        <v>0</v>
      </c>
      <c r="H5399" s="23">
        <v>0</v>
      </c>
      <c r="I5399" s="23">
        <v>2206.5839999999998</v>
      </c>
      <c r="J5399" s="23">
        <v>0</v>
      </c>
      <c r="K5399" s="23">
        <v>0</v>
      </c>
    </row>
    <row r="5400" spans="1:11" x14ac:dyDescent="0.25">
      <c r="A5400">
        <v>5399</v>
      </c>
      <c r="B5400" s="23">
        <v>2286.2723249999999</v>
      </c>
      <c r="C5400" s="23">
        <v>0</v>
      </c>
      <c r="D5400" s="23">
        <v>0</v>
      </c>
      <c r="E5400" s="23">
        <v>0</v>
      </c>
      <c r="F5400" s="23">
        <v>0</v>
      </c>
      <c r="G5400" s="23">
        <v>0</v>
      </c>
      <c r="H5400" s="23">
        <v>0</v>
      </c>
      <c r="I5400" s="23">
        <v>2286.2719999999999</v>
      </c>
      <c r="J5400" s="23">
        <v>0</v>
      </c>
      <c r="K5400" s="23">
        <v>0</v>
      </c>
    </row>
    <row r="5401" spans="1:11" x14ac:dyDescent="0.25">
      <c r="A5401">
        <v>5400</v>
      </c>
      <c r="B5401" s="23">
        <v>1948.3917160000001</v>
      </c>
      <c r="C5401" s="23">
        <v>0</v>
      </c>
      <c r="D5401" s="23">
        <v>0</v>
      </c>
      <c r="E5401" s="23">
        <v>0</v>
      </c>
      <c r="F5401" s="23">
        <v>0</v>
      </c>
      <c r="G5401" s="23">
        <v>0</v>
      </c>
      <c r="H5401" s="23">
        <v>0</v>
      </c>
      <c r="I5401" s="23">
        <v>1948.3920000000001</v>
      </c>
      <c r="J5401" s="23">
        <v>0</v>
      </c>
      <c r="K5401" s="23">
        <v>0</v>
      </c>
    </row>
    <row r="5402" spans="1:11" x14ac:dyDescent="0.25">
      <c r="A5402">
        <v>5401</v>
      </c>
      <c r="B5402" s="23">
        <v>1804.9518350000001</v>
      </c>
      <c r="C5402" s="23">
        <v>0</v>
      </c>
      <c r="D5402" s="23">
        <v>0</v>
      </c>
      <c r="E5402" s="23">
        <v>0</v>
      </c>
      <c r="F5402" s="23">
        <v>0</v>
      </c>
      <c r="G5402" s="23">
        <v>0</v>
      </c>
      <c r="H5402" s="23">
        <v>0</v>
      </c>
      <c r="I5402" s="23">
        <v>1804.952</v>
      </c>
      <c r="J5402" s="23">
        <v>0</v>
      </c>
      <c r="K5402" s="23">
        <v>0</v>
      </c>
    </row>
    <row r="5403" spans="1:11" x14ac:dyDescent="0.25">
      <c r="A5403">
        <v>5402</v>
      </c>
      <c r="B5403" s="23">
        <v>1843.2024699999999</v>
      </c>
      <c r="C5403" s="23">
        <v>0</v>
      </c>
      <c r="D5403" s="23">
        <v>0</v>
      </c>
      <c r="E5403" s="23">
        <v>0</v>
      </c>
      <c r="F5403" s="23">
        <v>0</v>
      </c>
      <c r="G5403" s="23">
        <v>0</v>
      </c>
      <c r="H5403" s="23">
        <v>0</v>
      </c>
      <c r="I5403" s="23">
        <v>1843.202</v>
      </c>
      <c r="J5403" s="23">
        <v>0</v>
      </c>
      <c r="K5403" s="23">
        <v>0</v>
      </c>
    </row>
    <row r="5404" spans="1:11" x14ac:dyDescent="0.25">
      <c r="A5404">
        <v>5403</v>
      </c>
      <c r="B5404" s="23">
        <v>1243.9425229999999</v>
      </c>
      <c r="C5404" s="23">
        <v>0</v>
      </c>
      <c r="D5404" s="23">
        <v>0</v>
      </c>
      <c r="E5404" s="23">
        <v>0</v>
      </c>
      <c r="F5404" s="23">
        <v>0</v>
      </c>
      <c r="G5404" s="23">
        <v>0</v>
      </c>
      <c r="H5404" s="23">
        <v>0</v>
      </c>
      <c r="I5404" s="23">
        <v>1243.943</v>
      </c>
      <c r="J5404" s="23">
        <v>0</v>
      </c>
      <c r="K5404" s="23">
        <v>0</v>
      </c>
    </row>
    <row r="5405" spans="1:11" x14ac:dyDescent="0.25">
      <c r="A5405">
        <v>5404</v>
      </c>
      <c r="B5405" s="23">
        <v>1298.1309229999999</v>
      </c>
      <c r="C5405" s="23">
        <v>0</v>
      </c>
      <c r="D5405" s="23">
        <v>0</v>
      </c>
      <c r="E5405" s="23">
        <v>0</v>
      </c>
      <c r="F5405" s="23">
        <v>0</v>
      </c>
      <c r="G5405" s="23">
        <v>0</v>
      </c>
      <c r="H5405" s="23">
        <v>0</v>
      </c>
      <c r="I5405" s="23">
        <v>1298.1310000000001</v>
      </c>
      <c r="J5405" s="23">
        <v>0</v>
      </c>
      <c r="K5405" s="23">
        <v>0</v>
      </c>
    </row>
    <row r="5406" spans="1:11" x14ac:dyDescent="0.25">
      <c r="A5406">
        <v>5405</v>
      </c>
      <c r="B5406" s="23">
        <v>1563.494702</v>
      </c>
      <c r="C5406" s="23">
        <v>0</v>
      </c>
      <c r="D5406" s="23">
        <v>0</v>
      </c>
      <c r="E5406" s="23">
        <v>0</v>
      </c>
      <c r="F5406" s="23">
        <v>0</v>
      </c>
      <c r="G5406" s="23">
        <v>0</v>
      </c>
      <c r="H5406" s="23">
        <v>0</v>
      </c>
      <c r="I5406" s="23">
        <v>1563.4949999999999</v>
      </c>
      <c r="J5406" s="23">
        <v>0</v>
      </c>
      <c r="K5406" s="23">
        <v>0</v>
      </c>
    </row>
    <row r="5407" spans="1:11" x14ac:dyDescent="0.25">
      <c r="A5407">
        <v>5406</v>
      </c>
      <c r="B5407" s="23">
        <v>1161.066147</v>
      </c>
      <c r="C5407" s="23">
        <v>0</v>
      </c>
      <c r="D5407" s="23">
        <v>0</v>
      </c>
      <c r="E5407" s="23">
        <v>0</v>
      </c>
      <c r="F5407" s="23">
        <v>0</v>
      </c>
      <c r="G5407" s="23">
        <v>0</v>
      </c>
      <c r="H5407" s="23">
        <v>0</v>
      </c>
      <c r="I5407" s="23">
        <v>1161.066</v>
      </c>
      <c r="J5407" s="23">
        <v>0</v>
      </c>
      <c r="K5407" s="23">
        <v>0</v>
      </c>
    </row>
    <row r="5408" spans="1:11" x14ac:dyDescent="0.25">
      <c r="A5408">
        <v>5407</v>
      </c>
      <c r="B5408" s="23">
        <v>1122.815513</v>
      </c>
      <c r="C5408" s="23">
        <v>68.38</v>
      </c>
      <c r="D5408" s="23">
        <v>240.471</v>
      </c>
      <c r="E5408" s="23">
        <v>240.471</v>
      </c>
      <c r="F5408" s="23">
        <v>0</v>
      </c>
      <c r="G5408" s="23">
        <v>0</v>
      </c>
      <c r="H5408" s="23">
        <v>0</v>
      </c>
      <c r="I5408" s="23">
        <v>882.34400000000005</v>
      </c>
      <c r="J5408" s="23">
        <v>0</v>
      </c>
      <c r="K5408" s="23">
        <v>0</v>
      </c>
    </row>
    <row r="5409" spans="1:11" x14ac:dyDescent="0.25">
      <c r="A5409">
        <v>5408</v>
      </c>
      <c r="B5409" s="23">
        <v>842.08075499999995</v>
      </c>
      <c r="C5409" s="23">
        <v>327.45999999999998</v>
      </c>
      <c r="D5409" s="23">
        <v>1278.6859999999999</v>
      </c>
      <c r="E5409" s="23">
        <v>842.08100000000002</v>
      </c>
      <c r="F5409" s="23">
        <v>-436.60500000000002</v>
      </c>
      <c r="G5409" s="23">
        <v>0</v>
      </c>
      <c r="H5409" s="23">
        <v>0</v>
      </c>
      <c r="I5409" s="23">
        <v>0</v>
      </c>
      <c r="J5409" s="23">
        <v>0</v>
      </c>
      <c r="K5409" s="23">
        <v>0</v>
      </c>
    </row>
    <row r="5410" spans="1:11" x14ac:dyDescent="0.25">
      <c r="A5410">
        <v>5409</v>
      </c>
      <c r="B5410" s="23">
        <v>1173.776515</v>
      </c>
      <c r="C5410" s="23">
        <v>414.83</v>
      </c>
      <c r="D5410" s="23">
        <v>1627.6949999999999</v>
      </c>
      <c r="E5410" s="23">
        <v>1173.777</v>
      </c>
      <c r="F5410" s="23">
        <v>-453.91800000000001</v>
      </c>
      <c r="G5410" s="23">
        <v>0</v>
      </c>
      <c r="H5410" s="23">
        <v>0</v>
      </c>
      <c r="I5410" s="23">
        <v>0</v>
      </c>
      <c r="J5410" s="23">
        <v>0</v>
      </c>
      <c r="K5410" s="23">
        <v>0</v>
      </c>
    </row>
    <row r="5411" spans="1:11" x14ac:dyDescent="0.25">
      <c r="A5411">
        <v>5410</v>
      </c>
      <c r="B5411" s="23">
        <v>1566.0128689999999</v>
      </c>
      <c r="C5411" s="23">
        <v>574.26</v>
      </c>
      <c r="D5411" s="23">
        <v>2206.2339999999999</v>
      </c>
      <c r="E5411" s="23">
        <v>1566.0129999999999</v>
      </c>
      <c r="F5411" s="23">
        <v>-640.221</v>
      </c>
      <c r="G5411" s="23">
        <v>0</v>
      </c>
      <c r="H5411" s="23">
        <v>0</v>
      </c>
      <c r="I5411" s="23">
        <v>0</v>
      </c>
      <c r="J5411" s="23">
        <v>0</v>
      </c>
      <c r="K5411" s="23">
        <v>0</v>
      </c>
    </row>
    <row r="5412" spans="1:11" x14ac:dyDescent="0.25">
      <c r="A5412">
        <v>5411</v>
      </c>
      <c r="B5412" s="23">
        <v>1402.9585810000001</v>
      </c>
      <c r="C5412" s="23">
        <v>574.75</v>
      </c>
      <c r="D5412" s="23">
        <v>2185.7310000000002</v>
      </c>
      <c r="E5412" s="23">
        <v>1402.9580000000001</v>
      </c>
      <c r="F5412" s="23">
        <v>-782.77300000000002</v>
      </c>
      <c r="G5412" s="23">
        <v>0</v>
      </c>
      <c r="H5412" s="23">
        <v>0</v>
      </c>
      <c r="I5412" s="23">
        <v>0</v>
      </c>
      <c r="J5412" s="23">
        <v>0</v>
      </c>
      <c r="K5412" s="23">
        <v>0</v>
      </c>
    </row>
    <row r="5413" spans="1:11" x14ac:dyDescent="0.25">
      <c r="A5413">
        <v>5412</v>
      </c>
      <c r="B5413" s="23">
        <v>1433.2991039999999</v>
      </c>
      <c r="C5413" s="23">
        <v>661.1</v>
      </c>
      <c r="D5413" s="23">
        <v>2495.625</v>
      </c>
      <c r="E5413" s="23">
        <v>1433.299</v>
      </c>
      <c r="F5413" s="23">
        <v>-1062.326</v>
      </c>
      <c r="G5413" s="23">
        <v>0</v>
      </c>
      <c r="H5413" s="23">
        <v>0</v>
      </c>
      <c r="I5413" s="23">
        <v>0</v>
      </c>
      <c r="J5413" s="23">
        <v>0</v>
      </c>
      <c r="K5413" s="23">
        <v>0</v>
      </c>
    </row>
    <row r="5414" spans="1:11" x14ac:dyDescent="0.25">
      <c r="A5414">
        <v>5413</v>
      </c>
      <c r="B5414" s="23">
        <v>1510.4219459999999</v>
      </c>
      <c r="C5414" s="23">
        <v>797.89</v>
      </c>
      <c r="D5414" s="23">
        <v>2995.2730000000001</v>
      </c>
      <c r="E5414" s="23">
        <v>1510.422</v>
      </c>
      <c r="F5414" s="23">
        <v>-1484.8510000000001</v>
      </c>
      <c r="G5414" s="23">
        <v>0</v>
      </c>
      <c r="H5414" s="23">
        <v>0</v>
      </c>
      <c r="I5414" s="23">
        <v>0</v>
      </c>
      <c r="J5414" s="23">
        <v>0</v>
      </c>
      <c r="K5414" s="23">
        <v>0</v>
      </c>
    </row>
    <row r="5415" spans="1:11" x14ac:dyDescent="0.25">
      <c r="A5415">
        <v>5414</v>
      </c>
      <c r="B5415" s="23">
        <v>1372.235551</v>
      </c>
      <c r="C5415" s="23">
        <v>738.5</v>
      </c>
      <c r="D5415" s="23">
        <v>2801.81</v>
      </c>
      <c r="E5415" s="23">
        <v>1372.2349999999999</v>
      </c>
      <c r="F5415" s="23">
        <v>-1429.575</v>
      </c>
      <c r="G5415" s="23">
        <v>0</v>
      </c>
      <c r="H5415" s="23">
        <v>0</v>
      </c>
      <c r="I5415" s="23">
        <v>0</v>
      </c>
      <c r="J5415" s="23">
        <v>0</v>
      </c>
      <c r="K5415" s="23">
        <v>0</v>
      </c>
    </row>
    <row r="5416" spans="1:11" x14ac:dyDescent="0.25">
      <c r="A5416">
        <v>5415</v>
      </c>
      <c r="B5416" s="23">
        <v>1544.910273</v>
      </c>
      <c r="C5416" s="23">
        <v>581.99</v>
      </c>
      <c r="D5416" s="23">
        <v>2244.6979999999999</v>
      </c>
      <c r="E5416" s="23">
        <v>1544.91</v>
      </c>
      <c r="F5416" s="23">
        <v>-699.78800000000001</v>
      </c>
      <c r="G5416" s="23">
        <v>0</v>
      </c>
      <c r="H5416" s="23">
        <v>0</v>
      </c>
      <c r="I5416" s="23">
        <v>0</v>
      </c>
      <c r="J5416" s="23">
        <v>0</v>
      </c>
      <c r="K5416" s="23">
        <v>0</v>
      </c>
    </row>
    <row r="5417" spans="1:11" x14ac:dyDescent="0.25">
      <c r="A5417">
        <v>5416</v>
      </c>
      <c r="B5417" s="23">
        <v>1537.530092</v>
      </c>
      <c r="C5417" s="23">
        <v>446.43</v>
      </c>
      <c r="D5417" s="23">
        <v>1752.4939999999999</v>
      </c>
      <c r="E5417" s="23">
        <v>1537.53</v>
      </c>
      <c r="F5417" s="23">
        <v>-214.964</v>
      </c>
      <c r="G5417" s="23">
        <v>0</v>
      </c>
      <c r="H5417" s="23">
        <v>0</v>
      </c>
      <c r="I5417" s="23">
        <v>0</v>
      </c>
      <c r="J5417" s="23">
        <v>0</v>
      </c>
      <c r="K5417" s="23">
        <v>0</v>
      </c>
    </row>
    <row r="5418" spans="1:11" x14ac:dyDescent="0.25">
      <c r="A5418">
        <v>5417</v>
      </c>
      <c r="B5418" s="23">
        <v>1196.467907</v>
      </c>
      <c r="C5418" s="23">
        <v>312.36</v>
      </c>
      <c r="D5418" s="23">
        <v>1218.164</v>
      </c>
      <c r="E5418" s="23">
        <v>1196.4680000000001</v>
      </c>
      <c r="F5418" s="23">
        <v>-21.696000000000002</v>
      </c>
      <c r="G5418" s="23">
        <v>0</v>
      </c>
      <c r="H5418" s="23">
        <v>0</v>
      </c>
      <c r="I5418" s="23">
        <v>0</v>
      </c>
      <c r="J5418" s="23">
        <v>0</v>
      </c>
      <c r="K5418" s="23">
        <v>0</v>
      </c>
    </row>
    <row r="5419" spans="1:11" x14ac:dyDescent="0.25">
      <c r="A5419">
        <v>5418</v>
      </c>
      <c r="B5419" s="23">
        <v>1288.0652279999999</v>
      </c>
      <c r="C5419" s="23">
        <v>91.04</v>
      </c>
      <c r="D5419" s="23">
        <v>288.22399999999999</v>
      </c>
      <c r="E5419" s="23">
        <v>288.22399999999999</v>
      </c>
      <c r="F5419" s="23">
        <v>0</v>
      </c>
      <c r="G5419" s="23">
        <v>0</v>
      </c>
      <c r="H5419" s="23">
        <v>0</v>
      </c>
      <c r="I5419" s="23">
        <v>0</v>
      </c>
      <c r="J5419" s="23">
        <v>0</v>
      </c>
      <c r="K5419" s="23">
        <v>999.84199999999998</v>
      </c>
    </row>
    <row r="5420" spans="1:11" x14ac:dyDescent="0.25">
      <c r="A5420">
        <v>5419</v>
      </c>
      <c r="B5420" s="23">
        <v>1408.111459</v>
      </c>
      <c r="C5420" s="23">
        <v>0</v>
      </c>
      <c r="D5420" s="23">
        <v>0</v>
      </c>
      <c r="E5420" s="23">
        <v>0</v>
      </c>
      <c r="F5420" s="23">
        <v>0</v>
      </c>
      <c r="G5420" s="23">
        <v>0</v>
      </c>
      <c r="H5420" s="23">
        <v>0</v>
      </c>
      <c r="I5420" s="23">
        <v>0</v>
      </c>
      <c r="J5420" s="23">
        <v>0</v>
      </c>
      <c r="K5420" s="23">
        <v>1408.1110000000001</v>
      </c>
    </row>
    <row r="5421" spans="1:11" x14ac:dyDescent="0.25">
      <c r="A5421">
        <v>5420</v>
      </c>
      <c r="B5421" s="23">
        <v>1260.6771759999999</v>
      </c>
      <c r="C5421" s="23">
        <v>0</v>
      </c>
      <c r="D5421" s="23">
        <v>0</v>
      </c>
      <c r="E5421" s="23">
        <v>0</v>
      </c>
      <c r="F5421" s="23">
        <v>0</v>
      </c>
      <c r="G5421" s="23">
        <v>0</v>
      </c>
      <c r="H5421" s="23">
        <v>0</v>
      </c>
      <c r="I5421" s="23">
        <v>0</v>
      </c>
      <c r="J5421" s="23">
        <v>0</v>
      </c>
      <c r="K5421" s="23">
        <v>1260.6769999999999</v>
      </c>
    </row>
    <row r="5422" spans="1:11" x14ac:dyDescent="0.25">
      <c r="A5422">
        <v>5421</v>
      </c>
      <c r="B5422" s="23">
        <v>1176.207024</v>
      </c>
      <c r="C5422" s="23">
        <v>0</v>
      </c>
      <c r="D5422" s="23">
        <v>0</v>
      </c>
      <c r="E5422" s="23">
        <v>0</v>
      </c>
      <c r="F5422" s="23">
        <v>0</v>
      </c>
      <c r="G5422" s="23">
        <v>0</v>
      </c>
      <c r="H5422" s="23">
        <v>0</v>
      </c>
      <c r="I5422" s="23">
        <v>1176.2070000000001</v>
      </c>
      <c r="J5422" s="23">
        <v>0</v>
      </c>
      <c r="K5422" s="23">
        <v>0</v>
      </c>
    </row>
    <row r="5423" spans="1:11" x14ac:dyDescent="0.25">
      <c r="A5423">
        <v>5422</v>
      </c>
      <c r="B5423" s="23">
        <v>1688.6061540000001</v>
      </c>
      <c r="C5423" s="23">
        <v>0</v>
      </c>
      <c r="D5423" s="23">
        <v>0</v>
      </c>
      <c r="E5423" s="23">
        <v>0</v>
      </c>
      <c r="F5423" s="23">
        <v>0</v>
      </c>
      <c r="G5423" s="23">
        <v>0</v>
      </c>
      <c r="H5423" s="23">
        <v>0</v>
      </c>
      <c r="I5423" s="23">
        <v>1688.606</v>
      </c>
      <c r="J5423" s="23">
        <v>0</v>
      </c>
      <c r="K5423" s="23">
        <v>0</v>
      </c>
    </row>
    <row r="5424" spans="1:11" x14ac:dyDescent="0.25">
      <c r="A5424">
        <v>5423</v>
      </c>
      <c r="B5424" s="23">
        <v>1341.162887</v>
      </c>
      <c r="C5424" s="23">
        <v>0</v>
      </c>
      <c r="D5424" s="23">
        <v>0</v>
      </c>
      <c r="E5424" s="23">
        <v>0</v>
      </c>
      <c r="F5424" s="23">
        <v>0</v>
      </c>
      <c r="G5424" s="23">
        <v>0</v>
      </c>
      <c r="H5424" s="23">
        <v>0</v>
      </c>
      <c r="I5424" s="23">
        <v>1341.163</v>
      </c>
      <c r="J5424" s="23">
        <v>0</v>
      </c>
      <c r="K5424" s="23">
        <v>0</v>
      </c>
    </row>
    <row r="5425" spans="1:11" x14ac:dyDescent="0.25">
      <c r="A5425">
        <v>5424</v>
      </c>
      <c r="B5425" s="23">
        <v>1206.4887759999999</v>
      </c>
      <c r="C5425" s="23">
        <v>0</v>
      </c>
      <c r="D5425" s="23">
        <v>0</v>
      </c>
      <c r="E5425" s="23">
        <v>0</v>
      </c>
      <c r="F5425" s="23">
        <v>0</v>
      </c>
      <c r="G5425" s="23">
        <v>0</v>
      </c>
      <c r="H5425" s="23">
        <v>0</v>
      </c>
      <c r="I5425" s="23">
        <v>1206.489</v>
      </c>
      <c r="J5425" s="23">
        <v>0</v>
      </c>
      <c r="K5425" s="23">
        <v>0</v>
      </c>
    </row>
    <row r="5426" spans="1:11" x14ac:dyDescent="0.25">
      <c r="A5426">
        <v>5425</v>
      </c>
      <c r="B5426" s="23">
        <v>1402.5232800000001</v>
      </c>
      <c r="C5426" s="23">
        <v>0</v>
      </c>
      <c r="D5426" s="23">
        <v>0</v>
      </c>
      <c r="E5426" s="23">
        <v>0</v>
      </c>
      <c r="F5426" s="23">
        <v>0</v>
      </c>
      <c r="G5426" s="23">
        <v>0</v>
      </c>
      <c r="H5426" s="23">
        <v>0</v>
      </c>
      <c r="I5426" s="23">
        <v>1402.5229999999999</v>
      </c>
      <c r="J5426" s="23">
        <v>0</v>
      </c>
      <c r="K5426" s="23">
        <v>0</v>
      </c>
    </row>
    <row r="5427" spans="1:11" x14ac:dyDescent="0.25">
      <c r="A5427">
        <v>5426</v>
      </c>
      <c r="B5427" s="23">
        <v>1134.768836</v>
      </c>
      <c r="C5427" s="23">
        <v>0</v>
      </c>
      <c r="D5427" s="23">
        <v>0</v>
      </c>
      <c r="E5427" s="23">
        <v>0</v>
      </c>
      <c r="F5427" s="23">
        <v>0</v>
      </c>
      <c r="G5427" s="23">
        <v>0</v>
      </c>
      <c r="H5427" s="23">
        <v>0</v>
      </c>
      <c r="I5427" s="23">
        <v>1134.769</v>
      </c>
      <c r="J5427" s="23">
        <v>0</v>
      </c>
      <c r="K5427" s="23">
        <v>0</v>
      </c>
    </row>
    <row r="5428" spans="1:11" x14ac:dyDescent="0.25">
      <c r="A5428">
        <v>5427</v>
      </c>
      <c r="B5428" s="23">
        <v>1440.773915</v>
      </c>
      <c r="C5428" s="23">
        <v>0</v>
      </c>
      <c r="D5428" s="23">
        <v>0</v>
      </c>
      <c r="E5428" s="23">
        <v>0</v>
      </c>
      <c r="F5428" s="23">
        <v>0</v>
      </c>
      <c r="G5428" s="23">
        <v>0</v>
      </c>
      <c r="H5428" s="23">
        <v>0</v>
      </c>
      <c r="I5428" s="23">
        <v>1440.7739999999999</v>
      </c>
      <c r="J5428" s="23">
        <v>0</v>
      </c>
      <c r="K5428" s="23">
        <v>0</v>
      </c>
    </row>
    <row r="5429" spans="1:11" x14ac:dyDescent="0.25">
      <c r="A5429">
        <v>5428</v>
      </c>
      <c r="B5429" s="23">
        <v>1137.9563889999999</v>
      </c>
      <c r="C5429" s="23">
        <v>0</v>
      </c>
      <c r="D5429" s="23">
        <v>0</v>
      </c>
      <c r="E5429" s="23">
        <v>0</v>
      </c>
      <c r="F5429" s="23">
        <v>0</v>
      </c>
      <c r="G5429" s="23">
        <v>0</v>
      </c>
      <c r="H5429" s="23">
        <v>0</v>
      </c>
      <c r="I5429" s="23">
        <v>1137.9559999999999</v>
      </c>
      <c r="J5429" s="23">
        <v>0</v>
      </c>
      <c r="K5429" s="23">
        <v>0</v>
      </c>
    </row>
    <row r="5430" spans="1:11" x14ac:dyDescent="0.25">
      <c r="A5430">
        <v>5429</v>
      </c>
      <c r="B5430" s="23">
        <v>876.5770503</v>
      </c>
      <c r="C5430" s="23">
        <v>0</v>
      </c>
      <c r="D5430" s="23">
        <v>0</v>
      </c>
      <c r="E5430" s="23">
        <v>0</v>
      </c>
      <c r="F5430" s="23">
        <v>0</v>
      </c>
      <c r="G5430" s="23">
        <v>0</v>
      </c>
      <c r="H5430" s="23">
        <v>0</v>
      </c>
      <c r="I5430" s="23">
        <v>250.77</v>
      </c>
      <c r="J5430" s="23">
        <v>0</v>
      </c>
      <c r="K5430" s="23">
        <v>625.80700000000002</v>
      </c>
    </row>
    <row r="5431" spans="1:11" x14ac:dyDescent="0.25">
      <c r="A5431">
        <v>5430</v>
      </c>
      <c r="B5431" s="23">
        <v>1141.1439419999999</v>
      </c>
      <c r="C5431" s="23">
        <v>0</v>
      </c>
      <c r="D5431" s="23">
        <v>0</v>
      </c>
      <c r="E5431" s="23">
        <v>0</v>
      </c>
      <c r="F5431" s="23">
        <v>0</v>
      </c>
      <c r="G5431" s="23">
        <v>0</v>
      </c>
      <c r="H5431" s="23">
        <v>0</v>
      </c>
      <c r="I5431" s="23">
        <v>0</v>
      </c>
      <c r="J5431" s="23">
        <v>0</v>
      </c>
      <c r="K5431" s="23">
        <v>1141.144</v>
      </c>
    </row>
    <row r="5432" spans="1:11" x14ac:dyDescent="0.25">
      <c r="A5432">
        <v>5431</v>
      </c>
      <c r="B5432" s="23">
        <v>939.53122020000001</v>
      </c>
      <c r="C5432" s="23">
        <v>80.72</v>
      </c>
      <c r="D5432" s="23">
        <v>280.60399999999998</v>
      </c>
      <c r="E5432" s="23">
        <v>280.60399999999998</v>
      </c>
      <c r="F5432" s="23">
        <v>0</v>
      </c>
      <c r="G5432" s="23">
        <v>0</v>
      </c>
      <c r="H5432" s="23">
        <v>0</v>
      </c>
      <c r="I5432" s="23">
        <v>0</v>
      </c>
      <c r="J5432" s="23">
        <v>0</v>
      </c>
      <c r="K5432" s="23">
        <v>658.92700000000002</v>
      </c>
    </row>
    <row r="5433" spans="1:11" x14ac:dyDescent="0.25">
      <c r="A5433">
        <v>5432</v>
      </c>
      <c r="B5433" s="23">
        <v>1269.4807989999999</v>
      </c>
      <c r="C5433" s="23">
        <v>257.76</v>
      </c>
      <c r="D5433" s="23">
        <v>1014.772</v>
      </c>
      <c r="E5433" s="23">
        <v>1014.772</v>
      </c>
      <c r="F5433" s="23">
        <v>0</v>
      </c>
      <c r="G5433" s="23">
        <v>0</v>
      </c>
      <c r="H5433" s="23">
        <v>0</v>
      </c>
      <c r="I5433" s="23">
        <v>0</v>
      </c>
      <c r="J5433" s="23">
        <v>0</v>
      </c>
      <c r="K5433" s="23">
        <v>254.709</v>
      </c>
    </row>
    <row r="5434" spans="1:11" x14ac:dyDescent="0.25">
      <c r="A5434">
        <v>5433</v>
      </c>
      <c r="B5434" s="23">
        <v>1423.882873</v>
      </c>
      <c r="C5434" s="23">
        <v>448.88</v>
      </c>
      <c r="D5434" s="23">
        <v>1760.672</v>
      </c>
      <c r="E5434" s="23">
        <v>1423.883</v>
      </c>
      <c r="F5434" s="23">
        <v>-336.78899999999999</v>
      </c>
      <c r="G5434" s="23">
        <v>0</v>
      </c>
      <c r="H5434" s="23">
        <v>0</v>
      </c>
      <c r="I5434" s="23">
        <v>0</v>
      </c>
      <c r="J5434" s="23">
        <v>0</v>
      </c>
      <c r="K5434" s="23">
        <v>0</v>
      </c>
    </row>
    <row r="5435" spans="1:11" x14ac:dyDescent="0.25">
      <c r="A5435">
        <v>5434</v>
      </c>
      <c r="B5435" s="23">
        <v>1541.5025800000001</v>
      </c>
      <c r="C5435" s="23">
        <v>630.62</v>
      </c>
      <c r="D5435" s="23">
        <v>2419.9929999999999</v>
      </c>
      <c r="E5435" s="23">
        <v>1541.502</v>
      </c>
      <c r="F5435" s="23">
        <v>-878.49099999999999</v>
      </c>
      <c r="G5435" s="23">
        <v>0</v>
      </c>
      <c r="H5435" s="23">
        <v>0</v>
      </c>
      <c r="I5435" s="23">
        <v>0</v>
      </c>
      <c r="J5435" s="23">
        <v>0</v>
      </c>
      <c r="K5435" s="23">
        <v>0</v>
      </c>
    </row>
    <row r="5436" spans="1:11" x14ac:dyDescent="0.25">
      <c r="A5436">
        <v>5435</v>
      </c>
      <c r="B5436" s="23">
        <v>1400.25713</v>
      </c>
      <c r="C5436" s="23">
        <v>875.05</v>
      </c>
      <c r="D5436" s="23">
        <v>3323.3919999999998</v>
      </c>
      <c r="E5436" s="23">
        <v>1400.258</v>
      </c>
      <c r="F5436" s="23">
        <v>-1684.559</v>
      </c>
      <c r="G5436" s="23">
        <v>0</v>
      </c>
      <c r="H5436" s="23">
        <v>238.57499999999999</v>
      </c>
      <c r="I5436" s="23">
        <v>0</v>
      </c>
      <c r="J5436" s="23">
        <v>0</v>
      </c>
      <c r="K5436" s="23">
        <v>0</v>
      </c>
    </row>
    <row r="5437" spans="1:11" x14ac:dyDescent="0.25">
      <c r="A5437">
        <v>5436</v>
      </c>
      <c r="B5437" s="23">
        <v>1426.2825029999999</v>
      </c>
      <c r="C5437" s="23">
        <v>779.67</v>
      </c>
      <c r="D5437" s="23">
        <v>2919.4859999999999</v>
      </c>
      <c r="E5437" s="23">
        <v>1426.2819999999999</v>
      </c>
      <c r="F5437" s="23">
        <v>-1493.204</v>
      </c>
      <c r="G5437" s="23">
        <v>0</v>
      </c>
      <c r="H5437" s="23">
        <v>0</v>
      </c>
      <c r="I5437" s="23">
        <v>0</v>
      </c>
      <c r="J5437" s="23">
        <v>0</v>
      </c>
      <c r="K5437" s="23">
        <v>0</v>
      </c>
    </row>
    <row r="5438" spans="1:11" x14ac:dyDescent="0.25">
      <c r="A5438">
        <v>5437</v>
      </c>
      <c r="B5438" s="23">
        <v>1362.240581</v>
      </c>
      <c r="C5438" s="23">
        <v>685.67</v>
      </c>
      <c r="D5438" s="23">
        <v>2583.252</v>
      </c>
      <c r="E5438" s="23">
        <v>1362.241</v>
      </c>
      <c r="F5438" s="23">
        <v>-1221.011</v>
      </c>
      <c r="G5438" s="23">
        <v>0</v>
      </c>
      <c r="H5438" s="23">
        <v>0</v>
      </c>
      <c r="I5438" s="23">
        <v>0</v>
      </c>
      <c r="J5438" s="23">
        <v>0</v>
      </c>
      <c r="K5438" s="23">
        <v>0</v>
      </c>
    </row>
    <row r="5439" spans="1:11" x14ac:dyDescent="0.25">
      <c r="A5439">
        <v>5438</v>
      </c>
      <c r="B5439" s="23">
        <v>1667.276445</v>
      </c>
      <c r="C5439" s="23">
        <v>704.59</v>
      </c>
      <c r="D5439" s="23">
        <v>2664.2669999999998</v>
      </c>
      <c r="E5439" s="23">
        <v>1667.277</v>
      </c>
      <c r="F5439" s="23">
        <v>-996.99</v>
      </c>
      <c r="G5439" s="23">
        <v>0</v>
      </c>
      <c r="H5439" s="23">
        <v>0</v>
      </c>
      <c r="I5439" s="23">
        <v>0</v>
      </c>
      <c r="J5439" s="23">
        <v>0</v>
      </c>
      <c r="K5439" s="23">
        <v>0</v>
      </c>
    </row>
    <row r="5440" spans="1:11" x14ac:dyDescent="0.25">
      <c r="A5440">
        <v>5439</v>
      </c>
      <c r="B5440" s="23">
        <v>1636.44982</v>
      </c>
      <c r="C5440" s="23">
        <v>561.77</v>
      </c>
      <c r="D5440" s="23">
        <v>2156.1779999999999</v>
      </c>
      <c r="E5440" s="23">
        <v>1636.45</v>
      </c>
      <c r="F5440" s="23">
        <v>-519.72799999999995</v>
      </c>
      <c r="G5440" s="23">
        <v>0</v>
      </c>
      <c r="H5440" s="23">
        <v>0</v>
      </c>
      <c r="I5440" s="23">
        <v>0</v>
      </c>
      <c r="J5440" s="23">
        <v>0</v>
      </c>
      <c r="K5440" s="23">
        <v>0</v>
      </c>
    </row>
    <row r="5441" spans="1:11" x14ac:dyDescent="0.25">
      <c r="A5441">
        <v>5440</v>
      </c>
      <c r="B5441" s="23">
        <v>1895.0569829999999</v>
      </c>
      <c r="C5441" s="23">
        <v>397.35</v>
      </c>
      <c r="D5441" s="23">
        <v>1550.307</v>
      </c>
      <c r="E5441" s="23">
        <v>1550.307</v>
      </c>
      <c r="F5441" s="23">
        <v>0</v>
      </c>
      <c r="G5441" s="23">
        <v>0</v>
      </c>
      <c r="H5441" s="23">
        <v>0</v>
      </c>
      <c r="I5441" s="23">
        <v>344.75</v>
      </c>
      <c r="J5441" s="23">
        <v>0</v>
      </c>
      <c r="K5441" s="23">
        <v>0</v>
      </c>
    </row>
    <row r="5442" spans="1:11" x14ac:dyDescent="0.25">
      <c r="A5442">
        <v>5441</v>
      </c>
      <c r="B5442" s="23">
        <v>1891.8793909999999</v>
      </c>
      <c r="C5442" s="23">
        <v>87.49</v>
      </c>
      <c r="D5442" s="23">
        <v>321.66699999999997</v>
      </c>
      <c r="E5442" s="23">
        <v>321.66699999999997</v>
      </c>
      <c r="F5442" s="23">
        <v>0</v>
      </c>
      <c r="G5442" s="23">
        <v>0</v>
      </c>
      <c r="H5442" s="23">
        <v>0</v>
      </c>
      <c r="I5442" s="23">
        <v>1570.213</v>
      </c>
      <c r="J5442" s="23">
        <v>0</v>
      </c>
      <c r="K5442" s="23">
        <v>0</v>
      </c>
    </row>
    <row r="5443" spans="1:11" x14ac:dyDescent="0.25">
      <c r="A5443">
        <v>5442</v>
      </c>
      <c r="B5443" s="23">
        <v>1615.2725150000001</v>
      </c>
      <c r="C5443" s="23">
        <v>17.62</v>
      </c>
      <c r="D5443" s="23">
        <v>43.030999999999999</v>
      </c>
      <c r="E5443" s="23">
        <v>43.030999999999999</v>
      </c>
      <c r="F5443" s="23">
        <v>0</v>
      </c>
      <c r="G5443" s="23">
        <v>0</v>
      </c>
      <c r="H5443" s="23">
        <v>0</v>
      </c>
      <c r="I5443" s="23">
        <v>0</v>
      </c>
      <c r="J5443" s="23">
        <v>0</v>
      </c>
      <c r="K5443" s="23">
        <v>1572.242</v>
      </c>
    </row>
    <row r="5444" spans="1:11" x14ac:dyDescent="0.25">
      <c r="A5444">
        <v>5443</v>
      </c>
      <c r="B5444" s="23">
        <v>1799.376606</v>
      </c>
      <c r="C5444" s="23">
        <v>0</v>
      </c>
      <c r="D5444" s="23">
        <v>0</v>
      </c>
      <c r="E5444" s="23">
        <v>0</v>
      </c>
      <c r="F5444" s="23">
        <v>0</v>
      </c>
      <c r="G5444" s="23">
        <v>0</v>
      </c>
      <c r="H5444" s="23">
        <v>0</v>
      </c>
      <c r="I5444" s="23">
        <v>114.81699999999999</v>
      </c>
      <c r="J5444" s="23">
        <v>0</v>
      </c>
      <c r="K5444" s="23">
        <v>1684.559</v>
      </c>
    </row>
    <row r="5445" spans="1:11" x14ac:dyDescent="0.25">
      <c r="A5445">
        <v>5444</v>
      </c>
      <c r="B5445" s="23">
        <v>1355.506875</v>
      </c>
      <c r="C5445" s="23">
        <v>0</v>
      </c>
      <c r="D5445" s="23">
        <v>0</v>
      </c>
      <c r="E5445" s="23">
        <v>0</v>
      </c>
      <c r="F5445" s="23">
        <v>0</v>
      </c>
      <c r="G5445" s="23">
        <v>0</v>
      </c>
      <c r="H5445" s="23">
        <v>0</v>
      </c>
      <c r="I5445" s="23">
        <v>0</v>
      </c>
      <c r="J5445" s="23">
        <v>0</v>
      </c>
      <c r="K5445" s="23">
        <v>1355.5070000000001</v>
      </c>
    </row>
    <row r="5446" spans="1:11" x14ac:dyDescent="0.25">
      <c r="A5446">
        <v>5445</v>
      </c>
      <c r="B5446" s="23">
        <v>1471.852556</v>
      </c>
      <c r="C5446" s="23">
        <v>0</v>
      </c>
      <c r="D5446" s="23">
        <v>0</v>
      </c>
      <c r="E5446" s="23">
        <v>0</v>
      </c>
      <c r="F5446" s="23">
        <v>0</v>
      </c>
      <c r="G5446" s="23">
        <v>0</v>
      </c>
      <c r="H5446" s="23">
        <v>0</v>
      </c>
      <c r="I5446" s="23">
        <v>1471.8530000000001</v>
      </c>
      <c r="J5446" s="23">
        <v>0</v>
      </c>
      <c r="K5446" s="23">
        <v>0</v>
      </c>
    </row>
    <row r="5447" spans="1:11" x14ac:dyDescent="0.25">
      <c r="A5447">
        <v>5446</v>
      </c>
      <c r="B5447" s="23">
        <v>1823.2802650000001</v>
      </c>
      <c r="C5447" s="23">
        <v>0</v>
      </c>
      <c r="D5447" s="23">
        <v>0</v>
      </c>
      <c r="E5447" s="23">
        <v>0</v>
      </c>
      <c r="F5447" s="23">
        <v>0</v>
      </c>
      <c r="G5447" s="23">
        <v>0</v>
      </c>
      <c r="H5447" s="23">
        <v>0</v>
      </c>
      <c r="I5447" s="23">
        <v>1823.28</v>
      </c>
      <c r="J5447" s="23">
        <v>0</v>
      </c>
      <c r="K5447" s="23">
        <v>0</v>
      </c>
    </row>
    <row r="5448" spans="1:11" x14ac:dyDescent="0.25">
      <c r="A5448">
        <v>5447</v>
      </c>
      <c r="B5448" s="23">
        <v>1494.962315</v>
      </c>
      <c r="C5448" s="23">
        <v>0</v>
      </c>
      <c r="D5448" s="23">
        <v>0</v>
      </c>
      <c r="E5448" s="23">
        <v>0</v>
      </c>
      <c r="F5448" s="23">
        <v>0</v>
      </c>
      <c r="G5448" s="23">
        <v>0</v>
      </c>
      <c r="H5448" s="23">
        <v>0</v>
      </c>
      <c r="I5448" s="23">
        <v>1494.962</v>
      </c>
      <c r="J5448" s="23">
        <v>0</v>
      </c>
      <c r="K5448" s="23">
        <v>0</v>
      </c>
    </row>
    <row r="5449" spans="1:11" x14ac:dyDescent="0.25">
      <c r="A5449">
        <v>5448</v>
      </c>
      <c r="B5449" s="23">
        <v>1516.4782970000001</v>
      </c>
      <c r="C5449" s="23">
        <v>0</v>
      </c>
      <c r="D5449" s="23">
        <v>0</v>
      </c>
      <c r="E5449" s="23">
        <v>0</v>
      </c>
      <c r="F5449" s="23">
        <v>0</v>
      </c>
      <c r="G5449" s="23">
        <v>0</v>
      </c>
      <c r="H5449" s="23">
        <v>0</v>
      </c>
      <c r="I5449" s="23">
        <v>1516.4780000000001</v>
      </c>
      <c r="J5449" s="23">
        <v>0</v>
      </c>
      <c r="K5449" s="23">
        <v>0</v>
      </c>
    </row>
    <row r="5450" spans="1:11" x14ac:dyDescent="0.25">
      <c r="A5450">
        <v>5449</v>
      </c>
      <c r="B5450" s="23">
        <v>1078.98666</v>
      </c>
      <c r="C5450" s="23">
        <v>0</v>
      </c>
      <c r="D5450" s="23">
        <v>0</v>
      </c>
      <c r="E5450" s="23">
        <v>0</v>
      </c>
      <c r="F5450" s="23">
        <v>0</v>
      </c>
      <c r="G5450" s="23">
        <v>0</v>
      </c>
      <c r="H5450" s="23">
        <v>0</v>
      </c>
      <c r="I5450" s="23">
        <v>1078.9870000000001</v>
      </c>
      <c r="J5450" s="23">
        <v>0</v>
      </c>
      <c r="K5450" s="23">
        <v>0</v>
      </c>
    </row>
    <row r="5451" spans="1:11" x14ac:dyDescent="0.25">
      <c r="A5451">
        <v>5450</v>
      </c>
      <c r="B5451" s="23">
        <v>1199.3167820000001</v>
      </c>
      <c r="C5451" s="23">
        <v>0</v>
      </c>
      <c r="D5451" s="23">
        <v>0</v>
      </c>
      <c r="E5451" s="23">
        <v>0</v>
      </c>
      <c r="F5451" s="23">
        <v>0</v>
      </c>
      <c r="G5451" s="23">
        <v>0</v>
      </c>
      <c r="H5451" s="23">
        <v>0</v>
      </c>
      <c r="I5451" s="23">
        <v>1199.317</v>
      </c>
      <c r="J5451" s="23">
        <v>0</v>
      </c>
      <c r="K5451" s="23">
        <v>0</v>
      </c>
    </row>
    <row r="5452" spans="1:11" x14ac:dyDescent="0.25">
      <c r="A5452">
        <v>5451</v>
      </c>
      <c r="B5452" s="23">
        <v>1483.0089909999999</v>
      </c>
      <c r="C5452" s="23">
        <v>0</v>
      </c>
      <c r="D5452" s="23">
        <v>0</v>
      </c>
      <c r="E5452" s="23">
        <v>0</v>
      </c>
      <c r="F5452" s="23">
        <v>0</v>
      </c>
      <c r="G5452" s="23">
        <v>0</v>
      </c>
      <c r="H5452" s="23">
        <v>0</v>
      </c>
      <c r="I5452" s="23">
        <v>1483.009</v>
      </c>
      <c r="J5452" s="23">
        <v>0</v>
      </c>
      <c r="K5452" s="23">
        <v>0</v>
      </c>
    </row>
    <row r="5453" spans="1:11" x14ac:dyDescent="0.25">
      <c r="A5453">
        <v>5452</v>
      </c>
      <c r="B5453" s="23">
        <v>1071.814666</v>
      </c>
      <c r="C5453" s="23">
        <v>0</v>
      </c>
      <c r="D5453" s="23">
        <v>0</v>
      </c>
      <c r="E5453" s="23">
        <v>0</v>
      </c>
      <c r="F5453" s="23">
        <v>0</v>
      </c>
      <c r="G5453" s="23">
        <v>0</v>
      </c>
      <c r="H5453" s="23">
        <v>0</v>
      </c>
      <c r="I5453" s="23">
        <v>1071.8150000000001</v>
      </c>
      <c r="J5453" s="23">
        <v>0</v>
      </c>
      <c r="K5453" s="23">
        <v>0</v>
      </c>
    </row>
    <row r="5454" spans="1:11" x14ac:dyDescent="0.25">
      <c r="A5454">
        <v>5453</v>
      </c>
      <c r="B5454" s="23">
        <v>1069.4240010000001</v>
      </c>
      <c r="C5454" s="23">
        <v>0</v>
      </c>
      <c r="D5454" s="23">
        <v>0</v>
      </c>
      <c r="E5454" s="23">
        <v>0</v>
      </c>
      <c r="F5454" s="23">
        <v>0</v>
      </c>
      <c r="G5454" s="23">
        <v>0</v>
      </c>
      <c r="H5454" s="23">
        <v>0</v>
      </c>
      <c r="I5454" s="23">
        <v>934.75400000000002</v>
      </c>
      <c r="J5454" s="23">
        <v>0</v>
      </c>
      <c r="K5454" s="23">
        <v>134.66999999999999</v>
      </c>
    </row>
    <row r="5455" spans="1:11" x14ac:dyDescent="0.25">
      <c r="A5455">
        <v>5454</v>
      </c>
      <c r="B5455" s="23">
        <v>908.45257939999999</v>
      </c>
      <c r="C5455" s="23">
        <v>0</v>
      </c>
      <c r="D5455" s="23">
        <v>0</v>
      </c>
      <c r="E5455" s="23">
        <v>0</v>
      </c>
      <c r="F5455" s="23">
        <v>0</v>
      </c>
      <c r="G5455" s="23">
        <v>0</v>
      </c>
      <c r="H5455" s="23">
        <v>0</v>
      </c>
      <c r="I5455" s="23">
        <v>0</v>
      </c>
      <c r="J5455" s="23">
        <v>0</v>
      </c>
      <c r="K5455" s="23">
        <v>908.45299999999997</v>
      </c>
    </row>
    <row r="5456" spans="1:11" x14ac:dyDescent="0.25">
      <c r="A5456">
        <v>5455</v>
      </c>
      <c r="B5456" s="23">
        <v>961.04720239999995</v>
      </c>
      <c r="C5456" s="23">
        <v>80.56</v>
      </c>
      <c r="D5456" s="23">
        <v>280.459</v>
      </c>
      <c r="E5456" s="23">
        <v>280.459</v>
      </c>
      <c r="F5456" s="23">
        <v>0</v>
      </c>
      <c r="G5456" s="23">
        <v>0</v>
      </c>
      <c r="H5456" s="23">
        <v>0</v>
      </c>
      <c r="I5456" s="23">
        <v>0</v>
      </c>
      <c r="J5456" s="23">
        <v>0</v>
      </c>
      <c r="K5456" s="23">
        <v>680.58799999999997</v>
      </c>
    </row>
    <row r="5457" spans="1:11" x14ac:dyDescent="0.25">
      <c r="A5457">
        <v>5456</v>
      </c>
      <c r="B5457" s="23">
        <v>1232.0808420000001</v>
      </c>
      <c r="C5457" s="23">
        <v>257.24</v>
      </c>
      <c r="D5457" s="23">
        <v>1016.25</v>
      </c>
      <c r="E5457" s="23">
        <v>1016.25</v>
      </c>
      <c r="F5457" s="23">
        <v>0</v>
      </c>
      <c r="G5457" s="23">
        <v>0</v>
      </c>
      <c r="H5457" s="23">
        <v>0</v>
      </c>
      <c r="I5457" s="23">
        <v>0</v>
      </c>
      <c r="J5457" s="23">
        <v>0</v>
      </c>
      <c r="K5457" s="23">
        <v>215.83099999999999</v>
      </c>
    </row>
    <row r="5458" spans="1:11" x14ac:dyDescent="0.25">
      <c r="A5458">
        <v>5457</v>
      </c>
      <c r="B5458" s="23">
        <v>898.59307980000006</v>
      </c>
      <c r="C5458" s="23">
        <v>444.41</v>
      </c>
      <c r="D5458" s="23">
        <v>1752.009</v>
      </c>
      <c r="E5458" s="23">
        <v>898.59299999999996</v>
      </c>
      <c r="F5458" s="23">
        <v>-853.41600000000005</v>
      </c>
      <c r="G5458" s="23">
        <v>0</v>
      </c>
      <c r="H5458" s="23">
        <v>0</v>
      </c>
      <c r="I5458" s="23">
        <v>0</v>
      </c>
      <c r="J5458" s="23">
        <v>0</v>
      </c>
      <c r="K5458" s="23">
        <v>0</v>
      </c>
    </row>
    <row r="5459" spans="1:11" x14ac:dyDescent="0.25">
      <c r="A5459">
        <v>5458</v>
      </c>
      <c r="B5459" s="23">
        <v>1637.5823969999999</v>
      </c>
      <c r="C5459" s="23">
        <v>581.82000000000005</v>
      </c>
      <c r="D5459" s="23">
        <v>2253.0509999999999</v>
      </c>
      <c r="E5459" s="23">
        <v>1637.5820000000001</v>
      </c>
      <c r="F5459" s="23">
        <v>-615.46900000000005</v>
      </c>
      <c r="G5459" s="23">
        <v>0</v>
      </c>
      <c r="H5459" s="23">
        <v>0</v>
      </c>
      <c r="I5459" s="23">
        <v>0</v>
      </c>
      <c r="J5459" s="23">
        <v>0</v>
      </c>
      <c r="K5459" s="23">
        <v>0</v>
      </c>
    </row>
    <row r="5460" spans="1:11" x14ac:dyDescent="0.25">
      <c r="A5460">
        <v>5459</v>
      </c>
      <c r="B5460" s="23">
        <v>1399.4642260000001</v>
      </c>
      <c r="C5460" s="23">
        <v>639.04999999999995</v>
      </c>
      <c r="D5460" s="23">
        <v>2445.652</v>
      </c>
      <c r="E5460" s="23">
        <v>1399.4649999999999</v>
      </c>
      <c r="F5460" s="23">
        <v>-1046.1869999999999</v>
      </c>
      <c r="G5460" s="23">
        <v>0</v>
      </c>
      <c r="H5460" s="23">
        <v>0</v>
      </c>
      <c r="I5460" s="23">
        <v>0</v>
      </c>
      <c r="J5460" s="23">
        <v>0</v>
      </c>
      <c r="K5460" s="23">
        <v>0</v>
      </c>
    </row>
    <row r="5461" spans="1:11" x14ac:dyDescent="0.25">
      <c r="A5461">
        <v>5460</v>
      </c>
      <c r="B5461" s="23">
        <v>1253.0838269999999</v>
      </c>
      <c r="C5461" s="23">
        <v>962.85</v>
      </c>
      <c r="D5461" s="23">
        <v>3671.259</v>
      </c>
      <c r="E5461" s="23">
        <v>1253.0840000000001</v>
      </c>
      <c r="F5461" s="23">
        <v>-1684.559</v>
      </c>
      <c r="G5461" s="23">
        <v>0</v>
      </c>
      <c r="H5461" s="23">
        <v>733.61599999999999</v>
      </c>
      <c r="I5461" s="23">
        <v>0</v>
      </c>
      <c r="J5461" s="23">
        <v>0</v>
      </c>
      <c r="K5461" s="23">
        <v>0</v>
      </c>
    </row>
    <row r="5462" spans="1:11" x14ac:dyDescent="0.25">
      <c r="A5462">
        <v>5461</v>
      </c>
      <c r="B5462" s="23">
        <v>1139.53622</v>
      </c>
      <c r="C5462" s="23">
        <v>758.09</v>
      </c>
      <c r="D5462" s="23">
        <v>2872.2869999999998</v>
      </c>
      <c r="E5462" s="23">
        <v>1139.537</v>
      </c>
      <c r="F5462" s="23">
        <v>-1684.559</v>
      </c>
      <c r="G5462" s="23">
        <v>0</v>
      </c>
      <c r="H5462" s="23">
        <v>48.191000000000003</v>
      </c>
      <c r="I5462" s="23">
        <v>0</v>
      </c>
      <c r="J5462" s="23">
        <v>0</v>
      </c>
      <c r="K5462" s="23">
        <v>0</v>
      </c>
    </row>
    <row r="5463" spans="1:11" x14ac:dyDescent="0.25">
      <c r="A5463">
        <v>5462</v>
      </c>
      <c r="B5463" s="23">
        <v>1059.7836460000001</v>
      </c>
      <c r="C5463" s="23">
        <v>883.33</v>
      </c>
      <c r="D5463" s="23">
        <v>3392.2979999999998</v>
      </c>
      <c r="E5463" s="23">
        <v>1059.7840000000001</v>
      </c>
      <c r="F5463" s="23">
        <v>-1407.308</v>
      </c>
      <c r="G5463" s="23">
        <v>0</v>
      </c>
      <c r="H5463" s="23">
        <v>925.20600000000002</v>
      </c>
      <c r="I5463" s="23">
        <v>0</v>
      </c>
      <c r="J5463" s="23">
        <v>0</v>
      </c>
      <c r="K5463" s="23">
        <v>0</v>
      </c>
    </row>
    <row r="5464" spans="1:11" x14ac:dyDescent="0.25">
      <c r="A5464">
        <v>5463</v>
      </c>
      <c r="B5464" s="23">
        <v>1558.944471</v>
      </c>
      <c r="C5464" s="23">
        <v>738.23</v>
      </c>
      <c r="D5464" s="23">
        <v>2876.6979999999999</v>
      </c>
      <c r="E5464" s="23">
        <v>1558.944</v>
      </c>
      <c r="F5464" s="23">
        <v>0</v>
      </c>
      <c r="G5464" s="23">
        <v>0</v>
      </c>
      <c r="H5464" s="23">
        <v>1317.7539999999999</v>
      </c>
      <c r="I5464" s="23">
        <v>0</v>
      </c>
      <c r="J5464" s="23">
        <v>0</v>
      </c>
      <c r="K5464" s="23">
        <v>0</v>
      </c>
    </row>
    <row r="5465" spans="1:11" x14ac:dyDescent="0.25">
      <c r="A5465">
        <v>5464</v>
      </c>
      <c r="B5465" s="23">
        <v>1523.569606</v>
      </c>
      <c r="C5465" s="23">
        <v>461.71</v>
      </c>
      <c r="D5465" s="23">
        <v>1807.5250000000001</v>
      </c>
      <c r="E5465" s="23">
        <v>1523.569</v>
      </c>
      <c r="F5465" s="23">
        <v>0</v>
      </c>
      <c r="G5465" s="23">
        <v>0</v>
      </c>
      <c r="H5465" s="23">
        <v>283.95600000000002</v>
      </c>
      <c r="I5465" s="23">
        <v>0</v>
      </c>
      <c r="J5465" s="23">
        <v>0</v>
      </c>
      <c r="K5465" s="23">
        <v>0</v>
      </c>
    </row>
    <row r="5466" spans="1:11" x14ac:dyDescent="0.25">
      <c r="A5466">
        <v>5465</v>
      </c>
      <c r="B5466" s="23">
        <v>1542.743733</v>
      </c>
      <c r="C5466" s="23">
        <v>307.27</v>
      </c>
      <c r="D5466" s="23">
        <v>1180.211</v>
      </c>
      <c r="E5466" s="23">
        <v>1180.211</v>
      </c>
      <c r="F5466" s="23">
        <v>0</v>
      </c>
      <c r="G5466" s="23">
        <v>0</v>
      </c>
      <c r="H5466" s="23">
        <v>0</v>
      </c>
      <c r="I5466" s="23">
        <v>362.53300000000002</v>
      </c>
      <c r="J5466" s="23">
        <v>0</v>
      </c>
      <c r="K5466" s="23">
        <v>0</v>
      </c>
    </row>
    <row r="5467" spans="1:11" x14ac:dyDescent="0.25">
      <c r="A5467">
        <v>5466</v>
      </c>
      <c r="B5467" s="23">
        <v>951.08012289999999</v>
      </c>
      <c r="C5467" s="23">
        <v>71.569999999999993</v>
      </c>
      <c r="D5467" s="23">
        <v>239.02</v>
      </c>
      <c r="E5467" s="23">
        <v>239.02</v>
      </c>
      <c r="F5467" s="23">
        <v>0</v>
      </c>
      <c r="G5467" s="23">
        <v>0</v>
      </c>
      <c r="H5467" s="23">
        <v>0</v>
      </c>
      <c r="I5467" s="23">
        <v>0</v>
      </c>
      <c r="J5467" s="23">
        <v>0</v>
      </c>
      <c r="K5467" s="23">
        <v>712.06</v>
      </c>
    </row>
    <row r="5468" spans="1:11" x14ac:dyDescent="0.25">
      <c r="A5468">
        <v>5467</v>
      </c>
      <c r="B5468" s="23">
        <v>976.12133930000005</v>
      </c>
      <c r="C5468" s="23">
        <v>0</v>
      </c>
      <c r="D5468" s="23">
        <v>0</v>
      </c>
      <c r="E5468" s="23">
        <v>0</v>
      </c>
      <c r="F5468" s="23">
        <v>0</v>
      </c>
      <c r="G5468" s="23">
        <v>0</v>
      </c>
      <c r="H5468" s="23">
        <v>0</v>
      </c>
      <c r="I5468" s="23">
        <v>0</v>
      </c>
      <c r="J5468" s="23">
        <v>0</v>
      </c>
      <c r="K5468" s="23">
        <v>976.12099999999998</v>
      </c>
    </row>
    <row r="5469" spans="1:11" x14ac:dyDescent="0.25">
      <c r="A5469">
        <v>5468</v>
      </c>
      <c r="B5469" s="23">
        <v>1243.9425229999999</v>
      </c>
      <c r="C5469" s="23">
        <v>0</v>
      </c>
      <c r="D5469" s="23">
        <v>0</v>
      </c>
      <c r="E5469" s="23">
        <v>0</v>
      </c>
      <c r="F5469" s="23">
        <v>0</v>
      </c>
      <c r="G5469" s="23">
        <v>0</v>
      </c>
      <c r="H5469" s="23">
        <v>0</v>
      </c>
      <c r="I5469" s="23">
        <v>0</v>
      </c>
      <c r="J5469" s="23">
        <v>0</v>
      </c>
      <c r="K5469" s="23">
        <v>1243.943</v>
      </c>
    </row>
    <row r="5470" spans="1:11" x14ac:dyDescent="0.25">
      <c r="A5470">
        <v>5469</v>
      </c>
      <c r="B5470" s="23">
        <v>1221.629653</v>
      </c>
      <c r="C5470" s="23">
        <v>0</v>
      </c>
      <c r="D5470" s="23">
        <v>0</v>
      </c>
      <c r="E5470" s="23">
        <v>0</v>
      </c>
      <c r="F5470" s="23">
        <v>0</v>
      </c>
      <c r="G5470" s="23">
        <v>0</v>
      </c>
      <c r="H5470" s="23">
        <v>0</v>
      </c>
      <c r="I5470" s="23">
        <v>1221.6300000000001</v>
      </c>
      <c r="J5470" s="23">
        <v>0</v>
      </c>
      <c r="K5470" s="23">
        <v>0</v>
      </c>
    </row>
    <row r="5471" spans="1:11" x14ac:dyDescent="0.25">
      <c r="A5471">
        <v>5470</v>
      </c>
      <c r="B5471" s="23">
        <v>1326.8188990000001</v>
      </c>
      <c r="C5471" s="23">
        <v>0</v>
      </c>
      <c r="D5471" s="23">
        <v>0</v>
      </c>
      <c r="E5471" s="23">
        <v>0</v>
      </c>
      <c r="F5471" s="23">
        <v>0</v>
      </c>
      <c r="G5471" s="23">
        <v>0</v>
      </c>
      <c r="H5471" s="23">
        <v>0</v>
      </c>
      <c r="I5471" s="23">
        <v>1326.819</v>
      </c>
      <c r="J5471" s="23">
        <v>0</v>
      </c>
      <c r="K5471" s="23">
        <v>0</v>
      </c>
    </row>
    <row r="5472" spans="1:11" x14ac:dyDescent="0.25">
      <c r="A5472">
        <v>5471</v>
      </c>
      <c r="B5472" s="23">
        <v>1231.9892</v>
      </c>
      <c r="C5472" s="23">
        <v>0</v>
      </c>
      <c r="D5472" s="23">
        <v>0</v>
      </c>
      <c r="E5472" s="23">
        <v>0</v>
      </c>
      <c r="F5472" s="23">
        <v>0</v>
      </c>
      <c r="G5472" s="23">
        <v>0</v>
      </c>
      <c r="H5472" s="23">
        <v>0</v>
      </c>
      <c r="I5472" s="23">
        <v>1231.989</v>
      </c>
      <c r="J5472" s="23">
        <v>0</v>
      </c>
      <c r="K5472" s="23">
        <v>0</v>
      </c>
    </row>
    <row r="5473" spans="1:11" x14ac:dyDescent="0.25">
      <c r="A5473">
        <v>5472</v>
      </c>
      <c r="B5473" s="23">
        <v>1280.5993820000001</v>
      </c>
      <c r="C5473" s="23">
        <v>0</v>
      </c>
      <c r="D5473" s="23">
        <v>0</v>
      </c>
      <c r="E5473" s="23">
        <v>0</v>
      </c>
      <c r="F5473" s="23">
        <v>0</v>
      </c>
      <c r="G5473" s="23">
        <v>0</v>
      </c>
      <c r="H5473" s="23">
        <v>0</v>
      </c>
      <c r="I5473" s="23">
        <v>1280.5989999999999</v>
      </c>
      <c r="J5473" s="23">
        <v>0</v>
      </c>
      <c r="K5473" s="23">
        <v>0</v>
      </c>
    </row>
    <row r="5474" spans="1:11" x14ac:dyDescent="0.25">
      <c r="A5474">
        <v>5473</v>
      </c>
      <c r="B5474" s="23">
        <v>1526.8378439999999</v>
      </c>
      <c r="C5474" s="23">
        <v>0</v>
      </c>
      <c r="D5474" s="23">
        <v>0</v>
      </c>
      <c r="E5474" s="23">
        <v>0</v>
      </c>
      <c r="F5474" s="23">
        <v>0</v>
      </c>
      <c r="G5474" s="23">
        <v>0</v>
      </c>
      <c r="H5474" s="23">
        <v>0</v>
      </c>
      <c r="I5474" s="23">
        <v>1526.838</v>
      </c>
      <c r="J5474" s="23">
        <v>0</v>
      </c>
      <c r="K5474" s="23">
        <v>0</v>
      </c>
    </row>
    <row r="5475" spans="1:11" x14ac:dyDescent="0.25">
      <c r="A5475">
        <v>5474</v>
      </c>
      <c r="B5475" s="23">
        <v>1339.5691099999999</v>
      </c>
      <c r="C5475" s="23">
        <v>0</v>
      </c>
      <c r="D5475" s="23">
        <v>0</v>
      </c>
      <c r="E5475" s="23">
        <v>0</v>
      </c>
      <c r="F5475" s="23">
        <v>0</v>
      </c>
      <c r="G5475" s="23">
        <v>0</v>
      </c>
      <c r="H5475" s="23">
        <v>0</v>
      </c>
      <c r="I5475" s="23">
        <v>1339.569</v>
      </c>
      <c r="J5475" s="23">
        <v>0</v>
      </c>
      <c r="K5475" s="23">
        <v>0</v>
      </c>
    </row>
    <row r="5476" spans="1:11" x14ac:dyDescent="0.25">
      <c r="A5476">
        <v>5475</v>
      </c>
      <c r="B5476" s="23">
        <v>1200.1136710000001</v>
      </c>
      <c r="C5476" s="23">
        <v>0</v>
      </c>
      <c r="D5476" s="23">
        <v>0</v>
      </c>
      <c r="E5476" s="23">
        <v>0</v>
      </c>
      <c r="F5476" s="23">
        <v>0</v>
      </c>
      <c r="G5476" s="23">
        <v>0</v>
      </c>
      <c r="H5476" s="23">
        <v>0</v>
      </c>
      <c r="I5476" s="23">
        <v>1200.114</v>
      </c>
      <c r="J5476" s="23">
        <v>0</v>
      </c>
      <c r="K5476" s="23">
        <v>0</v>
      </c>
    </row>
    <row r="5477" spans="1:11" x14ac:dyDescent="0.25">
      <c r="A5477">
        <v>5476</v>
      </c>
      <c r="B5477" s="23">
        <v>1116.4404070000001</v>
      </c>
      <c r="C5477" s="23">
        <v>0</v>
      </c>
      <c r="D5477" s="23">
        <v>0</v>
      </c>
      <c r="E5477" s="23">
        <v>0</v>
      </c>
      <c r="F5477" s="23">
        <v>0</v>
      </c>
      <c r="G5477" s="23">
        <v>0</v>
      </c>
      <c r="H5477" s="23">
        <v>0</v>
      </c>
      <c r="I5477" s="23">
        <v>821.37800000000004</v>
      </c>
      <c r="J5477" s="23">
        <v>0</v>
      </c>
      <c r="K5477" s="23">
        <v>295.06200000000001</v>
      </c>
    </row>
    <row r="5478" spans="1:11" x14ac:dyDescent="0.25">
      <c r="A5478">
        <v>5477</v>
      </c>
      <c r="B5478" s="23">
        <v>1081.3773249999999</v>
      </c>
      <c r="C5478" s="23">
        <v>0</v>
      </c>
      <c r="D5478" s="23">
        <v>0</v>
      </c>
      <c r="E5478" s="23">
        <v>0</v>
      </c>
      <c r="F5478" s="23">
        <v>0</v>
      </c>
      <c r="G5478" s="23">
        <v>0</v>
      </c>
      <c r="H5478" s="23">
        <v>0</v>
      </c>
      <c r="I5478" s="23">
        <v>0</v>
      </c>
      <c r="J5478" s="23">
        <v>0</v>
      </c>
      <c r="K5478" s="23">
        <v>1081.377</v>
      </c>
    </row>
    <row r="5479" spans="1:11" x14ac:dyDescent="0.25">
      <c r="A5479">
        <v>5478</v>
      </c>
      <c r="B5479" s="23">
        <v>1066.2364480000001</v>
      </c>
      <c r="C5479" s="23">
        <v>0</v>
      </c>
      <c r="D5479" s="23">
        <v>0</v>
      </c>
      <c r="E5479" s="23">
        <v>0</v>
      </c>
      <c r="F5479" s="23">
        <v>0</v>
      </c>
      <c r="G5479" s="23">
        <v>0</v>
      </c>
      <c r="H5479" s="23">
        <v>0</v>
      </c>
      <c r="I5479" s="23">
        <v>0</v>
      </c>
      <c r="J5479" s="23">
        <v>0</v>
      </c>
      <c r="K5479" s="23">
        <v>1066.2360000000001</v>
      </c>
    </row>
    <row r="5480" spans="1:11" x14ac:dyDescent="0.25">
      <c r="A5480">
        <v>5479</v>
      </c>
      <c r="B5480" s="23">
        <v>1336.381558</v>
      </c>
      <c r="C5480" s="23">
        <v>46.91</v>
      </c>
      <c r="D5480" s="23">
        <v>159.333</v>
      </c>
      <c r="E5480" s="23">
        <v>159.333</v>
      </c>
      <c r="F5480" s="23">
        <v>0</v>
      </c>
      <c r="G5480" s="23">
        <v>0</v>
      </c>
      <c r="H5480" s="23">
        <v>0</v>
      </c>
      <c r="I5480" s="23">
        <v>0</v>
      </c>
      <c r="J5480" s="23">
        <v>0</v>
      </c>
      <c r="K5480" s="23">
        <v>1177.049</v>
      </c>
    </row>
    <row r="5481" spans="1:11" x14ac:dyDescent="0.25">
      <c r="A5481">
        <v>5480</v>
      </c>
      <c r="B5481" s="23">
        <v>911.69491830000004</v>
      </c>
      <c r="C5481" s="23">
        <v>260.37</v>
      </c>
      <c r="D5481" s="23">
        <v>1026.741</v>
      </c>
      <c r="E5481" s="23">
        <v>911.69500000000005</v>
      </c>
      <c r="F5481" s="23">
        <v>-115.04600000000001</v>
      </c>
      <c r="G5481" s="23">
        <v>0</v>
      </c>
      <c r="H5481" s="23">
        <v>0</v>
      </c>
      <c r="I5481" s="23">
        <v>0</v>
      </c>
      <c r="J5481" s="23">
        <v>0</v>
      </c>
      <c r="K5481" s="23">
        <v>0</v>
      </c>
    </row>
    <row r="5482" spans="1:11" x14ac:dyDescent="0.25">
      <c r="A5482">
        <v>5481</v>
      </c>
      <c r="B5482" s="23">
        <v>1039.4978599999999</v>
      </c>
      <c r="C5482" s="23">
        <v>562.21</v>
      </c>
      <c r="D5482" s="23">
        <v>2240.5810000000001</v>
      </c>
      <c r="E5482" s="23">
        <v>1039.498</v>
      </c>
      <c r="F5482" s="23">
        <v>-1201.0830000000001</v>
      </c>
      <c r="G5482" s="23">
        <v>0</v>
      </c>
      <c r="H5482" s="23">
        <v>0</v>
      </c>
      <c r="I5482" s="23">
        <v>0</v>
      </c>
      <c r="J5482" s="23">
        <v>0</v>
      </c>
      <c r="K5482" s="23">
        <v>0</v>
      </c>
    </row>
    <row r="5483" spans="1:11" x14ac:dyDescent="0.25">
      <c r="A5483">
        <v>5482</v>
      </c>
      <c r="B5483" s="23">
        <v>1131.3790730000001</v>
      </c>
      <c r="C5483" s="23">
        <v>647.47</v>
      </c>
      <c r="D5483" s="23">
        <v>2485.3139999999999</v>
      </c>
      <c r="E5483" s="23">
        <v>1131.3789999999999</v>
      </c>
      <c r="F5483" s="23">
        <v>-1353.9349999999999</v>
      </c>
      <c r="G5483" s="23">
        <v>0</v>
      </c>
      <c r="H5483" s="23">
        <v>0</v>
      </c>
      <c r="I5483" s="23">
        <v>0</v>
      </c>
      <c r="J5483" s="23">
        <v>0</v>
      </c>
      <c r="K5483" s="23">
        <v>0</v>
      </c>
    </row>
    <row r="5484" spans="1:11" x14ac:dyDescent="0.25">
      <c r="A5484">
        <v>5483</v>
      </c>
      <c r="B5484" s="23">
        <v>1048.208844</v>
      </c>
      <c r="C5484" s="23">
        <v>890.17</v>
      </c>
      <c r="D5484" s="23">
        <v>3384.1770000000001</v>
      </c>
      <c r="E5484" s="23">
        <v>1048.2090000000001</v>
      </c>
      <c r="F5484" s="23">
        <v>-1684.559</v>
      </c>
      <c r="G5484" s="23">
        <v>0</v>
      </c>
      <c r="H5484" s="23">
        <v>651.40899999999999</v>
      </c>
      <c r="I5484" s="23">
        <v>0</v>
      </c>
      <c r="J5484" s="23">
        <v>0</v>
      </c>
      <c r="K5484" s="23">
        <v>0</v>
      </c>
    </row>
    <row r="5485" spans="1:11" x14ac:dyDescent="0.25">
      <c r="A5485">
        <v>5484</v>
      </c>
      <c r="B5485" s="23">
        <v>1006.978844</v>
      </c>
      <c r="C5485" s="23">
        <v>960.1</v>
      </c>
      <c r="D5485" s="23">
        <v>3620.221</v>
      </c>
      <c r="E5485" s="23">
        <v>1006.979</v>
      </c>
      <c r="F5485" s="23">
        <v>-1684.559</v>
      </c>
      <c r="G5485" s="23">
        <v>0</v>
      </c>
      <c r="H5485" s="23">
        <v>928.68299999999999</v>
      </c>
      <c r="I5485" s="23">
        <v>0</v>
      </c>
      <c r="J5485" s="23">
        <v>0</v>
      </c>
      <c r="K5485" s="23">
        <v>0</v>
      </c>
    </row>
    <row r="5486" spans="1:11" x14ac:dyDescent="0.25">
      <c r="A5486">
        <v>5485</v>
      </c>
      <c r="B5486" s="23">
        <v>904.38346879999995</v>
      </c>
      <c r="C5486" s="23">
        <v>957.1</v>
      </c>
      <c r="D5486" s="23">
        <v>3619.7570000000001</v>
      </c>
      <c r="E5486" s="23">
        <v>904.38400000000001</v>
      </c>
      <c r="F5486" s="23">
        <v>-1252.3150000000001</v>
      </c>
      <c r="G5486" s="23">
        <v>0</v>
      </c>
      <c r="H5486" s="23">
        <v>1463.058</v>
      </c>
      <c r="I5486" s="23">
        <v>0</v>
      </c>
      <c r="J5486" s="23">
        <v>0</v>
      </c>
      <c r="K5486" s="23">
        <v>0</v>
      </c>
    </row>
    <row r="5487" spans="1:11" x14ac:dyDescent="0.25">
      <c r="A5487">
        <v>5486</v>
      </c>
      <c r="B5487" s="23">
        <v>1037.64111</v>
      </c>
      <c r="C5487" s="23">
        <v>875.17</v>
      </c>
      <c r="D5487" s="23">
        <v>3349.66</v>
      </c>
      <c r="E5487" s="23">
        <v>1037.6410000000001</v>
      </c>
      <c r="F5487" s="23">
        <v>0</v>
      </c>
      <c r="G5487" s="23">
        <v>0</v>
      </c>
      <c r="H5487" s="23">
        <v>2312.0189999999998</v>
      </c>
      <c r="I5487" s="23">
        <v>0</v>
      </c>
      <c r="J5487" s="23">
        <v>0</v>
      </c>
      <c r="K5487" s="23">
        <v>0</v>
      </c>
    </row>
    <row r="5488" spans="1:11" x14ac:dyDescent="0.25">
      <c r="A5488">
        <v>5487</v>
      </c>
      <c r="B5488" s="23">
        <v>1025.9706819999999</v>
      </c>
      <c r="C5488" s="23">
        <v>729.64</v>
      </c>
      <c r="D5488" s="23">
        <v>2845.7289999999998</v>
      </c>
      <c r="E5488" s="23">
        <v>1025.97</v>
      </c>
      <c r="F5488" s="23">
        <v>0</v>
      </c>
      <c r="G5488" s="23">
        <v>0</v>
      </c>
      <c r="H5488" s="23">
        <v>1819.759</v>
      </c>
      <c r="I5488" s="23">
        <v>0</v>
      </c>
      <c r="J5488" s="23">
        <v>0</v>
      </c>
      <c r="K5488" s="23">
        <v>0</v>
      </c>
    </row>
    <row r="5489" spans="1:11" x14ac:dyDescent="0.25">
      <c r="A5489">
        <v>5488</v>
      </c>
      <c r="B5489" s="23">
        <v>1029.4660329999999</v>
      </c>
      <c r="C5489" s="23">
        <v>531.49</v>
      </c>
      <c r="D5489" s="23">
        <v>2118.0859999999998</v>
      </c>
      <c r="E5489" s="23">
        <v>1029.4659999999999</v>
      </c>
      <c r="F5489" s="23">
        <v>0</v>
      </c>
      <c r="G5489" s="23">
        <v>0</v>
      </c>
      <c r="H5489" s="23">
        <v>1088.6199999999999</v>
      </c>
      <c r="I5489" s="23">
        <v>0</v>
      </c>
      <c r="J5489" s="23">
        <v>0</v>
      </c>
      <c r="K5489" s="23">
        <v>0</v>
      </c>
    </row>
    <row r="5490" spans="1:11" x14ac:dyDescent="0.25">
      <c r="A5490">
        <v>5489</v>
      </c>
      <c r="B5490" s="23">
        <v>1371.022289</v>
      </c>
      <c r="C5490" s="23">
        <v>302.36</v>
      </c>
      <c r="D5490" s="23">
        <v>1170.53</v>
      </c>
      <c r="E5490" s="23">
        <v>1170.53</v>
      </c>
      <c r="F5490" s="23">
        <v>0</v>
      </c>
      <c r="G5490" s="23">
        <v>0</v>
      </c>
      <c r="H5490" s="23">
        <v>0</v>
      </c>
      <c r="I5490" s="23">
        <v>200.49199999999999</v>
      </c>
      <c r="J5490" s="23">
        <v>0</v>
      </c>
      <c r="K5490" s="23">
        <v>0</v>
      </c>
    </row>
    <row r="5491" spans="1:11" x14ac:dyDescent="0.25">
      <c r="A5491">
        <v>5490</v>
      </c>
      <c r="B5491" s="23">
        <v>1163.901077</v>
      </c>
      <c r="C5491" s="23">
        <v>83.43</v>
      </c>
      <c r="D5491" s="23">
        <v>249.95599999999999</v>
      </c>
      <c r="E5491" s="23">
        <v>249.95599999999999</v>
      </c>
      <c r="F5491" s="23">
        <v>0</v>
      </c>
      <c r="G5491" s="23">
        <v>0</v>
      </c>
      <c r="H5491" s="23">
        <v>0</v>
      </c>
      <c r="I5491" s="23">
        <v>913.94500000000005</v>
      </c>
      <c r="J5491" s="23">
        <v>0</v>
      </c>
      <c r="K5491" s="23">
        <v>0</v>
      </c>
    </row>
    <row r="5492" spans="1:11" x14ac:dyDescent="0.25">
      <c r="A5492">
        <v>5491</v>
      </c>
      <c r="B5492" s="23">
        <v>1193.7385650000001</v>
      </c>
      <c r="C5492" s="23">
        <v>0</v>
      </c>
      <c r="D5492" s="23">
        <v>0</v>
      </c>
      <c r="E5492" s="23">
        <v>0</v>
      </c>
      <c r="F5492" s="23">
        <v>0</v>
      </c>
      <c r="G5492" s="23">
        <v>0</v>
      </c>
      <c r="H5492" s="23">
        <v>0</v>
      </c>
      <c r="I5492" s="23">
        <v>573.52499999999998</v>
      </c>
      <c r="J5492" s="23">
        <v>0</v>
      </c>
      <c r="K5492" s="23">
        <v>620.21400000000006</v>
      </c>
    </row>
    <row r="5493" spans="1:11" x14ac:dyDescent="0.25">
      <c r="A5493">
        <v>5492</v>
      </c>
      <c r="B5493" s="23">
        <v>1105.2839719999999</v>
      </c>
      <c r="C5493" s="23">
        <v>0</v>
      </c>
      <c r="D5493" s="23">
        <v>0</v>
      </c>
      <c r="E5493" s="23">
        <v>0</v>
      </c>
      <c r="F5493" s="23">
        <v>0</v>
      </c>
      <c r="G5493" s="23">
        <v>0</v>
      </c>
      <c r="H5493" s="23">
        <v>0</v>
      </c>
      <c r="I5493" s="23">
        <v>0</v>
      </c>
      <c r="J5493" s="23">
        <v>0</v>
      </c>
      <c r="K5493" s="23">
        <v>1105.2840000000001</v>
      </c>
    </row>
    <row r="5494" spans="1:11" x14ac:dyDescent="0.25">
      <c r="A5494">
        <v>5493</v>
      </c>
      <c r="B5494" s="23">
        <v>1094.127536</v>
      </c>
      <c r="C5494" s="23">
        <v>0</v>
      </c>
      <c r="D5494" s="23">
        <v>0</v>
      </c>
      <c r="E5494" s="23">
        <v>0</v>
      </c>
      <c r="F5494" s="23">
        <v>0</v>
      </c>
      <c r="G5494" s="23">
        <v>0</v>
      </c>
      <c r="H5494" s="23">
        <v>0</v>
      </c>
      <c r="I5494" s="23">
        <v>0</v>
      </c>
      <c r="J5494" s="23">
        <v>0</v>
      </c>
      <c r="K5494" s="23">
        <v>1094.1279999999999</v>
      </c>
    </row>
    <row r="5495" spans="1:11" x14ac:dyDescent="0.25">
      <c r="A5495">
        <v>5494</v>
      </c>
      <c r="B5495" s="23">
        <v>1174.613247</v>
      </c>
      <c r="C5495" s="23">
        <v>0</v>
      </c>
      <c r="D5495" s="23">
        <v>0</v>
      </c>
      <c r="E5495" s="23">
        <v>0</v>
      </c>
      <c r="F5495" s="23">
        <v>0</v>
      </c>
      <c r="G5495" s="23">
        <v>0</v>
      </c>
      <c r="H5495" s="23">
        <v>0</v>
      </c>
      <c r="I5495" s="23">
        <v>0</v>
      </c>
      <c r="J5495" s="23">
        <v>0</v>
      </c>
      <c r="K5495" s="23">
        <v>1174.6130000000001</v>
      </c>
    </row>
    <row r="5496" spans="1:11" x14ac:dyDescent="0.25">
      <c r="A5496">
        <v>5495</v>
      </c>
      <c r="B5496" s="23">
        <v>1165.0505889999999</v>
      </c>
      <c r="C5496" s="23">
        <v>0</v>
      </c>
      <c r="D5496" s="23">
        <v>0</v>
      </c>
      <c r="E5496" s="23">
        <v>0</v>
      </c>
      <c r="F5496" s="23">
        <v>0</v>
      </c>
      <c r="G5496" s="23">
        <v>0</v>
      </c>
      <c r="H5496" s="23">
        <v>0</v>
      </c>
      <c r="I5496" s="23">
        <v>0</v>
      </c>
      <c r="J5496" s="23">
        <v>0</v>
      </c>
      <c r="K5496" s="23">
        <v>1165.0509999999999</v>
      </c>
    </row>
    <row r="5497" spans="1:11" x14ac:dyDescent="0.25">
      <c r="A5497">
        <v>5496</v>
      </c>
      <c r="B5497" s="23">
        <v>495.66447749999998</v>
      </c>
      <c r="C5497" s="23">
        <v>0</v>
      </c>
      <c r="D5497" s="23">
        <v>0</v>
      </c>
      <c r="E5497" s="23">
        <v>0</v>
      </c>
      <c r="F5497" s="23">
        <v>0</v>
      </c>
      <c r="G5497" s="23">
        <v>0</v>
      </c>
      <c r="H5497" s="23">
        <v>0</v>
      </c>
      <c r="I5497" s="23">
        <v>0</v>
      </c>
      <c r="J5497" s="23">
        <v>0</v>
      </c>
      <c r="K5497" s="23">
        <v>495.66399999999999</v>
      </c>
    </row>
    <row r="5498" spans="1:11" x14ac:dyDescent="0.25">
      <c r="A5498">
        <v>5497</v>
      </c>
      <c r="B5498" s="23">
        <v>368.1623611</v>
      </c>
      <c r="C5498" s="23">
        <v>0</v>
      </c>
      <c r="D5498" s="23">
        <v>0</v>
      </c>
      <c r="E5498" s="23">
        <v>0</v>
      </c>
      <c r="F5498" s="23">
        <v>0</v>
      </c>
      <c r="G5498" s="23">
        <v>0</v>
      </c>
      <c r="H5498" s="23">
        <v>0</v>
      </c>
      <c r="I5498" s="23">
        <v>368.16199999999998</v>
      </c>
      <c r="J5498" s="23">
        <v>0</v>
      </c>
      <c r="K5498" s="23">
        <v>0</v>
      </c>
    </row>
    <row r="5499" spans="1:11" x14ac:dyDescent="0.25">
      <c r="A5499">
        <v>5498</v>
      </c>
      <c r="B5499" s="23">
        <v>341.06816140000001</v>
      </c>
      <c r="C5499" s="23">
        <v>0</v>
      </c>
      <c r="D5499" s="23">
        <v>0</v>
      </c>
      <c r="E5499" s="23">
        <v>0</v>
      </c>
      <c r="F5499" s="23">
        <v>0</v>
      </c>
      <c r="G5499" s="23">
        <v>0</v>
      </c>
      <c r="H5499" s="23">
        <v>0</v>
      </c>
      <c r="I5499" s="23">
        <v>341.06799999999998</v>
      </c>
      <c r="J5499" s="23">
        <v>0</v>
      </c>
      <c r="K5499" s="23">
        <v>0</v>
      </c>
    </row>
    <row r="5500" spans="1:11" x14ac:dyDescent="0.25">
      <c r="A5500">
        <v>5499</v>
      </c>
      <c r="B5500" s="23">
        <v>376.92813159999997</v>
      </c>
      <c r="C5500" s="23">
        <v>0</v>
      </c>
      <c r="D5500" s="23">
        <v>0</v>
      </c>
      <c r="E5500" s="23">
        <v>0</v>
      </c>
      <c r="F5500" s="23">
        <v>0</v>
      </c>
      <c r="G5500" s="23">
        <v>0</v>
      </c>
      <c r="H5500" s="23">
        <v>0</v>
      </c>
      <c r="I5500" s="23">
        <v>376.928</v>
      </c>
      <c r="J5500" s="23">
        <v>0</v>
      </c>
      <c r="K5500" s="23">
        <v>0</v>
      </c>
    </row>
    <row r="5501" spans="1:11" x14ac:dyDescent="0.25">
      <c r="A5501">
        <v>5500</v>
      </c>
      <c r="B5501" s="23">
        <v>385.6939021</v>
      </c>
      <c r="C5501" s="23">
        <v>0</v>
      </c>
      <c r="D5501" s="23">
        <v>0</v>
      </c>
      <c r="E5501" s="23">
        <v>0</v>
      </c>
      <c r="F5501" s="23">
        <v>0</v>
      </c>
      <c r="G5501" s="23">
        <v>0</v>
      </c>
      <c r="H5501" s="23">
        <v>0</v>
      </c>
      <c r="I5501" s="23">
        <v>385.69400000000002</v>
      </c>
      <c r="J5501" s="23">
        <v>0</v>
      </c>
      <c r="K5501" s="23">
        <v>0</v>
      </c>
    </row>
    <row r="5502" spans="1:11" x14ac:dyDescent="0.25">
      <c r="A5502">
        <v>5501</v>
      </c>
      <c r="B5502" s="23">
        <v>367.36547289999999</v>
      </c>
      <c r="C5502" s="23">
        <v>0</v>
      </c>
      <c r="D5502" s="23">
        <v>0</v>
      </c>
      <c r="E5502" s="23">
        <v>0</v>
      </c>
      <c r="F5502" s="23">
        <v>0</v>
      </c>
      <c r="G5502" s="23">
        <v>0</v>
      </c>
      <c r="H5502" s="23">
        <v>0</v>
      </c>
      <c r="I5502" s="23">
        <v>0</v>
      </c>
      <c r="J5502" s="23">
        <v>0</v>
      </c>
      <c r="K5502" s="23">
        <v>367.36500000000001</v>
      </c>
    </row>
    <row r="5503" spans="1:11" x14ac:dyDescent="0.25">
      <c r="A5503">
        <v>5502</v>
      </c>
      <c r="B5503" s="23">
        <v>324.33350860000002</v>
      </c>
      <c r="C5503" s="23">
        <v>0</v>
      </c>
      <c r="D5503" s="23">
        <v>0</v>
      </c>
      <c r="E5503" s="23">
        <v>0</v>
      </c>
      <c r="F5503" s="23">
        <v>0</v>
      </c>
      <c r="G5503" s="23">
        <v>0</v>
      </c>
      <c r="H5503" s="23">
        <v>0</v>
      </c>
      <c r="I5503" s="23">
        <v>0</v>
      </c>
      <c r="J5503" s="23">
        <v>0</v>
      </c>
      <c r="K5503" s="23">
        <v>324.334</v>
      </c>
    </row>
    <row r="5504" spans="1:11" x14ac:dyDescent="0.25">
      <c r="A5504">
        <v>5503</v>
      </c>
      <c r="B5504" s="23">
        <v>333.8961673</v>
      </c>
      <c r="C5504" s="23">
        <v>39.21</v>
      </c>
      <c r="D5504" s="23">
        <v>128.69999999999999</v>
      </c>
      <c r="E5504" s="23">
        <v>128.69999999999999</v>
      </c>
      <c r="F5504" s="23">
        <v>0</v>
      </c>
      <c r="G5504" s="23">
        <v>0</v>
      </c>
      <c r="H5504" s="23">
        <v>0</v>
      </c>
      <c r="I5504" s="23">
        <v>0</v>
      </c>
      <c r="J5504" s="23">
        <v>0</v>
      </c>
      <c r="K5504" s="23">
        <v>205.196</v>
      </c>
    </row>
    <row r="5505" spans="1:11" x14ac:dyDescent="0.25">
      <c r="A5505">
        <v>5504</v>
      </c>
      <c r="B5505" s="23">
        <v>280.18590080000001</v>
      </c>
      <c r="C5505" s="23">
        <v>325.45</v>
      </c>
      <c r="D5505" s="23">
        <v>1279.047</v>
      </c>
      <c r="E5505" s="23">
        <v>280.18599999999998</v>
      </c>
      <c r="F5505" s="23">
        <v>-998.86099999999999</v>
      </c>
      <c r="G5505" s="23">
        <v>0</v>
      </c>
      <c r="H5505" s="23">
        <v>0</v>
      </c>
      <c r="I5505" s="23">
        <v>0</v>
      </c>
      <c r="J5505" s="23">
        <v>0</v>
      </c>
      <c r="K5505" s="23">
        <v>0</v>
      </c>
    </row>
    <row r="5506" spans="1:11" x14ac:dyDescent="0.25">
      <c r="A5506">
        <v>5505</v>
      </c>
      <c r="B5506" s="23">
        <v>809.24198730000001</v>
      </c>
      <c r="C5506" s="23">
        <v>556.88</v>
      </c>
      <c r="D5506" s="23">
        <v>2236.9189999999999</v>
      </c>
      <c r="E5506" s="23">
        <v>809.24199999999996</v>
      </c>
      <c r="F5506" s="23">
        <v>-1427.6769999999999</v>
      </c>
      <c r="G5506" s="23">
        <v>0</v>
      </c>
      <c r="H5506" s="23">
        <v>0</v>
      </c>
      <c r="I5506" s="23">
        <v>0</v>
      </c>
      <c r="J5506" s="23">
        <v>0</v>
      </c>
      <c r="K5506" s="23">
        <v>0</v>
      </c>
    </row>
    <row r="5507" spans="1:11" x14ac:dyDescent="0.25">
      <c r="A5507">
        <v>5506</v>
      </c>
      <c r="B5507" s="23">
        <v>1188.3884559999999</v>
      </c>
      <c r="C5507" s="23">
        <v>754.33</v>
      </c>
      <c r="D5507" s="23">
        <v>2961.489</v>
      </c>
      <c r="E5507" s="23">
        <v>1188.3889999999999</v>
      </c>
      <c r="F5507" s="23">
        <v>-1684.559</v>
      </c>
      <c r="G5507" s="23">
        <v>0</v>
      </c>
      <c r="H5507" s="23">
        <v>88.540999999999997</v>
      </c>
      <c r="I5507" s="23">
        <v>0</v>
      </c>
      <c r="J5507" s="23">
        <v>0</v>
      </c>
      <c r="K5507" s="23">
        <v>0</v>
      </c>
    </row>
    <row r="5508" spans="1:11" x14ac:dyDescent="0.25">
      <c r="A5508">
        <v>5507</v>
      </c>
      <c r="B5508" s="23">
        <v>993.50844429999995</v>
      </c>
      <c r="C5508" s="23">
        <v>902.56</v>
      </c>
      <c r="D5508" s="23">
        <v>3479.857</v>
      </c>
      <c r="E5508" s="23">
        <v>993.50800000000004</v>
      </c>
      <c r="F5508" s="23">
        <v>-1684.559</v>
      </c>
      <c r="G5508" s="23">
        <v>0</v>
      </c>
      <c r="H5508" s="23">
        <v>801.79</v>
      </c>
      <c r="I5508" s="23">
        <v>0</v>
      </c>
      <c r="J5508" s="23">
        <v>0</v>
      </c>
      <c r="K5508" s="23">
        <v>0</v>
      </c>
    </row>
    <row r="5509" spans="1:11" x14ac:dyDescent="0.25">
      <c r="A5509">
        <v>5508</v>
      </c>
      <c r="B5509" s="23">
        <v>1233.7921590000001</v>
      </c>
      <c r="C5509" s="23">
        <v>834.24</v>
      </c>
      <c r="D5509" s="23">
        <v>3150.06</v>
      </c>
      <c r="E5509" s="23">
        <v>1233.7919999999999</v>
      </c>
      <c r="F5509" s="23">
        <v>-1495.8420000000001</v>
      </c>
      <c r="G5509" s="23">
        <v>0</v>
      </c>
      <c r="H5509" s="23">
        <v>420.42599999999999</v>
      </c>
      <c r="I5509" s="23">
        <v>0</v>
      </c>
      <c r="J5509" s="23">
        <v>0</v>
      </c>
      <c r="K5509" s="23">
        <v>0</v>
      </c>
    </row>
    <row r="5510" spans="1:11" x14ac:dyDescent="0.25">
      <c r="A5510">
        <v>5509</v>
      </c>
      <c r="B5510" s="23">
        <v>1154.0047219999999</v>
      </c>
      <c r="C5510" s="23">
        <v>606.22</v>
      </c>
      <c r="D5510" s="23">
        <v>2309.8180000000002</v>
      </c>
      <c r="E5510" s="23">
        <v>1154.0050000000001</v>
      </c>
      <c r="F5510" s="23">
        <v>0</v>
      </c>
      <c r="G5510" s="23">
        <v>0</v>
      </c>
      <c r="H5510" s="23">
        <v>1155.8130000000001</v>
      </c>
      <c r="I5510" s="23">
        <v>0</v>
      </c>
      <c r="J5510" s="23">
        <v>0</v>
      </c>
      <c r="K5510" s="23">
        <v>0</v>
      </c>
    </row>
    <row r="5511" spans="1:11" x14ac:dyDescent="0.25">
      <c r="A5511">
        <v>5510</v>
      </c>
      <c r="B5511" s="23">
        <v>1230.0597339999999</v>
      </c>
      <c r="C5511" s="23">
        <v>690.96</v>
      </c>
      <c r="D5511" s="23">
        <v>2636.0619999999999</v>
      </c>
      <c r="E5511" s="23">
        <v>1230.06</v>
      </c>
      <c r="F5511" s="23">
        <v>0</v>
      </c>
      <c r="G5511" s="23">
        <v>0</v>
      </c>
      <c r="H5511" s="23">
        <v>1406.002</v>
      </c>
      <c r="I5511" s="23">
        <v>0</v>
      </c>
      <c r="J5511" s="23">
        <v>0</v>
      </c>
      <c r="K5511" s="23">
        <v>0</v>
      </c>
    </row>
    <row r="5512" spans="1:11" x14ac:dyDescent="0.25">
      <c r="A5512">
        <v>5511</v>
      </c>
      <c r="B5512" s="23">
        <v>1043.0310629999999</v>
      </c>
      <c r="C5512" s="23">
        <v>587.04999999999995</v>
      </c>
      <c r="D5512" s="23">
        <v>2265.0149999999999</v>
      </c>
      <c r="E5512" s="23">
        <v>1043.0309999999999</v>
      </c>
      <c r="F5512" s="23">
        <v>0</v>
      </c>
      <c r="G5512" s="23">
        <v>0</v>
      </c>
      <c r="H5512" s="23">
        <v>1221.9839999999999</v>
      </c>
      <c r="I5512" s="23">
        <v>0</v>
      </c>
      <c r="J5512" s="23">
        <v>0</v>
      </c>
      <c r="K5512" s="23">
        <v>0</v>
      </c>
    </row>
    <row r="5513" spans="1:11" x14ac:dyDescent="0.25">
      <c r="A5513">
        <v>5512</v>
      </c>
      <c r="B5513" s="23">
        <v>1276.6757030000001</v>
      </c>
      <c r="C5513" s="23">
        <v>437.07</v>
      </c>
      <c r="D5513" s="23">
        <v>1714.412</v>
      </c>
      <c r="E5513" s="23">
        <v>1276.675</v>
      </c>
      <c r="F5513" s="23">
        <v>0</v>
      </c>
      <c r="G5513" s="23">
        <v>0</v>
      </c>
      <c r="H5513" s="23">
        <v>437.73700000000002</v>
      </c>
      <c r="I5513" s="23">
        <v>0</v>
      </c>
      <c r="J5513" s="23">
        <v>0</v>
      </c>
      <c r="K5513" s="23">
        <v>0</v>
      </c>
    </row>
    <row r="5514" spans="1:11" x14ac:dyDescent="0.25">
      <c r="A5514">
        <v>5513</v>
      </c>
      <c r="B5514" s="23">
        <v>1051.064693</v>
      </c>
      <c r="C5514" s="23">
        <v>307.68</v>
      </c>
      <c r="D5514" s="23">
        <v>1187.4639999999999</v>
      </c>
      <c r="E5514" s="23">
        <v>1051.0650000000001</v>
      </c>
      <c r="F5514" s="23">
        <v>0</v>
      </c>
      <c r="G5514" s="23">
        <v>0</v>
      </c>
      <c r="H5514" s="23">
        <v>136.399</v>
      </c>
      <c r="I5514" s="23">
        <v>0</v>
      </c>
      <c r="J5514" s="23">
        <v>0</v>
      </c>
      <c r="K5514" s="23">
        <v>0</v>
      </c>
    </row>
    <row r="5515" spans="1:11" x14ac:dyDescent="0.25">
      <c r="A5515">
        <v>5514</v>
      </c>
      <c r="B5515" s="23">
        <v>1040.029783</v>
      </c>
      <c r="C5515" s="23">
        <v>83.95</v>
      </c>
      <c r="D5515" s="23">
        <v>242.553</v>
      </c>
      <c r="E5515" s="23">
        <v>242.553</v>
      </c>
      <c r="F5515" s="23">
        <v>0</v>
      </c>
      <c r="G5515" s="23">
        <v>0</v>
      </c>
      <c r="H5515" s="23">
        <v>0</v>
      </c>
      <c r="I5515" s="23">
        <v>0</v>
      </c>
      <c r="J5515" s="23">
        <v>0</v>
      </c>
      <c r="K5515" s="23">
        <v>797.47699999999998</v>
      </c>
    </row>
    <row r="5516" spans="1:11" x14ac:dyDescent="0.25">
      <c r="A5516">
        <v>5515</v>
      </c>
      <c r="B5516" s="23">
        <v>1084.089733</v>
      </c>
      <c r="C5516" s="23">
        <v>0</v>
      </c>
      <c r="D5516" s="23">
        <v>0</v>
      </c>
      <c r="E5516" s="23">
        <v>0</v>
      </c>
      <c r="F5516" s="23">
        <v>0</v>
      </c>
      <c r="G5516" s="23">
        <v>0</v>
      </c>
      <c r="H5516" s="23">
        <v>0</v>
      </c>
      <c r="I5516" s="23">
        <v>0</v>
      </c>
      <c r="J5516" s="23">
        <v>0</v>
      </c>
      <c r="K5516" s="23">
        <v>1084.0899999999999</v>
      </c>
    </row>
    <row r="5517" spans="1:11" x14ac:dyDescent="0.25">
      <c r="A5517">
        <v>5516</v>
      </c>
      <c r="B5517" s="23">
        <v>894.90547949999996</v>
      </c>
      <c r="C5517" s="23">
        <v>0</v>
      </c>
      <c r="D5517" s="23">
        <v>0</v>
      </c>
      <c r="E5517" s="23">
        <v>0</v>
      </c>
      <c r="F5517" s="23">
        <v>0</v>
      </c>
      <c r="G5517" s="23">
        <v>0</v>
      </c>
      <c r="H5517" s="23">
        <v>0</v>
      </c>
      <c r="I5517" s="23">
        <v>0</v>
      </c>
      <c r="J5517" s="23">
        <v>0</v>
      </c>
      <c r="K5517" s="23">
        <v>894.90499999999997</v>
      </c>
    </row>
    <row r="5518" spans="1:11" x14ac:dyDescent="0.25">
      <c r="A5518">
        <v>5517</v>
      </c>
      <c r="B5518" s="23">
        <v>269.3482209</v>
      </c>
      <c r="C5518" s="23">
        <v>0</v>
      </c>
      <c r="D5518" s="23">
        <v>0</v>
      </c>
      <c r="E5518" s="23">
        <v>0</v>
      </c>
      <c r="F5518" s="23">
        <v>0</v>
      </c>
      <c r="G5518" s="23">
        <v>0</v>
      </c>
      <c r="H5518" s="23">
        <v>0</v>
      </c>
      <c r="I5518" s="23">
        <v>0</v>
      </c>
      <c r="J5518" s="23">
        <v>0</v>
      </c>
      <c r="K5518" s="23">
        <v>269.34800000000001</v>
      </c>
    </row>
    <row r="5519" spans="1:11" x14ac:dyDescent="0.25">
      <c r="A5519">
        <v>5518</v>
      </c>
      <c r="B5519" s="23">
        <v>90.845257939999996</v>
      </c>
      <c r="C5519" s="23">
        <v>0</v>
      </c>
      <c r="D5519" s="23">
        <v>0</v>
      </c>
      <c r="E5519" s="23">
        <v>0</v>
      </c>
      <c r="F5519" s="23">
        <v>0</v>
      </c>
      <c r="G5519" s="23">
        <v>0</v>
      </c>
      <c r="H5519" s="23">
        <v>0</v>
      </c>
      <c r="I5519" s="23">
        <v>0</v>
      </c>
      <c r="J5519" s="23">
        <v>0</v>
      </c>
      <c r="K5519" s="23">
        <v>90.844999999999999</v>
      </c>
    </row>
    <row r="5520" spans="1:11" x14ac:dyDescent="0.25">
      <c r="A5520">
        <v>5519</v>
      </c>
      <c r="B5520" s="23">
        <v>94.032810850000004</v>
      </c>
      <c r="C5520" s="23">
        <v>0</v>
      </c>
      <c r="D5520" s="23">
        <v>0</v>
      </c>
      <c r="E5520" s="23">
        <v>0</v>
      </c>
      <c r="F5520" s="23">
        <v>0</v>
      </c>
      <c r="G5520" s="23">
        <v>0</v>
      </c>
      <c r="H5520" s="23">
        <v>0</v>
      </c>
      <c r="I5520" s="23">
        <v>0</v>
      </c>
      <c r="J5520" s="23">
        <v>0</v>
      </c>
      <c r="K5520" s="23">
        <v>94.033000000000001</v>
      </c>
    </row>
    <row r="5521" spans="1:11" x14ac:dyDescent="0.25">
      <c r="A5521">
        <v>5520</v>
      </c>
      <c r="B5521" s="23">
        <v>90.845257939999996</v>
      </c>
      <c r="C5521" s="23">
        <v>0</v>
      </c>
      <c r="D5521" s="23">
        <v>0</v>
      </c>
      <c r="E5521" s="23">
        <v>0</v>
      </c>
      <c r="F5521" s="23">
        <v>0</v>
      </c>
      <c r="G5521" s="23">
        <v>0</v>
      </c>
      <c r="H5521" s="23">
        <v>0</v>
      </c>
      <c r="I5521" s="23">
        <v>0</v>
      </c>
      <c r="J5521" s="23">
        <v>0</v>
      </c>
      <c r="K5521" s="23">
        <v>90.844999999999999</v>
      </c>
    </row>
    <row r="5522" spans="1:11" x14ac:dyDescent="0.25">
      <c r="A5522">
        <v>5521</v>
      </c>
      <c r="B5522" s="23">
        <v>95.626587299999997</v>
      </c>
      <c r="C5522" s="23">
        <v>0</v>
      </c>
      <c r="D5522" s="23">
        <v>0</v>
      </c>
      <c r="E5522" s="23">
        <v>0</v>
      </c>
      <c r="F5522" s="23">
        <v>0</v>
      </c>
      <c r="G5522" s="23">
        <v>0</v>
      </c>
      <c r="H5522" s="23">
        <v>0</v>
      </c>
      <c r="I5522" s="23">
        <v>0</v>
      </c>
      <c r="J5522" s="23">
        <v>0</v>
      </c>
      <c r="K5522" s="23">
        <v>95.626999999999995</v>
      </c>
    </row>
    <row r="5523" spans="1:11" x14ac:dyDescent="0.25">
      <c r="A5523">
        <v>5522</v>
      </c>
      <c r="B5523" s="23">
        <v>87.657705030000002</v>
      </c>
      <c r="C5523" s="23">
        <v>0</v>
      </c>
      <c r="D5523" s="23">
        <v>0</v>
      </c>
      <c r="E5523" s="23">
        <v>0</v>
      </c>
      <c r="F5523" s="23">
        <v>0</v>
      </c>
      <c r="G5523" s="23">
        <v>0</v>
      </c>
      <c r="H5523" s="23">
        <v>0</v>
      </c>
      <c r="I5523" s="23">
        <v>0</v>
      </c>
      <c r="J5523" s="23">
        <v>0</v>
      </c>
      <c r="K5523" s="23">
        <v>87.658000000000001</v>
      </c>
    </row>
    <row r="5524" spans="1:11" x14ac:dyDescent="0.25">
      <c r="A5524">
        <v>5523</v>
      </c>
      <c r="B5524" s="23">
        <v>94.032810850000004</v>
      </c>
      <c r="C5524" s="23">
        <v>0</v>
      </c>
      <c r="D5524" s="23">
        <v>0</v>
      </c>
      <c r="E5524" s="23">
        <v>0</v>
      </c>
      <c r="F5524" s="23">
        <v>0</v>
      </c>
      <c r="G5524" s="23">
        <v>0</v>
      </c>
      <c r="H5524" s="23">
        <v>0</v>
      </c>
      <c r="I5524" s="23">
        <v>0</v>
      </c>
      <c r="J5524" s="23">
        <v>0</v>
      </c>
      <c r="K5524" s="23">
        <v>94.033000000000001</v>
      </c>
    </row>
    <row r="5525" spans="1:11" x14ac:dyDescent="0.25">
      <c r="A5525">
        <v>5524</v>
      </c>
      <c r="B5525" s="23">
        <v>85.267040339999994</v>
      </c>
      <c r="C5525" s="23">
        <v>0</v>
      </c>
      <c r="D5525" s="23">
        <v>0</v>
      </c>
      <c r="E5525" s="23">
        <v>0</v>
      </c>
      <c r="F5525" s="23">
        <v>0</v>
      </c>
      <c r="G5525" s="23">
        <v>0</v>
      </c>
      <c r="H5525" s="23">
        <v>0</v>
      </c>
      <c r="I5525" s="23">
        <v>0</v>
      </c>
      <c r="J5525" s="23">
        <v>0</v>
      </c>
      <c r="K5525" s="23">
        <v>85.266999999999996</v>
      </c>
    </row>
    <row r="5526" spans="1:11" x14ac:dyDescent="0.25">
      <c r="A5526">
        <v>5525</v>
      </c>
      <c r="B5526" s="23">
        <v>94.829699070000004</v>
      </c>
      <c r="C5526" s="23">
        <v>0</v>
      </c>
      <c r="D5526" s="23">
        <v>0</v>
      </c>
      <c r="E5526" s="23">
        <v>0</v>
      </c>
      <c r="F5526" s="23">
        <v>0</v>
      </c>
      <c r="G5526" s="23">
        <v>0</v>
      </c>
      <c r="H5526" s="23">
        <v>0</v>
      </c>
      <c r="I5526" s="23">
        <v>0</v>
      </c>
      <c r="J5526" s="23">
        <v>0</v>
      </c>
      <c r="K5526" s="23">
        <v>94.83</v>
      </c>
    </row>
    <row r="5527" spans="1:11" x14ac:dyDescent="0.25">
      <c r="A5527">
        <v>5526</v>
      </c>
      <c r="B5527" s="23">
        <v>87.657705030000002</v>
      </c>
      <c r="C5527" s="23">
        <v>0</v>
      </c>
      <c r="D5527" s="23">
        <v>0</v>
      </c>
      <c r="E5527" s="23">
        <v>0</v>
      </c>
      <c r="F5527" s="23">
        <v>0</v>
      </c>
      <c r="G5527" s="23">
        <v>0</v>
      </c>
      <c r="H5527" s="23">
        <v>0</v>
      </c>
      <c r="I5527" s="23">
        <v>0</v>
      </c>
      <c r="J5527" s="23">
        <v>0</v>
      </c>
      <c r="K5527" s="23">
        <v>87.658000000000001</v>
      </c>
    </row>
    <row r="5528" spans="1:11" x14ac:dyDescent="0.25">
      <c r="A5528">
        <v>5527</v>
      </c>
      <c r="B5528" s="23">
        <v>93.235922619999997</v>
      </c>
      <c r="C5528" s="23">
        <v>101.54</v>
      </c>
      <c r="D5528" s="23">
        <v>310.64800000000002</v>
      </c>
      <c r="E5528" s="23">
        <v>93.236000000000004</v>
      </c>
      <c r="F5528" s="23">
        <v>-217.41200000000001</v>
      </c>
      <c r="G5528" s="23">
        <v>0</v>
      </c>
      <c r="H5528" s="23">
        <v>0</v>
      </c>
      <c r="I5528" s="23">
        <v>0</v>
      </c>
      <c r="J5528" s="23">
        <v>0</v>
      </c>
      <c r="K5528" s="23">
        <v>0</v>
      </c>
    </row>
    <row r="5529" spans="1:11" x14ac:dyDescent="0.25">
      <c r="A5529">
        <v>5528</v>
      </c>
      <c r="B5529" s="23">
        <v>76.776196279999994</v>
      </c>
      <c r="C5529" s="23">
        <v>330.45</v>
      </c>
      <c r="D5529" s="23">
        <v>1297.587</v>
      </c>
      <c r="E5529" s="23">
        <v>76.775999999999996</v>
      </c>
      <c r="F5529" s="23">
        <v>-1220.8109999999999</v>
      </c>
      <c r="G5529" s="23">
        <v>0</v>
      </c>
      <c r="H5529" s="23">
        <v>0</v>
      </c>
      <c r="I5529" s="23">
        <v>0</v>
      </c>
      <c r="J5529" s="23">
        <v>0</v>
      </c>
      <c r="K5529" s="23">
        <v>0</v>
      </c>
    </row>
    <row r="5530" spans="1:11" x14ac:dyDescent="0.25">
      <c r="A5530">
        <v>5529</v>
      </c>
      <c r="B5530" s="23">
        <v>83.071613279999994</v>
      </c>
      <c r="C5530" s="23">
        <v>562.97</v>
      </c>
      <c r="D5530" s="23">
        <v>2255.1280000000002</v>
      </c>
      <c r="E5530" s="23">
        <v>83.072000000000003</v>
      </c>
      <c r="F5530" s="23">
        <v>-1684.559</v>
      </c>
      <c r="G5530" s="23">
        <v>0</v>
      </c>
      <c r="H5530" s="23">
        <v>487.49700000000001</v>
      </c>
      <c r="I5530" s="23">
        <v>0</v>
      </c>
      <c r="J5530" s="23">
        <v>0</v>
      </c>
      <c r="K5530" s="23">
        <v>0</v>
      </c>
    </row>
    <row r="5531" spans="1:11" x14ac:dyDescent="0.25">
      <c r="A5531">
        <v>5530</v>
      </c>
      <c r="B5531" s="23">
        <v>78.594097550000001</v>
      </c>
      <c r="C5531" s="23">
        <v>758.69</v>
      </c>
      <c r="D5531" s="23">
        <v>2964.17</v>
      </c>
      <c r="E5531" s="23">
        <v>78.593999999999994</v>
      </c>
      <c r="F5531" s="23">
        <v>-1180.3409999999999</v>
      </c>
      <c r="G5531" s="23">
        <v>0</v>
      </c>
      <c r="H5531" s="23">
        <v>1705.2349999999999</v>
      </c>
      <c r="I5531" s="23">
        <v>0</v>
      </c>
      <c r="J5531" s="23">
        <v>0</v>
      </c>
      <c r="K5531" s="23">
        <v>0</v>
      </c>
    </row>
    <row r="5532" spans="1:11" x14ac:dyDescent="0.25">
      <c r="A5532">
        <v>5531</v>
      </c>
      <c r="B5532" s="23">
        <v>85.685406659999998</v>
      </c>
      <c r="C5532" s="23">
        <v>898.37</v>
      </c>
      <c r="D5532" s="23">
        <v>3440.6860000000001</v>
      </c>
      <c r="E5532" s="23">
        <v>85.686000000000007</v>
      </c>
      <c r="F5532" s="23">
        <v>0</v>
      </c>
      <c r="G5532" s="23">
        <v>0</v>
      </c>
      <c r="H5532" s="23">
        <v>3355</v>
      </c>
      <c r="I5532" s="23">
        <v>0</v>
      </c>
      <c r="J5532" s="23">
        <v>0</v>
      </c>
      <c r="K5532" s="23">
        <v>0</v>
      </c>
    </row>
    <row r="5533" spans="1:11" x14ac:dyDescent="0.25">
      <c r="A5533">
        <v>5532</v>
      </c>
      <c r="B5533" s="23">
        <v>80.161975139999996</v>
      </c>
      <c r="C5533" s="23">
        <v>969.29</v>
      </c>
      <c r="D5533" s="23">
        <v>3661.8470000000002</v>
      </c>
      <c r="E5533" s="23">
        <v>80.162000000000006</v>
      </c>
      <c r="F5533" s="23">
        <v>0</v>
      </c>
      <c r="G5533" s="23">
        <v>0</v>
      </c>
      <c r="H5533" s="23">
        <v>3581.6849999999999</v>
      </c>
      <c r="I5533" s="23">
        <v>0</v>
      </c>
      <c r="J5533" s="23">
        <v>0</v>
      </c>
      <c r="K5533" s="23">
        <v>0</v>
      </c>
    </row>
    <row r="5534" spans="1:11" x14ac:dyDescent="0.25">
      <c r="A5534">
        <v>5533</v>
      </c>
      <c r="B5534" s="23">
        <v>88.265332299999997</v>
      </c>
      <c r="C5534" s="23">
        <v>964.85</v>
      </c>
      <c r="D5534" s="23">
        <v>3637.2269999999999</v>
      </c>
      <c r="E5534" s="23">
        <v>88.265000000000001</v>
      </c>
      <c r="F5534" s="23">
        <v>0</v>
      </c>
      <c r="G5534" s="23">
        <v>0</v>
      </c>
      <c r="H5534" s="23">
        <v>3548.962</v>
      </c>
      <c r="I5534" s="23">
        <v>0</v>
      </c>
      <c r="J5534" s="23">
        <v>0</v>
      </c>
      <c r="K5534" s="23">
        <v>0</v>
      </c>
    </row>
    <row r="5535" spans="1:11" x14ac:dyDescent="0.25">
      <c r="A5535">
        <v>5534</v>
      </c>
      <c r="B5535" s="23">
        <v>80.446862679999995</v>
      </c>
      <c r="C5535" s="23">
        <v>889.47</v>
      </c>
      <c r="D5535" s="23">
        <v>3382.049</v>
      </c>
      <c r="E5535" s="23">
        <v>80.447000000000003</v>
      </c>
      <c r="F5535" s="23">
        <v>0</v>
      </c>
      <c r="G5535" s="23">
        <v>0</v>
      </c>
      <c r="H5535" s="23">
        <v>3301.6019999999999</v>
      </c>
      <c r="I5535" s="23">
        <v>0</v>
      </c>
      <c r="J5535" s="23">
        <v>0</v>
      </c>
      <c r="K5535" s="23">
        <v>0</v>
      </c>
    </row>
    <row r="5536" spans="1:11" x14ac:dyDescent="0.25">
      <c r="A5536">
        <v>5535</v>
      </c>
      <c r="B5536" s="23">
        <v>94.991068940000005</v>
      </c>
      <c r="C5536" s="23">
        <v>602.55999999999995</v>
      </c>
      <c r="D5536" s="23">
        <v>2306.848</v>
      </c>
      <c r="E5536" s="23">
        <v>94.991</v>
      </c>
      <c r="F5536" s="23">
        <v>0</v>
      </c>
      <c r="G5536" s="23">
        <v>0</v>
      </c>
      <c r="H5536" s="23">
        <v>2211.857</v>
      </c>
      <c r="I5536" s="23">
        <v>0</v>
      </c>
      <c r="J5536" s="23">
        <v>0</v>
      </c>
      <c r="K5536" s="23">
        <v>0</v>
      </c>
    </row>
    <row r="5537" spans="1:11" x14ac:dyDescent="0.25">
      <c r="A5537">
        <v>5536</v>
      </c>
      <c r="B5537" s="23">
        <v>84.228097320000003</v>
      </c>
      <c r="C5537" s="23">
        <v>539.03</v>
      </c>
      <c r="D5537" s="23">
        <v>2136.078</v>
      </c>
      <c r="E5537" s="23">
        <v>84.227999999999994</v>
      </c>
      <c r="F5537" s="23">
        <v>0</v>
      </c>
      <c r="G5537" s="23">
        <v>0</v>
      </c>
      <c r="H5537" s="23">
        <v>2051.85</v>
      </c>
      <c r="I5537" s="23">
        <v>0</v>
      </c>
      <c r="J5537" s="23">
        <v>0</v>
      </c>
      <c r="K5537" s="23">
        <v>0</v>
      </c>
    </row>
    <row r="5538" spans="1:11" x14ac:dyDescent="0.25">
      <c r="A5538">
        <v>5537</v>
      </c>
      <c r="B5538" s="23">
        <v>89.742563849999996</v>
      </c>
      <c r="C5538" s="23">
        <v>304.16000000000003</v>
      </c>
      <c r="D5538" s="23">
        <v>1169.6780000000001</v>
      </c>
      <c r="E5538" s="23">
        <v>89.742999999999995</v>
      </c>
      <c r="F5538" s="23">
        <v>0</v>
      </c>
      <c r="G5538" s="23">
        <v>0</v>
      </c>
      <c r="H5538" s="23">
        <v>1079.9349999999999</v>
      </c>
      <c r="I5538" s="23">
        <v>0</v>
      </c>
      <c r="J5538" s="23">
        <v>0</v>
      </c>
      <c r="K5538" s="23">
        <v>0</v>
      </c>
    </row>
    <row r="5539" spans="1:11" x14ac:dyDescent="0.25">
      <c r="A5539">
        <v>5538</v>
      </c>
      <c r="B5539" s="23">
        <v>80.459812110000001</v>
      </c>
      <c r="C5539" s="23">
        <v>74.48</v>
      </c>
      <c r="D5539" s="23">
        <v>242.69800000000001</v>
      </c>
      <c r="E5539" s="23">
        <v>80.459999999999994</v>
      </c>
      <c r="F5539" s="23">
        <v>0</v>
      </c>
      <c r="G5539" s="23">
        <v>0</v>
      </c>
      <c r="H5539" s="23">
        <v>162.238</v>
      </c>
      <c r="I5539" s="23">
        <v>0</v>
      </c>
      <c r="J5539" s="23">
        <v>0</v>
      </c>
      <c r="K5539" s="23">
        <v>0</v>
      </c>
    </row>
    <row r="5540" spans="1:11" x14ac:dyDescent="0.25">
      <c r="A5540">
        <v>5539</v>
      </c>
      <c r="B5540" s="23">
        <v>96.428456080000004</v>
      </c>
      <c r="C5540" s="23">
        <v>0</v>
      </c>
      <c r="D5540" s="23">
        <v>0</v>
      </c>
      <c r="E5540" s="23">
        <v>0</v>
      </c>
      <c r="F5540" s="23">
        <v>0</v>
      </c>
      <c r="G5540" s="23">
        <v>0</v>
      </c>
      <c r="H5540" s="23">
        <v>0</v>
      </c>
      <c r="I5540" s="23">
        <v>0</v>
      </c>
      <c r="J5540" s="23">
        <v>0</v>
      </c>
      <c r="K5540" s="23">
        <v>96.427999999999997</v>
      </c>
    </row>
    <row r="5541" spans="1:11" x14ac:dyDescent="0.25">
      <c r="A5541">
        <v>5540</v>
      </c>
      <c r="B5541" s="23">
        <v>86.063928570000002</v>
      </c>
      <c r="C5541" s="23">
        <v>0</v>
      </c>
      <c r="D5541" s="23">
        <v>0</v>
      </c>
      <c r="E5541" s="23">
        <v>0</v>
      </c>
      <c r="F5541" s="23">
        <v>0</v>
      </c>
      <c r="G5541" s="23">
        <v>0</v>
      </c>
      <c r="H5541" s="23">
        <v>0</v>
      </c>
      <c r="I5541" s="23">
        <v>0</v>
      </c>
      <c r="J5541" s="23">
        <v>0</v>
      </c>
      <c r="K5541" s="23">
        <v>86.063999999999993</v>
      </c>
    </row>
    <row r="5542" spans="1:11" x14ac:dyDescent="0.25">
      <c r="A5542">
        <v>5541</v>
      </c>
      <c r="B5542" s="23">
        <v>93.235922619999997</v>
      </c>
      <c r="C5542" s="23">
        <v>0</v>
      </c>
      <c r="D5542" s="23">
        <v>0</v>
      </c>
      <c r="E5542" s="23">
        <v>0</v>
      </c>
      <c r="F5542" s="23">
        <v>0</v>
      </c>
      <c r="G5542" s="23">
        <v>0</v>
      </c>
      <c r="H5542" s="23">
        <v>0</v>
      </c>
      <c r="I5542" s="23">
        <v>0</v>
      </c>
      <c r="J5542" s="23">
        <v>0</v>
      </c>
      <c r="K5542" s="23">
        <v>93.236000000000004</v>
      </c>
    </row>
    <row r="5543" spans="1:11" x14ac:dyDescent="0.25">
      <c r="A5543">
        <v>5542</v>
      </c>
      <c r="B5543" s="23">
        <v>86.860816799999995</v>
      </c>
      <c r="C5543" s="23">
        <v>0</v>
      </c>
      <c r="D5543" s="23">
        <v>0</v>
      </c>
      <c r="E5543" s="23">
        <v>0</v>
      </c>
      <c r="F5543" s="23">
        <v>0</v>
      </c>
      <c r="G5543" s="23">
        <v>0</v>
      </c>
      <c r="H5543" s="23">
        <v>0</v>
      </c>
      <c r="I5543" s="23">
        <v>0</v>
      </c>
      <c r="J5543" s="23">
        <v>0</v>
      </c>
      <c r="K5543" s="23">
        <v>86.861000000000004</v>
      </c>
    </row>
    <row r="5544" spans="1:11" x14ac:dyDescent="0.25">
      <c r="A5544">
        <v>5543</v>
      </c>
      <c r="B5544" s="23">
        <v>92.439034390000003</v>
      </c>
      <c r="C5544" s="23">
        <v>0</v>
      </c>
      <c r="D5544" s="23">
        <v>0</v>
      </c>
      <c r="E5544" s="23">
        <v>0</v>
      </c>
      <c r="F5544" s="23">
        <v>0</v>
      </c>
      <c r="G5544" s="23">
        <v>0</v>
      </c>
      <c r="H5544" s="23">
        <v>0</v>
      </c>
      <c r="I5544" s="23">
        <v>0</v>
      </c>
      <c r="J5544" s="23">
        <v>0</v>
      </c>
      <c r="K5544" s="23">
        <v>92.438999999999993</v>
      </c>
    </row>
    <row r="5545" spans="1:11" x14ac:dyDescent="0.25">
      <c r="A5545">
        <v>5544</v>
      </c>
      <c r="B5545" s="23">
        <v>86.860816799999995</v>
      </c>
      <c r="C5545" s="23">
        <v>0</v>
      </c>
      <c r="D5545" s="23">
        <v>0</v>
      </c>
      <c r="E5545" s="23">
        <v>0</v>
      </c>
      <c r="F5545" s="23">
        <v>0</v>
      </c>
      <c r="G5545" s="23">
        <v>0</v>
      </c>
      <c r="H5545" s="23">
        <v>0</v>
      </c>
      <c r="I5545" s="23">
        <v>0</v>
      </c>
      <c r="J5545" s="23">
        <v>0</v>
      </c>
      <c r="K5545" s="23">
        <v>86.861000000000004</v>
      </c>
    </row>
    <row r="5546" spans="1:11" x14ac:dyDescent="0.25">
      <c r="A5546">
        <v>5545</v>
      </c>
      <c r="B5546" s="23">
        <v>93.235922619999997</v>
      </c>
      <c r="C5546" s="23">
        <v>0</v>
      </c>
      <c r="D5546" s="23">
        <v>0</v>
      </c>
      <c r="E5546" s="23">
        <v>0</v>
      </c>
      <c r="F5546" s="23">
        <v>0</v>
      </c>
      <c r="G5546" s="23">
        <v>0</v>
      </c>
      <c r="H5546" s="23">
        <v>0</v>
      </c>
      <c r="I5546" s="23">
        <v>0</v>
      </c>
      <c r="J5546" s="23">
        <v>0</v>
      </c>
      <c r="K5546" s="23">
        <v>93.236000000000004</v>
      </c>
    </row>
    <row r="5547" spans="1:11" x14ac:dyDescent="0.25">
      <c r="A5547">
        <v>5546</v>
      </c>
      <c r="B5547" s="23">
        <v>87.657705030000002</v>
      </c>
      <c r="C5547" s="23">
        <v>0</v>
      </c>
      <c r="D5547" s="23">
        <v>0</v>
      </c>
      <c r="E5547" s="23">
        <v>0</v>
      </c>
      <c r="F5547" s="23">
        <v>0</v>
      </c>
      <c r="G5547" s="23">
        <v>0</v>
      </c>
      <c r="H5547" s="23">
        <v>0</v>
      </c>
      <c r="I5547" s="23">
        <v>0</v>
      </c>
      <c r="J5547" s="23">
        <v>0</v>
      </c>
      <c r="K5547" s="23">
        <v>87.658000000000001</v>
      </c>
    </row>
    <row r="5548" spans="1:11" x14ac:dyDescent="0.25">
      <c r="A5548">
        <v>5547</v>
      </c>
      <c r="B5548" s="23">
        <v>92.439034390000003</v>
      </c>
      <c r="C5548" s="23">
        <v>0</v>
      </c>
      <c r="D5548" s="23">
        <v>0</v>
      </c>
      <c r="E5548" s="23">
        <v>0</v>
      </c>
      <c r="F5548" s="23">
        <v>0</v>
      </c>
      <c r="G5548" s="23">
        <v>0</v>
      </c>
      <c r="H5548" s="23">
        <v>0</v>
      </c>
      <c r="I5548" s="23">
        <v>0</v>
      </c>
      <c r="J5548" s="23">
        <v>0</v>
      </c>
      <c r="K5548" s="23">
        <v>92.438999999999993</v>
      </c>
    </row>
    <row r="5549" spans="1:11" x14ac:dyDescent="0.25">
      <c r="A5549">
        <v>5548</v>
      </c>
      <c r="B5549" s="23">
        <v>86.860816799999995</v>
      </c>
      <c r="C5549" s="23">
        <v>0</v>
      </c>
      <c r="D5549" s="23">
        <v>0</v>
      </c>
      <c r="E5549" s="23">
        <v>0</v>
      </c>
      <c r="F5549" s="23">
        <v>0</v>
      </c>
      <c r="G5549" s="23">
        <v>0</v>
      </c>
      <c r="H5549" s="23">
        <v>0</v>
      </c>
      <c r="I5549" s="23">
        <v>0</v>
      </c>
      <c r="J5549" s="23">
        <v>0</v>
      </c>
      <c r="K5549" s="23">
        <v>86.861000000000004</v>
      </c>
    </row>
    <row r="5550" spans="1:11" x14ac:dyDescent="0.25">
      <c r="A5550">
        <v>5549</v>
      </c>
      <c r="B5550" s="23">
        <v>93.235922619999997</v>
      </c>
      <c r="C5550" s="23">
        <v>0</v>
      </c>
      <c r="D5550" s="23">
        <v>0</v>
      </c>
      <c r="E5550" s="23">
        <v>0</v>
      </c>
      <c r="F5550" s="23">
        <v>0</v>
      </c>
      <c r="G5550" s="23">
        <v>0</v>
      </c>
      <c r="H5550" s="23">
        <v>0</v>
      </c>
      <c r="I5550" s="23">
        <v>0</v>
      </c>
      <c r="J5550" s="23">
        <v>0</v>
      </c>
      <c r="K5550" s="23">
        <v>93.236000000000004</v>
      </c>
    </row>
    <row r="5551" spans="1:11" x14ac:dyDescent="0.25">
      <c r="A5551">
        <v>5550</v>
      </c>
      <c r="B5551" s="23">
        <v>82.876375659999994</v>
      </c>
      <c r="C5551" s="23">
        <v>0</v>
      </c>
      <c r="D5551" s="23">
        <v>0</v>
      </c>
      <c r="E5551" s="23">
        <v>0</v>
      </c>
      <c r="F5551" s="23">
        <v>0</v>
      </c>
      <c r="G5551" s="23">
        <v>0</v>
      </c>
      <c r="H5551" s="23">
        <v>0</v>
      </c>
      <c r="I5551" s="23">
        <v>0</v>
      </c>
      <c r="J5551" s="23">
        <v>0</v>
      </c>
      <c r="K5551" s="23">
        <v>82.876000000000005</v>
      </c>
    </row>
    <row r="5552" spans="1:11" x14ac:dyDescent="0.25">
      <c r="A5552">
        <v>5551</v>
      </c>
      <c r="B5552" s="23">
        <v>84.470152119999995</v>
      </c>
      <c r="C5552" s="23">
        <v>99.86</v>
      </c>
      <c r="D5552" s="23">
        <v>316.83699999999999</v>
      </c>
      <c r="E5552" s="23">
        <v>84.47</v>
      </c>
      <c r="F5552" s="23">
        <v>-232.36699999999999</v>
      </c>
      <c r="G5552" s="23">
        <v>0</v>
      </c>
      <c r="H5552" s="23">
        <v>0</v>
      </c>
      <c r="I5552" s="23">
        <v>0</v>
      </c>
      <c r="J5552" s="23">
        <v>0</v>
      </c>
      <c r="K5552" s="23">
        <v>0</v>
      </c>
    </row>
    <row r="5553" spans="1:11" x14ac:dyDescent="0.25">
      <c r="A5553">
        <v>5552</v>
      </c>
      <c r="B5553" s="23">
        <v>79.485616250000007</v>
      </c>
      <c r="C5553" s="23">
        <v>325.77</v>
      </c>
      <c r="D5553" s="23">
        <v>1281.615</v>
      </c>
      <c r="E5553" s="23">
        <v>79.486000000000004</v>
      </c>
      <c r="F5553" s="23">
        <v>-967.54700000000003</v>
      </c>
      <c r="G5553" s="23">
        <v>0</v>
      </c>
      <c r="H5553" s="23">
        <v>234.58199999999999</v>
      </c>
      <c r="I5553" s="23">
        <v>0</v>
      </c>
      <c r="J5553" s="23">
        <v>0</v>
      </c>
      <c r="K5553" s="23">
        <v>0</v>
      </c>
    </row>
    <row r="5554" spans="1:11" x14ac:dyDescent="0.25">
      <c r="A5554">
        <v>5553</v>
      </c>
      <c r="B5554" s="23">
        <v>83.715100519999993</v>
      </c>
      <c r="C5554" s="23">
        <v>556.99</v>
      </c>
      <c r="D5554" s="23">
        <v>2234.3879999999999</v>
      </c>
      <c r="E5554" s="23">
        <v>83.715999999999994</v>
      </c>
      <c r="F5554" s="23">
        <v>0</v>
      </c>
      <c r="G5554" s="23">
        <v>0</v>
      </c>
      <c r="H5554" s="23">
        <v>2150.672</v>
      </c>
      <c r="I5554" s="23">
        <v>0</v>
      </c>
      <c r="J5554" s="23">
        <v>0</v>
      </c>
      <c r="K5554" s="23">
        <v>0</v>
      </c>
    </row>
    <row r="5555" spans="1:11" x14ac:dyDescent="0.25">
      <c r="A5555">
        <v>5554</v>
      </c>
      <c r="B5555" s="23">
        <v>80.192854550000007</v>
      </c>
      <c r="C5555" s="23">
        <v>753.53</v>
      </c>
      <c r="D5555" s="23">
        <v>2955.0990000000002</v>
      </c>
      <c r="E5555" s="23">
        <v>80.192999999999998</v>
      </c>
      <c r="F5555" s="23">
        <v>0</v>
      </c>
      <c r="G5555" s="23">
        <v>0</v>
      </c>
      <c r="H5555" s="23">
        <v>2874.9059999999999</v>
      </c>
      <c r="I5555" s="23">
        <v>0</v>
      </c>
      <c r="J5555" s="23">
        <v>0</v>
      </c>
      <c r="K5555" s="23">
        <v>0</v>
      </c>
    </row>
    <row r="5556" spans="1:11" x14ac:dyDescent="0.25">
      <c r="A5556">
        <v>5555</v>
      </c>
      <c r="B5556" s="23">
        <v>80.868217329999993</v>
      </c>
      <c r="C5556" s="23">
        <v>906.94</v>
      </c>
      <c r="D5556" s="23">
        <v>3494.2489999999998</v>
      </c>
      <c r="E5556" s="23">
        <v>80.867999999999995</v>
      </c>
      <c r="F5556" s="23">
        <v>0</v>
      </c>
      <c r="G5556" s="23">
        <v>0</v>
      </c>
      <c r="H5556" s="23">
        <v>3413.3809999999999</v>
      </c>
      <c r="I5556" s="23">
        <v>0</v>
      </c>
      <c r="J5556" s="23">
        <v>0</v>
      </c>
      <c r="K5556" s="23">
        <v>0</v>
      </c>
    </row>
    <row r="5557" spans="1:11" x14ac:dyDescent="0.25">
      <c r="A5557">
        <v>5556</v>
      </c>
      <c r="B5557" s="23">
        <v>79.766519349999996</v>
      </c>
      <c r="C5557" s="23">
        <v>973.35</v>
      </c>
      <c r="D5557" s="23">
        <v>3713.1950000000002</v>
      </c>
      <c r="E5557" s="23">
        <v>79.766999999999996</v>
      </c>
      <c r="F5557" s="23">
        <v>0</v>
      </c>
      <c r="G5557" s="23">
        <v>0</v>
      </c>
      <c r="H5557" s="23">
        <v>3633.4279999999999</v>
      </c>
      <c r="I5557" s="23">
        <v>0</v>
      </c>
      <c r="J5557" s="23">
        <v>0</v>
      </c>
      <c r="K5557" s="23">
        <v>0</v>
      </c>
    </row>
    <row r="5558" spans="1:11" x14ac:dyDescent="0.25">
      <c r="A5558">
        <v>5557</v>
      </c>
      <c r="B5558" s="23">
        <v>81.197929830000007</v>
      </c>
      <c r="C5558" s="23">
        <v>967.79</v>
      </c>
      <c r="D5558" s="23">
        <v>3684.9479999999999</v>
      </c>
      <c r="E5558" s="23">
        <v>81.197000000000003</v>
      </c>
      <c r="F5558" s="23">
        <v>0</v>
      </c>
      <c r="G5558" s="23">
        <v>0</v>
      </c>
      <c r="H5558" s="23">
        <v>3603.7510000000002</v>
      </c>
      <c r="I5558" s="23">
        <v>0</v>
      </c>
      <c r="J5558" s="23">
        <v>0</v>
      </c>
      <c r="K5558" s="23">
        <v>0</v>
      </c>
    </row>
    <row r="5559" spans="1:11" x14ac:dyDescent="0.25">
      <c r="A5559">
        <v>5558</v>
      </c>
      <c r="B5559" s="23">
        <v>74.358636619999999</v>
      </c>
      <c r="C5559" s="23">
        <v>882.58</v>
      </c>
      <c r="D5559" s="23">
        <v>3390.3249999999998</v>
      </c>
      <c r="E5559" s="23">
        <v>74.358999999999995</v>
      </c>
      <c r="F5559" s="23">
        <v>0</v>
      </c>
      <c r="G5559" s="23">
        <v>0</v>
      </c>
      <c r="H5559" s="23">
        <v>3315.9659999999999</v>
      </c>
      <c r="I5559" s="23">
        <v>0</v>
      </c>
      <c r="J5559" s="23">
        <v>0</v>
      </c>
      <c r="K5559" s="23">
        <v>0</v>
      </c>
    </row>
    <row r="5560" spans="1:11" x14ac:dyDescent="0.25">
      <c r="A5560">
        <v>5559</v>
      </c>
      <c r="B5560" s="23">
        <v>87.963510880000001</v>
      </c>
      <c r="C5560" s="23">
        <v>565.25</v>
      </c>
      <c r="D5560" s="23">
        <v>2181.0360000000001</v>
      </c>
      <c r="E5560" s="23">
        <v>87.963999999999999</v>
      </c>
      <c r="F5560" s="23">
        <v>0</v>
      </c>
      <c r="G5560" s="23">
        <v>0</v>
      </c>
      <c r="H5560" s="23">
        <v>2093.0720000000001</v>
      </c>
      <c r="I5560" s="23">
        <v>0</v>
      </c>
      <c r="J5560" s="23">
        <v>0</v>
      </c>
      <c r="K5560" s="23">
        <v>0</v>
      </c>
    </row>
    <row r="5561" spans="1:11" x14ac:dyDescent="0.25">
      <c r="A5561">
        <v>5560</v>
      </c>
      <c r="B5561" s="23">
        <v>78.759451859999999</v>
      </c>
      <c r="C5561" s="23">
        <v>470.46</v>
      </c>
      <c r="D5561" s="23">
        <v>1848.7739999999999</v>
      </c>
      <c r="E5561" s="23">
        <v>78.760000000000005</v>
      </c>
      <c r="F5561" s="23">
        <v>0</v>
      </c>
      <c r="G5561" s="23">
        <v>0</v>
      </c>
      <c r="H5561" s="23">
        <v>1770.0139999999999</v>
      </c>
      <c r="I5561" s="23">
        <v>0</v>
      </c>
      <c r="J5561" s="23">
        <v>0</v>
      </c>
      <c r="K5561" s="23">
        <v>0</v>
      </c>
    </row>
    <row r="5562" spans="1:11" x14ac:dyDescent="0.25">
      <c r="A5562">
        <v>5561</v>
      </c>
      <c r="B5562" s="23">
        <v>83.995007509999994</v>
      </c>
      <c r="C5562" s="23">
        <v>272.64999999999998</v>
      </c>
      <c r="D5562" s="23">
        <v>1066.4449999999999</v>
      </c>
      <c r="E5562" s="23">
        <v>83.995000000000005</v>
      </c>
      <c r="F5562" s="23">
        <v>0</v>
      </c>
      <c r="G5562" s="23">
        <v>0</v>
      </c>
      <c r="H5562" s="23">
        <v>982.45</v>
      </c>
      <c r="I5562" s="23">
        <v>0</v>
      </c>
      <c r="J5562" s="23">
        <v>0</v>
      </c>
      <c r="K5562" s="23">
        <v>0</v>
      </c>
    </row>
    <row r="5563" spans="1:11" x14ac:dyDescent="0.25">
      <c r="A5563">
        <v>5562</v>
      </c>
      <c r="B5563" s="23">
        <v>78.931778929999993</v>
      </c>
      <c r="C5563" s="23">
        <v>81.19</v>
      </c>
      <c r="D5563" s="23">
        <v>244.697</v>
      </c>
      <c r="E5563" s="23">
        <v>78.932000000000002</v>
      </c>
      <c r="F5563" s="23">
        <v>0</v>
      </c>
      <c r="G5563" s="23">
        <v>0</v>
      </c>
      <c r="H5563" s="23">
        <v>165.76499999999999</v>
      </c>
      <c r="I5563" s="23">
        <v>0</v>
      </c>
      <c r="J5563" s="23">
        <v>0</v>
      </c>
      <c r="K5563" s="23">
        <v>0</v>
      </c>
    </row>
    <row r="5564" spans="1:11" x14ac:dyDescent="0.25">
      <c r="A5564">
        <v>5563</v>
      </c>
      <c r="B5564" s="23">
        <v>94.844640729999995</v>
      </c>
      <c r="C5564" s="23">
        <v>0</v>
      </c>
      <c r="D5564" s="23">
        <v>0</v>
      </c>
      <c r="E5564" s="23">
        <v>0</v>
      </c>
      <c r="F5564" s="23">
        <v>0</v>
      </c>
      <c r="G5564" s="23">
        <v>0</v>
      </c>
      <c r="H5564" s="23">
        <v>0</v>
      </c>
      <c r="I5564" s="23">
        <v>0</v>
      </c>
      <c r="J5564" s="23">
        <v>0</v>
      </c>
      <c r="K5564" s="23">
        <v>94.844999999999999</v>
      </c>
    </row>
    <row r="5565" spans="1:11" x14ac:dyDescent="0.25">
      <c r="A5565">
        <v>5564</v>
      </c>
      <c r="B5565" s="23">
        <v>89.251481479999995</v>
      </c>
      <c r="C5565" s="23">
        <v>0</v>
      </c>
      <c r="D5565" s="23">
        <v>0</v>
      </c>
      <c r="E5565" s="23">
        <v>0</v>
      </c>
      <c r="F5565" s="23">
        <v>0</v>
      </c>
      <c r="G5565" s="23">
        <v>0</v>
      </c>
      <c r="H5565" s="23">
        <v>0</v>
      </c>
      <c r="I5565" s="23">
        <v>0</v>
      </c>
      <c r="J5565" s="23">
        <v>0</v>
      </c>
      <c r="K5565" s="23">
        <v>89.251000000000005</v>
      </c>
    </row>
    <row r="5566" spans="1:11" x14ac:dyDescent="0.25">
      <c r="A5566">
        <v>5565</v>
      </c>
      <c r="B5566" s="23">
        <v>93.235922619999997</v>
      </c>
      <c r="C5566" s="23">
        <v>0</v>
      </c>
      <c r="D5566" s="23">
        <v>0</v>
      </c>
      <c r="E5566" s="23">
        <v>0</v>
      </c>
      <c r="F5566" s="23">
        <v>0</v>
      </c>
      <c r="G5566" s="23">
        <v>0</v>
      </c>
      <c r="H5566" s="23">
        <v>0</v>
      </c>
      <c r="I5566" s="23">
        <v>0</v>
      </c>
      <c r="J5566" s="23">
        <v>0</v>
      </c>
      <c r="K5566" s="23">
        <v>93.236000000000004</v>
      </c>
    </row>
    <row r="5567" spans="1:11" x14ac:dyDescent="0.25">
      <c r="A5567">
        <v>5566</v>
      </c>
      <c r="B5567" s="23">
        <v>86.860816799999995</v>
      </c>
      <c r="C5567" s="23">
        <v>0</v>
      </c>
      <c r="D5567" s="23">
        <v>0</v>
      </c>
      <c r="E5567" s="23">
        <v>0</v>
      </c>
      <c r="F5567" s="23">
        <v>0</v>
      </c>
      <c r="G5567" s="23">
        <v>0</v>
      </c>
      <c r="H5567" s="23">
        <v>0</v>
      </c>
      <c r="I5567" s="23">
        <v>0</v>
      </c>
      <c r="J5567" s="23">
        <v>0</v>
      </c>
      <c r="K5567" s="23">
        <v>86.861000000000004</v>
      </c>
    </row>
    <row r="5568" spans="1:11" x14ac:dyDescent="0.25">
      <c r="A5568">
        <v>5567</v>
      </c>
      <c r="B5568" s="23">
        <v>96.423475530000005</v>
      </c>
      <c r="C5568" s="23">
        <v>0</v>
      </c>
      <c r="D5568" s="23">
        <v>0</v>
      </c>
      <c r="E5568" s="23">
        <v>0</v>
      </c>
      <c r="F5568" s="23">
        <v>0</v>
      </c>
      <c r="G5568" s="23">
        <v>0</v>
      </c>
      <c r="H5568" s="23">
        <v>0</v>
      </c>
      <c r="I5568" s="23">
        <v>0</v>
      </c>
      <c r="J5568" s="23">
        <v>0</v>
      </c>
      <c r="K5568" s="23">
        <v>96.423000000000002</v>
      </c>
    </row>
    <row r="5569" spans="1:11" x14ac:dyDescent="0.25">
      <c r="A5569">
        <v>5568</v>
      </c>
      <c r="B5569" s="23">
        <v>86.860816799999995</v>
      </c>
      <c r="C5569" s="23">
        <v>0</v>
      </c>
      <c r="D5569" s="23">
        <v>0</v>
      </c>
      <c r="E5569" s="23">
        <v>0</v>
      </c>
      <c r="F5569" s="23">
        <v>0</v>
      </c>
      <c r="G5569" s="23">
        <v>0</v>
      </c>
      <c r="H5569" s="23">
        <v>0</v>
      </c>
      <c r="I5569" s="23">
        <v>0</v>
      </c>
      <c r="J5569" s="23">
        <v>0</v>
      </c>
      <c r="K5569" s="23">
        <v>86.861000000000004</v>
      </c>
    </row>
    <row r="5570" spans="1:11" x14ac:dyDescent="0.25">
      <c r="A5570">
        <v>5569</v>
      </c>
      <c r="B5570" s="23">
        <v>93.235922619999997</v>
      </c>
      <c r="C5570" s="23">
        <v>0</v>
      </c>
      <c r="D5570" s="23">
        <v>0</v>
      </c>
      <c r="E5570" s="23">
        <v>0</v>
      </c>
      <c r="F5570" s="23">
        <v>0</v>
      </c>
      <c r="G5570" s="23">
        <v>0</v>
      </c>
      <c r="H5570" s="23">
        <v>0</v>
      </c>
      <c r="I5570" s="23">
        <v>0</v>
      </c>
      <c r="J5570" s="23">
        <v>0</v>
      </c>
      <c r="K5570" s="23">
        <v>93.236000000000004</v>
      </c>
    </row>
    <row r="5571" spans="1:11" x14ac:dyDescent="0.25">
      <c r="A5571">
        <v>5570</v>
      </c>
      <c r="B5571" s="23">
        <v>88.454593250000002</v>
      </c>
      <c r="C5571" s="23">
        <v>0</v>
      </c>
      <c r="D5571" s="23">
        <v>0</v>
      </c>
      <c r="E5571" s="23">
        <v>0</v>
      </c>
      <c r="F5571" s="23">
        <v>0</v>
      </c>
      <c r="G5571" s="23">
        <v>0</v>
      </c>
      <c r="H5571" s="23">
        <v>0</v>
      </c>
      <c r="I5571" s="23">
        <v>0</v>
      </c>
      <c r="J5571" s="23">
        <v>0</v>
      </c>
      <c r="K5571" s="23">
        <v>88.454999999999998</v>
      </c>
    </row>
    <row r="5572" spans="1:11" x14ac:dyDescent="0.25">
      <c r="A5572">
        <v>5571</v>
      </c>
      <c r="B5572" s="23">
        <v>86.860816799999995</v>
      </c>
      <c r="C5572" s="23">
        <v>0</v>
      </c>
      <c r="D5572" s="23">
        <v>0</v>
      </c>
      <c r="E5572" s="23">
        <v>0</v>
      </c>
      <c r="F5572" s="23">
        <v>0</v>
      </c>
      <c r="G5572" s="23">
        <v>0</v>
      </c>
      <c r="H5572" s="23">
        <v>0</v>
      </c>
      <c r="I5572" s="23">
        <v>0</v>
      </c>
      <c r="J5572" s="23">
        <v>0</v>
      </c>
      <c r="K5572" s="23">
        <v>86.861000000000004</v>
      </c>
    </row>
    <row r="5573" spans="1:11" x14ac:dyDescent="0.25">
      <c r="A5573">
        <v>5572</v>
      </c>
      <c r="B5573" s="23">
        <v>86.860816799999995</v>
      </c>
      <c r="C5573" s="23">
        <v>0</v>
      </c>
      <c r="D5573" s="23">
        <v>0</v>
      </c>
      <c r="E5573" s="23">
        <v>0</v>
      </c>
      <c r="F5573" s="23">
        <v>0</v>
      </c>
      <c r="G5573" s="23">
        <v>0</v>
      </c>
      <c r="H5573" s="23">
        <v>0</v>
      </c>
      <c r="I5573" s="23">
        <v>0</v>
      </c>
      <c r="J5573" s="23">
        <v>0</v>
      </c>
      <c r="K5573" s="23">
        <v>86.861000000000004</v>
      </c>
    </row>
    <row r="5574" spans="1:11" x14ac:dyDescent="0.25">
      <c r="A5574">
        <v>5573</v>
      </c>
      <c r="B5574" s="23">
        <v>93.235922619999997</v>
      </c>
      <c r="C5574" s="23">
        <v>0</v>
      </c>
      <c r="D5574" s="23">
        <v>0</v>
      </c>
      <c r="E5574" s="23">
        <v>0</v>
      </c>
      <c r="F5574" s="23">
        <v>0</v>
      </c>
      <c r="G5574" s="23">
        <v>0</v>
      </c>
      <c r="H5574" s="23">
        <v>0</v>
      </c>
      <c r="I5574" s="23">
        <v>0</v>
      </c>
      <c r="J5574" s="23">
        <v>0</v>
      </c>
      <c r="K5574" s="23">
        <v>93.236000000000004</v>
      </c>
    </row>
    <row r="5575" spans="1:11" x14ac:dyDescent="0.25">
      <c r="A5575">
        <v>5574</v>
      </c>
      <c r="B5575" s="23">
        <v>83.673263890000001</v>
      </c>
      <c r="C5575" s="23">
        <v>0</v>
      </c>
      <c r="D5575" s="23">
        <v>0</v>
      </c>
      <c r="E5575" s="23">
        <v>0</v>
      </c>
      <c r="F5575" s="23">
        <v>0</v>
      </c>
      <c r="G5575" s="23">
        <v>0</v>
      </c>
      <c r="H5575" s="23">
        <v>0</v>
      </c>
      <c r="I5575" s="23">
        <v>0</v>
      </c>
      <c r="J5575" s="23">
        <v>0</v>
      </c>
      <c r="K5575" s="23">
        <v>83.673000000000002</v>
      </c>
    </row>
    <row r="5576" spans="1:11" x14ac:dyDescent="0.25">
      <c r="A5576">
        <v>5575</v>
      </c>
      <c r="B5576" s="23">
        <v>86.860816799999995</v>
      </c>
      <c r="C5576" s="23">
        <v>90.61</v>
      </c>
      <c r="D5576" s="23">
        <v>313.34500000000003</v>
      </c>
      <c r="E5576" s="23">
        <v>86.861000000000004</v>
      </c>
      <c r="F5576" s="23">
        <v>-226.48400000000001</v>
      </c>
      <c r="G5576" s="23">
        <v>0</v>
      </c>
      <c r="H5576" s="23">
        <v>0</v>
      </c>
      <c r="I5576" s="23">
        <v>0</v>
      </c>
      <c r="J5576" s="23">
        <v>0</v>
      </c>
      <c r="K5576" s="23">
        <v>0</v>
      </c>
    </row>
    <row r="5577" spans="1:11" x14ac:dyDescent="0.25">
      <c r="A5577">
        <v>5576</v>
      </c>
      <c r="B5577" s="23">
        <v>75.724303820000003</v>
      </c>
      <c r="C5577" s="23">
        <v>330.8</v>
      </c>
      <c r="D5577" s="23">
        <v>1302.691</v>
      </c>
      <c r="E5577" s="23">
        <v>75.724000000000004</v>
      </c>
      <c r="F5577" s="23">
        <v>-975.21500000000003</v>
      </c>
      <c r="G5577" s="23">
        <v>0</v>
      </c>
      <c r="H5577" s="23">
        <v>251.75200000000001</v>
      </c>
      <c r="I5577" s="23">
        <v>0</v>
      </c>
      <c r="J5577" s="23">
        <v>0</v>
      </c>
      <c r="K5577" s="23">
        <v>0</v>
      </c>
    </row>
    <row r="5578" spans="1:11" x14ac:dyDescent="0.25">
      <c r="A5578">
        <v>5577</v>
      </c>
      <c r="B5578" s="23">
        <v>84.178291799999997</v>
      </c>
      <c r="C5578" s="23">
        <v>563.33000000000004</v>
      </c>
      <c r="D5578" s="23">
        <v>2258.9609999999998</v>
      </c>
      <c r="E5578" s="23">
        <v>84.177999999999997</v>
      </c>
      <c r="F5578" s="23">
        <v>0</v>
      </c>
      <c r="G5578" s="23">
        <v>0</v>
      </c>
      <c r="H5578" s="23">
        <v>2174.7829999999999</v>
      </c>
      <c r="I5578" s="23">
        <v>0</v>
      </c>
      <c r="J5578" s="23">
        <v>0</v>
      </c>
      <c r="K5578" s="23">
        <v>0</v>
      </c>
    </row>
    <row r="5579" spans="1:11" x14ac:dyDescent="0.25">
      <c r="A5579">
        <v>5578</v>
      </c>
      <c r="B5579" s="23">
        <v>72.487941500000005</v>
      </c>
      <c r="C5579" s="23">
        <v>760.79</v>
      </c>
      <c r="D5579" s="23">
        <v>2984.3319999999999</v>
      </c>
      <c r="E5579" s="23">
        <v>72.488</v>
      </c>
      <c r="F5579" s="23">
        <v>0</v>
      </c>
      <c r="G5579" s="23">
        <v>0</v>
      </c>
      <c r="H5579" s="23">
        <v>2911.8440000000001</v>
      </c>
      <c r="I5579" s="23">
        <v>0</v>
      </c>
      <c r="J5579" s="23">
        <v>0</v>
      </c>
      <c r="K5579" s="23">
        <v>0</v>
      </c>
    </row>
    <row r="5580" spans="1:11" x14ac:dyDescent="0.25">
      <c r="A5580">
        <v>5579</v>
      </c>
      <c r="B5580" s="23">
        <v>80.786536280000007</v>
      </c>
      <c r="C5580" s="23">
        <v>753.93</v>
      </c>
      <c r="D5580" s="23">
        <v>2878.904</v>
      </c>
      <c r="E5580" s="23">
        <v>80.787000000000006</v>
      </c>
      <c r="F5580" s="23">
        <v>0</v>
      </c>
      <c r="G5580" s="23">
        <v>0</v>
      </c>
      <c r="H5580" s="23">
        <v>2798.1170000000002</v>
      </c>
      <c r="I5580" s="23">
        <v>0</v>
      </c>
      <c r="J5580" s="23">
        <v>0</v>
      </c>
      <c r="K5580" s="23">
        <v>0</v>
      </c>
    </row>
    <row r="5581" spans="1:11" x14ac:dyDescent="0.25">
      <c r="A5581">
        <v>5580</v>
      </c>
      <c r="B5581" s="23">
        <v>74.870637310000006</v>
      </c>
      <c r="C5581" s="23">
        <v>834.66</v>
      </c>
      <c r="D5581" s="23">
        <v>3152.2660000000001</v>
      </c>
      <c r="E5581" s="23">
        <v>74.870999999999995</v>
      </c>
      <c r="F5581" s="23">
        <v>0</v>
      </c>
      <c r="G5581" s="23">
        <v>0</v>
      </c>
      <c r="H5581" s="23">
        <v>3077.395</v>
      </c>
      <c r="I5581" s="23">
        <v>0</v>
      </c>
      <c r="J5581" s="23">
        <v>0</v>
      </c>
      <c r="K5581" s="23">
        <v>0</v>
      </c>
    </row>
    <row r="5582" spans="1:11" x14ac:dyDescent="0.25">
      <c r="A5582">
        <v>5581</v>
      </c>
      <c r="B5582" s="23">
        <v>86.280084500000001</v>
      </c>
      <c r="C5582" s="23">
        <v>964.77</v>
      </c>
      <c r="D5582" s="23">
        <v>3681.3119999999999</v>
      </c>
      <c r="E5582" s="23">
        <v>86.28</v>
      </c>
      <c r="F5582" s="23">
        <v>0</v>
      </c>
      <c r="G5582" s="23">
        <v>0</v>
      </c>
      <c r="H5582" s="23">
        <v>3595.0320000000002</v>
      </c>
      <c r="I5582" s="23">
        <v>0</v>
      </c>
      <c r="J5582" s="23">
        <v>0</v>
      </c>
      <c r="K5582" s="23">
        <v>0</v>
      </c>
    </row>
    <row r="5583" spans="1:11" x14ac:dyDescent="0.25">
      <c r="A5583">
        <v>5582</v>
      </c>
      <c r="B5583" s="23">
        <v>78.114968500000003</v>
      </c>
      <c r="C5583" s="23">
        <v>560.62</v>
      </c>
      <c r="D5583" s="23">
        <v>2145.4850000000001</v>
      </c>
      <c r="E5583" s="23">
        <v>78.114999999999995</v>
      </c>
      <c r="F5583" s="23">
        <v>0</v>
      </c>
      <c r="G5583" s="23">
        <v>0</v>
      </c>
      <c r="H5583" s="23">
        <v>2067.37</v>
      </c>
      <c r="I5583" s="23">
        <v>0</v>
      </c>
      <c r="J5583" s="23">
        <v>0</v>
      </c>
      <c r="K5583" s="23">
        <v>0</v>
      </c>
    </row>
    <row r="5584" spans="1:11" x14ac:dyDescent="0.25">
      <c r="A5584">
        <v>5583</v>
      </c>
      <c r="B5584" s="23">
        <v>78.546284249999999</v>
      </c>
      <c r="C5584" s="23">
        <v>609.23</v>
      </c>
      <c r="D5584" s="23">
        <v>2355.308</v>
      </c>
      <c r="E5584" s="23">
        <v>78.546999999999997</v>
      </c>
      <c r="F5584" s="23">
        <v>0</v>
      </c>
      <c r="G5584" s="23">
        <v>0</v>
      </c>
      <c r="H5584" s="23">
        <v>2276.761</v>
      </c>
      <c r="I5584" s="23">
        <v>0</v>
      </c>
      <c r="J5584" s="23">
        <v>0</v>
      </c>
      <c r="K5584" s="23">
        <v>0</v>
      </c>
    </row>
    <row r="5585" spans="1:11" x14ac:dyDescent="0.25">
      <c r="A5585">
        <v>5584</v>
      </c>
      <c r="B5585" s="23">
        <v>79.343172480000007</v>
      </c>
      <c r="C5585" s="23">
        <v>532.42999999999995</v>
      </c>
      <c r="D5585" s="23">
        <v>2124.9659999999999</v>
      </c>
      <c r="E5585" s="23">
        <v>79.343000000000004</v>
      </c>
      <c r="F5585" s="23">
        <v>0</v>
      </c>
      <c r="G5585" s="23">
        <v>0</v>
      </c>
      <c r="H5585" s="23">
        <v>2045.623</v>
      </c>
      <c r="I5585" s="23">
        <v>0</v>
      </c>
      <c r="J5585" s="23">
        <v>0</v>
      </c>
      <c r="K5585" s="23">
        <v>0</v>
      </c>
    </row>
    <row r="5586" spans="1:11" x14ac:dyDescent="0.25">
      <c r="A5586">
        <v>5585</v>
      </c>
      <c r="B5586" s="23">
        <v>88.307168930000003</v>
      </c>
      <c r="C5586" s="23">
        <v>298.37</v>
      </c>
      <c r="D5586" s="23">
        <v>1152.838</v>
      </c>
      <c r="E5586" s="23">
        <v>88.308000000000007</v>
      </c>
      <c r="F5586" s="23">
        <v>0</v>
      </c>
      <c r="G5586" s="23">
        <v>0</v>
      </c>
      <c r="H5586" s="23">
        <v>1064.53</v>
      </c>
      <c r="I5586" s="23">
        <v>0</v>
      </c>
      <c r="J5586" s="23">
        <v>0</v>
      </c>
      <c r="K5586" s="23">
        <v>0</v>
      </c>
    </row>
    <row r="5587" spans="1:11" x14ac:dyDescent="0.25">
      <c r="A5587">
        <v>5586</v>
      </c>
      <c r="B5587" s="23">
        <v>82.343456660000001</v>
      </c>
      <c r="C5587" s="23">
        <v>78.67</v>
      </c>
      <c r="D5587" s="23">
        <v>237.05699999999999</v>
      </c>
      <c r="E5587" s="23">
        <v>82.343999999999994</v>
      </c>
      <c r="F5587" s="23">
        <v>0</v>
      </c>
      <c r="G5587" s="23">
        <v>0</v>
      </c>
      <c r="H5587" s="23">
        <v>154.71299999999999</v>
      </c>
      <c r="I5587" s="23">
        <v>0</v>
      </c>
      <c r="J5587" s="23">
        <v>0</v>
      </c>
      <c r="K5587" s="23">
        <v>0</v>
      </c>
    </row>
    <row r="5588" spans="1:11" x14ac:dyDescent="0.25">
      <c r="A5588">
        <v>5587</v>
      </c>
      <c r="B5588" s="23">
        <v>97.256223730000002</v>
      </c>
      <c r="C5588" s="23">
        <v>0</v>
      </c>
      <c r="D5588" s="23">
        <v>0</v>
      </c>
      <c r="E5588" s="23">
        <v>0</v>
      </c>
      <c r="F5588" s="23">
        <v>0</v>
      </c>
      <c r="G5588" s="23">
        <v>0</v>
      </c>
      <c r="H5588" s="23">
        <v>0</v>
      </c>
      <c r="I5588" s="23">
        <v>0</v>
      </c>
      <c r="J5588" s="23">
        <v>0</v>
      </c>
      <c r="K5588" s="23">
        <v>97.256</v>
      </c>
    </row>
    <row r="5589" spans="1:11" x14ac:dyDescent="0.25">
      <c r="A5589">
        <v>5588</v>
      </c>
      <c r="B5589" s="23">
        <v>88.454593250000002</v>
      </c>
      <c r="C5589" s="23">
        <v>0</v>
      </c>
      <c r="D5589" s="23">
        <v>0</v>
      </c>
      <c r="E5589" s="23">
        <v>0</v>
      </c>
      <c r="F5589" s="23">
        <v>0</v>
      </c>
      <c r="G5589" s="23">
        <v>0</v>
      </c>
      <c r="H5589" s="23">
        <v>0</v>
      </c>
      <c r="I5589" s="23">
        <v>0</v>
      </c>
      <c r="J5589" s="23">
        <v>0</v>
      </c>
      <c r="K5589" s="23">
        <v>88.454999999999998</v>
      </c>
    </row>
    <row r="5590" spans="1:11" x14ac:dyDescent="0.25">
      <c r="A5590">
        <v>5589</v>
      </c>
      <c r="B5590" s="23">
        <v>94.032810850000004</v>
      </c>
      <c r="C5590" s="23">
        <v>0</v>
      </c>
      <c r="D5590" s="23">
        <v>0</v>
      </c>
      <c r="E5590" s="23">
        <v>0</v>
      </c>
      <c r="F5590" s="23">
        <v>0</v>
      </c>
      <c r="G5590" s="23">
        <v>0</v>
      </c>
      <c r="H5590" s="23">
        <v>0</v>
      </c>
      <c r="I5590" s="23">
        <v>0</v>
      </c>
      <c r="J5590" s="23">
        <v>0</v>
      </c>
      <c r="K5590" s="23">
        <v>94.033000000000001</v>
      </c>
    </row>
    <row r="5591" spans="1:11" x14ac:dyDescent="0.25">
      <c r="A5591">
        <v>5590</v>
      </c>
      <c r="B5591" s="23">
        <v>86.860816799999995</v>
      </c>
      <c r="C5591" s="23">
        <v>0</v>
      </c>
      <c r="D5591" s="23">
        <v>0</v>
      </c>
      <c r="E5591" s="23">
        <v>0</v>
      </c>
      <c r="F5591" s="23">
        <v>0</v>
      </c>
      <c r="G5591" s="23">
        <v>0</v>
      </c>
      <c r="H5591" s="23">
        <v>0</v>
      </c>
      <c r="I5591" s="23">
        <v>0</v>
      </c>
      <c r="J5591" s="23">
        <v>0</v>
      </c>
      <c r="K5591" s="23">
        <v>86.861000000000004</v>
      </c>
    </row>
    <row r="5592" spans="1:11" x14ac:dyDescent="0.25">
      <c r="A5592">
        <v>5591</v>
      </c>
      <c r="B5592" s="23">
        <v>90.845257939999996</v>
      </c>
      <c r="C5592" s="23">
        <v>0</v>
      </c>
      <c r="D5592" s="23">
        <v>0</v>
      </c>
      <c r="E5592" s="23">
        <v>0</v>
      </c>
      <c r="F5592" s="23">
        <v>0</v>
      </c>
      <c r="G5592" s="23">
        <v>0</v>
      </c>
      <c r="H5592" s="23">
        <v>0</v>
      </c>
      <c r="I5592" s="23">
        <v>0</v>
      </c>
      <c r="J5592" s="23">
        <v>0</v>
      </c>
      <c r="K5592" s="23">
        <v>90.844999999999999</v>
      </c>
    </row>
    <row r="5593" spans="1:11" x14ac:dyDescent="0.25">
      <c r="A5593">
        <v>5592</v>
      </c>
      <c r="B5593" s="23">
        <v>84.470152119999995</v>
      </c>
      <c r="C5593" s="23">
        <v>0</v>
      </c>
      <c r="D5593" s="23">
        <v>0</v>
      </c>
      <c r="E5593" s="23">
        <v>0</v>
      </c>
      <c r="F5593" s="23">
        <v>0</v>
      </c>
      <c r="G5593" s="23">
        <v>0</v>
      </c>
      <c r="H5593" s="23">
        <v>0</v>
      </c>
      <c r="I5593" s="23">
        <v>0</v>
      </c>
      <c r="J5593" s="23">
        <v>0</v>
      </c>
      <c r="K5593" s="23">
        <v>84.47</v>
      </c>
    </row>
    <row r="5594" spans="1:11" x14ac:dyDescent="0.25">
      <c r="A5594">
        <v>5593</v>
      </c>
      <c r="B5594" s="23">
        <v>93.235922619999997</v>
      </c>
      <c r="C5594" s="23">
        <v>0</v>
      </c>
      <c r="D5594" s="23">
        <v>0</v>
      </c>
      <c r="E5594" s="23">
        <v>0</v>
      </c>
      <c r="F5594" s="23">
        <v>0</v>
      </c>
      <c r="G5594" s="23">
        <v>0</v>
      </c>
      <c r="H5594" s="23">
        <v>0</v>
      </c>
      <c r="I5594" s="23">
        <v>0</v>
      </c>
      <c r="J5594" s="23">
        <v>0</v>
      </c>
      <c r="K5594" s="23">
        <v>93.236000000000004</v>
      </c>
    </row>
    <row r="5595" spans="1:11" x14ac:dyDescent="0.25">
      <c r="A5595">
        <v>5594</v>
      </c>
      <c r="B5595" s="23">
        <v>81.282599210000001</v>
      </c>
      <c r="C5595" s="23">
        <v>0</v>
      </c>
      <c r="D5595" s="23">
        <v>0</v>
      </c>
      <c r="E5595" s="23">
        <v>0</v>
      </c>
      <c r="F5595" s="23">
        <v>0</v>
      </c>
      <c r="G5595" s="23">
        <v>0</v>
      </c>
      <c r="H5595" s="23">
        <v>0</v>
      </c>
      <c r="I5595" s="23">
        <v>0</v>
      </c>
      <c r="J5595" s="23">
        <v>0</v>
      </c>
      <c r="K5595" s="23">
        <v>81.283000000000001</v>
      </c>
    </row>
    <row r="5596" spans="1:11" x14ac:dyDescent="0.25">
      <c r="A5596">
        <v>5595</v>
      </c>
      <c r="B5596" s="23">
        <v>92.439034390000003</v>
      </c>
      <c r="C5596" s="23">
        <v>0</v>
      </c>
      <c r="D5596" s="23">
        <v>0</v>
      </c>
      <c r="E5596" s="23">
        <v>0</v>
      </c>
      <c r="F5596" s="23">
        <v>0</v>
      </c>
      <c r="G5596" s="23">
        <v>0</v>
      </c>
      <c r="H5596" s="23">
        <v>0</v>
      </c>
      <c r="I5596" s="23">
        <v>0</v>
      </c>
      <c r="J5596" s="23">
        <v>0</v>
      </c>
      <c r="K5596" s="23">
        <v>92.438999999999993</v>
      </c>
    </row>
    <row r="5597" spans="1:11" x14ac:dyDescent="0.25">
      <c r="A5597">
        <v>5596</v>
      </c>
      <c r="B5597" s="23">
        <v>79.68882275</v>
      </c>
      <c r="C5597" s="23">
        <v>0</v>
      </c>
      <c r="D5597" s="23">
        <v>0</v>
      </c>
      <c r="E5597" s="23">
        <v>0</v>
      </c>
      <c r="F5597" s="23">
        <v>0</v>
      </c>
      <c r="G5597" s="23">
        <v>0</v>
      </c>
      <c r="H5597" s="23">
        <v>0</v>
      </c>
      <c r="I5597" s="23">
        <v>0</v>
      </c>
      <c r="J5597" s="23">
        <v>0</v>
      </c>
      <c r="K5597" s="23">
        <v>79.688999999999993</v>
      </c>
    </row>
    <row r="5598" spans="1:11" x14ac:dyDescent="0.25">
      <c r="A5598">
        <v>5597</v>
      </c>
      <c r="B5598" s="23">
        <v>90.048369710000003</v>
      </c>
      <c r="C5598" s="23">
        <v>0</v>
      </c>
      <c r="D5598" s="23">
        <v>0</v>
      </c>
      <c r="E5598" s="23">
        <v>0</v>
      </c>
      <c r="F5598" s="23">
        <v>0</v>
      </c>
      <c r="G5598" s="23">
        <v>0</v>
      </c>
      <c r="H5598" s="23">
        <v>0</v>
      </c>
      <c r="I5598" s="23">
        <v>0</v>
      </c>
      <c r="J5598" s="23">
        <v>0</v>
      </c>
      <c r="K5598" s="23">
        <v>90.048000000000002</v>
      </c>
    </row>
    <row r="5599" spans="1:11" x14ac:dyDescent="0.25">
      <c r="A5599">
        <v>5598</v>
      </c>
      <c r="B5599" s="23">
        <v>79.68882275</v>
      </c>
      <c r="C5599" s="23">
        <v>0</v>
      </c>
      <c r="D5599" s="23">
        <v>0</v>
      </c>
      <c r="E5599" s="23">
        <v>0</v>
      </c>
      <c r="F5599" s="23">
        <v>0</v>
      </c>
      <c r="G5599" s="23">
        <v>0</v>
      </c>
      <c r="H5599" s="23">
        <v>0</v>
      </c>
      <c r="I5599" s="23">
        <v>0</v>
      </c>
      <c r="J5599" s="23">
        <v>0</v>
      </c>
      <c r="K5599" s="23">
        <v>79.688999999999993</v>
      </c>
    </row>
    <row r="5600" spans="1:11" x14ac:dyDescent="0.25">
      <c r="A5600">
        <v>5599</v>
      </c>
      <c r="B5600" s="23">
        <v>86.063928570000002</v>
      </c>
      <c r="C5600" s="23">
        <v>80.59</v>
      </c>
      <c r="D5600" s="23">
        <v>282.2</v>
      </c>
      <c r="E5600" s="23">
        <v>86.063999999999993</v>
      </c>
      <c r="F5600" s="23">
        <v>-196.136</v>
      </c>
      <c r="G5600" s="23">
        <v>0</v>
      </c>
      <c r="H5600" s="23">
        <v>0</v>
      </c>
      <c r="I5600" s="23">
        <v>0</v>
      </c>
      <c r="J5600" s="23">
        <v>0</v>
      </c>
      <c r="K5600" s="23">
        <v>0</v>
      </c>
    </row>
    <row r="5601" spans="1:11" x14ac:dyDescent="0.25">
      <c r="A5601">
        <v>5600</v>
      </c>
      <c r="B5601" s="23">
        <v>75.159509290000003</v>
      </c>
      <c r="C5601" s="23">
        <v>257.01</v>
      </c>
      <c r="D5601" s="23">
        <v>1019.018</v>
      </c>
      <c r="E5601" s="23">
        <v>75.159000000000006</v>
      </c>
      <c r="F5601" s="23">
        <v>-943.85900000000004</v>
      </c>
      <c r="G5601" s="23">
        <v>0</v>
      </c>
      <c r="H5601" s="23">
        <v>0</v>
      </c>
      <c r="I5601" s="23">
        <v>0</v>
      </c>
      <c r="J5601" s="23">
        <v>0</v>
      </c>
      <c r="K5601" s="23">
        <v>0</v>
      </c>
    </row>
    <row r="5602" spans="1:11" x14ac:dyDescent="0.25">
      <c r="A5602">
        <v>5601</v>
      </c>
      <c r="B5602" s="23">
        <v>85.13455768</v>
      </c>
      <c r="C5602" s="23">
        <v>455.96</v>
      </c>
      <c r="D5602" s="23">
        <v>1807.944</v>
      </c>
      <c r="E5602" s="23">
        <v>85.135000000000005</v>
      </c>
      <c r="F5602" s="23">
        <v>-37.781999999999996</v>
      </c>
      <c r="G5602" s="23">
        <v>0</v>
      </c>
      <c r="H5602" s="23">
        <v>1685.027</v>
      </c>
      <c r="I5602" s="23">
        <v>0</v>
      </c>
      <c r="J5602" s="23">
        <v>0</v>
      </c>
      <c r="K5602" s="23">
        <v>0</v>
      </c>
    </row>
    <row r="5603" spans="1:11" x14ac:dyDescent="0.25">
      <c r="A5603">
        <v>5602</v>
      </c>
      <c r="B5603" s="23">
        <v>74.164395110000001</v>
      </c>
      <c r="C5603" s="23">
        <v>598.89</v>
      </c>
      <c r="D5603" s="23">
        <v>2336.21</v>
      </c>
      <c r="E5603" s="23">
        <v>74.165000000000006</v>
      </c>
      <c r="F5603" s="23">
        <v>0</v>
      </c>
      <c r="G5603" s="23">
        <v>0</v>
      </c>
      <c r="H5603" s="23">
        <v>2262.0450000000001</v>
      </c>
      <c r="I5603" s="23">
        <v>0</v>
      </c>
      <c r="J5603" s="23">
        <v>0</v>
      </c>
      <c r="K5603" s="23">
        <v>0</v>
      </c>
    </row>
    <row r="5604" spans="1:11" x14ac:dyDescent="0.25">
      <c r="A5604">
        <v>5603</v>
      </c>
      <c r="B5604" s="23">
        <v>80.265570609999997</v>
      </c>
      <c r="C5604" s="23">
        <v>733.19</v>
      </c>
      <c r="D5604" s="23">
        <v>2824.0949999999998</v>
      </c>
      <c r="E5604" s="23">
        <v>80.265000000000001</v>
      </c>
      <c r="F5604" s="23">
        <v>0</v>
      </c>
      <c r="G5604" s="23">
        <v>0</v>
      </c>
      <c r="H5604" s="23">
        <v>2743.83</v>
      </c>
      <c r="I5604" s="23">
        <v>0</v>
      </c>
      <c r="J5604" s="23">
        <v>0</v>
      </c>
      <c r="K5604" s="23">
        <v>0</v>
      </c>
    </row>
    <row r="5605" spans="1:11" x14ac:dyDescent="0.25">
      <c r="A5605">
        <v>5604</v>
      </c>
      <c r="B5605" s="23">
        <v>72.99496164</v>
      </c>
      <c r="C5605" s="23">
        <v>741.51</v>
      </c>
      <c r="D5605" s="23">
        <v>2840.8530000000001</v>
      </c>
      <c r="E5605" s="23">
        <v>72.995000000000005</v>
      </c>
      <c r="F5605" s="23">
        <v>0</v>
      </c>
      <c r="G5605" s="23">
        <v>0</v>
      </c>
      <c r="H5605" s="23">
        <v>2767.8580000000002</v>
      </c>
      <c r="I5605" s="23">
        <v>0</v>
      </c>
      <c r="J5605" s="23">
        <v>0</v>
      </c>
      <c r="K5605" s="23">
        <v>0</v>
      </c>
    </row>
    <row r="5606" spans="1:11" x14ac:dyDescent="0.25">
      <c r="A5606">
        <v>5605</v>
      </c>
      <c r="B5606" s="23">
        <v>82.33249945</v>
      </c>
      <c r="C5606" s="23">
        <v>783.36</v>
      </c>
      <c r="D5606" s="23">
        <v>2994.8240000000001</v>
      </c>
      <c r="E5606" s="23">
        <v>82.332999999999998</v>
      </c>
      <c r="F5606" s="23">
        <v>0</v>
      </c>
      <c r="G5606" s="23">
        <v>0</v>
      </c>
      <c r="H5606" s="23">
        <v>2912.491</v>
      </c>
      <c r="I5606" s="23">
        <v>0</v>
      </c>
      <c r="J5606" s="23">
        <v>0</v>
      </c>
      <c r="K5606" s="23">
        <v>0</v>
      </c>
    </row>
    <row r="5607" spans="1:11" x14ac:dyDescent="0.25">
      <c r="A5607">
        <v>5606</v>
      </c>
      <c r="B5607" s="23">
        <v>74.669423030000004</v>
      </c>
      <c r="C5607" s="23">
        <v>667.2</v>
      </c>
      <c r="D5607" s="23">
        <v>2570.239</v>
      </c>
      <c r="E5607" s="23">
        <v>74.668999999999997</v>
      </c>
      <c r="F5607" s="23">
        <v>0</v>
      </c>
      <c r="G5607" s="23">
        <v>0</v>
      </c>
      <c r="H5607" s="23">
        <v>2495.5700000000002</v>
      </c>
      <c r="I5607" s="23">
        <v>0</v>
      </c>
      <c r="J5607" s="23">
        <v>0</v>
      </c>
      <c r="K5607" s="23">
        <v>0</v>
      </c>
    </row>
    <row r="5608" spans="1:11" x14ac:dyDescent="0.25">
      <c r="A5608">
        <v>5607</v>
      </c>
      <c r="B5608" s="23">
        <v>86.449423249999995</v>
      </c>
      <c r="C5608" s="23">
        <v>607.72</v>
      </c>
      <c r="D5608" s="23">
        <v>2364.9059999999999</v>
      </c>
      <c r="E5608" s="23">
        <v>86.45</v>
      </c>
      <c r="F5608" s="23">
        <v>0</v>
      </c>
      <c r="G5608" s="23">
        <v>0</v>
      </c>
      <c r="H5608" s="23">
        <v>2278.4560000000001</v>
      </c>
      <c r="I5608" s="23">
        <v>0</v>
      </c>
      <c r="J5608" s="23">
        <v>0</v>
      </c>
      <c r="K5608" s="23">
        <v>0</v>
      </c>
    </row>
    <row r="5609" spans="1:11" x14ac:dyDescent="0.25">
      <c r="A5609">
        <v>5608</v>
      </c>
      <c r="B5609" s="23">
        <v>80.936948939999994</v>
      </c>
      <c r="C5609" s="23">
        <v>457.67</v>
      </c>
      <c r="D5609" s="23">
        <v>1808.894</v>
      </c>
      <c r="E5609" s="23">
        <v>80.936999999999998</v>
      </c>
      <c r="F5609" s="23">
        <v>0</v>
      </c>
      <c r="G5609" s="23">
        <v>0</v>
      </c>
      <c r="H5609" s="23">
        <v>1727.9570000000001</v>
      </c>
      <c r="I5609" s="23">
        <v>0</v>
      </c>
      <c r="J5609" s="23">
        <v>0</v>
      </c>
      <c r="K5609" s="23">
        <v>0</v>
      </c>
    </row>
    <row r="5610" spans="1:11" x14ac:dyDescent="0.25">
      <c r="A5610">
        <v>5609</v>
      </c>
      <c r="B5610" s="23">
        <v>86.750248560000003</v>
      </c>
      <c r="C5610" s="23">
        <v>269.64999999999998</v>
      </c>
      <c r="D5610" s="23">
        <v>1058.96</v>
      </c>
      <c r="E5610" s="23">
        <v>86.75</v>
      </c>
      <c r="F5610" s="23">
        <v>0</v>
      </c>
      <c r="G5610" s="23">
        <v>0</v>
      </c>
      <c r="H5610" s="23">
        <v>972.21</v>
      </c>
      <c r="I5610" s="23">
        <v>0</v>
      </c>
      <c r="J5610" s="23">
        <v>0</v>
      </c>
      <c r="K5610" s="23">
        <v>0</v>
      </c>
    </row>
    <row r="5611" spans="1:11" x14ac:dyDescent="0.25">
      <c r="A5611">
        <v>5610</v>
      </c>
      <c r="B5611" s="23">
        <v>79.350145249999997</v>
      </c>
      <c r="C5611" s="23">
        <v>76.819999999999993</v>
      </c>
      <c r="D5611" s="23">
        <v>235.29499999999999</v>
      </c>
      <c r="E5611" s="23">
        <v>79.349999999999994</v>
      </c>
      <c r="F5611" s="23">
        <v>0</v>
      </c>
      <c r="G5611" s="23">
        <v>0</v>
      </c>
      <c r="H5611" s="23">
        <v>155.94499999999999</v>
      </c>
      <c r="I5611" s="23">
        <v>0</v>
      </c>
      <c r="J5611" s="23">
        <v>0</v>
      </c>
      <c r="K5611" s="23">
        <v>0</v>
      </c>
    </row>
    <row r="5612" spans="1:11" x14ac:dyDescent="0.25">
      <c r="A5612">
        <v>5611</v>
      </c>
      <c r="B5612" s="23">
        <v>96.444393840000004</v>
      </c>
      <c r="C5612" s="23">
        <v>0</v>
      </c>
      <c r="D5612" s="23">
        <v>0</v>
      </c>
      <c r="E5612" s="23">
        <v>0</v>
      </c>
      <c r="F5612" s="23">
        <v>0</v>
      </c>
      <c r="G5612" s="23">
        <v>0</v>
      </c>
      <c r="H5612" s="23">
        <v>0</v>
      </c>
      <c r="I5612" s="23">
        <v>0</v>
      </c>
      <c r="J5612" s="23">
        <v>0</v>
      </c>
      <c r="K5612" s="23">
        <v>96.444000000000003</v>
      </c>
    </row>
    <row r="5613" spans="1:11" x14ac:dyDescent="0.25">
      <c r="A5613">
        <v>5612</v>
      </c>
      <c r="B5613" s="23">
        <v>87.657705030000002</v>
      </c>
      <c r="C5613" s="23">
        <v>0</v>
      </c>
      <c r="D5613" s="23">
        <v>0</v>
      </c>
      <c r="E5613" s="23">
        <v>0</v>
      </c>
      <c r="F5613" s="23">
        <v>0</v>
      </c>
      <c r="G5613" s="23">
        <v>0</v>
      </c>
      <c r="H5613" s="23">
        <v>0</v>
      </c>
      <c r="I5613" s="23">
        <v>0</v>
      </c>
      <c r="J5613" s="23">
        <v>0</v>
      </c>
      <c r="K5613" s="23">
        <v>87.658000000000001</v>
      </c>
    </row>
    <row r="5614" spans="1:11" x14ac:dyDescent="0.25">
      <c r="A5614">
        <v>5613</v>
      </c>
      <c r="B5614" s="23">
        <v>90.845257939999996</v>
      </c>
      <c r="C5614" s="23">
        <v>0</v>
      </c>
      <c r="D5614" s="23">
        <v>0</v>
      </c>
      <c r="E5614" s="23">
        <v>0</v>
      </c>
      <c r="F5614" s="23">
        <v>0</v>
      </c>
      <c r="G5614" s="23">
        <v>0</v>
      </c>
      <c r="H5614" s="23">
        <v>0</v>
      </c>
      <c r="I5614" s="23">
        <v>0</v>
      </c>
      <c r="J5614" s="23">
        <v>0</v>
      </c>
      <c r="K5614" s="23">
        <v>90.844999999999999</v>
      </c>
    </row>
    <row r="5615" spans="1:11" x14ac:dyDescent="0.25">
      <c r="A5615">
        <v>5614</v>
      </c>
      <c r="B5615" s="23">
        <v>86.063928570000002</v>
      </c>
      <c r="C5615" s="23">
        <v>0</v>
      </c>
      <c r="D5615" s="23">
        <v>0</v>
      </c>
      <c r="E5615" s="23">
        <v>0</v>
      </c>
      <c r="F5615" s="23">
        <v>0</v>
      </c>
      <c r="G5615" s="23">
        <v>0</v>
      </c>
      <c r="H5615" s="23">
        <v>0</v>
      </c>
      <c r="I5615" s="23">
        <v>0</v>
      </c>
      <c r="J5615" s="23">
        <v>0</v>
      </c>
      <c r="K5615" s="23">
        <v>86.063999999999993</v>
      </c>
    </row>
    <row r="5616" spans="1:11" x14ac:dyDescent="0.25">
      <c r="A5616">
        <v>5615</v>
      </c>
      <c r="B5616" s="23">
        <v>92.439034390000003</v>
      </c>
      <c r="C5616" s="23">
        <v>0</v>
      </c>
      <c r="D5616" s="23">
        <v>0</v>
      </c>
      <c r="E5616" s="23">
        <v>0</v>
      </c>
      <c r="F5616" s="23">
        <v>0</v>
      </c>
      <c r="G5616" s="23">
        <v>0</v>
      </c>
      <c r="H5616" s="23">
        <v>0</v>
      </c>
      <c r="I5616" s="23">
        <v>0</v>
      </c>
      <c r="J5616" s="23">
        <v>0</v>
      </c>
      <c r="K5616" s="23">
        <v>92.438999999999993</v>
      </c>
    </row>
    <row r="5617" spans="1:11" x14ac:dyDescent="0.25">
      <c r="A5617">
        <v>5616</v>
      </c>
      <c r="B5617" s="23">
        <v>87.657705030000002</v>
      </c>
      <c r="C5617" s="23">
        <v>0</v>
      </c>
      <c r="D5617" s="23">
        <v>0</v>
      </c>
      <c r="E5617" s="23">
        <v>0</v>
      </c>
      <c r="F5617" s="23">
        <v>0</v>
      </c>
      <c r="G5617" s="23">
        <v>0</v>
      </c>
      <c r="H5617" s="23">
        <v>0</v>
      </c>
      <c r="I5617" s="23">
        <v>0</v>
      </c>
      <c r="J5617" s="23">
        <v>0</v>
      </c>
      <c r="K5617" s="23">
        <v>87.658000000000001</v>
      </c>
    </row>
    <row r="5618" spans="1:11" x14ac:dyDescent="0.25">
      <c r="A5618">
        <v>5617</v>
      </c>
      <c r="B5618" s="23">
        <v>94.032810850000004</v>
      </c>
      <c r="C5618" s="23">
        <v>0</v>
      </c>
      <c r="D5618" s="23">
        <v>0</v>
      </c>
      <c r="E5618" s="23">
        <v>0</v>
      </c>
      <c r="F5618" s="23">
        <v>0</v>
      </c>
      <c r="G5618" s="23">
        <v>0</v>
      </c>
      <c r="H5618" s="23">
        <v>0</v>
      </c>
      <c r="I5618" s="23">
        <v>0</v>
      </c>
      <c r="J5618" s="23">
        <v>0</v>
      </c>
      <c r="K5618" s="23">
        <v>94.033000000000001</v>
      </c>
    </row>
    <row r="5619" spans="1:11" x14ac:dyDescent="0.25">
      <c r="A5619">
        <v>5618</v>
      </c>
      <c r="B5619" s="23">
        <v>86.860816799999995</v>
      </c>
      <c r="C5619" s="23">
        <v>0</v>
      </c>
      <c r="D5619" s="23">
        <v>0</v>
      </c>
      <c r="E5619" s="23">
        <v>0</v>
      </c>
      <c r="F5619" s="23">
        <v>0</v>
      </c>
      <c r="G5619" s="23">
        <v>0</v>
      </c>
      <c r="H5619" s="23">
        <v>0</v>
      </c>
      <c r="I5619" s="23">
        <v>0</v>
      </c>
      <c r="J5619" s="23">
        <v>0</v>
      </c>
      <c r="K5619" s="23">
        <v>86.861000000000004</v>
      </c>
    </row>
    <row r="5620" spans="1:11" x14ac:dyDescent="0.25">
      <c r="A5620">
        <v>5619</v>
      </c>
      <c r="B5620" s="23">
        <v>93.235922619999997</v>
      </c>
      <c r="C5620" s="23">
        <v>0</v>
      </c>
      <c r="D5620" s="23">
        <v>0</v>
      </c>
      <c r="E5620" s="23">
        <v>0</v>
      </c>
      <c r="F5620" s="23">
        <v>0</v>
      </c>
      <c r="G5620" s="23">
        <v>0</v>
      </c>
      <c r="H5620" s="23">
        <v>0</v>
      </c>
      <c r="I5620" s="23">
        <v>0</v>
      </c>
      <c r="J5620" s="23">
        <v>0</v>
      </c>
      <c r="K5620" s="23">
        <v>93.236000000000004</v>
      </c>
    </row>
    <row r="5621" spans="1:11" x14ac:dyDescent="0.25">
      <c r="A5621">
        <v>5620</v>
      </c>
      <c r="B5621" s="23">
        <v>79.68882275</v>
      </c>
      <c r="C5621" s="23">
        <v>0</v>
      </c>
      <c r="D5621" s="23">
        <v>0</v>
      </c>
      <c r="E5621" s="23">
        <v>0</v>
      </c>
      <c r="F5621" s="23">
        <v>0</v>
      </c>
      <c r="G5621" s="23">
        <v>0</v>
      </c>
      <c r="H5621" s="23">
        <v>0</v>
      </c>
      <c r="I5621" s="23">
        <v>0</v>
      </c>
      <c r="J5621" s="23">
        <v>0</v>
      </c>
      <c r="K5621" s="23">
        <v>79.688999999999993</v>
      </c>
    </row>
    <row r="5622" spans="1:11" x14ac:dyDescent="0.25">
      <c r="A5622">
        <v>5621</v>
      </c>
      <c r="B5622" s="23">
        <v>88.454593250000002</v>
      </c>
      <c r="C5622" s="23">
        <v>0</v>
      </c>
      <c r="D5622" s="23">
        <v>0</v>
      </c>
      <c r="E5622" s="23">
        <v>0</v>
      </c>
      <c r="F5622" s="23">
        <v>0</v>
      </c>
      <c r="G5622" s="23">
        <v>0</v>
      </c>
      <c r="H5622" s="23">
        <v>0</v>
      </c>
      <c r="I5622" s="23">
        <v>0</v>
      </c>
      <c r="J5622" s="23">
        <v>0</v>
      </c>
      <c r="K5622" s="23">
        <v>88.454999999999998</v>
      </c>
    </row>
    <row r="5623" spans="1:11" x14ac:dyDescent="0.25">
      <c r="A5623">
        <v>5622</v>
      </c>
      <c r="B5623" s="23">
        <v>86.063928570000002</v>
      </c>
      <c r="C5623" s="23">
        <v>0</v>
      </c>
      <c r="D5623" s="23">
        <v>0</v>
      </c>
      <c r="E5623" s="23">
        <v>0</v>
      </c>
      <c r="F5623" s="23">
        <v>0</v>
      </c>
      <c r="G5623" s="23">
        <v>0</v>
      </c>
      <c r="H5623" s="23">
        <v>0</v>
      </c>
      <c r="I5623" s="23">
        <v>0</v>
      </c>
      <c r="J5623" s="23">
        <v>0</v>
      </c>
      <c r="K5623" s="23">
        <v>86.063999999999993</v>
      </c>
    </row>
    <row r="5624" spans="1:11" x14ac:dyDescent="0.25">
      <c r="A5624">
        <v>5623</v>
      </c>
      <c r="B5624" s="23">
        <v>88.454593250000002</v>
      </c>
      <c r="C5624" s="23">
        <v>94.48</v>
      </c>
      <c r="D5624" s="23">
        <v>323.94499999999999</v>
      </c>
      <c r="E5624" s="23">
        <v>88.454999999999998</v>
      </c>
      <c r="F5624" s="23">
        <v>-235.49</v>
      </c>
      <c r="G5624" s="23">
        <v>0</v>
      </c>
      <c r="H5624" s="23">
        <v>0</v>
      </c>
      <c r="I5624" s="23">
        <v>0</v>
      </c>
      <c r="J5624" s="23">
        <v>0</v>
      </c>
      <c r="K5624" s="23">
        <v>0</v>
      </c>
    </row>
    <row r="5625" spans="1:11" x14ac:dyDescent="0.25">
      <c r="A5625">
        <v>5624</v>
      </c>
      <c r="B5625" s="23">
        <v>78.972619460000004</v>
      </c>
      <c r="C5625" s="23">
        <v>285.56</v>
      </c>
      <c r="D5625" s="23">
        <v>1131.704</v>
      </c>
      <c r="E5625" s="23">
        <v>78.971999999999994</v>
      </c>
      <c r="F5625" s="23">
        <v>-954.68600000000004</v>
      </c>
      <c r="G5625" s="23">
        <v>0</v>
      </c>
      <c r="H5625" s="23">
        <v>98.046000000000006</v>
      </c>
      <c r="I5625" s="23">
        <v>0</v>
      </c>
      <c r="J5625" s="23">
        <v>0</v>
      </c>
      <c r="K5625" s="23">
        <v>0</v>
      </c>
    </row>
    <row r="5626" spans="1:11" x14ac:dyDescent="0.25">
      <c r="A5626">
        <v>5625</v>
      </c>
      <c r="B5626" s="23">
        <v>84.411381610000007</v>
      </c>
      <c r="C5626" s="23">
        <v>451.44</v>
      </c>
      <c r="D5626" s="23">
        <v>1782.662</v>
      </c>
      <c r="E5626" s="23">
        <v>84.411000000000001</v>
      </c>
      <c r="F5626" s="23">
        <v>0</v>
      </c>
      <c r="G5626" s="23">
        <v>0</v>
      </c>
      <c r="H5626" s="23">
        <v>1698.251</v>
      </c>
      <c r="I5626" s="23">
        <v>0</v>
      </c>
      <c r="J5626" s="23">
        <v>0</v>
      </c>
      <c r="K5626" s="23">
        <v>0</v>
      </c>
    </row>
    <row r="5627" spans="1:11" x14ac:dyDescent="0.25">
      <c r="A5627">
        <v>5626</v>
      </c>
      <c r="B5627" s="23">
        <v>75.31689471</v>
      </c>
      <c r="C5627" s="23">
        <v>617.48</v>
      </c>
      <c r="D5627" s="23">
        <v>2393.663</v>
      </c>
      <c r="E5627" s="23">
        <v>75.316000000000003</v>
      </c>
      <c r="F5627" s="23">
        <v>0</v>
      </c>
      <c r="G5627" s="23">
        <v>0</v>
      </c>
      <c r="H5627" s="23">
        <v>2318.3470000000002</v>
      </c>
      <c r="I5627" s="23">
        <v>0</v>
      </c>
      <c r="J5627" s="23">
        <v>0</v>
      </c>
      <c r="K5627" s="23">
        <v>0</v>
      </c>
    </row>
    <row r="5628" spans="1:11" x14ac:dyDescent="0.25">
      <c r="A5628">
        <v>5627</v>
      </c>
      <c r="B5628" s="23">
        <v>86.317936689999996</v>
      </c>
      <c r="C5628" s="23">
        <v>719.78</v>
      </c>
      <c r="D5628" s="23">
        <v>2751.5419999999999</v>
      </c>
      <c r="E5628" s="23">
        <v>86.317999999999998</v>
      </c>
      <c r="F5628" s="23">
        <v>0</v>
      </c>
      <c r="G5628" s="23">
        <v>0</v>
      </c>
      <c r="H5628" s="23">
        <v>2665.2240000000002</v>
      </c>
      <c r="I5628" s="23">
        <v>0</v>
      </c>
      <c r="J5628" s="23">
        <v>0</v>
      </c>
      <c r="K5628" s="23">
        <v>0</v>
      </c>
    </row>
    <row r="5629" spans="1:11" x14ac:dyDescent="0.25">
      <c r="A5629">
        <v>5628</v>
      </c>
      <c r="B5629" s="23">
        <v>74.611648630000005</v>
      </c>
      <c r="C5629" s="23">
        <v>781.18</v>
      </c>
      <c r="D5629" s="23">
        <v>2965.26</v>
      </c>
      <c r="E5629" s="23">
        <v>74.611999999999995</v>
      </c>
      <c r="F5629" s="23">
        <v>0</v>
      </c>
      <c r="G5629" s="23">
        <v>0</v>
      </c>
      <c r="H5629" s="23">
        <v>2890.6480000000001</v>
      </c>
      <c r="I5629" s="23">
        <v>0</v>
      </c>
      <c r="J5629" s="23">
        <v>0</v>
      </c>
      <c r="K5629" s="23">
        <v>0</v>
      </c>
    </row>
    <row r="5630" spans="1:11" x14ac:dyDescent="0.25">
      <c r="A5630">
        <v>5629</v>
      </c>
      <c r="B5630" s="23">
        <v>87.301097540000001</v>
      </c>
      <c r="C5630" s="23">
        <v>736.47</v>
      </c>
      <c r="D5630" s="23">
        <v>2800.1210000000001</v>
      </c>
      <c r="E5630" s="23">
        <v>87.301000000000002</v>
      </c>
      <c r="F5630" s="23">
        <v>0</v>
      </c>
      <c r="G5630" s="23">
        <v>0</v>
      </c>
      <c r="H5630" s="23">
        <v>2712.82</v>
      </c>
      <c r="I5630" s="23">
        <v>0</v>
      </c>
      <c r="J5630" s="23">
        <v>0</v>
      </c>
      <c r="K5630" s="23">
        <v>0</v>
      </c>
    </row>
    <row r="5631" spans="1:11" x14ac:dyDescent="0.25">
      <c r="A5631">
        <v>5630</v>
      </c>
      <c r="B5631" s="23">
        <v>82.316561680000007</v>
      </c>
      <c r="C5631" s="23">
        <v>277.27999999999997</v>
      </c>
      <c r="D5631" s="23">
        <v>1060.4380000000001</v>
      </c>
      <c r="E5631" s="23">
        <v>82.316999999999993</v>
      </c>
      <c r="F5631" s="23">
        <v>0</v>
      </c>
      <c r="G5631" s="23">
        <v>0</v>
      </c>
      <c r="H5631" s="23">
        <v>978.12099999999998</v>
      </c>
      <c r="I5631" s="23">
        <v>0</v>
      </c>
      <c r="J5631" s="23">
        <v>0</v>
      </c>
      <c r="K5631" s="23">
        <v>0</v>
      </c>
    </row>
    <row r="5632" spans="1:11" x14ac:dyDescent="0.25">
      <c r="A5632">
        <v>5631</v>
      </c>
      <c r="B5632" s="23">
        <v>88.984523920000001</v>
      </c>
      <c r="C5632" s="23">
        <v>405.72</v>
      </c>
      <c r="D5632" s="23">
        <v>1572.798</v>
      </c>
      <c r="E5632" s="23">
        <v>88.983999999999995</v>
      </c>
      <c r="F5632" s="23">
        <v>0</v>
      </c>
      <c r="G5632" s="23">
        <v>0</v>
      </c>
      <c r="H5632" s="23">
        <v>1483.8140000000001</v>
      </c>
      <c r="I5632" s="23">
        <v>0</v>
      </c>
      <c r="J5632" s="23">
        <v>0</v>
      </c>
      <c r="K5632" s="23">
        <v>0</v>
      </c>
    </row>
    <row r="5633" spans="1:11" x14ac:dyDescent="0.25">
      <c r="A5633">
        <v>5632</v>
      </c>
      <c r="B5633" s="23">
        <v>81.118241010000006</v>
      </c>
      <c r="C5633" s="23">
        <v>347.19</v>
      </c>
      <c r="D5633" s="23">
        <v>1362.49</v>
      </c>
      <c r="E5633" s="23">
        <v>81.117999999999995</v>
      </c>
      <c r="F5633" s="23">
        <v>0</v>
      </c>
      <c r="G5633" s="23">
        <v>0</v>
      </c>
      <c r="H5633" s="23">
        <v>1281.3720000000001</v>
      </c>
      <c r="I5633" s="23">
        <v>0</v>
      </c>
      <c r="J5633" s="23">
        <v>0</v>
      </c>
      <c r="K5633" s="23">
        <v>0</v>
      </c>
    </row>
    <row r="5634" spans="1:11" x14ac:dyDescent="0.25">
      <c r="A5634">
        <v>5633</v>
      </c>
      <c r="B5634" s="23">
        <v>82.930165619999997</v>
      </c>
      <c r="C5634" s="23">
        <v>125.32</v>
      </c>
      <c r="D5634" s="23">
        <v>477.017</v>
      </c>
      <c r="E5634" s="23">
        <v>82.930999999999997</v>
      </c>
      <c r="F5634" s="23">
        <v>0</v>
      </c>
      <c r="G5634" s="23">
        <v>0</v>
      </c>
      <c r="H5634" s="23">
        <v>394.08600000000001</v>
      </c>
      <c r="I5634" s="23">
        <v>0</v>
      </c>
      <c r="J5634" s="23">
        <v>0</v>
      </c>
      <c r="K5634" s="23">
        <v>0</v>
      </c>
    </row>
    <row r="5635" spans="1:11" x14ac:dyDescent="0.25">
      <c r="A5635">
        <v>5634</v>
      </c>
      <c r="B5635" s="23">
        <v>82.610414210000002</v>
      </c>
      <c r="C5635" s="23">
        <v>41.96</v>
      </c>
      <c r="D5635" s="23">
        <v>136.24199999999999</v>
      </c>
      <c r="E5635" s="23">
        <v>82.611000000000004</v>
      </c>
      <c r="F5635" s="23">
        <v>0</v>
      </c>
      <c r="G5635" s="23">
        <v>0</v>
      </c>
      <c r="H5635" s="23">
        <v>53.631</v>
      </c>
      <c r="I5635" s="23">
        <v>0</v>
      </c>
      <c r="J5635" s="23">
        <v>0</v>
      </c>
      <c r="K5635" s="23">
        <v>0</v>
      </c>
    </row>
    <row r="5636" spans="1:11" x14ac:dyDescent="0.25">
      <c r="A5636">
        <v>5635</v>
      </c>
      <c r="B5636" s="23">
        <v>95.633560070000001</v>
      </c>
      <c r="C5636" s="23">
        <v>0</v>
      </c>
      <c r="D5636" s="23">
        <v>0</v>
      </c>
      <c r="E5636" s="23">
        <v>0</v>
      </c>
      <c r="F5636" s="23">
        <v>0</v>
      </c>
      <c r="G5636" s="23">
        <v>0</v>
      </c>
      <c r="H5636" s="23">
        <v>0</v>
      </c>
      <c r="I5636" s="23">
        <v>0</v>
      </c>
      <c r="J5636" s="23">
        <v>0</v>
      </c>
      <c r="K5636" s="23">
        <v>95.634</v>
      </c>
    </row>
    <row r="5637" spans="1:11" x14ac:dyDescent="0.25">
      <c r="A5637">
        <v>5636</v>
      </c>
      <c r="B5637" s="23">
        <v>90.845257939999996</v>
      </c>
      <c r="C5637" s="23">
        <v>0</v>
      </c>
      <c r="D5637" s="23">
        <v>0</v>
      </c>
      <c r="E5637" s="23">
        <v>0</v>
      </c>
      <c r="F5637" s="23">
        <v>0</v>
      </c>
      <c r="G5637" s="23">
        <v>0</v>
      </c>
      <c r="H5637" s="23">
        <v>0</v>
      </c>
      <c r="I5637" s="23">
        <v>0</v>
      </c>
      <c r="J5637" s="23">
        <v>0</v>
      </c>
      <c r="K5637" s="23">
        <v>90.844999999999999</v>
      </c>
    </row>
    <row r="5638" spans="1:11" x14ac:dyDescent="0.25">
      <c r="A5638">
        <v>5637</v>
      </c>
      <c r="B5638" s="23">
        <v>93.235922619999997</v>
      </c>
      <c r="C5638" s="23">
        <v>0</v>
      </c>
      <c r="D5638" s="23">
        <v>0</v>
      </c>
      <c r="E5638" s="23">
        <v>0</v>
      </c>
      <c r="F5638" s="23">
        <v>0</v>
      </c>
      <c r="G5638" s="23">
        <v>0</v>
      </c>
      <c r="H5638" s="23">
        <v>0</v>
      </c>
      <c r="I5638" s="23">
        <v>0</v>
      </c>
      <c r="J5638" s="23">
        <v>0</v>
      </c>
      <c r="K5638" s="23">
        <v>93.236000000000004</v>
      </c>
    </row>
    <row r="5639" spans="1:11" x14ac:dyDescent="0.25">
      <c r="A5639">
        <v>5638</v>
      </c>
      <c r="B5639" s="23">
        <v>88.454593250000002</v>
      </c>
      <c r="C5639" s="23">
        <v>0</v>
      </c>
      <c r="D5639" s="23">
        <v>0</v>
      </c>
      <c r="E5639" s="23">
        <v>0</v>
      </c>
      <c r="F5639" s="23">
        <v>0</v>
      </c>
      <c r="G5639" s="23">
        <v>0</v>
      </c>
      <c r="H5639" s="23">
        <v>0</v>
      </c>
      <c r="I5639" s="23">
        <v>0</v>
      </c>
      <c r="J5639" s="23">
        <v>0</v>
      </c>
      <c r="K5639" s="23">
        <v>88.454999999999998</v>
      </c>
    </row>
    <row r="5640" spans="1:11" x14ac:dyDescent="0.25">
      <c r="A5640">
        <v>5639</v>
      </c>
      <c r="B5640" s="23">
        <v>97.220363759999998</v>
      </c>
      <c r="C5640" s="23">
        <v>0</v>
      </c>
      <c r="D5640" s="23">
        <v>0</v>
      </c>
      <c r="E5640" s="23">
        <v>0</v>
      </c>
      <c r="F5640" s="23">
        <v>0</v>
      </c>
      <c r="G5640" s="23">
        <v>0</v>
      </c>
      <c r="H5640" s="23">
        <v>0</v>
      </c>
      <c r="I5640" s="23">
        <v>0</v>
      </c>
      <c r="J5640" s="23">
        <v>0</v>
      </c>
      <c r="K5640" s="23">
        <v>97.22</v>
      </c>
    </row>
    <row r="5641" spans="1:11" x14ac:dyDescent="0.25">
      <c r="A5641">
        <v>5640</v>
      </c>
      <c r="B5641" s="23">
        <v>90.048369710000003</v>
      </c>
      <c r="C5641" s="23">
        <v>0</v>
      </c>
      <c r="D5641" s="23">
        <v>0</v>
      </c>
      <c r="E5641" s="23">
        <v>0</v>
      </c>
      <c r="F5641" s="23">
        <v>0</v>
      </c>
      <c r="G5641" s="23">
        <v>0</v>
      </c>
      <c r="H5641" s="23">
        <v>0</v>
      </c>
      <c r="I5641" s="23">
        <v>0</v>
      </c>
      <c r="J5641" s="23">
        <v>0</v>
      </c>
      <c r="K5641" s="23">
        <v>90.048000000000002</v>
      </c>
    </row>
    <row r="5642" spans="1:11" x14ac:dyDescent="0.25">
      <c r="A5642">
        <v>5641</v>
      </c>
      <c r="B5642" s="23">
        <v>92.439034390000003</v>
      </c>
      <c r="C5642" s="23">
        <v>0</v>
      </c>
      <c r="D5642" s="23">
        <v>0</v>
      </c>
      <c r="E5642" s="23">
        <v>0</v>
      </c>
      <c r="F5642" s="23">
        <v>0</v>
      </c>
      <c r="G5642" s="23">
        <v>0</v>
      </c>
      <c r="H5642" s="23">
        <v>0</v>
      </c>
      <c r="I5642" s="23">
        <v>0</v>
      </c>
      <c r="J5642" s="23">
        <v>0</v>
      </c>
      <c r="K5642" s="23">
        <v>92.438999999999993</v>
      </c>
    </row>
    <row r="5643" spans="1:11" x14ac:dyDescent="0.25">
      <c r="A5643">
        <v>5642</v>
      </c>
      <c r="B5643" s="23">
        <v>86.063928570000002</v>
      </c>
      <c r="C5643" s="23">
        <v>0</v>
      </c>
      <c r="D5643" s="23">
        <v>0</v>
      </c>
      <c r="E5643" s="23">
        <v>0</v>
      </c>
      <c r="F5643" s="23">
        <v>0</v>
      </c>
      <c r="G5643" s="23">
        <v>0</v>
      </c>
      <c r="H5643" s="23">
        <v>0</v>
      </c>
      <c r="I5643" s="23">
        <v>0</v>
      </c>
      <c r="J5643" s="23">
        <v>0</v>
      </c>
      <c r="K5643" s="23">
        <v>86.063999999999993</v>
      </c>
    </row>
    <row r="5644" spans="1:11" x14ac:dyDescent="0.25">
      <c r="A5644">
        <v>5643</v>
      </c>
      <c r="B5644" s="23">
        <v>90.845257939999996</v>
      </c>
      <c r="C5644" s="23">
        <v>0</v>
      </c>
      <c r="D5644" s="23">
        <v>0</v>
      </c>
      <c r="E5644" s="23">
        <v>0</v>
      </c>
      <c r="F5644" s="23">
        <v>0</v>
      </c>
      <c r="G5644" s="23">
        <v>0</v>
      </c>
      <c r="H5644" s="23">
        <v>0</v>
      </c>
      <c r="I5644" s="23">
        <v>0</v>
      </c>
      <c r="J5644" s="23">
        <v>0</v>
      </c>
      <c r="K5644" s="23">
        <v>90.844999999999999</v>
      </c>
    </row>
    <row r="5645" spans="1:11" x14ac:dyDescent="0.25">
      <c r="A5645">
        <v>5644</v>
      </c>
      <c r="B5645" s="23">
        <v>86.860816799999995</v>
      </c>
      <c r="C5645" s="23">
        <v>0</v>
      </c>
      <c r="D5645" s="23">
        <v>0</v>
      </c>
      <c r="E5645" s="23">
        <v>0</v>
      </c>
      <c r="F5645" s="23">
        <v>0</v>
      </c>
      <c r="G5645" s="23">
        <v>0</v>
      </c>
      <c r="H5645" s="23">
        <v>0</v>
      </c>
      <c r="I5645" s="23">
        <v>0</v>
      </c>
      <c r="J5645" s="23">
        <v>0</v>
      </c>
      <c r="K5645" s="23">
        <v>86.861000000000004</v>
      </c>
    </row>
    <row r="5646" spans="1:11" x14ac:dyDescent="0.25">
      <c r="A5646">
        <v>5645</v>
      </c>
      <c r="B5646" s="23">
        <v>92.439034390000003</v>
      </c>
      <c r="C5646" s="23">
        <v>0</v>
      </c>
      <c r="D5646" s="23">
        <v>0</v>
      </c>
      <c r="E5646" s="23">
        <v>0</v>
      </c>
      <c r="F5646" s="23">
        <v>0</v>
      </c>
      <c r="G5646" s="23">
        <v>0</v>
      </c>
      <c r="H5646" s="23">
        <v>0</v>
      </c>
      <c r="I5646" s="23">
        <v>0</v>
      </c>
      <c r="J5646" s="23">
        <v>0</v>
      </c>
      <c r="K5646" s="23">
        <v>92.438999999999993</v>
      </c>
    </row>
    <row r="5647" spans="1:11" x14ac:dyDescent="0.25">
      <c r="A5647">
        <v>5646</v>
      </c>
      <c r="B5647" s="23">
        <v>85.267040339999994</v>
      </c>
      <c r="C5647" s="23">
        <v>0</v>
      </c>
      <c r="D5647" s="23">
        <v>0</v>
      </c>
      <c r="E5647" s="23">
        <v>0</v>
      </c>
      <c r="F5647" s="23">
        <v>0</v>
      </c>
      <c r="G5647" s="23">
        <v>0</v>
      </c>
      <c r="H5647" s="23">
        <v>0</v>
      </c>
      <c r="I5647" s="23">
        <v>0</v>
      </c>
      <c r="J5647" s="23">
        <v>0</v>
      </c>
      <c r="K5647" s="23">
        <v>85.266999999999996</v>
      </c>
    </row>
    <row r="5648" spans="1:11" x14ac:dyDescent="0.25">
      <c r="A5648">
        <v>5647</v>
      </c>
      <c r="B5648" s="23">
        <v>76.501269840000006</v>
      </c>
      <c r="C5648" s="23">
        <v>70.27</v>
      </c>
      <c r="D5648" s="23">
        <v>247.26900000000001</v>
      </c>
      <c r="E5648" s="23">
        <v>76.501000000000005</v>
      </c>
      <c r="F5648" s="23">
        <v>-170.768</v>
      </c>
      <c r="G5648" s="23">
        <v>0</v>
      </c>
      <c r="H5648" s="23">
        <v>0</v>
      </c>
      <c r="I5648" s="23">
        <v>0</v>
      </c>
      <c r="J5648" s="23">
        <v>0</v>
      </c>
      <c r="K5648" s="23">
        <v>0</v>
      </c>
    </row>
    <row r="5649" spans="1:11" x14ac:dyDescent="0.25">
      <c r="A5649">
        <v>5648</v>
      </c>
      <c r="B5649" s="23">
        <v>82.453028790000005</v>
      </c>
      <c r="C5649" s="23">
        <v>254.6</v>
      </c>
      <c r="D5649" s="23">
        <v>1007.798</v>
      </c>
      <c r="E5649" s="23">
        <v>82.453000000000003</v>
      </c>
      <c r="F5649" s="23">
        <v>-925.34500000000003</v>
      </c>
      <c r="G5649" s="23">
        <v>0</v>
      </c>
      <c r="H5649" s="23">
        <v>0</v>
      </c>
      <c r="I5649" s="23">
        <v>0</v>
      </c>
      <c r="J5649" s="23">
        <v>0</v>
      </c>
      <c r="K5649" s="23">
        <v>0</v>
      </c>
    </row>
    <row r="5650" spans="1:11" x14ac:dyDescent="0.25">
      <c r="A5650">
        <v>5649</v>
      </c>
      <c r="B5650" s="23">
        <v>644.23233419999997</v>
      </c>
      <c r="C5650" s="23">
        <v>465.2</v>
      </c>
      <c r="D5650" s="23">
        <v>1839.9870000000001</v>
      </c>
      <c r="E5650" s="23">
        <v>644.23199999999997</v>
      </c>
      <c r="F5650" s="23">
        <v>-116.21899999999999</v>
      </c>
      <c r="G5650" s="23">
        <v>0</v>
      </c>
      <c r="H5650" s="23">
        <v>1079.5360000000001</v>
      </c>
      <c r="I5650" s="23">
        <v>0</v>
      </c>
      <c r="J5650" s="23">
        <v>0</v>
      </c>
      <c r="K5650" s="23">
        <v>0</v>
      </c>
    </row>
    <row r="5651" spans="1:11" x14ac:dyDescent="0.25">
      <c r="A5651">
        <v>5650</v>
      </c>
      <c r="B5651" s="23">
        <v>550.78324399999997</v>
      </c>
      <c r="C5651" s="23">
        <v>607.23</v>
      </c>
      <c r="D5651" s="23">
        <v>2360.3130000000001</v>
      </c>
      <c r="E5651" s="23">
        <v>550.78300000000002</v>
      </c>
      <c r="F5651" s="23">
        <v>0</v>
      </c>
      <c r="G5651" s="23">
        <v>0</v>
      </c>
      <c r="H5651" s="23">
        <v>1809.53</v>
      </c>
      <c r="I5651" s="23">
        <v>0</v>
      </c>
      <c r="J5651" s="23">
        <v>0</v>
      </c>
      <c r="K5651" s="23">
        <v>0</v>
      </c>
    </row>
    <row r="5652" spans="1:11" x14ac:dyDescent="0.25">
      <c r="A5652">
        <v>5651</v>
      </c>
      <c r="B5652" s="23">
        <v>872.97411939999995</v>
      </c>
      <c r="C5652" s="23">
        <v>670.53</v>
      </c>
      <c r="D5652" s="23">
        <v>2574.114</v>
      </c>
      <c r="E5652" s="23">
        <v>872.97400000000005</v>
      </c>
      <c r="F5652" s="23">
        <v>0</v>
      </c>
      <c r="G5652" s="23">
        <v>0</v>
      </c>
      <c r="H5652" s="23">
        <v>1701.14</v>
      </c>
      <c r="I5652" s="23">
        <v>0</v>
      </c>
      <c r="J5652" s="23">
        <v>0</v>
      </c>
      <c r="K5652" s="23">
        <v>0</v>
      </c>
    </row>
    <row r="5653" spans="1:11" x14ac:dyDescent="0.25">
      <c r="A5653">
        <v>5652</v>
      </c>
      <c r="B5653" s="23">
        <v>946.14638860000002</v>
      </c>
      <c r="C5653" s="23">
        <v>481.86</v>
      </c>
      <c r="D5653" s="23">
        <v>1847.963</v>
      </c>
      <c r="E5653" s="23">
        <v>946.14700000000005</v>
      </c>
      <c r="F5653" s="23">
        <v>0</v>
      </c>
      <c r="G5653" s="23">
        <v>0</v>
      </c>
      <c r="H5653" s="23">
        <v>901.81600000000003</v>
      </c>
      <c r="I5653" s="23">
        <v>0</v>
      </c>
      <c r="J5653" s="23">
        <v>0</v>
      </c>
      <c r="K5653" s="23">
        <v>0</v>
      </c>
    </row>
    <row r="5654" spans="1:11" x14ac:dyDescent="0.25">
      <c r="A5654">
        <v>5653</v>
      </c>
      <c r="B5654" s="23">
        <v>1239.533739</v>
      </c>
      <c r="C5654" s="23">
        <v>244.98</v>
      </c>
      <c r="D5654" s="23">
        <v>929.03099999999995</v>
      </c>
      <c r="E5654" s="23">
        <v>929.03099999999995</v>
      </c>
      <c r="F5654" s="23">
        <v>0</v>
      </c>
      <c r="G5654" s="23">
        <v>0</v>
      </c>
      <c r="H5654" s="23">
        <v>0</v>
      </c>
      <c r="I5654" s="23">
        <v>310.50299999999999</v>
      </c>
      <c r="J5654" s="23">
        <v>0</v>
      </c>
      <c r="K5654" s="23">
        <v>0</v>
      </c>
    </row>
    <row r="5655" spans="1:11" x14ac:dyDescent="0.25">
      <c r="A5655">
        <v>5654</v>
      </c>
      <c r="B5655" s="23">
        <v>1165.297624</v>
      </c>
      <c r="C5655" s="23">
        <v>297.22000000000003</v>
      </c>
      <c r="D5655" s="23">
        <v>1136.989</v>
      </c>
      <c r="E5655" s="23">
        <v>1136.989</v>
      </c>
      <c r="F5655" s="23">
        <v>0</v>
      </c>
      <c r="G5655" s="23">
        <v>0</v>
      </c>
      <c r="H5655" s="23">
        <v>0</v>
      </c>
      <c r="I5655" s="23">
        <v>28.309000000000001</v>
      </c>
      <c r="J5655" s="23">
        <v>0</v>
      </c>
      <c r="K5655" s="23">
        <v>0</v>
      </c>
    </row>
    <row r="5656" spans="1:11" x14ac:dyDescent="0.25">
      <c r="A5656">
        <v>5655</v>
      </c>
      <c r="B5656" s="23">
        <v>1376.3664200000001</v>
      </c>
      <c r="C5656" s="23">
        <v>51.05</v>
      </c>
      <c r="D5656" s="23">
        <v>169.00299999999999</v>
      </c>
      <c r="E5656" s="23">
        <v>169.00299999999999</v>
      </c>
      <c r="F5656" s="23">
        <v>0</v>
      </c>
      <c r="G5656" s="23">
        <v>0</v>
      </c>
      <c r="H5656" s="23">
        <v>0</v>
      </c>
      <c r="I5656" s="23">
        <v>1207.3630000000001</v>
      </c>
      <c r="J5656" s="23">
        <v>0</v>
      </c>
      <c r="K5656" s="23">
        <v>0</v>
      </c>
    </row>
    <row r="5657" spans="1:11" x14ac:dyDescent="0.25">
      <c r="A5657">
        <v>5656</v>
      </c>
      <c r="B5657" s="23">
        <v>885.90861140000004</v>
      </c>
      <c r="C5657" s="23">
        <v>31.38</v>
      </c>
      <c r="D5657" s="23">
        <v>95.230999999999995</v>
      </c>
      <c r="E5657" s="23">
        <v>95.230999999999995</v>
      </c>
      <c r="F5657" s="23">
        <v>0</v>
      </c>
      <c r="G5657" s="23">
        <v>0</v>
      </c>
      <c r="H5657" s="23">
        <v>0</v>
      </c>
      <c r="I5657" s="23">
        <v>790.678</v>
      </c>
      <c r="J5657" s="23">
        <v>0</v>
      </c>
      <c r="K5657" s="23">
        <v>0</v>
      </c>
    </row>
    <row r="5658" spans="1:11" x14ac:dyDescent="0.25">
      <c r="A5658">
        <v>5657</v>
      </c>
      <c r="B5658" s="23">
        <v>1355.6592800000001</v>
      </c>
      <c r="C5658" s="23">
        <v>12.73</v>
      </c>
      <c r="D5658" s="23">
        <v>25.347999999999999</v>
      </c>
      <c r="E5658" s="23">
        <v>25.347999999999999</v>
      </c>
      <c r="F5658" s="23">
        <v>0</v>
      </c>
      <c r="G5658" s="23">
        <v>0</v>
      </c>
      <c r="H5658" s="23">
        <v>0</v>
      </c>
      <c r="I5658" s="23">
        <v>1330.3109999999999</v>
      </c>
      <c r="J5658" s="23">
        <v>0</v>
      </c>
      <c r="K5658" s="23">
        <v>0</v>
      </c>
    </row>
    <row r="5659" spans="1:11" x14ac:dyDescent="0.25">
      <c r="A5659">
        <v>5658</v>
      </c>
      <c r="B5659" s="23">
        <v>1090.8971509999999</v>
      </c>
      <c r="C5659" s="23">
        <v>21.55</v>
      </c>
      <c r="D5659" s="23">
        <v>57.448</v>
      </c>
      <c r="E5659" s="23">
        <v>57.448</v>
      </c>
      <c r="F5659" s="23">
        <v>0</v>
      </c>
      <c r="G5659" s="23">
        <v>0</v>
      </c>
      <c r="H5659" s="23">
        <v>0</v>
      </c>
      <c r="I5659" s="23">
        <v>727.42499999999995</v>
      </c>
      <c r="J5659" s="23">
        <v>0</v>
      </c>
      <c r="K5659" s="23">
        <v>306.024</v>
      </c>
    </row>
    <row r="5660" spans="1:11" x14ac:dyDescent="0.25">
      <c r="A5660">
        <v>5659</v>
      </c>
      <c r="B5660" s="23">
        <v>1122.631232</v>
      </c>
      <c r="C5660" s="23">
        <v>0</v>
      </c>
      <c r="D5660" s="23">
        <v>0</v>
      </c>
      <c r="E5660" s="23">
        <v>0</v>
      </c>
      <c r="F5660" s="23">
        <v>0</v>
      </c>
      <c r="G5660" s="23">
        <v>0</v>
      </c>
      <c r="H5660" s="23">
        <v>0</v>
      </c>
      <c r="I5660" s="23">
        <v>0</v>
      </c>
      <c r="J5660" s="23">
        <v>0</v>
      </c>
      <c r="K5660" s="23">
        <v>1122.6310000000001</v>
      </c>
    </row>
    <row r="5661" spans="1:11" x14ac:dyDescent="0.25">
      <c r="A5661">
        <v>5660</v>
      </c>
      <c r="B5661" s="23">
        <v>1206.4887759999999</v>
      </c>
      <c r="C5661" s="23">
        <v>0</v>
      </c>
      <c r="D5661" s="23">
        <v>0</v>
      </c>
      <c r="E5661" s="23">
        <v>0</v>
      </c>
      <c r="F5661" s="23">
        <v>0</v>
      </c>
      <c r="G5661" s="23">
        <v>0</v>
      </c>
      <c r="H5661" s="23">
        <v>0</v>
      </c>
      <c r="I5661" s="23">
        <v>0</v>
      </c>
      <c r="J5661" s="23">
        <v>0</v>
      </c>
      <c r="K5661" s="23">
        <v>1206.489</v>
      </c>
    </row>
    <row r="5662" spans="1:11" x14ac:dyDescent="0.25">
      <c r="A5662">
        <v>5661</v>
      </c>
      <c r="B5662" s="23">
        <v>1114.0497419999999</v>
      </c>
      <c r="C5662" s="23">
        <v>0</v>
      </c>
      <c r="D5662" s="23">
        <v>0</v>
      </c>
      <c r="E5662" s="23">
        <v>0</v>
      </c>
      <c r="F5662" s="23">
        <v>0</v>
      </c>
      <c r="G5662" s="23">
        <v>0</v>
      </c>
      <c r="H5662" s="23">
        <v>0</v>
      </c>
      <c r="I5662" s="23">
        <v>0</v>
      </c>
      <c r="J5662" s="23">
        <v>0</v>
      </c>
      <c r="K5662" s="23">
        <v>1114.05</v>
      </c>
    </row>
    <row r="5663" spans="1:11" x14ac:dyDescent="0.25">
      <c r="A5663">
        <v>5662</v>
      </c>
      <c r="B5663" s="23">
        <v>1332.3971160000001</v>
      </c>
      <c r="C5663" s="23">
        <v>0</v>
      </c>
      <c r="D5663" s="23">
        <v>0</v>
      </c>
      <c r="E5663" s="23">
        <v>0</v>
      </c>
      <c r="F5663" s="23">
        <v>0</v>
      </c>
      <c r="G5663" s="23">
        <v>0</v>
      </c>
      <c r="H5663" s="23">
        <v>0</v>
      </c>
      <c r="I5663" s="23">
        <v>0</v>
      </c>
      <c r="J5663" s="23">
        <v>0</v>
      </c>
      <c r="K5663" s="23">
        <v>1332.3969999999999</v>
      </c>
    </row>
    <row r="5664" spans="1:11" x14ac:dyDescent="0.25">
      <c r="A5664">
        <v>5663</v>
      </c>
      <c r="B5664" s="23">
        <v>1107.674636</v>
      </c>
      <c r="C5664" s="23">
        <v>0</v>
      </c>
      <c r="D5664" s="23">
        <v>0</v>
      </c>
      <c r="E5664" s="23">
        <v>0</v>
      </c>
      <c r="F5664" s="23">
        <v>0</v>
      </c>
      <c r="G5664" s="23">
        <v>0</v>
      </c>
      <c r="H5664" s="23">
        <v>0</v>
      </c>
      <c r="I5664" s="23">
        <v>0</v>
      </c>
      <c r="J5664" s="23">
        <v>0</v>
      </c>
      <c r="K5664" s="23">
        <v>1107.675</v>
      </c>
    </row>
    <row r="5665" spans="1:11" x14ac:dyDescent="0.25">
      <c r="A5665">
        <v>5664</v>
      </c>
      <c r="B5665" s="23">
        <v>162.56519840000001</v>
      </c>
      <c r="C5665" s="23">
        <v>0</v>
      </c>
      <c r="D5665" s="23">
        <v>0</v>
      </c>
      <c r="E5665" s="23">
        <v>0</v>
      </c>
      <c r="F5665" s="23">
        <v>0</v>
      </c>
      <c r="G5665" s="23">
        <v>0</v>
      </c>
      <c r="H5665" s="23">
        <v>0</v>
      </c>
      <c r="I5665" s="23">
        <v>0</v>
      </c>
      <c r="J5665" s="23">
        <v>0</v>
      </c>
      <c r="K5665" s="23">
        <v>162.565</v>
      </c>
    </row>
    <row r="5666" spans="1:11" x14ac:dyDescent="0.25">
      <c r="A5666">
        <v>5665</v>
      </c>
      <c r="B5666" s="23">
        <v>108.3767989</v>
      </c>
      <c r="C5666" s="23">
        <v>0</v>
      </c>
      <c r="D5666" s="23">
        <v>0</v>
      </c>
      <c r="E5666" s="23">
        <v>0</v>
      </c>
      <c r="F5666" s="23">
        <v>0</v>
      </c>
      <c r="G5666" s="23">
        <v>0</v>
      </c>
      <c r="H5666" s="23">
        <v>0</v>
      </c>
      <c r="I5666" s="23">
        <v>108.377</v>
      </c>
      <c r="J5666" s="23">
        <v>0</v>
      </c>
      <c r="K5666" s="23">
        <v>0</v>
      </c>
    </row>
    <row r="5667" spans="1:11" x14ac:dyDescent="0.25">
      <c r="A5667">
        <v>5666</v>
      </c>
      <c r="B5667" s="23">
        <v>94.032810850000004</v>
      </c>
      <c r="C5667" s="23">
        <v>0</v>
      </c>
      <c r="D5667" s="23">
        <v>0</v>
      </c>
      <c r="E5667" s="23">
        <v>0</v>
      </c>
      <c r="F5667" s="23">
        <v>0</v>
      </c>
      <c r="G5667" s="23">
        <v>0</v>
      </c>
      <c r="H5667" s="23">
        <v>0</v>
      </c>
      <c r="I5667" s="23">
        <v>94.033000000000001</v>
      </c>
      <c r="J5667" s="23">
        <v>0</v>
      </c>
      <c r="K5667" s="23">
        <v>0</v>
      </c>
    </row>
    <row r="5668" spans="1:11" x14ac:dyDescent="0.25">
      <c r="A5668">
        <v>5667</v>
      </c>
      <c r="B5668" s="23">
        <v>105.189246</v>
      </c>
      <c r="C5668" s="23">
        <v>0</v>
      </c>
      <c r="D5668" s="23">
        <v>0</v>
      </c>
      <c r="E5668" s="23">
        <v>0</v>
      </c>
      <c r="F5668" s="23">
        <v>0</v>
      </c>
      <c r="G5668" s="23">
        <v>0</v>
      </c>
      <c r="H5668" s="23">
        <v>0</v>
      </c>
      <c r="I5668" s="23">
        <v>105.18899999999999</v>
      </c>
      <c r="J5668" s="23">
        <v>0</v>
      </c>
      <c r="K5668" s="23">
        <v>0</v>
      </c>
    </row>
    <row r="5669" spans="1:11" x14ac:dyDescent="0.25">
      <c r="A5669">
        <v>5668</v>
      </c>
      <c r="B5669" s="23">
        <v>101.2048049</v>
      </c>
      <c r="C5669" s="23">
        <v>0</v>
      </c>
      <c r="D5669" s="23">
        <v>0</v>
      </c>
      <c r="E5669" s="23">
        <v>0</v>
      </c>
      <c r="F5669" s="23">
        <v>0</v>
      </c>
      <c r="G5669" s="23">
        <v>0</v>
      </c>
      <c r="H5669" s="23">
        <v>0</v>
      </c>
      <c r="I5669" s="23">
        <v>101.205</v>
      </c>
      <c r="J5669" s="23">
        <v>0</v>
      </c>
      <c r="K5669" s="23">
        <v>0</v>
      </c>
    </row>
    <row r="5670" spans="1:11" x14ac:dyDescent="0.25">
      <c r="A5670">
        <v>5669</v>
      </c>
      <c r="B5670" s="23">
        <v>105.189246</v>
      </c>
      <c r="C5670" s="23">
        <v>0</v>
      </c>
      <c r="D5670" s="23">
        <v>0</v>
      </c>
      <c r="E5670" s="23">
        <v>0</v>
      </c>
      <c r="F5670" s="23">
        <v>0</v>
      </c>
      <c r="G5670" s="23">
        <v>0</v>
      </c>
      <c r="H5670" s="23">
        <v>0</v>
      </c>
      <c r="I5670" s="23">
        <v>0</v>
      </c>
      <c r="J5670" s="23">
        <v>0</v>
      </c>
      <c r="K5670" s="23">
        <v>105.18899999999999</v>
      </c>
    </row>
    <row r="5671" spans="1:11" x14ac:dyDescent="0.25">
      <c r="A5671">
        <v>5670</v>
      </c>
      <c r="B5671" s="23">
        <v>94.829699070000004</v>
      </c>
      <c r="C5671" s="23">
        <v>0</v>
      </c>
      <c r="D5671" s="23">
        <v>0</v>
      </c>
      <c r="E5671" s="23">
        <v>0</v>
      </c>
      <c r="F5671" s="23">
        <v>0</v>
      </c>
      <c r="G5671" s="23">
        <v>0</v>
      </c>
      <c r="H5671" s="23">
        <v>0</v>
      </c>
      <c r="I5671" s="23">
        <v>0</v>
      </c>
      <c r="J5671" s="23">
        <v>0</v>
      </c>
      <c r="K5671" s="23">
        <v>94.83</v>
      </c>
    </row>
    <row r="5672" spans="1:11" x14ac:dyDescent="0.25">
      <c r="A5672">
        <v>5671</v>
      </c>
      <c r="B5672" s="23">
        <v>86.860816799999995</v>
      </c>
      <c r="C5672" s="23">
        <v>41.16</v>
      </c>
      <c r="D5672" s="23">
        <v>136.47399999999999</v>
      </c>
      <c r="E5672" s="23">
        <v>86.861000000000004</v>
      </c>
      <c r="F5672" s="23">
        <v>-49.613</v>
      </c>
      <c r="G5672" s="23">
        <v>0</v>
      </c>
      <c r="H5672" s="23">
        <v>0</v>
      </c>
      <c r="I5672" s="23">
        <v>0</v>
      </c>
      <c r="J5672" s="23">
        <v>0</v>
      </c>
      <c r="K5672" s="23">
        <v>0</v>
      </c>
    </row>
    <row r="5673" spans="1:11" x14ac:dyDescent="0.25">
      <c r="A5673">
        <v>5672</v>
      </c>
      <c r="B5673" s="23">
        <v>82.082475759999994</v>
      </c>
      <c r="C5673" s="23">
        <v>338.39</v>
      </c>
      <c r="D5673" s="23">
        <v>1327.6569999999999</v>
      </c>
      <c r="E5673" s="23">
        <v>82.081999999999994</v>
      </c>
      <c r="F5673" s="23">
        <v>-1245.575</v>
      </c>
      <c r="G5673" s="23">
        <v>0</v>
      </c>
      <c r="H5673" s="23">
        <v>0</v>
      </c>
      <c r="I5673" s="23">
        <v>0</v>
      </c>
      <c r="J5673" s="23">
        <v>0</v>
      </c>
      <c r="K5673" s="23">
        <v>0</v>
      </c>
    </row>
    <row r="5674" spans="1:11" x14ac:dyDescent="0.25">
      <c r="A5674">
        <v>5673</v>
      </c>
      <c r="B5674" s="23">
        <v>832.26906870000005</v>
      </c>
      <c r="C5674" s="23">
        <v>574.99</v>
      </c>
      <c r="D5674" s="23">
        <v>2291.9810000000002</v>
      </c>
      <c r="E5674" s="23">
        <v>832.26900000000001</v>
      </c>
      <c r="F5674" s="23">
        <v>-1459.712</v>
      </c>
      <c r="G5674" s="23">
        <v>0</v>
      </c>
      <c r="H5674" s="23">
        <v>0</v>
      </c>
      <c r="I5674" s="23">
        <v>0</v>
      </c>
      <c r="J5674" s="23">
        <v>0</v>
      </c>
      <c r="K5674" s="23">
        <v>0</v>
      </c>
    </row>
    <row r="5675" spans="1:11" x14ac:dyDescent="0.25">
      <c r="A5675">
        <v>5674</v>
      </c>
      <c r="B5675" s="23">
        <v>1035.629964</v>
      </c>
      <c r="C5675" s="23">
        <v>773.15</v>
      </c>
      <c r="D5675" s="23">
        <v>3013.549</v>
      </c>
      <c r="E5675" s="23">
        <v>1035.6300000000001</v>
      </c>
      <c r="F5675" s="23">
        <v>-1684.559</v>
      </c>
      <c r="G5675" s="23">
        <v>0</v>
      </c>
      <c r="H5675" s="23">
        <v>293.36</v>
      </c>
      <c r="I5675" s="23">
        <v>0</v>
      </c>
      <c r="J5675" s="23">
        <v>0</v>
      </c>
      <c r="K5675" s="23">
        <v>0</v>
      </c>
    </row>
    <row r="5676" spans="1:11" x14ac:dyDescent="0.25">
      <c r="A5676">
        <v>5675</v>
      </c>
      <c r="B5676" s="23">
        <v>888.05622519999997</v>
      </c>
      <c r="C5676" s="23">
        <v>905.16</v>
      </c>
      <c r="D5676" s="23">
        <v>3465.6309999999999</v>
      </c>
      <c r="E5676" s="23">
        <v>888.05700000000002</v>
      </c>
      <c r="F5676" s="23">
        <v>-1684.559</v>
      </c>
      <c r="G5676" s="23">
        <v>0</v>
      </c>
      <c r="H5676" s="23">
        <v>893.01499999999999</v>
      </c>
      <c r="I5676" s="23">
        <v>0</v>
      </c>
      <c r="J5676" s="23">
        <v>0</v>
      </c>
      <c r="K5676" s="23">
        <v>0</v>
      </c>
    </row>
    <row r="5677" spans="1:11" x14ac:dyDescent="0.25">
      <c r="A5677">
        <v>5676</v>
      </c>
      <c r="B5677" s="23">
        <v>1347.1614629999999</v>
      </c>
      <c r="C5677" s="23">
        <v>975.26</v>
      </c>
      <c r="D5677" s="23">
        <v>3700.7820000000002</v>
      </c>
      <c r="E5677" s="23">
        <v>1347.162</v>
      </c>
      <c r="F5677" s="23">
        <v>-1167.48</v>
      </c>
      <c r="G5677" s="23">
        <v>0</v>
      </c>
      <c r="H5677" s="23">
        <v>1186.1400000000001</v>
      </c>
      <c r="I5677" s="23">
        <v>0</v>
      </c>
      <c r="J5677" s="23">
        <v>0</v>
      </c>
      <c r="K5677" s="23">
        <v>0</v>
      </c>
    </row>
    <row r="5678" spans="1:11" x14ac:dyDescent="0.25">
      <c r="A5678">
        <v>5677</v>
      </c>
      <c r="B5678" s="23">
        <v>1336.4482969999999</v>
      </c>
      <c r="C5678" s="23">
        <v>968.49</v>
      </c>
      <c r="D5678" s="23">
        <v>3677.308</v>
      </c>
      <c r="E5678" s="23">
        <v>1336.4480000000001</v>
      </c>
      <c r="F5678" s="23">
        <v>0</v>
      </c>
      <c r="G5678" s="23">
        <v>0</v>
      </c>
      <c r="H5678" s="23">
        <v>2340.86</v>
      </c>
      <c r="I5678" s="23">
        <v>0</v>
      </c>
      <c r="J5678" s="23">
        <v>0</v>
      </c>
      <c r="K5678" s="23">
        <v>0</v>
      </c>
    </row>
    <row r="5679" spans="1:11" x14ac:dyDescent="0.25">
      <c r="A5679">
        <v>5678</v>
      </c>
      <c r="B5679" s="23">
        <v>1189.8148859999999</v>
      </c>
      <c r="C5679" s="23">
        <v>886.98</v>
      </c>
      <c r="D5679" s="23">
        <v>3400.2739999999999</v>
      </c>
      <c r="E5679" s="23">
        <v>1189.8150000000001</v>
      </c>
      <c r="F5679" s="23">
        <v>0</v>
      </c>
      <c r="G5679" s="23">
        <v>0</v>
      </c>
      <c r="H5679" s="23">
        <v>2210.4589999999998</v>
      </c>
      <c r="I5679" s="23">
        <v>0</v>
      </c>
      <c r="J5679" s="23">
        <v>0</v>
      </c>
      <c r="K5679" s="23">
        <v>0</v>
      </c>
    </row>
    <row r="5680" spans="1:11" x14ac:dyDescent="0.25">
      <c r="A5680">
        <v>5679</v>
      </c>
      <c r="B5680" s="23">
        <v>1475.608888</v>
      </c>
      <c r="C5680" s="23">
        <v>539.89</v>
      </c>
      <c r="D5680" s="23">
        <v>2085.1689999999999</v>
      </c>
      <c r="E5680" s="23">
        <v>1475.6079999999999</v>
      </c>
      <c r="F5680" s="23">
        <v>0</v>
      </c>
      <c r="G5680" s="23">
        <v>0</v>
      </c>
      <c r="H5680" s="23">
        <v>609.56100000000004</v>
      </c>
      <c r="I5680" s="23">
        <v>0</v>
      </c>
      <c r="J5680" s="23">
        <v>0</v>
      </c>
      <c r="K5680" s="23">
        <v>0</v>
      </c>
    </row>
    <row r="5681" spans="1:11" x14ac:dyDescent="0.25">
      <c r="A5681">
        <v>5680</v>
      </c>
      <c r="B5681" s="23">
        <v>1639.932221</v>
      </c>
      <c r="C5681" s="23">
        <v>532.94000000000005</v>
      </c>
      <c r="D5681" s="23">
        <v>2123.453</v>
      </c>
      <c r="E5681" s="23">
        <v>1639.932</v>
      </c>
      <c r="F5681" s="23">
        <v>0</v>
      </c>
      <c r="G5681" s="23">
        <v>0</v>
      </c>
      <c r="H5681" s="23">
        <v>483.52100000000002</v>
      </c>
      <c r="I5681" s="23">
        <v>0</v>
      </c>
      <c r="J5681" s="23">
        <v>0</v>
      </c>
      <c r="K5681" s="23">
        <v>0</v>
      </c>
    </row>
    <row r="5682" spans="1:11" x14ac:dyDescent="0.25">
      <c r="A5682">
        <v>5681</v>
      </c>
      <c r="B5682" s="23">
        <v>1706.8230189999999</v>
      </c>
      <c r="C5682" s="23">
        <v>220.52</v>
      </c>
      <c r="D5682" s="23">
        <v>861.53</v>
      </c>
      <c r="E5682" s="23">
        <v>861.53</v>
      </c>
      <c r="F5682" s="23">
        <v>0</v>
      </c>
      <c r="G5682" s="23">
        <v>0</v>
      </c>
      <c r="H5682" s="23">
        <v>0</v>
      </c>
      <c r="I5682" s="23">
        <v>845.29300000000001</v>
      </c>
      <c r="J5682" s="23">
        <v>0</v>
      </c>
      <c r="K5682" s="23">
        <v>0</v>
      </c>
    </row>
    <row r="5683" spans="1:11" x14ac:dyDescent="0.25">
      <c r="A5683">
        <v>5682</v>
      </c>
      <c r="B5683" s="23">
        <v>1428.522755</v>
      </c>
      <c r="C5683" s="23">
        <v>34.29</v>
      </c>
      <c r="D5683" s="23">
        <v>106.203</v>
      </c>
      <c r="E5683" s="23">
        <v>106.203</v>
      </c>
      <c r="F5683" s="23">
        <v>0</v>
      </c>
      <c r="G5683" s="23">
        <v>0</v>
      </c>
      <c r="H5683" s="23">
        <v>0</v>
      </c>
      <c r="I5683" s="23">
        <v>0</v>
      </c>
      <c r="J5683" s="23">
        <v>0</v>
      </c>
      <c r="K5683" s="23">
        <v>1322.32</v>
      </c>
    </row>
    <row r="5684" spans="1:11" x14ac:dyDescent="0.25">
      <c r="A5684">
        <v>5683</v>
      </c>
      <c r="B5684" s="23">
        <v>1533.5207479999999</v>
      </c>
      <c r="C5684" s="23">
        <v>0</v>
      </c>
      <c r="D5684" s="23">
        <v>0</v>
      </c>
      <c r="E5684" s="23">
        <v>0</v>
      </c>
      <c r="F5684" s="23">
        <v>0</v>
      </c>
      <c r="G5684" s="23">
        <v>0</v>
      </c>
      <c r="H5684" s="23">
        <v>0</v>
      </c>
      <c r="I5684" s="23">
        <v>0</v>
      </c>
      <c r="J5684" s="23">
        <v>0</v>
      </c>
      <c r="K5684" s="23">
        <v>1533.521</v>
      </c>
    </row>
    <row r="5685" spans="1:11" x14ac:dyDescent="0.25">
      <c r="A5685">
        <v>5684</v>
      </c>
      <c r="B5685" s="23">
        <v>1655.136849</v>
      </c>
      <c r="C5685" s="23">
        <v>0</v>
      </c>
      <c r="D5685" s="23">
        <v>0</v>
      </c>
      <c r="E5685" s="23">
        <v>0</v>
      </c>
      <c r="F5685" s="23">
        <v>0</v>
      </c>
      <c r="G5685" s="23">
        <v>0</v>
      </c>
      <c r="H5685" s="23">
        <v>0</v>
      </c>
      <c r="I5685" s="23">
        <v>0</v>
      </c>
      <c r="J5685" s="23">
        <v>0</v>
      </c>
      <c r="K5685" s="23">
        <v>1655.1369999999999</v>
      </c>
    </row>
    <row r="5686" spans="1:11" x14ac:dyDescent="0.25">
      <c r="A5686">
        <v>5685</v>
      </c>
      <c r="B5686" s="23">
        <v>1609.7142200000001</v>
      </c>
      <c r="C5686" s="23">
        <v>0</v>
      </c>
      <c r="D5686" s="23">
        <v>0</v>
      </c>
      <c r="E5686" s="23">
        <v>0</v>
      </c>
      <c r="F5686" s="23">
        <v>0</v>
      </c>
      <c r="G5686" s="23">
        <v>0</v>
      </c>
      <c r="H5686" s="23">
        <v>0</v>
      </c>
      <c r="I5686" s="23">
        <v>1609.7139999999999</v>
      </c>
      <c r="J5686" s="23">
        <v>0</v>
      </c>
      <c r="K5686" s="23">
        <v>0</v>
      </c>
    </row>
    <row r="5687" spans="1:11" x14ac:dyDescent="0.25">
      <c r="A5687">
        <v>5686</v>
      </c>
      <c r="B5687" s="23">
        <v>1722.07546</v>
      </c>
      <c r="C5687" s="23">
        <v>0</v>
      </c>
      <c r="D5687" s="23">
        <v>0</v>
      </c>
      <c r="E5687" s="23">
        <v>0</v>
      </c>
      <c r="F5687" s="23">
        <v>0</v>
      </c>
      <c r="G5687" s="23">
        <v>0</v>
      </c>
      <c r="H5687" s="23">
        <v>0</v>
      </c>
      <c r="I5687" s="23">
        <v>1722.075</v>
      </c>
      <c r="J5687" s="23">
        <v>0</v>
      </c>
      <c r="K5687" s="23">
        <v>0</v>
      </c>
    </row>
    <row r="5688" spans="1:11" x14ac:dyDescent="0.25">
      <c r="A5688">
        <v>5687</v>
      </c>
      <c r="B5688" s="23">
        <v>1463.8836739999999</v>
      </c>
      <c r="C5688" s="23">
        <v>0</v>
      </c>
      <c r="D5688" s="23">
        <v>0</v>
      </c>
      <c r="E5688" s="23">
        <v>0</v>
      </c>
      <c r="F5688" s="23">
        <v>0</v>
      </c>
      <c r="G5688" s="23">
        <v>0</v>
      </c>
      <c r="H5688" s="23">
        <v>0</v>
      </c>
      <c r="I5688" s="23">
        <v>1463.884</v>
      </c>
      <c r="J5688" s="23">
        <v>0</v>
      </c>
      <c r="K5688" s="23">
        <v>0</v>
      </c>
    </row>
    <row r="5689" spans="1:11" x14ac:dyDescent="0.25">
      <c r="A5689">
        <v>5688</v>
      </c>
      <c r="B5689" s="23">
        <v>1754.747877</v>
      </c>
      <c r="C5689" s="23">
        <v>0</v>
      </c>
      <c r="D5689" s="23">
        <v>0</v>
      </c>
      <c r="E5689" s="23">
        <v>0</v>
      </c>
      <c r="F5689" s="23">
        <v>0</v>
      </c>
      <c r="G5689" s="23">
        <v>0</v>
      </c>
      <c r="H5689" s="23">
        <v>0</v>
      </c>
      <c r="I5689" s="23">
        <v>1754.748</v>
      </c>
      <c r="J5689" s="23">
        <v>0</v>
      </c>
      <c r="K5689" s="23">
        <v>0</v>
      </c>
    </row>
    <row r="5690" spans="1:11" x14ac:dyDescent="0.25">
      <c r="A5690">
        <v>5689</v>
      </c>
      <c r="B5690" s="23">
        <v>1349.1317690000001</v>
      </c>
      <c r="C5690" s="23">
        <v>0</v>
      </c>
      <c r="D5690" s="23">
        <v>0</v>
      </c>
      <c r="E5690" s="23">
        <v>0</v>
      </c>
      <c r="F5690" s="23">
        <v>0</v>
      </c>
      <c r="G5690" s="23">
        <v>0</v>
      </c>
      <c r="H5690" s="23">
        <v>0</v>
      </c>
      <c r="I5690" s="23">
        <v>1349.1320000000001</v>
      </c>
      <c r="J5690" s="23">
        <v>0</v>
      </c>
      <c r="K5690" s="23">
        <v>0</v>
      </c>
    </row>
    <row r="5691" spans="1:11" x14ac:dyDescent="0.25">
      <c r="A5691">
        <v>5690</v>
      </c>
      <c r="B5691" s="23">
        <v>1326.022011</v>
      </c>
      <c r="C5691" s="23">
        <v>0</v>
      </c>
      <c r="D5691" s="23">
        <v>0</v>
      </c>
      <c r="E5691" s="23">
        <v>0</v>
      </c>
      <c r="F5691" s="23">
        <v>0</v>
      </c>
      <c r="G5691" s="23">
        <v>0</v>
      </c>
      <c r="H5691" s="23">
        <v>0</v>
      </c>
      <c r="I5691" s="23">
        <v>1326.0219999999999</v>
      </c>
      <c r="J5691" s="23">
        <v>0</v>
      </c>
      <c r="K5691" s="23">
        <v>0</v>
      </c>
    </row>
    <row r="5692" spans="1:11" x14ac:dyDescent="0.25">
      <c r="A5692">
        <v>5691</v>
      </c>
      <c r="B5692" s="23">
        <v>1411.289051</v>
      </c>
      <c r="C5692" s="23">
        <v>0</v>
      </c>
      <c r="D5692" s="23">
        <v>0</v>
      </c>
      <c r="E5692" s="23">
        <v>0</v>
      </c>
      <c r="F5692" s="23">
        <v>0</v>
      </c>
      <c r="G5692" s="23">
        <v>0</v>
      </c>
      <c r="H5692" s="23">
        <v>0</v>
      </c>
      <c r="I5692" s="23">
        <v>1411.289</v>
      </c>
      <c r="J5692" s="23">
        <v>0</v>
      </c>
      <c r="K5692" s="23">
        <v>0</v>
      </c>
    </row>
    <row r="5693" spans="1:11" x14ac:dyDescent="0.25">
      <c r="A5693">
        <v>5692</v>
      </c>
      <c r="B5693" s="23">
        <v>1294.146481</v>
      </c>
      <c r="C5693" s="23">
        <v>0</v>
      </c>
      <c r="D5693" s="23">
        <v>0</v>
      </c>
      <c r="E5693" s="23">
        <v>0</v>
      </c>
      <c r="F5693" s="23">
        <v>0</v>
      </c>
      <c r="G5693" s="23">
        <v>0</v>
      </c>
      <c r="H5693" s="23">
        <v>0</v>
      </c>
      <c r="I5693" s="23">
        <v>1294.146</v>
      </c>
      <c r="J5693" s="23">
        <v>0</v>
      </c>
      <c r="K5693" s="23">
        <v>0</v>
      </c>
    </row>
    <row r="5694" spans="1:11" x14ac:dyDescent="0.25">
      <c r="A5694">
        <v>5693</v>
      </c>
      <c r="B5694" s="23">
        <v>1482.2121030000001</v>
      </c>
      <c r="C5694" s="23">
        <v>0</v>
      </c>
      <c r="D5694" s="23">
        <v>0</v>
      </c>
      <c r="E5694" s="23">
        <v>0</v>
      </c>
      <c r="F5694" s="23">
        <v>0</v>
      </c>
      <c r="G5694" s="23">
        <v>0</v>
      </c>
      <c r="H5694" s="23">
        <v>0</v>
      </c>
      <c r="I5694" s="23">
        <v>1482.212</v>
      </c>
      <c r="J5694" s="23">
        <v>0</v>
      </c>
      <c r="K5694" s="23">
        <v>0</v>
      </c>
    </row>
    <row r="5695" spans="1:11" x14ac:dyDescent="0.25">
      <c r="A5695">
        <v>5694</v>
      </c>
      <c r="B5695" s="23">
        <v>1483.0089909999999</v>
      </c>
      <c r="C5695" s="23">
        <v>0</v>
      </c>
      <c r="D5695" s="23">
        <v>0</v>
      </c>
      <c r="E5695" s="23">
        <v>0</v>
      </c>
      <c r="F5695" s="23">
        <v>0</v>
      </c>
      <c r="G5695" s="23">
        <v>0</v>
      </c>
      <c r="H5695" s="23">
        <v>0</v>
      </c>
      <c r="I5695" s="23">
        <v>759.279</v>
      </c>
      <c r="J5695" s="23">
        <v>0</v>
      </c>
      <c r="K5695" s="23">
        <v>723.73</v>
      </c>
    </row>
    <row r="5696" spans="1:11" x14ac:dyDescent="0.25">
      <c r="A5696">
        <v>5695</v>
      </c>
      <c r="B5696" s="23">
        <v>1287.7713759999999</v>
      </c>
      <c r="C5696" s="23">
        <v>77.239999999999995</v>
      </c>
      <c r="D5696" s="23">
        <v>271.197</v>
      </c>
      <c r="E5696" s="23">
        <v>271.197</v>
      </c>
      <c r="F5696" s="23">
        <v>0</v>
      </c>
      <c r="G5696" s="23">
        <v>0</v>
      </c>
      <c r="H5696" s="23">
        <v>0</v>
      </c>
      <c r="I5696" s="23">
        <v>0</v>
      </c>
      <c r="J5696" s="23">
        <v>0</v>
      </c>
      <c r="K5696" s="23">
        <v>1016.574</v>
      </c>
    </row>
    <row r="5697" spans="1:11" x14ac:dyDescent="0.25">
      <c r="A5697">
        <v>5696</v>
      </c>
      <c r="B5697" s="23">
        <v>1284.490188</v>
      </c>
      <c r="C5697" s="23">
        <v>249.61</v>
      </c>
      <c r="D5697" s="23">
        <v>983.92200000000003</v>
      </c>
      <c r="E5697" s="23">
        <v>983.92200000000003</v>
      </c>
      <c r="F5697" s="23">
        <v>0</v>
      </c>
      <c r="G5697" s="23">
        <v>0</v>
      </c>
      <c r="H5697" s="23">
        <v>0</v>
      </c>
      <c r="I5697" s="23">
        <v>0</v>
      </c>
      <c r="J5697" s="23">
        <v>0</v>
      </c>
      <c r="K5697" s="23">
        <v>300.56799999999998</v>
      </c>
    </row>
    <row r="5698" spans="1:11" x14ac:dyDescent="0.25">
      <c r="A5698">
        <v>5697</v>
      </c>
      <c r="B5698" s="23">
        <v>1520.7914539999999</v>
      </c>
      <c r="C5698" s="23">
        <v>414.87</v>
      </c>
      <c r="D5698" s="23">
        <v>1625.479</v>
      </c>
      <c r="E5698" s="23">
        <v>1520.7919999999999</v>
      </c>
      <c r="F5698" s="23">
        <v>-104.687</v>
      </c>
      <c r="G5698" s="23">
        <v>0</v>
      </c>
      <c r="H5698" s="23">
        <v>0</v>
      </c>
      <c r="I5698" s="23">
        <v>0</v>
      </c>
      <c r="J5698" s="23">
        <v>0</v>
      </c>
      <c r="K5698" s="23">
        <v>0</v>
      </c>
    </row>
    <row r="5699" spans="1:11" x14ac:dyDescent="0.25">
      <c r="A5699">
        <v>5698</v>
      </c>
      <c r="B5699" s="23">
        <v>1079.761634</v>
      </c>
      <c r="C5699" s="23">
        <v>549.34</v>
      </c>
      <c r="D5699" s="23">
        <v>2118.4679999999998</v>
      </c>
      <c r="E5699" s="23">
        <v>1079.7619999999999</v>
      </c>
      <c r="F5699" s="23">
        <v>-1038.7059999999999</v>
      </c>
      <c r="G5699" s="23">
        <v>0</v>
      </c>
      <c r="H5699" s="23">
        <v>0</v>
      </c>
      <c r="I5699" s="23">
        <v>0</v>
      </c>
      <c r="J5699" s="23">
        <v>0</v>
      </c>
      <c r="K5699" s="23">
        <v>0</v>
      </c>
    </row>
    <row r="5700" spans="1:11" x14ac:dyDescent="0.25">
      <c r="A5700">
        <v>5699</v>
      </c>
      <c r="B5700" s="23">
        <v>1397.4560670000001</v>
      </c>
      <c r="C5700" s="23">
        <v>670.39</v>
      </c>
      <c r="D5700" s="23">
        <v>2553.6880000000001</v>
      </c>
      <c r="E5700" s="23">
        <v>1397.4559999999999</v>
      </c>
      <c r="F5700" s="23">
        <v>-1156.232</v>
      </c>
      <c r="G5700" s="23">
        <v>0</v>
      </c>
      <c r="H5700" s="23">
        <v>0</v>
      </c>
      <c r="I5700" s="23">
        <v>0</v>
      </c>
      <c r="J5700" s="23">
        <v>0</v>
      </c>
      <c r="K5700" s="23">
        <v>0</v>
      </c>
    </row>
    <row r="5701" spans="1:11" x14ac:dyDescent="0.25">
      <c r="A5701">
        <v>5700</v>
      </c>
      <c r="B5701" s="23">
        <v>1300.2516410000001</v>
      </c>
      <c r="C5701" s="23">
        <v>816.77</v>
      </c>
      <c r="D5701" s="23">
        <v>3075.6320000000001</v>
      </c>
      <c r="E5701" s="23">
        <v>1300.2529999999999</v>
      </c>
      <c r="F5701" s="23">
        <v>-1684.559</v>
      </c>
      <c r="G5701" s="23">
        <v>0</v>
      </c>
      <c r="H5701" s="23">
        <v>90.82</v>
      </c>
      <c r="I5701" s="23">
        <v>0</v>
      </c>
      <c r="J5701" s="23">
        <v>0</v>
      </c>
      <c r="K5701" s="23">
        <v>0</v>
      </c>
    </row>
    <row r="5702" spans="1:11" x14ac:dyDescent="0.25">
      <c r="A5702">
        <v>5701</v>
      </c>
      <c r="B5702" s="23">
        <v>1512.014727</v>
      </c>
      <c r="C5702" s="23">
        <v>760.19</v>
      </c>
      <c r="D5702" s="23">
        <v>2871.424</v>
      </c>
      <c r="E5702" s="23">
        <v>1512.0150000000001</v>
      </c>
      <c r="F5702" s="23">
        <v>-1359.4090000000001</v>
      </c>
      <c r="G5702" s="23">
        <v>0</v>
      </c>
      <c r="H5702" s="23">
        <v>0</v>
      </c>
      <c r="I5702" s="23">
        <v>0</v>
      </c>
      <c r="J5702" s="23">
        <v>0</v>
      </c>
      <c r="K5702" s="23">
        <v>0</v>
      </c>
    </row>
    <row r="5703" spans="1:11" x14ac:dyDescent="0.25">
      <c r="A5703">
        <v>5702</v>
      </c>
      <c r="B5703" s="23">
        <v>1330.681814</v>
      </c>
      <c r="C5703" s="23">
        <v>654.22</v>
      </c>
      <c r="D5703" s="23">
        <v>2491.6680000000001</v>
      </c>
      <c r="E5703" s="23">
        <v>1330.682</v>
      </c>
      <c r="F5703" s="23">
        <v>-1160.9860000000001</v>
      </c>
      <c r="G5703" s="23">
        <v>0</v>
      </c>
      <c r="H5703" s="23">
        <v>0</v>
      </c>
      <c r="I5703" s="23">
        <v>0</v>
      </c>
      <c r="J5703" s="23">
        <v>0</v>
      </c>
      <c r="K5703" s="23">
        <v>0</v>
      </c>
    </row>
    <row r="5704" spans="1:11" x14ac:dyDescent="0.25">
      <c r="A5704">
        <v>5703</v>
      </c>
      <c r="B5704" s="23">
        <v>1355.5716219999999</v>
      </c>
      <c r="C5704" s="23">
        <v>577.62</v>
      </c>
      <c r="D5704" s="23">
        <v>2221.83</v>
      </c>
      <c r="E5704" s="23">
        <v>1355.5719999999999</v>
      </c>
      <c r="F5704" s="23">
        <v>-786.91800000000001</v>
      </c>
      <c r="G5704" s="23">
        <v>0</v>
      </c>
      <c r="H5704" s="23">
        <v>79.34</v>
      </c>
      <c r="I5704" s="23">
        <v>0</v>
      </c>
      <c r="J5704" s="23">
        <v>0</v>
      </c>
      <c r="K5704" s="23">
        <v>0</v>
      </c>
    </row>
    <row r="5705" spans="1:11" x14ac:dyDescent="0.25">
      <c r="A5705">
        <v>5704</v>
      </c>
      <c r="B5705" s="23">
        <v>1598.3854570000001</v>
      </c>
      <c r="C5705" s="23">
        <v>255.92</v>
      </c>
      <c r="D5705" s="23">
        <v>993.04</v>
      </c>
      <c r="E5705" s="23">
        <v>993.04</v>
      </c>
      <c r="F5705" s="23">
        <v>0</v>
      </c>
      <c r="G5705" s="23">
        <v>0</v>
      </c>
      <c r="H5705" s="23">
        <v>0</v>
      </c>
      <c r="I5705" s="23">
        <v>605.346</v>
      </c>
      <c r="J5705" s="23">
        <v>0</v>
      </c>
      <c r="K5705" s="23">
        <v>0</v>
      </c>
    </row>
    <row r="5706" spans="1:11" x14ac:dyDescent="0.25">
      <c r="A5706">
        <v>5705</v>
      </c>
      <c r="B5706" s="23">
        <v>1495.960417</v>
      </c>
      <c r="C5706" s="23">
        <v>125.31</v>
      </c>
      <c r="D5706" s="23">
        <v>476.54700000000003</v>
      </c>
      <c r="E5706" s="23">
        <v>476.54700000000003</v>
      </c>
      <c r="F5706" s="23">
        <v>0</v>
      </c>
      <c r="G5706" s="23">
        <v>0</v>
      </c>
      <c r="H5706" s="23">
        <v>0</v>
      </c>
      <c r="I5706" s="23">
        <v>1019.414</v>
      </c>
      <c r="J5706" s="23">
        <v>0</v>
      </c>
      <c r="K5706" s="23">
        <v>0</v>
      </c>
    </row>
    <row r="5707" spans="1:11" x14ac:dyDescent="0.25">
      <c r="A5707">
        <v>5706</v>
      </c>
      <c r="B5707" s="23">
        <v>1298.730581</v>
      </c>
      <c r="C5707" s="23">
        <v>45.02</v>
      </c>
      <c r="D5707" s="23">
        <v>147.364</v>
      </c>
      <c r="E5707" s="23">
        <v>147.364</v>
      </c>
      <c r="F5707" s="23">
        <v>0</v>
      </c>
      <c r="G5707" s="23">
        <v>0</v>
      </c>
      <c r="H5707" s="23">
        <v>0</v>
      </c>
      <c r="I5707" s="23">
        <v>0</v>
      </c>
      <c r="J5707" s="23">
        <v>0</v>
      </c>
      <c r="K5707" s="23">
        <v>1151.367</v>
      </c>
    </row>
    <row r="5708" spans="1:11" x14ac:dyDescent="0.25">
      <c r="A5708">
        <v>5707</v>
      </c>
      <c r="B5708" s="23">
        <v>1402.2623000000001</v>
      </c>
      <c r="C5708" s="23">
        <v>0</v>
      </c>
      <c r="D5708" s="23">
        <v>0</v>
      </c>
      <c r="E5708" s="23">
        <v>0</v>
      </c>
      <c r="F5708" s="23">
        <v>0</v>
      </c>
      <c r="G5708" s="23">
        <v>0</v>
      </c>
      <c r="H5708" s="23">
        <v>0</v>
      </c>
      <c r="I5708" s="23">
        <v>0</v>
      </c>
      <c r="J5708" s="23">
        <v>0</v>
      </c>
      <c r="K5708" s="23">
        <v>1402.2619999999999</v>
      </c>
    </row>
    <row r="5709" spans="1:11" x14ac:dyDescent="0.25">
      <c r="A5709">
        <v>5708</v>
      </c>
      <c r="B5709" s="23">
        <v>1392.1637330000001</v>
      </c>
      <c r="C5709" s="23">
        <v>0</v>
      </c>
      <c r="D5709" s="23">
        <v>0</v>
      </c>
      <c r="E5709" s="23">
        <v>0</v>
      </c>
      <c r="F5709" s="23">
        <v>0</v>
      </c>
      <c r="G5709" s="23">
        <v>0</v>
      </c>
      <c r="H5709" s="23">
        <v>0</v>
      </c>
      <c r="I5709" s="23">
        <v>0</v>
      </c>
      <c r="J5709" s="23">
        <v>0</v>
      </c>
      <c r="K5709" s="23">
        <v>1392.164</v>
      </c>
    </row>
    <row r="5710" spans="1:11" x14ac:dyDescent="0.25">
      <c r="A5710">
        <v>5709</v>
      </c>
      <c r="B5710" s="23">
        <v>1202.5043350000001</v>
      </c>
      <c r="C5710" s="23">
        <v>0</v>
      </c>
      <c r="D5710" s="23">
        <v>0</v>
      </c>
      <c r="E5710" s="23">
        <v>0</v>
      </c>
      <c r="F5710" s="23">
        <v>0</v>
      </c>
      <c r="G5710" s="23">
        <v>0</v>
      </c>
      <c r="H5710" s="23">
        <v>0</v>
      </c>
      <c r="I5710" s="23">
        <v>1202.5039999999999</v>
      </c>
      <c r="J5710" s="23">
        <v>0</v>
      </c>
      <c r="K5710" s="23">
        <v>0</v>
      </c>
    </row>
    <row r="5711" spans="1:11" x14ac:dyDescent="0.25">
      <c r="A5711">
        <v>5710</v>
      </c>
      <c r="B5711" s="23">
        <v>1352.3193220000001</v>
      </c>
      <c r="C5711" s="23">
        <v>0</v>
      </c>
      <c r="D5711" s="23">
        <v>0</v>
      </c>
      <c r="E5711" s="23">
        <v>0</v>
      </c>
      <c r="F5711" s="23">
        <v>0</v>
      </c>
      <c r="G5711" s="23">
        <v>0</v>
      </c>
      <c r="H5711" s="23">
        <v>0</v>
      </c>
      <c r="I5711" s="23">
        <v>1352.319</v>
      </c>
      <c r="J5711" s="23">
        <v>0</v>
      </c>
      <c r="K5711" s="23">
        <v>0</v>
      </c>
    </row>
    <row r="5712" spans="1:11" x14ac:dyDescent="0.25">
      <c r="A5712">
        <v>5711</v>
      </c>
      <c r="B5712" s="23">
        <v>1295.740258</v>
      </c>
      <c r="C5712" s="23">
        <v>0</v>
      </c>
      <c r="D5712" s="23">
        <v>0</v>
      </c>
      <c r="E5712" s="23">
        <v>0</v>
      </c>
      <c r="F5712" s="23">
        <v>0</v>
      </c>
      <c r="G5712" s="23">
        <v>0</v>
      </c>
      <c r="H5712" s="23">
        <v>0</v>
      </c>
      <c r="I5712" s="23">
        <v>1295.74</v>
      </c>
      <c r="J5712" s="23">
        <v>0</v>
      </c>
      <c r="K5712" s="23">
        <v>0</v>
      </c>
    </row>
    <row r="5713" spans="1:11" x14ac:dyDescent="0.25">
      <c r="A5713">
        <v>5712</v>
      </c>
      <c r="B5713" s="23">
        <v>1243.9425229999999</v>
      </c>
      <c r="C5713" s="23">
        <v>0</v>
      </c>
      <c r="D5713" s="23">
        <v>0</v>
      </c>
      <c r="E5713" s="23">
        <v>0</v>
      </c>
      <c r="F5713" s="23">
        <v>0</v>
      </c>
      <c r="G5713" s="23">
        <v>0</v>
      </c>
      <c r="H5713" s="23">
        <v>0</v>
      </c>
      <c r="I5713" s="23">
        <v>1243.943</v>
      </c>
      <c r="J5713" s="23">
        <v>0</v>
      </c>
      <c r="K5713" s="23">
        <v>0</v>
      </c>
    </row>
    <row r="5714" spans="1:11" x14ac:dyDescent="0.25">
      <c r="A5714">
        <v>5713</v>
      </c>
      <c r="B5714" s="23">
        <v>1173.8163589999999</v>
      </c>
      <c r="C5714" s="23">
        <v>0</v>
      </c>
      <c r="D5714" s="23">
        <v>0</v>
      </c>
      <c r="E5714" s="23">
        <v>0</v>
      </c>
      <c r="F5714" s="23">
        <v>0</v>
      </c>
      <c r="G5714" s="23">
        <v>0</v>
      </c>
      <c r="H5714" s="23">
        <v>0</v>
      </c>
      <c r="I5714" s="23">
        <v>1173.816</v>
      </c>
      <c r="J5714" s="23">
        <v>0</v>
      </c>
      <c r="K5714" s="23">
        <v>0</v>
      </c>
    </row>
    <row r="5715" spans="1:11" x14ac:dyDescent="0.25">
      <c r="A5715">
        <v>5714</v>
      </c>
      <c r="B5715" s="23">
        <v>1220.8327650000001</v>
      </c>
      <c r="C5715" s="23">
        <v>0</v>
      </c>
      <c r="D5715" s="23">
        <v>0</v>
      </c>
      <c r="E5715" s="23">
        <v>0</v>
      </c>
      <c r="F5715" s="23">
        <v>0</v>
      </c>
      <c r="G5715" s="23">
        <v>0</v>
      </c>
      <c r="H5715" s="23">
        <v>0</v>
      </c>
      <c r="I5715" s="23">
        <v>1220.8330000000001</v>
      </c>
      <c r="J5715" s="23">
        <v>0</v>
      </c>
      <c r="K5715" s="23">
        <v>0</v>
      </c>
    </row>
    <row r="5716" spans="1:11" x14ac:dyDescent="0.25">
      <c r="A5716">
        <v>5715</v>
      </c>
      <c r="B5716" s="23">
        <v>1220.0358759999999</v>
      </c>
      <c r="C5716" s="23">
        <v>0</v>
      </c>
      <c r="D5716" s="23">
        <v>0</v>
      </c>
      <c r="E5716" s="23">
        <v>0</v>
      </c>
      <c r="F5716" s="23">
        <v>0</v>
      </c>
      <c r="G5716" s="23">
        <v>0</v>
      </c>
      <c r="H5716" s="23">
        <v>0</v>
      </c>
      <c r="I5716" s="23">
        <v>1220.0360000000001</v>
      </c>
      <c r="J5716" s="23">
        <v>0</v>
      </c>
      <c r="K5716" s="23">
        <v>0</v>
      </c>
    </row>
    <row r="5717" spans="1:11" x14ac:dyDescent="0.25">
      <c r="A5717">
        <v>5716</v>
      </c>
      <c r="B5717" s="23">
        <v>899.68680889999996</v>
      </c>
      <c r="C5717" s="23">
        <v>0</v>
      </c>
      <c r="D5717" s="23">
        <v>0</v>
      </c>
      <c r="E5717" s="23">
        <v>0</v>
      </c>
      <c r="F5717" s="23">
        <v>0</v>
      </c>
      <c r="G5717" s="23">
        <v>0</v>
      </c>
      <c r="H5717" s="23">
        <v>0</v>
      </c>
      <c r="I5717" s="23">
        <v>899.68700000000001</v>
      </c>
      <c r="J5717" s="23">
        <v>0</v>
      </c>
      <c r="K5717" s="23">
        <v>0</v>
      </c>
    </row>
    <row r="5718" spans="1:11" x14ac:dyDescent="0.25">
      <c r="A5718">
        <v>5717</v>
      </c>
      <c r="B5718" s="23">
        <v>1117.2372949999999</v>
      </c>
      <c r="C5718" s="23">
        <v>0</v>
      </c>
      <c r="D5718" s="23">
        <v>0</v>
      </c>
      <c r="E5718" s="23">
        <v>0</v>
      </c>
      <c r="F5718" s="23">
        <v>0</v>
      </c>
      <c r="G5718" s="23">
        <v>0</v>
      </c>
      <c r="H5718" s="23">
        <v>0</v>
      </c>
      <c r="I5718" s="23">
        <v>630.02599999999995</v>
      </c>
      <c r="J5718" s="23">
        <v>0</v>
      </c>
      <c r="K5718" s="23">
        <v>487.21100000000001</v>
      </c>
    </row>
    <row r="5719" spans="1:11" x14ac:dyDescent="0.25">
      <c r="A5719">
        <v>5718</v>
      </c>
      <c r="B5719" s="23">
        <v>1305.302917</v>
      </c>
      <c r="C5719" s="23">
        <v>0</v>
      </c>
      <c r="D5719" s="23">
        <v>0</v>
      </c>
      <c r="E5719" s="23">
        <v>0</v>
      </c>
      <c r="F5719" s="23">
        <v>0</v>
      </c>
      <c r="G5719" s="23">
        <v>0</v>
      </c>
      <c r="H5719" s="23">
        <v>0</v>
      </c>
      <c r="I5719" s="23">
        <v>0</v>
      </c>
      <c r="J5719" s="23">
        <v>0</v>
      </c>
      <c r="K5719" s="23">
        <v>1305.3030000000001</v>
      </c>
    </row>
    <row r="5720" spans="1:11" x14ac:dyDescent="0.25">
      <c r="A5720">
        <v>5719</v>
      </c>
      <c r="B5720" s="23">
        <v>1147.5190480000001</v>
      </c>
      <c r="C5720" s="23">
        <v>97.42</v>
      </c>
      <c r="D5720" s="23">
        <v>333.97699999999998</v>
      </c>
      <c r="E5720" s="23">
        <v>333.97699999999998</v>
      </c>
      <c r="F5720" s="23">
        <v>0</v>
      </c>
      <c r="G5720" s="23">
        <v>0</v>
      </c>
      <c r="H5720" s="23">
        <v>0</v>
      </c>
      <c r="I5720" s="23">
        <v>0</v>
      </c>
      <c r="J5720" s="23">
        <v>0</v>
      </c>
      <c r="K5720" s="23">
        <v>813.54200000000003</v>
      </c>
    </row>
    <row r="5721" spans="1:11" x14ac:dyDescent="0.25">
      <c r="A5721">
        <v>5720</v>
      </c>
      <c r="B5721" s="23">
        <v>929.54023410000002</v>
      </c>
      <c r="C5721" s="23">
        <v>298.44</v>
      </c>
      <c r="D5721" s="23">
        <v>1184.576</v>
      </c>
      <c r="E5721" s="23">
        <v>929.54</v>
      </c>
      <c r="F5721" s="23">
        <v>-255.036</v>
      </c>
      <c r="G5721" s="23">
        <v>0</v>
      </c>
      <c r="H5721" s="23">
        <v>0</v>
      </c>
      <c r="I5721" s="23">
        <v>0</v>
      </c>
      <c r="J5721" s="23">
        <v>0</v>
      </c>
      <c r="K5721" s="23">
        <v>0</v>
      </c>
    </row>
    <row r="5722" spans="1:11" x14ac:dyDescent="0.25">
      <c r="A5722">
        <v>5721</v>
      </c>
      <c r="B5722" s="23">
        <v>1210.9692809999999</v>
      </c>
      <c r="C5722" s="23">
        <v>393.85</v>
      </c>
      <c r="D5722" s="23">
        <v>1551.66</v>
      </c>
      <c r="E5722" s="23">
        <v>1210.9690000000001</v>
      </c>
      <c r="F5722" s="23">
        <v>-340.69099999999997</v>
      </c>
      <c r="G5722" s="23">
        <v>0</v>
      </c>
      <c r="H5722" s="23">
        <v>0</v>
      </c>
      <c r="I5722" s="23">
        <v>0</v>
      </c>
      <c r="J5722" s="23">
        <v>0</v>
      </c>
      <c r="K5722" s="23">
        <v>0</v>
      </c>
    </row>
    <row r="5723" spans="1:11" x14ac:dyDescent="0.25">
      <c r="A5723">
        <v>5722</v>
      </c>
      <c r="B5723" s="23">
        <v>1135.0278249999999</v>
      </c>
      <c r="C5723" s="23">
        <v>559.41</v>
      </c>
      <c r="D5723" s="23">
        <v>2167.7649999999999</v>
      </c>
      <c r="E5723" s="23">
        <v>1135.028</v>
      </c>
      <c r="F5723" s="23">
        <v>-1032.7370000000001</v>
      </c>
      <c r="G5723" s="23">
        <v>0</v>
      </c>
      <c r="H5723" s="23">
        <v>0</v>
      </c>
      <c r="I5723" s="23">
        <v>0</v>
      </c>
      <c r="J5723" s="23">
        <v>0</v>
      </c>
      <c r="K5723" s="23">
        <v>0</v>
      </c>
    </row>
    <row r="5724" spans="1:11" x14ac:dyDescent="0.25">
      <c r="A5724">
        <v>5723</v>
      </c>
      <c r="B5724" s="23">
        <v>1545.107503</v>
      </c>
      <c r="C5724" s="23">
        <v>916.28</v>
      </c>
      <c r="D5724" s="23">
        <v>3514.4369999999999</v>
      </c>
      <c r="E5724" s="23">
        <v>1545.1079999999999</v>
      </c>
      <c r="F5724" s="23">
        <v>-1684.559</v>
      </c>
      <c r="G5724" s="23">
        <v>0</v>
      </c>
      <c r="H5724" s="23">
        <v>284.77</v>
      </c>
      <c r="I5724" s="23">
        <v>0</v>
      </c>
      <c r="J5724" s="23">
        <v>0</v>
      </c>
      <c r="K5724" s="23">
        <v>0</v>
      </c>
    </row>
    <row r="5725" spans="1:11" x14ac:dyDescent="0.25">
      <c r="A5725">
        <v>5724</v>
      </c>
      <c r="B5725" s="23">
        <v>1332.9479650000001</v>
      </c>
      <c r="C5725" s="23">
        <v>386.41</v>
      </c>
      <c r="D5725" s="23">
        <v>1473.4970000000001</v>
      </c>
      <c r="E5725" s="23">
        <v>1332.9480000000001</v>
      </c>
      <c r="F5725" s="23">
        <v>-140.54900000000001</v>
      </c>
      <c r="G5725" s="23">
        <v>0</v>
      </c>
      <c r="H5725" s="23">
        <v>0</v>
      </c>
      <c r="I5725" s="23">
        <v>0</v>
      </c>
      <c r="J5725" s="23">
        <v>0</v>
      </c>
      <c r="K5725" s="23">
        <v>0</v>
      </c>
    </row>
    <row r="5726" spans="1:11" x14ac:dyDescent="0.25">
      <c r="A5726">
        <v>5725</v>
      </c>
      <c r="B5726" s="23">
        <v>1136.3974760000001</v>
      </c>
      <c r="C5726" s="23">
        <v>981.7</v>
      </c>
      <c r="D5726" s="23">
        <v>3706.8</v>
      </c>
      <c r="E5726" s="23">
        <v>1136.3979999999999</v>
      </c>
      <c r="F5726" s="23">
        <v>-1684.559</v>
      </c>
      <c r="G5726" s="23">
        <v>0</v>
      </c>
      <c r="H5726" s="23">
        <v>885.84299999999996</v>
      </c>
      <c r="I5726" s="23">
        <v>0</v>
      </c>
      <c r="J5726" s="23">
        <v>0</v>
      </c>
      <c r="K5726" s="23">
        <v>0</v>
      </c>
    </row>
    <row r="5727" spans="1:11" x14ac:dyDescent="0.25">
      <c r="A5727">
        <v>5726</v>
      </c>
      <c r="B5727" s="23">
        <v>1310.147997</v>
      </c>
      <c r="C5727" s="23">
        <v>610.95000000000005</v>
      </c>
      <c r="D5727" s="23">
        <v>2318.2069999999999</v>
      </c>
      <c r="E5727" s="23">
        <v>1310.1479999999999</v>
      </c>
      <c r="F5727" s="23">
        <v>-1008.059</v>
      </c>
      <c r="G5727" s="23">
        <v>0</v>
      </c>
      <c r="H5727" s="23">
        <v>0</v>
      </c>
      <c r="I5727" s="23">
        <v>0</v>
      </c>
      <c r="J5727" s="23">
        <v>0</v>
      </c>
      <c r="K5727" s="23">
        <v>0</v>
      </c>
    </row>
    <row r="5728" spans="1:11" x14ac:dyDescent="0.25">
      <c r="A5728">
        <v>5727</v>
      </c>
      <c r="B5728" s="23">
        <v>1355.7429529999999</v>
      </c>
      <c r="C5728" s="23">
        <v>738.32</v>
      </c>
      <c r="D5728" s="23">
        <v>2854.0509999999999</v>
      </c>
      <c r="E5728" s="23">
        <v>1355.7429999999999</v>
      </c>
      <c r="F5728" s="23">
        <v>-1145.308</v>
      </c>
      <c r="G5728" s="23">
        <v>0</v>
      </c>
      <c r="H5728" s="23">
        <v>353</v>
      </c>
      <c r="I5728" s="23">
        <v>0</v>
      </c>
      <c r="J5728" s="23">
        <v>0</v>
      </c>
      <c r="K5728" s="23">
        <v>0</v>
      </c>
    </row>
    <row r="5729" spans="1:11" x14ac:dyDescent="0.25">
      <c r="A5729">
        <v>5728</v>
      </c>
      <c r="B5729" s="23">
        <v>1265.596965</v>
      </c>
      <c r="C5729" s="23">
        <v>471.25</v>
      </c>
      <c r="D5729" s="23">
        <v>1839.9970000000001</v>
      </c>
      <c r="E5729" s="23">
        <v>1265.597</v>
      </c>
      <c r="F5729" s="23">
        <v>0</v>
      </c>
      <c r="G5729" s="23">
        <v>0</v>
      </c>
      <c r="H5729" s="23">
        <v>574.4</v>
      </c>
      <c r="I5729" s="23">
        <v>0</v>
      </c>
      <c r="J5729" s="23">
        <v>0</v>
      </c>
      <c r="K5729" s="23">
        <v>0</v>
      </c>
    </row>
    <row r="5730" spans="1:11" x14ac:dyDescent="0.25">
      <c r="A5730">
        <v>5729</v>
      </c>
      <c r="B5730" s="23">
        <v>1372.354088</v>
      </c>
      <c r="C5730" s="23">
        <v>20.57</v>
      </c>
      <c r="D5730" s="23">
        <v>55.134</v>
      </c>
      <c r="E5730" s="23">
        <v>55.134</v>
      </c>
      <c r="F5730" s="23">
        <v>0</v>
      </c>
      <c r="G5730" s="23">
        <v>0</v>
      </c>
      <c r="H5730" s="23">
        <v>0</v>
      </c>
      <c r="I5730" s="23">
        <v>1317.22</v>
      </c>
      <c r="J5730" s="23">
        <v>0</v>
      </c>
      <c r="K5730" s="23">
        <v>0</v>
      </c>
    </row>
    <row r="5731" spans="1:11" x14ac:dyDescent="0.25">
      <c r="A5731">
        <v>5730</v>
      </c>
      <c r="B5731" s="23">
        <v>1424.639917</v>
      </c>
      <c r="C5731" s="23">
        <v>57.39</v>
      </c>
      <c r="D5731" s="23">
        <v>186.09700000000001</v>
      </c>
      <c r="E5731" s="23">
        <v>186.09700000000001</v>
      </c>
      <c r="F5731" s="23">
        <v>0</v>
      </c>
      <c r="G5731" s="23">
        <v>0</v>
      </c>
      <c r="H5731" s="23">
        <v>0</v>
      </c>
      <c r="I5731" s="23">
        <v>0</v>
      </c>
      <c r="J5731" s="23">
        <v>0</v>
      </c>
      <c r="K5731" s="23">
        <v>1238.5429999999999</v>
      </c>
    </row>
    <row r="5732" spans="1:11" x14ac:dyDescent="0.25">
      <c r="A5732">
        <v>5731</v>
      </c>
      <c r="B5732" s="23">
        <v>1131.4816719999999</v>
      </c>
      <c r="C5732" s="23">
        <v>0</v>
      </c>
      <c r="D5732" s="23">
        <v>0</v>
      </c>
      <c r="E5732" s="23">
        <v>0</v>
      </c>
      <c r="F5732" s="23">
        <v>0</v>
      </c>
      <c r="G5732" s="23">
        <v>0</v>
      </c>
      <c r="H5732" s="23">
        <v>0</v>
      </c>
      <c r="I5732" s="23">
        <v>0</v>
      </c>
      <c r="J5732" s="23">
        <v>0</v>
      </c>
      <c r="K5732" s="23">
        <v>1131.482</v>
      </c>
    </row>
    <row r="5733" spans="1:11" x14ac:dyDescent="0.25">
      <c r="A5733">
        <v>5732</v>
      </c>
      <c r="B5733" s="23">
        <v>1318.850017</v>
      </c>
      <c r="C5733" s="23">
        <v>0</v>
      </c>
      <c r="D5733" s="23">
        <v>0</v>
      </c>
      <c r="E5733" s="23">
        <v>0</v>
      </c>
      <c r="F5733" s="23">
        <v>0</v>
      </c>
      <c r="G5733" s="23">
        <v>0</v>
      </c>
      <c r="H5733" s="23">
        <v>0</v>
      </c>
      <c r="I5733" s="23">
        <v>0</v>
      </c>
      <c r="J5733" s="23">
        <v>0</v>
      </c>
      <c r="K5733" s="23">
        <v>1318.85</v>
      </c>
    </row>
    <row r="5734" spans="1:11" x14ac:dyDescent="0.25">
      <c r="A5734">
        <v>5733</v>
      </c>
      <c r="B5734" s="23">
        <v>1212.066994</v>
      </c>
      <c r="C5734" s="23">
        <v>0</v>
      </c>
      <c r="D5734" s="23">
        <v>0</v>
      </c>
      <c r="E5734" s="23">
        <v>0</v>
      </c>
      <c r="F5734" s="23">
        <v>0</v>
      </c>
      <c r="G5734" s="23">
        <v>0</v>
      </c>
      <c r="H5734" s="23">
        <v>0</v>
      </c>
      <c r="I5734" s="23">
        <v>275.96899999999999</v>
      </c>
      <c r="J5734" s="23">
        <v>0</v>
      </c>
      <c r="K5734" s="23">
        <v>936.09799999999996</v>
      </c>
    </row>
    <row r="5735" spans="1:11" x14ac:dyDescent="0.25">
      <c r="A5735">
        <v>5734</v>
      </c>
      <c r="B5735" s="23">
        <v>1363.4757569999999</v>
      </c>
      <c r="C5735" s="23">
        <v>0</v>
      </c>
      <c r="D5735" s="23">
        <v>0</v>
      </c>
      <c r="E5735" s="23">
        <v>0</v>
      </c>
      <c r="F5735" s="23">
        <v>0</v>
      </c>
      <c r="G5735" s="23">
        <v>0</v>
      </c>
      <c r="H5735" s="23">
        <v>0</v>
      </c>
      <c r="I5735" s="23">
        <v>0</v>
      </c>
      <c r="J5735" s="23">
        <v>0</v>
      </c>
      <c r="K5735" s="23">
        <v>1363.4760000000001</v>
      </c>
    </row>
    <row r="5736" spans="1:11" x14ac:dyDescent="0.25">
      <c r="A5736">
        <v>5735</v>
      </c>
      <c r="B5736" s="23">
        <v>1298.927811</v>
      </c>
      <c r="C5736" s="23">
        <v>0</v>
      </c>
      <c r="D5736" s="23">
        <v>0</v>
      </c>
      <c r="E5736" s="23">
        <v>0</v>
      </c>
      <c r="F5736" s="23">
        <v>0</v>
      </c>
      <c r="G5736" s="23">
        <v>0</v>
      </c>
      <c r="H5736" s="23">
        <v>0</v>
      </c>
      <c r="I5736" s="23">
        <v>1298.9280000000001</v>
      </c>
      <c r="J5736" s="23">
        <v>0</v>
      </c>
      <c r="K5736" s="23">
        <v>0</v>
      </c>
    </row>
    <row r="5737" spans="1:11" x14ac:dyDescent="0.25">
      <c r="A5737">
        <v>5736</v>
      </c>
      <c r="B5737" s="23">
        <v>502.0395833</v>
      </c>
      <c r="C5737" s="23">
        <v>0</v>
      </c>
      <c r="D5737" s="23">
        <v>0</v>
      </c>
      <c r="E5737" s="23">
        <v>0</v>
      </c>
      <c r="F5737" s="23">
        <v>0</v>
      </c>
      <c r="G5737" s="23">
        <v>0</v>
      </c>
      <c r="H5737" s="23">
        <v>0</v>
      </c>
      <c r="I5737" s="23">
        <v>502.04</v>
      </c>
      <c r="J5737" s="23">
        <v>0</v>
      </c>
      <c r="K5737" s="23">
        <v>0</v>
      </c>
    </row>
    <row r="5738" spans="1:11" x14ac:dyDescent="0.25">
      <c r="A5738">
        <v>5737</v>
      </c>
      <c r="B5738" s="23">
        <v>307.59885580000002</v>
      </c>
      <c r="C5738" s="23">
        <v>0</v>
      </c>
      <c r="D5738" s="23">
        <v>0</v>
      </c>
      <c r="E5738" s="23">
        <v>0</v>
      </c>
      <c r="F5738" s="23">
        <v>0</v>
      </c>
      <c r="G5738" s="23">
        <v>0</v>
      </c>
      <c r="H5738" s="23">
        <v>0</v>
      </c>
      <c r="I5738" s="23">
        <v>307.59899999999999</v>
      </c>
      <c r="J5738" s="23">
        <v>0</v>
      </c>
      <c r="K5738" s="23">
        <v>0</v>
      </c>
    </row>
    <row r="5739" spans="1:11" x14ac:dyDescent="0.25">
      <c r="A5739">
        <v>5738</v>
      </c>
      <c r="B5739" s="23">
        <v>222.3318155</v>
      </c>
      <c r="C5739" s="23">
        <v>0</v>
      </c>
      <c r="D5739" s="23">
        <v>0</v>
      </c>
      <c r="E5739" s="23">
        <v>0</v>
      </c>
      <c r="F5739" s="23">
        <v>0</v>
      </c>
      <c r="G5739" s="23">
        <v>0</v>
      </c>
      <c r="H5739" s="23">
        <v>0</v>
      </c>
      <c r="I5739" s="23">
        <v>222.33199999999999</v>
      </c>
      <c r="J5739" s="23">
        <v>0</v>
      </c>
      <c r="K5739" s="23">
        <v>0</v>
      </c>
    </row>
    <row r="5740" spans="1:11" x14ac:dyDescent="0.25">
      <c r="A5740">
        <v>5739</v>
      </c>
      <c r="B5740" s="23">
        <v>304.41130290000001</v>
      </c>
      <c r="C5740" s="23">
        <v>0</v>
      </c>
      <c r="D5740" s="23">
        <v>0</v>
      </c>
      <c r="E5740" s="23">
        <v>0</v>
      </c>
      <c r="F5740" s="23">
        <v>0</v>
      </c>
      <c r="G5740" s="23">
        <v>0</v>
      </c>
      <c r="H5740" s="23">
        <v>0</v>
      </c>
      <c r="I5740" s="23">
        <v>304.411</v>
      </c>
      <c r="J5740" s="23">
        <v>0</v>
      </c>
      <c r="K5740" s="23">
        <v>0</v>
      </c>
    </row>
    <row r="5741" spans="1:11" x14ac:dyDescent="0.25">
      <c r="A5741">
        <v>5740</v>
      </c>
      <c r="B5741" s="23">
        <v>233.48825070000001</v>
      </c>
      <c r="C5741" s="23">
        <v>0</v>
      </c>
      <c r="D5741" s="23">
        <v>0</v>
      </c>
      <c r="E5741" s="23">
        <v>0</v>
      </c>
      <c r="F5741" s="23">
        <v>0</v>
      </c>
      <c r="G5741" s="23">
        <v>0</v>
      </c>
      <c r="H5741" s="23">
        <v>0</v>
      </c>
      <c r="I5741" s="23">
        <v>233.488</v>
      </c>
      <c r="J5741" s="23">
        <v>0</v>
      </c>
      <c r="K5741" s="23">
        <v>0</v>
      </c>
    </row>
    <row r="5742" spans="1:11" x14ac:dyDescent="0.25">
      <c r="A5742">
        <v>5741</v>
      </c>
      <c r="B5742" s="23">
        <v>283.69220899999999</v>
      </c>
      <c r="C5742" s="23">
        <v>0</v>
      </c>
      <c r="D5742" s="23">
        <v>0</v>
      </c>
      <c r="E5742" s="23">
        <v>0</v>
      </c>
      <c r="F5742" s="23">
        <v>0</v>
      </c>
      <c r="G5742" s="23">
        <v>0</v>
      </c>
      <c r="H5742" s="23">
        <v>0</v>
      </c>
      <c r="I5742" s="23">
        <v>0</v>
      </c>
      <c r="J5742" s="23">
        <v>0</v>
      </c>
      <c r="K5742" s="23">
        <v>283.69200000000001</v>
      </c>
    </row>
    <row r="5743" spans="1:11" x14ac:dyDescent="0.25">
      <c r="A5743">
        <v>5742</v>
      </c>
      <c r="B5743" s="23">
        <v>279.70776790000002</v>
      </c>
      <c r="C5743" s="23">
        <v>0</v>
      </c>
      <c r="D5743" s="23">
        <v>0</v>
      </c>
      <c r="E5743" s="23">
        <v>0</v>
      </c>
      <c r="F5743" s="23">
        <v>0</v>
      </c>
      <c r="G5743" s="23">
        <v>0</v>
      </c>
      <c r="H5743" s="23">
        <v>0</v>
      </c>
      <c r="I5743" s="23">
        <v>0</v>
      </c>
      <c r="J5743" s="23">
        <v>0</v>
      </c>
      <c r="K5743" s="23">
        <v>279.70800000000003</v>
      </c>
    </row>
    <row r="5744" spans="1:11" x14ac:dyDescent="0.25">
      <c r="A5744">
        <v>5743</v>
      </c>
      <c r="B5744" s="23">
        <v>278.11399139999997</v>
      </c>
      <c r="C5744" s="23">
        <v>105.44</v>
      </c>
      <c r="D5744" s="23">
        <v>330.17</v>
      </c>
      <c r="E5744" s="23">
        <v>278.11399999999998</v>
      </c>
      <c r="F5744" s="23">
        <v>-52.055999999999997</v>
      </c>
      <c r="G5744" s="23">
        <v>0</v>
      </c>
      <c r="H5744" s="23">
        <v>0</v>
      </c>
      <c r="I5744" s="23">
        <v>0</v>
      </c>
      <c r="J5744" s="23">
        <v>0</v>
      </c>
      <c r="K5744" s="23">
        <v>0</v>
      </c>
    </row>
    <row r="5745" spans="1:11" x14ac:dyDescent="0.25">
      <c r="A5745">
        <v>5744</v>
      </c>
      <c r="B5745" s="23">
        <v>207.0753904</v>
      </c>
      <c r="C5745" s="23">
        <v>338.97</v>
      </c>
      <c r="D5745" s="23">
        <v>1333.83</v>
      </c>
      <c r="E5745" s="23">
        <v>207.07499999999999</v>
      </c>
      <c r="F5745" s="23">
        <v>-1126.7550000000001</v>
      </c>
      <c r="G5745" s="23">
        <v>0</v>
      </c>
      <c r="H5745" s="23">
        <v>0</v>
      </c>
      <c r="I5745" s="23">
        <v>0</v>
      </c>
      <c r="J5745" s="23">
        <v>0</v>
      </c>
      <c r="K5745" s="23">
        <v>0</v>
      </c>
    </row>
    <row r="5746" spans="1:11" x14ac:dyDescent="0.25">
      <c r="A5746">
        <v>5745</v>
      </c>
      <c r="B5746" s="23">
        <v>1378.026936</v>
      </c>
      <c r="C5746" s="23">
        <v>364.27</v>
      </c>
      <c r="D5746" s="23">
        <v>1421.183</v>
      </c>
      <c r="E5746" s="23">
        <v>1378.027</v>
      </c>
      <c r="F5746" s="23">
        <v>-43.155999999999999</v>
      </c>
      <c r="G5746" s="23">
        <v>0</v>
      </c>
      <c r="H5746" s="23">
        <v>0</v>
      </c>
      <c r="I5746" s="23">
        <v>0</v>
      </c>
      <c r="J5746" s="23">
        <v>0</v>
      </c>
      <c r="K5746" s="23">
        <v>0</v>
      </c>
    </row>
    <row r="5747" spans="1:11" x14ac:dyDescent="0.25">
      <c r="A5747">
        <v>5746</v>
      </c>
      <c r="B5747" s="23">
        <v>1300.4518599999999</v>
      </c>
      <c r="C5747" s="23">
        <v>774.36</v>
      </c>
      <c r="D5747" s="23">
        <v>2968.9690000000001</v>
      </c>
      <c r="E5747" s="23">
        <v>1300.452</v>
      </c>
      <c r="F5747" s="23">
        <v>-1668.5170000000001</v>
      </c>
      <c r="G5747" s="23">
        <v>0</v>
      </c>
      <c r="H5747" s="23">
        <v>0</v>
      </c>
      <c r="I5747" s="23">
        <v>0</v>
      </c>
      <c r="J5747" s="23">
        <v>0</v>
      </c>
      <c r="K5747" s="23">
        <v>0</v>
      </c>
    </row>
    <row r="5748" spans="1:11" x14ac:dyDescent="0.25">
      <c r="A5748">
        <v>5747</v>
      </c>
      <c r="B5748" s="23">
        <v>1608.7589499999999</v>
      </c>
      <c r="C5748" s="23">
        <v>915.67</v>
      </c>
      <c r="D5748" s="23">
        <v>3433.0349999999999</v>
      </c>
      <c r="E5748" s="23">
        <v>1608.759</v>
      </c>
      <c r="F5748" s="23">
        <v>-1684.559</v>
      </c>
      <c r="G5748" s="23">
        <v>0</v>
      </c>
      <c r="H5748" s="23">
        <v>139.71700000000001</v>
      </c>
      <c r="I5748" s="23">
        <v>0</v>
      </c>
      <c r="J5748" s="23">
        <v>0</v>
      </c>
      <c r="K5748" s="23">
        <v>0</v>
      </c>
    </row>
    <row r="5749" spans="1:11" x14ac:dyDescent="0.25">
      <c r="A5749">
        <v>5748</v>
      </c>
      <c r="B5749" s="23">
        <v>1772.0821880000001</v>
      </c>
      <c r="C5749" s="23">
        <v>984.34</v>
      </c>
      <c r="D5749" s="23">
        <v>3649.8209999999999</v>
      </c>
      <c r="E5749" s="23">
        <v>1772.0820000000001</v>
      </c>
      <c r="F5749" s="23">
        <v>-1684.559</v>
      </c>
      <c r="G5749" s="23">
        <v>0</v>
      </c>
      <c r="H5749" s="23">
        <v>193.18</v>
      </c>
      <c r="I5749" s="23">
        <v>0</v>
      </c>
      <c r="J5749" s="23">
        <v>0</v>
      </c>
      <c r="K5749" s="23">
        <v>0</v>
      </c>
    </row>
    <row r="5750" spans="1:11" x14ac:dyDescent="0.25">
      <c r="A5750">
        <v>5749</v>
      </c>
      <c r="B5750" s="23">
        <v>1617.940098</v>
      </c>
      <c r="C5750" s="23">
        <v>836.25</v>
      </c>
      <c r="D5750" s="23">
        <v>3085.5859999999998</v>
      </c>
      <c r="E5750" s="23">
        <v>1617.94</v>
      </c>
      <c r="F5750" s="23">
        <v>-1031.896</v>
      </c>
      <c r="G5750" s="23">
        <v>0</v>
      </c>
      <c r="H5750" s="23">
        <v>435.75</v>
      </c>
      <c r="I5750" s="23">
        <v>0</v>
      </c>
      <c r="J5750" s="23">
        <v>0</v>
      </c>
      <c r="K5750" s="23">
        <v>0</v>
      </c>
    </row>
    <row r="5751" spans="1:11" x14ac:dyDescent="0.25">
      <c r="A5751">
        <v>5750</v>
      </c>
      <c r="B5751" s="23">
        <v>1533.0236890000001</v>
      </c>
      <c r="C5751" s="23">
        <v>554.44000000000005</v>
      </c>
      <c r="D5751" s="23">
        <v>2091.585</v>
      </c>
      <c r="E5751" s="23">
        <v>1533.0229999999999</v>
      </c>
      <c r="F5751" s="23">
        <v>0</v>
      </c>
      <c r="G5751" s="23">
        <v>0</v>
      </c>
      <c r="H5751" s="23">
        <v>558.56200000000001</v>
      </c>
      <c r="I5751" s="23">
        <v>0</v>
      </c>
      <c r="J5751" s="23">
        <v>0</v>
      </c>
      <c r="K5751" s="23">
        <v>0</v>
      </c>
    </row>
    <row r="5752" spans="1:11" x14ac:dyDescent="0.25">
      <c r="A5752">
        <v>5751</v>
      </c>
      <c r="B5752" s="23">
        <v>1780.735398</v>
      </c>
      <c r="C5752" s="23">
        <v>582.69000000000005</v>
      </c>
      <c r="D5752" s="23">
        <v>2217.8670000000002</v>
      </c>
      <c r="E5752" s="23">
        <v>1780.7349999999999</v>
      </c>
      <c r="F5752" s="23">
        <v>0</v>
      </c>
      <c r="G5752" s="23">
        <v>0</v>
      </c>
      <c r="H5752" s="23">
        <v>437.13200000000001</v>
      </c>
      <c r="I5752" s="23">
        <v>0</v>
      </c>
      <c r="J5752" s="23">
        <v>0</v>
      </c>
      <c r="K5752" s="23">
        <v>0</v>
      </c>
    </row>
    <row r="5753" spans="1:11" x14ac:dyDescent="0.25">
      <c r="A5753">
        <v>5752</v>
      </c>
      <c r="B5753" s="23">
        <v>1349.036143</v>
      </c>
      <c r="C5753" s="23">
        <v>73.47</v>
      </c>
      <c r="D5753" s="23">
        <v>259.67200000000003</v>
      </c>
      <c r="E5753" s="23">
        <v>259.67200000000003</v>
      </c>
      <c r="F5753" s="23">
        <v>0</v>
      </c>
      <c r="G5753" s="23">
        <v>0</v>
      </c>
      <c r="H5753" s="23">
        <v>0</v>
      </c>
      <c r="I5753" s="23">
        <v>1089.364</v>
      </c>
      <c r="J5753" s="23">
        <v>0</v>
      </c>
      <c r="K5753" s="23">
        <v>0</v>
      </c>
    </row>
    <row r="5754" spans="1:11" x14ac:dyDescent="0.25">
      <c r="A5754">
        <v>5753</v>
      </c>
      <c r="B5754" s="23">
        <v>1613.938723</v>
      </c>
      <c r="C5754" s="23">
        <v>90.32</v>
      </c>
      <c r="D5754" s="23">
        <v>332.00900000000001</v>
      </c>
      <c r="E5754" s="23">
        <v>332.00900000000001</v>
      </c>
      <c r="F5754" s="23">
        <v>0</v>
      </c>
      <c r="G5754" s="23">
        <v>0</v>
      </c>
      <c r="H5754" s="23">
        <v>0</v>
      </c>
      <c r="I5754" s="23">
        <v>1281.93</v>
      </c>
      <c r="J5754" s="23">
        <v>0</v>
      </c>
      <c r="K5754" s="23">
        <v>0</v>
      </c>
    </row>
    <row r="5755" spans="1:11" x14ac:dyDescent="0.25">
      <c r="A5755">
        <v>5754</v>
      </c>
      <c r="B5755" s="23">
        <v>1295.929519</v>
      </c>
      <c r="C5755" s="23">
        <v>23.51</v>
      </c>
      <c r="D5755" s="23">
        <v>64.019000000000005</v>
      </c>
      <c r="E5755" s="23">
        <v>64.019000000000005</v>
      </c>
      <c r="F5755" s="23">
        <v>0</v>
      </c>
      <c r="G5755" s="23">
        <v>0</v>
      </c>
      <c r="H5755" s="23">
        <v>0</v>
      </c>
      <c r="I5755" s="23">
        <v>0</v>
      </c>
      <c r="J5755" s="23">
        <v>0</v>
      </c>
      <c r="K5755" s="23">
        <v>1231.9100000000001</v>
      </c>
    </row>
    <row r="5756" spans="1:11" x14ac:dyDescent="0.25">
      <c r="A5756">
        <v>5755</v>
      </c>
      <c r="B5756" s="23">
        <v>1388.6464679999999</v>
      </c>
      <c r="C5756" s="23">
        <v>0</v>
      </c>
      <c r="D5756" s="23">
        <v>0</v>
      </c>
      <c r="E5756" s="23">
        <v>0</v>
      </c>
      <c r="F5756" s="23">
        <v>0</v>
      </c>
      <c r="G5756" s="23">
        <v>0</v>
      </c>
      <c r="H5756" s="23">
        <v>0</v>
      </c>
      <c r="I5756" s="23">
        <v>0</v>
      </c>
      <c r="J5756" s="23">
        <v>0</v>
      </c>
      <c r="K5756" s="23">
        <v>1388.646</v>
      </c>
    </row>
    <row r="5757" spans="1:11" x14ac:dyDescent="0.25">
      <c r="A5757">
        <v>5756</v>
      </c>
      <c r="B5757" s="23">
        <v>1267.0522820000001</v>
      </c>
      <c r="C5757" s="23">
        <v>0</v>
      </c>
      <c r="D5757" s="23">
        <v>0</v>
      </c>
      <c r="E5757" s="23">
        <v>0</v>
      </c>
      <c r="F5757" s="23">
        <v>0</v>
      </c>
      <c r="G5757" s="23">
        <v>0</v>
      </c>
      <c r="H5757" s="23">
        <v>0</v>
      </c>
      <c r="I5757" s="23">
        <v>0</v>
      </c>
      <c r="J5757" s="23">
        <v>0</v>
      </c>
      <c r="K5757" s="23">
        <v>1267.0519999999999</v>
      </c>
    </row>
    <row r="5758" spans="1:11" x14ac:dyDescent="0.25">
      <c r="A5758">
        <v>5757</v>
      </c>
      <c r="B5758" s="23">
        <v>1465.4774500000001</v>
      </c>
      <c r="C5758" s="23">
        <v>0</v>
      </c>
      <c r="D5758" s="23">
        <v>0</v>
      </c>
      <c r="E5758" s="23">
        <v>0</v>
      </c>
      <c r="F5758" s="23">
        <v>0</v>
      </c>
      <c r="G5758" s="23">
        <v>0</v>
      </c>
      <c r="H5758" s="23">
        <v>0</v>
      </c>
      <c r="I5758" s="23">
        <v>1465.4770000000001</v>
      </c>
      <c r="J5758" s="23">
        <v>0</v>
      </c>
      <c r="K5758" s="23">
        <v>0</v>
      </c>
    </row>
    <row r="5759" spans="1:11" x14ac:dyDescent="0.25">
      <c r="A5759">
        <v>5758</v>
      </c>
      <c r="B5759" s="23">
        <v>1438.383251</v>
      </c>
      <c r="C5759" s="23">
        <v>0</v>
      </c>
      <c r="D5759" s="23">
        <v>0</v>
      </c>
      <c r="E5759" s="23">
        <v>0</v>
      </c>
      <c r="F5759" s="23">
        <v>0</v>
      </c>
      <c r="G5759" s="23">
        <v>0</v>
      </c>
      <c r="H5759" s="23">
        <v>0</v>
      </c>
      <c r="I5759" s="23">
        <v>1438.383</v>
      </c>
      <c r="J5759" s="23">
        <v>0</v>
      </c>
      <c r="K5759" s="23">
        <v>0</v>
      </c>
    </row>
    <row r="5760" spans="1:11" x14ac:dyDescent="0.25">
      <c r="A5760">
        <v>5759</v>
      </c>
      <c r="B5760" s="23">
        <v>1352.3193220000001</v>
      </c>
      <c r="C5760" s="23">
        <v>0</v>
      </c>
      <c r="D5760" s="23">
        <v>0</v>
      </c>
      <c r="E5760" s="23">
        <v>0</v>
      </c>
      <c r="F5760" s="23">
        <v>0</v>
      </c>
      <c r="G5760" s="23">
        <v>0</v>
      </c>
      <c r="H5760" s="23">
        <v>0</v>
      </c>
      <c r="I5760" s="23">
        <v>1352.319</v>
      </c>
      <c r="J5760" s="23">
        <v>0</v>
      </c>
      <c r="K5760" s="23">
        <v>0</v>
      </c>
    </row>
    <row r="5761" spans="1:11" x14ac:dyDescent="0.25">
      <c r="A5761">
        <v>5760</v>
      </c>
      <c r="B5761" s="23">
        <v>574.55641200000002</v>
      </c>
      <c r="C5761" s="23">
        <v>0</v>
      </c>
      <c r="D5761" s="23">
        <v>0</v>
      </c>
      <c r="E5761" s="23">
        <v>0</v>
      </c>
      <c r="F5761" s="23">
        <v>0</v>
      </c>
      <c r="G5761" s="23">
        <v>0</v>
      </c>
      <c r="H5761" s="23">
        <v>0</v>
      </c>
      <c r="I5761" s="23">
        <v>574.55600000000004</v>
      </c>
      <c r="J5761" s="23">
        <v>0</v>
      </c>
      <c r="K5761" s="23">
        <v>0</v>
      </c>
    </row>
    <row r="5762" spans="1:11" x14ac:dyDescent="0.25">
      <c r="A5762">
        <v>5761</v>
      </c>
      <c r="B5762" s="23">
        <v>496.46136569999999</v>
      </c>
      <c r="C5762" s="23">
        <v>0</v>
      </c>
      <c r="D5762" s="23">
        <v>0</v>
      </c>
      <c r="E5762" s="23">
        <v>0</v>
      </c>
      <c r="F5762" s="23">
        <v>0</v>
      </c>
      <c r="G5762" s="23">
        <v>0</v>
      </c>
      <c r="H5762" s="23">
        <v>0</v>
      </c>
      <c r="I5762" s="23">
        <v>496.46100000000001</v>
      </c>
      <c r="J5762" s="23">
        <v>0</v>
      </c>
      <c r="K5762" s="23">
        <v>0</v>
      </c>
    </row>
    <row r="5763" spans="1:11" x14ac:dyDescent="0.25">
      <c r="A5763">
        <v>5762</v>
      </c>
      <c r="B5763" s="23">
        <v>496.46136569999999</v>
      </c>
      <c r="C5763" s="23">
        <v>0</v>
      </c>
      <c r="D5763" s="23">
        <v>0</v>
      </c>
      <c r="E5763" s="23">
        <v>0</v>
      </c>
      <c r="F5763" s="23">
        <v>0</v>
      </c>
      <c r="G5763" s="23">
        <v>0</v>
      </c>
      <c r="H5763" s="23">
        <v>0</v>
      </c>
      <c r="I5763" s="23">
        <v>496.46100000000001</v>
      </c>
      <c r="J5763" s="23">
        <v>0</v>
      </c>
      <c r="K5763" s="23">
        <v>0</v>
      </c>
    </row>
    <row r="5764" spans="1:11" x14ac:dyDescent="0.25">
      <c r="A5764">
        <v>5763</v>
      </c>
      <c r="B5764" s="23">
        <v>502.0395833</v>
      </c>
      <c r="C5764" s="23">
        <v>0</v>
      </c>
      <c r="D5764" s="23">
        <v>0</v>
      </c>
      <c r="E5764" s="23">
        <v>0</v>
      </c>
      <c r="F5764" s="23">
        <v>0</v>
      </c>
      <c r="G5764" s="23">
        <v>0</v>
      </c>
      <c r="H5764" s="23">
        <v>0</v>
      </c>
      <c r="I5764" s="23">
        <v>502.04</v>
      </c>
      <c r="J5764" s="23">
        <v>0</v>
      </c>
      <c r="K5764" s="23">
        <v>0</v>
      </c>
    </row>
    <row r="5765" spans="1:11" x14ac:dyDescent="0.25">
      <c r="A5765">
        <v>5764</v>
      </c>
      <c r="B5765" s="23">
        <v>419.9600959</v>
      </c>
      <c r="C5765" s="23">
        <v>0</v>
      </c>
      <c r="D5765" s="23">
        <v>0</v>
      </c>
      <c r="E5765" s="23">
        <v>0</v>
      </c>
      <c r="F5765" s="23">
        <v>0</v>
      </c>
      <c r="G5765" s="23">
        <v>0</v>
      </c>
      <c r="H5765" s="23">
        <v>0</v>
      </c>
      <c r="I5765" s="23">
        <v>419.96</v>
      </c>
      <c r="J5765" s="23">
        <v>0</v>
      </c>
      <c r="K5765" s="23">
        <v>0</v>
      </c>
    </row>
    <row r="5766" spans="1:11" x14ac:dyDescent="0.25">
      <c r="A5766">
        <v>5765</v>
      </c>
      <c r="B5766" s="23">
        <v>483.71115409999999</v>
      </c>
      <c r="C5766" s="23">
        <v>0</v>
      </c>
      <c r="D5766" s="23">
        <v>0</v>
      </c>
      <c r="E5766" s="23">
        <v>0</v>
      </c>
      <c r="F5766" s="23">
        <v>0</v>
      </c>
      <c r="G5766" s="23">
        <v>0</v>
      </c>
      <c r="H5766" s="23">
        <v>0</v>
      </c>
      <c r="I5766" s="23">
        <v>483.71100000000001</v>
      </c>
      <c r="J5766" s="23">
        <v>0</v>
      </c>
      <c r="K5766" s="23">
        <v>0</v>
      </c>
    </row>
    <row r="5767" spans="1:11" x14ac:dyDescent="0.25">
      <c r="A5767">
        <v>5766</v>
      </c>
      <c r="B5767" s="23">
        <v>465.38272490000003</v>
      </c>
      <c r="C5767" s="23">
        <v>0</v>
      </c>
      <c r="D5767" s="23">
        <v>0</v>
      </c>
      <c r="E5767" s="23">
        <v>0</v>
      </c>
      <c r="F5767" s="23">
        <v>0</v>
      </c>
      <c r="G5767" s="23">
        <v>0</v>
      </c>
      <c r="H5767" s="23">
        <v>0</v>
      </c>
      <c r="I5767" s="23">
        <v>281.608</v>
      </c>
      <c r="J5767" s="23">
        <v>0</v>
      </c>
      <c r="K5767" s="23">
        <v>183.77500000000001</v>
      </c>
    </row>
    <row r="5768" spans="1:11" x14ac:dyDescent="0.25">
      <c r="A5768">
        <v>5767</v>
      </c>
      <c r="B5768" s="23">
        <v>470.16405420000001</v>
      </c>
      <c r="C5768" s="23">
        <v>78.53</v>
      </c>
      <c r="D5768" s="23">
        <v>275.57299999999998</v>
      </c>
      <c r="E5768" s="23">
        <v>275.57299999999998</v>
      </c>
      <c r="F5768" s="23">
        <v>0</v>
      </c>
      <c r="G5768" s="23">
        <v>0</v>
      </c>
      <c r="H5768" s="23">
        <v>0</v>
      </c>
      <c r="I5768" s="23">
        <v>0</v>
      </c>
      <c r="J5768" s="23">
        <v>0</v>
      </c>
      <c r="K5768" s="23">
        <v>194.59100000000001</v>
      </c>
    </row>
    <row r="5769" spans="1:11" x14ac:dyDescent="0.25">
      <c r="A5769">
        <v>5768</v>
      </c>
      <c r="B5769" s="23">
        <v>384.02242910000001</v>
      </c>
      <c r="C5769" s="23">
        <v>250.94</v>
      </c>
      <c r="D5769" s="23">
        <v>988.67000000000007</v>
      </c>
      <c r="E5769" s="23">
        <v>384.02300000000002</v>
      </c>
      <c r="F5769" s="23">
        <v>-604.64700000000005</v>
      </c>
      <c r="G5769" s="23">
        <v>0</v>
      </c>
      <c r="H5769" s="23">
        <v>0</v>
      </c>
      <c r="I5769" s="23">
        <v>0</v>
      </c>
      <c r="J5769" s="23">
        <v>0</v>
      </c>
      <c r="K5769" s="23">
        <v>0</v>
      </c>
    </row>
    <row r="5770" spans="1:11" x14ac:dyDescent="0.25">
      <c r="A5770">
        <v>5769</v>
      </c>
      <c r="B5770" s="23">
        <v>1040.749971</v>
      </c>
      <c r="C5770" s="23">
        <v>397.61</v>
      </c>
      <c r="D5770" s="23">
        <v>1559.347</v>
      </c>
      <c r="E5770" s="23">
        <v>1040.75</v>
      </c>
      <c r="F5770" s="23">
        <v>-518.59699999999998</v>
      </c>
      <c r="G5770" s="23">
        <v>0</v>
      </c>
      <c r="H5770" s="23">
        <v>0</v>
      </c>
      <c r="I5770" s="23">
        <v>0</v>
      </c>
      <c r="J5770" s="23">
        <v>0</v>
      </c>
      <c r="K5770" s="23">
        <v>0</v>
      </c>
    </row>
    <row r="5771" spans="1:11" x14ac:dyDescent="0.25">
      <c r="A5771">
        <v>5770</v>
      </c>
      <c r="B5771" s="23">
        <v>1686.065077</v>
      </c>
      <c r="C5771" s="23">
        <v>512.75</v>
      </c>
      <c r="D5771" s="23">
        <v>1981.539</v>
      </c>
      <c r="E5771" s="23">
        <v>1686.0650000000001</v>
      </c>
      <c r="F5771" s="23">
        <v>-295.47399999999999</v>
      </c>
      <c r="G5771" s="23">
        <v>0</v>
      </c>
      <c r="H5771" s="23">
        <v>0</v>
      </c>
      <c r="I5771" s="23">
        <v>0</v>
      </c>
      <c r="J5771" s="23">
        <v>0</v>
      </c>
      <c r="K5771" s="23">
        <v>0</v>
      </c>
    </row>
    <row r="5772" spans="1:11" x14ac:dyDescent="0.25">
      <c r="A5772">
        <v>5771</v>
      </c>
      <c r="B5772" s="23">
        <v>1865.857006</v>
      </c>
      <c r="C5772" s="23">
        <v>713.26</v>
      </c>
      <c r="D5772" s="23">
        <v>2715.6709999999998</v>
      </c>
      <c r="E5772" s="23">
        <v>1865.857</v>
      </c>
      <c r="F5772" s="23">
        <v>-849.81399999999996</v>
      </c>
      <c r="G5772" s="23">
        <v>0</v>
      </c>
      <c r="H5772" s="23">
        <v>0</v>
      </c>
      <c r="I5772" s="23">
        <v>0</v>
      </c>
      <c r="J5772" s="23">
        <v>0</v>
      </c>
      <c r="K5772" s="23">
        <v>0</v>
      </c>
    </row>
    <row r="5773" spans="1:11" x14ac:dyDescent="0.25">
      <c r="A5773">
        <v>5772</v>
      </c>
      <c r="B5773" s="23">
        <v>1807.694127</v>
      </c>
      <c r="C5773" s="23">
        <v>610.58000000000004</v>
      </c>
      <c r="D5773" s="23">
        <v>2324.7159999999999</v>
      </c>
      <c r="E5773" s="23">
        <v>1807.694</v>
      </c>
      <c r="F5773" s="23">
        <v>-517.02200000000005</v>
      </c>
      <c r="G5773" s="23">
        <v>0</v>
      </c>
      <c r="H5773" s="23">
        <v>0</v>
      </c>
      <c r="I5773" s="23">
        <v>0</v>
      </c>
      <c r="J5773" s="23">
        <v>0</v>
      </c>
      <c r="K5773" s="23">
        <v>0</v>
      </c>
    </row>
    <row r="5774" spans="1:11" x14ac:dyDescent="0.25">
      <c r="A5774">
        <v>5773</v>
      </c>
      <c r="B5774" s="23">
        <v>1599.5180350000001</v>
      </c>
      <c r="C5774" s="23">
        <v>980.3</v>
      </c>
      <c r="D5774" s="23">
        <v>3725.288</v>
      </c>
      <c r="E5774" s="23">
        <v>1599.519</v>
      </c>
      <c r="F5774" s="23">
        <v>-1684.559</v>
      </c>
      <c r="G5774" s="23">
        <v>0</v>
      </c>
      <c r="H5774" s="23">
        <v>441.21</v>
      </c>
      <c r="I5774" s="23">
        <v>0</v>
      </c>
      <c r="J5774" s="23">
        <v>0</v>
      </c>
      <c r="K5774" s="23">
        <v>0</v>
      </c>
    </row>
    <row r="5775" spans="1:11" x14ac:dyDescent="0.25">
      <c r="A5775">
        <v>5774</v>
      </c>
      <c r="B5775" s="23">
        <v>1650.484017</v>
      </c>
      <c r="C5775" s="23">
        <v>502.31</v>
      </c>
      <c r="D5775" s="23">
        <v>1927.9390000000001</v>
      </c>
      <c r="E5775" s="23">
        <v>1650.4839999999999</v>
      </c>
      <c r="F5775" s="23">
        <v>-277.45499999999998</v>
      </c>
      <c r="G5775" s="23">
        <v>0</v>
      </c>
      <c r="H5775" s="23">
        <v>0</v>
      </c>
      <c r="I5775" s="23">
        <v>0</v>
      </c>
      <c r="J5775" s="23">
        <v>0</v>
      </c>
      <c r="K5775" s="23">
        <v>0</v>
      </c>
    </row>
    <row r="5776" spans="1:11" x14ac:dyDescent="0.25">
      <c r="A5776">
        <v>5775</v>
      </c>
      <c r="B5776" s="23">
        <v>1952.34229</v>
      </c>
      <c r="C5776" s="23">
        <v>490.41</v>
      </c>
      <c r="D5776" s="23">
        <v>1899.76</v>
      </c>
      <c r="E5776" s="23">
        <v>1899.76</v>
      </c>
      <c r="F5776" s="23">
        <v>0</v>
      </c>
      <c r="G5776" s="23">
        <v>0</v>
      </c>
      <c r="H5776" s="23">
        <v>0</v>
      </c>
      <c r="I5776" s="23">
        <v>52.582000000000001</v>
      </c>
      <c r="J5776" s="23">
        <v>0</v>
      </c>
      <c r="K5776" s="23">
        <v>0</v>
      </c>
    </row>
    <row r="5777" spans="1:11" x14ac:dyDescent="0.25">
      <c r="A5777">
        <v>5776</v>
      </c>
      <c r="B5777" s="23">
        <v>1917.6397999999999</v>
      </c>
      <c r="C5777" s="23">
        <v>186.47</v>
      </c>
      <c r="D5777" s="23">
        <v>717.58600000000001</v>
      </c>
      <c r="E5777" s="23">
        <v>717.58600000000001</v>
      </c>
      <c r="F5777" s="23">
        <v>0</v>
      </c>
      <c r="G5777" s="23">
        <v>0</v>
      </c>
      <c r="H5777" s="23">
        <v>0</v>
      </c>
      <c r="I5777" s="23">
        <v>1200.0540000000001</v>
      </c>
      <c r="J5777" s="23">
        <v>0</v>
      </c>
      <c r="K5777" s="23">
        <v>0</v>
      </c>
    </row>
    <row r="5778" spans="1:11" x14ac:dyDescent="0.25">
      <c r="A5778">
        <v>5777</v>
      </c>
      <c r="B5778" s="23">
        <v>1638.3992069999999</v>
      </c>
      <c r="C5778" s="23">
        <v>32.340000000000003</v>
      </c>
      <c r="D5778" s="23">
        <v>101.611</v>
      </c>
      <c r="E5778" s="23">
        <v>101.611</v>
      </c>
      <c r="F5778" s="23">
        <v>0</v>
      </c>
      <c r="G5778" s="23">
        <v>0</v>
      </c>
      <c r="H5778" s="23">
        <v>0</v>
      </c>
      <c r="I5778" s="23">
        <v>1536.789</v>
      </c>
      <c r="J5778" s="23">
        <v>0</v>
      </c>
      <c r="K5778" s="23">
        <v>0</v>
      </c>
    </row>
    <row r="5779" spans="1:11" x14ac:dyDescent="0.25">
      <c r="A5779">
        <v>5778</v>
      </c>
      <c r="B5779" s="23">
        <v>1789.8428349999999</v>
      </c>
      <c r="C5779" s="23">
        <v>34.26</v>
      </c>
      <c r="D5779" s="23">
        <v>105.283</v>
      </c>
      <c r="E5779" s="23">
        <v>105.283</v>
      </c>
      <c r="F5779" s="23">
        <v>0</v>
      </c>
      <c r="G5779" s="23">
        <v>0</v>
      </c>
      <c r="H5779" s="23">
        <v>0</v>
      </c>
      <c r="I5779" s="23">
        <v>0</v>
      </c>
      <c r="J5779" s="23">
        <v>0</v>
      </c>
      <c r="K5779" s="23">
        <v>1684.559</v>
      </c>
    </row>
    <row r="5780" spans="1:11" x14ac:dyDescent="0.25">
      <c r="A5780">
        <v>5779</v>
      </c>
      <c r="B5780" s="23">
        <v>1557.9214649999999</v>
      </c>
      <c r="C5780" s="23">
        <v>0</v>
      </c>
      <c r="D5780" s="23">
        <v>0</v>
      </c>
      <c r="E5780" s="23">
        <v>0</v>
      </c>
      <c r="F5780" s="23">
        <v>0</v>
      </c>
      <c r="G5780" s="23">
        <v>0</v>
      </c>
      <c r="H5780" s="23">
        <v>0</v>
      </c>
      <c r="I5780" s="23">
        <v>0</v>
      </c>
      <c r="J5780" s="23">
        <v>0</v>
      </c>
      <c r="K5780" s="23">
        <v>1557.921</v>
      </c>
    </row>
    <row r="5781" spans="1:11" x14ac:dyDescent="0.25">
      <c r="A5781">
        <v>5780</v>
      </c>
      <c r="B5781" s="23">
        <v>1417.6641569999999</v>
      </c>
      <c r="C5781" s="23">
        <v>0</v>
      </c>
      <c r="D5781" s="23">
        <v>0</v>
      </c>
      <c r="E5781" s="23">
        <v>0</v>
      </c>
      <c r="F5781" s="23">
        <v>0</v>
      </c>
      <c r="G5781" s="23">
        <v>0</v>
      </c>
      <c r="H5781" s="23">
        <v>0</v>
      </c>
      <c r="I5781" s="23">
        <v>0</v>
      </c>
      <c r="J5781" s="23">
        <v>0</v>
      </c>
      <c r="K5781" s="23">
        <v>1417.664</v>
      </c>
    </row>
    <row r="5782" spans="1:11" x14ac:dyDescent="0.25">
      <c r="A5782">
        <v>5781</v>
      </c>
      <c r="B5782" s="23">
        <v>1755.5447650000001</v>
      </c>
      <c r="C5782" s="23">
        <v>0</v>
      </c>
      <c r="D5782" s="23">
        <v>0</v>
      </c>
      <c r="E5782" s="23">
        <v>0</v>
      </c>
      <c r="F5782" s="23">
        <v>0</v>
      </c>
      <c r="G5782" s="23">
        <v>0</v>
      </c>
      <c r="H5782" s="23">
        <v>0</v>
      </c>
      <c r="I5782" s="23">
        <v>1755.5450000000001</v>
      </c>
      <c r="J5782" s="23">
        <v>0</v>
      </c>
      <c r="K5782" s="23">
        <v>0</v>
      </c>
    </row>
    <row r="5783" spans="1:11" x14ac:dyDescent="0.25">
      <c r="A5783">
        <v>5782</v>
      </c>
      <c r="B5783" s="23">
        <v>1519.6658500000001</v>
      </c>
      <c r="C5783" s="23">
        <v>0</v>
      </c>
      <c r="D5783" s="23">
        <v>0</v>
      </c>
      <c r="E5783" s="23">
        <v>0</v>
      </c>
      <c r="F5783" s="23">
        <v>0</v>
      </c>
      <c r="G5783" s="23">
        <v>0</v>
      </c>
      <c r="H5783" s="23">
        <v>0</v>
      </c>
      <c r="I5783" s="23">
        <v>776.35699999999997</v>
      </c>
      <c r="J5783" s="23">
        <v>0</v>
      </c>
      <c r="K5783" s="23">
        <v>743.30899999999997</v>
      </c>
    </row>
    <row r="5784" spans="1:11" x14ac:dyDescent="0.25">
      <c r="A5784">
        <v>5783</v>
      </c>
      <c r="B5784" s="23">
        <v>1699.7625889999999</v>
      </c>
      <c r="C5784" s="23">
        <v>0</v>
      </c>
      <c r="D5784" s="23">
        <v>0</v>
      </c>
      <c r="E5784" s="23">
        <v>0</v>
      </c>
      <c r="F5784" s="23">
        <v>0</v>
      </c>
      <c r="G5784" s="23">
        <v>0</v>
      </c>
      <c r="H5784" s="23">
        <v>0</v>
      </c>
      <c r="I5784" s="23">
        <v>1699.7629999999999</v>
      </c>
      <c r="J5784" s="23">
        <v>0</v>
      </c>
      <c r="K5784" s="23">
        <v>0</v>
      </c>
    </row>
    <row r="5785" spans="1:11" x14ac:dyDescent="0.25">
      <c r="A5785">
        <v>5784</v>
      </c>
      <c r="B5785" s="23">
        <v>524.35245369999996</v>
      </c>
      <c r="C5785" s="23">
        <v>0</v>
      </c>
      <c r="D5785" s="23">
        <v>0</v>
      </c>
      <c r="E5785" s="23">
        <v>0</v>
      </c>
      <c r="F5785" s="23">
        <v>0</v>
      </c>
      <c r="G5785" s="23">
        <v>0</v>
      </c>
      <c r="H5785" s="23">
        <v>0</v>
      </c>
      <c r="I5785" s="23">
        <v>524.35199999999998</v>
      </c>
      <c r="J5785" s="23">
        <v>0</v>
      </c>
      <c r="K5785" s="23">
        <v>0</v>
      </c>
    </row>
    <row r="5786" spans="1:11" x14ac:dyDescent="0.25">
      <c r="A5786">
        <v>5785</v>
      </c>
      <c r="B5786" s="23">
        <v>475.74227180000003</v>
      </c>
      <c r="C5786" s="23">
        <v>0</v>
      </c>
      <c r="D5786" s="23">
        <v>0</v>
      </c>
      <c r="E5786" s="23">
        <v>0</v>
      </c>
      <c r="F5786" s="23">
        <v>0</v>
      </c>
      <c r="G5786" s="23">
        <v>0</v>
      </c>
      <c r="H5786" s="23">
        <v>0</v>
      </c>
      <c r="I5786" s="23">
        <v>475.74200000000002</v>
      </c>
      <c r="J5786" s="23">
        <v>0</v>
      </c>
      <c r="K5786" s="23">
        <v>0</v>
      </c>
    </row>
    <row r="5787" spans="1:11" x14ac:dyDescent="0.25">
      <c r="A5787">
        <v>5786</v>
      </c>
      <c r="B5787" s="23">
        <v>485.30493059999998</v>
      </c>
      <c r="C5787" s="23">
        <v>0</v>
      </c>
      <c r="D5787" s="23">
        <v>0</v>
      </c>
      <c r="E5787" s="23">
        <v>0</v>
      </c>
      <c r="F5787" s="23">
        <v>0</v>
      </c>
      <c r="G5787" s="23">
        <v>0</v>
      </c>
      <c r="H5787" s="23">
        <v>0</v>
      </c>
      <c r="I5787" s="23">
        <v>485.30500000000001</v>
      </c>
      <c r="J5787" s="23">
        <v>0</v>
      </c>
      <c r="K5787" s="23">
        <v>0</v>
      </c>
    </row>
    <row r="5788" spans="1:11" x14ac:dyDescent="0.25">
      <c r="A5788">
        <v>5787</v>
      </c>
      <c r="B5788" s="23">
        <v>448.64807209999998</v>
      </c>
      <c r="C5788" s="23">
        <v>0</v>
      </c>
      <c r="D5788" s="23">
        <v>0</v>
      </c>
      <c r="E5788" s="23">
        <v>0</v>
      </c>
      <c r="F5788" s="23">
        <v>0</v>
      </c>
      <c r="G5788" s="23">
        <v>0</v>
      </c>
      <c r="H5788" s="23">
        <v>0</v>
      </c>
      <c r="I5788" s="23">
        <v>448.64800000000002</v>
      </c>
      <c r="J5788" s="23">
        <v>0</v>
      </c>
      <c r="K5788" s="23">
        <v>0</v>
      </c>
    </row>
    <row r="5789" spans="1:11" x14ac:dyDescent="0.25">
      <c r="A5789">
        <v>5788</v>
      </c>
      <c r="B5789" s="23">
        <v>408.80366070000002</v>
      </c>
      <c r="C5789" s="23">
        <v>0</v>
      </c>
      <c r="D5789" s="23">
        <v>0</v>
      </c>
      <c r="E5789" s="23">
        <v>0</v>
      </c>
      <c r="F5789" s="23">
        <v>0</v>
      </c>
      <c r="G5789" s="23">
        <v>0</v>
      </c>
      <c r="H5789" s="23">
        <v>0</v>
      </c>
      <c r="I5789" s="23">
        <v>408.80399999999997</v>
      </c>
      <c r="J5789" s="23">
        <v>0</v>
      </c>
      <c r="K5789" s="23">
        <v>0</v>
      </c>
    </row>
    <row r="5790" spans="1:11" x14ac:dyDescent="0.25">
      <c r="A5790">
        <v>5789</v>
      </c>
      <c r="B5790" s="23">
        <v>496.46136569999999</v>
      </c>
      <c r="C5790" s="23">
        <v>0</v>
      </c>
      <c r="D5790" s="23">
        <v>0</v>
      </c>
      <c r="E5790" s="23">
        <v>0</v>
      </c>
      <c r="F5790" s="23">
        <v>0</v>
      </c>
      <c r="G5790" s="23">
        <v>0</v>
      </c>
      <c r="H5790" s="23">
        <v>0</v>
      </c>
      <c r="I5790" s="23">
        <v>0</v>
      </c>
      <c r="J5790" s="23">
        <v>0</v>
      </c>
      <c r="K5790" s="23">
        <v>496.46100000000001</v>
      </c>
    </row>
    <row r="5791" spans="1:11" x14ac:dyDescent="0.25">
      <c r="A5791">
        <v>5790</v>
      </c>
      <c r="B5791" s="23">
        <v>478.92982469999998</v>
      </c>
      <c r="C5791" s="23">
        <v>0</v>
      </c>
      <c r="D5791" s="23">
        <v>0</v>
      </c>
      <c r="E5791" s="23">
        <v>0</v>
      </c>
      <c r="F5791" s="23">
        <v>0</v>
      </c>
      <c r="G5791" s="23">
        <v>0</v>
      </c>
      <c r="H5791" s="23">
        <v>0</v>
      </c>
      <c r="I5791" s="23">
        <v>0</v>
      </c>
      <c r="J5791" s="23">
        <v>0</v>
      </c>
      <c r="K5791" s="23">
        <v>478.93</v>
      </c>
    </row>
    <row r="5792" spans="1:11" x14ac:dyDescent="0.25">
      <c r="A5792">
        <v>5791</v>
      </c>
      <c r="B5792" s="23">
        <v>400.8347784</v>
      </c>
      <c r="C5792" s="23">
        <v>64.89</v>
      </c>
      <c r="D5792" s="23">
        <v>227.83099999999999</v>
      </c>
      <c r="E5792" s="23">
        <v>227.83099999999999</v>
      </c>
      <c r="F5792" s="23">
        <v>0</v>
      </c>
      <c r="G5792" s="23">
        <v>0</v>
      </c>
      <c r="H5792" s="23">
        <v>0</v>
      </c>
      <c r="I5792" s="23">
        <v>0</v>
      </c>
      <c r="J5792" s="23">
        <v>0</v>
      </c>
      <c r="K5792" s="23">
        <v>173.00399999999999</v>
      </c>
    </row>
    <row r="5793" spans="1:11" x14ac:dyDescent="0.25">
      <c r="A5793">
        <v>5792</v>
      </c>
      <c r="B5793" s="23">
        <v>182.86791819999999</v>
      </c>
      <c r="C5793" s="23">
        <v>212.8</v>
      </c>
      <c r="D5793" s="23">
        <v>831.60500000000002</v>
      </c>
      <c r="E5793" s="23">
        <v>182.86799999999999</v>
      </c>
      <c r="F5793" s="23">
        <v>-648.73699999999997</v>
      </c>
      <c r="G5793" s="23">
        <v>0</v>
      </c>
      <c r="H5793" s="23">
        <v>0</v>
      </c>
      <c r="I5793" s="23">
        <v>0</v>
      </c>
      <c r="J5793" s="23">
        <v>0</v>
      </c>
      <c r="K5793" s="23">
        <v>0</v>
      </c>
    </row>
    <row r="5794" spans="1:11" x14ac:dyDescent="0.25">
      <c r="A5794">
        <v>5793</v>
      </c>
      <c r="B5794" s="23">
        <v>1356.1404010000001</v>
      </c>
      <c r="C5794" s="23">
        <v>390.21</v>
      </c>
      <c r="D5794" s="23">
        <v>1516.75</v>
      </c>
      <c r="E5794" s="23">
        <v>1356.1410000000001</v>
      </c>
      <c r="F5794" s="23">
        <v>-160.60900000000001</v>
      </c>
      <c r="G5794" s="23">
        <v>0</v>
      </c>
      <c r="H5794" s="23">
        <v>0</v>
      </c>
      <c r="I5794" s="23">
        <v>0</v>
      </c>
      <c r="J5794" s="23">
        <v>0</v>
      </c>
      <c r="K5794" s="23">
        <v>0</v>
      </c>
    </row>
    <row r="5795" spans="1:11" x14ac:dyDescent="0.25">
      <c r="A5795">
        <v>5794</v>
      </c>
      <c r="B5795" s="23">
        <v>1493.0687089999999</v>
      </c>
      <c r="C5795" s="23">
        <v>563.25</v>
      </c>
      <c r="D5795" s="23">
        <v>2140.422</v>
      </c>
      <c r="E5795" s="23">
        <v>1493.068</v>
      </c>
      <c r="F5795" s="23">
        <v>-647.35400000000004</v>
      </c>
      <c r="G5795" s="23">
        <v>0</v>
      </c>
      <c r="H5795" s="23">
        <v>0</v>
      </c>
      <c r="I5795" s="23">
        <v>0</v>
      </c>
      <c r="J5795" s="23">
        <v>0</v>
      </c>
      <c r="K5795" s="23">
        <v>0</v>
      </c>
    </row>
    <row r="5796" spans="1:11" x14ac:dyDescent="0.25">
      <c r="A5796">
        <v>5795</v>
      </c>
      <c r="B5796" s="23">
        <v>1601.831999</v>
      </c>
      <c r="C5796" s="23">
        <v>690.08</v>
      </c>
      <c r="D5796" s="23">
        <v>2572.357</v>
      </c>
      <c r="E5796" s="23">
        <v>1601.8320000000001</v>
      </c>
      <c r="F5796" s="23">
        <v>-970.52499999999998</v>
      </c>
      <c r="G5796" s="23">
        <v>0</v>
      </c>
      <c r="H5796" s="23">
        <v>0</v>
      </c>
      <c r="I5796" s="23">
        <v>0</v>
      </c>
      <c r="J5796" s="23">
        <v>0</v>
      </c>
      <c r="K5796" s="23">
        <v>0</v>
      </c>
    </row>
    <row r="5797" spans="1:11" x14ac:dyDescent="0.25">
      <c r="A5797">
        <v>5796</v>
      </c>
      <c r="B5797" s="23">
        <v>1394.363145</v>
      </c>
      <c r="C5797" s="23">
        <v>739.92</v>
      </c>
      <c r="D5797" s="23">
        <v>2735.3939999999998</v>
      </c>
      <c r="E5797" s="23">
        <v>1394.3630000000001</v>
      </c>
      <c r="F5797" s="23">
        <v>-1341.0309999999999</v>
      </c>
      <c r="G5797" s="23">
        <v>0</v>
      </c>
      <c r="H5797" s="23">
        <v>0</v>
      </c>
      <c r="I5797" s="23">
        <v>0</v>
      </c>
      <c r="J5797" s="23">
        <v>0</v>
      </c>
      <c r="K5797" s="23">
        <v>0</v>
      </c>
    </row>
    <row r="5798" spans="1:11" x14ac:dyDescent="0.25">
      <c r="A5798">
        <v>5797</v>
      </c>
      <c r="B5798" s="23">
        <v>1717.300107</v>
      </c>
      <c r="C5798" s="23">
        <v>726.27</v>
      </c>
      <c r="D5798" s="23">
        <v>2693.9279999999999</v>
      </c>
      <c r="E5798" s="23">
        <v>1717.3</v>
      </c>
      <c r="F5798" s="23">
        <v>-976.62800000000004</v>
      </c>
      <c r="G5798" s="23">
        <v>0</v>
      </c>
      <c r="H5798" s="23">
        <v>0</v>
      </c>
      <c r="I5798" s="23">
        <v>0</v>
      </c>
      <c r="J5798" s="23">
        <v>0</v>
      </c>
      <c r="K5798" s="23">
        <v>0</v>
      </c>
    </row>
    <row r="5799" spans="1:11" x14ac:dyDescent="0.25">
      <c r="A5799">
        <v>5798</v>
      </c>
      <c r="B5799" s="23">
        <v>1250.382376</v>
      </c>
      <c r="C5799" s="23">
        <v>747.47</v>
      </c>
      <c r="D5799" s="23">
        <v>2788.875</v>
      </c>
      <c r="E5799" s="23">
        <v>1250.3820000000001</v>
      </c>
      <c r="F5799" s="23">
        <v>-1538.4929999999999</v>
      </c>
      <c r="G5799" s="23">
        <v>0</v>
      </c>
      <c r="H5799" s="23">
        <v>0</v>
      </c>
      <c r="I5799" s="23">
        <v>0</v>
      </c>
      <c r="J5799" s="23">
        <v>0</v>
      </c>
      <c r="K5799" s="23">
        <v>0</v>
      </c>
    </row>
    <row r="5800" spans="1:11" x14ac:dyDescent="0.25">
      <c r="A5800">
        <v>5799</v>
      </c>
      <c r="B5800" s="23">
        <v>1121.1221250000001</v>
      </c>
      <c r="C5800" s="23">
        <v>612.04</v>
      </c>
      <c r="D5800" s="23">
        <v>2331.1729999999998</v>
      </c>
      <c r="E5800" s="23">
        <v>1121.1220000000001</v>
      </c>
      <c r="F5800" s="23">
        <v>-1008.122</v>
      </c>
      <c r="G5800" s="23">
        <v>0</v>
      </c>
      <c r="H5800" s="23">
        <v>201.929</v>
      </c>
      <c r="I5800" s="23">
        <v>0</v>
      </c>
      <c r="J5800" s="23">
        <v>0</v>
      </c>
      <c r="K5800" s="23">
        <v>0</v>
      </c>
    </row>
    <row r="5801" spans="1:11" x14ac:dyDescent="0.25">
      <c r="A5801">
        <v>5800</v>
      </c>
      <c r="B5801" s="23">
        <v>1607.779773</v>
      </c>
      <c r="C5801" s="23">
        <v>257.02999999999997</v>
      </c>
      <c r="D5801" s="23">
        <v>993.38099999999997</v>
      </c>
      <c r="E5801" s="23">
        <v>993.38099999999997</v>
      </c>
      <c r="F5801" s="23">
        <v>0</v>
      </c>
      <c r="G5801" s="23">
        <v>0</v>
      </c>
      <c r="H5801" s="23">
        <v>0</v>
      </c>
      <c r="I5801" s="23">
        <v>614.399</v>
      </c>
      <c r="J5801" s="23">
        <v>0</v>
      </c>
      <c r="K5801" s="23">
        <v>0</v>
      </c>
    </row>
    <row r="5802" spans="1:11" x14ac:dyDescent="0.25">
      <c r="A5802">
        <v>5801</v>
      </c>
      <c r="B5802" s="23">
        <v>1448.203902</v>
      </c>
      <c r="C5802" s="23">
        <v>70.27</v>
      </c>
      <c r="D5802" s="23">
        <v>251.91300000000001</v>
      </c>
      <c r="E5802" s="23">
        <v>251.91300000000001</v>
      </c>
      <c r="F5802" s="23">
        <v>0</v>
      </c>
      <c r="G5802" s="23">
        <v>0</v>
      </c>
      <c r="H5802" s="23">
        <v>0</v>
      </c>
      <c r="I5802" s="23">
        <v>1196.29</v>
      </c>
      <c r="J5802" s="23">
        <v>0</v>
      </c>
      <c r="K5802" s="23">
        <v>0</v>
      </c>
    </row>
    <row r="5803" spans="1:11" x14ac:dyDescent="0.25">
      <c r="A5803">
        <v>5802</v>
      </c>
      <c r="B5803" s="23">
        <v>1364.7796659999999</v>
      </c>
      <c r="C5803" s="23">
        <v>18.61</v>
      </c>
      <c r="D5803" s="23">
        <v>45.5</v>
      </c>
      <c r="E5803" s="23">
        <v>45.5</v>
      </c>
      <c r="F5803" s="23">
        <v>0</v>
      </c>
      <c r="G5803" s="23">
        <v>0</v>
      </c>
      <c r="H5803" s="23">
        <v>0</v>
      </c>
      <c r="I5803" s="23">
        <v>0</v>
      </c>
      <c r="J5803" s="23">
        <v>0</v>
      </c>
      <c r="K5803" s="23">
        <v>1319.28</v>
      </c>
    </row>
    <row r="5804" spans="1:11" x14ac:dyDescent="0.25">
      <c r="A5804">
        <v>5803</v>
      </c>
      <c r="B5804" s="23">
        <v>1446.5204759999999</v>
      </c>
      <c r="C5804" s="23">
        <v>0</v>
      </c>
      <c r="D5804" s="23">
        <v>0</v>
      </c>
      <c r="E5804" s="23">
        <v>0</v>
      </c>
      <c r="F5804" s="23">
        <v>0</v>
      </c>
      <c r="G5804" s="23">
        <v>0</v>
      </c>
      <c r="H5804" s="23">
        <v>0</v>
      </c>
      <c r="I5804" s="23">
        <v>0</v>
      </c>
      <c r="J5804" s="23">
        <v>0</v>
      </c>
      <c r="K5804" s="23">
        <v>1446.52</v>
      </c>
    </row>
    <row r="5805" spans="1:11" x14ac:dyDescent="0.25">
      <c r="A5805">
        <v>5804</v>
      </c>
      <c r="B5805" s="23">
        <v>1027.985813</v>
      </c>
      <c r="C5805" s="23">
        <v>0</v>
      </c>
      <c r="D5805" s="23">
        <v>0</v>
      </c>
      <c r="E5805" s="23">
        <v>0</v>
      </c>
      <c r="F5805" s="23">
        <v>0</v>
      </c>
      <c r="G5805" s="23">
        <v>0</v>
      </c>
      <c r="H5805" s="23">
        <v>0</v>
      </c>
      <c r="I5805" s="23">
        <v>0</v>
      </c>
      <c r="J5805" s="23">
        <v>0</v>
      </c>
      <c r="K5805" s="23">
        <v>1027.9860000000001</v>
      </c>
    </row>
    <row r="5806" spans="1:11" x14ac:dyDescent="0.25">
      <c r="A5806">
        <v>5805</v>
      </c>
      <c r="B5806" s="23">
        <v>1208.082553</v>
      </c>
      <c r="C5806" s="23">
        <v>0</v>
      </c>
      <c r="D5806" s="23">
        <v>0</v>
      </c>
      <c r="E5806" s="23">
        <v>0</v>
      </c>
      <c r="F5806" s="23">
        <v>0</v>
      </c>
      <c r="G5806" s="23">
        <v>0</v>
      </c>
      <c r="H5806" s="23">
        <v>0</v>
      </c>
      <c r="I5806" s="23">
        <v>1208.0830000000001</v>
      </c>
      <c r="J5806" s="23">
        <v>0</v>
      </c>
      <c r="K5806" s="23">
        <v>0</v>
      </c>
    </row>
    <row r="5807" spans="1:11" x14ac:dyDescent="0.25">
      <c r="A5807">
        <v>5806</v>
      </c>
      <c r="B5807" s="23">
        <v>1391.366845</v>
      </c>
      <c r="C5807" s="23">
        <v>0</v>
      </c>
      <c r="D5807" s="23">
        <v>0</v>
      </c>
      <c r="E5807" s="23">
        <v>0</v>
      </c>
      <c r="F5807" s="23">
        <v>0</v>
      </c>
      <c r="G5807" s="23">
        <v>0</v>
      </c>
      <c r="H5807" s="23">
        <v>0</v>
      </c>
      <c r="I5807" s="23">
        <v>1391.367</v>
      </c>
      <c r="J5807" s="23">
        <v>0</v>
      </c>
      <c r="K5807" s="23">
        <v>0</v>
      </c>
    </row>
    <row r="5808" spans="1:11" x14ac:dyDescent="0.25">
      <c r="A5808">
        <v>5807</v>
      </c>
      <c r="B5808" s="23">
        <v>960.25031409999997</v>
      </c>
      <c r="C5808" s="23">
        <v>0</v>
      </c>
      <c r="D5808" s="23">
        <v>0</v>
      </c>
      <c r="E5808" s="23">
        <v>0</v>
      </c>
      <c r="F5808" s="23">
        <v>0</v>
      </c>
      <c r="G5808" s="23">
        <v>0</v>
      </c>
      <c r="H5808" s="23">
        <v>0</v>
      </c>
      <c r="I5808" s="23">
        <v>960.25</v>
      </c>
      <c r="J5808" s="23">
        <v>0</v>
      </c>
      <c r="K5808" s="23">
        <v>0</v>
      </c>
    </row>
    <row r="5809" spans="1:11" x14ac:dyDescent="0.25">
      <c r="A5809">
        <v>5808</v>
      </c>
      <c r="B5809" s="23">
        <v>1379.4135220000001</v>
      </c>
      <c r="C5809" s="23">
        <v>0</v>
      </c>
      <c r="D5809" s="23">
        <v>0</v>
      </c>
      <c r="E5809" s="23">
        <v>0</v>
      </c>
      <c r="F5809" s="23">
        <v>0</v>
      </c>
      <c r="G5809" s="23">
        <v>0</v>
      </c>
      <c r="H5809" s="23">
        <v>0</v>
      </c>
      <c r="I5809" s="23">
        <v>1379.414</v>
      </c>
      <c r="J5809" s="23">
        <v>0</v>
      </c>
      <c r="K5809" s="23">
        <v>0</v>
      </c>
    </row>
    <row r="5810" spans="1:11" x14ac:dyDescent="0.25">
      <c r="A5810">
        <v>5809</v>
      </c>
      <c r="B5810" s="23">
        <v>1115.643519</v>
      </c>
      <c r="C5810" s="23">
        <v>0</v>
      </c>
      <c r="D5810" s="23">
        <v>0</v>
      </c>
      <c r="E5810" s="23">
        <v>0</v>
      </c>
      <c r="F5810" s="23">
        <v>0</v>
      </c>
      <c r="G5810" s="23">
        <v>0</v>
      </c>
      <c r="H5810" s="23">
        <v>0</v>
      </c>
      <c r="I5810" s="23">
        <v>1115.644</v>
      </c>
      <c r="J5810" s="23">
        <v>0</v>
      </c>
      <c r="K5810" s="23">
        <v>0</v>
      </c>
    </row>
    <row r="5811" spans="1:11" x14ac:dyDescent="0.25">
      <c r="A5811">
        <v>5810</v>
      </c>
      <c r="B5811" s="23">
        <v>1562.6978140000001</v>
      </c>
      <c r="C5811" s="23">
        <v>0</v>
      </c>
      <c r="D5811" s="23">
        <v>0</v>
      </c>
      <c r="E5811" s="23">
        <v>0</v>
      </c>
      <c r="F5811" s="23">
        <v>0</v>
      </c>
      <c r="G5811" s="23">
        <v>0</v>
      </c>
      <c r="H5811" s="23">
        <v>0</v>
      </c>
      <c r="I5811" s="23">
        <v>1562.6980000000001</v>
      </c>
      <c r="J5811" s="23">
        <v>0</v>
      </c>
      <c r="K5811" s="23">
        <v>0</v>
      </c>
    </row>
    <row r="5812" spans="1:11" x14ac:dyDescent="0.25">
      <c r="A5812">
        <v>5811</v>
      </c>
      <c r="B5812" s="23">
        <v>1405.7108330000001</v>
      </c>
      <c r="C5812" s="23">
        <v>0</v>
      </c>
      <c r="D5812" s="23">
        <v>0</v>
      </c>
      <c r="E5812" s="23">
        <v>0</v>
      </c>
      <c r="F5812" s="23">
        <v>0</v>
      </c>
      <c r="G5812" s="23">
        <v>0</v>
      </c>
      <c r="H5812" s="23">
        <v>0</v>
      </c>
      <c r="I5812" s="23">
        <v>1405.711</v>
      </c>
      <c r="J5812" s="23">
        <v>0</v>
      </c>
      <c r="K5812" s="23">
        <v>0</v>
      </c>
    </row>
    <row r="5813" spans="1:11" x14ac:dyDescent="0.25">
      <c r="A5813">
        <v>5812</v>
      </c>
      <c r="B5813" s="23">
        <v>1476.6338860000001</v>
      </c>
      <c r="C5813" s="23">
        <v>0</v>
      </c>
      <c r="D5813" s="23">
        <v>0</v>
      </c>
      <c r="E5813" s="23">
        <v>0</v>
      </c>
      <c r="F5813" s="23">
        <v>0</v>
      </c>
      <c r="G5813" s="23">
        <v>0</v>
      </c>
      <c r="H5813" s="23">
        <v>0</v>
      </c>
      <c r="I5813" s="23">
        <v>1476.634</v>
      </c>
      <c r="J5813" s="23">
        <v>0</v>
      </c>
      <c r="K5813" s="23">
        <v>0</v>
      </c>
    </row>
    <row r="5814" spans="1:11" x14ac:dyDescent="0.25">
      <c r="A5814">
        <v>5813</v>
      </c>
      <c r="B5814" s="23">
        <v>1177.8008</v>
      </c>
      <c r="C5814" s="23">
        <v>0</v>
      </c>
      <c r="D5814" s="23">
        <v>0</v>
      </c>
      <c r="E5814" s="23">
        <v>0</v>
      </c>
      <c r="F5814" s="23">
        <v>0</v>
      </c>
      <c r="G5814" s="23">
        <v>0</v>
      </c>
      <c r="H5814" s="23">
        <v>0</v>
      </c>
      <c r="I5814" s="23">
        <v>390.56</v>
      </c>
      <c r="J5814" s="23">
        <v>0</v>
      </c>
      <c r="K5814" s="23">
        <v>787.24</v>
      </c>
    </row>
    <row r="5815" spans="1:11" x14ac:dyDescent="0.25">
      <c r="A5815">
        <v>5814</v>
      </c>
      <c r="B5815" s="23">
        <v>1127.5968419999999</v>
      </c>
      <c r="C5815" s="23">
        <v>0</v>
      </c>
      <c r="D5815" s="23">
        <v>0</v>
      </c>
      <c r="E5815" s="23">
        <v>0</v>
      </c>
      <c r="F5815" s="23">
        <v>0</v>
      </c>
      <c r="G5815" s="23">
        <v>0</v>
      </c>
      <c r="H5815" s="23">
        <v>0</v>
      </c>
      <c r="I5815" s="23">
        <v>0</v>
      </c>
      <c r="J5815" s="23">
        <v>0</v>
      </c>
      <c r="K5815" s="23">
        <v>1127.597</v>
      </c>
    </row>
    <row r="5816" spans="1:11" x14ac:dyDescent="0.25">
      <c r="A5816">
        <v>5815</v>
      </c>
      <c r="B5816" s="23">
        <v>1133.17506</v>
      </c>
      <c r="C5816" s="23">
        <v>82.89</v>
      </c>
      <c r="D5816" s="23">
        <v>289.94900000000001</v>
      </c>
      <c r="E5816" s="23">
        <v>289.94900000000001</v>
      </c>
      <c r="F5816" s="23">
        <v>0</v>
      </c>
      <c r="G5816" s="23">
        <v>0</v>
      </c>
      <c r="H5816" s="23">
        <v>0</v>
      </c>
      <c r="I5816" s="23">
        <v>0</v>
      </c>
      <c r="J5816" s="23">
        <v>0</v>
      </c>
      <c r="K5816" s="23">
        <v>843.226</v>
      </c>
    </row>
    <row r="5817" spans="1:11" x14ac:dyDescent="0.25">
      <c r="A5817">
        <v>5816</v>
      </c>
      <c r="B5817" s="23">
        <v>181.3020329</v>
      </c>
      <c r="C5817" s="23">
        <v>350.1</v>
      </c>
      <c r="D5817" s="23">
        <v>1367.47</v>
      </c>
      <c r="E5817" s="23">
        <v>181.30199999999999</v>
      </c>
      <c r="F5817" s="23">
        <v>-1186.1679999999999</v>
      </c>
      <c r="G5817" s="23">
        <v>0</v>
      </c>
      <c r="H5817" s="23">
        <v>0</v>
      </c>
      <c r="I5817" s="23">
        <v>0</v>
      </c>
      <c r="J5817" s="23">
        <v>0</v>
      </c>
      <c r="K5817" s="23">
        <v>0</v>
      </c>
    </row>
    <row r="5818" spans="1:11" x14ac:dyDescent="0.25">
      <c r="A5818">
        <v>5817</v>
      </c>
      <c r="B5818" s="23">
        <v>479.27547499999997</v>
      </c>
      <c r="C5818" s="23">
        <v>390.48</v>
      </c>
      <c r="D5818" s="23">
        <v>1513.7850000000001</v>
      </c>
      <c r="E5818" s="23">
        <v>479.27600000000001</v>
      </c>
      <c r="F5818" s="23">
        <v>-1034.509</v>
      </c>
      <c r="G5818" s="23">
        <v>0</v>
      </c>
      <c r="H5818" s="23">
        <v>0</v>
      </c>
      <c r="I5818" s="23">
        <v>0</v>
      </c>
      <c r="J5818" s="23">
        <v>0</v>
      </c>
      <c r="K5818" s="23">
        <v>0</v>
      </c>
    </row>
    <row r="5819" spans="1:11" x14ac:dyDescent="0.25">
      <c r="A5819">
        <v>5818</v>
      </c>
      <c r="B5819" s="23">
        <v>453.9145072</v>
      </c>
      <c r="C5819" s="23">
        <v>789.12</v>
      </c>
      <c r="D5819" s="23">
        <v>2980.8240000000001</v>
      </c>
      <c r="E5819" s="23">
        <v>453.91500000000002</v>
      </c>
      <c r="F5819" s="23">
        <v>-1684.559</v>
      </c>
      <c r="G5819" s="23">
        <v>0</v>
      </c>
      <c r="H5819" s="23">
        <v>842.35</v>
      </c>
      <c r="I5819" s="23">
        <v>0</v>
      </c>
      <c r="J5819" s="23">
        <v>0</v>
      </c>
      <c r="K5819" s="23">
        <v>0</v>
      </c>
    </row>
    <row r="5820" spans="1:11" x14ac:dyDescent="0.25">
      <c r="A5820">
        <v>5819</v>
      </c>
      <c r="B5820" s="23">
        <v>496.79506270000002</v>
      </c>
      <c r="C5820" s="23">
        <v>927.72</v>
      </c>
      <c r="D5820" s="23">
        <v>3410.2020000000002</v>
      </c>
      <c r="E5820" s="23">
        <v>496.79500000000002</v>
      </c>
      <c r="F5820" s="23">
        <v>-1684.559</v>
      </c>
      <c r="G5820" s="23">
        <v>0</v>
      </c>
      <c r="H5820" s="23">
        <v>1228.848</v>
      </c>
      <c r="I5820" s="23">
        <v>0</v>
      </c>
      <c r="J5820" s="23">
        <v>0</v>
      </c>
      <c r="K5820" s="23">
        <v>0</v>
      </c>
    </row>
    <row r="5821" spans="1:11" x14ac:dyDescent="0.25">
      <c r="A5821">
        <v>5820</v>
      </c>
      <c r="B5821" s="23">
        <v>414.37191719999998</v>
      </c>
      <c r="C5821" s="23">
        <v>997.29</v>
      </c>
      <c r="D5821" s="23">
        <v>3619.0639999999999</v>
      </c>
      <c r="E5821" s="23">
        <v>414.37200000000001</v>
      </c>
      <c r="F5821" s="23">
        <v>-1684.559</v>
      </c>
      <c r="G5821" s="23">
        <v>0</v>
      </c>
      <c r="H5821" s="23">
        <v>1520.133</v>
      </c>
      <c r="I5821" s="23">
        <v>0</v>
      </c>
      <c r="J5821" s="23">
        <v>0</v>
      </c>
      <c r="K5821" s="23">
        <v>0</v>
      </c>
    </row>
    <row r="5822" spans="1:11" x14ac:dyDescent="0.25">
      <c r="A5822">
        <v>5821</v>
      </c>
      <c r="B5822" s="23">
        <v>318.77322099999998</v>
      </c>
      <c r="C5822" s="23">
        <v>989.49</v>
      </c>
      <c r="D5822" s="23">
        <v>3599.4960000000001</v>
      </c>
      <c r="E5822" s="23">
        <v>318.77199999999999</v>
      </c>
      <c r="F5822" s="23">
        <v>-17.143999999999998</v>
      </c>
      <c r="G5822" s="23">
        <v>0</v>
      </c>
      <c r="H5822" s="23">
        <v>3263.58</v>
      </c>
      <c r="I5822" s="23">
        <v>0</v>
      </c>
      <c r="J5822" s="23">
        <v>0</v>
      </c>
      <c r="K5822" s="23">
        <v>0</v>
      </c>
    </row>
    <row r="5823" spans="1:11" x14ac:dyDescent="0.25">
      <c r="A5823">
        <v>5822</v>
      </c>
      <c r="B5823" s="23">
        <v>334.36035470000002</v>
      </c>
      <c r="C5823" s="23">
        <v>898.49</v>
      </c>
      <c r="D5823" s="23">
        <v>3320.53</v>
      </c>
      <c r="E5823" s="23">
        <v>334.36</v>
      </c>
      <c r="F5823" s="23">
        <v>0</v>
      </c>
      <c r="G5823" s="23">
        <v>0</v>
      </c>
      <c r="H5823" s="23">
        <v>2986.17</v>
      </c>
      <c r="I5823" s="23">
        <v>0</v>
      </c>
      <c r="J5823" s="23">
        <v>0</v>
      </c>
      <c r="K5823" s="23">
        <v>0</v>
      </c>
    </row>
    <row r="5824" spans="1:11" x14ac:dyDescent="0.25">
      <c r="A5824">
        <v>5823</v>
      </c>
      <c r="B5824" s="23">
        <v>406.44287930000002</v>
      </c>
      <c r="C5824" s="23">
        <v>746.79</v>
      </c>
      <c r="D5824" s="23">
        <v>2829.2510000000002</v>
      </c>
      <c r="E5824" s="23">
        <v>406.44299999999998</v>
      </c>
      <c r="F5824" s="23">
        <v>0</v>
      </c>
      <c r="G5824" s="23">
        <v>0</v>
      </c>
      <c r="H5824" s="23">
        <v>2422.808</v>
      </c>
      <c r="I5824" s="23">
        <v>0</v>
      </c>
      <c r="J5824" s="23">
        <v>0</v>
      </c>
      <c r="K5824" s="23">
        <v>0</v>
      </c>
    </row>
    <row r="5825" spans="1:11" x14ac:dyDescent="0.25">
      <c r="A5825">
        <v>5824</v>
      </c>
      <c r="B5825" s="23">
        <v>328.2073815</v>
      </c>
      <c r="C5825" s="23">
        <v>537.32000000000005</v>
      </c>
      <c r="D5825" s="23">
        <v>2101.261</v>
      </c>
      <c r="E5825" s="23">
        <v>328.20800000000003</v>
      </c>
      <c r="F5825" s="23">
        <v>0</v>
      </c>
      <c r="G5825" s="23">
        <v>0</v>
      </c>
      <c r="H5825" s="23">
        <v>1773.0530000000001</v>
      </c>
      <c r="I5825" s="23">
        <v>0</v>
      </c>
      <c r="J5825" s="23">
        <v>0</v>
      </c>
      <c r="K5825" s="23">
        <v>0</v>
      </c>
    </row>
    <row r="5826" spans="1:11" x14ac:dyDescent="0.25">
      <c r="A5826">
        <v>5825</v>
      </c>
      <c r="B5826" s="23">
        <v>412.00017860000003</v>
      </c>
      <c r="C5826" s="23">
        <v>295.89999999999998</v>
      </c>
      <c r="D5826" s="23">
        <v>1121.998</v>
      </c>
      <c r="E5826" s="23">
        <v>412</v>
      </c>
      <c r="F5826" s="23">
        <v>0</v>
      </c>
      <c r="G5826" s="23">
        <v>0</v>
      </c>
      <c r="H5826" s="23">
        <v>709.99800000000005</v>
      </c>
      <c r="I5826" s="23">
        <v>0</v>
      </c>
      <c r="J5826" s="23">
        <v>0</v>
      </c>
      <c r="K5826" s="23">
        <v>0</v>
      </c>
    </row>
    <row r="5827" spans="1:11" x14ac:dyDescent="0.25">
      <c r="A5827">
        <v>5826</v>
      </c>
      <c r="B5827" s="23">
        <v>284.01295649999997</v>
      </c>
      <c r="C5827" s="23">
        <v>69.31</v>
      </c>
      <c r="D5827" s="23">
        <v>184.78399999999999</v>
      </c>
      <c r="E5827" s="23">
        <v>184.78399999999999</v>
      </c>
      <c r="F5827" s="23">
        <v>0</v>
      </c>
      <c r="G5827" s="23">
        <v>0</v>
      </c>
      <c r="H5827" s="23">
        <v>0</v>
      </c>
      <c r="I5827" s="23">
        <v>0</v>
      </c>
      <c r="J5827" s="23">
        <v>0</v>
      </c>
      <c r="K5827" s="23">
        <v>99.228999999999999</v>
      </c>
    </row>
    <row r="5828" spans="1:11" x14ac:dyDescent="0.25">
      <c r="A5828">
        <v>5827</v>
      </c>
      <c r="B5828" s="23">
        <v>303.35442990000001</v>
      </c>
      <c r="C5828" s="23">
        <v>0</v>
      </c>
      <c r="D5828" s="23">
        <v>0</v>
      </c>
      <c r="E5828" s="23">
        <v>0</v>
      </c>
      <c r="F5828" s="23">
        <v>0</v>
      </c>
      <c r="G5828" s="23">
        <v>0</v>
      </c>
      <c r="H5828" s="23">
        <v>0</v>
      </c>
      <c r="I5828" s="23">
        <v>0</v>
      </c>
      <c r="J5828" s="23">
        <v>0</v>
      </c>
      <c r="K5828" s="23">
        <v>303.35399999999998</v>
      </c>
    </row>
    <row r="5829" spans="1:11" x14ac:dyDescent="0.25">
      <c r="A5829">
        <v>5828</v>
      </c>
      <c r="B5829" s="23">
        <v>260.58245040000003</v>
      </c>
      <c r="C5829" s="23">
        <v>0</v>
      </c>
      <c r="D5829" s="23">
        <v>0</v>
      </c>
      <c r="E5829" s="23">
        <v>0</v>
      </c>
      <c r="F5829" s="23">
        <v>0</v>
      </c>
      <c r="G5829" s="23">
        <v>0</v>
      </c>
      <c r="H5829" s="23">
        <v>0</v>
      </c>
      <c r="I5829" s="23">
        <v>0</v>
      </c>
      <c r="J5829" s="23">
        <v>0</v>
      </c>
      <c r="K5829" s="23">
        <v>260.58199999999999</v>
      </c>
    </row>
    <row r="5830" spans="1:11" x14ac:dyDescent="0.25">
      <c r="A5830">
        <v>5829</v>
      </c>
      <c r="B5830" s="23">
        <v>203.20649800000001</v>
      </c>
      <c r="C5830" s="23">
        <v>0</v>
      </c>
      <c r="D5830" s="23">
        <v>0</v>
      </c>
      <c r="E5830" s="23">
        <v>0</v>
      </c>
      <c r="F5830" s="23">
        <v>0</v>
      </c>
      <c r="G5830" s="23">
        <v>0</v>
      </c>
      <c r="H5830" s="23">
        <v>0</v>
      </c>
      <c r="I5830" s="23">
        <v>0</v>
      </c>
      <c r="J5830" s="23">
        <v>0</v>
      </c>
      <c r="K5830" s="23">
        <v>203.20599999999999</v>
      </c>
    </row>
    <row r="5831" spans="1:11" x14ac:dyDescent="0.25">
      <c r="A5831">
        <v>5830</v>
      </c>
      <c r="B5831" s="23">
        <v>329.91172619999998</v>
      </c>
      <c r="C5831" s="23">
        <v>0</v>
      </c>
      <c r="D5831" s="23">
        <v>0</v>
      </c>
      <c r="E5831" s="23">
        <v>0</v>
      </c>
      <c r="F5831" s="23">
        <v>0</v>
      </c>
      <c r="G5831" s="23">
        <v>0</v>
      </c>
      <c r="H5831" s="23">
        <v>0</v>
      </c>
      <c r="I5831" s="23">
        <v>0</v>
      </c>
      <c r="J5831" s="23">
        <v>0</v>
      </c>
      <c r="K5831" s="23">
        <v>329.91199999999998</v>
      </c>
    </row>
    <row r="5832" spans="1:11" x14ac:dyDescent="0.25">
      <c r="A5832">
        <v>5831</v>
      </c>
      <c r="B5832" s="23">
        <v>295.64553239999998</v>
      </c>
      <c r="C5832" s="23">
        <v>0</v>
      </c>
      <c r="D5832" s="23">
        <v>0</v>
      </c>
      <c r="E5832" s="23">
        <v>0</v>
      </c>
      <c r="F5832" s="23">
        <v>0</v>
      </c>
      <c r="G5832" s="23">
        <v>0</v>
      </c>
      <c r="H5832" s="23">
        <v>0</v>
      </c>
      <c r="I5832" s="23">
        <v>0</v>
      </c>
      <c r="J5832" s="23">
        <v>0</v>
      </c>
      <c r="K5832" s="23">
        <v>295.64600000000002</v>
      </c>
    </row>
    <row r="5833" spans="1:11" x14ac:dyDescent="0.25">
      <c r="A5833">
        <v>5832</v>
      </c>
      <c r="B5833" s="23">
        <v>301.22375</v>
      </c>
      <c r="C5833" s="23">
        <v>0</v>
      </c>
      <c r="D5833" s="23">
        <v>0</v>
      </c>
      <c r="E5833" s="23">
        <v>0</v>
      </c>
      <c r="F5833" s="23">
        <v>0</v>
      </c>
      <c r="G5833" s="23">
        <v>0</v>
      </c>
      <c r="H5833" s="23">
        <v>0</v>
      </c>
      <c r="I5833" s="23">
        <v>0</v>
      </c>
      <c r="J5833" s="23">
        <v>0</v>
      </c>
      <c r="K5833" s="23">
        <v>301.22399999999999</v>
      </c>
    </row>
    <row r="5834" spans="1:11" x14ac:dyDescent="0.25">
      <c r="A5834">
        <v>5833</v>
      </c>
      <c r="B5834" s="23">
        <v>332.03893579999999</v>
      </c>
      <c r="C5834" s="23">
        <v>0</v>
      </c>
      <c r="D5834" s="23">
        <v>0</v>
      </c>
      <c r="E5834" s="23">
        <v>0</v>
      </c>
      <c r="F5834" s="23">
        <v>0</v>
      </c>
      <c r="G5834" s="23">
        <v>0</v>
      </c>
      <c r="H5834" s="23">
        <v>0</v>
      </c>
      <c r="I5834" s="23">
        <v>0</v>
      </c>
      <c r="J5834" s="23">
        <v>0</v>
      </c>
      <c r="K5834" s="23">
        <v>332.03899999999999</v>
      </c>
    </row>
    <row r="5835" spans="1:11" x14ac:dyDescent="0.25">
      <c r="A5835">
        <v>5834</v>
      </c>
      <c r="B5835" s="23">
        <v>303.41488959999998</v>
      </c>
      <c r="C5835" s="23">
        <v>0</v>
      </c>
      <c r="D5835" s="23">
        <v>0</v>
      </c>
      <c r="E5835" s="23">
        <v>0</v>
      </c>
      <c r="F5835" s="23">
        <v>0</v>
      </c>
      <c r="G5835" s="23">
        <v>0</v>
      </c>
      <c r="H5835" s="23">
        <v>0</v>
      </c>
      <c r="I5835" s="23">
        <v>0</v>
      </c>
      <c r="J5835" s="23">
        <v>0</v>
      </c>
      <c r="K5835" s="23">
        <v>303.41500000000002</v>
      </c>
    </row>
    <row r="5836" spans="1:11" x14ac:dyDescent="0.25">
      <c r="A5836">
        <v>5835</v>
      </c>
      <c r="B5836" s="23">
        <v>303.41488959999998</v>
      </c>
      <c r="C5836" s="23">
        <v>0</v>
      </c>
      <c r="D5836" s="23">
        <v>0</v>
      </c>
      <c r="E5836" s="23">
        <v>0</v>
      </c>
      <c r="F5836" s="23">
        <v>0</v>
      </c>
      <c r="G5836" s="23">
        <v>0</v>
      </c>
      <c r="H5836" s="23">
        <v>0</v>
      </c>
      <c r="I5836" s="23">
        <v>0</v>
      </c>
      <c r="J5836" s="23">
        <v>0</v>
      </c>
      <c r="K5836" s="23">
        <v>303.41500000000002</v>
      </c>
    </row>
    <row r="5837" spans="1:11" x14ac:dyDescent="0.25">
      <c r="A5837">
        <v>5836</v>
      </c>
      <c r="B5837" s="23">
        <v>323.04280699999998</v>
      </c>
      <c r="C5837" s="23">
        <v>0</v>
      </c>
      <c r="D5837" s="23">
        <v>0</v>
      </c>
      <c r="E5837" s="23">
        <v>0</v>
      </c>
      <c r="F5837" s="23">
        <v>0</v>
      </c>
      <c r="G5837" s="23">
        <v>0</v>
      </c>
      <c r="H5837" s="23">
        <v>0</v>
      </c>
      <c r="I5837" s="23">
        <v>0</v>
      </c>
      <c r="J5837" s="23">
        <v>0</v>
      </c>
      <c r="K5837" s="23">
        <v>323.04300000000001</v>
      </c>
    </row>
    <row r="5838" spans="1:11" x14ac:dyDescent="0.25">
      <c r="A5838">
        <v>5837</v>
      </c>
      <c r="B5838" s="23">
        <v>232.26368909999999</v>
      </c>
      <c r="C5838" s="23">
        <v>0</v>
      </c>
      <c r="D5838" s="23">
        <v>0</v>
      </c>
      <c r="E5838" s="23">
        <v>0</v>
      </c>
      <c r="F5838" s="23">
        <v>0</v>
      </c>
      <c r="G5838" s="23">
        <v>0</v>
      </c>
      <c r="H5838" s="23">
        <v>0</v>
      </c>
      <c r="I5838" s="23">
        <v>0</v>
      </c>
      <c r="J5838" s="23">
        <v>0</v>
      </c>
      <c r="K5838" s="23">
        <v>232.26400000000001</v>
      </c>
    </row>
    <row r="5839" spans="1:11" x14ac:dyDescent="0.25">
      <c r="A5839">
        <v>5838</v>
      </c>
      <c r="B5839" s="23">
        <v>282.15131239999999</v>
      </c>
      <c r="C5839" s="23">
        <v>0</v>
      </c>
      <c r="D5839" s="23">
        <v>0</v>
      </c>
      <c r="E5839" s="23">
        <v>0</v>
      </c>
      <c r="F5839" s="23">
        <v>0</v>
      </c>
      <c r="G5839" s="23">
        <v>0</v>
      </c>
      <c r="H5839" s="23">
        <v>0</v>
      </c>
      <c r="I5839" s="23">
        <v>0</v>
      </c>
      <c r="J5839" s="23">
        <v>0</v>
      </c>
      <c r="K5839" s="23">
        <v>282.15100000000001</v>
      </c>
    </row>
    <row r="5840" spans="1:11" x14ac:dyDescent="0.25">
      <c r="A5840">
        <v>5839</v>
      </c>
      <c r="B5840" s="23">
        <v>262.52339499999999</v>
      </c>
      <c r="C5840" s="23">
        <v>62.41</v>
      </c>
      <c r="D5840" s="23">
        <v>218.06700000000001</v>
      </c>
      <c r="E5840" s="23">
        <v>218.06700000000001</v>
      </c>
      <c r="F5840" s="23">
        <v>0</v>
      </c>
      <c r="G5840" s="23">
        <v>0</v>
      </c>
      <c r="H5840" s="23">
        <v>0</v>
      </c>
      <c r="I5840" s="23">
        <v>0</v>
      </c>
      <c r="J5840" s="23">
        <v>0</v>
      </c>
      <c r="K5840" s="23">
        <v>44.456000000000003</v>
      </c>
    </row>
    <row r="5841" spans="1:11" x14ac:dyDescent="0.25">
      <c r="A5841">
        <v>5840</v>
      </c>
      <c r="B5841" s="23">
        <v>251.6319455</v>
      </c>
      <c r="C5841" s="23">
        <v>238.53</v>
      </c>
      <c r="D5841" s="23">
        <v>942.3900000000001</v>
      </c>
      <c r="E5841" s="23">
        <v>251.63200000000001</v>
      </c>
      <c r="F5841" s="23">
        <v>-690.75800000000004</v>
      </c>
      <c r="G5841" s="23">
        <v>0</v>
      </c>
      <c r="H5841" s="23">
        <v>0</v>
      </c>
      <c r="I5841" s="23">
        <v>0</v>
      </c>
      <c r="J5841" s="23">
        <v>0</v>
      </c>
      <c r="K5841" s="23">
        <v>0</v>
      </c>
    </row>
    <row r="5842" spans="1:11" x14ac:dyDescent="0.25">
      <c r="A5842">
        <v>5841</v>
      </c>
      <c r="B5842" s="23">
        <v>470.57523020000002</v>
      </c>
      <c r="C5842" s="23">
        <v>383.66</v>
      </c>
      <c r="D5842" s="23">
        <v>1508.3710000000001</v>
      </c>
      <c r="E5842" s="23">
        <v>470.57499999999999</v>
      </c>
      <c r="F5842" s="23">
        <v>-1037.796</v>
      </c>
      <c r="G5842" s="23">
        <v>0</v>
      </c>
      <c r="H5842" s="23">
        <v>0</v>
      </c>
      <c r="I5842" s="23">
        <v>0</v>
      </c>
      <c r="J5842" s="23">
        <v>0</v>
      </c>
      <c r="K5842" s="23">
        <v>0</v>
      </c>
    </row>
    <row r="5843" spans="1:11" x14ac:dyDescent="0.25">
      <c r="A5843">
        <v>5842</v>
      </c>
      <c r="B5843" s="23">
        <v>1198.9713340000001</v>
      </c>
      <c r="C5843" s="23">
        <v>453.8</v>
      </c>
      <c r="D5843" s="23">
        <v>1757.3610000000001</v>
      </c>
      <c r="E5843" s="23">
        <v>1198.972</v>
      </c>
      <c r="F5843" s="23">
        <v>-558.38900000000001</v>
      </c>
      <c r="G5843" s="23">
        <v>0</v>
      </c>
      <c r="H5843" s="23">
        <v>0</v>
      </c>
      <c r="I5843" s="23">
        <v>0</v>
      </c>
      <c r="J5843" s="23">
        <v>0</v>
      </c>
      <c r="K5843" s="23">
        <v>0</v>
      </c>
    </row>
    <row r="5844" spans="1:11" x14ac:dyDescent="0.25">
      <c r="A5844">
        <v>5843</v>
      </c>
      <c r="B5844" s="23">
        <v>1601.227099</v>
      </c>
      <c r="C5844" s="23">
        <v>624.73</v>
      </c>
      <c r="D5844" s="23">
        <v>2387.4850000000001</v>
      </c>
      <c r="E5844" s="23">
        <v>1601.2270000000001</v>
      </c>
      <c r="F5844" s="23">
        <v>-786.25800000000004</v>
      </c>
      <c r="G5844" s="23">
        <v>0</v>
      </c>
      <c r="H5844" s="23">
        <v>0</v>
      </c>
      <c r="I5844" s="23">
        <v>0</v>
      </c>
      <c r="J5844" s="23">
        <v>0</v>
      </c>
      <c r="K5844" s="23">
        <v>0</v>
      </c>
    </row>
    <row r="5845" spans="1:11" x14ac:dyDescent="0.25">
      <c r="A5845">
        <v>5844</v>
      </c>
      <c r="B5845" s="23">
        <v>1241.290964</v>
      </c>
      <c r="C5845" s="23">
        <v>706.99</v>
      </c>
      <c r="D5845" s="23">
        <v>2682.3519999999999</v>
      </c>
      <c r="E5845" s="23">
        <v>1241.2909999999999</v>
      </c>
      <c r="F5845" s="23">
        <v>-948.71799999999996</v>
      </c>
      <c r="G5845" s="23">
        <v>0</v>
      </c>
      <c r="H5845" s="23">
        <v>492.34300000000002</v>
      </c>
      <c r="I5845" s="23">
        <v>0</v>
      </c>
      <c r="J5845" s="23">
        <v>0</v>
      </c>
      <c r="K5845" s="23">
        <v>0</v>
      </c>
    </row>
    <row r="5846" spans="1:11" x14ac:dyDescent="0.25">
      <c r="A5846">
        <v>5845</v>
      </c>
      <c r="B5846" s="23">
        <v>1602.043907</v>
      </c>
      <c r="C5846" s="23">
        <v>762.51</v>
      </c>
      <c r="D5846" s="23">
        <v>2888.259</v>
      </c>
      <c r="E5846" s="23">
        <v>1602.0440000000001</v>
      </c>
      <c r="F5846" s="23">
        <v>0</v>
      </c>
      <c r="G5846" s="23">
        <v>0</v>
      </c>
      <c r="H5846" s="23">
        <v>1286.2149999999999</v>
      </c>
      <c r="I5846" s="23">
        <v>0</v>
      </c>
      <c r="J5846" s="23">
        <v>0</v>
      </c>
      <c r="K5846" s="23">
        <v>0</v>
      </c>
    </row>
    <row r="5847" spans="1:11" x14ac:dyDescent="0.25">
      <c r="A5847">
        <v>5846</v>
      </c>
      <c r="B5847" s="23">
        <v>1542.9505859999999</v>
      </c>
      <c r="C5847" s="23">
        <v>735.07</v>
      </c>
      <c r="D5847" s="23">
        <v>2801.1849999999999</v>
      </c>
      <c r="E5847" s="23">
        <v>1542.951</v>
      </c>
      <c r="F5847" s="23">
        <v>0</v>
      </c>
      <c r="G5847" s="23">
        <v>0</v>
      </c>
      <c r="H5847" s="23">
        <v>1258.2339999999999</v>
      </c>
      <c r="I5847" s="23">
        <v>0</v>
      </c>
      <c r="J5847" s="23">
        <v>0</v>
      </c>
      <c r="K5847" s="23">
        <v>0</v>
      </c>
    </row>
    <row r="5848" spans="1:11" x14ac:dyDescent="0.25">
      <c r="A5848">
        <v>5847</v>
      </c>
      <c r="B5848" s="23">
        <v>1640.667968</v>
      </c>
      <c r="C5848" s="23">
        <v>511.13</v>
      </c>
      <c r="D5848" s="23">
        <v>1979.473</v>
      </c>
      <c r="E5848" s="23">
        <v>1640.6679999999999</v>
      </c>
      <c r="F5848" s="23">
        <v>0</v>
      </c>
      <c r="G5848" s="23">
        <v>0</v>
      </c>
      <c r="H5848" s="23">
        <v>338.80500000000001</v>
      </c>
      <c r="I5848" s="23">
        <v>0</v>
      </c>
      <c r="J5848" s="23">
        <v>0</v>
      </c>
      <c r="K5848" s="23">
        <v>0</v>
      </c>
    </row>
    <row r="5849" spans="1:11" x14ac:dyDescent="0.25">
      <c r="A5849">
        <v>5848</v>
      </c>
      <c r="B5849" s="23">
        <v>1242.7375</v>
      </c>
      <c r="C5849" s="23">
        <v>449.53</v>
      </c>
      <c r="D5849" s="23">
        <v>1769.6089999999999</v>
      </c>
      <c r="E5849" s="23">
        <v>1242.7380000000001</v>
      </c>
      <c r="F5849" s="23">
        <v>0</v>
      </c>
      <c r="G5849" s="23">
        <v>0</v>
      </c>
      <c r="H5849" s="23">
        <v>526.87099999999998</v>
      </c>
      <c r="I5849" s="23">
        <v>0</v>
      </c>
      <c r="J5849" s="23">
        <v>0</v>
      </c>
      <c r="K5849" s="23">
        <v>0</v>
      </c>
    </row>
    <row r="5850" spans="1:11" x14ac:dyDescent="0.25">
      <c r="A5850">
        <v>5849</v>
      </c>
      <c r="B5850" s="23">
        <v>1329.287415</v>
      </c>
      <c r="C5850" s="23">
        <v>250.85</v>
      </c>
      <c r="D5850" s="23">
        <v>980.75599999999997</v>
      </c>
      <c r="E5850" s="23">
        <v>980.75599999999997</v>
      </c>
      <c r="F5850" s="23">
        <v>0</v>
      </c>
      <c r="G5850" s="23">
        <v>0</v>
      </c>
      <c r="H5850" s="23">
        <v>0</v>
      </c>
      <c r="I5850" s="23">
        <v>348.53199999999998</v>
      </c>
      <c r="J5850" s="23">
        <v>0</v>
      </c>
      <c r="K5850" s="23">
        <v>0</v>
      </c>
    </row>
    <row r="5851" spans="1:11" x14ac:dyDescent="0.25">
      <c r="A5851">
        <v>5850</v>
      </c>
      <c r="B5851" s="23">
        <v>1176.7038700000001</v>
      </c>
      <c r="C5851" s="23">
        <v>61.02</v>
      </c>
      <c r="D5851" s="23">
        <v>188.04400000000001</v>
      </c>
      <c r="E5851" s="23">
        <v>188.04400000000001</v>
      </c>
      <c r="F5851" s="23">
        <v>0</v>
      </c>
      <c r="G5851" s="23">
        <v>0</v>
      </c>
      <c r="H5851" s="23">
        <v>0</v>
      </c>
      <c r="I5851" s="23">
        <v>0</v>
      </c>
      <c r="J5851" s="23">
        <v>0</v>
      </c>
      <c r="K5851" s="23">
        <v>988.66</v>
      </c>
    </row>
    <row r="5852" spans="1:11" x14ac:dyDescent="0.25">
      <c r="A5852">
        <v>5851</v>
      </c>
      <c r="B5852" s="23">
        <v>1489.14249</v>
      </c>
      <c r="C5852" s="23">
        <v>0</v>
      </c>
      <c r="D5852" s="23">
        <v>0</v>
      </c>
      <c r="E5852" s="23">
        <v>0</v>
      </c>
      <c r="F5852" s="23">
        <v>0</v>
      </c>
      <c r="G5852" s="23">
        <v>0</v>
      </c>
      <c r="H5852" s="23">
        <v>0</v>
      </c>
      <c r="I5852" s="23">
        <v>0</v>
      </c>
      <c r="J5852" s="23">
        <v>0</v>
      </c>
      <c r="K5852" s="23">
        <v>1489.1420000000001</v>
      </c>
    </row>
    <row r="5853" spans="1:11" x14ac:dyDescent="0.25">
      <c r="A5853">
        <v>5852</v>
      </c>
      <c r="B5853" s="23">
        <v>1527.7062370000001</v>
      </c>
      <c r="C5853" s="23">
        <v>0</v>
      </c>
      <c r="D5853" s="23">
        <v>0</v>
      </c>
      <c r="E5853" s="23">
        <v>0</v>
      </c>
      <c r="F5853" s="23">
        <v>0</v>
      </c>
      <c r="G5853" s="23">
        <v>0</v>
      </c>
      <c r="H5853" s="23">
        <v>0</v>
      </c>
      <c r="I5853" s="23">
        <v>0</v>
      </c>
      <c r="J5853" s="23">
        <v>0</v>
      </c>
      <c r="K5853" s="23">
        <v>1527.7059999999999</v>
      </c>
    </row>
    <row r="5854" spans="1:11" x14ac:dyDescent="0.25">
      <c r="A5854">
        <v>5853</v>
      </c>
      <c r="B5854" s="23">
        <v>1849.113384</v>
      </c>
      <c r="C5854" s="23">
        <v>0</v>
      </c>
      <c r="D5854" s="23">
        <v>0</v>
      </c>
      <c r="E5854" s="23">
        <v>0</v>
      </c>
      <c r="F5854" s="23">
        <v>0</v>
      </c>
      <c r="G5854" s="23">
        <v>0</v>
      </c>
      <c r="H5854" s="23">
        <v>0</v>
      </c>
      <c r="I5854" s="23">
        <v>1849.1130000000001</v>
      </c>
      <c r="J5854" s="23">
        <v>0</v>
      </c>
      <c r="K5854" s="23">
        <v>0</v>
      </c>
    </row>
    <row r="5855" spans="1:11" x14ac:dyDescent="0.25">
      <c r="A5855">
        <v>5854</v>
      </c>
      <c r="B5855" s="23">
        <v>1687.1830649999999</v>
      </c>
      <c r="C5855" s="23">
        <v>0</v>
      </c>
      <c r="D5855" s="23">
        <v>0</v>
      </c>
      <c r="E5855" s="23">
        <v>0</v>
      </c>
      <c r="F5855" s="23">
        <v>0</v>
      </c>
      <c r="G5855" s="23">
        <v>0</v>
      </c>
      <c r="H5855" s="23">
        <v>0</v>
      </c>
      <c r="I5855" s="23">
        <v>1687.183</v>
      </c>
      <c r="J5855" s="23">
        <v>0</v>
      </c>
      <c r="K5855" s="23">
        <v>0</v>
      </c>
    </row>
    <row r="5856" spans="1:11" x14ac:dyDescent="0.25">
      <c r="A5856">
        <v>5855</v>
      </c>
      <c r="B5856" s="23">
        <v>1236.5587949999999</v>
      </c>
      <c r="C5856" s="23">
        <v>0</v>
      </c>
      <c r="D5856" s="23">
        <v>0</v>
      </c>
      <c r="E5856" s="23">
        <v>0</v>
      </c>
      <c r="F5856" s="23">
        <v>0</v>
      </c>
      <c r="G5856" s="23">
        <v>0</v>
      </c>
      <c r="H5856" s="23">
        <v>0</v>
      </c>
      <c r="I5856" s="23">
        <v>1236.559</v>
      </c>
      <c r="J5856" s="23">
        <v>0</v>
      </c>
      <c r="K5856" s="23">
        <v>0</v>
      </c>
    </row>
    <row r="5857" spans="1:11" x14ac:dyDescent="0.25">
      <c r="A5857">
        <v>5856</v>
      </c>
      <c r="B5857" s="23">
        <v>1050.9114099999999</v>
      </c>
      <c r="C5857" s="23">
        <v>0</v>
      </c>
      <c r="D5857" s="23">
        <v>0</v>
      </c>
      <c r="E5857" s="23">
        <v>0</v>
      </c>
      <c r="F5857" s="23">
        <v>0</v>
      </c>
      <c r="G5857" s="23">
        <v>0</v>
      </c>
      <c r="H5857" s="23">
        <v>0</v>
      </c>
      <c r="I5857" s="23">
        <v>1050.9110000000001</v>
      </c>
      <c r="J5857" s="23">
        <v>0</v>
      </c>
      <c r="K5857" s="23">
        <v>0</v>
      </c>
    </row>
    <row r="5858" spans="1:11" x14ac:dyDescent="0.25">
      <c r="A5858">
        <v>5857</v>
      </c>
      <c r="B5858" s="23">
        <v>1364.9580880000001</v>
      </c>
      <c r="C5858" s="23">
        <v>0</v>
      </c>
      <c r="D5858" s="23">
        <v>0</v>
      </c>
      <c r="E5858" s="23">
        <v>0</v>
      </c>
      <c r="F5858" s="23">
        <v>0</v>
      </c>
      <c r="G5858" s="23">
        <v>0</v>
      </c>
      <c r="H5858" s="23">
        <v>0</v>
      </c>
      <c r="I5858" s="23">
        <v>1364.9580000000001</v>
      </c>
      <c r="J5858" s="23">
        <v>0</v>
      </c>
      <c r="K5858" s="23">
        <v>0</v>
      </c>
    </row>
    <row r="5859" spans="1:11" x14ac:dyDescent="0.25">
      <c r="A5859">
        <v>5858</v>
      </c>
      <c r="B5859" s="23">
        <v>1355.1441299999999</v>
      </c>
      <c r="C5859" s="23">
        <v>0</v>
      </c>
      <c r="D5859" s="23">
        <v>0</v>
      </c>
      <c r="E5859" s="23">
        <v>0</v>
      </c>
      <c r="F5859" s="23">
        <v>0</v>
      </c>
      <c r="G5859" s="23">
        <v>0</v>
      </c>
      <c r="H5859" s="23">
        <v>0</v>
      </c>
      <c r="I5859" s="23">
        <v>1355.144</v>
      </c>
      <c r="J5859" s="23">
        <v>0</v>
      </c>
      <c r="K5859" s="23">
        <v>0</v>
      </c>
    </row>
    <row r="5860" spans="1:11" x14ac:dyDescent="0.25">
      <c r="A5860">
        <v>5859</v>
      </c>
      <c r="B5860" s="23">
        <v>1388.6751549999999</v>
      </c>
      <c r="C5860" s="23">
        <v>0</v>
      </c>
      <c r="D5860" s="23">
        <v>0</v>
      </c>
      <c r="E5860" s="23">
        <v>0</v>
      </c>
      <c r="F5860" s="23">
        <v>0</v>
      </c>
      <c r="G5860" s="23">
        <v>0</v>
      </c>
      <c r="H5860" s="23">
        <v>0</v>
      </c>
      <c r="I5860" s="23">
        <v>1388.675</v>
      </c>
      <c r="J5860" s="23">
        <v>0</v>
      </c>
      <c r="K5860" s="23">
        <v>0</v>
      </c>
    </row>
    <row r="5861" spans="1:11" x14ac:dyDescent="0.25">
      <c r="A5861">
        <v>5860</v>
      </c>
      <c r="B5861" s="23">
        <v>1544.0628340000001</v>
      </c>
      <c r="C5861" s="23">
        <v>0</v>
      </c>
      <c r="D5861" s="23">
        <v>0</v>
      </c>
      <c r="E5861" s="23">
        <v>0</v>
      </c>
      <c r="F5861" s="23">
        <v>0</v>
      </c>
      <c r="G5861" s="23">
        <v>0</v>
      </c>
      <c r="H5861" s="23">
        <v>0</v>
      </c>
      <c r="I5861" s="23">
        <v>1544.0630000000001</v>
      </c>
      <c r="J5861" s="23">
        <v>0</v>
      </c>
      <c r="K5861" s="23">
        <v>0</v>
      </c>
    </row>
    <row r="5862" spans="1:11" x14ac:dyDescent="0.25">
      <c r="A5862">
        <v>5861</v>
      </c>
      <c r="B5862" s="23">
        <v>1248.0084139999999</v>
      </c>
      <c r="C5862" s="23">
        <v>0</v>
      </c>
      <c r="D5862" s="23">
        <v>0</v>
      </c>
      <c r="E5862" s="23">
        <v>0</v>
      </c>
      <c r="F5862" s="23">
        <v>0</v>
      </c>
      <c r="G5862" s="23">
        <v>0</v>
      </c>
      <c r="H5862" s="23">
        <v>0</v>
      </c>
      <c r="I5862" s="23">
        <v>1248.008</v>
      </c>
      <c r="J5862" s="23">
        <v>0</v>
      </c>
      <c r="K5862" s="23">
        <v>0</v>
      </c>
    </row>
    <row r="5863" spans="1:11" x14ac:dyDescent="0.25">
      <c r="A5863">
        <v>5862</v>
      </c>
      <c r="B5863" s="23">
        <v>1493.357381</v>
      </c>
      <c r="C5863" s="23">
        <v>0</v>
      </c>
      <c r="D5863" s="23">
        <v>0</v>
      </c>
      <c r="E5863" s="23">
        <v>0</v>
      </c>
      <c r="F5863" s="23">
        <v>0</v>
      </c>
      <c r="G5863" s="23">
        <v>0</v>
      </c>
      <c r="H5863" s="23">
        <v>0</v>
      </c>
      <c r="I5863" s="23">
        <v>128.488</v>
      </c>
      <c r="J5863" s="23">
        <v>0</v>
      </c>
      <c r="K5863" s="23">
        <v>1364.8689999999999</v>
      </c>
    </row>
    <row r="5864" spans="1:11" x14ac:dyDescent="0.25">
      <c r="A5864">
        <v>5863</v>
      </c>
      <c r="B5864" s="23">
        <v>1527.7062370000001</v>
      </c>
      <c r="C5864" s="23">
        <v>108.62</v>
      </c>
      <c r="D5864" s="23">
        <v>346.23500000000001</v>
      </c>
      <c r="E5864" s="23">
        <v>346.23500000000001</v>
      </c>
      <c r="F5864" s="23">
        <v>0</v>
      </c>
      <c r="G5864" s="23">
        <v>0</v>
      </c>
      <c r="H5864" s="23">
        <v>0</v>
      </c>
      <c r="I5864" s="23">
        <v>0</v>
      </c>
      <c r="J5864" s="23">
        <v>0</v>
      </c>
      <c r="K5864" s="23">
        <v>1181.471</v>
      </c>
    </row>
    <row r="5865" spans="1:11" x14ac:dyDescent="0.25">
      <c r="A5865">
        <v>5864</v>
      </c>
      <c r="B5865" s="23">
        <v>1240.9648540000001</v>
      </c>
      <c r="C5865" s="23">
        <v>345.18</v>
      </c>
      <c r="D5865" s="23">
        <v>1367.3820000000001</v>
      </c>
      <c r="E5865" s="23">
        <v>1240.9649999999999</v>
      </c>
      <c r="F5865" s="23">
        <v>-126.417</v>
      </c>
      <c r="G5865" s="23">
        <v>0</v>
      </c>
      <c r="H5865" s="23">
        <v>0</v>
      </c>
      <c r="I5865" s="23">
        <v>0</v>
      </c>
      <c r="J5865" s="23">
        <v>0</v>
      </c>
      <c r="K5865" s="23">
        <v>0</v>
      </c>
    </row>
    <row r="5866" spans="1:11" x14ac:dyDescent="0.25">
      <c r="A5866">
        <v>5865</v>
      </c>
      <c r="B5866" s="23">
        <v>1314.0021750000001</v>
      </c>
      <c r="C5866" s="23">
        <v>463.38</v>
      </c>
      <c r="D5866" s="23">
        <v>1827.8989999999999</v>
      </c>
      <c r="E5866" s="23">
        <v>1314.002</v>
      </c>
      <c r="F5866" s="23">
        <v>-513.89700000000005</v>
      </c>
      <c r="G5866" s="23">
        <v>0</v>
      </c>
      <c r="H5866" s="23">
        <v>0</v>
      </c>
      <c r="I5866" s="23">
        <v>0</v>
      </c>
      <c r="J5866" s="23">
        <v>0</v>
      </c>
      <c r="K5866" s="23">
        <v>0</v>
      </c>
    </row>
    <row r="5867" spans="1:11" x14ac:dyDescent="0.25">
      <c r="A5867">
        <v>5866</v>
      </c>
      <c r="B5867" s="23">
        <v>1895.8186270000001</v>
      </c>
      <c r="C5867" s="23">
        <v>783.88</v>
      </c>
      <c r="D5867" s="23">
        <v>3067.1439999999998</v>
      </c>
      <c r="E5867" s="23">
        <v>1895.818</v>
      </c>
      <c r="F5867" s="23">
        <v>-1171.326</v>
      </c>
      <c r="G5867" s="23">
        <v>0</v>
      </c>
      <c r="H5867" s="23">
        <v>0</v>
      </c>
      <c r="I5867" s="23">
        <v>0</v>
      </c>
      <c r="J5867" s="23">
        <v>0</v>
      </c>
      <c r="K5867" s="23">
        <v>0</v>
      </c>
    </row>
    <row r="5868" spans="1:11" x14ac:dyDescent="0.25">
      <c r="A5868">
        <v>5867</v>
      </c>
      <c r="B5868" s="23">
        <v>1738.3935289999999</v>
      </c>
      <c r="C5868" s="23">
        <v>727.37</v>
      </c>
      <c r="D5868" s="23">
        <v>2780.558</v>
      </c>
      <c r="E5868" s="23">
        <v>1738.393</v>
      </c>
      <c r="F5868" s="23">
        <v>-1042.165</v>
      </c>
      <c r="G5868" s="23">
        <v>0</v>
      </c>
      <c r="H5868" s="23">
        <v>0</v>
      </c>
      <c r="I5868" s="23">
        <v>0</v>
      </c>
      <c r="J5868" s="23">
        <v>0</v>
      </c>
      <c r="K5868" s="23">
        <v>0</v>
      </c>
    </row>
    <row r="5869" spans="1:11" x14ac:dyDescent="0.25">
      <c r="A5869">
        <v>5868</v>
      </c>
      <c r="B5869" s="23">
        <v>1628.67347</v>
      </c>
      <c r="C5869" s="23">
        <v>832.62</v>
      </c>
      <c r="D5869" s="23">
        <v>3152.8910000000001</v>
      </c>
      <c r="E5869" s="23">
        <v>1628.674</v>
      </c>
      <c r="F5869" s="23">
        <v>-1524.2170000000001</v>
      </c>
      <c r="G5869" s="23">
        <v>0</v>
      </c>
      <c r="H5869" s="23">
        <v>0</v>
      </c>
      <c r="I5869" s="23">
        <v>0</v>
      </c>
      <c r="J5869" s="23">
        <v>0</v>
      </c>
      <c r="K5869" s="23">
        <v>0</v>
      </c>
    </row>
    <row r="5870" spans="1:11" x14ac:dyDescent="0.25">
      <c r="A5870">
        <v>5869</v>
      </c>
      <c r="B5870" s="23">
        <v>1331.8492670000001</v>
      </c>
      <c r="C5870" s="23">
        <v>981.99</v>
      </c>
      <c r="D5870" s="23">
        <v>3744.4940000000001</v>
      </c>
      <c r="E5870" s="23">
        <v>1331.85</v>
      </c>
      <c r="F5870" s="23">
        <v>-1684.559</v>
      </c>
      <c r="G5870" s="23">
        <v>0</v>
      </c>
      <c r="H5870" s="23">
        <v>728.08500000000004</v>
      </c>
      <c r="I5870" s="23">
        <v>0</v>
      </c>
      <c r="J5870" s="23">
        <v>0</v>
      </c>
      <c r="K5870" s="23">
        <v>0</v>
      </c>
    </row>
    <row r="5871" spans="1:11" x14ac:dyDescent="0.25">
      <c r="A5871">
        <v>5870</v>
      </c>
      <c r="B5871" s="23">
        <v>1502.9147459999999</v>
      </c>
      <c r="C5871" s="23">
        <v>879.52</v>
      </c>
      <c r="D5871" s="23">
        <v>3379.8690000000001</v>
      </c>
      <c r="E5871" s="23">
        <v>1502.915</v>
      </c>
      <c r="F5871" s="23">
        <v>-1228.9179999999999</v>
      </c>
      <c r="G5871" s="23">
        <v>0</v>
      </c>
      <c r="H5871" s="23">
        <v>648.03599999999994</v>
      </c>
      <c r="I5871" s="23">
        <v>0</v>
      </c>
      <c r="J5871" s="23">
        <v>0</v>
      </c>
      <c r="K5871" s="23">
        <v>0</v>
      </c>
    </row>
    <row r="5872" spans="1:11" x14ac:dyDescent="0.25">
      <c r="A5872">
        <v>5871</v>
      </c>
      <c r="B5872" s="23">
        <v>1067.9508960000001</v>
      </c>
      <c r="C5872" s="23">
        <v>727.61</v>
      </c>
      <c r="D5872" s="23">
        <v>2842.971</v>
      </c>
      <c r="E5872" s="23">
        <v>1067.951</v>
      </c>
      <c r="F5872" s="23">
        <v>0</v>
      </c>
      <c r="G5872" s="23">
        <v>0</v>
      </c>
      <c r="H5872" s="23">
        <v>1775.02</v>
      </c>
      <c r="I5872" s="23">
        <v>0</v>
      </c>
      <c r="J5872" s="23">
        <v>0</v>
      </c>
      <c r="K5872" s="23">
        <v>0</v>
      </c>
    </row>
    <row r="5873" spans="1:11" x14ac:dyDescent="0.25">
      <c r="A5873">
        <v>5872</v>
      </c>
      <c r="B5873" s="23">
        <v>1186.9604790000001</v>
      </c>
      <c r="C5873" s="23">
        <v>519.07000000000005</v>
      </c>
      <c r="D5873" s="23">
        <v>2068.9180000000001</v>
      </c>
      <c r="E5873" s="23">
        <v>1186.961</v>
      </c>
      <c r="F5873" s="23">
        <v>0</v>
      </c>
      <c r="G5873" s="23">
        <v>0</v>
      </c>
      <c r="H5873" s="23">
        <v>881.95699999999999</v>
      </c>
      <c r="I5873" s="23">
        <v>0</v>
      </c>
      <c r="J5873" s="23">
        <v>0</v>
      </c>
      <c r="K5873" s="23">
        <v>0</v>
      </c>
    </row>
    <row r="5874" spans="1:11" x14ac:dyDescent="0.25">
      <c r="A5874">
        <v>5873</v>
      </c>
      <c r="B5874" s="23">
        <v>1465.9979040000001</v>
      </c>
      <c r="C5874" s="23">
        <v>282.56</v>
      </c>
      <c r="D5874" s="23">
        <v>1087.7180000000001</v>
      </c>
      <c r="E5874" s="23">
        <v>1087.7180000000001</v>
      </c>
      <c r="F5874" s="23">
        <v>0</v>
      </c>
      <c r="G5874" s="23">
        <v>0</v>
      </c>
      <c r="H5874" s="23">
        <v>0</v>
      </c>
      <c r="I5874" s="23">
        <v>378.28</v>
      </c>
      <c r="J5874" s="23">
        <v>0</v>
      </c>
      <c r="K5874" s="23">
        <v>0</v>
      </c>
    </row>
    <row r="5875" spans="1:11" x14ac:dyDescent="0.25">
      <c r="A5875">
        <v>5874</v>
      </c>
      <c r="B5875" s="23">
        <v>1552.9577569999999</v>
      </c>
      <c r="C5875" s="23">
        <v>63.25</v>
      </c>
      <c r="D5875" s="23">
        <v>184.536</v>
      </c>
      <c r="E5875" s="23">
        <v>184.536</v>
      </c>
      <c r="F5875" s="23">
        <v>0</v>
      </c>
      <c r="G5875" s="23">
        <v>0</v>
      </c>
      <c r="H5875" s="23">
        <v>0</v>
      </c>
      <c r="I5875" s="23">
        <v>0</v>
      </c>
      <c r="J5875" s="23">
        <v>0</v>
      </c>
      <c r="K5875" s="23">
        <v>1368.421</v>
      </c>
    </row>
    <row r="5876" spans="1:11" x14ac:dyDescent="0.25">
      <c r="A5876">
        <v>5875</v>
      </c>
      <c r="B5876" s="23">
        <v>1503.1713400000001</v>
      </c>
      <c r="C5876" s="23">
        <v>0</v>
      </c>
      <c r="D5876" s="23">
        <v>0</v>
      </c>
      <c r="E5876" s="23">
        <v>0</v>
      </c>
      <c r="F5876" s="23">
        <v>0</v>
      </c>
      <c r="G5876" s="23">
        <v>0</v>
      </c>
      <c r="H5876" s="23">
        <v>0</v>
      </c>
      <c r="I5876" s="23">
        <v>0</v>
      </c>
      <c r="J5876" s="23">
        <v>0</v>
      </c>
      <c r="K5876" s="23">
        <v>1503.171</v>
      </c>
    </row>
    <row r="5877" spans="1:11" x14ac:dyDescent="0.25">
      <c r="A5877">
        <v>5876</v>
      </c>
      <c r="B5877" s="23">
        <v>1143.326188</v>
      </c>
      <c r="C5877" s="23">
        <v>0</v>
      </c>
      <c r="D5877" s="23">
        <v>0</v>
      </c>
      <c r="E5877" s="23">
        <v>0</v>
      </c>
      <c r="F5877" s="23">
        <v>0</v>
      </c>
      <c r="G5877" s="23">
        <v>0</v>
      </c>
      <c r="H5877" s="23">
        <v>0</v>
      </c>
      <c r="I5877" s="23">
        <v>0</v>
      </c>
      <c r="J5877" s="23">
        <v>0</v>
      </c>
      <c r="K5877" s="23">
        <v>1143.326</v>
      </c>
    </row>
    <row r="5878" spans="1:11" x14ac:dyDescent="0.25">
      <c r="A5878">
        <v>5877</v>
      </c>
      <c r="B5878" s="23">
        <v>1723.98541</v>
      </c>
      <c r="C5878" s="23">
        <v>0</v>
      </c>
      <c r="D5878" s="23">
        <v>0</v>
      </c>
      <c r="E5878" s="23">
        <v>0</v>
      </c>
      <c r="F5878" s="23">
        <v>0</v>
      </c>
      <c r="G5878" s="23">
        <v>0</v>
      </c>
      <c r="H5878" s="23">
        <v>0</v>
      </c>
      <c r="I5878" s="23">
        <v>1723.9849999999999</v>
      </c>
      <c r="J5878" s="23">
        <v>0</v>
      </c>
      <c r="K5878" s="23">
        <v>0</v>
      </c>
    </row>
    <row r="5879" spans="1:11" x14ac:dyDescent="0.25">
      <c r="A5879">
        <v>5878</v>
      </c>
      <c r="B5879" s="23">
        <v>1668.3729780000001</v>
      </c>
      <c r="C5879" s="23">
        <v>0</v>
      </c>
      <c r="D5879" s="23">
        <v>0</v>
      </c>
      <c r="E5879" s="23">
        <v>0</v>
      </c>
      <c r="F5879" s="23">
        <v>0</v>
      </c>
      <c r="G5879" s="23">
        <v>0</v>
      </c>
      <c r="H5879" s="23">
        <v>0</v>
      </c>
      <c r="I5879" s="23">
        <v>1668.373</v>
      </c>
      <c r="J5879" s="23">
        <v>0</v>
      </c>
      <c r="K5879" s="23">
        <v>0</v>
      </c>
    </row>
    <row r="5880" spans="1:11" x14ac:dyDescent="0.25">
      <c r="A5880">
        <v>5879</v>
      </c>
      <c r="B5880" s="23">
        <v>1373.136387</v>
      </c>
      <c r="C5880" s="23">
        <v>0</v>
      </c>
      <c r="D5880" s="23">
        <v>0</v>
      </c>
      <c r="E5880" s="23">
        <v>0</v>
      </c>
      <c r="F5880" s="23">
        <v>0</v>
      </c>
      <c r="G5880" s="23">
        <v>0</v>
      </c>
      <c r="H5880" s="23">
        <v>0</v>
      </c>
      <c r="I5880" s="23">
        <v>1373.136</v>
      </c>
      <c r="J5880" s="23">
        <v>0</v>
      </c>
      <c r="K5880" s="23">
        <v>0</v>
      </c>
    </row>
    <row r="5881" spans="1:11" x14ac:dyDescent="0.25">
      <c r="A5881">
        <v>5880</v>
      </c>
      <c r="B5881" s="23">
        <v>1233.287476</v>
      </c>
      <c r="C5881" s="23">
        <v>0</v>
      </c>
      <c r="D5881" s="23">
        <v>0</v>
      </c>
      <c r="E5881" s="23">
        <v>0</v>
      </c>
      <c r="F5881" s="23">
        <v>0</v>
      </c>
      <c r="G5881" s="23">
        <v>0</v>
      </c>
      <c r="H5881" s="23">
        <v>0</v>
      </c>
      <c r="I5881" s="23">
        <v>1233.287</v>
      </c>
      <c r="J5881" s="23">
        <v>0</v>
      </c>
      <c r="K5881" s="23">
        <v>0</v>
      </c>
    </row>
    <row r="5882" spans="1:11" x14ac:dyDescent="0.25">
      <c r="A5882">
        <v>5881</v>
      </c>
      <c r="B5882" s="23">
        <v>1690.454385</v>
      </c>
      <c r="C5882" s="23">
        <v>0</v>
      </c>
      <c r="D5882" s="23">
        <v>0</v>
      </c>
      <c r="E5882" s="23">
        <v>0</v>
      </c>
      <c r="F5882" s="23">
        <v>0</v>
      </c>
      <c r="G5882" s="23">
        <v>0</v>
      </c>
      <c r="H5882" s="23">
        <v>0</v>
      </c>
      <c r="I5882" s="23">
        <v>1690.454</v>
      </c>
      <c r="J5882" s="23">
        <v>0</v>
      </c>
      <c r="K5882" s="23">
        <v>0</v>
      </c>
    </row>
    <row r="5883" spans="1:11" x14ac:dyDescent="0.25">
      <c r="A5883">
        <v>5882</v>
      </c>
      <c r="B5883" s="23">
        <v>1819.6715079999999</v>
      </c>
      <c r="C5883" s="23">
        <v>0</v>
      </c>
      <c r="D5883" s="23">
        <v>0</v>
      </c>
      <c r="E5883" s="23">
        <v>0</v>
      </c>
      <c r="F5883" s="23">
        <v>0</v>
      </c>
      <c r="G5883" s="23">
        <v>0</v>
      </c>
      <c r="H5883" s="23">
        <v>0</v>
      </c>
      <c r="I5883" s="23">
        <v>1819.672</v>
      </c>
      <c r="J5883" s="23">
        <v>0</v>
      </c>
      <c r="K5883" s="23">
        <v>0</v>
      </c>
    </row>
    <row r="5884" spans="1:11" x14ac:dyDescent="0.25">
      <c r="A5884">
        <v>5883</v>
      </c>
      <c r="B5884" s="23">
        <v>1252.915393</v>
      </c>
      <c r="C5884" s="23">
        <v>0</v>
      </c>
      <c r="D5884" s="23">
        <v>0</v>
      </c>
      <c r="E5884" s="23">
        <v>0</v>
      </c>
      <c r="F5884" s="23">
        <v>0</v>
      </c>
      <c r="G5884" s="23">
        <v>0</v>
      </c>
      <c r="H5884" s="23">
        <v>0</v>
      </c>
      <c r="I5884" s="23">
        <v>1252.915</v>
      </c>
      <c r="J5884" s="23">
        <v>0</v>
      </c>
      <c r="K5884" s="23">
        <v>0</v>
      </c>
    </row>
    <row r="5885" spans="1:11" x14ac:dyDescent="0.25">
      <c r="A5885">
        <v>5884</v>
      </c>
      <c r="B5885" s="23">
        <v>1363.3224279999999</v>
      </c>
      <c r="C5885" s="23">
        <v>0</v>
      </c>
      <c r="D5885" s="23">
        <v>0</v>
      </c>
      <c r="E5885" s="23">
        <v>0</v>
      </c>
      <c r="F5885" s="23">
        <v>0</v>
      </c>
      <c r="G5885" s="23">
        <v>0</v>
      </c>
      <c r="H5885" s="23">
        <v>0</v>
      </c>
      <c r="I5885" s="23">
        <v>1363.3219999999999</v>
      </c>
      <c r="J5885" s="23">
        <v>0</v>
      </c>
      <c r="K5885" s="23">
        <v>0</v>
      </c>
    </row>
    <row r="5886" spans="1:11" x14ac:dyDescent="0.25">
      <c r="A5886">
        <v>5885</v>
      </c>
      <c r="B5886" s="23">
        <v>1499.0821900000001</v>
      </c>
      <c r="C5886" s="23">
        <v>0</v>
      </c>
      <c r="D5886" s="23">
        <v>0</v>
      </c>
      <c r="E5886" s="23">
        <v>0</v>
      </c>
      <c r="F5886" s="23">
        <v>0</v>
      </c>
      <c r="G5886" s="23">
        <v>0</v>
      </c>
      <c r="H5886" s="23">
        <v>0</v>
      </c>
      <c r="I5886" s="23">
        <v>1255.6400000000001</v>
      </c>
      <c r="J5886" s="23">
        <v>0</v>
      </c>
      <c r="K5886" s="23">
        <v>243.44200000000001</v>
      </c>
    </row>
    <row r="5887" spans="1:11" x14ac:dyDescent="0.25">
      <c r="A5887">
        <v>5886</v>
      </c>
      <c r="B5887" s="23">
        <v>1406.6674129999999</v>
      </c>
      <c r="C5887" s="23">
        <v>0</v>
      </c>
      <c r="D5887" s="23">
        <v>0</v>
      </c>
      <c r="E5887" s="23">
        <v>0</v>
      </c>
      <c r="F5887" s="23">
        <v>0</v>
      </c>
      <c r="G5887" s="23">
        <v>0</v>
      </c>
      <c r="H5887" s="23">
        <v>0</v>
      </c>
      <c r="I5887" s="23">
        <v>0</v>
      </c>
      <c r="J5887" s="23">
        <v>0</v>
      </c>
      <c r="K5887" s="23">
        <v>1406.6669999999999</v>
      </c>
    </row>
    <row r="5888" spans="1:11" x14ac:dyDescent="0.25">
      <c r="A5888">
        <v>5887</v>
      </c>
      <c r="B5888" s="23">
        <v>1239.012285</v>
      </c>
      <c r="C5888" s="23">
        <v>111.44</v>
      </c>
      <c r="D5888" s="23">
        <v>352.19099999999997</v>
      </c>
      <c r="E5888" s="23">
        <v>352.19099999999997</v>
      </c>
      <c r="F5888" s="23">
        <v>0</v>
      </c>
      <c r="G5888" s="23">
        <v>0</v>
      </c>
      <c r="H5888" s="23">
        <v>0</v>
      </c>
      <c r="I5888" s="23">
        <v>0</v>
      </c>
      <c r="J5888" s="23">
        <v>0</v>
      </c>
      <c r="K5888" s="23">
        <v>886.82100000000003</v>
      </c>
    </row>
    <row r="5889" spans="1:11" x14ac:dyDescent="0.25">
      <c r="A5889">
        <v>5888</v>
      </c>
      <c r="B5889" s="23">
        <v>1144.3566530000001</v>
      </c>
      <c r="C5889" s="23">
        <v>348.18</v>
      </c>
      <c r="D5889" s="23">
        <v>1376.84</v>
      </c>
      <c r="E5889" s="23">
        <v>1144.356</v>
      </c>
      <c r="F5889" s="23">
        <v>-232.48400000000001</v>
      </c>
      <c r="G5889" s="23">
        <v>0</v>
      </c>
      <c r="H5889" s="23">
        <v>0</v>
      </c>
      <c r="I5889" s="23">
        <v>0</v>
      </c>
      <c r="J5889" s="23">
        <v>0</v>
      </c>
      <c r="K5889" s="23">
        <v>0</v>
      </c>
    </row>
    <row r="5890" spans="1:11" x14ac:dyDescent="0.25">
      <c r="A5890">
        <v>5889</v>
      </c>
      <c r="B5890" s="23">
        <v>1160.505727</v>
      </c>
      <c r="C5890" s="23">
        <v>587.26</v>
      </c>
      <c r="D5890" s="23">
        <v>2339.0509999999999</v>
      </c>
      <c r="E5890" s="23">
        <v>1160.5060000000001</v>
      </c>
      <c r="F5890" s="23">
        <v>-1178.5450000000001</v>
      </c>
      <c r="G5890" s="23">
        <v>0</v>
      </c>
      <c r="H5890" s="23">
        <v>0</v>
      </c>
      <c r="I5890" s="23">
        <v>0</v>
      </c>
      <c r="J5890" s="23">
        <v>0</v>
      </c>
      <c r="K5890" s="23">
        <v>0</v>
      </c>
    </row>
    <row r="5891" spans="1:11" x14ac:dyDescent="0.25">
      <c r="A5891">
        <v>5890</v>
      </c>
      <c r="B5891" s="23">
        <v>1535.5758049999999</v>
      </c>
      <c r="C5891" s="23">
        <v>783.72</v>
      </c>
      <c r="D5891" s="23">
        <v>3041.703</v>
      </c>
      <c r="E5891" s="23">
        <v>1535.576</v>
      </c>
      <c r="F5891" s="23">
        <v>-1506.127</v>
      </c>
      <c r="G5891" s="23">
        <v>0</v>
      </c>
      <c r="H5891" s="23">
        <v>0</v>
      </c>
      <c r="I5891" s="23">
        <v>0</v>
      </c>
      <c r="J5891" s="23">
        <v>0</v>
      </c>
      <c r="K5891" s="23">
        <v>0</v>
      </c>
    </row>
    <row r="5892" spans="1:11" x14ac:dyDescent="0.25">
      <c r="A5892">
        <v>5891</v>
      </c>
      <c r="B5892" s="23">
        <v>1778.923133</v>
      </c>
      <c r="C5892" s="23">
        <v>921.05</v>
      </c>
      <c r="D5892" s="23">
        <v>3505.3870000000002</v>
      </c>
      <c r="E5892" s="23">
        <v>1778.924</v>
      </c>
      <c r="F5892" s="23">
        <v>-1684.559</v>
      </c>
      <c r="G5892" s="23">
        <v>0</v>
      </c>
      <c r="H5892" s="23">
        <v>41.904000000000003</v>
      </c>
      <c r="I5892" s="23">
        <v>0</v>
      </c>
      <c r="J5892" s="23">
        <v>0</v>
      </c>
      <c r="K5892" s="23">
        <v>0</v>
      </c>
    </row>
    <row r="5893" spans="1:11" x14ac:dyDescent="0.25">
      <c r="A5893">
        <v>5892</v>
      </c>
      <c r="B5893" s="23">
        <v>1434.311085</v>
      </c>
      <c r="C5893" s="23">
        <v>986.85</v>
      </c>
      <c r="D5893" s="23">
        <v>3714.13</v>
      </c>
      <c r="E5893" s="23">
        <v>1434.3119999999999</v>
      </c>
      <c r="F5893" s="23">
        <v>-1684.559</v>
      </c>
      <c r="G5893" s="23">
        <v>0</v>
      </c>
      <c r="H5893" s="23">
        <v>595.25900000000001</v>
      </c>
      <c r="I5893" s="23">
        <v>0</v>
      </c>
      <c r="J5893" s="23">
        <v>0</v>
      </c>
      <c r="K5893" s="23">
        <v>0</v>
      </c>
    </row>
    <row r="5894" spans="1:11" x14ac:dyDescent="0.25">
      <c r="A5894">
        <v>5893</v>
      </c>
      <c r="B5894" s="23">
        <v>1226.9441830000001</v>
      </c>
      <c r="C5894" s="23">
        <v>977.6</v>
      </c>
      <c r="D5894" s="23">
        <v>3679.0540000000001</v>
      </c>
      <c r="E5894" s="23">
        <v>1226.944</v>
      </c>
      <c r="F5894" s="23">
        <v>-1005.224</v>
      </c>
      <c r="G5894" s="23">
        <v>0</v>
      </c>
      <c r="H5894" s="23">
        <v>1446.886</v>
      </c>
      <c r="I5894" s="23">
        <v>0</v>
      </c>
      <c r="J5894" s="23">
        <v>0</v>
      </c>
      <c r="K5894" s="23">
        <v>0</v>
      </c>
    </row>
    <row r="5895" spans="1:11" x14ac:dyDescent="0.25">
      <c r="A5895">
        <v>5894</v>
      </c>
      <c r="B5895" s="23">
        <v>1067.3150330000001</v>
      </c>
      <c r="C5895" s="23">
        <v>893.36</v>
      </c>
      <c r="D5895" s="23">
        <v>3391.223</v>
      </c>
      <c r="E5895" s="23">
        <v>1067.3150000000001</v>
      </c>
      <c r="F5895" s="23">
        <v>0</v>
      </c>
      <c r="G5895" s="23">
        <v>0</v>
      </c>
      <c r="H5895" s="23">
        <v>2323.9079999999999</v>
      </c>
      <c r="I5895" s="23">
        <v>0</v>
      </c>
      <c r="J5895" s="23">
        <v>0</v>
      </c>
      <c r="K5895" s="23">
        <v>0</v>
      </c>
    </row>
    <row r="5896" spans="1:11" x14ac:dyDescent="0.25">
      <c r="A5896">
        <v>5895</v>
      </c>
      <c r="B5896" s="23">
        <v>1327.1211880000001</v>
      </c>
      <c r="C5896" s="23">
        <v>737.88</v>
      </c>
      <c r="D5896" s="23">
        <v>2855.3220000000001</v>
      </c>
      <c r="E5896" s="23">
        <v>1327.1210000000001</v>
      </c>
      <c r="F5896" s="23">
        <v>0</v>
      </c>
      <c r="G5896" s="23">
        <v>0</v>
      </c>
      <c r="H5896" s="23">
        <v>1528.201</v>
      </c>
      <c r="I5896" s="23">
        <v>0</v>
      </c>
      <c r="J5896" s="23">
        <v>0</v>
      </c>
      <c r="K5896" s="23">
        <v>0</v>
      </c>
    </row>
    <row r="5897" spans="1:11" x14ac:dyDescent="0.25">
      <c r="A5897">
        <v>5896</v>
      </c>
      <c r="B5897" s="23">
        <v>1593.7705350000001</v>
      </c>
      <c r="C5897" s="23">
        <v>528.92999999999995</v>
      </c>
      <c r="D5897" s="23">
        <v>2097.4279999999999</v>
      </c>
      <c r="E5897" s="23">
        <v>1593.771</v>
      </c>
      <c r="F5897" s="23">
        <v>0</v>
      </c>
      <c r="G5897" s="23">
        <v>0</v>
      </c>
      <c r="H5897" s="23">
        <v>503.65699999999998</v>
      </c>
      <c r="I5897" s="23">
        <v>0</v>
      </c>
      <c r="J5897" s="23">
        <v>0</v>
      </c>
      <c r="K5897" s="23">
        <v>0</v>
      </c>
    </row>
    <row r="5898" spans="1:11" x14ac:dyDescent="0.25">
      <c r="A5898">
        <v>5897</v>
      </c>
      <c r="B5898" s="23">
        <v>1265.7870129999999</v>
      </c>
      <c r="C5898" s="23">
        <v>191.95</v>
      </c>
      <c r="D5898" s="23">
        <v>743.73500000000001</v>
      </c>
      <c r="E5898" s="23">
        <v>743.73500000000001</v>
      </c>
      <c r="F5898" s="23">
        <v>0</v>
      </c>
      <c r="G5898" s="23">
        <v>0</v>
      </c>
      <c r="H5898" s="23">
        <v>0</v>
      </c>
      <c r="I5898" s="23">
        <v>106.502</v>
      </c>
      <c r="J5898" s="23">
        <v>0</v>
      </c>
      <c r="K5898" s="23">
        <v>415.55</v>
      </c>
    </row>
    <row r="5899" spans="1:11" x14ac:dyDescent="0.25">
      <c r="A5899">
        <v>5898</v>
      </c>
      <c r="B5899" s="23">
        <v>1411.078583</v>
      </c>
      <c r="C5899" s="23">
        <v>44.37</v>
      </c>
      <c r="D5899" s="23">
        <v>139.197</v>
      </c>
      <c r="E5899" s="23">
        <v>139.197</v>
      </c>
      <c r="F5899" s="23">
        <v>0</v>
      </c>
      <c r="G5899" s="23">
        <v>0</v>
      </c>
      <c r="H5899" s="23">
        <v>0</v>
      </c>
      <c r="I5899" s="23">
        <v>0</v>
      </c>
      <c r="J5899" s="23">
        <v>0</v>
      </c>
      <c r="K5899" s="23">
        <v>1271.8820000000001</v>
      </c>
    </row>
    <row r="5900" spans="1:11" x14ac:dyDescent="0.25">
      <c r="A5900">
        <v>5899</v>
      </c>
      <c r="B5900" s="23">
        <v>906.12076160000004</v>
      </c>
      <c r="C5900" s="23">
        <v>0</v>
      </c>
      <c r="D5900" s="23">
        <v>0</v>
      </c>
      <c r="E5900" s="23">
        <v>0</v>
      </c>
      <c r="F5900" s="23">
        <v>0</v>
      </c>
      <c r="G5900" s="23">
        <v>0</v>
      </c>
      <c r="H5900" s="23">
        <v>0</v>
      </c>
      <c r="I5900" s="23">
        <v>0</v>
      </c>
      <c r="J5900" s="23">
        <v>0</v>
      </c>
      <c r="K5900" s="23">
        <v>906.12099999999998</v>
      </c>
    </row>
    <row r="5901" spans="1:11" x14ac:dyDescent="0.25">
      <c r="A5901">
        <v>5900</v>
      </c>
      <c r="B5901" s="23">
        <v>1138.419208</v>
      </c>
      <c r="C5901" s="23">
        <v>0</v>
      </c>
      <c r="D5901" s="23">
        <v>0</v>
      </c>
      <c r="E5901" s="23">
        <v>0</v>
      </c>
      <c r="F5901" s="23">
        <v>0</v>
      </c>
      <c r="G5901" s="23">
        <v>0</v>
      </c>
      <c r="H5901" s="23">
        <v>0</v>
      </c>
      <c r="I5901" s="23">
        <v>0</v>
      </c>
      <c r="J5901" s="23">
        <v>0</v>
      </c>
      <c r="K5901" s="23">
        <v>1138.4190000000001</v>
      </c>
    </row>
    <row r="5902" spans="1:11" x14ac:dyDescent="0.25">
      <c r="A5902">
        <v>5901</v>
      </c>
      <c r="B5902" s="23">
        <v>1154.7758060000001</v>
      </c>
      <c r="C5902" s="23">
        <v>0</v>
      </c>
      <c r="D5902" s="23">
        <v>0</v>
      </c>
      <c r="E5902" s="23">
        <v>0</v>
      </c>
      <c r="F5902" s="23">
        <v>0</v>
      </c>
      <c r="G5902" s="23">
        <v>0</v>
      </c>
      <c r="H5902" s="23">
        <v>0</v>
      </c>
      <c r="I5902" s="23">
        <v>0</v>
      </c>
      <c r="J5902" s="23">
        <v>0</v>
      </c>
      <c r="K5902" s="23">
        <v>1154.7760000000001</v>
      </c>
    </row>
    <row r="5903" spans="1:11" x14ac:dyDescent="0.25">
      <c r="A5903">
        <v>5902</v>
      </c>
      <c r="B5903" s="23">
        <v>1472.911634</v>
      </c>
      <c r="C5903" s="23">
        <v>0</v>
      </c>
      <c r="D5903" s="23">
        <v>0</v>
      </c>
      <c r="E5903" s="23">
        <v>0</v>
      </c>
      <c r="F5903" s="23">
        <v>0</v>
      </c>
      <c r="G5903" s="23">
        <v>0</v>
      </c>
      <c r="H5903" s="23">
        <v>0</v>
      </c>
      <c r="I5903" s="23">
        <v>0</v>
      </c>
      <c r="J5903" s="23">
        <v>0</v>
      </c>
      <c r="K5903" s="23">
        <v>1472.912</v>
      </c>
    </row>
    <row r="5904" spans="1:11" x14ac:dyDescent="0.25">
      <c r="A5904">
        <v>5903</v>
      </c>
      <c r="B5904" s="23">
        <v>1362.5045990000001</v>
      </c>
      <c r="C5904" s="23">
        <v>0</v>
      </c>
      <c r="D5904" s="23">
        <v>0</v>
      </c>
      <c r="E5904" s="23">
        <v>0</v>
      </c>
      <c r="F5904" s="23">
        <v>0</v>
      </c>
      <c r="G5904" s="23">
        <v>0</v>
      </c>
      <c r="H5904" s="23">
        <v>0</v>
      </c>
      <c r="I5904" s="23">
        <v>1362.5050000000001</v>
      </c>
      <c r="J5904" s="23">
        <v>0</v>
      </c>
      <c r="K5904" s="23">
        <v>0</v>
      </c>
    </row>
    <row r="5905" spans="1:11" x14ac:dyDescent="0.25">
      <c r="A5905">
        <v>5904</v>
      </c>
      <c r="B5905" s="23">
        <v>141.4845712</v>
      </c>
      <c r="C5905" s="23">
        <v>0</v>
      </c>
      <c r="D5905" s="23">
        <v>0</v>
      </c>
      <c r="E5905" s="23">
        <v>0</v>
      </c>
      <c r="F5905" s="23">
        <v>0</v>
      </c>
      <c r="G5905" s="23">
        <v>0</v>
      </c>
      <c r="H5905" s="23">
        <v>0</v>
      </c>
      <c r="I5905" s="23">
        <v>141.48500000000001</v>
      </c>
      <c r="J5905" s="23">
        <v>0</v>
      </c>
      <c r="K5905" s="23">
        <v>0</v>
      </c>
    </row>
    <row r="5906" spans="1:11" x14ac:dyDescent="0.25">
      <c r="A5906">
        <v>5905</v>
      </c>
      <c r="B5906" s="23">
        <v>99.775246719999998</v>
      </c>
      <c r="C5906" s="23">
        <v>0</v>
      </c>
      <c r="D5906" s="23">
        <v>0</v>
      </c>
      <c r="E5906" s="23">
        <v>0</v>
      </c>
      <c r="F5906" s="23">
        <v>0</v>
      </c>
      <c r="G5906" s="23">
        <v>0</v>
      </c>
      <c r="H5906" s="23">
        <v>0</v>
      </c>
      <c r="I5906" s="23">
        <v>99.775000000000006</v>
      </c>
      <c r="J5906" s="23">
        <v>0</v>
      </c>
      <c r="K5906" s="23">
        <v>0</v>
      </c>
    </row>
    <row r="5907" spans="1:11" x14ac:dyDescent="0.25">
      <c r="A5907">
        <v>5906</v>
      </c>
      <c r="B5907" s="23">
        <v>96.503927149999996</v>
      </c>
      <c r="C5907" s="23">
        <v>0</v>
      </c>
      <c r="D5907" s="23">
        <v>0</v>
      </c>
      <c r="E5907" s="23">
        <v>0</v>
      </c>
      <c r="F5907" s="23">
        <v>0</v>
      </c>
      <c r="G5907" s="23">
        <v>0</v>
      </c>
      <c r="H5907" s="23">
        <v>0</v>
      </c>
      <c r="I5907" s="23">
        <v>96.504000000000005</v>
      </c>
      <c r="J5907" s="23">
        <v>0</v>
      </c>
      <c r="K5907" s="23">
        <v>0</v>
      </c>
    </row>
    <row r="5908" spans="1:11" x14ac:dyDescent="0.25">
      <c r="A5908">
        <v>5907</v>
      </c>
      <c r="B5908" s="23">
        <v>105.500056</v>
      </c>
      <c r="C5908" s="23">
        <v>0</v>
      </c>
      <c r="D5908" s="23">
        <v>0</v>
      </c>
      <c r="E5908" s="23">
        <v>0</v>
      </c>
      <c r="F5908" s="23">
        <v>0</v>
      </c>
      <c r="G5908" s="23">
        <v>0</v>
      </c>
      <c r="H5908" s="23">
        <v>0</v>
      </c>
      <c r="I5908" s="23">
        <v>105.5</v>
      </c>
      <c r="J5908" s="23">
        <v>0</v>
      </c>
      <c r="K5908" s="23">
        <v>0</v>
      </c>
    </row>
    <row r="5909" spans="1:11" x14ac:dyDescent="0.25">
      <c r="A5909">
        <v>5908</v>
      </c>
      <c r="B5909" s="23">
        <v>94.868267369999998</v>
      </c>
      <c r="C5909" s="23">
        <v>0</v>
      </c>
      <c r="D5909" s="23">
        <v>0</v>
      </c>
      <c r="E5909" s="23">
        <v>0</v>
      </c>
      <c r="F5909" s="23">
        <v>0</v>
      </c>
      <c r="G5909" s="23">
        <v>0</v>
      </c>
      <c r="H5909" s="23">
        <v>0</v>
      </c>
      <c r="I5909" s="23">
        <v>94.867999999999995</v>
      </c>
      <c r="J5909" s="23">
        <v>0</v>
      </c>
      <c r="K5909" s="23">
        <v>0</v>
      </c>
    </row>
    <row r="5910" spans="1:11" x14ac:dyDescent="0.25">
      <c r="A5910">
        <v>5909</v>
      </c>
      <c r="B5910" s="23">
        <v>100.5930766</v>
      </c>
      <c r="C5910" s="23">
        <v>0</v>
      </c>
      <c r="D5910" s="23">
        <v>0</v>
      </c>
      <c r="E5910" s="23">
        <v>0</v>
      </c>
      <c r="F5910" s="23">
        <v>0</v>
      </c>
      <c r="G5910" s="23">
        <v>0</v>
      </c>
      <c r="H5910" s="23">
        <v>0</v>
      </c>
      <c r="I5910" s="23">
        <v>0</v>
      </c>
      <c r="J5910" s="23">
        <v>0</v>
      </c>
      <c r="K5910" s="23">
        <v>100.593</v>
      </c>
    </row>
    <row r="5911" spans="1:11" x14ac:dyDescent="0.25">
      <c r="A5911">
        <v>5910</v>
      </c>
      <c r="B5911" s="23">
        <v>91.596947799999995</v>
      </c>
      <c r="C5911" s="23">
        <v>0</v>
      </c>
      <c r="D5911" s="23">
        <v>0</v>
      </c>
      <c r="E5911" s="23">
        <v>0</v>
      </c>
      <c r="F5911" s="23">
        <v>0</v>
      </c>
      <c r="G5911" s="23">
        <v>0</v>
      </c>
      <c r="H5911" s="23">
        <v>0</v>
      </c>
      <c r="I5911" s="23">
        <v>0</v>
      </c>
      <c r="J5911" s="23">
        <v>0</v>
      </c>
      <c r="K5911" s="23">
        <v>91.596999999999994</v>
      </c>
    </row>
    <row r="5912" spans="1:11" x14ac:dyDescent="0.25">
      <c r="A5912">
        <v>5911</v>
      </c>
      <c r="B5912" s="23">
        <v>86.689968460000003</v>
      </c>
      <c r="C5912" s="23">
        <v>110.2</v>
      </c>
      <c r="D5912" s="23">
        <v>350.92</v>
      </c>
      <c r="E5912" s="23">
        <v>86.69</v>
      </c>
      <c r="F5912" s="23">
        <v>-264.23</v>
      </c>
      <c r="G5912" s="23">
        <v>0</v>
      </c>
      <c r="H5912" s="23">
        <v>0</v>
      </c>
      <c r="I5912" s="23">
        <v>0</v>
      </c>
      <c r="J5912" s="23">
        <v>0</v>
      </c>
      <c r="K5912" s="23">
        <v>0</v>
      </c>
    </row>
    <row r="5913" spans="1:11" x14ac:dyDescent="0.25">
      <c r="A5913">
        <v>5912</v>
      </c>
      <c r="B5913" s="23">
        <v>88.363452870000003</v>
      </c>
      <c r="C5913" s="23">
        <v>345.12</v>
      </c>
      <c r="D5913" s="23">
        <v>1362.578</v>
      </c>
      <c r="E5913" s="23">
        <v>88.364000000000004</v>
      </c>
      <c r="F5913" s="23">
        <v>-1274.2139999999999</v>
      </c>
      <c r="G5913" s="23">
        <v>0</v>
      </c>
      <c r="H5913" s="23">
        <v>0</v>
      </c>
      <c r="I5913" s="23">
        <v>0</v>
      </c>
      <c r="J5913" s="23">
        <v>0</v>
      </c>
      <c r="K5913" s="23">
        <v>0</v>
      </c>
    </row>
    <row r="5914" spans="1:11" x14ac:dyDescent="0.25">
      <c r="A5914">
        <v>5913</v>
      </c>
      <c r="B5914" s="23">
        <v>674.84971350000001</v>
      </c>
      <c r="C5914" s="23">
        <v>581.79999999999995</v>
      </c>
      <c r="D5914" s="23">
        <v>2314.6170000000002</v>
      </c>
      <c r="E5914" s="23">
        <v>674.85</v>
      </c>
      <c r="F5914" s="23">
        <v>-1639.7670000000001</v>
      </c>
      <c r="G5914" s="23">
        <v>0</v>
      </c>
      <c r="H5914" s="23">
        <v>0</v>
      </c>
      <c r="I5914" s="23">
        <v>0</v>
      </c>
      <c r="J5914" s="23">
        <v>0</v>
      </c>
      <c r="K5914" s="23">
        <v>0</v>
      </c>
    </row>
    <row r="5915" spans="1:11" x14ac:dyDescent="0.25">
      <c r="A5915">
        <v>5914</v>
      </c>
      <c r="B5915" s="23">
        <v>1069.3667640000001</v>
      </c>
      <c r="C5915" s="23">
        <v>495.28</v>
      </c>
      <c r="D5915" s="23">
        <v>1914.606</v>
      </c>
      <c r="E5915" s="23">
        <v>1069.366</v>
      </c>
      <c r="F5915" s="23">
        <v>-845.24</v>
      </c>
      <c r="G5915" s="23">
        <v>0</v>
      </c>
      <c r="H5915" s="23">
        <v>0</v>
      </c>
      <c r="I5915" s="23">
        <v>0</v>
      </c>
      <c r="J5915" s="23">
        <v>0</v>
      </c>
      <c r="K5915" s="23">
        <v>0</v>
      </c>
    </row>
    <row r="5916" spans="1:11" x14ac:dyDescent="0.25">
      <c r="A5916">
        <v>5915</v>
      </c>
      <c r="B5916" s="23">
        <v>1034.0283340000001</v>
      </c>
      <c r="C5916" s="23">
        <v>919.62</v>
      </c>
      <c r="D5916" s="23">
        <v>3504.425999999999</v>
      </c>
      <c r="E5916" s="23">
        <v>1034.029</v>
      </c>
      <c r="F5916" s="23">
        <v>-1684.559</v>
      </c>
      <c r="G5916" s="23">
        <v>0</v>
      </c>
      <c r="H5916" s="23">
        <v>785.83799999999997</v>
      </c>
      <c r="I5916" s="23">
        <v>0</v>
      </c>
      <c r="J5916" s="23">
        <v>0</v>
      </c>
      <c r="K5916" s="23">
        <v>0</v>
      </c>
    </row>
    <row r="5917" spans="1:11" x14ac:dyDescent="0.25">
      <c r="A5917">
        <v>5916</v>
      </c>
      <c r="B5917" s="23">
        <v>1101.888792</v>
      </c>
      <c r="C5917" s="23">
        <v>984.29</v>
      </c>
      <c r="D5917" s="23">
        <v>3714.6619999999998</v>
      </c>
      <c r="E5917" s="23">
        <v>1101.8889999999999</v>
      </c>
      <c r="F5917" s="23">
        <v>-1583.4880000000001</v>
      </c>
      <c r="G5917" s="23">
        <v>0</v>
      </c>
      <c r="H5917" s="23">
        <v>1029.2850000000001</v>
      </c>
      <c r="I5917" s="23">
        <v>0</v>
      </c>
      <c r="J5917" s="23">
        <v>0</v>
      </c>
      <c r="K5917" s="23">
        <v>0</v>
      </c>
    </row>
    <row r="5918" spans="1:11" x14ac:dyDescent="0.25">
      <c r="A5918">
        <v>5917</v>
      </c>
      <c r="B5918" s="23">
        <v>1309.4417510000001</v>
      </c>
      <c r="C5918" s="23">
        <v>972.92</v>
      </c>
      <c r="D5918" s="23">
        <v>3667.9430000000002</v>
      </c>
      <c r="E5918" s="23">
        <v>1309.442</v>
      </c>
      <c r="F5918" s="23">
        <v>0</v>
      </c>
      <c r="G5918" s="23">
        <v>0</v>
      </c>
      <c r="H5918" s="23">
        <v>2358.5010000000002</v>
      </c>
      <c r="I5918" s="23">
        <v>0</v>
      </c>
      <c r="J5918" s="23">
        <v>0</v>
      </c>
      <c r="K5918" s="23">
        <v>0</v>
      </c>
    </row>
    <row r="5919" spans="1:11" x14ac:dyDescent="0.25">
      <c r="A5919">
        <v>5918</v>
      </c>
      <c r="B5919" s="23">
        <v>1334.591042</v>
      </c>
      <c r="C5919" s="23">
        <v>865.21</v>
      </c>
      <c r="D5919" s="23">
        <v>3288.3829999999998</v>
      </c>
      <c r="E5919" s="23">
        <v>1334.5909999999999</v>
      </c>
      <c r="F5919" s="23">
        <v>0</v>
      </c>
      <c r="G5919" s="23">
        <v>0</v>
      </c>
      <c r="H5919" s="23">
        <v>1953.7919999999999</v>
      </c>
      <c r="I5919" s="23">
        <v>0</v>
      </c>
      <c r="J5919" s="23">
        <v>0</v>
      </c>
      <c r="K5919" s="23">
        <v>0</v>
      </c>
    </row>
    <row r="5920" spans="1:11" x14ac:dyDescent="0.25">
      <c r="A5920">
        <v>5919</v>
      </c>
      <c r="B5920" s="23">
        <v>1249.9333810000001</v>
      </c>
      <c r="C5920" s="23">
        <v>625.86</v>
      </c>
      <c r="D5920" s="23">
        <v>2400.549</v>
      </c>
      <c r="E5920" s="23">
        <v>1249.933</v>
      </c>
      <c r="F5920" s="23">
        <v>0</v>
      </c>
      <c r="G5920" s="23">
        <v>0</v>
      </c>
      <c r="H5920" s="23">
        <v>1150.616</v>
      </c>
      <c r="I5920" s="23">
        <v>0</v>
      </c>
      <c r="J5920" s="23">
        <v>0</v>
      </c>
      <c r="K5920" s="23">
        <v>0</v>
      </c>
    </row>
    <row r="5921" spans="1:11" x14ac:dyDescent="0.25">
      <c r="A5921">
        <v>5920</v>
      </c>
      <c r="B5921" s="23">
        <v>1409.437811</v>
      </c>
      <c r="C5921" s="23">
        <v>502.66</v>
      </c>
      <c r="D5921" s="23">
        <v>1987.258</v>
      </c>
      <c r="E5921" s="23">
        <v>1409.4380000000001</v>
      </c>
      <c r="F5921" s="23">
        <v>0</v>
      </c>
      <c r="G5921" s="23">
        <v>0</v>
      </c>
      <c r="H5921" s="23">
        <v>577.82000000000005</v>
      </c>
      <c r="I5921" s="23">
        <v>0</v>
      </c>
      <c r="J5921" s="23">
        <v>0</v>
      </c>
      <c r="K5921" s="23">
        <v>0</v>
      </c>
    </row>
    <row r="5922" spans="1:11" x14ac:dyDescent="0.25">
      <c r="A5922">
        <v>5921</v>
      </c>
      <c r="B5922" s="23">
        <v>1475.0420810000001</v>
      </c>
      <c r="C5922" s="23">
        <v>269.45999999999998</v>
      </c>
      <c r="D5922" s="23">
        <v>1037.3879999999999</v>
      </c>
      <c r="E5922" s="23">
        <v>1037.3879999999999</v>
      </c>
      <c r="F5922" s="23">
        <v>0</v>
      </c>
      <c r="G5922" s="23">
        <v>0</v>
      </c>
      <c r="H5922" s="23">
        <v>0</v>
      </c>
      <c r="I5922" s="23">
        <v>437.654</v>
      </c>
      <c r="J5922" s="23">
        <v>0</v>
      </c>
      <c r="K5922" s="23">
        <v>0</v>
      </c>
    </row>
    <row r="5923" spans="1:11" x14ac:dyDescent="0.25">
      <c r="A5923">
        <v>5922</v>
      </c>
      <c r="B5923" s="23">
        <v>1347.083394</v>
      </c>
      <c r="C5923" s="23">
        <v>44.76</v>
      </c>
      <c r="D5923" s="23">
        <v>139.465</v>
      </c>
      <c r="E5923" s="23">
        <v>139.465</v>
      </c>
      <c r="F5923" s="23">
        <v>0</v>
      </c>
      <c r="G5923" s="23">
        <v>0</v>
      </c>
      <c r="H5923" s="23">
        <v>0</v>
      </c>
      <c r="I5923" s="23">
        <v>0</v>
      </c>
      <c r="J5923" s="23">
        <v>0</v>
      </c>
      <c r="K5923" s="23">
        <v>1207.6179999999999</v>
      </c>
    </row>
    <row r="5924" spans="1:11" x14ac:dyDescent="0.25">
      <c r="A5924">
        <v>5923</v>
      </c>
      <c r="B5924" s="23">
        <v>1438.562778</v>
      </c>
      <c r="C5924" s="23">
        <v>0</v>
      </c>
      <c r="D5924" s="23">
        <v>0</v>
      </c>
      <c r="E5924" s="23">
        <v>0</v>
      </c>
      <c r="F5924" s="23">
        <v>0</v>
      </c>
      <c r="G5924" s="23">
        <v>0</v>
      </c>
      <c r="H5924" s="23">
        <v>0</v>
      </c>
      <c r="I5924" s="23">
        <v>0</v>
      </c>
      <c r="J5924" s="23">
        <v>0</v>
      </c>
      <c r="K5924" s="23">
        <v>1438.5630000000001</v>
      </c>
    </row>
    <row r="5925" spans="1:11" x14ac:dyDescent="0.25">
      <c r="A5925">
        <v>5924</v>
      </c>
      <c r="B5925" s="23">
        <v>1652.83421</v>
      </c>
      <c r="C5925" s="23">
        <v>0</v>
      </c>
      <c r="D5925" s="23">
        <v>0</v>
      </c>
      <c r="E5925" s="23">
        <v>0</v>
      </c>
      <c r="F5925" s="23">
        <v>0</v>
      </c>
      <c r="G5925" s="23">
        <v>0</v>
      </c>
      <c r="H5925" s="23">
        <v>0</v>
      </c>
      <c r="I5925" s="23">
        <v>0</v>
      </c>
      <c r="J5925" s="23">
        <v>0</v>
      </c>
      <c r="K5925" s="23">
        <v>1652.8340000000001</v>
      </c>
    </row>
    <row r="5926" spans="1:11" x14ac:dyDescent="0.25">
      <c r="A5926">
        <v>5925</v>
      </c>
      <c r="B5926" s="23">
        <v>1743.6133279999999</v>
      </c>
      <c r="C5926" s="23">
        <v>0</v>
      </c>
      <c r="D5926" s="23">
        <v>0</v>
      </c>
      <c r="E5926" s="23">
        <v>0</v>
      </c>
      <c r="F5926" s="23">
        <v>0</v>
      </c>
      <c r="G5926" s="23">
        <v>0</v>
      </c>
      <c r="H5926" s="23">
        <v>0</v>
      </c>
      <c r="I5926" s="23">
        <v>1436.3150000000001</v>
      </c>
      <c r="J5926" s="23">
        <v>0</v>
      </c>
      <c r="K5926" s="23">
        <v>307.29899999999998</v>
      </c>
    </row>
    <row r="5927" spans="1:11" x14ac:dyDescent="0.25">
      <c r="A5927">
        <v>5926</v>
      </c>
      <c r="B5927" s="23">
        <v>1660.194679</v>
      </c>
      <c r="C5927" s="23">
        <v>0</v>
      </c>
      <c r="D5927" s="23">
        <v>0</v>
      </c>
      <c r="E5927" s="23">
        <v>0</v>
      </c>
      <c r="F5927" s="23">
        <v>0</v>
      </c>
      <c r="G5927" s="23">
        <v>0</v>
      </c>
      <c r="H5927" s="23">
        <v>0</v>
      </c>
      <c r="I5927" s="23">
        <v>0</v>
      </c>
      <c r="J5927" s="23">
        <v>0</v>
      </c>
      <c r="K5927" s="23">
        <v>1660.1949999999999</v>
      </c>
    </row>
    <row r="5928" spans="1:11" x14ac:dyDescent="0.25">
      <c r="A5928">
        <v>5927</v>
      </c>
      <c r="B5928" s="23">
        <v>1413.2100519999999</v>
      </c>
      <c r="C5928" s="23">
        <v>0</v>
      </c>
      <c r="D5928" s="23">
        <v>0</v>
      </c>
      <c r="E5928" s="23">
        <v>0</v>
      </c>
      <c r="F5928" s="23">
        <v>0</v>
      </c>
      <c r="G5928" s="23">
        <v>0</v>
      </c>
      <c r="H5928" s="23">
        <v>0</v>
      </c>
      <c r="I5928" s="23">
        <v>1413.21</v>
      </c>
      <c r="J5928" s="23">
        <v>0</v>
      </c>
      <c r="K5928" s="23">
        <v>0</v>
      </c>
    </row>
    <row r="5929" spans="1:11" x14ac:dyDescent="0.25">
      <c r="A5929">
        <v>5928</v>
      </c>
      <c r="B5929" s="23">
        <v>139.84891139999999</v>
      </c>
      <c r="C5929" s="23">
        <v>0</v>
      </c>
      <c r="D5929" s="23">
        <v>0</v>
      </c>
      <c r="E5929" s="23">
        <v>0</v>
      </c>
      <c r="F5929" s="23">
        <v>0</v>
      </c>
      <c r="G5929" s="23">
        <v>0</v>
      </c>
      <c r="H5929" s="23">
        <v>0</v>
      </c>
      <c r="I5929" s="23">
        <v>139.84899999999999</v>
      </c>
      <c r="J5929" s="23">
        <v>0</v>
      </c>
      <c r="K5929" s="23">
        <v>0</v>
      </c>
    </row>
    <row r="5930" spans="1:11" x14ac:dyDescent="0.25">
      <c r="A5930">
        <v>5929</v>
      </c>
      <c r="B5930" s="23">
        <v>107.13571570000001</v>
      </c>
      <c r="C5930" s="23">
        <v>0</v>
      </c>
      <c r="D5930" s="23">
        <v>0</v>
      </c>
      <c r="E5930" s="23">
        <v>0</v>
      </c>
      <c r="F5930" s="23">
        <v>0</v>
      </c>
      <c r="G5930" s="23">
        <v>0</v>
      </c>
      <c r="H5930" s="23">
        <v>0</v>
      </c>
      <c r="I5930" s="23">
        <v>107.136</v>
      </c>
      <c r="J5930" s="23">
        <v>0</v>
      </c>
      <c r="K5930" s="23">
        <v>0</v>
      </c>
    </row>
    <row r="5931" spans="1:11" x14ac:dyDescent="0.25">
      <c r="A5931">
        <v>5930</v>
      </c>
      <c r="B5931" s="23">
        <v>98.957416820000006</v>
      </c>
      <c r="C5931" s="23">
        <v>0</v>
      </c>
      <c r="D5931" s="23">
        <v>0</v>
      </c>
      <c r="E5931" s="23">
        <v>0</v>
      </c>
      <c r="F5931" s="23">
        <v>0</v>
      </c>
      <c r="G5931" s="23">
        <v>0</v>
      </c>
      <c r="H5931" s="23">
        <v>0</v>
      </c>
      <c r="I5931" s="23">
        <v>98.956999999999994</v>
      </c>
      <c r="J5931" s="23">
        <v>0</v>
      </c>
      <c r="K5931" s="23">
        <v>0</v>
      </c>
    </row>
    <row r="5932" spans="1:11" x14ac:dyDescent="0.25">
      <c r="A5932">
        <v>5931</v>
      </c>
      <c r="B5932" s="23">
        <v>102.2287364</v>
      </c>
      <c r="C5932" s="23">
        <v>0</v>
      </c>
      <c r="D5932" s="23">
        <v>0</v>
      </c>
      <c r="E5932" s="23">
        <v>0</v>
      </c>
      <c r="F5932" s="23">
        <v>0</v>
      </c>
      <c r="G5932" s="23">
        <v>0</v>
      </c>
      <c r="H5932" s="23">
        <v>0</v>
      </c>
      <c r="I5932" s="23">
        <v>102.229</v>
      </c>
      <c r="J5932" s="23">
        <v>0</v>
      </c>
      <c r="K5932" s="23">
        <v>0</v>
      </c>
    </row>
    <row r="5933" spans="1:11" x14ac:dyDescent="0.25">
      <c r="A5933">
        <v>5932</v>
      </c>
      <c r="B5933" s="23">
        <v>100.5930766</v>
      </c>
      <c r="C5933" s="23">
        <v>0</v>
      </c>
      <c r="D5933" s="23">
        <v>0</v>
      </c>
      <c r="E5933" s="23">
        <v>0</v>
      </c>
      <c r="F5933" s="23">
        <v>0</v>
      </c>
      <c r="G5933" s="23">
        <v>0</v>
      </c>
      <c r="H5933" s="23">
        <v>0</v>
      </c>
      <c r="I5933" s="23">
        <v>100.593</v>
      </c>
      <c r="J5933" s="23">
        <v>0</v>
      </c>
      <c r="K5933" s="23">
        <v>0</v>
      </c>
    </row>
    <row r="5934" spans="1:11" x14ac:dyDescent="0.25">
      <c r="A5934">
        <v>5933</v>
      </c>
      <c r="B5934" s="23">
        <v>103.8643962</v>
      </c>
      <c r="C5934" s="23">
        <v>0</v>
      </c>
      <c r="D5934" s="23">
        <v>0</v>
      </c>
      <c r="E5934" s="23">
        <v>0</v>
      </c>
      <c r="F5934" s="23">
        <v>0</v>
      </c>
      <c r="G5934" s="23">
        <v>0</v>
      </c>
      <c r="H5934" s="23">
        <v>0</v>
      </c>
      <c r="I5934" s="23">
        <v>0</v>
      </c>
      <c r="J5934" s="23">
        <v>0</v>
      </c>
      <c r="K5934" s="23">
        <v>103.864</v>
      </c>
    </row>
    <row r="5935" spans="1:11" x14ac:dyDescent="0.25">
      <c r="A5935">
        <v>5934</v>
      </c>
      <c r="B5935" s="23">
        <v>97.321757039999994</v>
      </c>
      <c r="C5935" s="23">
        <v>0</v>
      </c>
      <c r="D5935" s="23">
        <v>0</v>
      </c>
      <c r="E5935" s="23">
        <v>0</v>
      </c>
      <c r="F5935" s="23">
        <v>0</v>
      </c>
      <c r="G5935" s="23">
        <v>0</v>
      </c>
      <c r="H5935" s="23">
        <v>0</v>
      </c>
      <c r="I5935" s="23">
        <v>0</v>
      </c>
      <c r="J5935" s="23">
        <v>0</v>
      </c>
      <c r="K5935" s="23">
        <v>97.322000000000003</v>
      </c>
    </row>
    <row r="5936" spans="1:11" x14ac:dyDescent="0.25">
      <c r="A5936">
        <v>5935</v>
      </c>
      <c r="B5936" s="23">
        <v>94.868267369999998</v>
      </c>
      <c r="C5936" s="23">
        <v>8.81</v>
      </c>
      <c r="D5936" s="23">
        <v>10.714</v>
      </c>
      <c r="E5936" s="23">
        <v>10.714</v>
      </c>
      <c r="F5936" s="23">
        <v>0</v>
      </c>
      <c r="G5936" s="23">
        <v>0</v>
      </c>
      <c r="H5936" s="23">
        <v>0</v>
      </c>
      <c r="I5936" s="23">
        <v>0</v>
      </c>
      <c r="J5936" s="23">
        <v>0</v>
      </c>
      <c r="K5936" s="23">
        <v>84.153999999999996</v>
      </c>
    </row>
    <row r="5937" spans="1:11" x14ac:dyDescent="0.25">
      <c r="A5937">
        <v>5936</v>
      </c>
      <c r="B5937" s="23">
        <v>87.886044670000004</v>
      </c>
      <c r="C5937" s="23">
        <v>273.56</v>
      </c>
      <c r="D5937" s="23">
        <v>1079.473</v>
      </c>
      <c r="E5937" s="23">
        <v>87.885999999999996</v>
      </c>
      <c r="F5937" s="23">
        <v>-991.58699999999999</v>
      </c>
      <c r="G5937" s="23">
        <v>0</v>
      </c>
      <c r="H5937" s="23">
        <v>0</v>
      </c>
      <c r="I5937" s="23">
        <v>0</v>
      </c>
      <c r="J5937" s="23">
        <v>0</v>
      </c>
      <c r="K5937" s="23">
        <v>0</v>
      </c>
    </row>
    <row r="5938" spans="1:11" x14ac:dyDescent="0.25">
      <c r="A5938">
        <v>5937</v>
      </c>
      <c r="B5938" s="23">
        <v>953.40155219999997</v>
      </c>
      <c r="C5938" s="23">
        <v>244.18</v>
      </c>
      <c r="D5938" s="23">
        <v>948.23699999999997</v>
      </c>
      <c r="E5938" s="23">
        <v>948.23699999999997</v>
      </c>
      <c r="F5938" s="23">
        <v>0</v>
      </c>
      <c r="G5938" s="23">
        <v>0</v>
      </c>
      <c r="H5938" s="23">
        <v>0</v>
      </c>
      <c r="I5938" s="23">
        <v>0</v>
      </c>
      <c r="J5938" s="23">
        <v>0</v>
      </c>
      <c r="K5938" s="23">
        <v>5.1639999999999997</v>
      </c>
    </row>
    <row r="5939" spans="1:11" x14ac:dyDescent="0.25">
      <c r="A5939">
        <v>5938</v>
      </c>
      <c r="B5939" s="23">
        <v>1414.2466509999999</v>
      </c>
      <c r="C5939" s="23">
        <v>781.05</v>
      </c>
      <c r="D5939" s="23">
        <v>3013.9940000000001</v>
      </c>
      <c r="E5939" s="23">
        <v>1414.2470000000001</v>
      </c>
      <c r="F5939" s="23">
        <v>-1599.7470000000001</v>
      </c>
      <c r="G5939" s="23">
        <v>0</v>
      </c>
      <c r="H5939" s="23">
        <v>0</v>
      </c>
      <c r="I5939" s="23">
        <v>0</v>
      </c>
      <c r="J5939" s="23">
        <v>0</v>
      </c>
      <c r="K5939" s="23">
        <v>0</v>
      </c>
    </row>
    <row r="5940" spans="1:11" x14ac:dyDescent="0.25">
      <c r="A5940">
        <v>5939</v>
      </c>
      <c r="B5940" s="23">
        <v>1289.21784</v>
      </c>
      <c r="C5940" s="23">
        <v>917.33</v>
      </c>
      <c r="D5940" s="23">
        <v>3477.2280000000001</v>
      </c>
      <c r="E5940" s="23">
        <v>1289.2180000000001</v>
      </c>
      <c r="F5940" s="23">
        <v>-1684.559</v>
      </c>
      <c r="G5940" s="23">
        <v>0</v>
      </c>
      <c r="H5940" s="23">
        <v>503.45100000000002</v>
      </c>
      <c r="I5940" s="23">
        <v>0</v>
      </c>
      <c r="J5940" s="23">
        <v>0</v>
      </c>
      <c r="K5940" s="23">
        <v>0</v>
      </c>
    </row>
    <row r="5941" spans="1:11" x14ac:dyDescent="0.25">
      <c r="A5941">
        <v>5940</v>
      </c>
      <c r="B5941" s="23">
        <v>1489.7844869999999</v>
      </c>
      <c r="C5941" s="23">
        <v>797.3</v>
      </c>
      <c r="D5941" s="23">
        <v>2994.6840000000002</v>
      </c>
      <c r="E5941" s="23">
        <v>1489.7840000000001</v>
      </c>
      <c r="F5941" s="23">
        <v>-1504.9</v>
      </c>
      <c r="G5941" s="23">
        <v>0</v>
      </c>
      <c r="H5941" s="23">
        <v>0</v>
      </c>
      <c r="I5941" s="23">
        <v>0</v>
      </c>
      <c r="J5941" s="23">
        <v>0</v>
      </c>
      <c r="K5941" s="23">
        <v>0</v>
      </c>
    </row>
    <row r="5942" spans="1:11" x14ac:dyDescent="0.25">
      <c r="A5942">
        <v>5941</v>
      </c>
      <c r="B5942" s="23">
        <v>1378.1087930000001</v>
      </c>
      <c r="C5942" s="23">
        <v>713.49</v>
      </c>
      <c r="D5942" s="23">
        <v>2697.0949999999998</v>
      </c>
      <c r="E5942" s="23">
        <v>1378.1089999999999</v>
      </c>
      <c r="F5942" s="23">
        <v>-1318.9860000000001</v>
      </c>
      <c r="G5942" s="23">
        <v>0</v>
      </c>
      <c r="H5942" s="23">
        <v>0</v>
      </c>
      <c r="I5942" s="23">
        <v>0</v>
      </c>
      <c r="J5942" s="23">
        <v>0</v>
      </c>
      <c r="K5942" s="23">
        <v>0</v>
      </c>
    </row>
    <row r="5943" spans="1:11" x14ac:dyDescent="0.25">
      <c r="A5943">
        <v>5942</v>
      </c>
      <c r="B5943" s="23">
        <v>1448.923661</v>
      </c>
      <c r="C5943" s="23">
        <v>797.91</v>
      </c>
      <c r="D5943" s="23">
        <v>3002.5210000000002</v>
      </c>
      <c r="E5943" s="23">
        <v>1448.925</v>
      </c>
      <c r="F5943" s="23">
        <v>-197.46600000000001</v>
      </c>
      <c r="G5943" s="23">
        <v>0</v>
      </c>
      <c r="H5943" s="23">
        <v>1356.13</v>
      </c>
      <c r="I5943" s="23">
        <v>0</v>
      </c>
      <c r="J5943" s="23">
        <v>0</v>
      </c>
      <c r="K5943" s="23">
        <v>0</v>
      </c>
    </row>
    <row r="5944" spans="1:11" x14ac:dyDescent="0.25">
      <c r="A5944">
        <v>5943</v>
      </c>
      <c r="B5944" s="23">
        <v>1588.6233179999999</v>
      </c>
      <c r="C5944" s="23">
        <v>522.79</v>
      </c>
      <c r="D5944" s="23">
        <v>2018.2</v>
      </c>
      <c r="E5944" s="23">
        <v>1588.623</v>
      </c>
      <c r="F5944" s="23">
        <v>0</v>
      </c>
      <c r="G5944" s="23">
        <v>0</v>
      </c>
      <c r="H5944" s="23">
        <v>429.577</v>
      </c>
      <c r="I5944" s="23">
        <v>0</v>
      </c>
      <c r="J5944" s="23">
        <v>0</v>
      </c>
      <c r="K5944" s="23">
        <v>0</v>
      </c>
    </row>
    <row r="5945" spans="1:11" x14ac:dyDescent="0.25">
      <c r="A5945">
        <v>5944</v>
      </c>
      <c r="B5945" s="23">
        <v>1511.507071</v>
      </c>
      <c r="C5945" s="23">
        <v>195.94</v>
      </c>
      <c r="D5945" s="23">
        <v>755.83900000000006</v>
      </c>
      <c r="E5945" s="23">
        <v>755.83900000000006</v>
      </c>
      <c r="F5945" s="23">
        <v>0</v>
      </c>
      <c r="G5945" s="23">
        <v>0</v>
      </c>
      <c r="H5945" s="23">
        <v>0</v>
      </c>
      <c r="I5945" s="23">
        <v>755.66899999999998</v>
      </c>
      <c r="J5945" s="23">
        <v>0</v>
      </c>
      <c r="K5945" s="23">
        <v>0</v>
      </c>
    </row>
    <row r="5946" spans="1:11" x14ac:dyDescent="0.25">
      <c r="A5946">
        <v>5945</v>
      </c>
      <c r="B5946" s="23">
        <v>1311.4301</v>
      </c>
      <c r="C5946" s="23">
        <v>106.6</v>
      </c>
      <c r="D5946" s="23">
        <v>401.101</v>
      </c>
      <c r="E5946" s="23">
        <v>401.101</v>
      </c>
      <c r="F5946" s="23">
        <v>0</v>
      </c>
      <c r="G5946" s="23">
        <v>0</v>
      </c>
      <c r="H5946" s="23">
        <v>0</v>
      </c>
      <c r="I5946" s="23">
        <v>910.32899999999995</v>
      </c>
      <c r="J5946" s="23">
        <v>0</v>
      </c>
      <c r="K5946" s="23">
        <v>0</v>
      </c>
    </row>
    <row r="5947" spans="1:11" x14ac:dyDescent="0.25">
      <c r="A5947">
        <v>5946</v>
      </c>
      <c r="B5947" s="23">
        <v>1754.8451990000001</v>
      </c>
      <c r="C5947" s="23">
        <v>24.5</v>
      </c>
      <c r="D5947" s="23">
        <v>66.69</v>
      </c>
      <c r="E5947" s="23">
        <v>66.69</v>
      </c>
      <c r="F5947" s="23">
        <v>0</v>
      </c>
      <c r="G5947" s="23">
        <v>0</v>
      </c>
      <c r="H5947" s="23">
        <v>0</v>
      </c>
      <c r="I5947" s="23">
        <v>3.5960000000000001</v>
      </c>
      <c r="J5947" s="23">
        <v>0</v>
      </c>
      <c r="K5947" s="23">
        <v>1684.559</v>
      </c>
    </row>
    <row r="5948" spans="1:11" x14ac:dyDescent="0.25">
      <c r="A5948">
        <v>5947</v>
      </c>
      <c r="B5948" s="23">
        <v>1257.3449639999999</v>
      </c>
      <c r="C5948" s="23">
        <v>0</v>
      </c>
      <c r="D5948" s="23">
        <v>0</v>
      </c>
      <c r="E5948" s="23">
        <v>0</v>
      </c>
      <c r="F5948" s="23">
        <v>0</v>
      </c>
      <c r="G5948" s="23">
        <v>0</v>
      </c>
      <c r="H5948" s="23">
        <v>0</v>
      </c>
      <c r="I5948" s="23">
        <v>0</v>
      </c>
      <c r="J5948" s="23">
        <v>0</v>
      </c>
      <c r="K5948" s="23">
        <v>1257.345</v>
      </c>
    </row>
    <row r="5949" spans="1:11" x14ac:dyDescent="0.25">
      <c r="A5949">
        <v>5948</v>
      </c>
      <c r="B5949" s="23">
        <v>847.2717672</v>
      </c>
      <c r="C5949" s="23">
        <v>0</v>
      </c>
      <c r="D5949" s="23">
        <v>0</v>
      </c>
      <c r="E5949" s="23">
        <v>0</v>
      </c>
      <c r="F5949" s="23">
        <v>0</v>
      </c>
      <c r="G5949" s="23">
        <v>0</v>
      </c>
      <c r="H5949" s="23">
        <v>0</v>
      </c>
      <c r="I5949" s="23">
        <v>0</v>
      </c>
      <c r="J5949" s="23">
        <v>0</v>
      </c>
      <c r="K5949" s="23">
        <v>847.27200000000005</v>
      </c>
    </row>
    <row r="5950" spans="1:11" x14ac:dyDescent="0.25">
      <c r="A5950">
        <v>5949</v>
      </c>
      <c r="B5950" s="23">
        <v>1282.3572690000001</v>
      </c>
      <c r="C5950" s="23">
        <v>0</v>
      </c>
      <c r="D5950" s="23">
        <v>0</v>
      </c>
      <c r="E5950" s="23">
        <v>0</v>
      </c>
      <c r="F5950" s="23">
        <v>0</v>
      </c>
      <c r="G5950" s="23">
        <v>0</v>
      </c>
      <c r="H5950" s="23">
        <v>0</v>
      </c>
      <c r="I5950" s="23">
        <v>1282.357</v>
      </c>
      <c r="J5950" s="23">
        <v>0</v>
      </c>
      <c r="K5950" s="23">
        <v>0</v>
      </c>
    </row>
    <row r="5951" spans="1:11" x14ac:dyDescent="0.25">
      <c r="A5951">
        <v>5950</v>
      </c>
      <c r="B5951" s="23">
        <v>1299.5316969999999</v>
      </c>
      <c r="C5951" s="23">
        <v>0</v>
      </c>
      <c r="D5951" s="23">
        <v>0</v>
      </c>
      <c r="E5951" s="23">
        <v>0</v>
      </c>
      <c r="F5951" s="23">
        <v>0</v>
      </c>
      <c r="G5951" s="23">
        <v>0</v>
      </c>
      <c r="H5951" s="23">
        <v>0</v>
      </c>
      <c r="I5951" s="23">
        <v>1299.5319999999999</v>
      </c>
      <c r="J5951" s="23">
        <v>0</v>
      </c>
      <c r="K5951" s="23">
        <v>0</v>
      </c>
    </row>
    <row r="5952" spans="1:11" x14ac:dyDescent="0.25">
      <c r="A5952">
        <v>5951</v>
      </c>
      <c r="B5952" s="23">
        <v>1363.3224279999999</v>
      </c>
      <c r="C5952" s="23">
        <v>0</v>
      </c>
      <c r="D5952" s="23">
        <v>0</v>
      </c>
      <c r="E5952" s="23">
        <v>0</v>
      </c>
      <c r="F5952" s="23">
        <v>0</v>
      </c>
      <c r="G5952" s="23">
        <v>0</v>
      </c>
      <c r="H5952" s="23">
        <v>0</v>
      </c>
      <c r="I5952" s="23">
        <v>1363.3219999999999</v>
      </c>
      <c r="J5952" s="23">
        <v>0</v>
      </c>
      <c r="K5952" s="23">
        <v>0</v>
      </c>
    </row>
    <row r="5953" spans="1:11" x14ac:dyDescent="0.25">
      <c r="A5953">
        <v>5952</v>
      </c>
      <c r="B5953" s="23">
        <v>1331.4270630000001</v>
      </c>
      <c r="C5953" s="23">
        <v>0</v>
      </c>
      <c r="D5953" s="23">
        <v>0</v>
      </c>
      <c r="E5953" s="23">
        <v>0</v>
      </c>
      <c r="F5953" s="23">
        <v>0</v>
      </c>
      <c r="G5953" s="23">
        <v>0</v>
      </c>
      <c r="H5953" s="23">
        <v>0</v>
      </c>
      <c r="I5953" s="23">
        <v>1331.4269999999999</v>
      </c>
      <c r="J5953" s="23">
        <v>0</v>
      </c>
      <c r="K5953" s="23">
        <v>0</v>
      </c>
    </row>
    <row r="5954" spans="1:11" x14ac:dyDescent="0.25">
      <c r="A5954">
        <v>5953</v>
      </c>
      <c r="B5954" s="23">
        <v>1392.7643049999999</v>
      </c>
      <c r="C5954" s="23">
        <v>0</v>
      </c>
      <c r="D5954" s="23">
        <v>0</v>
      </c>
      <c r="E5954" s="23">
        <v>0</v>
      </c>
      <c r="F5954" s="23">
        <v>0</v>
      </c>
      <c r="G5954" s="23">
        <v>0</v>
      </c>
      <c r="H5954" s="23">
        <v>0</v>
      </c>
      <c r="I5954" s="23">
        <v>1392.7639999999999</v>
      </c>
      <c r="J5954" s="23">
        <v>0</v>
      </c>
      <c r="K5954" s="23">
        <v>0</v>
      </c>
    </row>
    <row r="5955" spans="1:11" x14ac:dyDescent="0.25">
      <c r="A5955">
        <v>5954</v>
      </c>
      <c r="B5955" s="23">
        <v>954.40748289999999</v>
      </c>
      <c r="C5955" s="23">
        <v>0</v>
      </c>
      <c r="D5955" s="23">
        <v>0</v>
      </c>
      <c r="E5955" s="23">
        <v>0</v>
      </c>
      <c r="F5955" s="23">
        <v>0</v>
      </c>
      <c r="G5955" s="23">
        <v>0</v>
      </c>
      <c r="H5955" s="23">
        <v>0</v>
      </c>
      <c r="I5955" s="23">
        <v>954.40700000000004</v>
      </c>
      <c r="J5955" s="23">
        <v>0</v>
      </c>
      <c r="K5955" s="23">
        <v>0</v>
      </c>
    </row>
    <row r="5956" spans="1:11" x14ac:dyDescent="0.25">
      <c r="A5956">
        <v>5955</v>
      </c>
      <c r="B5956" s="23">
        <v>1391.946475</v>
      </c>
      <c r="C5956" s="23">
        <v>0</v>
      </c>
      <c r="D5956" s="23">
        <v>0</v>
      </c>
      <c r="E5956" s="23">
        <v>0</v>
      </c>
      <c r="F5956" s="23">
        <v>0</v>
      </c>
      <c r="G5956" s="23">
        <v>0</v>
      </c>
      <c r="H5956" s="23">
        <v>0</v>
      </c>
      <c r="I5956" s="23">
        <v>1391.9459999999999</v>
      </c>
      <c r="J5956" s="23">
        <v>0</v>
      </c>
      <c r="K5956" s="23">
        <v>0</v>
      </c>
    </row>
    <row r="5957" spans="1:11" x14ac:dyDescent="0.25">
      <c r="A5957">
        <v>5956</v>
      </c>
      <c r="B5957" s="23">
        <v>1367.411578</v>
      </c>
      <c r="C5957" s="23">
        <v>0</v>
      </c>
      <c r="D5957" s="23">
        <v>0</v>
      </c>
      <c r="E5957" s="23">
        <v>0</v>
      </c>
      <c r="F5957" s="23">
        <v>0</v>
      </c>
      <c r="G5957" s="23">
        <v>0</v>
      </c>
      <c r="H5957" s="23">
        <v>0</v>
      </c>
      <c r="I5957" s="23">
        <v>1367.412</v>
      </c>
      <c r="J5957" s="23">
        <v>0</v>
      </c>
      <c r="K5957" s="23">
        <v>0</v>
      </c>
    </row>
    <row r="5958" spans="1:11" x14ac:dyDescent="0.25">
      <c r="A5958">
        <v>5957</v>
      </c>
      <c r="B5958" s="23">
        <v>1018.198214</v>
      </c>
      <c r="C5958" s="23">
        <v>0</v>
      </c>
      <c r="D5958" s="23">
        <v>0</v>
      </c>
      <c r="E5958" s="23">
        <v>0</v>
      </c>
      <c r="F5958" s="23">
        <v>0</v>
      </c>
      <c r="G5958" s="23">
        <v>0</v>
      </c>
      <c r="H5958" s="23">
        <v>0</v>
      </c>
      <c r="I5958" s="23">
        <v>344.70499999999998</v>
      </c>
      <c r="J5958" s="23">
        <v>0</v>
      </c>
      <c r="K5958" s="23">
        <v>673.49300000000005</v>
      </c>
    </row>
    <row r="5959" spans="1:11" x14ac:dyDescent="0.25">
      <c r="A5959">
        <v>5958</v>
      </c>
      <c r="B5959" s="23">
        <v>1299.5316969999999</v>
      </c>
      <c r="C5959" s="23">
        <v>0</v>
      </c>
      <c r="D5959" s="23">
        <v>0</v>
      </c>
      <c r="E5959" s="23">
        <v>0</v>
      </c>
      <c r="F5959" s="23">
        <v>0</v>
      </c>
      <c r="G5959" s="23">
        <v>0</v>
      </c>
      <c r="H5959" s="23">
        <v>0</v>
      </c>
      <c r="I5959" s="23">
        <v>0</v>
      </c>
      <c r="J5959" s="23">
        <v>0</v>
      </c>
      <c r="K5959" s="23">
        <v>1299.5319999999999</v>
      </c>
    </row>
    <row r="5960" spans="1:11" x14ac:dyDescent="0.25">
      <c r="A5960">
        <v>5959</v>
      </c>
      <c r="B5960" s="23">
        <v>1066.4501780000001</v>
      </c>
      <c r="C5960" s="23">
        <v>78.34</v>
      </c>
      <c r="D5960" s="23">
        <v>276.80200000000002</v>
      </c>
      <c r="E5960" s="23">
        <v>276.80200000000002</v>
      </c>
      <c r="F5960" s="23">
        <v>0</v>
      </c>
      <c r="G5960" s="23">
        <v>0</v>
      </c>
      <c r="H5960" s="23">
        <v>0</v>
      </c>
      <c r="I5960" s="23">
        <v>0</v>
      </c>
      <c r="J5960" s="23">
        <v>0</v>
      </c>
      <c r="K5960" s="23">
        <v>789.64800000000002</v>
      </c>
    </row>
    <row r="5961" spans="1:11" x14ac:dyDescent="0.25">
      <c r="A5961">
        <v>5960</v>
      </c>
      <c r="B5961" s="23">
        <v>879.73041330000001</v>
      </c>
      <c r="C5961" s="23">
        <v>354.39</v>
      </c>
      <c r="D5961" s="23">
        <v>1395.117</v>
      </c>
      <c r="E5961" s="23">
        <v>879.73099999999999</v>
      </c>
      <c r="F5961" s="23">
        <v>-515.38599999999997</v>
      </c>
      <c r="G5961" s="23">
        <v>0</v>
      </c>
      <c r="H5961" s="23">
        <v>0</v>
      </c>
      <c r="I5961" s="23">
        <v>0</v>
      </c>
      <c r="J5961" s="23">
        <v>0</v>
      </c>
      <c r="K5961" s="23">
        <v>0</v>
      </c>
    </row>
    <row r="5962" spans="1:11" x14ac:dyDescent="0.25">
      <c r="A5962">
        <v>5961</v>
      </c>
      <c r="B5962" s="23">
        <v>1118.789246</v>
      </c>
      <c r="C5962" s="23">
        <v>593.73</v>
      </c>
      <c r="D5962" s="23">
        <v>2350.6219999999998</v>
      </c>
      <c r="E5962" s="23">
        <v>1118.789</v>
      </c>
      <c r="F5962" s="23">
        <v>-1231.8330000000001</v>
      </c>
      <c r="G5962" s="23">
        <v>0</v>
      </c>
      <c r="H5962" s="23">
        <v>0</v>
      </c>
      <c r="I5962" s="23">
        <v>0</v>
      </c>
      <c r="J5962" s="23">
        <v>0</v>
      </c>
      <c r="K5962" s="23">
        <v>0</v>
      </c>
    </row>
    <row r="5963" spans="1:11" x14ac:dyDescent="0.25">
      <c r="A5963">
        <v>5962</v>
      </c>
      <c r="B5963" s="23">
        <v>1147.798695</v>
      </c>
      <c r="C5963" s="23">
        <v>791.72</v>
      </c>
      <c r="D5963" s="23">
        <v>3054.9690000000001</v>
      </c>
      <c r="E5963" s="23">
        <v>1147.8</v>
      </c>
      <c r="F5963" s="23">
        <v>-1684.559</v>
      </c>
      <c r="G5963" s="23">
        <v>0</v>
      </c>
      <c r="H5963" s="23">
        <v>222.61</v>
      </c>
      <c r="I5963" s="23">
        <v>0</v>
      </c>
      <c r="J5963" s="23">
        <v>0</v>
      </c>
      <c r="K5963" s="23">
        <v>0</v>
      </c>
    </row>
    <row r="5964" spans="1:11" x14ac:dyDescent="0.25">
      <c r="A5964">
        <v>5963</v>
      </c>
      <c r="B5964" s="23">
        <v>1167.746588</v>
      </c>
      <c r="C5964" s="23">
        <v>922.28</v>
      </c>
      <c r="D5964" s="23">
        <v>3490.163</v>
      </c>
      <c r="E5964" s="23">
        <v>1167.7470000000001</v>
      </c>
      <c r="F5964" s="23">
        <v>-1684.559</v>
      </c>
      <c r="G5964" s="23">
        <v>0</v>
      </c>
      <c r="H5964" s="23">
        <v>637.85699999999997</v>
      </c>
      <c r="I5964" s="23">
        <v>0</v>
      </c>
      <c r="J5964" s="23">
        <v>0</v>
      </c>
      <c r="K5964" s="23">
        <v>0</v>
      </c>
    </row>
    <row r="5965" spans="1:11" x14ac:dyDescent="0.25">
      <c r="A5965">
        <v>5964</v>
      </c>
      <c r="B5965" s="23">
        <v>1009.849194</v>
      </c>
      <c r="C5965" s="23">
        <v>987.45</v>
      </c>
      <c r="D5965" s="23">
        <v>3705.0540000000001</v>
      </c>
      <c r="E5965" s="23">
        <v>1009.85</v>
      </c>
      <c r="F5965" s="23">
        <v>-1684.559</v>
      </c>
      <c r="G5965" s="23">
        <v>0</v>
      </c>
      <c r="H5965" s="23">
        <v>1010.645</v>
      </c>
      <c r="I5965" s="23">
        <v>0</v>
      </c>
      <c r="J5965" s="23">
        <v>0</v>
      </c>
      <c r="K5965" s="23">
        <v>0</v>
      </c>
    </row>
    <row r="5966" spans="1:11" x14ac:dyDescent="0.25">
      <c r="A5966">
        <v>5965</v>
      </c>
      <c r="B5966" s="23">
        <v>1123.4907459999999</v>
      </c>
      <c r="C5966" s="23">
        <v>977.24</v>
      </c>
      <c r="D5966" s="23">
        <v>3670.3090000000002</v>
      </c>
      <c r="E5966" s="23">
        <v>1123.491</v>
      </c>
      <c r="F5966" s="23">
        <v>-490.601</v>
      </c>
      <c r="G5966" s="23">
        <v>0</v>
      </c>
      <c r="H5966" s="23">
        <v>2056.2170000000001</v>
      </c>
      <c r="I5966" s="23">
        <v>0</v>
      </c>
      <c r="J5966" s="23">
        <v>0</v>
      </c>
      <c r="K5966" s="23">
        <v>0</v>
      </c>
    </row>
    <row r="5967" spans="1:11" x14ac:dyDescent="0.25">
      <c r="A5967">
        <v>5966</v>
      </c>
      <c r="B5967" s="23">
        <v>1352.7826460000001</v>
      </c>
      <c r="C5967" s="23">
        <v>601.79</v>
      </c>
      <c r="D5967" s="23">
        <v>2285.9830000000002</v>
      </c>
      <c r="E5967" s="23">
        <v>1352.7819999999999</v>
      </c>
      <c r="F5967" s="23">
        <v>0</v>
      </c>
      <c r="G5967" s="23">
        <v>0</v>
      </c>
      <c r="H5967" s="23">
        <v>933.20100000000002</v>
      </c>
      <c r="I5967" s="23">
        <v>0</v>
      </c>
      <c r="J5967" s="23">
        <v>0</v>
      </c>
      <c r="K5967" s="23">
        <v>0</v>
      </c>
    </row>
    <row r="5968" spans="1:11" x14ac:dyDescent="0.25">
      <c r="A5968">
        <v>5967</v>
      </c>
      <c r="B5968" s="23">
        <v>1227.3469640000001</v>
      </c>
      <c r="C5968" s="23">
        <v>111.46</v>
      </c>
      <c r="D5968" s="23">
        <v>408.05900000000003</v>
      </c>
      <c r="E5968" s="23">
        <v>408.05900000000003</v>
      </c>
      <c r="F5968" s="23">
        <v>0</v>
      </c>
      <c r="G5968" s="23">
        <v>0</v>
      </c>
      <c r="H5968" s="23">
        <v>0</v>
      </c>
      <c r="I5968" s="23">
        <v>819.28800000000001</v>
      </c>
      <c r="J5968" s="23">
        <v>0</v>
      </c>
      <c r="K5968" s="23">
        <v>0</v>
      </c>
    </row>
    <row r="5969" spans="1:11" x14ac:dyDescent="0.25">
      <c r="A5969">
        <v>5968</v>
      </c>
      <c r="B5969" s="23">
        <v>1201.421756</v>
      </c>
      <c r="C5969" s="23">
        <v>36.28</v>
      </c>
      <c r="D5969" s="23">
        <v>114.458</v>
      </c>
      <c r="E5969" s="23">
        <v>114.458</v>
      </c>
      <c r="F5969" s="23">
        <v>0</v>
      </c>
      <c r="G5969" s="23">
        <v>0</v>
      </c>
      <c r="H5969" s="23">
        <v>0</v>
      </c>
      <c r="I5969" s="23">
        <v>1086.9639999999999</v>
      </c>
      <c r="J5969" s="23">
        <v>0</v>
      </c>
      <c r="K5969" s="23">
        <v>0</v>
      </c>
    </row>
    <row r="5970" spans="1:11" x14ac:dyDescent="0.25">
      <c r="A5970">
        <v>5969</v>
      </c>
      <c r="B5970" s="23">
        <v>1209.5908549999999</v>
      </c>
      <c r="C5970" s="23">
        <v>13.71</v>
      </c>
      <c r="D5970" s="23">
        <v>29.13</v>
      </c>
      <c r="E5970" s="23">
        <v>29.13</v>
      </c>
      <c r="F5970" s="23">
        <v>0</v>
      </c>
      <c r="G5970" s="23">
        <v>0</v>
      </c>
      <c r="H5970" s="23">
        <v>0</v>
      </c>
      <c r="I5970" s="23">
        <v>1180.461</v>
      </c>
      <c r="J5970" s="23">
        <v>0</v>
      </c>
      <c r="K5970" s="23">
        <v>0</v>
      </c>
    </row>
    <row r="5971" spans="1:11" x14ac:dyDescent="0.25">
      <c r="A5971">
        <v>5970</v>
      </c>
      <c r="B5971" s="23">
        <v>1315.1215790000001</v>
      </c>
      <c r="C5971" s="23">
        <v>4.8899999999999997</v>
      </c>
      <c r="D5971" s="23">
        <v>0</v>
      </c>
      <c r="E5971" s="23">
        <v>0</v>
      </c>
      <c r="F5971" s="23">
        <v>0</v>
      </c>
      <c r="G5971" s="23">
        <v>0</v>
      </c>
      <c r="H5971" s="23">
        <v>0</v>
      </c>
      <c r="I5971" s="23">
        <v>0</v>
      </c>
      <c r="J5971" s="23">
        <v>0</v>
      </c>
      <c r="K5971" s="23">
        <v>1315.1220000000001</v>
      </c>
    </row>
    <row r="5972" spans="1:11" x14ac:dyDescent="0.25">
      <c r="A5972">
        <v>5971</v>
      </c>
      <c r="B5972" s="23">
        <v>1232.4093310000001</v>
      </c>
      <c r="C5972" s="23">
        <v>0</v>
      </c>
      <c r="D5972" s="23">
        <v>0</v>
      </c>
      <c r="E5972" s="23">
        <v>0</v>
      </c>
      <c r="F5972" s="23">
        <v>0</v>
      </c>
      <c r="G5972" s="23">
        <v>0</v>
      </c>
      <c r="H5972" s="23">
        <v>0</v>
      </c>
      <c r="I5972" s="23">
        <v>0</v>
      </c>
      <c r="J5972" s="23">
        <v>0</v>
      </c>
      <c r="K5972" s="23">
        <v>1232.4090000000001</v>
      </c>
    </row>
    <row r="5973" spans="1:11" x14ac:dyDescent="0.25">
      <c r="A5973">
        <v>5972</v>
      </c>
      <c r="B5973" s="23">
        <v>1067.268008</v>
      </c>
      <c r="C5973" s="23">
        <v>0</v>
      </c>
      <c r="D5973" s="23">
        <v>0</v>
      </c>
      <c r="E5973" s="23">
        <v>0</v>
      </c>
      <c r="F5973" s="23">
        <v>0</v>
      </c>
      <c r="G5973" s="23">
        <v>0</v>
      </c>
      <c r="H5973" s="23">
        <v>0</v>
      </c>
      <c r="I5973" s="23">
        <v>0</v>
      </c>
      <c r="J5973" s="23">
        <v>0</v>
      </c>
      <c r="K5973" s="23">
        <v>1067.268</v>
      </c>
    </row>
    <row r="5974" spans="1:11" x14ac:dyDescent="0.25">
      <c r="A5974">
        <v>5973</v>
      </c>
      <c r="B5974" s="23">
        <v>1498.264361</v>
      </c>
      <c r="C5974" s="23">
        <v>0</v>
      </c>
      <c r="D5974" s="23">
        <v>0</v>
      </c>
      <c r="E5974" s="23">
        <v>0</v>
      </c>
      <c r="F5974" s="23">
        <v>0</v>
      </c>
      <c r="G5974" s="23">
        <v>0</v>
      </c>
      <c r="H5974" s="23">
        <v>0</v>
      </c>
      <c r="I5974" s="23">
        <v>1498.2639999999999</v>
      </c>
      <c r="J5974" s="23">
        <v>0</v>
      </c>
      <c r="K5974" s="23">
        <v>0</v>
      </c>
    </row>
    <row r="5975" spans="1:11" x14ac:dyDescent="0.25">
      <c r="A5975">
        <v>5974</v>
      </c>
      <c r="B5975" s="23">
        <v>1077.8997959999999</v>
      </c>
      <c r="C5975" s="23">
        <v>0</v>
      </c>
      <c r="D5975" s="23">
        <v>0</v>
      </c>
      <c r="E5975" s="23">
        <v>0</v>
      </c>
      <c r="F5975" s="23">
        <v>0</v>
      </c>
      <c r="G5975" s="23">
        <v>0</v>
      </c>
      <c r="H5975" s="23">
        <v>0</v>
      </c>
      <c r="I5975" s="23">
        <v>1077.9000000000001</v>
      </c>
      <c r="J5975" s="23">
        <v>0</v>
      </c>
      <c r="K5975" s="23">
        <v>0</v>
      </c>
    </row>
    <row r="5976" spans="1:11" x14ac:dyDescent="0.25">
      <c r="A5976">
        <v>5975</v>
      </c>
      <c r="B5976" s="23">
        <v>1290.535568</v>
      </c>
      <c r="C5976" s="23">
        <v>0</v>
      </c>
      <c r="D5976" s="23">
        <v>0</v>
      </c>
      <c r="E5976" s="23">
        <v>0</v>
      </c>
      <c r="F5976" s="23">
        <v>0</v>
      </c>
      <c r="G5976" s="23">
        <v>0</v>
      </c>
      <c r="H5976" s="23">
        <v>0</v>
      </c>
      <c r="I5976" s="23">
        <v>1290.5360000000001</v>
      </c>
      <c r="J5976" s="23">
        <v>0</v>
      </c>
      <c r="K5976" s="23">
        <v>0</v>
      </c>
    </row>
    <row r="5977" spans="1:11" x14ac:dyDescent="0.25">
      <c r="A5977">
        <v>5976</v>
      </c>
      <c r="B5977" s="23">
        <v>956.86097259999997</v>
      </c>
      <c r="C5977" s="23">
        <v>0</v>
      </c>
      <c r="D5977" s="23">
        <v>0</v>
      </c>
      <c r="E5977" s="23">
        <v>0</v>
      </c>
      <c r="F5977" s="23">
        <v>0</v>
      </c>
      <c r="G5977" s="23">
        <v>0</v>
      </c>
      <c r="H5977" s="23">
        <v>0</v>
      </c>
      <c r="I5977" s="23">
        <v>956.86099999999999</v>
      </c>
      <c r="J5977" s="23">
        <v>0</v>
      </c>
      <c r="K5977" s="23">
        <v>0</v>
      </c>
    </row>
    <row r="5978" spans="1:11" x14ac:dyDescent="0.25">
      <c r="A5978">
        <v>5977</v>
      </c>
      <c r="B5978" s="23">
        <v>1195.667301</v>
      </c>
      <c r="C5978" s="23">
        <v>0</v>
      </c>
      <c r="D5978" s="23">
        <v>0</v>
      </c>
      <c r="E5978" s="23">
        <v>0</v>
      </c>
      <c r="F5978" s="23">
        <v>0</v>
      </c>
      <c r="G5978" s="23">
        <v>0</v>
      </c>
      <c r="H5978" s="23">
        <v>0</v>
      </c>
      <c r="I5978" s="23">
        <v>1195.6669999999999</v>
      </c>
      <c r="J5978" s="23">
        <v>0</v>
      </c>
      <c r="K5978" s="23">
        <v>0</v>
      </c>
    </row>
    <row r="5979" spans="1:11" x14ac:dyDescent="0.25">
      <c r="A5979">
        <v>5978</v>
      </c>
      <c r="B5979" s="23">
        <v>1304.438676</v>
      </c>
      <c r="C5979" s="23">
        <v>0</v>
      </c>
      <c r="D5979" s="23">
        <v>0</v>
      </c>
      <c r="E5979" s="23">
        <v>0</v>
      </c>
      <c r="F5979" s="23">
        <v>0</v>
      </c>
      <c r="G5979" s="23">
        <v>0</v>
      </c>
      <c r="H5979" s="23">
        <v>0</v>
      </c>
      <c r="I5979" s="23">
        <v>1304.4390000000001</v>
      </c>
      <c r="J5979" s="23">
        <v>0</v>
      </c>
      <c r="K5979" s="23">
        <v>0</v>
      </c>
    </row>
    <row r="5980" spans="1:11" x14ac:dyDescent="0.25">
      <c r="A5980">
        <v>5979</v>
      </c>
      <c r="B5980" s="23">
        <v>1028.830003</v>
      </c>
      <c r="C5980" s="23">
        <v>0</v>
      </c>
      <c r="D5980" s="23">
        <v>0</v>
      </c>
      <c r="E5980" s="23">
        <v>0</v>
      </c>
      <c r="F5980" s="23">
        <v>0</v>
      </c>
      <c r="G5980" s="23">
        <v>0</v>
      </c>
      <c r="H5980" s="23">
        <v>0</v>
      </c>
      <c r="I5980" s="23">
        <v>1028.83</v>
      </c>
      <c r="J5980" s="23">
        <v>0</v>
      </c>
      <c r="K5980" s="23">
        <v>0</v>
      </c>
    </row>
    <row r="5981" spans="1:11" x14ac:dyDescent="0.25">
      <c r="A5981">
        <v>5980</v>
      </c>
      <c r="B5981" s="23">
        <v>1461.4620150000001</v>
      </c>
      <c r="C5981" s="23">
        <v>0</v>
      </c>
      <c r="D5981" s="23">
        <v>0</v>
      </c>
      <c r="E5981" s="23">
        <v>0</v>
      </c>
      <c r="F5981" s="23">
        <v>0</v>
      </c>
      <c r="G5981" s="23">
        <v>0</v>
      </c>
      <c r="H5981" s="23">
        <v>0</v>
      </c>
      <c r="I5981" s="23">
        <v>1461.462</v>
      </c>
      <c r="J5981" s="23">
        <v>0</v>
      </c>
      <c r="K5981" s="23">
        <v>0</v>
      </c>
    </row>
    <row r="5982" spans="1:11" x14ac:dyDescent="0.25">
      <c r="A5982">
        <v>5981</v>
      </c>
      <c r="B5982" s="23">
        <v>1392.7643049999999</v>
      </c>
      <c r="C5982" s="23">
        <v>0</v>
      </c>
      <c r="D5982" s="23">
        <v>0</v>
      </c>
      <c r="E5982" s="23">
        <v>0</v>
      </c>
      <c r="F5982" s="23">
        <v>0</v>
      </c>
      <c r="G5982" s="23">
        <v>0</v>
      </c>
      <c r="H5982" s="23">
        <v>0</v>
      </c>
      <c r="I5982" s="23">
        <v>701.72400000000005</v>
      </c>
      <c r="J5982" s="23">
        <v>0</v>
      </c>
      <c r="K5982" s="23">
        <v>691.04100000000005</v>
      </c>
    </row>
    <row r="5983" spans="1:11" x14ac:dyDescent="0.25">
      <c r="A5983">
        <v>5982</v>
      </c>
      <c r="B5983" s="23">
        <v>1118.791291</v>
      </c>
      <c r="C5983" s="23">
        <v>0</v>
      </c>
      <c r="D5983" s="23">
        <v>0</v>
      </c>
      <c r="E5983" s="23">
        <v>0</v>
      </c>
      <c r="F5983" s="23">
        <v>0</v>
      </c>
      <c r="G5983" s="23">
        <v>0</v>
      </c>
      <c r="H5983" s="23">
        <v>0</v>
      </c>
      <c r="I5983" s="23">
        <v>0</v>
      </c>
      <c r="J5983" s="23">
        <v>0</v>
      </c>
      <c r="K5983" s="23">
        <v>1118.7909999999999</v>
      </c>
    </row>
    <row r="5984" spans="1:11" x14ac:dyDescent="0.25">
      <c r="A5984">
        <v>5983</v>
      </c>
      <c r="B5984" s="23">
        <v>1271.7254809999999</v>
      </c>
      <c r="C5984" s="23">
        <v>43.12</v>
      </c>
      <c r="D5984" s="23">
        <v>144.50700000000001</v>
      </c>
      <c r="E5984" s="23">
        <v>144.50700000000001</v>
      </c>
      <c r="F5984" s="23">
        <v>0</v>
      </c>
      <c r="G5984" s="23">
        <v>0</v>
      </c>
      <c r="H5984" s="23">
        <v>0</v>
      </c>
      <c r="I5984" s="23">
        <v>0</v>
      </c>
      <c r="J5984" s="23">
        <v>0</v>
      </c>
      <c r="K5984" s="23">
        <v>1127.2190000000001</v>
      </c>
    </row>
    <row r="5985" spans="1:11" x14ac:dyDescent="0.25">
      <c r="A5985">
        <v>5984</v>
      </c>
      <c r="B5985" s="23">
        <v>186.08287970000001</v>
      </c>
      <c r="C5985" s="23">
        <v>150</v>
      </c>
      <c r="D5985" s="23">
        <v>580.64700000000005</v>
      </c>
      <c r="E5985" s="23">
        <v>186.083</v>
      </c>
      <c r="F5985" s="23">
        <v>-394.56400000000002</v>
      </c>
      <c r="G5985" s="23">
        <v>0</v>
      </c>
      <c r="H5985" s="23">
        <v>0</v>
      </c>
      <c r="I5985" s="23">
        <v>0</v>
      </c>
      <c r="J5985" s="23">
        <v>0</v>
      </c>
      <c r="K5985" s="23">
        <v>0</v>
      </c>
    </row>
    <row r="5986" spans="1:11" x14ac:dyDescent="0.25">
      <c r="A5986">
        <v>5985</v>
      </c>
      <c r="B5986" s="23">
        <v>155.6841426</v>
      </c>
      <c r="C5986" s="23">
        <v>396.97</v>
      </c>
      <c r="D5986" s="23">
        <v>1557.771</v>
      </c>
      <c r="E5986" s="23">
        <v>155.684</v>
      </c>
      <c r="F5986" s="23">
        <v>-1402.087</v>
      </c>
      <c r="G5986" s="23">
        <v>0</v>
      </c>
      <c r="H5986" s="23">
        <v>0</v>
      </c>
      <c r="I5986" s="23">
        <v>0</v>
      </c>
      <c r="J5986" s="23">
        <v>0</v>
      </c>
      <c r="K5986" s="23">
        <v>0</v>
      </c>
    </row>
    <row r="5987" spans="1:11" x14ac:dyDescent="0.25">
      <c r="A5987">
        <v>5986</v>
      </c>
      <c r="B5987" s="23">
        <v>185.2026903</v>
      </c>
      <c r="C5987" s="23">
        <v>506.51</v>
      </c>
      <c r="D5987" s="23">
        <v>1953.1790000000001</v>
      </c>
      <c r="E5987" s="23">
        <v>185.203</v>
      </c>
      <c r="F5987" s="23">
        <v>-1684.559</v>
      </c>
      <c r="G5987" s="23">
        <v>0</v>
      </c>
      <c r="H5987" s="23">
        <v>83.417000000000002</v>
      </c>
      <c r="I5987" s="23">
        <v>0</v>
      </c>
      <c r="J5987" s="23">
        <v>0</v>
      </c>
      <c r="K5987" s="23">
        <v>0</v>
      </c>
    </row>
    <row r="5988" spans="1:11" x14ac:dyDescent="0.25">
      <c r="A5988">
        <v>5987</v>
      </c>
      <c r="B5988" s="23">
        <v>174.4073357</v>
      </c>
      <c r="C5988" s="23">
        <v>686.72</v>
      </c>
      <c r="D5988" s="23">
        <v>2604.4679999999998</v>
      </c>
      <c r="E5988" s="23">
        <v>174.40799999999999</v>
      </c>
      <c r="F5988" s="23">
        <v>-1684.559</v>
      </c>
      <c r="G5988" s="23">
        <v>0</v>
      </c>
      <c r="H5988" s="23">
        <v>745.50099999999998</v>
      </c>
      <c r="I5988" s="23">
        <v>0</v>
      </c>
      <c r="J5988" s="23">
        <v>0</v>
      </c>
      <c r="K5988" s="23">
        <v>0</v>
      </c>
    </row>
    <row r="5989" spans="1:11" x14ac:dyDescent="0.25">
      <c r="A5989">
        <v>5988</v>
      </c>
      <c r="B5989" s="23">
        <v>189.55252300000001</v>
      </c>
      <c r="C5989" s="23">
        <v>538.19000000000005</v>
      </c>
      <c r="D5989" s="23">
        <v>2046.2139999999999</v>
      </c>
      <c r="E5989" s="23">
        <v>189.553</v>
      </c>
      <c r="F5989" s="23">
        <v>-1684.559</v>
      </c>
      <c r="G5989" s="23">
        <v>0</v>
      </c>
      <c r="H5989" s="23">
        <v>172.102</v>
      </c>
      <c r="I5989" s="23">
        <v>0</v>
      </c>
      <c r="J5989" s="23">
        <v>0</v>
      </c>
      <c r="K5989" s="23">
        <v>0</v>
      </c>
    </row>
    <row r="5990" spans="1:11" x14ac:dyDescent="0.25">
      <c r="A5990">
        <v>5989</v>
      </c>
      <c r="B5990" s="23">
        <v>199.819355</v>
      </c>
      <c r="C5990" s="23">
        <v>263.85000000000002</v>
      </c>
      <c r="D5990" s="23">
        <v>1001.801</v>
      </c>
      <c r="E5990" s="23">
        <v>199.82</v>
      </c>
      <c r="F5990" s="23">
        <v>-441.16899999999998</v>
      </c>
      <c r="G5990" s="23">
        <v>0</v>
      </c>
      <c r="H5990" s="23">
        <v>360.81200000000001</v>
      </c>
      <c r="I5990" s="23">
        <v>0</v>
      </c>
      <c r="J5990" s="23">
        <v>0</v>
      </c>
      <c r="K5990" s="23">
        <v>0</v>
      </c>
    </row>
    <row r="5991" spans="1:11" x14ac:dyDescent="0.25">
      <c r="A5991">
        <v>5990</v>
      </c>
      <c r="B5991" s="23">
        <v>201.44990340000001</v>
      </c>
      <c r="C5991" s="23">
        <v>546.76</v>
      </c>
      <c r="D5991" s="23">
        <v>2085.1999999999998</v>
      </c>
      <c r="E5991" s="23">
        <v>201.45</v>
      </c>
      <c r="F5991" s="23">
        <v>0</v>
      </c>
      <c r="G5991" s="23">
        <v>0</v>
      </c>
      <c r="H5991" s="23">
        <v>1883.75</v>
      </c>
      <c r="I5991" s="23">
        <v>0</v>
      </c>
      <c r="J5991" s="23">
        <v>0</v>
      </c>
      <c r="K5991" s="23">
        <v>0</v>
      </c>
    </row>
    <row r="5992" spans="1:11" x14ac:dyDescent="0.25">
      <c r="A5992">
        <v>5991</v>
      </c>
      <c r="B5992" s="23">
        <v>132.42403830000001</v>
      </c>
      <c r="C5992" s="23">
        <v>401.76</v>
      </c>
      <c r="D5992" s="23">
        <v>1549.9659999999999</v>
      </c>
      <c r="E5992" s="23">
        <v>132.42400000000001</v>
      </c>
      <c r="F5992" s="23">
        <v>0</v>
      </c>
      <c r="G5992" s="23">
        <v>0</v>
      </c>
      <c r="H5992" s="23">
        <v>1417.5419999999999</v>
      </c>
      <c r="I5992" s="23">
        <v>0</v>
      </c>
      <c r="J5992" s="23">
        <v>0</v>
      </c>
      <c r="K5992" s="23">
        <v>0</v>
      </c>
    </row>
    <row r="5993" spans="1:11" x14ac:dyDescent="0.25">
      <c r="A5993">
        <v>5992</v>
      </c>
      <c r="B5993" s="23">
        <v>181.75860410000001</v>
      </c>
      <c r="C5993" s="23">
        <v>55.68</v>
      </c>
      <c r="D5993" s="23">
        <v>191.15899999999999</v>
      </c>
      <c r="E5993" s="23">
        <v>181.75899999999999</v>
      </c>
      <c r="F5993" s="23">
        <v>0</v>
      </c>
      <c r="G5993" s="23">
        <v>0</v>
      </c>
      <c r="H5993" s="23">
        <v>9.4</v>
      </c>
      <c r="I5993" s="23">
        <v>0</v>
      </c>
      <c r="J5993" s="23">
        <v>0</v>
      </c>
      <c r="K5993" s="23">
        <v>0</v>
      </c>
    </row>
    <row r="5994" spans="1:11" x14ac:dyDescent="0.25">
      <c r="A5994">
        <v>5993</v>
      </c>
      <c r="B5994" s="23">
        <v>119.9633776</v>
      </c>
      <c r="C5994" s="23">
        <v>144.99</v>
      </c>
      <c r="D5994" s="23">
        <v>556.73500000000001</v>
      </c>
      <c r="E5994" s="23">
        <v>119.964</v>
      </c>
      <c r="F5994" s="23">
        <v>0</v>
      </c>
      <c r="G5994" s="23">
        <v>0</v>
      </c>
      <c r="H5994" s="23">
        <v>436.77100000000002</v>
      </c>
      <c r="I5994" s="23">
        <v>0</v>
      </c>
      <c r="J5994" s="23">
        <v>0</v>
      </c>
      <c r="K5994" s="23">
        <v>0</v>
      </c>
    </row>
    <row r="5995" spans="1:11" x14ac:dyDescent="0.25">
      <c r="A5995">
        <v>5994</v>
      </c>
      <c r="B5995" s="23">
        <v>101.473266</v>
      </c>
      <c r="C5995" s="23">
        <v>31.32</v>
      </c>
      <c r="D5995" s="23">
        <v>92.1</v>
      </c>
      <c r="E5995" s="23">
        <v>92.1</v>
      </c>
      <c r="F5995" s="23">
        <v>0</v>
      </c>
      <c r="G5995" s="23">
        <v>0</v>
      </c>
      <c r="H5995" s="23">
        <v>0</v>
      </c>
      <c r="I5995" s="23">
        <v>0</v>
      </c>
      <c r="J5995" s="23">
        <v>0</v>
      </c>
      <c r="K5995" s="23">
        <v>9.3729999999999993</v>
      </c>
    </row>
    <row r="5996" spans="1:11" x14ac:dyDescent="0.25">
      <c r="A5996">
        <v>5995</v>
      </c>
      <c r="B5996" s="23">
        <v>112.5998417</v>
      </c>
      <c r="C5996" s="23">
        <v>0</v>
      </c>
      <c r="D5996" s="23">
        <v>0</v>
      </c>
      <c r="E5996" s="23">
        <v>0</v>
      </c>
      <c r="F5996" s="23">
        <v>0</v>
      </c>
      <c r="G5996" s="23">
        <v>0</v>
      </c>
      <c r="H5996" s="23">
        <v>0</v>
      </c>
      <c r="I5996" s="23">
        <v>0</v>
      </c>
      <c r="J5996" s="23">
        <v>0</v>
      </c>
      <c r="K5996" s="23">
        <v>112.6</v>
      </c>
    </row>
    <row r="5997" spans="1:11" x14ac:dyDescent="0.25">
      <c r="A5997">
        <v>5996</v>
      </c>
      <c r="B5997" s="23">
        <v>110.4070353</v>
      </c>
      <c r="C5997" s="23">
        <v>0</v>
      </c>
      <c r="D5997" s="23">
        <v>0</v>
      </c>
      <c r="E5997" s="23">
        <v>0</v>
      </c>
      <c r="F5997" s="23">
        <v>0</v>
      </c>
      <c r="G5997" s="23">
        <v>0</v>
      </c>
      <c r="H5997" s="23">
        <v>0</v>
      </c>
      <c r="I5997" s="23">
        <v>0</v>
      </c>
      <c r="J5997" s="23">
        <v>0</v>
      </c>
      <c r="K5997" s="23">
        <v>110.407</v>
      </c>
    </row>
    <row r="5998" spans="1:11" x14ac:dyDescent="0.25">
      <c r="A5998">
        <v>5997</v>
      </c>
      <c r="B5998" s="23">
        <v>102.2287364</v>
      </c>
      <c r="C5998" s="23">
        <v>0</v>
      </c>
      <c r="D5998" s="23">
        <v>0</v>
      </c>
      <c r="E5998" s="23">
        <v>0</v>
      </c>
      <c r="F5998" s="23">
        <v>0</v>
      </c>
      <c r="G5998" s="23">
        <v>0</v>
      </c>
      <c r="H5998" s="23">
        <v>0</v>
      </c>
      <c r="I5998" s="23">
        <v>0</v>
      </c>
      <c r="J5998" s="23">
        <v>0</v>
      </c>
      <c r="K5998" s="23">
        <v>102.229</v>
      </c>
    </row>
    <row r="5999" spans="1:11" x14ac:dyDescent="0.25">
      <c r="A5999">
        <v>5998</v>
      </c>
      <c r="B5999" s="23">
        <v>93.232607590000001</v>
      </c>
      <c r="C5999" s="23">
        <v>0</v>
      </c>
      <c r="D5999" s="23">
        <v>0</v>
      </c>
      <c r="E5999" s="23">
        <v>0</v>
      </c>
      <c r="F5999" s="23">
        <v>0</v>
      </c>
      <c r="G5999" s="23">
        <v>0</v>
      </c>
      <c r="H5999" s="23">
        <v>0</v>
      </c>
      <c r="I5999" s="23">
        <v>0</v>
      </c>
      <c r="J5999" s="23">
        <v>0</v>
      </c>
      <c r="K5999" s="23">
        <v>93.233000000000004</v>
      </c>
    </row>
    <row r="6000" spans="1:11" x14ac:dyDescent="0.25">
      <c r="A6000">
        <v>5999</v>
      </c>
      <c r="B6000" s="23">
        <v>102.2287364</v>
      </c>
      <c r="C6000" s="23">
        <v>0</v>
      </c>
      <c r="D6000" s="23">
        <v>0</v>
      </c>
      <c r="E6000" s="23">
        <v>0</v>
      </c>
      <c r="F6000" s="23">
        <v>0</v>
      </c>
      <c r="G6000" s="23">
        <v>0</v>
      </c>
      <c r="H6000" s="23">
        <v>0</v>
      </c>
      <c r="I6000" s="23">
        <v>0</v>
      </c>
      <c r="J6000" s="23">
        <v>0</v>
      </c>
      <c r="K6000" s="23">
        <v>102.229</v>
      </c>
    </row>
    <row r="6001" spans="1:11" x14ac:dyDescent="0.25">
      <c r="A6001">
        <v>6000</v>
      </c>
      <c r="B6001" s="23">
        <v>95.686097259999997</v>
      </c>
      <c r="C6001" s="23">
        <v>0</v>
      </c>
      <c r="D6001" s="23">
        <v>0</v>
      </c>
      <c r="E6001" s="23">
        <v>0</v>
      </c>
      <c r="F6001" s="23">
        <v>0</v>
      </c>
      <c r="G6001" s="23">
        <v>0</v>
      </c>
      <c r="H6001" s="23">
        <v>0</v>
      </c>
      <c r="I6001" s="23">
        <v>0</v>
      </c>
      <c r="J6001" s="23">
        <v>0</v>
      </c>
      <c r="K6001" s="23">
        <v>95.686000000000007</v>
      </c>
    </row>
    <row r="6002" spans="1:11" x14ac:dyDescent="0.25">
      <c r="A6002">
        <v>6001</v>
      </c>
      <c r="B6002" s="23">
        <v>100.5930766</v>
      </c>
      <c r="C6002" s="23">
        <v>0</v>
      </c>
      <c r="D6002" s="23">
        <v>0</v>
      </c>
      <c r="E6002" s="23">
        <v>0</v>
      </c>
      <c r="F6002" s="23">
        <v>0</v>
      </c>
      <c r="G6002" s="23">
        <v>0</v>
      </c>
      <c r="H6002" s="23">
        <v>0</v>
      </c>
      <c r="I6002" s="23">
        <v>0</v>
      </c>
      <c r="J6002" s="23">
        <v>0</v>
      </c>
      <c r="K6002" s="23">
        <v>100.593</v>
      </c>
    </row>
    <row r="6003" spans="1:11" x14ac:dyDescent="0.25">
      <c r="A6003">
        <v>6002</v>
      </c>
      <c r="B6003" s="23">
        <v>92.414777700000002</v>
      </c>
      <c r="C6003" s="23">
        <v>0</v>
      </c>
      <c r="D6003" s="23">
        <v>0</v>
      </c>
      <c r="E6003" s="23">
        <v>0</v>
      </c>
      <c r="F6003" s="23">
        <v>0</v>
      </c>
      <c r="G6003" s="23">
        <v>0</v>
      </c>
      <c r="H6003" s="23">
        <v>0</v>
      </c>
      <c r="I6003" s="23">
        <v>0</v>
      </c>
      <c r="J6003" s="23">
        <v>0</v>
      </c>
      <c r="K6003" s="23">
        <v>92.415000000000006</v>
      </c>
    </row>
    <row r="6004" spans="1:11" x14ac:dyDescent="0.25">
      <c r="A6004">
        <v>6003</v>
      </c>
      <c r="B6004" s="23">
        <v>98.957416820000006</v>
      </c>
      <c r="C6004" s="23">
        <v>0</v>
      </c>
      <c r="D6004" s="23">
        <v>0</v>
      </c>
      <c r="E6004" s="23">
        <v>0</v>
      </c>
      <c r="F6004" s="23">
        <v>0</v>
      </c>
      <c r="G6004" s="23">
        <v>0</v>
      </c>
      <c r="H6004" s="23">
        <v>0</v>
      </c>
      <c r="I6004" s="23">
        <v>0</v>
      </c>
      <c r="J6004" s="23">
        <v>0</v>
      </c>
      <c r="K6004" s="23">
        <v>98.956999999999994</v>
      </c>
    </row>
    <row r="6005" spans="1:11" x14ac:dyDescent="0.25">
      <c r="A6005">
        <v>6004</v>
      </c>
      <c r="B6005" s="23">
        <v>93.232607590000001</v>
      </c>
      <c r="C6005" s="23">
        <v>0</v>
      </c>
      <c r="D6005" s="23">
        <v>0</v>
      </c>
      <c r="E6005" s="23">
        <v>0</v>
      </c>
      <c r="F6005" s="23">
        <v>0</v>
      </c>
      <c r="G6005" s="23">
        <v>0</v>
      </c>
      <c r="H6005" s="23">
        <v>0</v>
      </c>
      <c r="I6005" s="23">
        <v>0</v>
      </c>
      <c r="J6005" s="23">
        <v>0</v>
      </c>
      <c r="K6005" s="23">
        <v>93.233000000000004</v>
      </c>
    </row>
    <row r="6006" spans="1:11" x14ac:dyDescent="0.25">
      <c r="A6006">
        <v>6005</v>
      </c>
      <c r="B6006" s="23">
        <v>98.957416820000006</v>
      </c>
      <c r="C6006" s="23">
        <v>0</v>
      </c>
      <c r="D6006" s="23">
        <v>0</v>
      </c>
      <c r="E6006" s="23">
        <v>0</v>
      </c>
      <c r="F6006" s="23">
        <v>0</v>
      </c>
      <c r="G6006" s="23">
        <v>0</v>
      </c>
      <c r="H6006" s="23">
        <v>0</v>
      </c>
      <c r="I6006" s="23">
        <v>0</v>
      </c>
      <c r="J6006" s="23">
        <v>0</v>
      </c>
      <c r="K6006" s="23">
        <v>98.956999999999994</v>
      </c>
    </row>
    <row r="6007" spans="1:11" x14ac:dyDescent="0.25">
      <c r="A6007">
        <v>6006</v>
      </c>
      <c r="B6007" s="23">
        <v>91.596947799999995</v>
      </c>
      <c r="C6007" s="23">
        <v>0</v>
      </c>
      <c r="D6007" s="23">
        <v>0</v>
      </c>
      <c r="E6007" s="23">
        <v>0</v>
      </c>
      <c r="F6007" s="23">
        <v>0</v>
      </c>
      <c r="G6007" s="23">
        <v>0</v>
      </c>
      <c r="H6007" s="23">
        <v>0</v>
      </c>
      <c r="I6007" s="23">
        <v>0</v>
      </c>
      <c r="J6007" s="23">
        <v>0</v>
      </c>
      <c r="K6007" s="23">
        <v>91.596999999999994</v>
      </c>
    </row>
    <row r="6008" spans="1:11" x14ac:dyDescent="0.25">
      <c r="A6008">
        <v>6007</v>
      </c>
      <c r="B6008" s="23">
        <v>94.868267369999998</v>
      </c>
      <c r="C6008" s="23">
        <v>78.23</v>
      </c>
      <c r="D6008" s="23">
        <v>278.25400000000002</v>
      </c>
      <c r="E6008" s="23">
        <v>94.869</v>
      </c>
      <c r="F6008" s="23">
        <v>-183.38499999999999</v>
      </c>
      <c r="G6008" s="23">
        <v>0</v>
      </c>
      <c r="H6008" s="23">
        <v>0</v>
      </c>
      <c r="I6008" s="23">
        <v>0</v>
      </c>
      <c r="J6008" s="23">
        <v>0</v>
      </c>
      <c r="K6008" s="23">
        <v>0</v>
      </c>
    </row>
    <row r="6009" spans="1:11" x14ac:dyDescent="0.25">
      <c r="A6009">
        <v>6008</v>
      </c>
      <c r="B6009" s="23">
        <v>88.673205940000003</v>
      </c>
      <c r="C6009" s="23">
        <v>272.44</v>
      </c>
      <c r="D6009" s="23">
        <v>1084.241</v>
      </c>
      <c r="E6009" s="23">
        <v>88.673000000000002</v>
      </c>
      <c r="F6009" s="23">
        <v>-995.56799999999998</v>
      </c>
      <c r="G6009" s="23">
        <v>0</v>
      </c>
      <c r="H6009" s="23">
        <v>0</v>
      </c>
      <c r="I6009" s="23">
        <v>0</v>
      </c>
      <c r="J6009" s="23">
        <v>0</v>
      </c>
      <c r="K6009" s="23">
        <v>0</v>
      </c>
    </row>
    <row r="6010" spans="1:11" x14ac:dyDescent="0.25">
      <c r="A6010">
        <v>6009</v>
      </c>
      <c r="B6010" s="23">
        <v>877.3750632</v>
      </c>
      <c r="C6010" s="23">
        <v>601.38</v>
      </c>
      <c r="D6010" s="23">
        <v>2415.4580000000001</v>
      </c>
      <c r="E6010" s="23">
        <v>877.375</v>
      </c>
      <c r="F6010" s="23">
        <v>-158.19499999999999</v>
      </c>
      <c r="G6010" s="23">
        <v>0</v>
      </c>
      <c r="H6010" s="23">
        <v>1379.8879999999999</v>
      </c>
      <c r="I6010" s="23">
        <v>0</v>
      </c>
      <c r="J6010" s="23">
        <v>0</v>
      </c>
      <c r="K6010" s="23">
        <v>0</v>
      </c>
    </row>
    <row r="6011" spans="1:11" x14ac:dyDescent="0.25">
      <c r="A6011">
        <v>6010</v>
      </c>
      <c r="B6011" s="23">
        <v>1234.0460129999999</v>
      </c>
      <c r="C6011" s="23">
        <v>335.97</v>
      </c>
      <c r="D6011" s="23">
        <v>1305.9760000000001</v>
      </c>
      <c r="E6011" s="23">
        <v>1234.046</v>
      </c>
      <c r="F6011" s="23">
        <v>0</v>
      </c>
      <c r="G6011" s="23">
        <v>0</v>
      </c>
      <c r="H6011" s="23">
        <v>71.930000000000007</v>
      </c>
      <c r="I6011" s="23">
        <v>0</v>
      </c>
      <c r="J6011" s="23">
        <v>0</v>
      </c>
      <c r="K6011" s="23">
        <v>0</v>
      </c>
    </row>
    <row r="6012" spans="1:11" x14ac:dyDescent="0.25">
      <c r="A6012">
        <v>6011</v>
      </c>
      <c r="B6012" s="23">
        <v>1673.4271670000001</v>
      </c>
      <c r="C6012" s="23">
        <v>652.41</v>
      </c>
      <c r="D6012" s="23">
        <v>2510.0529999999999</v>
      </c>
      <c r="E6012" s="23">
        <v>1673.4269999999999</v>
      </c>
      <c r="F6012" s="23">
        <v>0</v>
      </c>
      <c r="G6012" s="23">
        <v>0</v>
      </c>
      <c r="H6012" s="23">
        <v>836.62599999999998</v>
      </c>
      <c r="I6012" s="23">
        <v>0</v>
      </c>
      <c r="J6012" s="23">
        <v>0</v>
      </c>
      <c r="K6012" s="23">
        <v>0</v>
      </c>
    </row>
    <row r="6013" spans="1:11" x14ac:dyDescent="0.25">
      <c r="A6013">
        <v>6012</v>
      </c>
      <c r="B6013" s="23">
        <v>1423.677252</v>
      </c>
      <c r="C6013" s="23">
        <v>470.67</v>
      </c>
      <c r="D6013" s="23">
        <v>1812.9490000000001</v>
      </c>
      <c r="E6013" s="23">
        <v>1423.6769999999999</v>
      </c>
      <c r="F6013" s="23">
        <v>0</v>
      </c>
      <c r="G6013" s="23">
        <v>0</v>
      </c>
      <c r="H6013" s="23">
        <v>389.27199999999999</v>
      </c>
      <c r="I6013" s="23">
        <v>0</v>
      </c>
      <c r="J6013" s="23">
        <v>0</v>
      </c>
      <c r="K6013" s="23">
        <v>0</v>
      </c>
    </row>
    <row r="6014" spans="1:11" x14ac:dyDescent="0.25">
      <c r="A6014">
        <v>6013</v>
      </c>
      <c r="B6014" s="23">
        <v>1772.2557750000001</v>
      </c>
      <c r="C6014" s="23">
        <v>191.29</v>
      </c>
      <c r="D6014" s="23">
        <v>722.91200000000003</v>
      </c>
      <c r="E6014" s="23">
        <v>722.91200000000003</v>
      </c>
      <c r="F6014" s="23">
        <v>0</v>
      </c>
      <c r="G6014" s="23">
        <v>0</v>
      </c>
      <c r="H6014" s="23">
        <v>0</v>
      </c>
      <c r="I6014" s="23">
        <v>1049.3440000000001</v>
      </c>
      <c r="J6014" s="23">
        <v>0</v>
      </c>
      <c r="K6014" s="23">
        <v>0</v>
      </c>
    </row>
    <row r="6015" spans="1:11" x14ac:dyDescent="0.25">
      <c r="A6015">
        <v>6014</v>
      </c>
      <c r="B6015" s="23">
        <v>1493.8664799999999</v>
      </c>
      <c r="C6015" s="23">
        <v>150.52000000000001</v>
      </c>
      <c r="D6015" s="23">
        <v>563.48599999999999</v>
      </c>
      <c r="E6015" s="23">
        <v>563.48599999999999</v>
      </c>
      <c r="F6015" s="23">
        <v>0</v>
      </c>
      <c r="G6015" s="23">
        <v>0</v>
      </c>
      <c r="H6015" s="23">
        <v>0</v>
      </c>
      <c r="I6015" s="23">
        <v>930.38</v>
      </c>
      <c r="J6015" s="23">
        <v>0</v>
      </c>
      <c r="K6015" s="23">
        <v>0</v>
      </c>
    </row>
    <row r="6016" spans="1:11" x14ac:dyDescent="0.25">
      <c r="A6016">
        <v>6015</v>
      </c>
      <c r="B6016" s="23">
        <v>1557.654145</v>
      </c>
      <c r="C6016" s="23">
        <v>48.09</v>
      </c>
      <c r="D6016" s="23">
        <v>159.22900000000001</v>
      </c>
      <c r="E6016" s="23">
        <v>159.22900000000001</v>
      </c>
      <c r="F6016" s="23">
        <v>0</v>
      </c>
      <c r="G6016" s="23">
        <v>0</v>
      </c>
      <c r="H6016" s="23">
        <v>0</v>
      </c>
      <c r="I6016" s="23">
        <v>1398.425</v>
      </c>
      <c r="J6016" s="23">
        <v>0</v>
      </c>
      <c r="K6016" s="23">
        <v>0</v>
      </c>
    </row>
    <row r="6017" spans="1:11" x14ac:dyDescent="0.25">
      <c r="A6017">
        <v>6016</v>
      </c>
      <c r="B6017" s="23">
        <v>1584.9706859999999</v>
      </c>
      <c r="C6017" s="23">
        <v>54.7</v>
      </c>
      <c r="D6017" s="23">
        <v>188.33799999999999</v>
      </c>
      <c r="E6017" s="23">
        <v>188.33799999999999</v>
      </c>
      <c r="F6017" s="23">
        <v>0</v>
      </c>
      <c r="G6017" s="23">
        <v>0</v>
      </c>
      <c r="H6017" s="23">
        <v>0</v>
      </c>
      <c r="I6017" s="23">
        <v>1396.6320000000001</v>
      </c>
      <c r="J6017" s="23">
        <v>0</v>
      </c>
      <c r="K6017" s="23">
        <v>0</v>
      </c>
    </row>
    <row r="6018" spans="1:11" x14ac:dyDescent="0.25">
      <c r="A6018">
        <v>6017</v>
      </c>
      <c r="B6018" s="23">
        <v>1772.479656</v>
      </c>
      <c r="C6018" s="23">
        <v>48.73</v>
      </c>
      <c r="D6018" s="23">
        <v>167.78899999999999</v>
      </c>
      <c r="E6018" s="23">
        <v>167.78899999999999</v>
      </c>
      <c r="F6018" s="23">
        <v>0</v>
      </c>
      <c r="G6018" s="23">
        <v>0</v>
      </c>
      <c r="H6018" s="23">
        <v>0</v>
      </c>
      <c r="I6018" s="23">
        <v>1604.691</v>
      </c>
      <c r="J6018" s="23">
        <v>0</v>
      </c>
      <c r="K6018" s="23">
        <v>0</v>
      </c>
    </row>
    <row r="6019" spans="1:11" x14ac:dyDescent="0.25">
      <c r="A6019">
        <v>6018</v>
      </c>
      <c r="B6019" s="23">
        <v>1755.7039199999999</v>
      </c>
      <c r="C6019" s="23">
        <v>12.73</v>
      </c>
      <c r="D6019" s="23">
        <v>23.256</v>
      </c>
      <c r="E6019" s="23">
        <v>23.256</v>
      </c>
      <c r="F6019" s="23">
        <v>0</v>
      </c>
      <c r="G6019" s="23">
        <v>0</v>
      </c>
      <c r="H6019" s="23">
        <v>0</v>
      </c>
      <c r="I6019" s="23">
        <v>47.887999999999998</v>
      </c>
      <c r="J6019" s="23">
        <v>0</v>
      </c>
      <c r="K6019" s="23">
        <v>1684.559</v>
      </c>
    </row>
    <row r="6020" spans="1:11" x14ac:dyDescent="0.25">
      <c r="A6020">
        <v>6019</v>
      </c>
      <c r="B6020" s="23">
        <v>1611.0829719999999</v>
      </c>
      <c r="C6020" s="23">
        <v>0</v>
      </c>
      <c r="D6020" s="23">
        <v>0</v>
      </c>
      <c r="E6020" s="23">
        <v>0</v>
      </c>
      <c r="F6020" s="23">
        <v>0</v>
      </c>
      <c r="G6020" s="23">
        <v>0</v>
      </c>
      <c r="H6020" s="23">
        <v>0</v>
      </c>
      <c r="I6020" s="23">
        <v>0</v>
      </c>
      <c r="J6020" s="23">
        <v>0</v>
      </c>
      <c r="K6020" s="23">
        <v>1611.0830000000001</v>
      </c>
    </row>
    <row r="6021" spans="1:11" x14ac:dyDescent="0.25">
      <c r="A6021">
        <v>6020</v>
      </c>
      <c r="B6021" s="23">
        <v>1745.2489880000001</v>
      </c>
      <c r="C6021" s="23">
        <v>0</v>
      </c>
      <c r="D6021" s="23">
        <v>0</v>
      </c>
      <c r="E6021" s="23">
        <v>0</v>
      </c>
      <c r="F6021" s="23">
        <v>0</v>
      </c>
      <c r="G6021" s="23">
        <v>0</v>
      </c>
      <c r="H6021" s="23">
        <v>0</v>
      </c>
      <c r="I6021" s="23">
        <v>60.69</v>
      </c>
      <c r="J6021" s="23">
        <v>0</v>
      </c>
      <c r="K6021" s="23">
        <v>1684.559</v>
      </c>
    </row>
    <row r="6022" spans="1:11" x14ac:dyDescent="0.25">
      <c r="A6022">
        <v>6021</v>
      </c>
      <c r="B6022" s="23">
        <v>1431.202309</v>
      </c>
      <c r="C6022" s="23">
        <v>0</v>
      </c>
      <c r="D6022" s="23">
        <v>0</v>
      </c>
      <c r="E6022" s="23">
        <v>0</v>
      </c>
      <c r="F6022" s="23">
        <v>0</v>
      </c>
      <c r="G6022" s="23">
        <v>0</v>
      </c>
      <c r="H6022" s="23">
        <v>0</v>
      </c>
      <c r="I6022" s="23">
        <v>1431.202</v>
      </c>
      <c r="J6022" s="23">
        <v>0</v>
      </c>
      <c r="K6022" s="23">
        <v>0</v>
      </c>
    </row>
    <row r="6023" spans="1:11" x14ac:dyDescent="0.25">
      <c r="A6023">
        <v>6022</v>
      </c>
      <c r="B6023" s="23">
        <v>1315.888295</v>
      </c>
      <c r="C6023" s="23">
        <v>0</v>
      </c>
      <c r="D6023" s="23">
        <v>0</v>
      </c>
      <c r="E6023" s="23">
        <v>0</v>
      </c>
      <c r="F6023" s="23">
        <v>0</v>
      </c>
      <c r="G6023" s="23">
        <v>0</v>
      </c>
      <c r="H6023" s="23">
        <v>0</v>
      </c>
      <c r="I6023" s="23">
        <v>1315.8879999999999</v>
      </c>
      <c r="J6023" s="23">
        <v>0</v>
      </c>
      <c r="K6023" s="23">
        <v>0</v>
      </c>
    </row>
    <row r="6024" spans="1:11" x14ac:dyDescent="0.25">
      <c r="A6024">
        <v>6023</v>
      </c>
      <c r="B6024" s="23">
        <v>1081.171116</v>
      </c>
      <c r="C6024" s="23">
        <v>0</v>
      </c>
      <c r="D6024" s="23">
        <v>0</v>
      </c>
      <c r="E6024" s="23">
        <v>0</v>
      </c>
      <c r="F6024" s="23">
        <v>0</v>
      </c>
      <c r="G6024" s="23">
        <v>0</v>
      </c>
      <c r="H6024" s="23">
        <v>0</v>
      </c>
      <c r="I6024" s="23">
        <v>1081.171</v>
      </c>
      <c r="J6024" s="23">
        <v>0</v>
      </c>
      <c r="K6024" s="23">
        <v>0</v>
      </c>
    </row>
    <row r="6025" spans="1:11" x14ac:dyDescent="0.25">
      <c r="A6025">
        <v>6024</v>
      </c>
      <c r="B6025" s="23">
        <v>1571.0512209999999</v>
      </c>
      <c r="C6025" s="23">
        <v>0</v>
      </c>
      <c r="D6025" s="23">
        <v>0</v>
      </c>
      <c r="E6025" s="23">
        <v>0</v>
      </c>
      <c r="F6025" s="23">
        <v>0</v>
      </c>
      <c r="G6025" s="23">
        <v>0</v>
      </c>
      <c r="H6025" s="23">
        <v>0</v>
      </c>
      <c r="I6025" s="23">
        <v>1571.0509999999999</v>
      </c>
      <c r="J6025" s="23">
        <v>0</v>
      </c>
      <c r="K6025" s="23">
        <v>0</v>
      </c>
    </row>
    <row r="6026" spans="1:11" x14ac:dyDescent="0.25">
      <c r="A6026">
        <v>6025</v>
      </c>
      <c r="B6026" s="23">
        <v>1019.833874</v>
      </c>
      <c r="C6026" s="23">
        <v>0</v>
      </c>
      <c r="D6026" s="23">
        <v>0</v>
      </c>
      <c r="E6026" s="23">
        <v>0</v>
      </c>
      <c r="F6026" s="23">
        <v>0</v>
      </c>
      <c r="G6026" s="23">
        <v>0</v>
      </c>
      <c r="H6026" s="23">
        <v>0</v>
      </c>
      <c r="I6026" s="23">
        <v>1019.8339999999999</v>
      </c>
      <c r="J6026" s="23">
        <v>0</v>
      </c>
      <c r="K6026" s="23">
        <v>0</v>
      </c>
    </row>
    <row r="6027" spans="1:11" x14ac:dyDescent="0.25">
      <c r="A6027">
        <v>6026</v>
      </c>
      <c r="B6027" s="23">
        <v>1302.803017</v>
      </c>
      <c r="C6027" s="23">
        <v>0</v>
      </c>
      <c r="D6027" s="23">
        <v>0</v>
      </c>
      <c r="E6027" s="23">
        <v>0</v>
      </c>
      <c r="F6027" s="23">
        <v>0</v>
      </c>
      <c r="G6027" s="23">
        <v>0</v>
      </c>
      <c r="H6027" s="23">
        <v>0</v>
      </c>
      <c r="I6027" s="23">
        <v>1302.8030000000001</v>
      </c>
      <c r="J6027" s="23">
        <v>0</v>
      </c>
      <c r="K6027" s="23">
        <v>0</v>
      </c>
    </row>
    <row r="6028" spans="1:11" x14ac:dyDescent="0.25">
      <c r="A6028">
        <v>6027</v>
      </c>
      <c r="B6028" s="23">
        <v>1215.295218</v>
      </c>
      <c r="C6028" s="23">
        <v>0</v>
      </c>
      <c r="D6028" s="23">
        <v>0</v>
      </c>
      <c r="E6028" s="23">
        <v>0</v>
      </c>
      <c r="F6028" s="23">
        <v>0</v>
      </c>
      <c r="G6028" s="23">
        <v>0</v>
      </c>
      <c r="H6028" s="23">
        <v>0</v>
      </c>
      <c r="I6028" s="23">
        <v>1215.2950000000001</v>
      </c>
      <c r="J6028" s="23">
        <v>0</v>
      </c>
      <c r="K6028" s="23">
        <v>0</v>
      </c>
    </row>
    <row r="6029" spans="1:11" x14ac:dyDescent="0.25">
      <c r="A6029">
        <v>6028</v>
      </c>
      <c r="B6029" s="23">
        <v>1135.965719</v>
      </c>
      <c r="C6029" s="23">
        <v>0</v>
      </c>
      <c r="D6029" s="23">
        <v>0</v>
      </c>
      <c r="E6029" s="23">
        <v>0</v>
      </c>
      <c r="F6029" s="23">
        <v>0</v>
      </c>
      <c r="G6029" s="23">
        <v>0</v>
      </c>
      <c r="H6029" s="23">
        <v>0</v>
      </c>
      <c r="I6029" s="23">
        <v>1135.9659999999999</v>
      </c>
      <c r="J6029" s="23">
        <v>0</v>
      </c>
      <c r="K6029" s="23">
        <v>0</v>
      </c>
    </row>
    <row r="6030" spans="1:11" x14ac:dyDescent="0.25">
      <c r="A6030">
        <v>6029</v>
      </c>
      <c r="B6030" s="23">
        <v>1096.7098840000001</v>
      </c>
      <c r="C6030" s="23">
        <v>0</v>
      </c>
      <c r="D6030" s="23">
        <v>0</v>
      </c>
      <c r="E6030" s="23">
        <v>0</v>
      </c>
      <c r="F6030" s="23">
        <v>0</v>
      </c>
      <c r="G6030" s="23">
        <v>0</v>
      </c>
      <c r="H6030" s="23">
        <v>0</v>
      </c>
      <c r="I6030" s="23">
        <v>1096.71</v>
      </c>
      <c r="J6030" s="23">
        <v>0</v>
      </c>
      <c r="K6030" s="23">
        <v>0</v>
      </c>
    </row>
    <row r="6031" spans="1:11" x14ac:dyDescent="0.25">
      <c r="A6031">
        <v>6030</v>
      </c>
      <c r="B6031" s="23">
        <v>1092.620735</v>
      </c>
      <c r="C6031" s="23">
        <v>0</v>
      </c>
      <c r="D6031" s="23">
        <v>0</v>
      </c>
      <c r="E6031" s="23">
        <v>0</v>
      </c>
      <c r="F6031" s="23">
        <v>0</v>
      </c>
      <c r="G6031" s="23">
        <v>0</v>
      </c>
      <c r="H6031" s="23">
        <v>0</v>
      </c>
      <c r="I6031" s="23">
        <v>970.74900000000002</v>
      </c>
      <c r="J6031" s="23">
        <v>0</v>
      </c>
      <c r="K6031" s="23">
        <v>121.872</v>
      </c>
    </row>
    <row r="6032" spans="1:11" x14ac:dyDescent="0.25">
      <c r="A6032">
        <v>6031</v>
      </c>
      <c r="B6032" s="23">
        <v>1315.888295</v>
      </c>
      <c r="C6032" s="23">
        <v>101.12</v>
      </c>
      <c r="D6032" s="23">
        <v>354.423</v>
      </c>
      <c r="E6032" s="23">
        <v>354.423</v>
      </c>
      <c r="F6032" s="23">
        <v>0</v>
      </c>
      <c r="G6032" s="23">
        <v>0</v>
      </c>
      <c r="H6032" s="23">
        <v>0</v>
      </c>
      <c r="I6032" s="23">
        <v>0</v>
      </c>
      <c r="J6032" s="23">
        <v>0</v>
      </c>
      <c r="K6032" s="23">
        <v>961.46500000000003</v>
      </c>
    </row>
    <row r="6033" spans="1:11" x14ac:dyDescent="0.25">
      <c r="A6033">
        <v>6032</v>
      </c>
      <c r="B6033" s="23">
        <v>1094.920881</v>
      </c>
      <c r="C6033" s="23">
        <v>192.44</v>
      </c>
      <c r="D6033" s="23">
        <v>758.61800000000005</v>
      </c>
      <c r="E6033" s="23">
        <v>758.61800000000005</v>
      </c>
      <c r="F6033" s="23">
        <v>0</v>
      </c>
      <c r="G6033" s="23">
        <v>0</v>
      </c>
      <c r="H6033" s="23">
        <v>0</v>
      </c>
      <c r="I6033" s="23">
        <v>0</v>
      </c>
      <c r="J6033" s="23">
        <v>0</v>
      </c>
      <c r="K6033" s="23">
        <v>336.303</v>
      </c>
    </row>
    <row r="6034" spans="1:11" x14ac:dyDescent="0.25">
      <c r="A6034">
        <v>6033</v>
      </c>
      <c r="B6034" s="23">
        <v>1387.202039</v>
      </c>
      <c r="C6034" s="23">
        <v>313.48</v>
      </c>
      <c r="D6034" s="23">
        <v>1235.1949999999999</v>
      </c>
      <c r="E6034" s="23">
        <v>1235.1949999999999</v>
      </c>
      <c r="F6034" s="23">
        <v>0</v>
      </c>
      <c r="G6034" s="23">
        <v>0</v>
      </c>
      <c r="H6034" s="23">
        <v>0</v>
      </c>
      <c r="I6034" s="23">
        <v>0</v>
      </c>
      <c r="J6034" s="23">
        <v>0</v>
      </c>
      <c r="K6034" s="23">
        <v>152.00700000000001</v>
      </c>
    </row>
    <row r="6035" spans="1:11" x14ac:dyDescent="0.25">
      <c r="A6035">
        <v>6034</v>
      </c>
      <c r="B6035" s="23">
        <v>1405.657393</v>
      </c>
      <c r="C6035" s="23">
        <v>801.79</v>
      </c>
      <c r="D6035" s="23">
        <v>3139.77</v>
      </c>
      <c r="E6035" s="23">
        <v>1405.6579999999999</v>
      </c>
      <c r="F6035" s="23">
        <v>-1684.559</v>
      </c>
      <c r="G6035" s="23">
        <v>0</v>
      </c>
      <c r="H6035" s="23">
        <v>49.552999999999997</v>
      </c>
      <c r="I6035" s="23">
        <v>0</v>
      </c>
      <c r="J6035" s="23">
        <v>0</v>
      </c>
      <c r="K6035" s="23">
        <v>0</v>
      </c>
    </row>
    <row r="6036" spans="1:11" x14ac:dyDescent="0.25">
      <c r="A6036">
        <v>6035</v>
      </c>
      <c r="B6036" s="23">
        <v>1365.2484179999999</v>
      </c>
      <c r="C6036" s="23">
        <v>770.6</v>
      </c>
      <c r="D6036" s="23">
        <v>2945.0929999999998</v>
      </c>
      <c r="E6036" s="23">
        <v>1365.249</v>
      </c>
      <c r="F6036" s="23">
        <v>-1579.8440000000001</v>
      </c>
      <c r="G6036" s="23">
        <v>0</v>
      </c>
      <c r="H6036" s="23">
        <v>0</v>
      </c>
      <c r="I6036" s="23">
        <v>0</v>
      </c>
      <c r="J6036" s="23">
        <v>0</v>
      </c>
      <c r="K6036" s="23">
        <v>0</v>
      </c>
    </row>
    <row r="6037" spans="1:11" x14ac:dyDescent="0.25">
      <c r="A6037">
        <v>6036</v>
      </c>
      <c r="B6037" s="23">
        <v>1221.3716939999999</v>
      </c>
      <c r="C6037" s="23">
        <v>990.64</v>
      </c>
      <c r="D6037" s="23">
        <v>3771.165</v>
      </c>
      <c r="E6037" s="23">
        <v>1221.3720000000001</v>
      </c>
      <c r="F6037" s="23">
        <v>-1684.559</v>
      </c>
      <c r="G6037" s="23">
        <v>0</v>
      </c>
      <c r="H6037" s="23">
        <v>865.23400000000004</v>
      </c>
      <c r="I6037" s="23">
        <v>0</v>
      </c>
      <c r="J6037" s="23">
        <v>0</v>
      </c>
      <c r="K6037" s="23">
        <v>0</v>
      </c>
    </row>
    <row r="6038" spans="1:11" x14ac:dyDescent="0.25">
      <c r="A6038">
        <v>6037</v>
      </c>
      <c r="B6038" s="23">
        <v>1267.0965630000001</v>
      </c>
      <c r="C6038" s="23">
        <v>981.45</v>
      </c>
      <c r="D6038" s="23">
        <v>3743.0169999999998</v>
      </c>
      <c r="E6038" s="23">
        <v>1267.097</v>
      </c>
      <c r="F6038" s="23">
        <v>-1684.559</v>
      </c>
      <c r="G6038" s="23">
        <v>0</v>
      </c>
      <c r="H6038" s="23">
        <v>791.36099999999999</v>
      </c>
      <c r="I6038" s="23">
        <v>0</v>
      </c>
      <c r="J6038" s="23">
        <v>0</v>
      </c>
      <c r="K6038" s="23">
        <v>0</v>
      </c>
    </row>
    <row r="6039" spans="1:11" x14ac:dyDescent="0.25">
      <c r="A6039">
        <v>6038</v>
      </c>
      <c r="B6039" s="23">
        <v>1528.0967499999999</v>
      </c>
      <c r="C6039" s="23">
        <v>896.97</v>
      </c>
      <c r="D6039" s="23">
        <v>3459.2669999999998</v>
      </c>
      <c r="E6039" s="23">
        <v>1528.097</v>
      </c>
      <c r="F6039" s="23">
        <v>-657.976</v>
      </c>
      <c r="G6039" s="23">
        <v>0</v>
      </c>
      <c r="H6039" s="23">
        <v>1273.194</v>
      </c>
      <c r="I6039" s="23">
        <v>0</v>
      </c>
      <c r="J6039" s="23">
        <v>0</v>
      </c>
      <c r="K6039" s="23">
        <v>0</v>
      </c>
    </row>
    <row r="6040" spans="1:11" x14ac:dyDescent="0.25">
      <c r="A6040">
        <v>6039</v>
      </c>
      <c r="B6040" s="23">
        <v>1700.611832</v>
      </c>
      <c r="C6040" s="23">
        <v>742.35</v>
      </c>
      <c r="D6040" s="23">
        <v>2921.3870000000002</v>
      </c>
      <c r="E6040" s="23">
        <v>1700.6120000000001</v>
      </c>
      <c r="F6040" s="23">
        <v>0</v>
      </c>
      <c r="G6040" s="23">
        <v>0</v>
      </c>
      <c r="H6040" s="23">
        <v>1220.7750000000001</v>
      </c>
      <c r="I6040" s="23">
        <v>0</v>
      </c>
      <c r="J6040" s="23">
        <v>0</v>
      </c>
      <c r="K6040" s="23">
        <v>0</v>
      </c>
    </row>
    <row r="6041" spans="1:11" x14ac:dyDescent="0.25">
      <c r="A6041">
        <v>6040</v>
      </c>
      <c r="B6041" s="23">
        <v>1411.0387129999999</v>
      </c>
      <c r="C6041" s="23">
        <v>385.22</v>
      </c>
      <c r="D6041" s="23">
        <v>1526.2339999999999</v>
      </c>
      <c r="E6041" s="23">
        <v>1411.039</v>
      </c>
      <c r="F6041" s="23">
        <v>0</v>
      </c>
      <c r="G6041" s="23">
        <v>0</v>
      </c>
      <c r="H6041" s="23">
        <v>115.19499999999999</v>
      </c>
      <c r="I6041" s="23">
        <v>0</v>
      </c>
      <c r="J6041" s="23">
        <v>0</v>
      </c>
      <c r="K6041" s="23">
        <v>0</v>
      </c>
    </row>
    <row r="6042" spans="1:11" x14ac:dyDescent="0.25">
      <c r="A6042">
        <v>6041</v>
      </c>
      <c r="B6042" s="23">
        <v>1480.833339</v>
      </c>
      <c r="C6042" s="23">
        <v>76.39</v>
      </c>
      <c r="D6042" s="23">
        <v>279.721</v>
      </c>
      <c r="E6042" s="23">
        <v>279.721</v>
      </c>
      <c r="F6042" s="23">
        <v>0</v>
      </c>
      <c r="G6042" s="23">
        <v>0</v>
      </c>
      <c r="H6042" s="23">
        <v>0</v>
      </c>
      <c r="I6042" s="23">
        <v>1201.1130000000001</v>
      </c>
      <c r="J6042" s="23">
        <v>0</v>
      </c>
      <c r="K6042" s="23">
        <v>0</v>
      </c>
    </row>
    <row r="6043" spans="1:11" x14ac:dyDescent="0.25">
      <c r="A6043">
        <v>6042</v>
      </c>
      <c r="B6043" s="23">
        <v>1727.6441769999999</v>
      </c>
      <c r="C6043" s="23">
        <v>17.63</v>
      </c>
      <c r="D6043" s="23">
        <v>40.892000000000003</v>
      </c>
      <c r="E6043" s="23">
        <v>40.892000000000003</v>
      </c>
      <c r="F6043" s="23">
        <v>0</v>
      </c>
      <c r="G6043" s="23">
        <v>0</v>
      </c>
      <c r="H6043" s="23">
        <v>0</v>
      </c>
      <c r="I6043" s="23">
        <v>2.1930000000000001</v>
      </c>
      <c r="J6043" s="23">
        <v>0</v>
      </c>
      <c r="K6043" s="23">
        <v>1684.559</v>
      </c>
    </row>
    <row r="6044" spans="1:11" x14ac:dyDescent="0.25">
      <c r="A6044">
        <v>6043</v>
      </c>
      <c r="B6044" s="23">
        <v>1863.8394330000001</v>
      </c>
      <c r="C6044" s="23">
        <v>0</v>
      </c>
      <c r="D6044" s="23">
        <v>0</v>
      </c>
      <c r="E6044" s="23">
        <v>0</v>
      </c>
      <c r="F6044" s="23">
        <v>0</v>
      </c>
      <c r="G6044" s="23">
        <v>0</v>
      </c>
      <c r="H6044" s="23">
        <v>0</v>
      </c>
      <c r="I6044" s="23">
        <v>179.28</v>
      </c>
      <c r="J6044" s="23">
        <v>0</v>
      </c>
      <c r="K6044" s="23">
        <v>1684.559</v>
      </c>
    </row>
    <row r="6045" spans="1:11" x14ac:dyDescent="0.25">
      <c r="A6045">
        <v>6044</v>
      </c>
      <c r="B6045" s="23">
        <v>874.26015359999997</v>
      </c>
      <c r="C6045" s="23">
        <v>0</v>
      </c>
      <c r="D6045" s="23">
        <v>0</v>
      </c>
      <c r="E6045" s="23">
        <v>0</v>
      </c>
      <c r="F6045" s="23">
        <v>0</v>
      </c>
      <c r="G6045" s="23">
        <v>0</v>
      </c>
      <c r="H6045" s="23">
        <v>0</v>
      </c>
      <c r="I6045" s="23">
        <v>0</v>
      </c>
      <c r="J6045" s="23">
        <v>0</v>
      </c>
      <c r="K6045" s="23">
        <v>874.26</v>
      </c>
    </row>
    <row r="6046" spans="1:11" x14ac:dyDescent="0.25">
      <c r="A6046">
        <v>6045</v>
      </c>
      <c r="B6046" s="23">
        <v>1106.5238429999999</v>
      </c>
      <c r="C6046" s="23">
        <v>0</v>
      </c>
      <c r="D6046" s="23">
        <v>0</v>
      </c>
      <c r="E6046" s="23">
        <v>0</v>
      </c>
      <c r="F6046" s="23">
        <v>0</v>
      </c>
      <c r="G6046" s="23">
        <v>0</v>
      </c>
      <c r="H6046" s="23">
        <v>0</v>
      </c>
      <c r="I6046" s="23">
        <v>1106.5239999999999</v>
      </c>
      <c r="J6046" s="23">
        <v>0</v>
      </c>
      <c r="K6046" s="23">
        <v>0</v>
      </c>
    </row>
    <row r="6047" spans="1:11" x14ac:dyDescent="0.25">
      <c r="A6047">
        <v>6046</v>
      </c>
      <c r="B6047" s="23">
        <v>1191.5781509999999</v>
      </c>
      <c r="C6047" s="23">
        <v>0</v>
      </c>
      <c r="D6047" s="23">
        <v>0</v>
      </c>
      <c r="E6047" s="23">
        <v>0</v>
      </c>
      <c r="F6047" s="23">
        <v>0</v>
      </c>
      <c r="G6047" s="23">
        <v>0</v>
      </c>
      <c r="H6047" s="23">
        <v>0</v>
      </c>
      <c r="I6047" s="23">
        <v>737.42</v>
      </c>
      <c r="J6047" s="23">
        <v>0</v>
      </c>
      <c r="K6047" s="23">
        <v>454.15800000000002</v>
      </c>
    </row>
    <row r="6048" spans="1:11" x14ac:dyDescent="0.25">
      <c r="A6048">
        <v>6047</v>
      </c>
      <c r="B6048" s="23">
        <v>1427.9309900000001</v>
      </c>
      <c r="C6048" s="23">
        <v>0</v>
      </c>
      <c r="D6048" s="23">
        <v>0</v>
      </c>
      <c r="E6048" s="23">
        <v>0</v>
      </c>
      <c r="F6048" s="23">
        <v>0</v>
      </c>
      <c r="G6048" s="23">
        <v>0</v>
      </c>
      <c r="H6048" s="23">
        <v>0</v>
      </c>
      <c r="I6048" s="23">
        <v>1427.931</v>
      </c>
      <c r="J6048" s="23">
        <v>0</v>
      </c>
      <c r="K6048" s="23">
        <v>0</v>
      </c>
    </row>
    <row r="6049" spans="1:11" x14ac:dyDescent="0.25">
      <c r="A6049">
        <v>6048</v>
      </c>
      <c r="B6049" s="23">
        <v>771.21358729999997</v>
      </c>
      <c r="C6049" s="23">
        <v>0</v>
      </c>
      <c r="D6049" s="23">
        <v>0</v>
      </c>
      <c r="E6049" s="23">
        <v>0</v>
      </c>
      <c r="F6049" s="23">
        <v>0</v>
      </c>
      <c r="G6049" s="23">
        <v>0</v>
      </c>
      <c r="H6049" s="23">
        <v>0</v>
      </c>
      <c r="I6049" s="23">
        <v>771.21400000000006</v>
      </c>
      <c r="J6049" s="23">
        <v>0</v>
      </c>
      <c r="K6049" s="23">
        <v>0</v>
      </c>
    </row>
    <row r="6050" spans="1:11" x14ac:dyDescent="0.25">
      <c r="A6050">
        <v>6049</v>
      </c>
      <c r="B6050" s="23">
        <v>615.82590800000003</v>
      </c>
      <c r="C6050" s="23">
        <v>0</v>
      </c>
      <c r="D6050" s="23">
        <v>0</v>
      </c>
      <c r="E6050" s="23">
        <v>0</v>
      </c>
      <c r="F6050" s="23">
        <v>0</v>
      </c>
      <c r="G6050" s="23">
        <v>0</v>
      </c>
      <c r="H6050" s="23">
        <v>0</v>
      </c>
      <c r="I6050" s="23">
        <v>615.82600000000002</v>
      </c>
      <c r="J6050" s="23">
        <v>0</v>
      </c>
      <c r="K6050" s="23">
        <v>0</v>
      </c>
    </row>
    <row r="6051" spans="1:11" x14ac:dyDescent="0.25">
      <c r="A6051">
        <v>6050</v>
      </c>
      <c r="B6051" s="23">
        <v>593.74450090000005</v>
      </c>
      <c r="C6051" s="23">
        <v>0</v>
      </c>
      <c r="D6051" s="23">
        <v>0</v>
      </c>
      <c r="E6051" s="23">
        <v>0</v>
      </c>
      <c r="F6051" s="23">
        <v>0</v>
      </c>
      <c r="G6051" s="23">
        <v>0</v>
      </c>
      <c r="H6051" s="23">
        <v>0</v>
      </c>
      <c r="I6051" s="23">
        <v>593.745</v>
      </c>
      <c r="J6051" s="23">
        <v>0</v>
      </c>
      <c r="K6051" s="23">
        <v>0</v>
      </c>
    </row>
    <row r="6052" spans="1:11" x14ac:dyDescent="0.25">
      <c r="A6052">
        <v>6051</v>
      </c>
      <c r="B6052" s="23">
        <v>716.41898460000004</v>
      </c>
      <c r="C6052" s="23">
        <v>0</v>
      </c>
      <c r="D6052" s="23">
        <v>0</v>
      </c>
      <c r="E6052" s="23">
        <v>0</v>
      </c>
      <c r="F6052" s="23">
        <v>0</v>
      </c>
      <c r="G6052" s="23">
        <v>0</v>
      </c>
      <c r="H6052" s="23">
        <v>0</v>
      </c>
      <c r="I6052" s="23">
        <v>716.41899999999998</v>
      </c>
      <c r="J6052" s="23">
        <v>0</v>
      </c>
      <c r="K6052" s="23">
        <v>0</v>
      </c>
    </row>
    <row r="6053" spans="1:11" x14ac:dyDescent="0.25">
      <c r="A6053">
        <v>6052</v>
      </c>
      <c r="B6053" s="23">
        <v>741.77171120000003</v>
      </c>
      <c r="C6053" s="23">
        <v>0</v>
      </c>
      <c r="D6053" s="23">
        <v>0</v>
      </c>
      <c r="E6053" s="23">
        <v>0</v>
      </c>
      <c r="F6053" s="23">
        <v>0</v>
      </c>
      <c r="G6053" s="23">
        <v>0</v>
      </c>
      <c r="H6053" s="23">
        <v>0</v>
      </c>
      <c r="I6053" s="23">
        <v>741.77200000000005</v>
      </c>
      <c r="J6053" s="23">
        <v>0</v>
      </c>
      <c r="K6053" s="23">
        <v>0</v>
      </c>
    </row>
    <row r="6054" spans="1:11" x14ac:dyDescent="0.25">
      <c r="A6054">
        <v>6053</v>
      </c>
      <c r="B6054" s="23">
        <v>516.86849119999999</v>
      </c>
      <c r="C6054" s="23">
        <v>0</v>
      </c>
      <c r="D6054" s="23">
        <v>0</v>
      </c>
      <c r="E6054" s="23">
        <v>0</v>
      </c>
      <c r="F6054" s="23">
        <v>0</v>
      </c>
      <c r="G6054" s="23">
        <v>0</v>
      </c>
      <c r="H6054" s="23">
        <v>0</v>
      </c>
      <c r="I6054" s="23">
        <v>0</v>
      </c>
      <c r="J6054" s="23">
        <v>0</v>
      </c>
      <c r="K6054" s="23">
        <v>516.86800000000005</v>
      </c>
    </row>
    <row r="6055" spans="1:11" x14ac:dyDescent="0.25">
      <c r="A6055">
        <v>6054</v>
      </c>
      <c r="B6055" s="23">
        <v>739.31822160000002</v>
      </c>
      <c r="C6055" s="23">
        <v>0</v>
      </c>
      <c r="D6055" s="23">
        <v>0</v>
      </c>
      <c r="E6055" s="23">
        <v>0</v>
      </c>
      <c r="F6055" s="23">
        <v>0</v>
      </c>
      <c r="G6055" s="23">
        <v>0</v>
      </c>
      <c r="H6055" s="23">
        <v>0</v>
      </c>
      <c r="I6055" s="23">
        <v>0</v>
      </c>
      <c r="J6055" s="23">
        <v>0</v>
      </c>
      <c r="K6055" s="23">
        <v>739.31799999999998</v>
      </c>
    </row>
    <row r="6056" spans="1:11" x14ac:dyDescent="0.25">
      <c r="A6056">
        <v>6055</v>
      </c>
      <c r="B6056" s="23">
        <v>691.88408790000005</v>
      </c>
      <c r="C6056" s="23">
        <v>54.02</v>
      </c>
      <c r="D6056" s="23">
        <v>188.499</v>
      </c>
      <c r="E6056" s="23">
        <v>188.499</v>
      </c>
      <c r="F6056" s="23">
        <v>0</v>
      </c>
      <c r="G6056" s="23">
        <v>0</v>
      </c>
      <c r="H6056" s="23">
        <v>0</v>
      </c>
      <c r="I6056" s="23">
        <v>0</v>
      </c>
      <c r="J6056" s="23">
        <v>0</v>
      </c>
      <c r="K6056" s="23">
        <v>503.38600000000002</v>
      </c>
    </row>
    <row r="6057" spans="1:11" x14ac:dyDescent="0.25">
      <c r="A6057">
        <v>6056</v>
      </c>
      <c r="B6057" s="23">
        <v>788.80101909999996</v>
      </c>
      <c r="C6057" s="23">
        <v>176.85</v>
      </c>
      <c r="D6057" s="23">
        <v>694.06100000000004</v>
      </c>
      <c r="E6057" s="23">
        <v>694.06100000000004</v>
      </c>
      <c r="F6057" s="23">
        <v>0</v>
      </c>
      <c r="G6057" s="23">
        <v>0</v>
      </c>
      <c r="H6057" s="23">
        <v>0</v>
      </c>
      <c r="I6057" s="23">
        <v>0</v>
      </c>
      <c r="J6057" s="23">
        <v>0</v>
      </c>
      <c r="K6057" s="23">
        <v>94.74</v>
      </c>
    </row>
    <row r="6058" spans="1:11" x14ac:dyDescent="0.25">
      <c r="A6058">
        <v>6057</v>
      </c>
      <c r="B6058" s="23">
        <v>672.96768250000002</v>
      </c>
      <c r="C6058" s="23">
        <v>250.47</v>
      </c>
      <c r="D6058" s="23">
        <v>981.48399999999992</v>
      </c>
      <c r="E6058" s="23">
        <v>672.96799999999996</v>
      </c>
      <c r="F6058" s="23">
        <v>-308.51600000000002</v>
      </c>
      <c r="G6058" s="23">
        <v>0</v>
      </c>
      <c r="H6058" s="23">
        <v>0</v>
      </c>
      <c r="I6058" s="23">
        <v>0</v>
      </c>
      <c r="J6058" s="23">
        <v>0</v>
      </c>
      <c r="K6058" s="23">
        <v>0</v>
      </c>
    </row>
    <row r="6059" spans="1:11" x14ac:dyDescent="0.25">
      <c r="A6059">
        <v>6058</v>
      </c>
      <c r="B6059" s="23">
        <v>848.48419999999999</v>
      </c>
      <c r="C6059" s="23">
        <v>330.02</v>
      </c>
      <c r="D6059" s="23">
        <v>1286.672</v>
      </c>
      <c r="E6059" s="23">
        <v>848.48400000000004</v>
      </c>
      <c r="F6059" s="23">
        <v>-438.18799999999999</v>
      </c>
      <c r="G6059" s="23">
        <v>0</v>
      </c>
      <c r="H6059" s="23">
        <v>0</v>
      </c>
      <c r="I6059" s="23">
        <v>0</v>
      </c>
      <c r="J6059" s="23">
        <v>0</v>
      </c>
      <c r="K6059" s="23">
        <v>0</v>
      </c>
    </row>
    <row r="6060" spans="1:11" x14ac:dyDescent="0.25">
      <c r="A6060">
        <v>6059</v>
      </c>
      <c r="B6060" s="23">
        <v>583.85898210000005</v>
      </c>
      <c r="C6060" s="23">
        <v>630.74</v>
      </c>
      <c r="D6060" s="23">
        <v>2441.7979999999998</v>
      </c>
      <c r="E6060" s="23">
        <v>583.85900000000004</v>
      </c>
      <c r="F6060" s="23">
        <v>-1684.559</v>
      </c>
      <c r="G6060" s="23">
        <v>0</v>
      </c>
      <c r="H6060" s="23">
        <v>173.38</v>
      </c>
      <c r="I6060" s="23">
        <v>0</v>
      </c>
      <c r="J6060" s="23">
        <v>0</v>
      </c>
      <c r="K6060" s="23">
        <v>0</v>
      </c>
    </row>
    <row r="6061" spans="1:11" x14ac:dyDescent="0.25">
      <c r="A6061">
        <v>6060</v>
      </c>
      <c r="B6061" s="23">
        <v>720.5878725</v>
      </c>
      <c r="C6061" s="23">
        <v>570.5</v>
      </c>
      <c r="D6061" s="23">
        <v>2204.71</v>
      </c>
      <c r="E6061" s="23">
        <v>720.58799999999997</v>
      </c>
      <c r="F6061" s="23">
        <v>-1484.1220000000001</v>
      </c>
      <c r="G6061" s="23">
        <v>0</v>
      </c>
      <c r="H6061" s="23">
        <v>0</v>
      </c>
      <c r="I6061" s="23">
        <v>0</v>
      </c>
      <c r="J6061" s="23">
        <v>0</v>
      </c>
      <c r="K6061" s="23">
        <v>0</v>
      </c>
    </row>
    <row r="6062" spans="1:11" x14ac:dyDescent="0.25">
      <c r="A6062">
        <v>6061</v>
      </c>
      <c r="B6062" s="23">
        <v>820.51032859999998</v>
      </c>
      <c r="C6062" s="23">
        <v>758.8</v>
      </c>
      <c r="D6062" s="23">
        <v>2916.7739999999999</v>
      </c>
      <c r="E6062" s="23">
        <v>820.51099999999997</v>
      </c>
      <c r="F6062" s="23">
        <v>-1684.559</v>
      </c>
      <c r="G6062" s="23">
        <v>0</v>
      </c>
      <c r="H6062" s="23">
        <v>411.70400000000001</v>
      </c>
      <c r="I6062" s="23">
        <v>0</v>
      </c>
      <c r="J6062" s="23">
        <v>0</v>
      </c>
      <c r="K6062" s="23">
        <v>0</v>
      </c>
    </row>
    <row r="6063" spans="1:11" x14ac:dyDescent="0.25">
      <c r="A6063">
        <v>6062</v>
      </c>
      <c r="B6063" s="23">
        <v>864.1732442</v>
      </c>
      <c r="C6063" s="23">
        <v>653.25</v>
      </c>
      <c r="D6063" s="23">
        <v>2530.5770000000002</v>
      </c>
      <c r="E6063" s="23">
        <v>864.17399999999998</v>
      </c>
      <c r="F6063" s="23">
        <v>-1666.403</v>
      </c>
      <c r="G6063" s="23">
        <v>0</v>
      </c>
      <c r="H6063" s="23">
        <v>0</v>
      </c>
      <c r="I6063" s="23">
        <v>0</v>
      </c>
      <c r="J6063" s="23">
        <v>0</v>
      </c>
      <c r="K6063" s="23">
        <v>0</v>
      </c>
    </row>
    <row r="6064" spans="1:11" x14ac:dyDescent="0.25">
      <c r="A6064">
        <v>6063</v>
      </c>
      <c r="B6064" s="23">
        <v>828.45861279999997</v>
      </c>
      <c r="C6064" s="23">
        <v>734.79</v>
      </c>
      <c r="D6064" s="23">
        <v>2908.261</v>
      </c>
      <c r="E6064" s="23">
        <v>828.45799999999997</v>
      </c>
      <c r="F6064" s="23">
        <v>-25.15</v>
      </c>
      <c r="G6064" s="23">
        <v>0</v>
      </c>
      <c r="H6064" s="23">
        <v>2054.6529999999998</v>
      </c>
      <c r="I6064" s="23">
        <v>0</v>
      </c>
      <c r="J6064" s="23">
        <v>0</v>
      </c>
      <c r="K6064" s="23">
        <v>0</v>
      </c>
    </row>
    <row r="6065" spans="1:11" x14ac:dyDescent="0.25">
      <c r="A6065">
        <v>6064</v>
      </c>
      <c r="B6065" s="23">
        <v>969.77348429999995</v>
      </c>
      <c r="C6065" s="23">
        <v>393.05</v>
      </c>
      <c r="D6065" s="23">
        <v>1561.3920000000001</v>
      </c>
      <c r="E6065" s="23">
        <v>969.77300000000002</v>
      </c>
      <c r="F6065" s="23">
        <v>0</v>
      </c>
      <c r="G6065" s="23">
        <v>0</v>
      </c>
      <c r="H6065" s="23">
        <v>591.61900000000003</v>
      </c>
      <c r="I6065" s="23">
        <v>0</v>
      </c>
      <c r="J6065" s="23">
        <v>0</v>
      </c>
      <c r="K6065" s="23">
        <v>0</v>
      </c>
    </row>
    <row r="6066" spans="1:11" x14ac:dyDescent="0.25">
      <c r="A6066">
        <v>6065</v>
      </c>
      <c r="B6066" s="23">
        <v>882.85247890000005</v>
      </c>
      <c r="C6066" s="23">
        <v>277.37</v>
      </c>
      <c r="D6066" s="23">
        <v>1069.509</v>
      </c>
      <c r="E6066" s="23">
        <v>882.85299999999995</v>
      </c>
      <c r="F6066" s="23">
        <v>0</v>
      </c>
      <c r="G6066" s="23">
        <v>0</v>
      </c>
      <c r="H6066" s="23">
        <v>186.65600000000001</v>
      </c>
      <c r="I6066" s="23">
        <v>0</v>
      </c>
      <c r="J6066" s="23">
        <v>0</v>
      </c>
      <c r="K6066" s="23">
        <v>0</v>
      </c>
    </row>
    <row r="6067" spans="1:11" x14ac:dyDescent="0.25">
      <c r="A6067">
        <v>6066</v>
      </c>
      <c r="B6067" s="23">
        <v>889.70078190000004</v>
      </c>
      <c r="C6067" s="23">
        <v>56.34</v>
      </c>
      <c r="D6067" s="23">
        <v>153.74299999999999</v>
      </c>
      <c r="E6067" s="23">
        <v>153.74299999999999</v>
      </c>
      <c r="F6067" s="23">
        <v>0</v>
      </c>
      <c r="G6067" s="23">
        <v>0</v>
      </c>
      <c r="H6067" s="23">
        <v>0</v>
      </c>
      <c r="I6067" s="23">
        <v>0</v>
      </c>
      <c r="J6067" s="23">
        <v>0</v>
      </c>
      <c r="K6067" s="23">
        <v>735.95699999999999</v>
      </c>
    </row>
    <row r="6068" spans="1:11" x14ac:dyDescent="0.25">
      <c r="A6068">
        <v>6067</v>
      </c>
      <c r="B6068" s="23">
        <v>815.37640139999996</v>
      </c>
      <c r="C6068" s="23">
        <v>0</v>
      </c>
      <c r="D6068" s="23">
        <v>0</v>
      </c>
      <c r="E6068" s="23">
        <v>0</v>
      </c>
      <c r="F6068" s="23">
        <v>0</v>
      </c>
      <c r="G6068" s="23">
        <v>0</v>
      </c>
      <c r="H6068" s="23">
        <v>0</v>
      </c>
      <c r="I6068" s="23">
        <v>0</v>
      </c>
      <c r="J6068" s="23">
        <v>0</v>
      </c>
      <c r="K6068" s="23">
        <v>815.37599999999998</v>
      </c>
    </row>
    <row r="6069" spans="1:11" x14ac:dyDescent="0.25">
      <c r="A6069">
        <v>6068</v>
      </c>
      <c r="B6069" s="23">
        <v>857.08572590000006</v>
      </c>
      <c r="C6069" s="23">
        <v>0</v>
      </c>
      <c r="D6069" s="23">
        <v>0</v>
      </c>
      <c r="E6069" s="23">
        <v>0</v>
      </c>
      <c r="F6069" s="23">
        <v>0</v>
      </c>
      <c r="G6069" s="23">
        <v>0</v>
      </c>
      <c r="H6069" s="23">
        <v>0</v>
      </c>
      <c r="I6069" s="23">
        <v>0</v>
      </c>
      <c r="J6069" s="23">
        <v>0</v>
      </c>
      <c r="K6069" s="23">
        <v>857.08600000000001</v>
      </c>
    </row>
    <row r="6070" spans="1:11" x14ac:dyDescent="0.25">
      <c r="A6070">
        <v>6069</v>
      </c>
      <c r="B6070" s="23">
        <v>776.12056670000004</v>
      </c>
      <c r="C6070" s="23">
        <v>0</v>
      </c>
      <c r="D6070" s="23">
        <v>0</v>
      </c>
      <c r="E6070" s="23">
        <v>0</v>
      </c>
      <c r="F6070" s="23">
        <v>0</v>
      </c>
      <c r="G6070" s="23">
        <v>0</v>
      </c>
      <c r="H6070" s="23">
        <v>0</v>
      </c>
      <c r="I6070" s="23">
        <v>0</v>
      </c>
      <c r="J6070" s="23">
        <v>0</v>
      </c>
      <c r="K6070" s="23">
        <v>776.12099999999998</v>
      </c>
    </row>
    <row r="6071" spans="1:11" x14ac:dyDescent="0.25">
      <c r="A6071">
        <v>6070</v>
      </c>
      <c r="B6071" s="23">
        <v>704.9693661</v>
      </c>
      <c r="C6071" s="23">
        <v>0</v>
      </c>
      <c r="D6071" s="23">
        <v>0</v>
      </c>
      <c r="E6071" s="23">
        <v>0</v>
      </c>
      <c r="F6071" s="23">
        <v>0</v>
      </c>
      <c r="G6071" s="23">
        <v>0</v>
      </c>
      <c r="H6071" s="23">
        <v>0</v>
      </c>
      <c r="I6071" s="23">
        <v>0</v>
      </c>
      <c r="J6071" s="23">
        <v>0</v>
      </c>
      <c r="K6071" s="23">
        <v>704.96900000000005</v>
      </c>
    </row>
    <row r="6072" spans="1:11" x14ac:dyDescent="0.25">
      <c r="A6072">
        <v>6071</v>
      </c>
      <c r="B6072" s="23">
        <v>563.48479499999996</v>
      </c>
      <c r="C6072" s="23">
        <v>0</v>
      </c>
      <c r="D6072" s="23">
        <v>0</v>
      </c>
      <c r="E6072" s="23">
        <v>0</v>
      </c>
      <c r="F6072" s="23">
        <v>0</v>
      </c>
      <c r="G6072" s="23">
        <v>0</v>
      </c>
      <c r="H6072" s="23">
        <v>0</v>
      </c>
      <c r="I6072" s="23">
        <v>563.48500000000001</v>
      </c>
      <c r="J6072" s="23">
        <v>0</v>
      </c>
      <c r="K6072" s="23">
        <v>0</v>
      </c>
    </row>
    <row r="6073" spans="1:11" x14ac:dyDescent="0.25">
      <c r="A6073">
        <v>6072</v>
      </c>
      <c r="B6073" s="23">
        <v>704.9693661</v>
      </c>
      <c r="C6073" s="23">
        <v>0</v>
      </c>
      <c r="D6073" s="23">
        <v>0</v>
      </c>
      <c r="E6073" s="23">
        <v>0</v>
      </c>
      <c r="F6073" s="23">
        <v>0</v>
      </c>
      <c r="G6073" s="23">
        <v>0</v>
      </c>
      <c r="H6073" s="23">
        <v>0</v>
      </c>
      <c r="I6073" s="23">
        <v>704.96900000000005</v>
      </c>
      <c r="J6073" s="23">
        <v>0</v>
      </c>
      <c r="K6073" s="23">
        <v>0</v>
      </c>
    </row>
    <row r="6074" spans="1:11" x14ac:dyDescent="0.25">
      <c r="A6074">
        <v>6073</v>
      </c>
      <c r="B6074" s="23">
        <v>1049.27575</v>
      </c>
      <c r="C6074" s="23">
        <v>0</v>
      </c>
      <c r="D6074" s="23">
        <v>0</v>
      </c>
      <c r="E6074" s="23">
        <v>0</v>
      </c>
      <c r="F6074" s="23">
        <v>0</v>
      </c>
      <c r="G6074" s="23">
        <v>0</v>
      </c>
      <c r="H6074" s="23">
        <v>0</v>
      </c>
      <c r="I6074" s="23">
        <v>1049.2760000000001</v>
      </c>
      <c r="J6074" s="23">
        <v>0</v>
      </c>
      <c r="K6074" s="23">
        <v>0</v>
      </c>
    </row>
    <row r="6075" spans="1:11" x14ac:dyDescent="0.25">
      <c r="A6075">
        <v>6074</v>
      </c>
      <c r="B6075" s="23">
        <v>1127.7874200000001</v>
      </c>
      <c r="C6075" s="23">
        <v>0</v>
      </c>
      <c r="D6075" s="23">
        <v>0</v>
      </c>
      <c r="E6075" s="23">
        <v>0</v>
      </c>
      <c r="F6075" s="23">
        <v>0</v>
      </c>
      <c r="G6075" s="23">
        <v>0</v>
      </c>
      <c r="H6075" s="23">
        <v>0</v>
      </c>
      <c r="I6075" s="23">
        <v>1127.787</v>
      </c>
      <c r="J6075" s="23">
        <v>0</v>
      </c>
      <c r="K6075" s="23">
        <v>0</v>
      </c>
    </row>
    <row r="6076" spans="1:11" x14ac:dyDescent="0.25">
      <c r="A6076">
        <v>6075</v>
      </c>
      <c r="B6076" s="23">
        <v>815.37640139999996</v>
      </c>
      <c r="C6076" s="23">
        <v>0</v>
      </c>
      <c r="D6076" s="23">
        <v>0</v>
      </c>
      <c r="E6076" s="23">
        <v>0</v>
      </c>
      <c r="F6076" s="23">
        <v>0</v>
      </c>
      <c r="G6076" s="23">
        <v>0</v>
      </c>
      <c r="H6076" s="23">
        <v>0</v>
      </c>
      <c r="I6076" s="23">
        <v>815.37599999999998</v>
      </c>
      <c r="J6076" s="23">
        <v>0</v>
      </c>
      <c r="K6076" s="23">
        <v>0</v>
      </c>
    </row>
    <row r="6077" spans="1:11" x14ac:dyDescent="0.25">
      <c r="A6077">
        <v>6076</v>
      </c>
      <c r="B6077" s="23">
        <v>836.63997859999995</v>
      </c>
      <c r="C6077" s="23">
        <v>0</v>
      </c>
      <c r="D6077" s="23">
        <v>0</v>
      </c>
      <c r="E6077" s="23">
        <v>0</v>
      </c>
      <c r="F6077" s="23">
        <v>0</v>
      </c>
      <c r="G6077" s="23">
        <v>0</v>
      </c>
      <c r="H6077" s="23">
        <v>0</v>
      </c>
      <c r="I6077" s="23">
        <v>408.303</v>
      </c>
      <c r="J6077" s="23">
        <v>0</v>
      </c>
      <c r="K6077" s="23">
        <v>428.33699999999999</v>
      </c>
    </row>
    <row r="6078" spans="1:11" x14ac:dyDescent="0.25">
      <c r="A6078">
        <v>6077</v>
      </c>
      <c r="B6078" s="23">
        <v>796.56631389999995</v>
      </c>
      <c r="C6078" s="23">
        <v>0</v>
      </c>
      <c r="D6078" s="23">
        <v>0</v>
      </c>
      <c r="E6078" s="23">
        <v>0</v>
      </c>
      <c r="F6078" s="23">
        <v>0</v>
      </c>
      <c r="G6078" s="23">
        <v>0</v>
      </c>
      <c r="H6078" s="23">
        <v>0</v>
      </c>
      <c r="I6078" s="23">
        <v>0</v>
      </c>
      <c r="J6078" s="23">
        <v>0</v>
      </c>
      <c r="K6078" s="23">
        <v>796.56600000000003</v>
      </c>
    </row>
    <row r="6079" spans="1:11" x14ac:dyDescent="0.25">
      <c r="A6079">
        <v>6078</v>
      </c>
      <c r="B6079" s="23">
        <v>758.12830910000002</v>
      </c>
      <c r="C6079" s="23">
        <v>0</v>
      </c>
      <c r="D6079" s="23">
        <v>0</v>
      </c>
      <c r="E6079" s="23">
        <v>0</v>
      </c>
      <c r="F6079" s="23">
        <v>0</v>
      </c>
      <c r="G6079" s="23">
        <v>0</v>
      </c>
      <c r="H6079" s="23">
        <v>0</v>
      </c>
      <c r="I6079" s="23">
        <v>0</v>
      </c>
      <c r="J6079" s="23">
        <v>0</v>
      </c>
      <c r="K6079" s="23">
        <v>758.12800000000004</v>
      </c>
    </row>
    <row r="6080" spans="1:11" x14ac:dyDescent="0.25">
      <c r="A6080">
        <v>6079</v>
      </c>
      <c r="B6080" s="23">
        <v>855.45006609999996</v>
      </c>
      <c r="C6080" s="23">
        <v>50.94</v>
      </c>
      <c r="D6080" s="23">
        <v>176.142</v>
      </c>
      <c r="E6080" s="23">
        <v>176.142</v>
      </c>
      <c r="F6080" s="23">
        <v>0</v>
      </c>
      <c r="G6080" s="23">
        <v>0</v>
      </c>
      <c r="H6080" s="23">
        <v>0</v>
      </c>
      <c r="I6080" s="23">
        <v>0</v>
      </c>
      <c r="J6080" s="23">
        <v>0</v>
      </c>
      <c r="K6080" s="23">
        <v>679.30799999999999</v>
      </c>
    </row>
    <row r="6081" spans="1:11" x14ac:dyDescent="0.25">
      <c r="A6081">
        <v>6080</v>
      </c>
      <c r="B6081" s="23">
        <v>639.76378890000001</v>
      </c>
      <c r="C6081" s="23">
        <v>168.22</v>
      </c>
      <c r="D6081" s="23">
        <v>658.28800000000001</v>
      </c>
      <c r="E6081" s="23">
        <v>639.76300000000003</v>
      </c>
      <c r="F6081" s="23">
        <v>-18.524999999999999</v>
      </c>
      <c r="G6081" s="23">
        <v>0</v>
      </c>
      <c r="H6081" s="23">
        <v>0</v>
      </c>
      <c r="I6081" s="23">
        <v>0</v>
      </c>
      <c r="J6081" s="23">
        <v>0</v>
      </c>
      <c r="K6081" s="23">
        <v>0</v>
      </c>
    </row>
    <row r="6082" spans="1:11" x14ac:dyDescent="0.25">
      <c r="A6082">
        <v>6081</v>
      </c>
      <c r="B6082" s="23">
        <v>302.70337760000001</v>
      </c>
      <c r="C6082" s="23">
        <v>386.95</v>
      </c>
      <c r="D6082" s="23">
        <v>1533.0219999999999</v>
      </c>
      <c r="E6082" s="23">
        <v>302.70299999999997</v>
      </c>
      <c r="F6082" s="23">
        <v>-1230.319</v>
      </c>
      <c r="G6082" s="23">
        <v>0</v>
      </c>
      <c r="H6082" s="23">
        <v>0</v>
      </c>
      <c r="I6082" s="23">
        <v>0</v>
      </c>
      <c r="J6082" s="23">
        <v>0</v>
      </c>
      <c r="K6082" s="23">
        <v>0</v>
      </c>
    </row>
    <row r="6083" spans="1:11" x14ac:dyDescent="0.25">
      <c r="A6083">
        <v>6082</v>
      </c>
      <c r="B6083" s="23">
        <v>287.43449349999997</v>
      </c>
      <c r="C6083" s="23">
        <v>437.19</v>
      </c>
      <c r="D6083" s="23">
        <v>1710.5229999999999</v>
      </c>
      <c r="E6083" s="23">
        <v>287.435</v>
      </c>
      <c r="F6083" s="23">
        <v>-1423.088</v>
      </c>
      <c r="G6083" s="23">
        <v>0</v>
      </c>
      <c r="H6083" s="23">
        <v>0</v>
      </c>
      <c r="I6083" s="23">
        <v>0</v>
      </c>
      <c r="J6083" s="23">
        <v>0</v>
      </c>
      <c r="K6083" s="23">
        <v>0</v>
      </c>
    </row>
    <row r="6084" spans="1:11" x14ac:dyDescent="0.25">
      <c r="A6084">
        <v>6083</v>
      </c>
      <c r="B6084" s="23">
        <v>226.119742</v>
      </c>
      <c r="C6084" s="23">
        <v>651.52</v>
      </c>
      <c r="D6084" s="23">
        <v>2522.42</v>
      </c>
      <c r="E6084" s="23">
        <v>226.12</v>
      </c>
      <c r="F6084" s="23">
        <v>-1684.559</v>
      </c>
      <c r="G6084" s="23">
        <v>0</v>
      </c>
      <c r="H6084" s="23">
        <v>611.74099999999999</v>
      </c>
      <c r="I6084" s="23">
        <v>0</v>
      </c>
      <c r="J6084" s="23">
        <v>0</v>
      </c>
      <c r="K6084" s="23">
        <v>0</v>
      </c>
    </row>
    <row r="6085" spans="1:11" x14ac:dyDescent="0.25">
      <c r="A6085">
        <v>6084</v>
      </c>
      <c r="B6085" s="23">
        <v>306.26911589999997</v>
      </c>
      <c r="C6085" s="23">
        <v>608.57000000000005</v>
      </c>
      <c r="D6085" s="23">
        <v>2348.0079999999998</v>
      </c>
      <c r="E6085" s="23">
        <v>306.26900000000001</v>
      </c>
      <c r="F6085" s="23">
        <v>-1684.559</v>
      </c>
      <c r="G6085" s="23">
        <v>0</v>
      </c>
      <c r="H6085" s="23">
        <v>357.18</v>
      </c>
      <c r="I6085" s="23">
        <v>0</v>
      </c>
      <c r="J6085" s="23">
        <v>0</v>
      </c>
      <c r="K6085" s="23">
        <v>0</v>
      </c>
    </row>
    <row r="6086" spans="1:11" x14ac:dyDescent="0.25">
      <c r="A6086">
        <v>6085</v>
      </c>
      <c r="B6086" s="23">
        <v>908.04879549999998</v>
      </c>
      <c r="C6086" s="23">
        <v>739.28</v>
      </c>
      <c r="D6086" s="23">
        <v>2840.9050000000002</v>
      </c>
      <c r="E6086" s="23">
        <v>908.04899999999998</v>
      </c>
      <c r="F6086" s="23">
        <v>-1250.4490000000001</v>
      </c>
      <c r="G6086" s="23">
        <v>0</v>
      </c>
      <c r="H6086" s="23">
        <v>682.40700000000004</v>
      </c>
      <c r="I6086" s="23">
        <v>0</v>
      </c>
      <c r="J6086" s="23">
        <v>0</v>
      </c>
      <c r="K6086" s="23">
        <v>0</v>
      </c>
    </row>
    <row r="6087" spans="1:11" x14ac:dyDescent="0.25">
      <c r="A6087">
        <v>6086</v>
      </c>
      <c r="B6087" s="23">
        <v>1146.5831949999999</v>
      </c>
      <c r="C6087" s="23">
        <v>676.06</v>
      </c>
      <c r="D6087" s="23">
        <v>2614.7840000000001</v>
      </c>
      <c r="E6087" s="23">
        <v>1146.5830000000001</v>
      </c>
      <c r="F6087" s="23">
        <v>0</v>
      </c>
      <c r="G6087" s="23">
        <v>0</v>
      </c>
      <c r="H6087" s="23">
        <v>1468.201</v>
      </c>
      <c r="I6087" s="23">
        <v>0</v>
      </c>
      <c r="J6087" s="23">
        <v>0</v>
      </c>
      <c r="K6087" s="23">
        <v>0</v>
      </c>
    </row>
    <row r="6088" spans="1:11" x14ac:dyDescent="0.25">
      <c r="A6088">
        <v>6087</v>
      </c>
      <c r="B6088" s="23">
        <v>858.26646779999999</v>
      </c>
      <c r="C6088" s="23">
        <v>48.09</v>
      </c>
      <c r="D6088" s="23">
        <v>159.57499999999999</v>
      </c>
      <c r="E6088" s="23">
        <v>159.57499999999999</v>
      </c>
      <c r="F6088" s="23">
        <v>0</v>
      </c>
      <c r="G6088" s="23">
        <v>0</v>
      </c>
      <c r="H6088" s="23">
        <v>0</v>
      </c>
      <c r="I6088" s="23">
        <v>698.69100000000003</v>
      </c>
      <c r="J6088" s="23">
        <v>0</v>
      </c>
      <c r="K6088" s="23">
        <v>0</v>
      </c>
    </row>
    <row r="6089" spans="1:11" x14ac:dyDescent="0.25">
      <c r="A6089">
        <v>6088</v>
      </c>
      <c r="B6089" s="23">
        <v>1394.368273</v>
      </c>
      <c r="C6089" s="23">
        <v>27.45</v>
      </c>
      <c r="D6089" s="23">
        <v>81.308999999999997</v>
      </c>
      <c r="E6089" s="23">
        <v>81.308999999999997</v>
      </c>
      <c r="F6089" s="23">
        <v>0</v>
      </c>
      <c r="G6089" s="23">
        <v>0</v>
      </c>
      <c r="H6089" s="23">
        <v>0</v>
      </c>
      <c r="I6089" s="23">
        <v>1313.059</v>
      </c>
      <c r="J6089" s="23">
        <v>0</v>
      </c>
      <c r="K6089" s="23">
        <v>0</v>
      </c>
    </row>
    <row r="6090" spans="1:11" x14ac:dyDescent="0.25">
      <c r="A6090">
        <v>6089</v>
      </c>
      <c r="B6090" s="23">
        <v>1415.346632</v>
      </c>
      <c r="C6090" s="23">
        <v>14.69</v>
      </c>
      <c r="D6090" s="23">
        <v>33.314</v>
      </c>
      <c r="E6090" s="23">
        <v>33.314</v>
      </c>
      <c r="F6090" s="23">
        <v>0</v>
      </c>
      <c r="G6090" s="23">
        <v>0</v>
      </c>
      <c r="H6090" s="23">
        <v>0</v>
      </c>
      <c r="I6090" s="23">
        <v>1382.0329999999999</v>
      </c>
      <c r="J6090" s="23">
        <v>0</v>
      </c>
      <c r="K6090" s="23">
        <v>0</v>
      </c>
    </row>
    <row r="6091" spans="1:11" x14ac:dyDescent="0.25">
      <c r="A6091">
        <v>6090</v>
      </c>
      <c r="B6091" s="23">
        <v>1274.8271010000001</v>
      </c>
      <c r="C6091" s="23">
        <v>4.8899999999999997</v>
      </c>
      <c r="D6091" s="23">
        <v>0</v>
      </c>
      <c r="E6091" s="23">
        <v>0</v>
      </c>
      <c r="F6091" s="23">
        <v>0</v>
      </c>
      <c r="G6091" s="23">
        <v>0</v>
      </c>
      <c r="H6091" s="23">
        <v>0</v>
      </c>
      <c r="I6091" s="23">
        <v>0</v>
      </c>
      <c r="J6091" s="23">
        <v>0</v>
      </c>
      <c r="K6091" s="23">
        <v>1274.827</v>
      </c>
    </row>
    <row r="6092" spans="1:11" x14ac:dyDescent="0.25">
      <c r="A6092">
        <v>6091</v>
      </c>
      <c r="B6092" s="23">
        <v>1217.705772</v>
      </c>
      <c r="C6092" s="23">
        <v>0</v>
      </c>
      <c r="D6092" s="23">
        <v>0</v>
      </c>
      <c r="E6092" s="23">
        <v>0</v>
      </c>
      <c r="F6092" s="23">
        <v>0</v>
      </c>
      <c r="G6092" s="23">
        <v>0</v>
      </c>
      <c r="H6092" s="23">
        <v>0</v>
      </c>
      <c r="I6092" s="23">
        <v>0</v>
      </c>
      <c r="J6092" s="23">
        <v>0</v>
      </c>
      <c r="K6092" s="23">
        <v>1217.7059999999999</v>
      </c>
    </row>
    <row r="6093" spans="1:11" x14ac:dyDescent="0.25">
      <c r="A6093">
        <v>6092</v>
      </c>
      <c r="B6093" s="23">
        <v>1113.8843119999999</v>
      </c>
      <c r="C6093" s="23">
        <v>0</v>
      </c>
      <c r="D6093" s="23">
        <v>0</v>
      </c>
      <c r="E6093" s="23">
        <v>0</v>
      </c>
      <c r="F6093" s="23">
        <v>0</v>
      </c>
      <c r="G6093" s="23">
        <v>0</v>
      </c>
      <c r="H6093" s="23">
        <v>0</v>
      </c>
      <c r="I6093" s="23">
        <v>0</v>
      </c>
      <c r="J6093" s="23">
        <v>0</v>
      </c>
      <c r="K6093" s="23">
        <v>1113.884</v>
      </c>
    </row>
    <row r="6094" spans="1:11" x14ac:dyDescent="0.25">
      <c r="A6094">
        <v>6093</v>
      </c>
      <c r="B6094" s="23">
        <v>1204.6634300000001</v>
      </c>
      <c r="C6094" s="23">
        <v>0</v>
      </c>
      <c r="D6094" s="23">
        <v>0</v>
      </c>
      <c r="E6094" s="23">
        <v>0</v>
      </c>
      <c r="F6094" s="23">
        <v>0</v>
      </c>
      <c r="G6094" s="23">
        <v>0</v>
      </c>
      <c r="H6094" s="23">
        <v>0</v>
      </c>
      <c r="I6094" s="23">
        <v>1204.663</v>
      </c>
      <c r="J6094" s="23">
        <v>0</v>
      </c>
      <c r="K6094" s="23">
        <v>0</v>
      </c>
    </row>
    <row r="6095" spans="1:11" x14ac:dyDescent="0.25">
      <c r="A6095">
        <v>6094</v>
      </c>
      <c r="B6095" s="23">
        <v>1071.3571569999999</v>
      </c>
      <c r="C6095" s="23">
        <v>0</v>
      </c>
      <c r="D6095" s="23">
        <v>0</v>
      </c>
      <c r="E6095" s="23">
        <v>0</v>
      </c>
      <c r="F6095" s="23">
        <v>0</v>
      </c>
      <c r="G6095" s="23">
        <v>0</v>
      </c>
      <c r="H6095" s="23">
        <v>0</v>
      </c>
      <c r="I6095" s="23">
        <v>1071.357</v>
      </c>
      <c r="J6095" s="23">
        <v>0</v>
      </c>
      <c r="K6095" s="23">
        <v>0</v>
      </c>
    </row>
    <row r="6096" spans="1:11" x14ac:dyDescent="0.25">
      <c r="A6096">
        <v>6095</v>
      </c>
      <c r="B6096" s="23">
        <v>1266.818501</v>
      </c>
      <c r="C6096" s="23">
        <v>0</v>
      </c>
      <c r="D6096" s="23">
        <v>0</v>
      </c>
      <c r="E6096" s="23">
        <v>0</v>
      </c>
      <c r="F6096" s="23">
        <v>0</v>
      </c>
      <c r="G6096" s="23">
        <v>0</v>
      </c>
      <c r="H6096" s="23">
        <v>0</v>
      </c>
      <c r="I6096" s="23">
        <v>1266.819</v>
      </c>
      <c r="J6096" s="23">
        <v>0</v>
      </c>
      <c r="K6096" s="23">
        <v>0</v>
      </c>
    </row>
    <row r="6097" spans="1:11" x14ac:dyDescent="0.25">
      <c r="A6097">
        <v>6096</v>
      </c>
      <c r="B6097" s="23">
        <v>1126.9695899999999</v>
      </c>
      <c r="C6097" s="23">
        <v>0</v>
      </c>
      <c r="D6097" s="23">
        <v>0</v>
      </c>
      <c r="E6097" s="23">
        <v>0</v>
      </c>
      <c r="F6097" s="23">
        <v>0</v>
      </c>
      <c r="G6097" s="23">
        <v>0</v>
      </c>
      <c r="H6097" s="23">
        <v>0</v>
      </c>
      <c r="I6097" s="23">
        <v>1126.97</v>
      </c>
      <c r="J6097" s="23">
        <v>0</v>
      </c>
      <c r="K6097" s="23">
        <v>0</v>
      </c>
    </row>
    <row r="6098" spans="1:11" x14ac:dyDescent="0.25">
      <c r="A6098">
        <v>6097</v>
      </c>
      <c r="B6098" s="23">
        <v>1026.3765129999999</v>
      </c>
      <c r="C6098" s="23">
        <v>0</v>
      </c>
      <c r="D6098" s="23">
        <v>0</v>
      </c>
      <c r="E6098" s="23">
        <v>0</v>
      </c>
      <c r="F6098" s="23">
        <v>0</v>
      </c>
      <c r="G6098" s="23">
        <v>0</v>
      </c>
      <c r="H6098" s="23">
        <v>0</v>
      </c>
      <c r="I6098" s="23">
        <v>1026.377</v>
      </c>
      <c r="J6098" s="23">
        <v>0</v>
      </c>
      <c r="K6098" s="23">
        <v>0</v>
      </c>
    </row>
    <row r="6099" spans="1:11" x14ac:dyDescent="0.25">
      <c r="A6099">
        <v>6098</v>
      </c>
      <c r="B6099" s="23">
        <v>914.33381829999996</v>
      </c>
      <c r="C6099" s="23">
        <v>0</v>
      </c>
      <c r="D6099" s="23">
        <v>0</v>
      </c>
      <c r="E6099" s="23">
        <v>0</v>
      </c>
      <c r="F6099" s="23">
        <v>0</v>
      </c>
      <c r="G6099" s="23">
        <v>0</v>
      </c>
      <c r="H6099" s="23">
        <v>0</v>
      </c>
      <c r="I6099" s="23">
        <v>914.33399999999995</v>
      </c>
      <c r="J6099" s="23">
        <v>0</v>
      </c>
      <c r="K6099" s="23">
        <v>0</v>
      </c>
    </row>
    <row r="6100" spans="1:11" x14ac:dyDescent="0.25">
      <c r="A6100">
        <v>6099</v>
      </c>
      <c r="B6100" s="23">
        <v>758.12830910000002</v>
      </c>
      <c r="C6100" s="23">
        <v>0</v>
      </c>
      <c r="D6100" s="23">
        <v>0</v>
      </c>
      <c r="E6100" s="23">
        <v>0</v>
      </c>
      <c r="F6100" s="23">
        <v>0</v>
      </c>
      <c r="G6100" s="23">
        <v>0</v>
      </c>
      <c r="H6100" s="23">
        <v>0</v>
      </c>
      <c r="I6100" s="23">
        <v>758.12800000000004</v>
      </c>
      <c r="J6100" s="23">
        <v>0</v>
      </c>
      <c r="K6100" s="23">
        <v>0</v>
      </c>
    </row>
    <row r="6101" spans="1:11" x14ac:dyDescent="0.25">
      <c r="A6101">
        <v>6100</v>
      </c>
      <c r="B6101" s="23">
        <v>830.09733949999998</v>
      </c>
      <c r="C6101" s="23">
        <v>0</v>
      </c>
      <c r="D6101" s="23">
        <v>0</v>
      </c>
      <c r="E6101" s="23">
        <v>0</v>
      </c>
      <c r="F6101" s="23">
        <v>0</v>
      </c>
      <c r="G6101" s="23">
        <v>0</v>
      </c>
      <c r="H6101" s="23">
        <v>0</v>
      </c>
      <c r="I6101" s="23">
        <v>830.09699999999998</v>
      </c>
      <c r="J6101" s="23">
        <v>0</v>
      </c>
      <c r="K6101" s="23">
        <v>0</v>
      </c>
    </row>
    <row r="6102" spans="1:11" x14ac:dyDescent="0.25">
      <c r="A6102">
        <v>6101</v>
      </c>
      <c r="B6102" s="23">
        <v>926.60126660000003</v>
      </c>
      <c r="C6102" s="23">
        <v>0</v>
      </c>
      <c r="D6102" s="23">
        <v>0</v>
      </c>
      <c r="E6102" s="23">
        <v>0</v>
      </c>
      <c r="F6102" s="23">
        <v>0</v>
      </c>
      <c r="G6102" s="23">
        <v>0</v>
      </c>
      <c r="H6102" s="23">
        <v>0</v>
      </c>
      <c r="I6102" s="23">
        <v>926.601</v>
      </c>
      <c r="J6102" s="23">
        <v>0</v>
      </c>
      <c r="K6102" s="23">
        <v>0</v>
      </c>
    </row>
    <row r="6103" spans="1:11" x14ac:dyDescent="0.25">
      <c r="A6103">
        <v>6102</v>
      </c>
      <c r="B6103" s="23">
        <v>1324.0665939999999</v>
      </c>
      <c r="C6103" s="23">
        <v>0</v>
      </c>
      <c r="D6103" s="23">
        <v>0</v>
      </c>
      <c r="E6103" s="23">
        <v>0</v>
      </c>
      <c r="F6103" s="23">
        <v>0</v>
      </c>
      <c r="G6103" s="23">
        <v>0</v>
      </c>
      <c r="H6103" s="23">
        <v>0</v>
      </c>
      <c r="I6103" s="23">
        <v>1324.067</v>
      </c>
      <c r="J6103" s="23">
        <v>0</v>
      </c>
      <c r="K6103" s="23">
        <v>0</v>
      </c>
    </row>
    <row r="6104" spans="1:11" x14ac:dyDescent="0.25">
      <c r="A6104">
        <v>6103</v>
      </c>
      <c r="B6104" s="23">
        <v>1107.3416729999999</v>
      </c>
      <c r="C6104" s="23">
        <v>80.180000000000007</v>
      </c>
      <c r="D6104" s="23">
        <v>285.28899999999999</v>
      </c>
      <c r="E6104" s="23">
        <v>285.28899999999999</v>
      </c>
      <c r="F6104" s="23">
        <v>0</v>
      </c>
      <c r="G6104" s="23">
        <v>0</v>
      </c>
      <c r="H6104" s="23">
        <v>0</v>
      </c>
      <c r="I6104" s="23">
        <v>822.05200000000002</v>
      </c>
      <c r="J6104" s="23">
        <v>0</v>
      </c>
      <c r="K6104" s="23">
        <v>0</v>
      </c>
    </row>
    <row r="6105" spans="1:11" x14ac:dyDescent="0.25">
      <c r="A6105">
        <v>6104</v>
      </c>
      <c r="B6105" s="23">
        <v>949.59250940000004</v>
      </c>
      <c r="C6105" s="23">
        <v>253.2</v>
      </c>
      <c r="D6105" s="23">
        <v>1003.754</v>
      </c>
      <c r="E6105" s="23">
        <v>949.59299999999996</v>
      </c>
      <c r="F6105" s="23">
        <v>-54.161000000000001</v>
      </c>
      <c r="G6105" s="23">
        <v>0</v>
      </c>
      <c r="H6105" s="23">
        <v>0</v>
      </c>
      <c r="I6105" s="23">
        <v>0</v>
      </c>
      <c r="J6105" s="23">
        <v>0</v>
      </c>
      <c r="K6105" s="23">
        <v>0</v>
      </c>
    </row>
    <row r="6106" spans="1:11" x14ac:dyDescent="0.25">
      <c r="A6106">
        <v>6105</v>
      </c>
      <c r="B6106" s="23">
        <v>1070.4841240000001</v>
      </c>
      <c r="C6106" s="23">
        <v>449.31</v>
      </c>
      <c r="D6106" s="23">
        <v>1769.2570000000001</v>
      </c>
      <c r="E6106" s="23">
        <v>1070.4839999999999</v>
      </c>
      <c r="F6106" s="23">
        <v>-698.77300000000002</v>
      </c>
      <c r="G6106" s="23">
        <v>0</v>
      </c>
      <c r="H6106" s="23">
        <v>0</v>
      </c>
      <c r="I6106" s="23">
        <v>0</v>
      </c>
      <c r="J6106" s="23">
        <v>0</v>
      </c>
      <c r="K6106" s="23">
        <v>0</v>
      </c>
    </row>
    <row r="6107" spans="1:11" x14ac:dyDescent="0.25">
      <c r="A6107">
        <v>6106</v>
      </c>
      <c r="B6107" s="23">
        <v>1490.991808</v>
      </c>
      <c r="C6107" s="23">
        <v>517.20000000000005</v>
      </c>
      <c r="D6107" s="23">
        <v>2003.9169999999999</v>
      </c>
      <c r="E6107" s="23">
        <v>1490.992</v>
      </c>
      <c r="F6107" s="23">
        <v>-512.92499999999995</v>
      </c>
      <c r="G6107" s="23">
        <v>0</v>
      </c>
      <c r="H6107" s="23">
        <v>0</v>
      </c>
      <c r="I6107" s="23">
        <v>0</v>
      </c>
      <c r="J6107" s="23">
        <v>0</v>
      </c>
      <c r="K6107" s="23">
        <v>0</v>
      </c>
    </row>
    <row r="6108" spans="1:11" x14ac:dyDescent="0.25">
      <c r="A6108">
        <v>6107</v>
      </c>
      <c r="B6108" s="23">
        <v>1371.7787900000001</v>
      </c>
      <c r="C6108" s="23">
        <v>605.9</v>
      </c>
      <c r="D6108" s="23">
        <v>2321.9160000000002</v>
      </c>
      <c r="E6108" s="23">
        <v>1371.779</v>
      </c>
      <c r="F6108" s="23">
        <v>-950.13699999999994</v>
      </c>
      <c r="G6108" s="23">
        <v>0</v>
      </c>
      <c r="H6108" s="23">
        <v>0</v>
      </c>
      <c r="I6108" s="23">
        <v>0</v>
      </c>
      <c r="J6108" s="23">
        <v>0</v>
      </c>
      <c r="K6108" s="23">
        <v>0</v>
      </c>
    </row>
    <row r="6109" spans="1:11" x14ac:dyDescent="0.25">
      <c r="A6109">
        <v>6108</v>
      </c>
      <c r="B6109" s="23">
        <v>1488.1212250000001</v>
      </c>
      <c r="C6109" s="23">
        <v>842.13</v>
      </c>
      <c r="D6109" s="23">
        <v>3172.681</v>
      </c>
      <c r="E6109" s="23">
        <v>1488.1220000000001</v>
      </c>
      <c r="F6109" s="23">
        <v>-1684.559</v>
      </c>
      <c r="G6109" s="23">
        <v>0</v>
      </c>
      <c r="H6109" s="23">
        <v>0</v>
      </c>
      <c r="I6109" s="23">
        <v>0</v>
      </c>
      <c r="J6109" s="23">
        <v>0</v>
      </c>
      <c r="K6109" s="23">
        <v>0</v>
      </c>
    </row>
    <row r="6110" spans="1:11" x14ac:dyDescent="0.25">
      <c r="A6110">
        <v>6109</v>
      </c>
      <c r="B6110" s="23">
        <v>1658.559019</v>
      </c>
      <c r="C6110" s="23">
        <v>441.86</v>
      </c>
      <c r="D6110" s="23">
        <v>1694.9169999999999</v>
      </c>
      <c r="E6110" s="23">
        <v>1658.559</v>
      </c>
      <c r="F6110" s="23">
        <v>-36.357999999999997</v>
      </c>
      <c r="G6110" s="23">
        <v>0</v>
      </c>
      <c r="H6110" s="23">
        <v>0</v>
      </c>
      <c r="I6110" s="23">
        <v>0</v>
      </c>
      <c r="J6110" s="23">
        <v>0</v>
      </c>
      <c r="K6110" s="23">
        <v>0</v>
      </c>
    </row>
    <row r="6111" spans="1:11" x14ac:dyDescent="0.25">
      <c r="A6111">
        <v>6110</v>
      </c>
      <c r="B6111" s="23">
        <v>1466.1103559999999</v>
      </c>
      <c r="C6111" s="23">
        <v>181.11</v>
      </c>
      <c r="D6111" s="23">
        <v>684.06500000000005</v>
      </c>
      <c r="E6111" s="23">
        <v>684.06500000000005</v>
      </c>
      <c r="F6111" s="23">
        <v>0</v>
      </c>
      <c r="G6111" s="23">
        <v>0</v>
      </c>
      <c r="H6111" s="23">
        <v>0</v>
      </c>
      <c r="I6111" s="23">
        <v>782.04499999999996</v>
      </c>
      <c r="J6111" s="23">
        <v>0</v>
      </c>
      <c r="K6111" s="23">
        <v>0</v>
      </c>
    </row>
    <row r="6112" spans="1:11" x14ac:dyDescent="0.25">
      <c r="A6112">
        <v>6111</v>
      </c>
      <c r="B6112" s="23">
        <v>1663.6489879999999</v>
      </c>
      <c r="C6112" s="23">
        <v>429.1</v>
      </c>
      <c r="D6112" s="23">
        <v>1669.5429999999999</v>
      </c>
      <c r="E6112" s="23">
        <v>1663.6489999999999</v>
      </c>
      <c r="F6112" s="23">
        <v>-5.8940000000000001</v>
      </c>
      <c r="G6112" s="23">
        <v>0</v>
      </c>
      <c r="H6112" s="23">
        <v>0</v>
      </c>
      <c r="I6112" s="23">
        <v>0</v>
      </c>
      <c r="J6112" s="23">
        <v>0</v>
      </c>
      <c r="K6112" s="23">
        <v>0</v>
      </c>
    </row>
    <row r="6113" spans="1:11" x14ac:dyDescent="0.25">
      <c r="A6113">
        <v>6112</v>
      </c>
      <c r="B6113" s="23">
        <v>1239.836249</v>
      </c>
      <c r="C6113" s="23">
        <v>257.58</v>
      </c>
      <c r="D6113" s="23">
        <v>1009.028</v>
      </c>
      <c r="E6113" s="23">
        <v>1009.028</v>
      </c>
      <c r="F6113" s="23">
        <v>0</v>
      </c>
      <c r="G6113" s="23">
        <v>0</v>
      </c>
      <c r="H6113" s="23">
        <v>0</v>
      </c>
      <c r="I6113" s="23">
        <v>230.80799999999999</v>
      </c>
      <c r="J6113" s="23">
        <v>0</v>
      </c>
      <c r="K6113" s="23">
        <v>0</v>
      </c>
    </row>
    <row r="6114" spans="1:11" x14ac:dyDescent="0.25">
      <c r="A6114">
        <v>6113</v>
      </c>
      <c r="B6114" s="23">
        <v>1491.336319</v>
      </c>
      <c r="C6114" s="23">
        <v>194.71</v>
      </c>
      <c r="D6114" s="23">
        <v>760.43600000000004</v>
      </c>
      <c r="E6114" s="23">
        <v>760.43600000000004</v>
      </c>
      <c r="F6114" s="23">
        <v>0</v>
      </c>
      <c r="G6114" s="23">
        <v>0</v>
      </c>
      <c r="H6114" s="23">
        <v>0</v>
      </c>
      <c r="I6114" s="23">
        <v>730.9</v>
      </c>
      <c r="J6114" s="23">
        <v>0</v>
      </c>
      <c r="K6114" s="23">
        <v>0</v>
      </c>
    </row>
    <row r="6115" spans="1:11" x14ac:dyDescent="0.25">
      <c r="A6115">
        <v>6114</v>
      </c>
      <c r="B6115" s="23">
        <v>1536.621605</v>
      </c>
      <c r="C6115" s="23">
        <v>38.51</v>
      </c>
      <c r="D6115" s="23">
        <v>113.383</v>
      </c>
      <c r="E6115" s="23">
        <v>113.383</v>
      </c>
      <c r="F6115" s="23">
        <v>0</v>
      </c>
      <c r="G6115" s="23">
        <v>0</v>
      </c>
      <c r="H6115" s="23">
        <v>0</v>
      </c>
      <c r="I6115" s="23">
        <v>0</v>
      </c>
      <c r="J6115" s="23">
        <v>0</v>
      </c>
      <c r="K6115" s="23">
        <v>1423.2380000000001</v>
      </c>
    </row>
    <row r="6116" spans="1:11" x14ac:dyDescent="0.25">
      <c r="A6116">
        <v>6115</v>
      </c>
      <c r="B6116" s="23">
        <v>1553.0947430000001</v>
      </c>
      <c r="C6116" s="23">
        <v>0</v>
      </c>
      <c r="D6116" s="23">
        <v>0</v>
      </c>
      <c r="E6116" s="23">
        <v>0</v>
      </c>
      <c r="F6116" s="23">
        <v>0</v>
      </c>
      <c r="G6116" s="23">
        <v>0</v>
      </c>
      <c r="H6116" s="23">
        <v>0</v>
      </c>
      <c r="I6116" s="23">
        <v>0</v>
      </c>
      <c r="J6116" s="23">
        <v>0</v>
      </c>
      <c r="K6116" s="23">
        <v>1553.095</v>
      </c>
    </row>
    <row r="6117" spans="1:11" x14ac:dyDescent="0.25">
      <c r="A6117">
        <v>6116</v>
      </c>
      <c r="B6117" s="23">
        <v>1250.461904</v>
      </c>
      <c r="C6117" s="23">
        <v>0</v>
      </c>
      <c r="D6117" s="23">
        <v>0</v>
      </c>
      <c r="E6117" s="23">
        <v>0</v>
      </c>
      <c r="F6117" s="23">
        <v>0</v>
      </c>
      <c r="G6117" s="23">
        <v>0</v>
      </c>
      <c r="H6117" s="23">
        <v>0</v>
      </c>
      <c r="I6117" s="23">
        <v>0</v>
      </c>
      <c r="J6117" s="23">
        <v>0</v>
      </c>
      <c r="K6117" s="23">
        <v>1250.462</v>
      </c>
    </row>
    <row r="6118" spans="1:11" x14ac:dyDescent="0.25">
      <c r="A6118">
        <v>6117</v>
      </c>
      <c r="B6118" s="23">
        <v>1401.7604329999999</v>
      </c>
      <c r="C6118" s="23">
        <v>0</v>
      </c>
      <c r="D6118" s="23">
        <v>0</v>
      </c>
      <c r="E6118" s="23">
        <v>0</v>
      </c>
      <c r="F6118" s="23">
        <v>0</v>
      </c>
      <c r="G6118" s="23">
        <v>0</v>
      </c>
      <c r="H6118" s="23">
        <v>0</v>
      </c>
      <c r="I6118" s="23">
        <v>1401.76</v>
      </c>
      <c r="J6118" s="23">
        <v>0</v>
      </c>
      <c r="K6118" s="23">
        <v>0</v>
      </c>
    </row>
    <row r="6119" spans="1:11" x14ac:dyDescent="0.25">
      <c r="A6119">
        <v>6118</v>
      </c>
      <c r="B6119" s="23">
        <v>1464.7333349999999</v>
      </c>
      <c r="C6119" s="23">
        <v>0</v>
      </c>
      <c r="D6119" s="23">
        <v>0</v>
      </c>
      <c r="E6119" s="23">
        <v>0</v>
      </c>
      <c r="F6119" s="23">
        <v>0</v>
      </c>
      <c r="G6119" s="23">
        <v>0</v>
      </c>
      <c r="H6119" s="23">
        <v>0</v>
      </c>
      <c r="I6119" s="23">
        <v>1464.7329999999999</v>
      </c>
      <c r="J6119" s="23">
        <v>0</v>
      </c>
      <c r="K6119" s="23">
        <v>0</v>
      </c>
    </row>
    <row r="6120" spans="1:11" x14ac:dyDescent="0.25">
      <c r="A6120">
        <v>6119</v>
      </c>
      <c r="B6120" s="23">
        <v>1255.3688830000001</v>
      </c>
      <c r="C6120" s="23">
        <v>0</v>
      </c>
      <c r="D6120" s="23">
        <v>0</v>
      </c>
      <c r="E6120" s="23">
        <v>0</v>
      </c>
      <c r="F6120" s="23">
        <v>0</v>
      </c>
      <c r="G6120" s="23">
        <v>0</v>
      </c>
      <c r="H6120" s="23">
        <v>0</v>
      </c>
      <c r="I6120" s="23">
        <v>1255.3689999999999</v>
      </c>
      <c r="J6120" s="23">
        <v>0</v>
      </c>
      <c r="K6120" s="23">
        <v>0</v>
      </c>
    </row>
    <row r="6121" spans="1:11" x14ac:dyDescent="0.25">
      <c r="A6121">
        <v>6120</v>
      </c>
      <c r="B6121" s="23">
        <v>1278.26812</v>
      </c>
      <c r="C6121" s="23">
        <v>0</v>
      </c>
      <c r="D6121" s="23">
        <v>0</v>
      </c>
      <c r="E6121" s="23">
        <v>0</v>
      </c>
      <c r="F6121" s="23">
        <v>0</v>
      </c>
      <c r="G6121" s="23">
        <v>0</v>
      </c>
      <c r="H6121" s="23">
        <v>0</v>
      </c>
      <c r="I6121" s="23">
        <v>1278.268</v>
      </c>
      <c r="J6121" s="23">
        <v>0</v>
      </c>
      <c r="K6121" s="23">
        <v>0</v>
      </c>
    </row>
    <row r="6122" spans="1:11" x14ac:dyDescent="0.25">
      <c r="A6122">
        <v>6121</v>
      </c>
      <c r="B6122" s="23">
        <v>1221.837857</v>
      </c>
      <c r="C6122" s="23">
        <v>0</v>
      </c>
      <c r="D6122" s="23">
        <v>0</v>
      </c>
      <c r="E6122" s="23">
        <v>0</v>
      </c>
      <c r="F6122" s="23">
        <v>0</v>
      </c>
      <c r="G6122" s="23">
        <v>0</v>
      </c>
      <c r="H6122" s="23">
        <v>0</v>
      </c>
      <c r="I6122" s="23">
        <v>1221.838</v>
      </c>
      <c r="J6122" s="23">
        <v>0</v>
      </c>
      <c r="K6122" s="23">
        <v>0</v>
      </c>
    </row>
    <row r="6123" spans="1:11" x14ac:dyDescent="0.25">
      <c r="A6123">
        <v>6122</v>
      </c>
      <c r="B6123" s="23">
        <v>1106.5238429999999</v>
      </c>
      <c r="C6123" s="23">
        <v>0</v>
      </c>
      <c r="D6123" s="23">
        <v>0</v>
      </c>
      <c r="E6123" s="23">
        <v>0</v>
      </c>
      <c r="F6123" s="23">
        <v>0</v>
      </c>
      <c r="G6123" s="23">
        <v>0</v>
      </c>
      <c r="H6123" s="23">
        <v>0</v>
      </c>
      <c r="I6123" s="23">
        <v>1106.5239999999999</v>
      </c>
      <c r="J6123" s="23">
        <v>0</v>
      </c>
      <c r="K6123" s="23">
        <v>0</v>
      </c>
    </row>
    <row r="6124" spans="1:11" x14ac:dyDescent="0.25">
      <c r="A6124">
        <v>6123</v>
      </c>
      <c r="B6124" s="23">
        <v>1113.066482</v>
      </c>
      <c r="C6124" s="23">
        <v>0</v>
      </c>
      <c r="D6124" s="23">
        <v>0</v>
      </c>
      <c r="E6124" s="23">
        <v>0</v>
      </c>
      <c r="F6124" s="23">
        <v>0</v>
      </c>
      <c r="G6124" s="23">
        <v>0</v>
      </c>
      <c r="H6124" s="23">
        <v>0</v>
      </c>
      <c r="I6124" s="23">
        <v>1113.066</v>
      </c>
      <c r="J6124" s="23">
        <v>0</v>
      </c>
      <c r="K6124" s="23">
        <v>0</v>
      </c>
    </row>
    <row r="6125" spans="1:11" x14ac:dyDescent="0.25">
      <c r="A6125">
        <v>6124</v>
      </c>
      <c r="B6125" s="23">
        <v>1459.826356</v>
      </c>
      <c r="C6125" s="23">
        <v>0</v>
      </c>
      <c r="D6125" s="23">
        <v>0</v>
      </c>
      <c r="E6125" s="23">
        <v>0</v>
      </c>
      <c r="F6125" s="23">
        <v>0</v>
      </c>
      <c r="G6125" s="23">
        <v>0</v>
      </c>
      <c r="H6125" s="23">
        <v>0</v>
      </c>
      <c r="I6125" s="23">
        <v>1459.826</v>
      </c>
      <c r="J6125" s="23">
        <v>0</v>
      </c>
      <c r="K6125" s="23">
        <v>0</v>
      </c>
    </row>
    <row r="6126" spans="1:11" x14ac:dyDescent="0.25">
      <c r="A6126">
        <v>6125</v>
      </c>
      <c r="B6126" s="23">
        <v>963.40361170000006</v>
      </c>
      <c r="C6126" s="23">
        <v>0</v>
      </c>
      <c r="D6126" s="23">
        <v>0</v>
      </c>
      <c r="E6126" s="23">
        <v>0</v>
      </c>
      <c r="F6126" s="23">
        <v>0</v>
      </c>
      <c r="G6126" s="23">
        <v>0</v>
      </c>
      <c r="H6126" s="23">
        <v>0</v>
      </c>
      <c r="I6126" s="23">
        <v>684.41300000000001</v>
      </c>
      <c r="J6126" s="23">
        <v>0</v>
      </c>
      <c r="K6126" s="23">
        <v>278.99099999999999</v>
      </c>
    </row>
    <row r="6127" spans="1:11" x14ac:dyDescent="0.25">
      <c r="A6127">
        <v>6126</v>
      </c>
      <c r="B6127" s="23">
        <v>978.94237969999995</v>
      </c>
      <c r="C6127" s="23">
        <v>0</v>
      </c>
      <c r="D6127" s="23">
        <v>0</v>
      </c>
      <c r="E6127" s="23">
        <v>0</v>
      </c>
      <c r="F6127" s="23">
        <v>0</v>
      </c>
      <c r="G6127" s="23">
        <v>0</v>
      </c>
      <c r="H6127" s="23">
        <v>0</v>
      </c>
      <c r="I6127" s="23">
        <v>0</v>
      </c>
      <c r="J6127" s="23">
        <v>0</v>
      </c>
      <c r="K6127" s="23">
        <v>978.94200000000001</v>
      </c>
    </row>
    <row r="6128" spans="1:11" x14ac:dyDescent="0.25">
      <c r="A6128">
        <v>6127</v>
      </c>
      <c r="B6128" s="23">
        <v>1391.946475</v>
      </c>
      <c r="C6128" s="23">
        <v>123.59</v>
      </c>
      <c r="D6128" s="23">
        <v>388.39299999999997</v>
      </c>
      <c r="E6128" s="23">
        <v>388.39299999999997</v>
      </c>
      <c r="F6128" s="23">
        <v>0</v>
      </c>
      <c r="G6128" s="23">
        <v>0</v>
      </c>
      <c r="H6128" s="23">
        <v>0</v>
      </c>
      <c r="I6128" s="23">
        <v>0</v>
      </c>
      <c r="J6128" s="23">
        <v>0</v>
      </c>
      <c r="K6128" s="23">
        <v>1003.554</v>
      </c>
    </row>
    <row r="6129" spans="1:11" x14ac:dyDescent="0.25">
      <c r="A6129">
        <v>6128</v>
      </c>
      <c r="B6129" s="23">
        <v>1243.5471520000001</v>
      </c>
      <c r="C6129" s="23">
        <v>368.63</v>
      </c>
      <c r="D6129" s="23">
        <v>1450.251</v>
      </c>
      <c r="E6129" s="23">
        <v>1243.547</v>
      </c>
      <c r="F6129" s="23">
        <v>-206.70400000000001</v>
      </c>
      <c r="G6129" s="23">
        <v>0</v>
      </c>
      <c r="H6129" s="23">
        <v>0</v>
      </c>
      <c r="I6129" s="23">
        <v>0</v>
      </c>
      <c r="J6129" s="23">
        <v>0</v>
      </c>
      <c r="K6129" s="23">
        <v>0</v>
      </c>
    </row>
    <row r="6130" spans="1:11" x14ac:dyDescent="0.25">
      <c r="A6130">
        <v>6129</v>
      </c>
      <c r="B6130" s="23">
        <v>1089.836024</v>
      </c>
      <c r="C6130" s="23">
        <v>609.39</v>
      </c>
      <c r="D6130" s="23">
        <v>2383.404</v>
      </c>
      <c r="E6130" s="23">
        <v>1089.836</v>
      </c>
      <c r="F6130" s="23">
        <v>-1293.568</v>
      </c>
      <c r="G6130" s="23">
        <v>0</v>
      </c>
      <c r="H6130" s="23">
        <v>0</v>
      </c>
      <c r="I6130" s="23">
        <v>0</v>
      </c>
      <c r="J6130" s="23">
        <v>0</v>
      </c>
      <c r="K6130" s="23">
        <v>0</v>
      </c>
    </row>
    <row r="6131" spans="1:11" x14ac:dyDescent="0.25">
      <c r="A6131">
        <v>6130</v>
      </c>
      <c r="B6131" s="23">
        <v>1125.3410859999999</v>
      </c>
      <c r="C6131" s="23">
        <v>647.65</v>
      </c>
      <c r="D6131" s="23">
        <v>2447.94</v>
      </c>
      <c r="E6131" s="23">
        <v>1125.3409999999999</v>
      </c>
      <c r="F6131" s="23">
        <v>-1322.5989999999999</v>
      </c>
      <c r="G6131" s="23">
        <v>0</v>
      </c>
      <c r="H6131" s="23">
        <v>0</v>
      </c>
      <c r="I6131" s="23">
        <v>0</v>
      </c>
      <c r="J6131" s="23">
        <v>0</v>
      </c>
      <c r="K6131" s="23">
        <v>0</v>
      </c>
    </row>
    <row r="6132" spans="1:11" x14ac:dyDescent="0.25">
      <c r="A6132">
        <v>6131</v>
      </c>
      <c r="B6132" s="23">
        <v>1443.0720879999999</v>
      </c>
      <c r="C6132" s="23">
        <v>786.1</v>
      </c>
      <c r="D6132" s="23">
        <v>2912.2179999999998</v>
      </c>
      <c r="E6132" s="23">
        <v>1443.0719999999999</v>
      </c>
      <c r="F6132" s="23">
        <v>-1469.146</v>
      </c>
      <c r="G6132" s="23">
        <v>0</v>
      </c>
      <c r="H6132" s="23">
        <v>0</v>
      </c>
      <c r="I6132" s="23">
        <v>0</v>
      </c>
      <c r="J6132" s="23">
        <v>0</v>
      </c>
      <c r="K6132" s="23">
        <v>0</v>
      </c>
    </row>
    <row r="6133" spans="1:11" x14ac:dyDescent="0.25">
      <c r="A6133">
        <v>6132</v>
      </c>
      <c r="B6133" s="23">
        <v>1395.4794999999999</v>
      </c>
      <c r="C6133" s="23">
        <v>988.97</v>
      </c>
      <c r="D6133" s="23">
        <v>3638.7719999999999</v>
      </c>
      <c r="E6133" s="23">
        <v>1395.48</v>
      </c>
      <c r="F6133" s="23">
        <v>-1684.559</v>
      </c>
      <c r="G6133" s="23">
        <v>0</v>
      </c>
      <c r="H6133" s="23">
        <v>558.73299999999995</v>
      </c>
      <c r="I6133" s="23">
        <v>0</v>
      </c>
      <c r="J6133" s="23">
        <v>0</v>
      </c>
      <c r="K6133" s="23">
        <v>0</v>
      </c>
    </row>
    <row r="6134" spans="1:11" x14ac:dyDescent="0.25">
      <c r="A6134">
        <v>6133</v>
      </c>
      <c r="B6134" s="23">
        <v>1267.398138</v>
      </c>
      <c r="C6134" s="23">
        <v>972.74</v>
      </c>
      <c r="D6134" s="23">
        <v>3598.634</v>
      </c>
      <c r="E6134" s="23">
        <v>1267.3979999999999</v>
      </c>
      <c r="F6134" s="23">
        <v>-1314.923</v>
      </c>
      <c r="G6134" s="23">
        <v>0</v>
      </c>
      <c r="H6134" s="23">
        <v>1016.313</v>
      </c>
      <c r="I6134" s="23">
        <v>0</v>
      </c>
      <c r="J6134" s="23">
        <v>0</v>
      </c>
      <c r="K6134" s="23">
        <v>0</v>
      </c>
    </row>
    <row r="6135" spans="1:11" x14ac:dyDescent="0.25">
      <c r="A6135">
        <v>6134</v>
      </c>
      <c r="B6135" s="23">
        <v>1171.691595</v>
      </c>
      <c r="C6135" s="23">
        <v>871.37</v>
      </c>
      <c r="D6135" s="23">
        <v>3267.1930000000002</v>
      </c>
      <c r="E6135" s="23">
        <v>1171.691</v>
      </c>
      <c r="F6135" s="23">
        <v>0</v>
      </c>
      <c r="G6135" s="23">
        <v>0</v>
      </c>
      <c r="H6135" s="23">
        <v>2095.502</v>
      </c>
      <c r="I6135" s="23">
        <v>0</v>
      </c>
      <c r="J6135" s="23">
        <v>0</v>
      </c>
      <c r="K6135" s="23">
        <v>0</v>
      </c>
    </row>
    <row r="6136" spans="1:11" x14ac:dyDescent="0.25">
      <c r="A6136">
        <v>6135</v>
      </c>
      <c r="B6136" s="23">
        <v>1207.43894</v>
      </c>
      <c r="C6136" s="23">
        <v>709.32</v>
      </c>
      <c r="D6136" s="23">
        <v>2717.107</v>
      </c>
      <c r="E6136" s="23">
        <v>1207.4390000000001</v>
      </c>
      <c r="F6136" s="23">
        <v>0</v>
      </c>
      <c r="G6136" s="23">
        <v>0</v>
      </c>
      <c r="H6136" s="23">
        <v>1509.6679999999999</v>
      </c>
      <c r="I6136" s="23">
        <v>0</v>
      </c>
      <c r="J6136" s="23">
        <v>0</v>
      </c>
      <c r="K6136" s="23">
        <v>0</v>
      </c>
    </row>
    <row r="6137" spans="1:11" x14ac:dyDescent="0.25">
      <c r="A6137">
        <v>6136</v>
      </c>
      <c r="B6137" s="23">
        <v>1296.14077</v>
      </c>
      <c r="C6137" s="23">
        <v>497.81</v>
      </c>
      <c r="D6137" s="23">
        <v>1955.808</v>
      </c>
      <c r="E6137" s="23">
        <v>1296.1400000000001</v>
      </c>
      <c r="F6137" s="23">
        <v>0</v>
      </c>
      <c r="G6137" s="23">
        <v>0</v>
      </c>
      <c r="H6137" s="23">
        <v>659.66800000000001</v>
      </c>
      <c r="I6137" s="23">
        <v>0</v>
      </c>
      <c r="J6137" s="23">
        <v>0</v>
      </c>
      <c r="K6137" s="23">
        <v>0</v>
      </c>
    </row>
    <row r="6138" spans="1:11" x14ac:dyDescent="0.25">
      <c r="A6138">
        <v>6137</v>
      </c>
      <c r="B6138" s="23">
        <v>1213.9294420000001</v>
      </c>
      <c r="C6138" s="23">
        <v>257.33</v>
      </c>
      <c r="D6138" s="23">
        <v>975.41899999999998</v>
      </c>
      <c r="E6138" s="23">
        <v>975.41899999999998</v>
      </c>
      <c r="F6138" s="23">
        <v>0</v>
      </c>
      <c r="G6138" s="23">
        <v>0</v>
      </c>
      <c r="H6138" s="23">
        <v>0</v>
      </c>
      <c r="I6138" s="23">
        <v>238.51</v>
      </c>
      <c r="J6138" s="23">
        <v>0</v>
      </c>
      <c r="K6138" s="23">
        <v>0</v>
      </c>
    </row>
    <row r="6139" spans="1:11" x14ac:dyDescent="0.25">
      <c r="A6139">
        <v>6138</v>
      </c>
      <c r="B6139" s="23">
        <v>1030.8817340000001</v>
      </c>
      <c r="C6139" s="23">
        <v>45.53</v>
      </c>
      <c r="D6139" s="23">
        <v>122.82599999999999</v>
      </c>
      <c r="E6139" s="23">
        <v>122.82599999999999</v>
      </c>
      <c r="F6139" s="23">
        <v>0</v>
      </c>
      <c r="G6139" s="23">
        <v>0</v>
      </c>
      <c r="H6139" s="23">
        <v>0</v>
      </c>
      <c r="I6139" s="23">
        <v>0</v>
      </c>
      <c r="J6139" s="23">
        <v>0</v>
      </c>
      <c r="K6139" s="23">
        <v>908.05499999999995</v>
      </c>
    </row>
    <row r="6140" spans="1:11" x14ac:dyDescent="0.25">
      <c r="A6140">
        <v>6139</v>
      </c>
      <c r="B6140" s="23">
        <v>1441.018313</v>
      </c>
      <c r="C6140" s="23">
        <v>0</v>
      </c>
      <c r="D6140" s="23">
        <v>0</v>
      </c>
      <c r="E6140" s="23">
        <v>0</v>
      </c>
      <c r="F6140" s="23">
        <v>0</v>
      </c>
      <c r="G6140" s="23">
        <v>0</v>
      </c>
      <c r="H6140" s="23">
        <v>0</v>
      </c>
      <c r="I6140" s="23">
        <v>0</v>
      </c>
      <c r="J6140" s="23">
        <v>0</v>
      </c>
      <c r="K6140" s="23">
        <v>1441.018</v>
      </c>
    </row>
    <row r="6141" spans="1:11" x14ac:dyDescent="0.25">
      <c r="A6141">
        <v>6140</v>
      </c>
      <c r="B6141" s="23">
        <v>967.49276120000002</v>
      </c>
      <c r="C6141" s="23">
        <v>0</v>
      </c>
      <c r="D6141" s="23">
        <v>0</v>
      </c>
      <c r="E6141" s="23">
        <v>0</v>
      </c>
      <c r="F6141" s="23">
        <v>0</v>
      </c>
      <c r="G6141" s="23">
        <v>0</v>
      </c>
      <c r="H6141" s="23">
        <v>0</v>
      </c>
      <c r="I6141" s="23">
        <v>0</v>
      </c>
      <c r="J6141" s="23">
        <v>0</v>
      </c>
      <c r="K6141" s="23">
        <v>967.49300000000005</v>
      </c>
    </row>
    <row r="6142" spans="1:11" x14ac:dyDescent="0.25">
      <c r="A6142">
        <v>6141</v>
      </c>
      <c r="B6142" s="23">
        <v>1176.039383</v>
      </c>
      <c r="C6142" s="23">
        <v>0</v>
      </c>
      <c r="D6142" s="23">
        <v>0</v>
      </c>
      <c r="E6142" s="23">
        <v>0</v>
      </c>
      <c r="F6142" s="23">
        <v>0</v>
      </c>
      <c r="G6142" s="23">
        <v>0</v>
      </c>
      <c r="H6142" s="23">
        <v>0</v>
      </c>
      <c r="I6142" s="23">
        <v>1176.039</v>
      </c>
      <c r="J6142" s="23">
        <v>0</v>
      </c>
      <c r="K6142" s="23">
        <v>0</v>
      </c>
    </row>
    <row r="6143" spans="1:11" x14ac:dyDescent="0.25">
      <c r="A6143">
        <v>6142</v>
      </c>
      <c r="B6143" s="23">
        <v>1427.1131600000001</v>
      </c>
      <c r="C6143" s="23">
        <v>0</v>
      </c>
      <c r="D6143" s="23">
        <v>0</v>
      </c>
      <c r="E6143" s="23">
        <v>0</v>
      </c>
      <c r="F6143" s="23">
        <v>0</v>
      </c>
      <c r="G6143" s="23">
        <v>0</v>
      </c>
      <c r="H6143" s="23">
        <v>0</v>
      </c>
      <c r="I6143" s="23">
        <v>1427.1130000000001</v>
      </c>
      <c r="J6143" s="23">
        <v>0</v>
      </c>
      <c r="K6143" s="23">
        <v>0</v>
      </c>
    </row>
    <row r="6144" spans="1:11" x14ac:dyDescent="0.25">
      <c r="A6144">
        <v>6143</v>
      </c>
      <c r="B6144" s="23">
        <v>1197.3029610000001</v>
      </c>
      <c r="C6144" s="23">
        <v>0</v>
      </c>
      <c r="D6144" s="23">
        <v>0</v>
      </c>
      <c r="E6144" s="23">
        <v>0</v>
      </c>
      <c r="F6144" s="23">
        <v>0</v>
      </c>
      <c r="G6144" s="23">
        <v>0</v>
      </c>
      <c r="H6144" s="23">
        <v>0</v>
      </c>
      <c r="I6144" s="23">
        <v>1197.3030000000001</v>
      </c>
      <c r="J6144" s="23">
        <v>0</v>
      </c>
      <c r="K6144" s="23">
        <v>0</v>
      </c>
    </row>
    <row r="6145" spans="1:11" x14ac:dyDescent="0.25">
      <c r="A6145">
        <v>6144</v>
      </c>
      <c r="B6145" s="23">
        <v>1134.3300589999999</v>
      </c>
      <c r="C6145" s="23">
        <v>0</v>
      </c>
      <c r="D6145" s="23">
        <v>0</v>
      </c>
      <c r="E6145" s="23">
        <v>0</v>
      </c>
      <c r="F6145" s="23">
        <v>0</v>
      </c>
      <c r="G6145" s="23">
        <v>0</v>
      </c>
      <c r="H6145" s="23">
        <v>0</v>
      </c>
      <c r="I6145" s="23">
        <v>1134.33</v>
      </c>
      <c r="J6145" s="23">
        <v>0</v>
      </c>
      <c r="K6145" s="23">
        <v>0</v>
      </c>
    </row>
    <row r="6146" spans="1:11" x14ac:dyDescent="0.25">
      <c r="A6146">
        <v>6145</v>
      </c>
      <c r="B6146" s="23">
        <v>1411.574392</v>
      </c>
      <c r="C6146" s="23">
        <v>0</v>
      </c>
      <c r="D6146" s="23">
        <v>0</v>
      </c>
      <c r="E6146" s="23">
        <v>0</v>
      </c>
      <c r="F6146" s="23">
        <v>0</v>
      </c>
      <c r="G6146" s="23">
        <v>0</v>
      </c>
      <c r="H6146" s="23">
        <v>0</v>
      </c>
      <c r="I6146" s="23">
        <v>1411.5740000000001</v>
      </c>
      <c r="J6146" s="23">
        <v>0</v>
      </c>
      <c r="K6146" s="23">
        <v>0</v>
      </c>
    </row>
    <row r="6147" spans="1:11" x14ac:dyDescent="0.25">
      <c r="A6147">
        <v>6146</v>
      </c>
      <c r="B6147" s="23">
        <v>1233.287476</v>
      </c>
      <c r="C6147" s="23">
        <v>0</v>
      </c>
      <c r="D6147" s="23">
        <v>0</v>
      </c>
      <c r="E6147" s="23">
        <v>0</v>
      </c>
      <c r="F6147" s="23">
        <v>0</v>
      </c>
      <c r="G6147" s="23">
        <v>0</v>
      </c>
      <c r="H6147" s="23">
        <v>0</v>
      </c>
      <c r="I6147" s="23">
        <v>1233.287</v>
      </c>
      <c r="J6147" s="23">
        <v>0</v>
      </c>
      <c r="K6147" s="23">
        <v>0</v>
      </c>
    </row>
    <row r="6148" spans="1:11" x14ac:dyDescent="0.25">
      <c r="A6148">
        <v>6147</v>
      </c>
      <c r="B6148" s="23">
        <v>1411.574392</v>
      </c>
      <c r="C6148" s="23">
        <v>0</v>
      </c>
      <c r="D6148" s="23">
        <v>0</v>
      </c>
      <c r="E6148" s="23">
        <v>0</v>
      </c>
      <c r="F6148" s="23">
        <v>0</v>
      </c>
      <c r="G6148" s="23">
        <v>0</v>
      </c>
      <c r="H6148" s="23">
        <v>0</v>
      </c>
      <c r="I6148" s="23">
        <v>1411.5740000000001</v>
      </c>
      <c r="J6148" s="23">
        <v>0</v>
      </c>
      <c r="K6148" s="23">
        <v>0</v>
      </c>
    </row>
    <row r="6149" spans="1:11" x14ac:dyDescent="0.25">
      <c r="A6149">
        <v>6148</v>
      </c>
      <c r="B6149" s="23">
        <v>1032.9191519999999</v>
      </c>
      <c r="C6149" s="23">
        <v>0</v>
      </c>
      <c r="D6149" s="23">
        <v>0</v>
      </c>
      <c r="E6149" s="23">
        <v>0</v>
      </c>
      <c r="F6149" s="23">
        <v>0</v>
      </c>
      <c r="G6149" s="23">
        <v>0</v>
      </c>
      <c r="H6149" s="23">
        <v>0</v>
      </c>
      <c r="I6149" s="23">
        <v>464.44400000000002</v>
      </c>
      <c r="J6149" s="23">
        <v>0</v>
      </c>
      <c r="K6149" s="23">
        <v>568.47500000000002</v>
      </c>
    </row>
    <row r="6150" spans="1:11" x14ac:dyDescent="0.25">
      <c r="A6150">
        <v>6149</v>
      </c>
      <c r="B6150" s="23">
        <v>981.39586929999996</v>
      </c>
      <c r="C6150" s="23">
        <v>0</v>
      </c>
      <c r="D6150" s="23">
        <v>0</v>
      </c>
      <c r="E6150" s="23">
        <v>0</v>
      </c>
      <c r="F6150" s="23">
        <v>0</v>
      </c>
      <c r="G6150" s="23">
        <v>0</v>
      </c>
      <c r="H6150" s="23">
        <v>0</v>
      </c>
      <c r="I6150" s="23">
        <v>0</v>
      </c>
      <c r="J6150" s="23">
        <v>0</v>
      </c>
      <c r="K6150" s="23">
        <v>981.39599999999996</v>
      </c>
    </row>
    <row r="6151" spans="1:11" x14ac:dyDescent="0.25">
      <c r="A6151">
        <v>6150</v>
      </c>
      <c r="B6151" s="23">
        <v>1022.287364</v>
      </c>
      <c r="C6151" s="23">
        <v>0</v>
      </c>
      <c r="D6151" s="23">
        <v>0</v>
      </c>
      <c r="E6151" s="23">
        <v>0</v>
      </c>
      <c r="F6151" s="23">
        <v>0</v>
      </c>
      <c r="G6151" s="23">
        <v>0</v>
      </c>
      <c r="H6151" s="23">
        <v>0</v>
      </c>
      <c r="I6151" s="23">
        <v>0</v>
      </c>
      <c r="J6151" s="23">
        <v>0</v>
      </c>
      <c r="K6151" s="23">
        <v>1022.287</v>
      </c>
    </row>
    <row r="6152" spans="1:11" x14ac:dyDescent="0.25">
      <c r="A6152">
        <v>6151</v>
      </c>
      <c r="B6152" s="23">
        <v>1038.6439620000001</v>
      </c>
      <c r="C6152" s="23">
        <v>107.78</v>
      </c>
      <c r="D6152" s="23">
        <v>375.52</v>
      </c>
      <c r="E6152" s="23">
        <v>375.52</v>
      </c>
      <c r="F6152" s="23">
        <v>0</v>
      </c>
      <c r="G6152" s="23">
        <v>0</v>
      </c>
      <c r="H6152" s="23">
        <v>0</v>
      </c>
      <c r="I6152" s="23">
        <v>0</v>
      </c>
      <c r="J6152" s="23">
        <v>0</v>
      </c>
      <c r="K6152" s="23">
        <v>663.12400000000002</v>
      </c>
    </row>
    <row r="6153" spans="1:11" x14ac:dyDescent="0.25">
      <c r="A6153">
        <v>6152</v>
      </c>
      <c r="B6153" s="23">
        <v>236.2454984</v>
      </c>
      <c r="C6153" s="23">
        <v>309.17</v>
      </c>
      <c r="D6153" s="23">
        <v>1225.3910000000001</v>
      </c>
      <c r="E6153" s="23">
        <v>236.24600000000001</v>
      </c>
      <c r="F6153" s="23">
        <v>-989.14499999999998</v>
      </c>
      <c r="G6153" s="23">
        <v>0</v>
      </c>
      <c r="H6153" s="23">
        <v>0</v>
      </c>
      <c r="I6153" s="23">
        <v>0</v>
      </c>
      <c r="J6153" s="23">
        <v>0</v>
      </c>
      <c r="K6153" s="23">
        <v>0</v>
      </c>
    </row>
    <row r="6154" spans="1:11" x14ac:dyDescent="0.25">
      <c r="A6154">
        <v>6153</v>
      </c>
      <c r="B6154" s="23">
        <v>185.39692489999999</v>
      </c>
      <c r="C6154" s="23">
        <v>376.83</v>
      </c>
      <c r="D6154" s="23">
        <v>1473.43</v>
      </c>
      <c r="E6154" s="23">
        <v>185.39699999999999</v>
      </c>
      <c r="F6154" s="23">
        <v>-1288.0329999999999</v>
      </c>
      <c r="G6154" s="23">
        <v>0</v>
      </c>
      <c r="H6154" s="23">
        <v>0</v>
      </c>
      <c r="I6154" s="23">
        <v>0</v>
      </c>
      <c r="J6154" s="23">
        <v>0</v>
      </c>
      <c r="K6154" s="23">
        <v>0</v>
      </c>
    </row>
    <row r="6155" spans="1:11" x14ac:dyDescent="0.25">
      <c r="A6155">
        <v>6154</v>
      </c>
      <c r="B6155" s="23">
        <v>160.3938205</v>
      </c>
      <c r="C6155" s="23">
        <v>565.45000000000005</v>
      </c>
      <c r="D6155" s="23">
        <v>2174.7330000000002</v>
      </c>
      <c r="E6155" s="23">
        <v>160.39400000000001</v>
      </c>
      <c r="F6155" s="23">
        <v>-1684.559</v>
      </c>
      <c r="G6155" s="23">
        <v>0</v>
      </c>
      <c r="H6155" s="23">
        <v>329.78</v>
      </c>
      <c r="I6155" s="23">
        <v>0</v>
      </c>
      <c r="J6155" s="23">
        <v>0</v>
      </c>
      <c r="K6155" s="23">
        <v>0</v>
      </c>
    </row>
    <row r="6156" spans="1:11" x14ac:dyDescent="0.25">
      <c r="A6156">
        <v>6155</v>
      </c>
      <c r="B6156" s="23">
        <v>207.23093840000001</v>
      </c>
      <c r="C6156" s="23">
        <v>698.15</v>
      </c>
      <c r="D6156" s="23">
        <v>2645.2049999999999</v>
      </c>
      <c r="E6156" s="23">
        <v>207.23099999999999</v>
      </c>
      <c r="F6156" s="23">
        <v>-1684.559</v>
      </c>
      <c r="G6156" s="23">
        <v>0</v>
      </c>
      <c r="H6156" s="23">
        <v>753.41499999999996</v>
      </c>
      <c r="I6156" s="23">
        <v>0</v>
      </c>
      <c r="J6156" s="23">
        <v>0</v>
      </c>
      <c r="K6156" s="23">
        <v>0</v>
      </c>
    </row>
    <row r="6157" spans="1:11" x14ac:dyDescent="0.25">
      <c r="A6157">
        <v>6156</v>
      </c>
      <c r="B6157" s="23">
        <v>198.150982</v>
      </c>
      <c r="C6157" s="23">
        <v>822.83</v>
      </c>
      <c r="D6157" s="23">
        <v>3082.8270000000002</v>
      </c>
      <c r="E6157" s="23">
        <v>198.15</v>
      </c>
      <c r="F6157" s="23">
        <v>-1645.202</v>
      </c>
      <c r="G6157" s="23">
        <v>0</v>
      </c>
      <c r="H6157" s="23">
        <v>1239.4749999999999</v>
      </c>
      <c r="I6157" s="23">
        <v>0</v>
      </c>
      <c r="J6157" s="23">
        <v>0</v>
      </c>
      <c r="K6157" s="23">
        <v>0</v>
      </c>
    </row>
    <row r="6158" spans="1:11" x14ac:dyDescent="0.25">
      <c r="A6158">
        <v>6157</v>
      </c>
      <c r="B6158" s="23">
        <v>199.03526059999999</v>
      </c>
      <c r="C6158" s="23">
        <v>797.79</v>
      </c>
      <c r="D6158" s="23">
        <v>2994.5810000000001</v>
      </c>
      <c r="E6158" s="23">
        <v>199.035</v>
      </c>
      <c r="F6158" s="23">
        <v>0</v>
      </c>
      <c r="G6158" s="23">
        <v>0</v>
      </c>
      <c r="H6158" s="23">
        <v>2795.5459999999998</v>
      </c>
      <c r="I6158" s="23">
        <v>0</v>
      </c>
      <c r="J6158" s="23">
        <v>0</v>
      </c>
      <c r="K6158" s="23">
        <v>0</v>
      </c>
    </row>
    <row r="6159" spans="1:11" x14ac:dyDescent="0.25">
      <c r="A6159">
        <v>6158</v>
      </c>
      <c r="B6159" s="23">
        <v>150.53079199999999</v>
      </c>
      <c r="C6159" s="23">
        <v>751.51</v>
      </c>
      <c r="D6159" s="23">
        <v>2846.7370000000001</v>
      </c>
      <c r="E6159" s="23">
        <v>150.53100000000001</v>
      </c>
      <c r="F6159" s="23">
        <v>0</v>
      </c>
      <c r="G6159" s="23">
        <v>0</v>
      </c>
      <c r="H6159" s="23">
        <v>2696.2060000000001</v>
      </c>
      <c r="I6159" s="23">
        <v>0</v>
      </c>
      <c r="J6159" s="23">
        <v>0</v>
      </c>
      <c r="K6159" s="23">
        <v>0</v>
      </c>
    </row>
    <row r="6160" spans="1:11" x14ac:dyDescent="0.25">
      <c r="A6160">
        <v>6159</v>
      </c>
      <c r="B6160" s="23">
        <v>152.6908852</v>
      </c>
      <c r="C6160" s="23">
        <v>436.93</v>
      </c>
      <c r="D6160" s="23">
        <v>1686.5640000000001</v>
      </c>
      <c r="E6160" s="23">
        <v>152.691</v>
      </c>
      <c r="F6160" s="23">
        <v>0</v>
      </c>
      <c r="G6160" s="23">
        <v>0</v>
      </c>
      <c r="H6160" s="23">
        <v>1533.873</v>
      </c>
      <c r="I6160" s="23">
        <v>0</v>
      </c>
      <c r="J6160" s="23">
        <v>0</v>
      </c>
      <c r="K6160" s="23">
        <v>0</v>
      </c>
    </row>
    <row r="6161" spans="1:11" x14ac:dyDescent="0.25">
      <c r="A6161">
        <v>6160</v>
      </c>
      <c r="B6161" s="23">
        <v>170.769015</v>
      </c>
      <c r="C6161" s="23">
        <v>374.93</v>
      </c>
      <c r="D6161" s="23">
        <v>1469.7929999999999</v>
      </c>
      <c r="E6161" s="23">
        <v>170.76900000000001</v>
      </c>
      <c r="F6161" s="23">
        <v>0</v>
      </c>
      <c r="G6161" s="23">
        <v>0</v>
      </c>
      <c r="H6161" s="23">
        <v>1299.0239999999999</v>
      </c>
      <c r="I6161" s="23">
        <v>0</v>
      </c>
      <c r="J6161" s="23">
        <v>0</v>
      </c>
      <c r="K6161" s="23">
        <v>0</v>
      </c>
    </row>
    <row r="6162" spans="1:11" x14ac:dyDescent="0.25">
      <c r="A6162">
        <v>6161</v>
      </c>
      <c r="B6162" s="23">
        <v>138.47904629999999</v>
      </c>
      <c r="C6162" s="23">
        <v>120.33</v>
      </c>
      <c r="D6162" s="23">
        <v>455.38200000000012</v>
      </c>
      <c r="E6162" s="23">
        <v>138.47900000000001</v>
      </c>
      <c r="F6162" s="23">
        <v>0</v>
      </c>
      <c r="G6162" s="23">
        <v>0</v>
      </c>
      <c r="H6162" s="23">
        <v>316.90300000000002</v>
      </c>
      <c r="I6162" s="23">
        <v>0</v>
      </c>
      <c r="J6162" s="23">
        <v>0</v>
      </c>
      <c r="K6162" s="23">
        <v>0</v>
      </c>
    </row>
    <row r="6163" spans="1:11" x14ac:dyDescent="0.25">
      <c r="A6163">
        <v>6162</v>
      </c>
      <c r="B6163" s="23">
        <v>137.63872610000001</v>
      </c>
      <c r="C6163" s="23">
        <v>23.52</v>
      </c>
      <c r="D6163" s="23">
        <v>61.152000000000001</v>
      </c>
      <c r="E6163" s="23">
        <v>61.152000000000001</v>
      </c>
      <c r="F6163" s="23">
        <v>0</v>
      </c>
      <c r="G6163" s="23">
        <v>0</v>
      </c>
      <c r="H6163" s="23">
        <v>0</v>
      </c>
      <c r="I6163" s="23">
        <v>0</v>
      </c>
      <c r="J6163" s="23">
        <v>0</v>
      </c>
      <c r="K6163" s="23">
        <v>76.486000000000004</v>
      </c>
    </row>
    <row r="6164" spans="1:11" x14ac:dyDescent="0.25">
      <c r="A6164">
        <v>6163</v>
      </c>
      <c r="B6164" s="23">
        <v>108.46673389999999</v>
      </c>
      <c r="C6164" s="23">
        <v>0</v>
      </c>
      <c r="D6164" s="23">
        <v>0</v>
      </c>
      <c r="E6164" s="23">
        <v>0</v>
      </c>
      <c r="F6164" s="23">
        <v>0</v>
      </c>
      <c r="G6164" s="23">
        <v>0</v>
      </c>
      <c r="H6164" s="23">
        <v>0</v>
      </c>
      <c r="I6164" s="23">
        <v>0</v>
      </c>
      <c r="J6164" s="23">
        <v>0</v>
      </c>
      <c r="K6164" s="23">
        <v>108.467</v>
      </c>
    </row>
    <row r="6165" spans="1:11" x14ac:dyDescent="0.25">
      <c r="A6165">
        <v>6164</v>
      </c>
      <c r="B6165" s="23">
        <v>0</v>
      </c>
      <c r="C6165" s="23">
        <v>0</v>
      </c>
      <c r="D6165" s="23">
        <v>0</v>
      </c>
      <c r="E6165" s="23">
        <v>0</v>
      </c>
      <c r="F6165" s="23">
        <v>0</v>
      </c>
      <c r="G6165" s="23">
        <v>0</v>
      </c>
      <c r="H6165" s="23">
        <v>0</v>
      </c>
      <c r="I6165" s="23">
        <v>0</v>
      </c>
      <c r="J6165" s="23">
        <v>0</v>
      </c>
      <c r="K6165" s="23">
        <v>0</v>
      </c>
    </row>
    <row r="6166" spans="1:11" x14ac:dyDescent="0.25">
      <c r="A6166">
        <v>6165</v>
      </c>
      <c r="B6166" s="23">
        <v>0</v>
      </c>
      <c r="C6166" s="23">
        <v>0</v>
      </c>
      <c r="D6166" s="23">
        <v>0</v>
      </c>
      <c r="E6166" s="23">
        <v>0</v>
      </c>
      <c r="F6166" s="23">
        <v>0</v>
      </c>
      <c r="G6166" s="23">
        <v>0</v>
      </c>
      <c r="H6166" s="23">
        <v>0</v>
      </c>
      <c r="I6166" s="23">
        <v>0</v>
      </c>
      <c r="J6166" s="23">
        <v>0</v>
      </c>
      <c r="K6166" s="23">
        <v>0</v>
      </c>
    </row>
    <row r="6167" spans="1:11" x14ac:dyDescent="0.25">
      <c r="A6167">
        <v>6166</v>
      </c>
      <c r="B6167" s="23">
        <v>87.507798350000002</v>
      </c>
      <c r="C6167" s="23">
        <v>0</v>
      </c>
      <c r="D6167" s="23">
        <v>0</v>
      </c>
      <c r="E6167" s="23">
        <v>0</v>
      </c>
      <c r="F6167" s="23">
        <v>0</v>
      </c>
      <c r="G6167" s="23">
        <v>0</v>
      </c>
      <c r="H6167" s="23">
        <v>0</v>
      </c>
      <c r="I6167" s="23">
        <v>0</v>
      </c>
      <c r="J6167" s="23">
        <v>0</v>
      </c>
      <c r="K6167" s="23">
        <v>87.507999999999996</v>
      </c>
    </row>
    <row r="6168" spans="1:11" x14ac:dyDescent="0.25">
      <c r="A6168">
        <v>6167</v>
      </c>
      <c r="B6168" s="23">
        <v>89.143458129999999</v>
      </c>
      <c r="C6168" s="23">
        <v>0</v>
      </c>
      <c r="D6168" s="23">
        <v>0</v>
      </c>
      <c r="E6168" s="23">
        <v>0</v>
      </c>
      <c r="F6168" s="23">
        <v>0</v>
      </c>
      <c r="G6168" s="23">
        <v>0</v>
      </c>
      <c r="H6168" s="23">
        <v>0</v>
      </c>
      <c r="I6168" s="23">
        <v>0</v>
      </c>
      <c r="J6168" s="23">
        <v>0</v>
      </c>
      <c r="K6168" s="23">
        <v>89.143000000000001</v>
      </c>
    </row>
    <row r="6169" spans="1:11" x14ac:dyDescent="0.25">
      <c r="A6169">
        <v>6168</v>
      </c>
      <c r="B6169" s="23">
        <v>92.414777700000002</v>
      </c>
      <c r="C6169" s="23">
        <v>0</v>
      </c>
      <c r="D6169" s="23">
        <v>0</v>
      </c>
      <c r="E6169" s="23">
        <v>0</v>
      </c>
      <c r="F6169" s="23">
        <v>0</v>
      </c>
      <c r="G6169" s="23">
        <v>0</v>
      </c>
      <c r="H6169" s="23">
        <v>0</v>
      </c>
      <c r="I6169" s="23">
        <v>0</v>
      </c>
      <c r="J6169" s="23">
        <v>0</v>
      </c>
      <c r="K6169" s="23">
        <v>92.415000000000006</v>
      </c>
    </row>
    <row r="6170" spans="1:11" x14ac:dyDescent="0.25">
      <c r="A6170">
        <v>6169</v>
      </c>
      <c r="B6170" s="23">
        <v>86.689968460000003</v>
      </c>
      <c r="C6170" s="23">
        <v>0</v>
      </c>
      <c r="D6170" s="23">
        <v>0</v>
      </c>
      <c r="E6170" s="23">
        <v>0</v>
      </c>
      <c r="F6170" s="23">
        <v>0</v>
      </c>
      <c r="G6170" s="23">
        <v>0</v>
      </c>
      <c r="H6170" s="23">
        <v>0</v>
      </c>
      <c r="I6170" s="23">
        <v>0</v>
      </c>
      <c r="J6170" s="23">
        <v>0</v>
      </c>
      <c r="K6170" s="23">
        <v>86.69</v>
      </c>
    </row>
    <row r="6171" spans="1:11" x14ac:dyDescent="0.25">
      <c r="A6171">
        <v>6170</v>
      </c>
      <c r="B6171" s="23">
        <v>89.143458129999999</v>
      </c>
      <c r="C6171" s="23">
        <v>0</v>
      </c>
      <c r="D6171" s="23">
        <v>0</v>
      </c>
      <c r="E6171" s="23">
        <v>0</v>
      </c>
      <c r="F6171" s="23">
        <v>0</v>
      </c>
      <c r="G6171" s="23">
        <v>0</v>
      </c>
      <c r="H6171" s="23">
        <v>0</v>
      </c>
      <c r="I6171" s="23">
        <v>0</v>
      </c>
      <c r="J6171" s="23">
        <v>0</v>
      </c>
      <c r="K6171" s="23">
        <v>89.143000000000001</v>
      </c>
    </row>
    <row r="6172" spans="1:11" x14ac:dyDescent="0.25">
      <c r="A6172">
        <v>6171</v>
      </c>
      <c r="B6172" s="23">
        <v>82.600819000000001</v>
      </c>
      <c r="C6172" s="23">
        <v>0</v>
      </c>
      <c r="D6172" s="23">
        <v>0</v>
      </c>
      <c r="E6172" s="23">
        <v>0</v>
      </c>
      <c r="F6172" s="23">
        <v>0</v>
      </c>
      <c r="G6172" s="23">
        <v>0</v>
      </c>
      <c r="H6172" s="23">
        <v>0</v>
      </c>
      <c r="I6172" s="23">
        <v>0</v>
      </c>
      <c r="J6172" s="23">
        <v>0</v>
      </c>
      <c r="K6172" s="23">
        <v>82.600999999999999</v>
      </c>
    </row>
    <row r="6173" spans="1:11" x14ac:dyDescent="0.25">
      <c r="A6173">
        <v>6172</v>
      </c>
      <c r="B6173" s="23">
        <v>88.32562824</v>
      </c>
      <c r="C6173" s="23">
        <v>0</v>
      </c>
      <c r="D6173" s="23">
        <v>0</v>
      </c>
      <c r="E6173" s="23">
        <v>0</v>
      </c>
      <c r="F6173" s="23">
        <v>0</v>
      </c>
      <c r="G6173" s="23">
        <v>0</v>
      </c>
      <c r="H6173" s="23">
        <v>0</v>
      </c>
      <c r="I6173" s="23">
        <v>0</v>
      </c>
      <c r="J6173" s="23">
        <v>0</v>
      </c>
      <c r="K6173" s="23">
        <v>88.325999999999993</v>
      </c>
    </row>
    <row r="6174" spans="1:11" x14ac:dyDescent="0.25">
      <c r="A6174">
        <v>6173</v>
      </c>
      <c r="B6174" s="23">
        <v>83.41864889</v>
      </c>
      <c r="C6174" s="23">
        <v>0</v>
      </c>
      <c r="D6174" s="23">
        <v>0</v>
      </c>
      <c r="E6174" s="23">
        <v>0</v>
      </c>
      <c r="F6174" s="23">
        <v>0</v>
      </c>
      <c r="G6174" s="23">
        <v>0</v>
      </c>
      <c r="H6174" s="23">
        <v>0</v>
      </c>
      <c r="I6174" s="23">
        <v>0</v>
      </c>
      <c r="J6174" s="23">
        <v>0</v>
      </c>
      <c r="K6174" s="23">
        <v>83.418999999999997</v>
      </c>
    </row>
    <row r="6175" spans="1:11" x14ac:dyDescent="0.25">
      <c r="A6175">
        <v>6174</v>
      </c>
      <c r="B6175" s="23">
        <v>88.32562824</v>
      </c>
      <c r="C6175" s="23">
        <v>0</v>
      </c>
      <c r="D6175" s="23">
        <v>0</v>
      </c>
      <c r="E6175" s="23">
        <v>0</v>
      </c>
      <c r="F6175" s="23">
        <v>0</v>
      </c>
      <c r="G6175" s="23">
        <v>0</v>
      </c>
      <c r="H6175" s="23">
        <v>0</v>
      </c>
      <c r="I6175" s="23">
        <v>0</v>
      </c>
      <c r="J6175" s="23">
        <v>0</v>
      </c>
      <c r="K6175" s="23">
        <v>88.325999999999993</v>
      </c>
    </row>
    <row r="6176" spans="1:11" x14ac:dyDescent="0.25">
      <c r="A6176">
        <v>6175</v>
      </c>
      <c r="B6176" s="23">
        <v>70.333370639999998</v>
      </c>
      <c r="C6176" s="23">
        <v>102.88</v>
      </c>
      <c r="D6176" s="23">
        <v>361.53099999999989</v>
      </c>
      <c r="E6176" s="23">
        <v>70.332999999999998</v>
      </c>
      <c r="F6176" s="23">
        <v>-291.19799999999998</v>
      </c>
      <c r="G6176" s="23">
        <v>0</v>
      </c>
      <c r="H6176" s="23">
        <v>0</v>
      </c>
      <c r="I6176" s="23">
        <v>0</v>
      </c>
      <c r="J6176" s="23">
        <v>0</v>
      </c>
      <c r="K6176" s="23">
        <v>0</v>
      </c>
    </row>
    <row r="6177" spans="1:11" x14ac:dyDescent="0.25">
      <c r="A6177">
        <v>6176</v>
      </c>
      <c r="B6177" s="23">
        <v>96.540729499999998</v>
      </c>
      <c r="C6177" s="23">
        <v>301.47000000000003</v>
      </c>
      <c r="D6177" s="23">
        <v>1194.82</v>
      </c>
      <c r="E6177" s="23">
        <v>96.540999999999997</v>
      </c>
      <c r="F6177" s="23">
        <v>-791.11599999999999</v>
      </c>
      <c r="G6177" s="23">
        <v>0</v>
      </c>
      <c r="H6177" s="23">
        <v>307.16300000000001</v>
      </c>
      <c r="I6177" s="23">
        <v>0</v>
      </c>
      <c r="J6177" s="23">
        <v>0</v>
      </c>
      <c r="K6177" s="23">
        <v>0</v>
      </c>
    </row>
    <row r="6178" spans="1:11" x14ac:dyDescent="0.25">
      <c r="A6178">
        <v>6177</v>
      </c>
      <c r="B6178" s="23">
        <v>784.70982509999999</v>
      </c>
      <c r="C6178" s="23">
        <v>447.78</v>
      </c>
      <c r="D6178" s="23">
        <v>1750.883</v>
      </c>
      <c r="E6178" s="23">
        <v>784.71</v>
      </c>
      <c r="F6178" s="23">
        <v>0</v>
      </c>
      <c r="G6178" s="23">
        <v>0</v>
      </c>
      <c r="H6178" s="23">
        <v>966.173</v>
      </c>
      <c r="I6178" s="23">
        <v>0</v>
      </c>
      <c r="J6178" s="23">
        <v>0</v>
      </c>
      <c r="K6178" s="23">
        <v>0</v>
      </c>
    </row>
    <row r="6179" spans="1:11" x14ac:dyDescent="0.25">
      <c r="A6179">
        <v>6178</v>
      </c>
      <c r="B6179" s="23">
        <v>1340.724766</v>
      </c>
      <c r="C6179" s="23">
        <v>584.71</v>
      </c>
      <c r="D6179" s="23">
        <v>2240.3330000000001</v>
      </c>
      <c r="E6179" s="23">
        <v>1340.7239999999999</v>
      </c>
      <c r="F6179" s="23">
        <v>0</v>
      </c>
      <c r="G6179" s="23">
        <v>0</v>
      </c>
      <c r="H6179" s="23">
        <v>899.60900000000004</v>
      </c>
      <c r="I6179" s="23">
        <v>0</v>
      </c>
      <c r="J6179" s="23">
        <v>0</v>
      </c>
      <c r="K6179" s="23">
        <v>0</v>
      </c>
    </row>
    <row r="6180" spans="1:11" x14ac:dyDescent="0.25">
      <c r="A6180">
        <v>6179</v>
      </c>
      <c r="B6180" s="23">
        <v>1486.7247809999999</v>
      </c>
      <c r="C6180" s="23">
        <v>720.68</v>
      </c>
      <c r="D6180" s="23">
        <v>2717.7370000000001</v>
      </c>
      <c r="E6180" s="23">
        <v>1486.7239999999999</v>
      </c>
      <c r="F6180" s="23">
        <v>0</v>
      </c>
      <c r="G6180" s="23">
        <v>0</v>
      </c>
      <c r="H6180" s="23">
        <v>1231.0129999999999</v>
      </c>
      <c r="I6180" s="23">
        <v>0</v>
      </c>
      <c r="J6180" s="23">
        <v>0</v>
      </c>
      <c r="K6180" s="23">
        <v>0</v>
      </c>
    </row>
    <row r="6181" spans="1:11" x14ac:dyDescent="0.25">
      <c r="A6181">
        <v>6180</v>
      </c>
      <c r="B6181" s="23">
        <v>1306.725533</v>
      </c>
      <c r="C6181" s="23">
        <v>736.08</v>
      </c>
      <c r="D6181" s="23">
        <v>2765.893</v>
      </c>
      <c r="E6181" s="23">
        <v>1306.7260000000001</v>
      </c>
      <c r="F6181" s="23">
        <v>0</v>
      </c>
      <c r="G6181" s="23">
        <v>0</v>
      </c>
      <c r="H6181" s="23">
        <v>1459.1669999999999</v>
      </c>
      <c r="I6181" s="23">
        <v>0</v>
      </c>
      <c r="J6181" s="23">
        <v>0</v>
      </c>
      <c r="K6181" s="23">
        <v>0</v>
      </c>
    </row>
    <row r="6182" spans="1:11" x14ac:dyDescent="0.25">
      <c r="A6182">
        <v>6181</v>
      </c>
      <c r="B6182" s="23">
        <v>1510.7832920000001</v>
      </c>
      <c r="C6182" s="23">
        <v>786.14</v>
      </c>
      <c r="D6182" s="23">
        <v>2948.192</v>
      </c>
      <c r="E6182" s="23">
        <v>1510.7829999999999</v>
      </c>
      <c r="F6182" s="23">
        <v>0</v>
      </c>
      <c r="G6182" s="23">
        <v>0</v>
      </c>
      <c r="H6182" s="23">
        <v>1437.4090000000001</v>
      </c>
      <c r="I6182" s="23">
        <v>0</v>
      </c>
      <c r="J6182" s="23">
        <v>0</v>
      </c>
      <c r="K6182" s="23">
        <v>0</v>
      </c>
    </row>
    <row r="6183" spans="1:11" x14ac:dyDescent="0.25">
      <c r="A6183">
        <v>6182</v>
      </c>
      <c r="B6183" s="23">
        <v>1642.3118059999999</v>
      </c>
      <c r="C6183" s="23">
        <v>712.09</v>
      </c>
      <c r="D6183" s="23">
        <v>2694.739</v>
      </c>
      <c r="E6183" s="23">
        <v>1642.3109999999999</v>
      </c>
      <c r="F6183" s="23">
        <v>0</v>
      </c>
      <c r="G6183" s="23">
        <v>0</v>
      </c>
      <c r="H6183" s="23">
        <v>1052.4280000000001</v>
      </c>
      <c r="I6183" s="23">
        <v>0</v>
      </c>
      <c r="J6183" s="23">
        <v>0</v>
      </c>
      <c r="K6183" s="23">
        <v>0</v>
      </c>
    </row>
    <row r="6184" spans="1:11" x14ac:dyDescent="0.25">
      <c r="A6184">
        <v>6183</v>
      </c>
      <c r="B6184" s="23">
        <v>1547.990462</v>
      </c>
      <c r="C6184" s="23">
        <v>577.9</v>
      </c>
      <c r="D6184" s="23">
        <v>2218.5439999999999</v>
      </c>
      <c r="E6184" s="23">
        <v>1547.99</v>
      </c>
      <c r="F6184" s="23">
        <v>0</v>
      </c>
      <c r="G6184" s="23">
        <v>0</v>
      </c>
      <c r="H6184" s="23">
        <v>670.55399999999997</v>
      </c>
      <c r="I6184" s="23">
        <v>0</v>
      </c>
      <c r="J6184" s="23">
        <v>0</v>
      </c>
      <c r="K6184" s="23">
        <v>0</v>
      </c>
    </row>
    <row r="6185" spans="1:11" x14ac:dyDescent="0.25">
      <c r="A6185">
        <v>6184</v>
      </c>
      <c r="B6185" s="23">
        <v>1693.5468040000001</v>
      </c>
      <c r="C6185" s="23">
        <v>430.58</v>
      </c>
      <c r="D6185" s="23">
        <v>1685.2260000000001</v>
      </c>
      <c r="E6185" s="23">
        <v>1685.2260000000001</v>
      </c>
      <c r="F6185" s="23">
        <v>0</v>
      </c>
      <c r="G6185" s="23">
        <v>0</v>
      </c>
      <c r="H6185" s="23">
        <v>0</v>
      </c>
      <c r="I6185" s="23">
        <v>8.3209999999999997</v>
      </c>
      <c r="J6185" s="23">
        <v>0</v>
      </c>
      <c r="K6185" s="23">
        <v>0</v>
      </c>
    </row>
    <row r="6186" spans="1:11" x14ac:dyDescent="0.25">
      <c r="A6186">
        <v>6185</v>
      </c>
      <c r="B6186" s="23">
        <v>1585.4112909999999</v>
      </c>
      <c r="C6186" s="23">
        <v>231.32</v>
      </c>
      <c r="D6186" s="23">
        <v>894.68399999999997</v>
      </c>
      <c r="E6186" s="23">
        <v>894.68399999999997</v>
      </c>
      <c r="F6186" s="23">
        <v>0</v>
      </c>
      <c r="G6186" s="23">
        <v>0</v>
      </c>
      <c r="H6186" s="23">
        <v>0</v>
      </c>
      <c r="I6186" s="23">
        <v>690.72699999999998</v>
      </c>
      <c r="J6186" s="23">
        <v>0</v>
      </c>
      <c r="K6186" s="23">
        <v>0</v>
      </c>
    </row>
    <row r="6187" spans="1:11" x14ac:dyDescent="0.25">
      <c r="A6187">
        <v>6186</v>
      </c>
      <c r="B6187" s="23">
        <v>1638.604992</v>
      </c>
      <c r="C6187" s="23">
        <v>45.69</v>
      </c>
      <c r="D6187" s="23">
        <v>123.622</v>
      </c>
      <c r="E6187" s="23">
        <v>123.622</v>
      </c>
      <c r="F6187" s="23">
        <v>0</v>
      </c>
      <c r="G6187" s="23">
        <v>0</v>
      </c>
      <c r="H6187" s="23">
        <v>0</v>
      </c>
      <c r="I6187" s="23">
        <v>0</v>
      </c>
      <c r="J6187" s="23">
        <v>0</v>
      </c>
      <c r="K6187" s="23">
        <v>1514.9829999999999</v>
      </c>
    </row>
    <row r="6188" spans="1:11" x14ac:dyDescent="0.25">
      <c r="A6188">
        <v>6187</v>
      </c>
      <c r="B6188" s="23">
        <v>1627.7258099999999</v>
      </c>
      <c r="C6188" s="23">
        <v>0</v>
      </c>
      <c r="D6188" s="23">
        <v>0</v>
      </c>
      <c r="E6188" s="23">
        <v>0</v>
      </c>
      <c r="F6188" s="23">
        <v>0</v>
      </c>
      <c r="G6188" s="23">
        <v>0</v>
      </c>
      <c r="H6188" s="23">
        <v>0</v>
      </c>
      <c r="I6188" s="23">
        <v>0</v>
      </c>
      <c r="J6188" s="23">
        <v>0</v>
      </c>
      <c r="K6188" s="23">
        <v>1627.7260000000001</v>
      </c>
    </row>
    <row r="6189" spans="1:11" x14ac:dyDescent="0.25">
      <c r="A6189">
        <v>6188</v>
      </c>
      <c r="B6189" s="23">
        <v>1555.5124530000001</v>
      </c>
      <c r="C6189" s="23">
        <v>0</v>
      </c>
      <c r="D6189" s="23">
        <v>0</v>
      </c>
      <c r="E6189" s="23">
        <v>0</v>
      </c>
      <c r="F6189" s="23">
        <v>0</v>
      </c>
      <c r="G6189" s="23">
        <v>0</v>
      </c>
      <c r="H6189" s="23">
        <v>0</v>
      </c>
      <c r="I6189" s="23">
        <v>0</v>
      </c>
      <c r="J6189" s="23">
        <v>0</v>
      </c>
      <c r="K6189" s="23">
        <v>1555.5119999999999</v>
      </c>
    </row>
    <row r="6190" spans="1:11" x14ac:dyDescent="0.25">
      <c r="A6190">
        <v>6189</v>
      </c>
      <c r="B6190" s="23">
        <v>1476.182953</v>
      </c>
      <c r="C6190" s="23">
        <v>0</v>
      </c>
      <c r="D6190" s="23">
        <v>0</v>
      </c>
      <c r="E6190" s="23">
        <v>0</v>
      </c>
      <c r="F6190" s="23">
        <v>0</v>
      </c>
      <c r="G6190" s="23">
        <v>0</v>
      </c>
      <c r="H6190" s="23">
        <v>0</v>
      </c>
      <c r="I6190" s="23">
        <v>1476.183</v>
      </c>
      <c r="J6190" s="23">
        <v>0</v>
      </c>
      <c r="K6190" s="23">
        <v>0</v>
      </c>
    </row>
    <row r="6191" spans="1:11" x14ac:dyDescent="0.25">
      <c r="A6191">
        <v>6190</v>
      </c>
      <c r="B6191" s="23">
        <v>1661.8303390000001</v>
      </c>
      <c r="C6191" s="23">
        <v>0</v>
      </c>
      <c r="D6191" s="23">
        <v>0</v>
      </c>
      <c r="E6191" s="23">
        <v>0</v>
      </c>
      <c r="F6191" s="23">
        <v>0</v>
      </c>
      <c r="G6191" s="23">
        <v>0</v>
      </c>
      <c r="H6191" s="23">
        <v>0</v>
      </c>
      <c r="I6191" s="23">
        <v>1661.83</v>
      </c>
      <c r="J6191" s="23">
        <v>0</v>
      </c>
      <c r="K6191" s="23">
        <v>0</v>
      </c>
    </row>
    <row r="6192" spans="1:11" x14ac:dyDescent="0.25">
      <c r="A6192">
        <v>6191</v>
      </c>
      <c r="B6192" s="23">
        <v>1613.5783750000001</v>
      </c>
      <c r="C6192" s="23">
        <v>0</v>
      </c>
      <c r="D6192" s="23">
        <v>0</v>
      </c>
      <c r="E6192" s="23">
        <v>0</v>
      </c>
      <c r="F6192" s="23">
        <v>0</v>
      </c>
      <c r="G6192" s="23">
        <v>0</v>
      </c>
      <c r="H6192" s="23">
        <v>0</v>
      </c>
      <c r="I6192" s="23">
        <v>1613.578</v>
      </c>
      <c r="J6192" s="23">
        <v>0</v>
      </c>
      <c r="K6192" s="23">
        <v>0</v>
      </c>
    </row>
    <row r="6193" spans="1:11" x14ac:dyDescent="0.25">
      <c r="A6193">
        <v>6192</v>
      </c>
      <c r="B6193" s="23">
        <v>1260.275862</v>
      </c>
      <c r="C6193" s="23">
        <v>0</v>
      </c>
      <c r="D6193" s="23">
        <v>0</v>
      </c>
      <c r="E6193" s="23">
        <v>0</v>
      </c>
      <c r="F6193" s="23">
        <v>0</v>
      </c>
      <c r="G6193" s="23">
        <v>0</v>
      </c>
      <c r="H6193" s="23">
        <v>0</v>
      </c>
      <c r="I6193" s="23">
        <v>1260.2760000000001</v>
      </c>
      <c r="J6193" s="23">
        <v>0</v>
      </c>
      <c r="K6193" s="23">
        <v>0</v>
      </c>
    </row>
    <row r="6194" spans="1:11" x14ac:dyDescent="0.25">
      <c r="A6194">
        <v>6193</v>
      </c>
      <c r="B6194" s="23">
        <v>1171.9502339999999</v>
      </c>
      <c r="C6194" s="23">
        <v>0</v>
      </c>
      <c r="D6194" s="23">
        <v>0</v>
      </c>
      <c r="E6194" s="23">
        <v>0</v>
      </c>
      <c r="F6194" s="23">
        <v>0</v>
      </c>
      <c r="G6194" s="23">
        <v>0</v>
      </c>
      <c r="H6194" s="23">
        <v>0</v>
      </c>
      <c r="I6194" s="23">
        <v>1171.95</v>
      </c>
      <c r="J6194" s="23">
        <v>0</v>
      </c>
      <c r="K6194" s="23">
        <v>0</v>
      </c>
    </row>
    <row r="6195" spans="1:11" x14ac:dyDescent="0.25">
      <c r="A6195">
        <v>6194</v>
      </c>
      <c r="B6195" s="23">
        <v>1521.163597</v>
      </c>
      <c r="C6195" s="23">
        <v>0</v>
      </c>
      <c r="D6195" s="23">
        <v>0</v>
      </c>
      <c r="E6195" s="23">
        <v>0</v>
      </c>
      <c r="F6195" s="23">
        <v>0</v>
      </c>
      <c r="G6195" s="23">
        <v>0</v>
      </c>
      <c r="H6195" s="23">
        <v>0</v>
      </c>
      <c r="I6195" s="23">
        <v>1521.164</v>
      </c>
      <c r="J6195" s="23">
        <v>0</v>
      </c>
      <c r="K6195" s="23">
        <v>0</v>
      </c>
    </row>
    <row r="6196" spans="1:11" x14ac:dyDescent="0.25">
      <c r="A6196">
        <v>6195</v>
      </c>
      <c r="B6196" s="23">
        <v>1377.225537</v>
      </c>
      <c r="C6196" s="23">
        <v>0</v>
      </c>
      <c r="D6196" s="23">
        <v>0</v>
      </c>
      <c r="E6196" s="23">
        <v>0</v>
      </c>
      <c r="F6196" s="23">
        <v>0</v>
      </c>
      <c r="G6196" s="23">
        <v>0</v>
      </c>
      <c r="H6196" s="23">
        <v>0</v>
      </c>
      <c r="I6196" s="23">
        <v>1377.2260000000001</v>
      </c>
      <c r="J6196" s="23">
        <v>0</v>
      </c>
      <c r="K6196" s="23">
        <v>0</v>
      </c>
    </row>
    <row r="6197" spans="1:11" x14ac:dyDescent="0.25">
      <c r="A6197">
        <v>6196</v>
      </c>
      <c r="B6197" s="23">
        <v>1270.907651</v>
      </c>
      <c r="C6197" s="23">
        <v>0</v>
      </c>
      <c r="D6197" s="23">
        <v>0</v>
      </c>
      <c r="E6197" s="23">
        <v>0</v>
      </c>
      <c r="F6197" s="23">
        <v>0</v>
      </c>
      <c r="G6197" s="23">
        <v>0</v>
      </c>
      <c r="H6197" s="23">
        <v>0</v>
      </c>
      <c r="I6197" s="23">
        <v>1270.9079999999999</v>
      </c>
      <c r="J6197" s="23">
        <v>0</v>
      </c>
      <c r="K6197" s="23">
        <v>0</v>
      </c>
    </row>
    <row r="6198" spans="1:11" x14ac:dyDescent="0.25">
      <c r="A6198">
        <v>6197</v>
      </c>
      <c r="B6198" s="23">
        <v>1565.3264119999999</v>
      </c>
      <c r="C6198" s="23">
        <v>0</v>
      </c>
      <c r="D6198" s="23">
        <v>0</v>
      </c>
      <c r="E6198" s="23">
        <v>0</v>
      </c>
      <c r="F6198" s="23">
        <v>0</v>
      </c>
      <c r="G6198" s="23">
        <v>0</v>
      </c>
      <c r="H6198" s="23">
        <v>0</v>
      </c>
      <c r="I6198" s="23">
        <v>1565.326</v>
      </c>
      <c r="J6198" s="23">
        <v>0</v>
      </c>
      <c r="K6198" s="23">
        <v>0</v>
      </c>
    </row>
    <row r="6199" spans="1:11" x14ac:dyDescent="0.25">
      <c r="A6199">
        <v>6198</v>
      </c>
      <c r="B6199" s="23">
        <v>1360.868939</v>
      </c>
      <c r="C6199" s="23">
        <v>0</v>
      </c>
      <c r="D6199" s="23">
        <v>0</v>
      </c>
      <c r="E6199" s="23">
        <v>0</v>
      </c>
      <c r="F6199" s="23">
        <v>0</v>
      </c>
      <c r="G6199" s="23">
        <v>0</v>
      </c>
      <c r="H6199" s="23">
        <v>0</v>
      </c>
      <c r="I6199" s="23">
        <v>474.28899999999999</v>
      </c>
      <c r="J6199" s="23">
        <v>0</v>
      </c>
      <c r="K6199" s="23">
        <v>886.58</v>
      </c>
    </row>
    <row r="6200" spans="1:11" x14ac:dyDescent="0.25">
      <c r="A6200">
        <v>6199</v>
      </c>
      <c r="B6200" s="23">
        <v>1170.314574</v>
      </c>
      <c r="C6200" s="23">
        <v>73.81</v>
      </c>
      <c r="D6200" s="23">
        <v>262.43599999999998</v>
      </c>
      <c r="E6200" s="23">
        <v>262.43599999999998</v>
      </c>
      <c r="F6200" s="23">
        <v>0</v>
      </c>
      <c r="G6200" s="23">
        <v>0</v>
      </c>
      <c r="H6200" s="23">
        <v>0</v>
      </c>
      <c r="I6200" s="23">
        <v>0</v>
      </c>
      <c r="J6200" s="23">
        <v>0</v>
      </c>
      <c r="K6200" s="23">
        <v>907.87800000000004</v>
      </c>
    </row>
    <row r="6201" spans="1:11" x14ac:dyDescent="0.25">
      <c r="A6201">
        <v>6200</v>
      </c>
      <c r="B6201" s="23">
        <v>1033.40065</v>
      </c>
      <c r="C6201" s="23">
        <v>246.49</v>
      </c>
      <c r="D6201" s="23">
        <v>974.23099999999999</v>
      </c>
      <c r="E6201" s="23">
        <v>974.23099999999999</v>
      </c>
      <c r="F6201" s="23">
        <v>0</v>
      </c>
      <c r="G6201" s="23">
        <v>0</v>
      </c>
      <c r="H6201" s="23">
        <v>0</v>
      </c>
      <c r="I6201" s="23">
        <v>0</v>
      </c>
      <c r="J6201" s="23">
        <v>0</v>
      </c>
      <c r="K6201" s="23">
        <v>59.168999999999997</v>
      </c>
    </row>
    <row r="6202" spans="1:11" x14ac:dyDescent="0.25">
      <c r="A6202">
        <v>6201</v>
      </c>
      <c r="B6202" s="23">
        <v>1230.748114</v>
      </c>
      <c r="C6202" s="23">
        <v>436.97</v>
      </c>
      <c r="D6202" s="23">
        <v>1712.4079999999999</v>
      </c>
      <c r="E6202" s="23">
        <v>1230.748</v>
      </c>
      <c r="F6202" s="23">
        <v>-481.66</v>
      </c>
      <c r="G6202" s="23">
        <v>0</v>
      </c>
      <c r="H6202" s="23">
        <v>0</v>
      </c>
      <c r="I6202" s="23">
        <v>0</v>
      </c>
      <c r="J6202" s="23">
        <v>0</v>
      </c>
      <c r="K6202" s="23">
        <v>0</v>
      </c>
    </row>
    <row r="6203" spans="1:11" x14ac:dyDescent="0.25">
      <c r="A6203">
        <v>6202</v>
      </c>
      <c r="B6203" s="23">
        <v>1537.0519879999999</v>
      </c>
      <c r="C6203" s="23">
        <v>620.04</v>
      </c>
      <c r="D6203" s="23">
        <v>2376.12</v>
      </c>
      <c r="E6203" s="23">
        <v>1537.0509999999999</v>
      </c>
      <c r="F6203" s="23">
        <v>-839.06899999999996</v>
      </c>
      <c r="G6203" s="23">
        <v>0</v>
      </c>
      <c r="H6203" s="23">
        <v>0</v>
      </c>
      <c r="I6203" s="23">
        <v>0</v>
      </c>
      <c r="J6203" s="23">
        <v>0</v>
      </c>
      <c r="K6203" s="23">
        <v>0</v>
      </c>
    </row>
    <row r="6204" spans="1:11" x14ac:dyDescent="0.25">
      <c r="A6204">
        <v>6203</v>
      </c>
      <c r="B6204" s="23">
        <v>1548.9033649999999</v>
      </c>
      <c r="C6204" s="23">
        <v>701.81</v>
      </c>
      <c r="D6204" s="23">
        <v>2646.8679999999999</v>
      </c>
      <c r="E6204" s="23">
        <v>1548.903</v>
      </c>
      <c r="F6204" s="23">
        <v>-1097.9649999999999</v>
      </c>
      <c r="G6204" s="23">
        <v>0</v>
      </c>
      <c r="H6204" s="23">
        <v>0</v>
      </c>
      <c r="I6204" s="23">
        <v>0</v>
      </c>
      <c r="J6204" s="23">
        <v>0</v>
      </c>
      <c r="K6204" s="23">
        <v>0</v>
      </c>
    </row>
    <row r="6205" spans="1:11" x14ac:dyDescent="0.25">
      <c r="A6205">
        <v>6204</v>
      </c>
      <c r="B6205" s="23">
        <v>1590.8467929999999</v>
      </c>
      <c r="C6205" s="23">
        <v>800.57</v>
      </c>
      <c r="D6205" s="23">
        <v>2993.1030000000001</v>
      </c>
      <c r="E6205" s="23">
        <v>1590.846</v>
      </c>
      <c r="F6205" s="23">
        <v>-1402.2570000000001</v>
      </c>
      <c r="G6205" s="23">
        <v>0</v>
      </c>
      <c r="H6205" s="23">
        <v>0</v>
      </c>
      <c r="I6205" s="23">
        <v>0</v>
      </c>
      <c r="J6205" s="23">
        <v>0</v>
      </c>
      <c r="K6205" s="23">
        <v>0</v>
      </c>
    </row>
    <row r="6206" spans="1:11" x14ac:dyDescent="0.25">
      <c r="A6206">
        <v>6205</v>
      </c>
      <c r="B6206" s="23">
        <v>1238.0554239999999</v>
      </c>
      <c r="C6206" s="23">
        <v>792.8</v>
      </c>
      <c r="D6206" s="23">
        <v>2965.337</v>
      </c>
      <c r="E6206" s="23">
        <v>1238.0550000000001</v>
      </c>
      <c r="F6206" s="23">
        <v>-1684.559</v>
      </c>
      <c r="G6206" s="23">
        <v>0</v>
      </c>
      <c r="H6206" s="23">
        <v>42.722999999999999</v>
      </c>
      <c r="I6206" s="23">
        <v>0</v>
      </c>
      <c r="J6206" s="23">
        <v>0</v>
      </c>
      <c r="K6206" s="23">
        <v>0</v>
      </c>
    </row>
    <row r="6207" spans="1:11" x14ac:dyDescent="0.25">
      <c r="A6207">
        <v>6206</v>
      </c>
      <c r="B6207" s="23">
        <v>1441.52639</v>
      </c>
      <c r="C6207" s="23">
        <v>708.6</v>
      </c>
      <c r="D6207" s="23">
        <v>2678.5239999999999</v>
      </c>
      <c r="E6207" s="23">
        <v>1441.5260000000001</v>
      </c>
      <c r="F6207" s="23">
        <v>-1236.998</v>
      </c>
      <c r="G6207" s="23">
        <v>0</v>
      </c>
      <c r="H6207" s="23">
        <v>0</v>
      </c>
      <c r="I6207" s="23">
        <v>0</v>
      </c>
      <c r="J6207" s="23">
        <v>0</v>
      </c>
      <c r="K6207" s="23">
        <v>0</v>
      </c>
    </row>
    <row r="6208" spans="1:11" x14ac:dyDescent="0.25">
      <c r="A6208">
        <v>6207</v>
      </c>
      <c r="B6208" s="23">
        <v>1346.870758</v>
      </c>
      <c r="C6208" s="23">
        <v>628.96</v>
      </c>
      <c r="D6208" s="23">
        <v>2414.2080000000001</v>
      </c>
      <c r="E6208" s="23">
        <v>1346.8710000000001</v>
      </c>
      <c r="F6208" s="23">
        <v>-548.99199999999996</v>
      </c>
      <c r="G6208" s="23">
        <v>0</v>
      </c>
      <c r="H6208" s="23">
        <v>518.34500000000003</v>
      </c>
      <c r="I6208" s="23">
        <v>0</v>
      </c>
      <c r="J6208" s="23">
        <v>0</v>
      </c>
      <c r="K6208" s="23">
        <v>0</v>
      </c>
    </row>
    <row r="6209" spans="1:11" x14ac:dyDescent="0.25">
      <c r="A6209">
        <v>6208</v>
      </c>
      <c r="B6209" s="23">
        <v>1554.021958</v>
      </c>
      <c r="C6209" s="23">
        <v>394.32</v>
      </c>
      <c r="D6209" s="23">
        <v>1543.9059999999999</v>
      </c>
      <c r="E6209" s="23">
        <v>1543.9059999999999</v>
      </c>
      <c r="F6209" s="23">
        <v>0</v>
      </c>
      <c r="G6209" s="23">
        <v>0</v>
      </c>
      <c r="H6209" s="23">
        <v>0</v>
      </c>
      <c r="I6209" s="23">
        <v>10.116</v>
      </c>
      <c r="J6209" s="23">
        <v>0</v>
      </c>
      <c r="K6209" s="23">
        <v>0</v>
      </c>
    </row>
    <row r="6210" spans="1:11" x14ac:dyDescent="0.25">
      <c r="A6210">
        <v>6209</v>
      </c>
      <c r="B6210" s="23">
        <v>1638.7225550000001</v>
      </c>
      <c r="C6210" s="23">
        <v>141.81</v>
      </c>
      <c r="D6210" s="23">
        <v>542.09500000000003</v>
      </c>
      <c r="E6210" s="23">
        <v>542.09500000000003</v>
      </c>
      <c r="F6210" s="23">
        <v>0</v>
      </c>
      <c r="G6210" s="23">
        <v>0</v>
      </c>
      <c r="H6210" s="23">
        <v>0</v>
      </c>
      <c r="I6210" s="23">
        <v>1096.6279999999999</v>
      </c>
      <c r="J6210" s="23">
        <v>0</v>
      </c>
      <c r="K6210" s="23">
        <v>0</v>
      </c>
    </row>
    <row r="6211" spans="1:11" x14ac:dyDescent="0.25">
      <c r="A6211">
        <v>6210</v>
      </c>
      <c r="B6211" s="23">
        <v>1543.651875</v>
      </c>
      <c r="C6211" s="23">
        <v>25.48</v>
      </c>
      <c r="D6211" s="23">
        <v>68.167000000000002</v>
      </c>
      <c r="E6211" s="23">
        <v>68.167000000000002</v>
      </c>
      <c r="F6211" s="23">
        <v>0</v>
      </c>
      <c r="G6211" s="23">
        <v>0</v>
      </c>
      <c r="H6211" s="23">
        <v>0</v>
      </c>
      <c r="I6211" s="23">
        <v>0</v>
      </c>
      <c r="J6211" s="23">
        <v>0</v>
      </c>
      <c r="K6211" s="23">
        <v>1475.4849999999999</v>
      </c>
    </row>
    <row r="6212" spans="1:11" x14ac:dyDescent="0.25">
      <c r="A6212">
        <v>6211</v>
      </c>
      <c r="B6212" s="23">
        <v>1296.420877</v>
      </c>
      <c r="C6212" s="23">
        <v>0</v>
      </c>
      <c r="D6212" s="23">
        <v>0</v>
      </c>
      <c r="E6212" s="23">
        <v>0</v>
      </c>
      <c r="F6212" s="23">
        <v>0</v>
      </c>
      <c r="G6212" s="23">
        <v>0</v>
      </c>
      <c r="H6212" s="23">
        <v>0</v>
      </c>
      <c r="I6212" s="23">
        <v>0</v>
      </c>
      <c r="J6212" s="23">
        <v>0</v>
      </c>
      <c r="K6212" s="23">
        <v>1296.421</v>
      </c>
    </row>
    <row r="6213" spans="1:11" x14ac:dyDescent="0.25">
      <c r="A6213">
        <v>6212</v>
      </c>
      <c r="B6213" s="23">
        <v>1246.372754</v>
      </c>
      <c r="C6213" s="23">
        <v>0</v>
      </c>
      <c r="D6213" s="23">
        <v>0</v>
      </c>
      <c r="E6213" s="23">
        <v>0</v>
      </c>
      <c r="F6213" s="23">
        <v>0</v>
      </c>
      <c r="G6213" s="23">
        <v>0</v>
      </c>
      <c r="H6213" s="23">
        <v>0</v>
      </c>
      <c r="I6213" s="23">
        <v>0</v>
      </c>
      <c r="J6213" s="23">
        <v>0</v>
      </c>
      <c r="K6213" s="23">
        <v>1246.373</v>
      </c>
    </row>
    <row r="6214" spans="1:11" x14ac:dyDescent="0.25">
      <c r="A6214">
        <v>6213</v>
      </c>
      <c r="B6214" s="23">
        <v>1571.8690509999999</v>
      </c>
      <c r="C6214" s="23">
        <v>0</v>
      </c>
      <c r="D6214" s="23">
        <v>0</v>
      </c>
      <c r="E6214" s="23">
        <v>0</v>
      </c>
      <c r="F6214" s="23">
        <v>0</v>
      </c>
      <c r="G6214" s="23">
        <v>0</v>
      </c>
      <c r="H6214" s="23">
        <v>0</v>
      </c>
      <c r="I6214" s="23">
        <v>1571.8689999999999</v>
      </c>
      <c r="J6214" s="23">
        <v>0</v>
      </c>
      <c r="K6214" s="23">
        <v>0</v>
      </c>
    </row>
    <row r="6215" spans="1:11" x14ac:dyDescent="0.25">
      <c r="A6215">
        <v>6214</v>
      </c>
      <c r="B6215" s="23">
        <v>1827.8498070000001</v>
      </c>
      <c r="C6215" s="23">
        <v>0</v>
      </c>
      <c r="D6215" s="23">
        <v>0</v>
      </c>
      <c r="E6215" s="23">
        <v>0</v>
      </c>
      <c r="F6215" s="23">
        <v>0</v>
      </c>
      <c r="G6215" s="23">
        <v>0</v>
      </c>
      <c r="H6215" s="23">
        <v>0</v>
      </c>
      <c r="I6215" s="23">
        <v>1827.85</v>
      </c>
      <c r="J6215" s="23">
        <v>0</v>
      </c>
      <c r="K6215" s="23">
        <v>0</v>
      </c>
    </row>
    <row r="6216" spans="1:11" x14ac:dyDescent="0.25">
      <c r="A6216">
        <v>6215</v>
      </c>
      <c r="B6216" s="23">
        <v>1962.791739</v>
      </c>
      <c r="C6216" s="23">
        <v>0</v>
      </c>
      <c r="D6216" s="23">
        <v>0</v>
      </c>
      <c r="E6216" s="23">
        <v>0</v>
      </c>
      <c r="F6216" s="23">
        <v>0</v>
      </c>
      <c r="G6216" s="23">
        <v>0</v>
      </c>
      <c r="H6216" s="23">
        <v>0</v>
      </c>
      <c r="I6216" s="23">
        <v>1962.7919999999999</v>
      </c>
      <c r="J6216" s="23">
        <v>0</v>
      </c>
      <c r="K6216" s="23">
        <v>0</v>
      </c>
    </row>
    <row r="6217" spans="1:11" x14ac:dyDescent="0.25">
      <c r="A6217">
        <v>6216</v>
      </c>
      <c r="B6217" s="23">
        <v>1447.5589070000001</v>
      </c>
      <c r="C6217" s="23">
        <v>0</v>
      </c>
      <c r="D6217" s="23">
        <v>0</v>
      </c>
      <c r="E6217" s="23">
        <v>0</v>
      </c>
      <c r="F6217" s="23">
        <v>0</v>
      </c>
      <c r="G6217" s="23">
        <v>0</v>
      </c>
      <c r="H6217" s="23">
        <v>0</v>
      </c>
      <c r="I6217" s="23">
        <v>1447.559</v>
      </c>
      <c r="J6217" s="23">
        <v>0</v>
      </c>
      <c r="K6217" s="23">
        <v>0</v>
      </c>
    </row>
    <row r="6218" spans="1:11" x14ac:dyDescent="0.25">
      <c r="A6218">
        <v>6217</v>
      </c>
      <c r="B6218" s="23">
        <v>1347.7836609999999</v>
      </c>
      <c r="C6218" s="23">
        <v>0</v>
      </c>
      <c r="D6218" s="23">
        <v>0</v>
      </c>
      <c r="E6218" s="23">
        <v>0</v>
      </c>
      <c r="F6218" s="23">
        <v>0</v>
      </c>
      <c r="G6218" s="23">
        <v>0</v>
      </c>
      <c r="H6218" s="23">
        <v>0</v>
      </c>
      <c r="I6218" s="23">
        <v>1347.7840000000001</v>
      </c>
      <c r="J6218" s="23">
        <v>0</v>
      </c>
      <c r="K6218" s="23">
        <v>0</v>
      </c>
    </row>
    <row r="6219" spans="1:11" x14ac:dyDescent="0.25">
      <c r="A6219">
        <v>6218</v>
      </c>
      <c r="B6219" s="23">
        <v>1417.299201</v>
      </c>
      <c r="C6219" s="23">
        <v>0</v>
      </c>
      <c r="D6219" s="23">
        <v>0</v>
      </c>
      <c r="E6219" s="23">
        <v>0</v>
      </c>
      <c r="F6219" s="23">
        <v>0</v>
      </c>
      <c r="G6219" s="23">
        <v>0</v>
      </c>
      <c r="H6219" s="23">
        <v>0</v>
      </c>
      <c r="I6219" s="23">
        <v>1417.299</v>
      </c>
      <c r="J6219" s="23">
        <v>0</v>
      </c>
      <c r="K6219" s="23">
        <v>0</v>
      </c>
    </row>
    <row r="6220" spans="1:11" x14ac:dyDescent="0.25">
      <c r="A6220">
        <v>6219</v>
      </c>
      <c r="B6220" s="23">
        <v>1479.4542730000001</v>
      </c>
      <c r="C6220" s="23">
        <v>0</v>
      </c>
      <c r="D6220" s="23">
        <v>0</v>
      </c>
      <c r="E6220" s="23">
        <v>0</v>
      </c>
      <c r="F6220" s="23">
        <v>0</v>
      </c>
      <c r="G6220" s="23">
        <v>0</v>
      </c>
      <c r="H6220" s="23">
        <v>0</v>
      </c>
      <c r="I6220" s="23">
        <v>1479.454</v>
      </c>
      <c r="J6220" s="23">
        <v>0</v>
      </c>
      <c r="K6220" s="23">
        <v>0</v>
      </c>
    </row>
    <row r="6221" spans="1:11" x14ac:dyDescent="0.25">
      <c r="A6221">
        <v>6220</v>
      </c>
      <c r="B6221" s="23">
        <v>1595.5861179999999</v>
      </c>
      <c r="C6221" s="23">
        <v>0</v>
      </c>
      <c r="D6221" s="23">
        <v>0</v>
      </c>
      <c r="E6221" s="23">
        <v>0</v>
      </c>
      <c r="F6221" s="23">
        <v>0</v>
      </c>
      <c r="G6221" s="23">
        <v>0</v>
      </c>
      <c r="H6221" s="23">
        <v>0</v>
      </c>
      <c r="I6221" s="23">
        <v>1595.586</v>
      </c>
      <c r="J6221" s="23">
        <v>0</v>
      </c>
      <c r="K6221" s="23">
        <v>0</v>
      </c>
    </row>
    <row r="6222" spans="1:11" x14ac:dyDescent="0.25">
      <c r="A6222">
        <v>6221</v>
      </c>
      <c r="B6222" s="23">
        <v>1610.3070560000001</v>
      </c>
      <c r="C6222" s="23">
        <v>0</v>
      </c>
      <c r="D6222" s="23">
        <v>0</v>
      </c>
      <c r="E6222" s="23">
        <v>0</v>
      </c>
      <c r="F6222" s="23">
        <v>0</v>
      </c>
      <c r="G6222" s="23">
        <v>0</v>
      </c>
      <c r="H6222" s="23">
        <v>0</v>
      </c>
      <c r="I6222" s="23">
        <v>1394.961</v>
      </c>
      <c r="J6222" s="23">
        <v>0</v>
      </c>
      <c r="K6222" s="23">
        <v>215.346</v>
      </c>
    </row>
    <row r="6223" spans="1:11" x14ac:dyDescent="0.25">
      <c r="A6223">
        <v>6222</v>
      </c>
      <c r="B6223" s="23">
        <v>1157.229296</v>
      </c>
      <c r="C6223" s="23">
        <v>0</v>
      </c>
      <c r="D6223" s="23">
        <v>0</v>
      </c>
      <c r="E6223" s="23">
        <v>0</v>
      </c>
      <c r="F6223" s="23">
        <v>0</v>
      </c>
      <c r="G6223" s="23">
        <v>0</v>
      </c>
      <c r="H6223" s="23">
        <v>0</v>
      </c>
      <c r="I6223" s="23">
        <v>0</v>
      </c>
      <c r="J6223" s="23">
        <v>0</v>
      </c>
      <c r="K6223" s="23">
        <v>1157.229</v>
      </c>
    </row>
    <row r="6224" spans="1:11" x14ac:dyDescent="0.25">
      <c r="A6224">
        <v>6223</v>
      </c>
      <c r="B6224" s="23">
        <v>1109.7951619999999</v>
      </c>
      <c r="C6224" s="23">
        <v>57.6</v>
      </c>
      <c r="D6224" s="23">
        <v>202.02799999999999</v>
      </c>
      <c r="E6224" s="23">
        <v>202.02799999999999</v>
      </c>
      <c r="F6224" s="23">
        <v>0</v>
      </c>
      <c r="G6224" s="23">
        <v>0</v>
      </c>
      <c r="H6224" s="23">
        <v>0</v>
      </c>
      <c r="I6224" s="23">
        <v>0</v>
      </c>
      <c r="J6224" s="23">
        <v>0</v>
      </c>
      <c r="K6224" s="23">
        <v>907.76700000000005</v>
      </c>
    </row>
    <row r="6225" spans="1:11" x14ac:dyDescent="0.25">
      <c r="A6225">
        <v>6224</v>
      </c>
      <c r="B6225" s="23">
        <v>994.41674350000005</v>
      </c>
      <c r="C6225" s="23">
        <v>188.66</v>
      </c>
      <c r="D6225" s="23">
        <v>741.18799999999999</v>
      </c>
      <c r="E6225" s="23">
        <v>741.18799999999999</v>
      </c>
      <c r="F6225" s="23">
        <v>0</v>
      </c>
      <c r="G6225" s="23">
        <v>0</v>
      </c>
      <c r="H6225" s="23">
        <v>0</v>
      </c>
      <c r="I6225" s="23">
        <v>0</v>
      </c>
      <c r="J6225" s="23">
        <v>0</v>
      </c>
      <c r="K6225" s="23">
        <v>253.22800000000001</v>
      </c>
    </row>
    <row r="6226" spans="1:11" x14ac:dyDescent="0.25">
      <c r="A6226">
        <v>6225</v>
      </c>
      <c r="B6226" s="23">
        <v>1024.9954029999999</v>
      </c>
      <c r="C6226" s="23">
        <v>299.55</v>
      </c>
      <c r="D6226" s="23">
        <v>1175.8969999999999</v>
      </c>
      <c r="E6226" s="23">
        <v>1024.9949999999999</v>
      </c>
      <c r="F6226" s="23">
        <v>-150.90199999999999</v>
      </c>
      <c r="G6226" s="23">
        <v>0</v>
      </c>
      <c r="H6226" s="23">
        <v>0</v>
      </c>
      <c r="I6226" s="23">
        <v>0</v>
      </c>
      <c r="J6226" s="23">
        <v>0</v>
      </c>
      <c r="K6226" s="23">
        <v>0</v>
      </c>
    </row>
    <row r="6227" spans="1:11" x14ac:dyDescent="0.25">
      <c r="A6227">
        <v>6226</v>
      </c>
      <c r="B6227" s="23">
        <v>1252.246817</v>
      </c>
      <c r="C6227" s="23">
        <v>588.08000000000004</v>
      </c>
      <c r="D6227" s="23">
        <v>2279.4430000000002</v>
      </c>
      <c r="E6227" s="23">
        <v>1252.2470000000001</v>
      </c>
      <c r="F6227" s="23">
        <v>-1027.1959999999999</v>
      </c>
      <c r="G6227" s="23">
        <v>0</v>
      </c>
      <c r="H6227" s="23">
        <v>0</v>
      </c>
      <c r="I6227" s="23">
        <v>0</v>
      </c>
      <c r="J6227" s="23">
        <v>0</v>
      </c>
      <c r="K6227" s="23">
        <v>0</v>
      </c>
    </row>
    <row r="6228" spans="1:11" x14ac:dyDescent="0.25">
      <c r="A6228">
        <v>6227</v>
      </c>
      <c r="B6228" s="23">
        <v>1666.176082</v>
      </c>
      <c r="C6228" s="23">
        <v>772.1</v>
      </c>
      <c r="D6228" s="23">
        <v>2940.759</v>
      </c>
      <c r="E6228" s="23">
        <v>1666.1759999999999</v>
      </c>
      <c r="F6228" s="23">
        <v>-1274.5830000000001</v>
      </c>
      <c r="G6228" s="23">
        <v>0</v>
      </c>
      <c r="H6228" s="23">
        <v>0</v>
      </c>
      <c r="I6228" s="23">
        <v>0</v>
      </c>
      <c r="J6228" s="23">
        <v>0</v>
      </c>
      <c r="K6228" s="23">
        <v>0</v>
      </c>
    </row>
    <row r="6229" spans="1:11" x14ac:dyDescent="0.25">
      <c r="A6229">
        <v>6228</v>
      </c>
      <c r="B6229" s="23">
        <v>1295.903599</v>
      </c>
      <c r="C6229" s="23">
        <v>831.2</v>
      </c>
      <c r="D6229" s="23">
        <v>3136.241</v>
      </c>
      <c r="E6229" s="23">
        <v>1295.904</v>
      </c>
      <c r="F6229" s="23">
        <v>-1684.559</v>
      </c>
      <c r="G6229" s="23">
        <v>0</v>
      </c>
      <c r="H6229" s="23">
        <v>155.77799999999999</v>
      </c>
      <c r="I6229" s="23">
        <v>0</v>
      </c>
      <c r="J6229" s="23">
        <v>0</v>
      </c>
      <c r="K6229" s="23">
        <v>0</v>
      </c>
    </row>
    <row r="6230" spans="1:11" x14ac:dyDescent="0.25">
      <c r="A6230">
        <v>6229</v>
      </c>
      <c r="B6230" s="23">
        <v>1418.6527100000001</v>
      </c>
      <c r="C6230" s="23">
        <v>771.92</v>
      </c>
      <c r="D6230" s="23">
        <v>2922.3009999999999</v>
      </c>
      <c r="E6230" s="23">
        <v>1418.652</v>
      </c>
      <c r="F6230" s="23">
        <v>-1503.6489999999999</v>
      </c>
      <c r="G6230" s="23">
        <v>0</v>
      </c>
      <c r="H6230" s="23">
        <v>0</v>
      </c>
      <c r="I6230" s="23">
        <v>0</v>
      </c>
      <c r="J6230" s="23">
        <v>0</v>
      </c>
      <c r="K6230" s="23">
        <v>0</v>
      </c>
    </row>
    <row r="6231" spans="1:11" x14ac:dyDescent="0.25">
      <c r="A6231">
        <v>6230</v>
      </c>
      <c r="B6231" s="23">
        <v>1542.1992049999999</v>
      </c>
      <c r="C6231" s="23">
        <v>773.11</v>
      </c>
      <c r="D6231" s="23">
        <v>2939.6480000000001</v>
      </c>
      <c r="E6231" s="23">
        <v>1542.1990000000001</v>
      </c>
      <c r="F6231" s="23">
        <v>-1397.4490000000001</v>
      </c>
      <c r="G6231" s="23">
        <v>0</v>
      </c>
      <c r="H6231" s="23">
        <v>0</v>
      </c>
      <c r="I6231" s="23">
        <v>0</v>
      </c>
      <c r="J6231" s="23">
        <v>0</v>
      </c>
      <c r="K6231" s="23">
        <v>0</v>
      </c>
    </row>
    <row r="6232" spans="1:11" x14ac:dyDescent="0.25">
      <c r="A6232">
        <v>6231</v>
      </c>
      <c r="B6232" s="23">
        <v>1525.4623160000001</v>
      </c>
      <c r="C6232" s="23">
        <v>605.58000000000004</v>
      </c>
      <c r="D6232" s="23">
        <v>2344.7489999999998</v>
      </c>
      <c r="E6232" s="23">
        <v>1525.462</v>
      </c>
      <c r="F6232" s="23">
        <v>-253.161</v>
      </c>
      <c r="G6232" s="23">
        <v>0</v>
      </c>
      <c r="H6232" s="23">
        <v>566.12599999999998</v>
      </c>
      <c r="I6232" s="23">
        <v>0</v>
      </c>
      <c r="J6232" s="23">
        <v>0</v>
      </c>
      <c r="K6232" s="23">
        <v>0</v>
      </c>
    </row>
    <row r="6233" spans="1:11" x14ac:dyDescent="0.25">
      <c r="A6233">
        <v>6232</v>
      </c>
      <c r="B6233" s="23">
        <v>1140.367688</v>
      </c>
      <c r="C6233" s="23">
        <v>461.86</v>
      </c>
      <c r="D6233" s="23">
        <v>1824.5050000000001</v>
      </c>
      <c r="E6233" s="23">
        <v>1140.3679999999999</v>
      </c>
      <c r="F6233" s="23">
        <v>0</v>
      </c>
      <c r="G6233" s="23">
        <v>0</v>
      </c>
      <c r="H6233" s="23">
        <v>684.13699999999994</v>
      </c>
      <c r="I6233" s="23">
        <v>0</v>
      </c>
      <c r="J6233" s="23">
        <v>0</v>
      </c>
      <c r="K6233" s="23">
        <v>0</v>
      </c>
    </row>
    <row r="6234" spans="1:11" x14ac:dyDescent="0.25">
      <c r="A6234">
        <v>6233</v>
      </c>
      <c r="B6234" s="23">
        <v>1753.2821220000001</v>
      </c>
      <c r="C6234" s="23">
        <v>266.24</v>
      </c>
      <c r="D6234" s="23">
        <v>1012.566</v>
      </c>
      <c r="E6234" s="23">
        <v>1012.566</v>
      </c>
      <c r="F6234" s="23">
        <v>0</v>
      </c>
      <c r="G6234" s="23">
        <v>0</v>
      </c>
      <c r="H6234" s="23">
        <v>0</v>
      </c>
      <c r="I6234" s="23">
        <v>740.71600000000001</v>
      </c>
      <c r="J6234" s="23">
        <v>0</v>
      </c>
      <c r="K6234" s="23">
        <v>0</v>
      </c>
    </row>
    <row r="6235" spans="1:11" x14ac:dyDescent="0.25">
      <c r="A6235">
        <v>6234</v>
      </c>
      <c r="B6235" s="23">
        <v>1615.890789</v>
      </c>
      <c r="C6235" s="23">
        <v>38.51</v>
      </c>
      <c r="D6235" s="23">
        <v>104.715</v>
      </c>
      <c r="E6235" s="23">
        <v>104.715</v>
      </c>
      <c r="F6235" s="23">
        <v>0</v>
      </c>
      <c r="G6235" s="23">
        <v>0</v>
      </c>
      <c r="H6235" s="23">
        <v>0</v>
      </c>
      <c r="I6235" s="23">
        <v>0</v>
      </c>
      <c r="J6235" s="23">
        <v>0</v>
      </c>
      <c r="K6235" s="23">
        <v>1511.1759999999999</v>
      </c>
    </row>
    <row r="6236" spans="1:11" x14ac:dyDescent="0.25">
      <c r="A6236">
        <v>6235</v>
      </c>
      <c r="B6236" s="23">
        <v>1178.4928729999999</v>
      </c>
      <c r="C6236" s="23">
        <v>0</v>
      </c>
      <c r="D6236" s="23">
        <v>0</v>
      </c>
      <c r="E6236" s="23">
        <v>0</v>
      </c>
      <c r="F6236" s="23">
        <v>0</v>
      </c>
      <c r="G6236" s="23">
        <v>0</v>
      </c>
      <c r="H6236" s="23">
        <v>0</v>
      </c>
      <c r="I6236" s="23">
        <v>0</v>
      </c>
      <c r="J6236" s="23">
        <v>0</v>
      </c>
      <c r="K6236" s="23">
        <v>1178.4929999999999</v>
      </c>
    </row>
    <row r="6237" spans="1:11" x14ac:dyDescent="0.25">
      <c r="A6237">
        <v>6236</v>
      </c>
      <c r="B6237" s="23">
        <v>1647.9272309999999</v>
      </c>
      <c r="C6237" s="23">
        <v>0</v>
      </c>
      <c r="D6237" s="23">
        <v>0</v>
      </c>
      <c r="E6237" s="23">
        <v>0</v>
      </c>
      <c r="F6237" s="23">
        <v>0</v>
      </c>
      <c r="G6237" s="23">
        <v>0</v>
      </c>
      <c r="H6237" s="23">
        <v>0</v>
      </c>
      <c r="I6237" s="23">
        <v>0</v>
      </c>
      <c r="J6237" s="23">
        <v>0</v>
      </c>
      <c r="K6237" s="23">
        <v>1647.9269999999999</v>
      </c>
    </row>
    <row r="6238" spans="1:11" x14ac:dyDescent="0.25">
      <c r="A6238">
        <v>6237</v>
      </c>
      <c r="B6238" s="23">
        <v>1432.020139</v>
      </c>
      <c r="C6238" s="23">
        <v>0</v>
      </c>
      <c r="D6238" s="23">
        <v>0</v>
      </c>
      <c r="E6238" s="23">
        <v>0</v>
      </c>
      <c r="F6238" s="23">
        <v>0</v>
      </c>
      <c r="G6238" s="23">
        <v>0</v>
      </c>
      <c r="H6238" s="23">
        <v>0</v>
      </c>
      <c r="I6238" s="23">
        <v>1432.02</v>
      </c>
      <c r="J6238" s="23">
        <v>0</v>
      </c>
      <c r="K6238" s="23">
        <v>0</v>
      </c>
    </row>
    <row r="6239" spans="1:11" x14ac:dyDescent="0.25">
      <c r="A6239">
        <v>6238</v>
      </c>
      <c r="B6239" s="23">
        <v>1643.0202509999999</v>
      </c>
      <c r="C6239" s="23">
        <v>0</v>
      </c>
      <c r="D6239" s="23">
        <v>0</v>
      </c>
      <c r="E6239" s="23">
        <v>0</v>
      </c>
      <c r="F6239" s="23">
        <v>0</v>
      </c>
      <c r="G6239" s="23">
        <v>0</v>
      </c>
      <c r="H6239" s="23">
        <v>0</v>
      </c>
      <c r="I6239" s="23">
        <v>1643.02</v>
      </c>
      <c r="J6239" s="23">
        <v>0</v>
      </c>
      <c r="K6239" s="23">
        <v>0</v>
      </c>
    </row>
    <row r="6240" spans="1:11" x14ac:dyDescent="0.25">
      <c r="A6240">
        <v>6239</v>
      </c>
      <c r="B6240" s="23">
        <v>1400.1247739999999</v>
      </c>
      <c r="C6240" s="23">
        <v>0</v>
      </c>
      <c r="D6240" s="23">
        <v>0</v>
      </c>
      <c r="E6240" s="23">
        <v>0</v>
      </c>
      <c r="F6240" s="23">
        <v>0</v>
      </c>
      <c r="G6240" s="23">
        <v>0</v>
      </c>
      <c r="H6240" s="23">
        <v>0</v>
      </c>
      <c r="I6240" s="23">
        <v>1400.125</v>
      </c>
      <c r="J6240" s="23">
        <v>0</v>
      </c>
      <c r="K6240" s="23">
        <v>0</v>
      </c>
    </row>
    <row r="6241" spans="1:11" x14ac:dyDescent="0.25">
      <c r="A6241">
        <v>6240</v>
      </c>
      <c r="B6241" s="23">
        <v>1198.1207899999999</v>
      </c>
      <c r="C6241" s="23">
        <v>0</v>
      </c>
      <c r="D6241" s="23">
        <v>0</v>
      </c>
      <c r="E6241" s="23">
        <v>0</v>
      </c>
      <c r="F6241" s="23">
        <v>0</v>
      </c>
      <c r="G6241" s="23">
        <v>0</v>
      </c>
      <c r="H6241" s="23">
        <v>0</v>
      </c>
      <c r="I6241" s="23">
        <v>1198.1210000000001</v>
      </c>
      <c r="J6241" s="23">
        <v>0</v>
      </c>
      <c r="K6241" s="23">
        <v>0</v>
      </c>
    </row>
    <row r="6242" spans="1:11" x14ac:dyDescent="0.25">
      <c r="A6242">
        <v>6241</v>
      </c>
      <c r="B6242" s="23">
        <v>1325.7022529999999</v>
      </c>
      <c r="C6242" s="23">
        <v>0</v>
      </c>
      <c r="D6242" s="23">
        <v>0</v>
      </c>
      <c r="E6242" s="23">
        <v>0</v>
      </c>
      <c r="F6242" s="23">
        <v>0</v>
      </c>
      <c r="G6242" s="23">
        <v>0</v>
      </c>
      <c r="H6242" s="23">
        <v>0</v>
      </c>
      <c r="I6242" s="23">
        <v>1325.702</v>
      </c>
      <c r="J6242" s="23">
        <v>0</v>
      </c>
      <c r="K6242" s="23">
        <v>0</v>
      </c>
    </row>
    <row r="6243" spans="1:11" x14ac:dyDescent="0.25">
      <c r="A6243">
        <v>6242</v>
      </c>
      <c r="B6243" s="23">
        <v>1425.4775</v>
      </c>
      <c r="C6243" s="23">
        <v>0</v>
      </c>
      <c r="D6243" s="23">
        <v>0</v>
      </c>
      <c r="E6243" s="23">
        <v>0</v>
      </c>
      <c r="F6243" s="23">
        <v>0</v>
      </c>
      <c r="G6243" s="23">
        <v>0</v>
      </c>
      <c r="H6243" s="23">
        <v>0</v>
      </c>
      <c r="I6243" s="23">
        <v>1425.4780000000001</v>
      </c>
      <c r="J6243" s="23">
        <v>0</v>
      </c>
      <c r="K6243" s="23">
        <v>0</v>
      </c>
    </row>
    <row r="6244" spans="1:11" x14ac:dyDescent="0.25">
      <c r="A6244">
        <v>6243</v>
      </c>
      <c r="B6244" s="23">
        <v>1218.566538</v>
      </c>
      <c r="C6244" s="23">
        <v>0</v>
      </c>
      <c r="D6244" s="23">
        <v>0</v>
      </c>
      <c r="E6244" s="23">
        <v>0</v>
      </c>
      <c r="F6244" s="23">
        <v>0</v>
      </c>
      <c r="G6244" s="23">
        <v>0</v>
      </c>
      <c r="H6244" s="23">
        <v>0</v>
      </c>
      <c r="I6244" s="23">
        <v>1218.567</v>
      </c>
      <c r="J6244" s="23">
        <v>0</v>
      </c>
      <c r="K6244" s="23">
        <v>0</v>
      </c>
    </row>
    <row r="6245" spans="1:11" x14ac:dyDescent="0.25">
      <c r="A6245">
        <v>6244</v>
      </c>
      <c r="B6245" s="23">
        <v>1399.3069439999999</v>
      </c>
      <c r="C6245" s="23">
        <v>0</v>
      </c>
      <c r="D6245" s="23">
        <v>0</v>
      </c>
      <c r="E6245" s="23">
        <v>0</v>
      </c>
      <c r="F6245" s="23">
        <v>0</v>
      </c>
      <c r="G6245" s="23">
        <v>0</v>
      </c>
      <c r="H6245" s="23">
        <v>0</v>
      </c>
      <c r="I6245" s="23">
        <v>1399.307</v>
      </c>
      <c r="J6245" s="23">
        <v>0</v>
      </c>
      <c r="K6245" s="23">
        <v>0</v>
      </c>
    </row>
    <row r="6246" spans="1:11" x14ac:dyDescent="0.25">
      <c r="A6246">
        <v>6245</v>
      </c>
      <c r="B6246" s="23">
        <v>1315.070465</v>
      </c>
      <c r="C6246" s="23">
        <v>0</v>
      </c>
      <c r="D6246" s="23">
        <v>0</v>
      </c>
      <c r="E6246" s="23">
        <v>0</v>
      </c>
      <c r="F6246" s="23">
        <v>0</v>
      </c>
      <c r="G6246" s="23">
        <v>0</v>
      </c>
      <c r="H6246" s="23">
        <v>0</v>
      </c>
      <c r="I6246" s="23">
        <v>486.02100000000002</v>
      </c>
      <c r="J6246" s="23">
        <v>0</v>
      </c>
      <c r="K6246" s="23">
        <v>829.05</v>
      </c>
    </row>
    <row r="6247" spans="1:11" x14ac:dyDescent="0.25">
      <c r="A6247">
        <v>6246</v>
      </c>
      <c r="B6247" s="23">
        <v>733.59341229999995</v>
      </c>
      <c r="C6247" s="23">
        <v>0</v>
      </c>
      <c r="D6247" s="23">
        <v>0</v>
      </c>
      <c r="E6247" s="23">
        <v>0</v>
      </c>
      <c r="F6247" s="23">
        <v>0</v>
      </c>
      <c r="G6247" s="23">
        <v>0</v>
      </c>
      <c r="H6247" s="23">
        <v>0</v>
      </c>
      <c r="I6247" s="23">
        <v>0</v>
      </c>
      <c r="J6247" s="23">
        <v>0</v>
      </c>
      <c r="K6247" s="23">
        <v>733.59299999999996</v>
      </c>
    </row>
    <row r="6248" spans="1:11" x14ac:dyDescent="0.25">
      <c r="A6248">
        <v>6247</v>
      </c>
      <c r="B6248" s="23">
        <v>983.03152909999994</v>
      </c>
      <c r="C6248" s="23">
        <v>124.66</v>
      </c>
      <c r="D6248" s="23">
        <v>404.613</v>
      </c>
      <c r="E6248" s="23">
        <v>404.613</v>
      </c>
      <c r="F6248" s="23">
        <v>0</v>
      </c>
      <c r="G6248" s="23">
        <v>0</v>
      </c>
      <c r="H6248" s="23">
        <v>0</v>
      </c>
      <c r="I6248" s="23">
        <v>0</v>
      </c>
      <c r="J6248" s="23">
        <v>0</v>
      </c>
      <c r="K6248" s="23">
        <v>578.41800000000001</v>
      </c>
    </row>
    <row r="6249" spans="1:11" x14ac:dyDescent="0.25">
      <c r="A6249">
        <v>6248</v>
      </c>
      <c r="B6249" s="23">
        <v>877.88109540000005</v>
      </c>
      <c r="C6249" s="23">
        <v>370.51</v>
      </c>
      <c r="D6249" s="23">
        <v>1477.9390000000001</v>
      </c>
      <c r="E6249" s="23">
        <v>877.88099999999997</v>
      </c>
      <c r="F6249" s="23">
        <v>-600.05799999999999</v>
      </c>
      <c r="G6249" s="23">
        <v>0</v>
      </c>
      <c r="H6249" s="23">
        <v>0</v>
      </c>
      <c r="I6249" s="23">
        <v>0</v>
      </c>
      <c r="J6249" s="23">
        <v>0</v>
      </c>
      <c r="K6249" s="23">
        <v>0</v>
      </c>
    </row>
    <row r="6250" spans="1:11" x14ac:dyDescent="0.25">
      <c r="A6250">
        <v>6249</v>
      </c>
      <c r="B6250" s="23">
        <v>945.25494419999995</v>
      </c>
      <c r="C6250" s="23">
        <v>612.01</v>
      </c>
      <c r="D6250" s="23">
        <v>2440.2689999999998</v>
      </c>
      <c r="E6250" s="23">
        <v>945.255</v>
      </c>
      <c r="F6250" s="23">
        <v>-1495.0139999999999</v>
      </c>
      <c r="G6250" s="23">
        <v>0</v>
      </c>
      <c r="H6250" s="23">
        <v>0</v>
      </c>
      <c r="I6250" s="23">
        <v>0</v>
      </c>
      <c r="J6250" s="23">
        <v>0</v>
      </c>
      <c r="K6250" s="23">
        <v>0</v>
      </c>
    </row>
    <row r="6251" spans="1:11" x14ac:dyDescent="0.25">
      <c r="A6251">
        <v>6250</v>
      </c>
      <c r="B6251" s="23">
        <v>1289.433542</v>
      </c>
      <c r="C6251" s="23">
        <v>487.83</v>
      </c>
      <c r="D6251" s="23">
        <v>1884.9390000000001</v>
      </c>
      <c r="E6251" s="23">
        <v>1289.433</v>
      </c>
      <c r="F6251" s="23">
        <v>-595.50599999999997</v>
      </c>
      <c r="G6251" s="23">
        <v>0</v>
      </c>
      <c r="H6251" s="23">
        <v>0</v>
      </c>
      <c r="I6251" s="23">
        <v>0</v>
      </c>
      <c r="J6251" s="23">
        <v>0</v>
      </c>
      <c r="K6251" s="23">
        <v>0</v>
      </c>
    </row>
    <row r="6252" spans="1:11" x14ac:dyDescent="0.25">
      <c r="A6252">
        <v>6251</v>
      </c>
      <c r="B6252" s="23">
        <v>942.16559170000005</v>
      </c>
      <c r="C6252" s="23">
        <v>676.38</v>
      </c>
      <c r="D6252" s="23">
        <v>2571.7939999999999</v>
      </c>
      <c r="E6252" s="23">
        <v>942.16499999999996</v>
      </c>
      <c r="F6252" s="23">
        <v>-1629.6289999999999</v>
      </c>
      <c r="G6252" s="23">
        <v>0</v>
      </c>
      <c r="H6252" s="23">
        <v>0</v>
      </c>
      <c r="I6252" s="23">
        <v>0</v>
      </c>
      <c r="J6252" s="23">
        <v>0</v>
      </c>
      <c r="K6252" s="23">
        <v>0</v>
      </c>
    </row>
    <row r="6253" spans="1:11" x14ac:dyDescent="0.25">
      <c r="A6253">
        <v>6252</v>
      </c>
      <c r="B6253" s="23">
        <v>1192.4164270000001</v>
      </c>
      <c r="C6253" s="23">
        <v>1003.58</v>
      </c>
      <c r="D6253" s="23">
        <v>3783.5369999999998</v>
      </c>
      <c r="E6253" s="23">
        <v>1192.4169999999999</v>
      </c>
      <c r="F6253" s="23">
        <v>-1684.559</v>
      </c>
      <c r="G6253" s="23">
        <v>0</v>
      </c>
      <c r="H6253" s="23">
        <v>906.56100000000004</v>
      </c>
      <c r="I6253" s="23">
        <v>0</v>
      </c>
      <c r="J6253" s="23">
        <v>0</v>
      </c>
      <c r="K6253" s="23">
        <v>0</v>
      </c>
    </row>
    <row r="6254" spans="1:11" x14ac:dyDescent="0.25">
      <c r="A6254">
        <v>6253</v>
      </c>
      <c r="B6254" s="23">
        <v>1457.5078080000001</v>
      </c>
      <c r="C6254" s="23">
        <v>626.44000000000005</v>
      </c>
      <c r="D6254" s="23">
        <v>2375.3870000000002</v>
      </c>
      <c r="E6254" s="23">
        <v>1457.508</v>
      </c>
      <c r="F6254" s="23">
        <v>-917.87900000000002</v>
      </c>
      <c r="G6254" s="23">
        <v>0</v>
      </c>
      <c r="H6254" s="23">
        <v>0</v>
      </c>
      <c r="I6254" s="23">
        <v>0</v>
      </c>
      <c r="J6254" s="23">
        <v>0</v>
      </c>
      <c r="K6254" s="23">
        <v>0</v>
      </c>
    </row>
    <row r="6255" spans="1:11" x14ac:dyDescent="0.25">
      <c r="A6255">
        <v>6254</v>
      </c>
      <c r="B6255" s="23">
        <v>1298.3816240000001</v>
      </c>
      <c r="C6255" s="23">
        <v>413.29</v>
      </c>
      <c r="D6255" s="23">
        <v>1585.78</v>
      </c>
      <c r="E6255" s="23">
        <v>1298.3820000000001</v>
      </c>
      <c r="F6255" s="23">
        <v>-287.39800000000002</v>
      </c>
      <c r="G6255" s="23">
        <v>0</v>
      </c>
      <c r="H6255" s="23">
        <v>0</v>
      </c>
      <c r="I6255" s="23">
        <v>0</v>
      </c>
      <c r="J6255" s="23">
        <v>0</v>
      </c>
      <c r="K6255" s="23">
        <v>0</v>
      </c>
    </row>
    <row r="6256" spans="1:11" x14ac:dyDescent="0.25">
      <c r="A6256">
        <v>6255</v>
      </c>
      <c r="B6256" s="23">
        <v>1441.2677510000001</v>
      </c>
      <c r="C6256" s="23">
        <v>178.12</v>
      </c>
      <c r="D6256" s="23">
        <v>675.54700000000003</v>
      </c>
      <c r="E6256" s="23">
        <v>675.54700000000003</v>
      </c>
      <c r="F6256" s="23">
        <v>0</v>
      </c>
      <c r="G6256" s="23">
        <v>0</v>
      </c>
      <c r="H6256" s="23">
        <v>0</v>
      </c>
      <c r="I6256" s="23">
        <v>765.721</v>
      </c>
      <c r="J6256" s="23">
        <v>0</v>
      </c>
      <c r="K6256" s="23">
        <v>0</v>
      </c>
    </row>
    <row r="6257" spans="1:11" x14ac:dyDescent="0.25">
      <c r="A6257">
        <v>6256</v>
      </c>
      <c r="B6257" s="23">
        <v>1536.8076610000001</v>
      </c>
      <c r="C6257" s="23">
        <v>28.43</v>
      </c>
      <c r="D6257" s="23">
        <v>84.403000000000006</v>
      </c>
      <c r="E6257" s="23">
        <v>84.403000000000006</v>
      </c>
      <c r="F6257" s="23">
        <v>0</v>
      </c>
      <c r="G6257" s="23">
        <v>0</v>
      </c>
      <c r="H6257" s="23">
        <v>0</v>
      </c>
      <c r="I6257" s="23">
        <v>1452.404</v>
      </c>
      <c r="J6257" s="23">
        <v>0</v>
      </c>
      <c r="K6257" s="23">
        <v>0</v>
      </c>
    </row>
    <row r="6258" spans="1:11" x14ac:dyDescent="0.25">
      <c r="A6258">
        <v>6257</v>
      </c>
      <c r="B6258" s="23">
        <v>1458.4472900000001</v>
      </c>
      <c r="C6258" s="23">
        <v>10.77</v>
      </c>
      <c r="D6258" s="23">
        <v>18.065000000000001</v>
      </c>
      <c r="E6258" s="23">
        <v>18.065000000000001</v>
      </c>
      <c r="F6258" s="23">
        <v>0</v>
      </c>
      <c r="G6258" s="23">
        <v>0</v>
      </c>
      <c r="H6258" s="23">
        <v>0</v>
      </c>
      <c r="I6258" s="23">
        <v>1440.383</v>
      </c>
      <c r="J6258" s="23">
        <v>0</v>
      </c>
      <c r="K6258" s="23">
        <v>0</v>
      </c>
    </row>
    <row r="6259" spans="1:11" x14ac:dyDescent="0.25">
      <c r="A6259">
        <v>6258</v>
      </c>
      <c r="B6259" s="23">
        <v>1564.8336690000001</v>
      </c>
      <c r="C6259" s="23">
        <v>3.91</v>
      </c>
      <c r="D6259" s="23">
        <v>0</v>
      </c>
      <c r="E6259" s="23">
        <v>0</v>
      </c>
      <c r="F6259" s="23">
        <v>0</v>
      </c>
      <c r="G6259" s="23">
        <v>0</v>
      </c>
      <c r="H6259" s="23">
        <v>0</v>
      </c>
      <c r="I6259" s="23">
        <v>0</v>
      </c>
      <c r="J6259" s="23">
        <v>0</v>
      </c>
      <c r="K6259" s="23">
        <v>1564.8340000000001</v>
      </c>
    </row>
    <row r="6260" spans="1:11" x14ac:dyDescent="0.25">
      <c r="A6260">
        <v>6259</v>
      </c>
      <c r="B6260" s="23">
        <v>1103.652237</v>
      </c>
      <c r="C6260" s="23">
        <v>0</v>
      </c>
      <c r="D6260" s="23">
        <v>0</v>
      </c>
      <c r="E6260" s="23">
        <v>0</v>
      </c>
      <c r="F6260" s="23">
        <v>0</v>
      </c>
      <c r="G6260" s="23">
        <v>0</v>
      </c>
      <c r="H6260" s="23">
        <v>0</v>
      </c>
      <c r="I6260" s="23">
        <v>0</v>
      </c>
      <c r="J6260" s="23">
        <v>0</v>
      </c>
      <c r="K6260" s="23">
        <v>1103.652</v>
      </c>
    </row>
    <row r="6261" spans="1:11" x14ac:dyDescent="0.25">
      <c r="A6261">
        <v>6260</v>
      </c>
      <c r="B6261" s="23">
        <v>1320.7952740000001</v>
      </c>
      <c r="C6261" s="23">
        <v>0</v>
      </c>
      <c r="D6261" s="23">
        <v>0</v>
      </c>
      <c r="E6261" s="23">
        <v>0</v>
      </c>
      <c r="F6261" s="23">
        <v>0</v>
      </c>
      <c r="G6261" s="23">
        <v>0</v>
      </c>
      <c r="H6261" s="23">
        <v>0</v>
      </c>
      <c r="I6261" s="23">
        <v>0</v>
      </c>
      <c r="J6261" s="23">
        <v>0</v>
      </c>
      <c r="K6261" s="23">
        <v>1320.7950000000001</v>
      </c>
    </row>
    <row r="6262" spans="1:11" x14ac:dyDescent="0.25">
      <c r="A6262">
        <v>6261</v>
      </c>
      <c r="B6262" s="23">
        <v>1423.84184</v>
      </c>
      <c r="C6262" s="23">
        <v>0</v>
      </c>
      <c r="D6262" s="23">
        <v>0</v>
      </c>
      <c r="E6262" s="23">
        <v>0</v>
      </c>
      <c r="F6262" s="23">
        <v>0</v>
      </c>
      <c r="G6262" s="23">
        <v>0</v>
      </c>
      <c r="H6262" s="23">
        <v>0</v>
      </c>
      <c r="I6262" s="23">
        <v>1423.8420000000001</v>
      </c>
      <c r="J6262" s="23">
        <v>0</v>
      </c>
      <c r="K6262" s="23">
        <v>0</v>
      </c>
    </row>
    <row r="6263" spans="1:11" x14ac:dyDescent="0.25">
      <c r="A6263">
        <v>6262</v>
      </c>
      <c r="B6263" s="23">
        <v>1526.8884069999999</v>
      </c>
      <c r="C6263" s="23">
        <v>0</v>
      </c>
      <c r="D6263" s="23">
        <v>0</v>
      </c>
      <c r="E6263" s="23">
        <v>0</v>
      </c>
      <c r="F6263" s="23">
        <v>0</v>
      </c>
      <c r="G6263" s="23">
        <v>0</v>
      </c>
      <c r="H6263" s="23">
        <v>0</v>
      </c>
      <c r="I6263" s="23">
        <v>1526.8879999999999</v>
      </c>
      <c r="J6263" s="23">
        <v>0</v>
      </c>
      <c r="K6263" s="23">
        <v>0</v>
      </c>
    </row>
    <row r="6264" spans="1:11" x14ac:dyDescent="0.25">
      <c r="A6264">
        <v>6263</v>
      </c>
      <c r="B6264" s="23">
        <v>1557.9659429999999</v>
      </c>
      <c r="C6264" s="23">
        <v>0</v>
      </c>
      <c r="D6264" s="23">
        <v>0</v>
      </c>
      <c r="E6264" s="23">
        <v>0</v>
      </c>
      <c r="F6264" s="23">
        <v>0</v>
      </c>
      <c r="G6264" s="23">
        <v>0</v>
      </c>
      <c r="H6264" s="23">
        <v>0</v>
      </c>
      <c r="I6264" s="23">
        <v>1557.9659999999999</v>
      </c>
      <c r="J6264" s="23">
        <v>0</v>
      </c>
      <c r="K6264" s="23">
        <v>0</v>
      </c>
    </row>
    <row r="6265" spans="1:11" x14ac:dyDescent="0.25">
      <c r="A6265">
        <v>6264</v>
      </c>
      <c r="B6265" s="23">
        <v>1416.4813710000001</v>
      </c>
      <c r="C6265" s="23">
        <v>0</v>
      </c>
      <c r="D6265" s="23">
        <v>0</v>
      </c>
      <c r="E6265" s="23">
        <v>0</v>
      </c>
      <c r="F6265" s="23">
        <v>0</v>
      </c>
      <c r="G6265" s="23">
        <v>0</v>
      </c>
      <c r="H6265" s="23">
        <v>0</v>
      </c>
      <c r="I6265" s="23">
        <v>1416.481</v>
      </c>
      <c r="J6265" s="23">
        <v>0</v>
      </c>
      <c r="K6265" s="23">
        <v>0</v>
      </c>
    </row>
    <row r="6266" spans="1:11" x14ac:dyDescent="0.25">
      <c r="A6266">
        <v>6265</v>
      </c>
      <c r="B6266" s="23">
        <v>1565.3264119999999</v>
      </c>
      <c r="C6266" s="23">
        <v>0</v>
      </c>
      <c r="D6266" s="23">
        <v>0</v>
      </c>
      <c r="E6266" s="23">
        <v>0</v>
      </c>
      <c r="F6266" s="23">
        <v>0</v>
      </c>
      <c r="G6266" s="23">
        <v>0</v>
      </c>
      <c r="H6266" s="23">
        <v>0</v>
      </c>
      <c r="I6266" s="23">
        <v>1565.326</v>
      </c>
      <c r="J6266" s="23">
        <v>0</v>
      </c>
      <c r="K6266" s="23">
        <v>0</v>
      </c>
    </row>
    <row r="6267" spans="1:11" x14ac:dyDescent="0.25">
      <c r="A6267">
        <v>6266</v>
      </c>
      <c r="B6267" s="23">
        <v>1530.977556</v>
      </c>
      <c r="C6267" s="23">
        <v>0</v>
      </c>
      <c r="D6267" s="23">
        <v>0</v>
      </c>
      <c r="E6267" s="23">
        <v>0</v>
      </c>
      <c r="F6267" s="23">
        <v>0</v>
      </c>
      <c r="G6267" s="23">
        <v>0</v>
      </c>
      <c r="H6267" s="23">
        <v>0</v>
      </c>
      <c r="I6267" s="23">
        <v>1530.9780000000001</v>
      </c>
      <c r="J6267" s="23">
        <v>0</v>
      </c>
      <c r="K6267" s="23">
        <v>0</v>
      </c>
    </row>
    <row r="6268" spans="1:11" x14ac:dyDescent="0.25">
      <c r="A6268">
        <v>6267</v>
      </c>
      <c r="B6268" s="23">
        <v>1518.710108</v>
      </c>
      <c r="C6268" s="23">
        <v>0</v>
      </c>
      <c r="D6268" s="23">
        <v>0</v>
      </c>
      <c r="E6268" s="23">
        <v>0</v>
      </c>
      <c r="F6268" s="23">
        <v>0</v>
      </c>
      <c r="G6268" s="23">
        <v>0</v>
      </c>
      <c r="H6268" s="23">
        <v>0</v>
      </c>
      <c r="I6268" s="23">
        <v>1518.71</v>
      </c>
      <c r="J6268" s="23">
        <v>0</v>
      </c>
      <c r="K6268" s="23">
        <v>0</v>
      </c>
    </row>
    <row r="6269" spans="1:11" x14ac:dyDescent="0.25">
      <c r="A6269">
        <v>6268</v>
      </c>
      <c r="B6269" s="23">
        <v>1445.1054180000001</v>
      </c>
      <c r="C6269" s="23">
        <v>0</v>
      </c>
      <c r="D6269" s="23">
        <v>0</v>
      </c>
      <c r="E6269" s="23">
        <v>0</v>
      </c>
      <c r="F6269" s="23">
        <v>0</v>
      </c>
      <c r="G6269" s="23">
        <v>0</v>
      </c>
      <c r="H6269" s="23">
        <v>0</v>
      </c>
      <c r="I6269" s="23">
        <v>1445.105</v>
      </c>
      <c r="J6269" s="23">
        <v>0</v>
      </c>
      <c r="K6269" s="23">
        <v>0</v>
      </c>
    </row>
    <row r="6270" spans="1:11" x14ac:dyDescent="0.25">
      <c r="A6270">
        <v>6269</v>
      </c>
      <c r="B6270" s="23">
        <v>1521.9814269999999</v>
      </c>
      <c r="C6270" s="23">
        <v>0</v>
      </c>
      <c r="D6270" s="23">
        <v>0</v>
      </c>
      <c r="E6270" s="23">
        <v>0</v>
      </c>
      <c r="F6270" s="23">
        <v>0</v>
      </c>
      <c r="G6270" s="23">
        <v>0</v>
      </c>
      <c r="H6270" s="23">
        <v>0</v>
      </c>
      <c r="I6270" s="23">
        <v>1521.981</v>
      </c>
      <c r="J6270" s="23">
        <v>0</v>
      </c>
      <c r="K6270" s="23">
        <v>0</v>
      </c>
    </row>
    <row r="6271" spans="1:11" x14ac:dyDescent="0.25">
      <c r="A6271">
        <v>6270</v>
      </c>
      <c r="B6271" s="23">
        <v>1328.155743</v>
      </c>
      <c r="C6271" s="23">
        <v>0</v>
      </c>
      <c r="D6271" s="23">
        <v>0</v>
      </c>
      <c r="E6271" s="23">
        <v>0</v>
      </c>
      <c r="F6271" s="23">
        <v>0</v>
      </c>
      <c r="G6271" s="23">
        <v>0</v>
      </c>
      <c r="H6271" s="23">
        <v>0</v>
      </c>
      <c r="I6271" s="23">
        <v>1328.1559999999999</v>
      </c>
      <c r="J6271" s="23">
        <v>0</v>
      </c>
      <c r="K6271" s="23">
        <v>0</v>
      </c>
    </row>
    <row r="6272" spans="1:11" x14ac:dyDescent="0.25">
      <c r="A6272">
        <v>6271</v>
      </c>
      <c r="B6272" s="23">
        <v>1128.6052500000001</v>
      </c>
      <c r="C6272" s="23">
        <v>43.14</v>
      </c>
      <c r="D6272" s="23">
        <v>144.714</v>
      </c>
      <c r="E6272" s="23">
        <v>144.714</v>
      </c>
      <c r="F6272" s="23">
        <v>0</v>
      </c>
      <c r="G6272" s="23">
        <v>0</v>
      </c>
      <c r="H6272" s="23">
        <v>0</v>
      </c>
      <c r="I6272" s="23">
        <v>983.89200000000005</v>
      </c>
      <c r="J6272" s="23">
        <v>0</v>
      </c>
      <c r="K6272" s="23">
        <v>0</v>
      </c>
    </row>
    <row r="6273" spans="1:11" x14ac:dyDescent="0.25">
      <c r="A6273">
        <v>6272</v>
      </c>
      <c r="B6273" s="23">
        <v>1388.338823</v>
      </c>
      <c r="C6273" s="23">
        <v>140.37</v>
      </c>
      <c r="D6273" s="23">
        <v>541.60900000000004</v>
      </c>
      <c r="E6273" s="23">
        <v>541.60900000000004</v>
      </c>
      <c r="F6273" s="23">
        <v>0</v>
      </c>
      <c r="G6273" s="23">
        <v>0</v>
      </c>
      <c r="H6273" s="23">
        <v>0</v>
      </c>
      <c r="I6273" s="23">
        <v>846.73</v>
      </c>
      <c r="J6273" s="23">
        <v>0</v>
      </c>
      <c r="K6273" s="23">
        <v>0</v>
      </c>
    </row>
    <row r="6274" spans="1:11" x14ac:dyDescent="0.25">
      <c r="A6274">
        <v>6273</v>
      </c>
      <c r="B6274" s="23">
        <v>1708.913828</v>
      </c>
      <c r="C6274" s="23">
        <v>329.52</v>
      </c>
      <c r="D6274" s="23">
        <v>1294.095</v>
      </c>
      <c r="E6274" s="23">
        <v>1294.095</v>
      </c>
      <c r="F6274" s="23">
        <v>0</v>
      </c>
      <c r="G6274" s="23">
        <v>0</v>
      </c>
      <c r="H6274" s="23">
        <v>0</v>
      </c>
      <c r="I6274" s="23">
        <v>414.81900000000002</v>
      </c>
      <c r="J6274" s="23">
        <v>0</v>
      </c>
      <c r="K6274" s="23">
        <v>0</v>
      </c>
    </row>
    <row r="6275" spans="1:11" x14ac:dyDescent="0.25">
      <c r="A6275">
        <v>6274</v>
      </c>
      <c r="B6275" s="23">
        <v>1431.3985889999999</v>
      </c>
      <c r="C6275" s="23">
        <v>587.96</v>
      </c>
      <c r="D6275" s="23">
        <v>2277.098</v>
      </c>
      <c r="E6275" s="23">
        <v>1431.3989999999999</v>
      </c>
      <c r="F6275" s="23">
        <v>-845.69899999999996</v>
      </c>
      <c r="G6275" s="23">
        <v>0</v>
      </c>
      <c r="H6275" s="23">
        <v>0</v>
      </c>
      <c r="I6275" s="23">
        <v>0</v>
      </c>
      <c r="J6275" s="23">
        <v>0</v>
      </c>
      <c r="K6275" s="23">
        <v>0</v>
      </c>
    </row>
    <row r="6276" spans="1:11" x14ac:dyDescent="0.25">
      <c r="A6276">
        <v>6275</v>
      </c>
      <c r="B6276" s="23">
        <v>1533.158095</v>
      </c>
      <c r="C6276" s="23">
        <v>669.84</v>
      </c>
      <c r="D6276" s="23">
        <v>2561.0129999999999</v>
      </c>
      <c r="E6276" s="23">
        <v>1533.1579999999999</v>
      </c>
      <c r="F6276" s="23">
        <v>-1027.855</v>
      </c>
      <c r="G6276" s="23">
        <v>0</v>
      </c>
      <c r="H6276" s="23">
        <v>0</v>
      </c>
      <c r="I6276" s="23">
        <v>0</v>
      </c>
      <c r="J6276" s="23">
        <v>0</v>
      </c>
      <c r="K6276" s="23">
        <v>0</v>
      </c>
    </row>
    <row r="6277" spans="1:11" x14ac:dyDescent="0.25">
      <c r="A6277">
        <v>6276</v>
      </c>
      <c r="B6277" s="23">
        <v>1365.5683939999999</v>
      </c>
      <c r="C6277" s="23">
        <v>588.85</v>
      </c>
      <c r="D6277" s="23">
        <v>2249.9110000000001</v>
      </c>
      <c r="E6277" s="23">
        <v>1365.569</v>
      </c>
      <c r="F6277" s="23">
        <v>-884.34199999999998</v>
      </c>
      <c r="G6277" s="23">
        <v>0</v>
      </c>
      <c r="H6277" s="23">
        <v>0</v>
      </c>
      <c r="I6277" s="23">
        <v>0</v>
      </c>
      <c r="J6277" s="23">
        <v>0</v>
      </c>
      <c r="K6277" s="23">
        <v>0</v>
      </c>
    </row>
    <row r="6278" spans="1:11" x14ac:dyDescent="0.25">
      <c r="A6278">
        <v>6277</v>
      </c>
      <c r="B6278" s="23">
        <v>1628.74503</v>
      </c>
      <c r="C6278" s="23">
        <v>755.61</v>
      </c>
      <c r="D6278" s="23">
        <v>2866.8780000000002</v>
      </c>
      <c r="E6278" s="23">
        <v>1628.7449999999999</v>
      </c>
      <c r="F6278" s="23">
        <v>-1238.133</v>
      </c>
      <c r="G6278" s="23">
        <v>0</v>
      </c>
      <c r="H6278" s="23">
        <v>0</v>
      </c>
      <c r="I6278" s="23">
        <v>0</v>
      </c>
      <c r="J6278" s="23">
        <v>0</v>
      </c>
      <c r="K6278" s="23">
        <v>0</v>
      </c>
    </row>
    <row r="6279" spans="1:11" x14ac:dyDescent="0.25">
      <c r="A6279">
        <v>6278</v>
      </c>
      <c r="B6279" s="23">
        <v>1656.7965959999999</v>
      </c>
      <c r="C6279" s="23">
        <v>67.55</v>
      </c>
      <c r="D6279" s="23">
        <v>233.06899999999999</v>
      </c>
      <c r="E6279" s="23">
        <v>233.06899999999999</v>
      </c>
      <c r="F6279" s="23">
        <v>0</v>
      </c>
      <c r="G6279" s="23">
        <v>0</v>
      </c>
      <c r="H6279" s="23">
        <v>0</v>
      </c>
      <c r="I6279" s="23">
        <v>1423.7280000000001</v>
      </c>
      <c r="J6279" s="23">
        <v>0</v>
      </c>
      <c r="K6279" s="23">
        <v>0</v>
      </c>
    </row>
    <row r="6280" spans="1:11" x14ac:dyDescent="0.25">
      <c r="A6280">
        <v>6279</v>
      </c>
      <c r="B6280" s="23">
        <v>1559.5596889999999</v>
      </c>
      <c r="C6280" s="23">
        <v>45.14</v>
      </c>
      <c r="D6280" s="23">
        <v>147.68899999999999</v>
      </c>
      <c r="E6280" s="23">
        <v>147.68899999999999</v>
      </c>
      <c r="F6280" s="23">
        <v>0</v>
      </c>
      <c r="G6280" s="23">
        <v>0</v>
      </c>
      <c r="H6280" s="23">
        <v>0</v>
      </c>
      <c r="I6280" s="23">
        <v>1411.8710000000001</v>
      </c>
      <c r="J6280" s="23">
        <v>0</v>
      </c>
      <c r="K6280" s="23">
        <v>0</v>
      </c>
    </row>
    <row r="6281" spans="1:11" x14ac:dyDescent="0.25">
      <c r="A6281">
        <v>6280</v>
      </c>
      <c r="B6281" s="23">
        <v>1548.5915669999999</v>
      </c>
      <c r="C6281" s="23">
        <v>23.53</v>
      </c>
      <c r="D6281" s="23">
        <v>65.962000000000003</v>
      </c>
      <c r="E6281" s="23">
        <v>65.962000000000003</v>
      </c>
      <c r="F6281" s="23">
        <v>0</v>
      </c>
      <c r="G6281" s="23">
        <v>0</v>
      </c>
      <c r="H6281" s="23">
        <v>0</v>
      </c>
      <c r="I6281" s="23">
        <v>1482.63</v>
      </c>
      <c r="J6281" s="23">
        <v>0</v>
      </c>
      <c r="K6281" s="23">
        <v>0</v>
      </c>
    </row>
    <row r="6282" spans="1:11" x14ac:dyDescent="0.25">
      <c r="A6282">
        <v>6281</v>
      </c>
      <c r="B6282" s="23">
        <v>1862.9183519999999</v>
      </c>
      <c r="C6282" s="23">
        <v>37.24</v>
      </c>
      <c r="D6282" s="23">
        <v>121.896</v>
      </c>
      <c r="E6282" s="23">
        <v>121.896</v>
      </c>
      <c r="F6282" s="23">
        <v>0</v>
      </c>
      <c r="G6282" s="23">
        <v>0</v>
      </c>
      <c r="H6282" s="23">
        <v>0</v>
      </c>
      <c r="I6282" s="23">
        <v>1741.0219999999999</v>
      </c>
      <c r="J6282" s="23">
        <v>0</v>
      </c>
      <c r="K6282" s="23">
        <v>0</v>
      </c>
    </row>
    <row r="6283" spans="1:11" x14ac:dyDescent="0.25">
      <c r="A6283">
        <v>6282</v>
      </c>
      <c r="B6283" s="23">
        <v>1641.6575419999999</v>
      </c>
      <c r="C6283" s="23">
        <v>8.81</v>
      </c>
      <c r="D6283" s="23">
        <v>8.4359999999999999</v>
      </c>
      <c r="E6283" s="23">
        <v>8.4359999999999999</v>
      </c>
      <c r="F6283" s="23">
        <v>0</v>
      </c>
      <c r="G6283" s="23">
        <v>0</v>
      </c>
      <c r="H6283" s="23">
        <v>0</v>
      </c>
      <c r="I6283" s="23">
        <v>0</v>
      </c>
      <c r="J6283" s="23">
        <v>0</v>
      </c>
      <c r="K6283" s="23">
        <v>1633.222</v>
      </c>
    </row>
    <row r="6284" spans="1:11" x14ac:dyDescent="0.25">
      <c r="A6284">
        <v>6283</v>
      </c>
      <c r="B6284" s="23">
        <v>1998.009538</v>
      </c>
      <c r="C6284" s="23">
        <v>0</v>
      </c>
      <c r="D6284" s="23">
        <v>0</v>
      </c>
      <c r="E6284" s="23">
        <v>0</v>
      </c>
      <c r="F6284" s="23">
        <v>0</v>
      </c>
      <c r="G6284" s="23">
        <v>0</v>
      </c>
      <c r="H6284" s="23">
        <v>0</v>
      </c>
      <c r="I6284" s="23">
        <v>313.45</v>
      </c>
      <c r="J6284" s="23">
        <v>0</v>
      </c>
      <c r="K6284" s="23">
        <v>1684.559</v>
      </c>
    </row>
    <row r="6285" spans="1:11" x14ac:dyDescent="0.25">
      <c r="A6285">
        <v>6284</v>
      </c>
      <c r="B6285" s="23">
        <v>1726.4389000000001</v>
      </c>
      <c r="C6285" s="23">
        <v>0</v>
      </c>
      <c r="D6285" s="23">
        <v>0</v>
      </c>
      <c r="E6285" s="23">
        <v>0</v>
      </c>
      <c r="F6285" s="23">
        <v>0</v>
      </c>
      <c r="G6285" s="23">
        <v>0</v>
      </c>
      <c r="H6285" s="23">
        <v>0</v>
      </c>
      <c r="I6285" s="23">
        <v>41.878999999999998</v>
      </c>
      <c r="J6285" s="23">
        <v>0</v>
      </c>
      <c r="K6285" s="23">
        <v>1684.559</v>
      </c>
    </row>
    <row r="6286" spans="1:11" x14ac:dyDescent="0.25">
      <c r="A6286">
        <v>6285</v>
      </c>
      <c r="B6286" s="23">
        <v>1521.9814269999999</v>
      </c>
      <c r="C6286" s="23">
        <v>0</v>
      </c>
      <c r="D6286" s="23">
        <v>0</v>
      </c>
      <c r="E6286" s="23">
        <v>0</v>
      </c>
      <c r="F6286" s="23">
        <v>0</v>
      </c>
      <c r="G6286" s="23">
        <v>0</v>
      </c>
      <c r="H6286" s="23">
        <v>0</v>
      </c>
      <c r="I6286" s="23">
        <v>1521.981</v>
      </c>
      <c r="J6286" s="23">
        <v>0</v>
      </c>
      <c r="K6286" s="23">
        <v>0</v>
      </c>
    </row>
    <row r="6287" spans="1:11" x14ac:dyDescent="0.25">
      <c r="A6287">
        <v>6286</v>
      </c>
      <c r="B6287" s="23">
        <v>1737.8885190000001</v>
      </c>
      <c r="C6287" s="23">
        <v>0</v>
      </c>
      <c r="D6287" s="23">
        <v>0</v>
      </c>
      <c r="E6287" s="23">
        <v>0</v>
      </c>
      <c r="F6287" s="23">
        <v>0</v>
      </c>
      <c r="G6287" s="23">
        <v>0</v>
      </c>
      <c r="H6287" s="23">
        <v>0</v>
      </c>
      <c r="I6287" s="23">
        <v>1737.8889999999999</v>
      </c>
      <c r="J6287" s="23">
        <v>0</v>
      </c>
      <c r="K6287" s="23">
        <v>0</v>
      </c>
    </row>
    <row r="6288" spans="1:11" x14ac:dyDescent="0.25">
      <c r="A6288">
        <v>6287</v>
      </c>
      <c r="B6288" s="23">
        <v>1565.3264119999999</v>
      </c>
      <c r="C6288" s="23">
        <v>0</v>
      </c>
      <c r="D6288" s="23">
        <v>0</v>
      </c>
      <c r="E6288" s="23">
        <v>0</v>
      </c>
      <c r="F6288" s="23">
        <v>0</v>
      </c>
      <c r="G6288" s="23">
        <v>0</v>
      </c>
      <c r="H6288" s="23">
        <v>0</v>
      </c>
      <c r="I6288" s="23">
        <v>1565.326</v>
      </c>
      <c r="J6288" s="23">
        <v>0</v>
      </c>
      <c r="K6288" s="23">
        <v>0</v>
      </c>
    </row>
    <row r="6289" spans="1:11" x14ac:dyDescent="0.25">
      <c r="A6289">
        <v>6288</v>
      </c>
      <c r="B6289" s="23">
        <v>1698.6326839999999</v>
      </c>
      <c r="C6289" s="23">
        <v>0</v>
      </c>
      <c r="D6289" s="23">
        <v>0</v>
      </c>
      <c r="E6289" s="23">
        <v>0</v>
      </c>
      <c r="F6289" s="23">
        <v>0</v>
      </c>
      <c r="G6289" s="23">
        <v>0</v>
      </c>
      <c r="H6289" s="23">
        <v>0</v>
      </c>
      <c r="I6289" s="23">
        <v>1698.633</v>
      </c>
      <c r="J6289" s="23">
        <v>0</v>
      </c>
      <c r="K6289" s="23">
        <v>0</v>
      </c>
    </row>
    <row r="6290" spans="1:11" x14ac:dyDescent="0.25">
      <c r="A6290">
        <v>6289</v>
      </c>
      <c r="B6290" s="23">
        <v>692.70191780000005</v>
      </c>
      <c r="C6290" s="23">
        <v>0</v>
      </c>
      <c r="D6290" s="23">
        <v>0</v>
      </c>
      <c r="E6290" s="23">
        <v>0</v>
      </c>
      <c r="F6290" s="23">
        <v>0</v>
      </c>
      <c r="G6290" s="23">
        <v>0</v>
      </c>
      <c r="H6290" s="23">
        <v>0</v>
      </c>
      <c r="I6290" s="23">
        <v>692.702</v>
      </c>
      <c r="J6290" s="23">
        <v>0</v>
      </c>
      <c r="K6290" s="23">
        <v>0</v>
      </c>
    </row>
    <row r="6291" spans="1:11" x14ac:dyDescent="0.25">
      <c r="A6291">
        <v>6290</v>
      </c>
      <c r="B6291" s="23">
        <v>512.77934170000003</v>
      </c>
      <c r="C6291" s="23">
        <v>0</v>
      </c>
      <c r="D6291" s="23">
        <v>0</v>
      </c>
      <c r="E6291" s="23">
        <v>0</v>
      </c>
      <c r="F6291" s="23">
        <v>0</v>
      </c>
      <c r="G6291" s="23">
        <v>0</v>
      </c>
      <c r="H6291" s="23">
        <v>0</v>
      </c>
      <c r="I6291" s="23">
        <v>512.779</v>
      </c>
      <c r="J6291" s="23">
        <v>0</v>
      </c>
      <c r="K6291" s="23">
        <v>0</v>
      </c>
    </row>
    <row r="6292" spans="1:11" x14ac:dyDescent="0.25">
      <c r="A6292">
        <v>6291</v>
      </c>
      <c r="B6292" s="23">
        <v>606.01194929999997</v>
      </c>
      <c r="C6292" s="23">
        <v>0</v>
      </c>
      <c r="D6292" s="23">
        <v>0</v>
      </c>
      <c r="E6292" s="23">
        <v>0</v>
      </c>
      <c r="F6292" s="23">
        <v>0</v>
      </c>
      <c r="G6292" s="23">
        <v>0</v>
      </c>
      <c r="H6292" s="23">
        <v>0</v>
      </c>
      <c r="I6292" s="23">
        <v>606.01199999999994</v>
      </c>
      <c r="J6292" s="23">
        <v>0</v>
      </c>
      <c r="K6292" s="23">
        <v>0</v>
      </c>
    </row>
    <row r="6293" spans="1:11" x14ac:dyDescent="0.25">
      <c r="A6293">
        <v>6292</v>
      </c>
      <c r="B6293" s="23">
        <v>754.85698950000005</v>
      </c>
      <c r="C6293" s="23">
        <v>0</v>
      </c>
      <c r="D6293" s="23">
        <v>0</v>
      </c>
      <c r="E6293" s="23">
        <v>0</v>
      </c>
      <c r="F6293" s="23">
        <v>0</v>
      </c>
      <c r="G6293" s="23">
        <v>0</v>
      </c>
      <c r="H6293" s="23">
        <v>0</v>
      </c>
      <c r="I6293" s="23">
        <v>754.85699999999997</v>
      </c>
      <c r="J6293" s="23">
        <v>0</v>
      </c>
      <c r="K6293" s="23">
        <v>0</v>
      </c>
    </row>
    <row r="6294" spans="1:11" x14ac:dyDescent="0.25">
      <c r="A6294">
        <v>6293</v>
      </c>
      <c r="B6294" s="23">
        <v>802.29112320000002</v>
      </c>
      <c r="C6294" s="23">
        <v>0</v>
      </c>
      <c r="D6294" s="23">
        <v>0</v>
      </c>
      <c r="E6294" s="23">
        <v>0</v>
      </c>
      <c r="F6294" s="23">
        <v>0</v>
      </c>
      <c r="G6294" s="23">
        <v>0</v>
      </c>
      <c r="H6294" s="23">
        <v>0</v>
      </c>
      <c r="I6294" s="23">
        <v>737.68700000000001</v>
      </c>
      <c r="J6294" s="23">
        <v>0</v>
      </c>
      <c r="K6294" s="23">
        <v>64.605000000000004</v>
      </c>
    </row>
    <row r="6295" spans="1:11" x14ac:dyDescent="0.25">
      <c r="A6295">
        <v>6294</v>
      </c>
      <c r="B6295" s="23">
        <v>671.43834059999995</v>
      </c>
      <c r="C6295" s="23">
        <v>0</v>
      </c>
      <c r="D6295" s="23">
        <v>0</v>
      </c>
      <c r="E6295" s="23">
        <v>0</v>
      </c>
      <c r="F6295" s="23">
        <v>0</v>
      </c>
      <c r="G6295" s="23">
        <v>0</v>
      </c>
      <c r="H6295" s="23">
        <v>0</v>
      </c>
      <c r="I6295" s="23">
        <v>0</v>
      </c>
      <c r="J6295" s="23">
        <v>0</v>
      </c>
      <c r="K6295" s="23">
        <v>671.43799999999999</v>
      </c>
    </row>
    <row r="6296" spans="1:11" x14ac:dyDescent="0.25">
      <c r="A6296">
        <v>6295</v>
      </c>
      <c r="B6296" s="23">
        <v>609.28326890000005</v>
      </c>
      <c r="C6296" s="23">
        <v>100.1</v>
      </c>
      <c r="D6296" s="23">
        <v>356.16399999999999</v>
      </c>
      <c r="E6296" s="23">
        <v>356.16399999999999</v>
      </c>
      <c r="F6296" s="23">
        <v>0</v>
      </c>
      <c r="G6296" s="23">
        <v>0</v>
      </c>
      <c r="H6296" s="23">
        <v>0</v>
      </c>
      <c r="I6296" s="23">
        <v>0</v>
      </c>
      <c r="J6296" s="23">
        <v>0</v>
      </c>
      <c r="K6296" s="23">
        <v>253.12</v>
      </c>
    </row>
    <row r="6297" spans="1:11" x14ac:dyDescent="0.25">
      <c r="A6297">
        <v>6296</v>
      </c>
      <c r="B6297" s="23">
        <v>469.18798620000001</v>
      </c>
      <c r="C6297" s="23">
        <v>83.1</v>
      </c>
      <c r="D6297" s="23">
        <v>307.45100000000002</v>
      </c>
      <c r="E6297" s="23">
        <v>307.45100000000002</v>
      </c>
      <c r="F6297" s="23">
        <v>0</v>
      </c>
      <c r="G6297" s="23">
        <v>0</v>
      </c>
      <c r="H6297" s="23">
        <v>0</v>
      </c>
      <c r="I6297" s="23">
        <v>0</v>
      </c>
      <c r="J6297" s="23">
        <v>0</v>
      </c>
      <c r="K6297" s="23">
        <v>161.73699999999999</v>
      </c>
    </row>
    <row r="6298" spans="1:11" x14ac:dyDescent="0.25">
      <c r="A6298">
        <v>6297</v>
      </c>
      <c r="B6298" s="23">
        <v>557.66491299999996</v>
      </c>
      <c r="C6298" s="23">
        <v>334.29</v>
      </c>
      <c r="D6298" s="23">
        <v>1311.6279999999999</v>
      </c>
      <c r="E6298" s="23">
        <v>557.66499999999996</v>
      </c>
      <c r="F6298" s="23">
        <v>-753.96299999999997</v>
      </c>
      <c r="G6298" s="23">
        <v>0</v>
      </c>
      <c r="H6298" s="23">
        <v>0</v>
      </c>
      <c r="I6298" s="23">
        <v>0</v>
      </c>
      <c r="J6298" s="23">
        <v>0</v>
      </c>
      <c r="K6298" s="23">
        <v>0</v>
      </c>
    </row>
    <row r="6299" spans="1:11" x14ac:dyDescent="0.25">
      <c r="A6299">
        <v>6298</v>
      </c>
      <c r="B6299" s="23">
        <v>672.00775469999996</v>
      </c>
      <c r="C6299" s="23">
        <v>560.26</v>
      </c>
      <c r="D6299" s="23">
        <v>2164.2620000000002</v>
      </c>
      <c r="E6299" s="23">
        <v>672.00699999999995</v>
      </c>
      <c r="F6299" s="23">
        <v>-1492.2550000000001</v>
      </c>
      <c r="G6299" s="23">
        <v>0</v>
      </c>
      <c r="H6299" s="23">
        <v>0</v>
      </c>
      <c r="I6299" s="23">
        <v>0</v>
      </c>
      <c r="J6299" s="23">
        <v>0</v>
      </c>
      <c r="K6299" s="23">
        <v>0</v>
      </c>
    </row>
    <row r="6300" spans="1:11" x14ac:dyDescent="0.25">
      <c r="A6300">
        <v>6299</v>
      </c>
      <c r="B6300" s="23">
        <v>802.23694190000003</v>
      </c>
      <c r="C6300" s="23">
        <v>947.94</v>
      </c>
      <c r="D6300" s="23">
        <v>3605.8040000000001</v>
      </c>
      <c r="E6300" s="23">
        <v>802.23800000000006</v>
      </c>
      <c r="F6300" s="23">
        <v>-1684.559</v>
      </c>
      <c r="G6300" s="23">
        <v>0</v>
      </c>
      <c r="H6300" s="23">
        <v>1119.0070000000001</v>
      </c>
      <c r="I6300" s="23">
        <v>0</v>
      </c>
      <c r="J6300" s="23">
        <v>0</v>
      </c>
      <c r="K6300" s="23">
        <v>0</v>
      </c>
    </row>
    <row r="6301" spans="1:11" x14ac:dyDescent="0.25">
      <c r="A6301">
        <v>6300</v>
      </c>
      <c r="B6301" s="23">
        <v>773.49022130000003</v>
      </c>
      <c r="C6301" s="23">
        <v>1009.26</v>
      </c>
      <c r="D6301" s="23">
        <v>3797.7069999999999</v>
      </c>
      <c r="E6301" s="23">
        <v>773.49099999999999</v>
      </c>
      <c r="F6301" s="23">
        <v>-1684.559</v>
      </c>
      <c r="G6301" s="23">
        <v>0</v>
      </c>
      <c r="H6301" s="23">
        <v>1339.6569999999999</v>
      </c>
      <c r="I6301" s="23">
        <v>0</v>
      </c>
      <c r="J6301" s="23">
        <v>0</v>
      </c>
      <c r="K6301" s="23">
        <v>0</v>
      </c>
    </row>
    <row r="6302" spans="1:11" x14ac:dyDescent="0.25">
      <c r="A6302">
        <v>6301</v>
      </c>
      <c r="B6302" s="23">
        <v>936.00937720000002</v>
      </c>
      <c r="C6302" s="23">
        <v>992.73</v>
      </c>
      <c r="D6302" s="23">
        <v>3738.92</v>
      </c>
      <c r="E6302" s="23">
        <v>936.00900000000001</v>
      </c>
      <c r="F6302" s="23">
        <v>-1676.162</v>
      </c>
      <c r="G6302" s="23">
        <v>0</v>
      </c>
      <c r="H6302" s="23">
        <v>1126.749</v>
      </c>
      <c r="I6302" s="23">
        <v>0</v>
      </c>
      <c r="J6302" s="23">
        <v>0</v>
      </c>
      <c r="K6302" s="23">
        <v>0</v>
      </c>
    </row>
    <row r="6303" spans="1:11" x14ac:dyDescent="0.25">
      <c r="A6303">
        <v>6302</v>
      </c>
      <c r="B6303" s="23">
        <v>851.93646439999998</v>
      </c>
      <c r="C6303" s="23">
        <v>889.39</v>
      </c>
      <c r="D6303" s="23">
        <v>3387.4110000000001</v>
      </c>
      <c r="E6303" s="23">
        <v>851.93600000000004</v>
      </c>
      <c r="F6303" s="23">
        <v>0</v>
      </c>
      <c r="G6303" s="23">
        <v>0</v>
      </c>
      <c r="H6303" s="23">
        <v>2535.4749999999999</v>
      </c>
      <c r="I6303" s="23">
        <v>0</v>
      </c>
      <c r="J6303" s="23">
        <v>0</v>
      </c>
      <c r="K6303" s="23">
        <v>0</v>
      </c>
    </row>
    <row r="6304" spans="1:11" x14ac:dyDescent="0.25">
      <c r="A6304">
        <v>6303</v>
      </c>
      <c r="B6304" s="23">
        <v>657.2479697</v>
      </c>
      <c r="C6304" s="23">
        <v>609.34</v>
      </c>
      <c r="D6304" s="23">
        <v>2349.0050000000001</v>
      </c>
      <c r="E6304" s="23">
        <v>657.24800000000005</v>
      </c>
      <c r="F6304" s="23">
        <v>0</v>
      </c>
      <c r="G6304" s="23">
        <v>0</v>
      </c>
      <c r="H6304" s="23">
        <v>1691.7570000000001</v>
      </c>
      <c r="I6304" s="23">
        <v>0</v>
      </c>
      <c r="J6304" s="23">
        <v>0</v>
      </c>
      <c r="K6304" s="23">
        <v>0</v>
      </c>
    </row>
    <row r="6305" spans="1:11" x14ac:dyDescent="0.25">
      <c r="A6305">
        <v>6304</v>
      </c>
      <c r="B6305" s="23">
        <v>682.64874380000003</v>
      </c>
      <c r="C6305" s="23">
        <v>173.44</v>
      </c>
      <c r="D6305" s="23">
        <v>667.49900000000002</v>
      </c>
      <c r="E6305" s="23">
        <v>667.49900000000002</v>
      </c>
      <c r="F6305" s="23">
        <v>0</v>
      </c>
      <c r="G6305" s="23">
        <v>0</v>
      </c>
      <c r="H6305" s="23">
        <v>0</v>
      </c>
      <c r="I6305" s="23">
        <v>15.15</v>
      </c>
      <c r="J6305" s="23">
        <v>0</v>
      </c>
      <c r="K6305" s="23">
        <v>0</v>
      </c>
    </row>
    <row r="6306" spans="1:11" x14ac:dyDescent="0.25">
      <c r="A6306">
        <v>6305</v>
      </c>
      <c r="B6306" s="23">
        <v>686.52730210000004</v>
      </c>
      <c r="C6306" s="23">
        <v>64.099999999999994</v>
      </c>
      <c r="D6306" s="23">
        <v>229.251</v>
      </c>
      <c r="E6306" s="23">
        <v>229.251</v>
      </c>
      <c r="F6306" s="23">
        <v>0</v>
      </c>
      <c r="G6306" s="23">
        <v>0</v>
      </c>
      <c r="H6306" s="23">
        <v>0</v>
      </c>
      <c r="I6306" s="23">
        <v>457.27600000000001</v>
      </c>
      <c r="J6306" s="23">
        <v>0</v>
      </c>
      <c r="K6306" s="23">
        <v>0</v>
      </c>
    </row>
    <row r="6307" spans="1:11" x14ac:dyDescent="0.25">
      <c r="A6307">
        <v>6306</v>
      </c>
      <c r="B6307" s="23">
        <v>776.4016957</v>
      </c>
      <c r="C6307" s="23">
        <v>12.73</v>
      </c>
      <c r="D6307" s="23">
        <v>21.701000000000001</v>
      </c>
      <c r="E6307" s="23">
        <v>21.701000000000001</v>
      </c>
      <c r="F6307" s="23">
        <v>0</v>
      </c>
      <c r="G6307" s="23">
        <v>0</v>
      </c>
      <c r="H6307" s="23">
        <v>0</v>
      </c>
      <c r="I6307" s="23">
        <v>0</v>
      </c>
      <c r="J6307" s="23">
        <v>0</v>
      </c>
      <c r="K6307" s="23">
        <v>754.7</v>
      </c>
    </row>
    <row r="6308" spans="1:11" x14ac:dyDescent="0.25">
      <c r="A6308">
        <v>6307</v>
      </c>
      <c r="B6308" s="23">
        <v>785.14634179999996</v>
      </c>
      <c r="C6308" s="23">
        <v>0</v>
      </c>
      <c r="D6308" s="23">
        <v>0</v>
      </c>
      <c r="E6308" s="23">
        <v>0</v>
      </c>
      <c r="F6308" s="23">
        <v>0</v>
      </c>
      <c r="G6308" s="23">
        <v>0</v>
      </c>
      <c r="H6308" s="23">
        <v>0</v>
      </c>
      <c r="I6308" s="23">
        <v>0</v>
      </c>
      <c r="J6308" s="23">
        <v>0</v>
      </c>
      <c r="K6308" s="23">
        <v>785.14599999999996</v>
      </c>
    </row>
    <row r="6309" spans="1:11" x14ac:dyDescent="0.25">
      <c r="A6309">
        <v>6308</v>
      </c>
      <c r="B6309" s="23">
        <v>546.31036730000005</v>
      </c>
      <c r="C6309" s="23">
        <v>0</v>
      </c>
      <c r="D6309" s="23">
        <v>0</v>
      </c>
      <c r="E6309" s="23">
        <v>0</v>
      </c>
      <c r="F6309" s="23">
        <v>0</v>
      </c>
      <c r="G6309" s="23">
        <v>0</v>
      </c>
      <c r="H6309" s="23">
        <v>0</v>
      </c>
      <c r="I6309" s="23">
        <v>0</v>
      </c>
      <c r="J6309" s="23">
        <v>0</v>
      </c>
      <c r="K6309" s="23">
        <v>546.30999999999995</v>
      </c>
    </row>
    <row r="6310" spans="1:11" x14ac:dyDescent="0.25">
      <c r="A6310">
        <v>6309</v>
      </c>
      <c r="B6310" s="23">
        <v>724.5972835</v>
      </c>
      <c r="C6310" s="23">
        <v>0</v>
      </c>
      <c r="D6310" s="23">
        <v>0</v>
      </c>
      <c r="E6310" s="23">
        <v>0</v>
      </c>
      <c r="F6310" s="23">
        <v>0</v>
      </c>
      <c r="G6310" s="23">
        <v>0</v>
      </c>
      <c r="H6310" s="23">
        <v>0</v>
      </c>
      <c r="I6310" s="23">
        <v>724.59699999999998</v>
      </c>
      <c r="J6310" s="23">
        <v>0</v>
      </c>
      <c r="K6310" s="23">
        <v>0</v>
      </c>
    </row>
    <row r="6311" spans="1:11" x14ac:dyDescent="0.25">
      <c r="A6311">
        <v>6310</v>
      </c>
      <c r="B6311" s="23">
        <v>823.55470030000004</v>
      </c>
      <c r="C6311" s="23">
        <v>0</v>
      </c>
      <c r="D6311" s="23">
        <v>0</v>
      </c>
      <c r="E6311" s="23">
        <v>0</v>
      </c>
      <c r="F6311" s="23">
        <v>0</v>
      </c>
      <c r="G6311" s="23">
        <v>0</v>
      </c>
      <c r="H6311" s="23">
        <v>0</v>
      </c>
      <c r="I6311" s="23">
        <v>823.55499999999995</v>
      </c>
      <c r="J6311" s="23">
        <v>0</v>
      </c>
      <c r="K6311" s="23">
        <v>0</v>
      </c>
    </row>
    <row r="6312" spans="1:11" x14ac:dyDescent="0.25">
      <c r="A6312">
        <v>6311</v>
      </c>
      <c r="B6312" s="23">
        <v>729.50426289999996</v>
      </c>
      <c r="C6312" s="23">
        <v>0</v>
      </c>
      <c r="D6312" s="23">
        <v>0</v>
      </c>
      <c r="E6312" s="23">
        <v>0</v>
      </c>
      <c r="F6312" s="23">
        <v>0</v>
      </c>
      <c r="G6312" s="23">
        <v>0</v>
      </c>
      <c r="H6312" s="23">
        <v>0</v>
      </c>
      <c r="I6312" s="23">
        <v>729.50400000000002</v>
      </c>
      <c r="J6312" s="23">
        <v>0</v>
      </c>
      <c r="K6312" s="23">
        <v>0</v>
      </c>
    </row>
    <row r="6313" spans="1:11" x14ac:dyDescent="0.25">
      <c r="A6313">
        <v>6312</v>
      </c>
      <c r="B6313" s="23">
        <v>745.0430308</v>
      </c>
      <c r="C6313" s="23">
        <v>0</v>
      </c>
      <c r="D6313" s="23">
        <v>0</v>
      </c>
      <c r="E6313" s="23">
        <v>0</v>
      </c>
      <c r="F6313" s="23">
        <v>0</v>
      </c>
      <c r="G6313" s="23">
        <v>0</v>
      </c>
      <c r="H6313" s="23">
        <v>0</v>
      </c>
      <c r="I6313" s="23">
        <v>745.04300000000001</v>
      </c>
      <c r="J6313" s="23">
        <v>0</v>
      </c>
      <c r="K6313" s="23">
        <v>0</v>
      </c>
    </row>
    <row r="6314" spans="1:11" x14ac:dyDescent="0.25">
      <c r="A6314">
        <v>6313</v>
      </c>
      <c r="B6314" s="23">
        <v>1741.977668</v>
      </c>
      <c r="C6314" s="23">
        <v>0</v>
      </c>
      <c r="D6314" s="23">
        <v>0</v>
      </c>
      <c r="E6314" s="23">
        <v>0</v>
      </c>
      <c r="F6314" s="23">
        <v>0</v>
      </c>
      <c r="G6314" s="23">
        <v>0</v>
      </c>
      <c r="H6314" s="23">
        <v>0</v>
      </c>
      <c r="I6314" s="23">
        <v>1741.9780000000001</v>
      </c>
      <c r="J6314" s="23">
        <v>0</v>
      </c>
      <c r="K6314" s="23">
        <v>0</v>
      </c>
    </row>
    <row r="6315" spans="1:11" x14ac:dyDescent="0.25">
      <c r="A6315">
        <v>6314</v>
      </c>
      <c r="B6315" s="23">
        <v>1703.539663</v>
      </c>
      <c r="C6315" s="23">
        <v>0</v>
      </c>
      <c r="D6315" s="23">
        <v>0</v>
      </c>
      <c r="E6315" s="23">
        <v>0</v>
      </c>
      <c r="F6315" s="23">
        <v>0</v>
      </c>
      <c r="G6315" s="23">
        <v>0</v>
      </c>
      <c r="H6315" s="23">
        <v>0</v>
      </c>
      <c r="I6315" s="23">
        <v>1703.54</v>
      </c>
      <c r="J6315" s="23">
        <v>0</v>
      </c>
      <c r="K6315" s="23">
        <v>0</v>
      </c>
    </row>
    <row r="6316" spans="1:11" x14ac:dyDescent="0.25">
      <c r="A6316">
        <v>6315</v>
      </c>
      <c r="B6316" s="23">
        <v>1585.7721590000001</v>
      </c>
      <c r="C6316" s="23">
        <v>0</v>
      </c>
      <c r="D6316" s="23">
        <v>0</v>
      </c>
      <c r="E6316" s="23">
        <v>0</v>
      </c>
      <c r="F6316" s="23">
        <v>0</v>
      </c>
      <c r="G6316" s="23">
        <v>0</v>
      </c>
      <c r="H6316" s="23">
        <v>0</v>
      </c>
      <c r="I6316" s="23">
        <v>1585.7719999999999</v>
      </c>
      <c r="J6316" s="23">
        <v>0</v>
      </c>
      <c r="K6316" s="23">
        <v>0</v>
      </c>
    </row>
    <row r="6317" spans="1:11" x14ac:dyDescent="0.25">
      <c r="A6317">
        <v>6316</v>
      </c>
      <c r="B6317" s="23">
        <v>1660.194679</v>
      </c>
      <c r="C6317" s="23">
        <v>0</v>
      </c>
      <c r="D6317" s="23">
        <v>0</v>
      </c>
      <c r="E6317" s="23">
        <v>0</v>
      </c>
      <c r="F6317" s="23">
        <v>0</v>
      </c>
      <c r="G6317" s="23">
        <v>0</v>
      </c>
      <c r="H6317" s="23">
        <v>0</v>
      </c>
      <c r="I6317" s="23">
        <v>1500.13</v>
      </c>
      <c r="J6317" s="23">
        <v>0</v>
      </c>
      <c r="K6317" s="23">
        <v>160.065</v>
      </c>
    </row>
    <row r="6318" spans="1:11" x14ac:dyDescent="0.25">
      <c r="A6318">
        <v>6317</v>
      </c>
      <c r="B6318" s="23">
        <v>1616.0318649999999</v>
      </c>
      <c r="C6318" s="23">
        <v>0</v>
      </c>
      <c r="D6318" s="23">
        <v>0</v>
      </c>
      <c r="E6318" s="23">
        <v>0</v>
      </c>
      <c r="F6318" s="23">
        <v>0</v>
      </c>
      <c r="G6318" s="23">
        <v>0</v>
      </c>
      <c r="H6318" s="23">
        <v>0</v>
      </c>
      <c r="I6318" s="23">
        <v>0</v>
      </c>
      <c r="J6318" s="23">
        <v>0</v>
      </c>
      <c r="K6318" s="23">
        <v>1616.0319999999999</v>
      </c>
    </row>
    <row r="6319" spans="1:11" x14ac:dyDescent="0.25">
      <c r="A6319">
        <v>6318</v>
      </c>
      <c r="B6319" s="23">
        <v>1492.5395510000001</v>
      </c>
      <c r="C6319" s="23">
        <v>0</v>
      </c>
      <c r="D6319" s="23">
        <v>0</v>
      </c>
      <c r="E6319" s="23">
        <v>0</v>
      </c>
      <c r="F6319" s="23">
        <v>0</v>
      </c>
      <c r="G6319" s="23">
        <v>0</v>
      </c>
      <c r="H6319" s="23">
        <v>0</v>
      </c>
      <c r="I6319" s="23">
        <v>0</v>
      </c>
      <c r="J6319" s="23">
        <v>0</v>
      </c>
      <c r="K6319" s="23">
        <v>1492.54</v>
      </c>
    </row>
    <row r="6320" spans="1:11" x14ac:dyDescent="0.25">
      <c r="A6320">
        <v>6319</v>
      </c>
      <c r="B6320" s="23">
        <v>1496.6287010000001</v>
      </c>
      <c r="C6320" s="23">
        <v>83.41</v>
      </c>
      <c r="D6320" s="23">
        <v>299.57299999999998</v>
      </c>
      <c r="E6320" s="23">
        <v>299.57299999999998</v>
      </c>
      <c r="F6320" s="23">
        <v>0</v>
      </c>
      <c r="G6320" s="23">
        <v>0</v>
      </c>
      <c r="H6320" s="23">
        <v>0</v>
      </c>
      <c r="I6320" s="23">
        <v>0</v>
      </c>
      <c r="J6320" s="23">
        <v>0</v>
      </c>
      <c r="K6320" s="23">
        <v>1197.056</v>
      </c>
    </row>
    <row r="6321" spans="1:11" x14ac:dyDescent="0.25">
      <c r="A6321">
        <v>6320</v>
      </c>
      <c r="B6321" s="23">
        <v>112.71638249999999</v>
      </c>
      <c r="C6321" s="23">
        <v>258.86</v>
      </c>
      <c r="D6321" s="23">
        <v>1032.682</v>
      </c>
      <c r="E6321" s="23">
        <v>112.71599999999999</v>
      </c>
      <c r="F6321" s="23">
        <v>-919.96600000000001</v>
      </c>
      <c r="G6321" s="23">
        <v>0</v>
      </c>
      <c r="H6321" s="23">
        <v>0</v>
      </c>
      <c r="I6321" s="23">
        <v>0</v>
      </c>
      <c r="J6321" s="23">
        <v>0</v>
      </c>
      <c r="K6321" s="23">
        <v>0</v>
      </c>
    </row>
    <row r="6322" spans="1:11" x14ac:dyDescent="0.25">
      <c r="A6322">
        <v>6321</v>
      </c>
      <c r="B6322" s="23">
        <v>91.688953670000004</v>
      </c>
      <c r="C6322" s="23">
        <v>318.83999999999997</v>
      </c>
      <c r="D6322" s="23">
        <v>1258.1110000000001</v>
      </c>
      <c r="E6322" s="23">
        <v>91.688999999999993</v>
      </c>
      <c r="F6322" s="23">
        <v>-1166.422</v>
      </c>
      <c r="G6322" s="23">
        <v>0</v>
      </c>
      <c r="H6322" s="23">
        <v>0</v>
      </c>
      <c r="I6322" s="23">
        <v>0</v>
      </c>
      <c r="J6322" s="23">
        <v>0</v>
      </c>
      <c r="K6322" s="23">
        <v>0</v>
      </c>
    </row>
    <row r="6323" spans="1:11" x14ac:dyDescent="0.25">
      <c r="A6323">
        <v>6322</v>
      </c>
      <c r="B6323" s="23">
        <v>0</v>
      </c>
      <c r="C6323" s="23">
        <v>431.73</v>
      </c>
      <c r="D6323" s="23">
        <v>1684.694</v>
      </c>
      <c r="E6323" s="23">
        <v>1E-3</v>
      </c>
      <c r="F6323" s="23">
        <v>-1684.559</v>
      </c>
      <c r="G6323" s="23">
        <v>0</v>
      </c>
      <c r="H6323" s="23">
        <v>0.13400000000000001</v>
      </c>
      <c r="I6323" s="23">
        <v>0</v>
      </c>
      <c r="J6323" s="23">
        <v>0</v>
      </c>
      <c r="K6323" s="23">
        <v>0</v>
      </c>
    </row>
    <row r="6324" spans="1:11" x14ac:dyDescent="0.25">
      <c r="A6324">
        <v>6323</v>
      </c>
      <c r="B6324" s="23">
        <v>0</v>
      </c>
      <c r="C6324" s="23">
        <v>584.74</v>
      </c>
      <c r="D6324" s="23">
        <v>2256.9720000000002</v>
      </c>
      <c r="E6324" s="23">
        <v>0</v>
      </c>
      <c r="F6324" s="23">
        <v>-1684.559</v>
      </c>
      <c r="G6324" s="23">
        <v>0</v>
      </c>
      <c r="H6324" s="23">
        <v>572.41300000000001</v>
      </c>
      <c r="I6324" s="23">
        <v>0</v>
      </c>
      <c r="J6324" s="23">
        <v>0</v>
      </c>
      <c r="K6324" s="23">
        <v>0</v>
      </c>
    </row>
    <row r="6325" spans="1:11" x14ac:dyDescent="0.25">
      <c r="A6325">
        <v>6324</v>
      </c>
      <c r="B6325" s="23">
        <v>0</v>
      </c>
      <c r="C6325" s="23">
        <v>604.17999999999995</v>
      </c>
      <c r="D6325" s="23">
        <v>2322.598</v>
      </c>
      <c r="E6325" s="23">
        <v>0</v>
      </c>
      <c r="F6325" s="23">
        <v>-1684.559</v>
      </c>
      <c r="G6325" s="23">
        <v>0</v>
      </c>
      <c r="H6325" s="23">
        <v>638.03899999999999</v>
      </c>
      <c r="I6325" s="23">
        <v>0</v>
      </c>
      <c r="J6325" s="23">
        <v>0</v>
      </c>
      <c r="K6325" s="23">
        <v>0</v>
      </c>
    </row>
    <row r="6326" spans="1:11" x14ac:dyDescent="0.25">
      <c r="A6326">
        <v>6325</v>
      </c>
      <c r="B6326" s="23">
        <v>0</v>
      </c>
      <c r="C6326" s="23">
        <v>242.61</v>
      </c>
      <c r="D6326" s="23">
        <v>932.38900000000001</v>
      </c>
      <c r="E6326" s="23">
        <v>1E-3</v>
      </c>
      <c r="F6326" s="23">
        <v>-151.43299999999999</v>
      </c>
      <c r="G6326" s="23">
        <v>0</v>
      </c>
      <c r="H6326" s="23">
        <v>780.95500000000004</v>
      </c>
      <c r="I6326" s="23">
        <v>0</v>
      </c>
      <c r="J6326" s="23">
        <v>0</v>
      </c>
      <c r="K6326" s="23">
        <v>0</v>
      </c>
    </row>
    <row r="6327" spans="1:11" x14ac:dyDescent="0.25">
      <c r="A6327">
        <v>6326</v>
      </c>
      <c r="B6327" s="23">
        <v>89.771142569999995</v>
      </c>
      <c r="C6327" s="23">
        <v>117.39</v>
      </c>
      <c r="D6327" s="23">
        <v>435.69600000000003</v>
      </c>
      <c r="E6327" s="23">
        <v>89.771000000000001</v>
      </c>
      <c r="F6327" s="23">
        <v>0</v>
      </c>
      <c r="G6327" s="23">
        <v>0</v>
      </c>
      <c r="H6327" s="23">
        <v>345.92500000000001</v>
      </c>
      <c r="I6327" s="23">
        <v>0</v>
      </c>
      <c r="J6327" s="23">
        <v>0</v>
      </c>
      <c r="K6327" s="23">
        <v>0</v>
      </c>
    </row>
    <row r="6328" spans="1:11" x14ac:dyDescent="0.25">
      <c r="A6328">
        <v>6327</v>
      </c>
      <c r="B6328" s="23">
        <v>73.025053260000007</v>
      </c>
      <c r="C6328" s="23">
        <v>141.03</v>
      </c>
      <c r="D6328" s="23">
        <v>534.88900000000001</v>
      </c>
      <c r="E6328" s="23">
        <v>73.025000000000006</v>
      </c>
      <c r="F6328" s="23">
        <v>0</v>
      </c>
      <c r="G6328" s="23">
        <v>0</v>
      </c>
      <c r="H6328" s="23">
        <v>461.86399999999998</v>
      </c>
      <c r="I6328" s="23">
        <v>0</v>
      </c>
      <c r="J6328" s="23">
        <v>0</v>
      </c>
      <c r="K6328" s="23">
        <v>0</v>
      </c>
    </row>
    <row r="6329" spans="1:11" x14ac:dyDescent="0.25">
      <c r="A6329">
        <v>6328</v>
      </c>
      <c r="B6329" s="23">
        <v>78.321524100000005</v>
      </c>
      <c r="C6329" s="23">
        <v>108.58</v>
      </c>
      <c r="D6329" s="23">
        <v>409.185</v>
      </c>
      <c r="E6329" s="23">
        <v>78.322000000000003</v>
      </c>
      <c r="F6329" s="23">
        <v>0</v>
      </c>
      <c r="G6329" s="23">
        <v>0</v>
      </c>
      <c r="H6329" s="23">
        <v>330.863</v>
      </c>
      <c r="I6329" s="23">
        <v>0</v>
      </c>
      <c r="J6329" s="23">
        <v>0</v>
      </c>
      <c r="K6329" s="23">
        <v>0</v>
      </c>
    </row>
    <row r="6330" spans="1:11" x14ac:dyDescent="0.25">
      <c r="A6330">
        <v>6329</v>
      </c>
      <c r="B6330" s="23">
        <v>73.062877900000004</v>
      </c>
      <c r="C6330" s="23">
        <v>85.43</v>
      </c>
      <c r="D6330" s="23">
        <v>317.81299999999999</v>
      </c>
      <c r="E6330" s="23">
        <v>73.063000000000002</v>
      </c>
      <c r="F6330" s="23">
        <v>0</v>
      </c>
      <c r="G6330" s="23">
        <v>0</v>
      </c>
      <c r="H6330" s="23">
        <v>244.75</v>
      </c>
      <c r="I6330" s="23">
        <v>0</v>
      </c>
      <c r="J6330" s="23">
        <v>0</v>
      </c>
      <c r="K6330" s="23">
        <v>0</v>
      </c>
    </row>
    <row r="6331" spans="1:11" x14ac:dyDescent="0.25">
      <c r="A6331">
        <v>6330</v>
      </c>
      <c r="B6331" s="23">
        <v>85.278189609999998</v>
      </c>
      <c r="C6331" s="23">
        <v>15.67</v>
      </c>
      <c r="D6331" s="23">
        <v>31.707000000000001</v>
      </c>
      <c r="E6331" s="23">
        <v>31.707000000000001</v>
      </c>
      <c r="F6331" s="23">
        <v>0</v>
      </c>
      <c r="G6331" s="23">
        <v>0</v>
      </c>
      <c r="H6331" s="23">
        <v>0</v>
      </c>
      <c r="I6331" s="23">
        <v>0</v>
      </c>
      <c r="J6331" s="23">
        <v>0</v>
      </c>
      <c r="K6331" s="23">
        <v>53.570999999999998</v>
      </c>
    </row>
    <row r="6332" spans="1:11" x14ac:dyDescent="0.25">
      <c r="A6332">
        <v>6331</v>
      </c>
      <c r="B6332" s="23">
        <v>79.355056619999999</v>
      </c>
      <c r="C6332" s="23">
        <v>0</v>
      </c>
      <c r="D6332" s="23">
        <v>0</v>
      </c>
      <c r="E6332" s="23">
        <v>0</v>
      </c>
      <c r="F6332" s="23">
        <v>0</v>
      </c>
      <c r="G6332" s="23">
        <v>0</v>
      </c>
      <c r="H6332" s="23">
        <v>0</v>
      </c>
      <c r="I6332" s="23">
        <v>0</v>
      </c>
      <c r="J6332" s="23">
        <v>0</v>
      </c>
      <c r="K6332" s="23">
        <v>79.355000000000004</v>
      </c>
    </row>
    <row r="6333" spans="1:11" x14ac:dyDescent="0.25">
      <c r="A6333">
        <v>6332</v>
      </c>
      <c r="B6333" s="23">
        <v>88.32562824</v>
      </c>
      <c r="C6333" s="23">
        <v>0</v>
      </c>
      <c r="D6333" s="23">
        <v>0</v>
      </c>
      <c r="E6333" s="23">
        <v>0</v>
      </c>
      <c r="F6333" s="23">
        <v>0</v>
      </c>
      <c r="G6333" s="23">
        <v>0</v>
      </c>
      <c r="H6333" s="23">
        <v>0</v>
      </c>
      <c r="I6333" s="23">
        <v>0</v>
      </c>
      <c r="J6333" s="23">
        <v>0</v>
      </c>
      <c r="K6333" s="23">
        <v>88.325999999999993</v>
      </c>
    </row>
    <row r="6334" spans="1:11" x14ac:dyDescent="0.25">
      <c r="A6334">
        <v>6333</v>
      </c>
      <c r="B6334" s="23">
        <v>80.965159220000004</v>
      </c>
      <c r="C6334" s="23">
        <v>0</v>
      </c>
      <c r="D6334" s="23">
        <v>0</v>
      </c>
      <c r="E6334" s="23">
        <v>0</v>
      </c>
      <c r="F6334" s="23">
        <v>0</v>
      </c>
      <c r="G6334" s="23">
        <v>0</v>
      </c>
      <c r="H6334" s="23">
        <v>0</v>
      </c>
      <c r="I6334" s="23">
        <v>0</v>
      </c>
      <c r="J6334" s="23">
        <v>0</v>
      </c>
      <c r="K6334" s="23">
        <v>80.965000000000003</v>
      </c>
    </row>
    <row r="6335" spans="1:11" x14ac:dyDescent="0.25">
      <c r="A6335">
        <v>6334</v>
      </c>
      <c r="B6335" s="23">
        <v>88.32562824</v>
      </c>
      <c r="C6335" s="23">
        <v>0</v>
      </c>
      <c r="D6335" s="23">
        <v>0</v>
      </c>
      <c r="E6335" s="23">
        <v>0</v>
      </c>
      <c r="F6335" s="23">
        <v>0</v>
      </c>
      <c r="G6335" s="23">
        <v>0</v>
      </c>
      <c r="H6335" s="23">
        <v>0</v>
      </c>
      <c r="I6335" s="23">
        <v>0</v>
      </c>
      <c r="J6335" s="23">
        <v>0</v>
      </c>
      <c r="K6335" s="23">
        <v>88.325999999999993</v>
      </c>
    </row>
    <row r="6336" spans="1:11" x14ac:dyDescent="0.25">
      <c r="A6336">
        <v>6335</v>
      </c>
      <c r="B6336" s="23">
        <v>80.965159220000004</v>
      </c>
      <c r="C6336" s="23">
        <v>0</v>
      </c>
      <c r="D6336" s="23">
        <v>0</v>
      </c>
      <c r="E6336" s="23">
        <v>0</v>
      </c>
      <c r="F6336" s="23">
        <v>0</v>
      </c>
      <c r="G6336" s="23">
        <v>0</v>
      </c>
      <c r="H6336" s="23">
        <v>0</v>
      </c>
      <c r="I6336" s="23">
        <v>0</v>
      </c>
      <c r="J6336" s="23">
        <v>0</v>
      </c>
      <c r="K6336" s="23">
        <v>80.965000000000003</v>
      </c>
    </row>
    <row r="6337" spans="1:11" x14ac:dyDescent="0.25">
      <c r="A6337">
        <v>6336</v>
      </c>
      <c r="B6337" s="23">
        <v>85.872138570000004</v>
      </c>
      <c r="C6337" s="23">
        <v>0</v>
      </c>
      <c r="D6337" s="23">
        <v>0</v>
      </c>
      <c r="E6337" s="23">
        <v>0</v>
      </c>
      <c r="F6337" s="23">
        <v>0</v>
      </c>
      <c r="G6337" s="23">
        <v>0</v>
      </c>
      <c r="H6337" s="23">
        <v>0</v>
      </c>
      <c r="I6337" s="23">
        <v>0</v>
      </c>
      <c r="J6337" s="23">
        <v>0</v>
      </c>
      <c r="K6337" s="23">
        <v>85.872</v>
      </c>
    </row>
    <row r="6338" spans="1:11" x14ac:dyDescent="0.25">
      <c r="A6338">
        <v>6337</v>
      </c>
      <c r="B6338" s="23">
        <v>76.876009760000002</v>
      </c>
      <c r="C6338" s="23">
        <v>0</v>
      </c>
      <c r="D6338" s="23">
        <v>0</v>
      </c>
      <c r="E6338" s="23">
        <v>0</v>
      </c>
      <c r="F6338" s="23">
        <v>0</v>
      </c>
      <c r="G6338" s="23">
        <v>0</v>
      </c>
      <c r="H6338" s="23">
        <v>0</v>
      </c>
      <c r="I6338" s="23">
        <v>0</v>
      </c>
      <c r="J6338" s="23">
        <v>0</v>
      </c>
      <c r="K6338" s="23">
        <v>76.876000000000005</v>
      </c>
    </row>
    <row r="6339" spans="1:11" x14ac:dyDescent="0.25">
      <c r="A6339">
        <v>6338</v>
      </c>
      <c r="B6339" s="23">
        <v>83.41864889</v>
      </c>
      <c r="C6339" s="23">
        <v>0</v>
      </c>
      <c r="D6339" s="23">
        <v>0</v>
      </c>
      <c r="E6339" s="23">
        <v>0</v>
      </c>
      <c r="F6339" s="23">
        <v>0</v>
      </c>
      <c r="G6339" s="23">
        <v>0</v>
      </c>
      <c r="H6339" s="23">
        <v>0</v>
      </c>
      <c r="I6339" s="23">
        <v>0</v>
      </c>
      <c r="J6339" s="23">
        <v>0</v>
      </c>
      <c r="K6339" s="23">
        <v>83.418999999999997</v>
      </c>
    </row>
    <row r="6340" spans="1:11" x14ac:dyDescent="0.25">
      <c r="A6340">
        <v>6339</v>
      </c>
      <c r="B6340" s="23">
        <v>77.693839659999995</v>
      </c>
      <c r="C6340" s="23">
        <v>0</v>
      </c>
      <c r="D6340" s="23">
        <v>0</v>
      </c>
      <c r="E6340" s="23">
        <v>0</v>
      </c>
      <c r="F6340" s="23">
        <v>0</v>
      </c>
      <c r="G6340" s="23">
        <v>0</v>
      </c>
      <c r="H6340" s="23">
        <v>0</v>
      </c>
      <c r="I6340" s="23">
        <v>0</v>
      </c>
      <c r="J6340" s="23">
        <v>0</v>
      </c>
      <c r="K6340" s="23">
        <v>77.694000000000003</v>
      </c>
    </row>
    <row r="6341" spans="1:11" x14ac:dyDescent="0.25">
      <c r="A6341">
        <v>6340</v>
      </c>
      <c r="B6341" s="23">
        <v>81.782989110000003</v>
      </c>
      <c r="C6341" s="23">
        <v>0</v>
      </c>
      <c r="D6341" s="23">
        <v>0</v>
      </c>
      <c r="E6341" s="23">
        <v>0</v>
      </c>
      <c r="F6341" s="23">
        <v>0</v>
      </c>
      <c r="G6341" s="23">
        <v>0</v>
      </c>
      <c r="H6341" s="23">
        <v>0</v>
      </c>
      <c r="I6341" s="23">
        <v>0</v>
      </c>
      <c r="J6341" s="23">
        <v>0</v>
      </c>
      <c r="K6341" s="23">
        <v>81.783000000000001</v>
      </c>
    </row>
    <row r="6342" spans="1:11" x14ac:dyDescent="0.25">
      <c r="A6342">
        <v>6341</v>
      </c>
      <c r="B6342" s="23">
        <v>78.511669549999993</v>
      </c>
      <c r="C6342" s="23">
        <v>0</v>
      </c>
      <c r="D6342" s="23">
        <v>0</v>
      </c>
      <c r="E6342" s="23">
        <v>0</v>
      </c>
      <c r="F6342" s="23">
        <v>0</v>
      </c>
      <c r="G6342" s="23">
        <v>0</v>
      </c>
      <c r="H6342" s="23">
        <v>0</v>
      </c>
      <c r="I6342" s="23">
        <v>0</v>
      </c>
      <c r="J6342" s="23">
        <v>0</v>
      </c>
      <c r="K6342" s="23">
        <v>78.512</v>
      </c>
    </row>
    <row r="6343" spans="1:11" x14ac:dyDescent="0.25">
      <c r="A6343">
        <v>6342</v>
      </c>
      <c r="B6343" s="23">
        <v>83.41864889</v>
      </c>
      <c r="C6343" s="23">
        <v>0</v>
      </c>
      <c r="D6343" s="23">
        <v>0</v>
      </c>
      <c r="E6343" s="23">
        <v>0</v>
      </c>
      <c r="F6343" s="23">
        <v>0</v>
      </c>
      <c r="G6343" s="23">
        <v>0</v>
      </c>
      <c r="H6343" s="23">
        <v>0</v>
      </c>
      <c r="I6343" s="23">
        <v>0</v>
      </c>
      <c r="J6343" s="23">
        <v>0</v>
      </c>
      <c r="K6343" s="23">
        <v>83.418999999999997</v>
      </c>
    </row>
    <row r="6344" spans="1:11" x14ac:dyDescent="0.25">
      <c r="A6344">
        <v>6343</v>
      </c>
      <c r="B6344" s="23">
        <v>68.697710850000007</v>
      </c>
      <c r="C6344" s="23">
        <v>88.37</v>
      </c>
      <c r="D6344" s="23">
        <v>317.72500000000002</v>
      </c>
      <c r="E6344" s="23">
        <v>68.697000000000003</v>
      </c>
      <c r="F6344" s="23">
        <v>-249.02799999999999</v>
      </c>
      <c r="G6344" s="23">
        <v>0</v>
      </c>
      <c r="H6344" s="23">
        <v>0</v>
      </c>
      <c r="I6344" s="23">
        <v>0</v>
      </c>
      <c r="J6344" s="23">
        <v>0</v>
      </c>
      <c r="K6344" s="23">
        <v>0</v>
      </c>
    </row>
    <row r="6345" spans="1:11" x14ac:dyDescent="0.25">
      <c r="A6345">
        <v>6344</v>
      </c>
      <c r="B6345" s="23">
        <v>80.818972130000006</v>
      </c>
      <c r="C6345" s="23">
        <v>271.57</v>
      </c>
      <c r="D6345" s="23">
        <v>1088.384</v>
      </c>
      <c r="E6345" s="23">
        <v>80.819000000000003</v>
      </c>
      <c r="F6345" s="23">
        <v>-907.35699999999997</v>
      </c>
      <c r="G6345" s="23">
        <v>0</v>
      </c>
      <c r="H6345" s="23">
        <v>100.208</v>
      </c>
      <c r="I6345" s="23">
        <v>0</v>
      </c>
      <c r="J6345" s="23">
        <v>0</v>
      </c>
      <c r="K6345" s="23">
        <v>0</v>
      </c>
    </row>
    <row r="6346" spans="1:11" x14ac:dyDescent="0.25">
      <c r="A6346">
        <v>6345</v>
      </c>
      <c r="B6346" s="23">
        <v>556.71111889999997</v>
      </c>
      <c r="C6346" s="23">
        <v>424.28</v>
      </c>
      <c r="D6346" s="23">
        <v>1689.183</v>
      </c>
      <c r="E6346" s="23">
        <v>556.71100000000001</v>
      </c>
      <c r="F6346" s="23">
        <v>0</v>
      </c>
      <c r="G6346" s="23">
        <v>0</v>
      </c>
      <c r="H6346" s="23">
        <v>1132.472</v>
      </c>
      <c r="I6346" s="23">
        <v>0</v>
      </c>
      <c r="J6346" s="23">
        <v>0</v>
      </c>
      <c r="K6346" s="23">
        <v>0</v>
      </c>
    </row>
    <row r="6347" spans="1:11" x14ac:dyDescent="0.25">
      <c r="A6347">
        <v>6346</v>
      </c>
      <c r="B6347" s="23">
        <v>1538.6406219999999</v>
      </c>
      <c r="C6347" s="23">
        <v>428.03</v>
      </c>
      <c r="D6347" s="23">
        <v>1677.8389999999999</v>
      </c>
      <c r="E6347" s="23">
        <v>1538.6410000000001</v>
      </c>
      <c r="F6347" s="23">
        <v>0</v>
      </c>
      <c r="G6347" s="23">
        <v>0</v>
      </c>
      <c r="H6347" s="23">
        <v>139.19800000000001</v>
      </c>
      <c r="I6347" s="23">
        <v>0</v>
      </c>
      <c r="J6347" s="23">
        <v>0</v>
      </c>
      <c r="K6347" s="23">
        <v>0</v>
      </c>
    </row>
    <row r="6348" spans="1:11" x14ac:dyDescent="0.25">
      <c r="A6348">
        <v>6347</v>
      </c>
      <c r="B6348" s="23">
        <v>1710.5126849999999</v>
      </c>
      <c r="C6348" s="23">
        <v>513.38</v>
      </c>
      <c r="D6348" s="23">
        <v>1994.5360000000001</v>
      </c>
      <c r="E6348" s="23">
        <v>1710.5129999999999</v>
      </c>
      <c r="F6348" s="23">
        <v>0</v>
      </c>
      <c r="G6348" s="23">
        <v>0</v>
      </c>
      <c r="H6348" s="23">
        <v>284.02300000000002</v>
      </c>
      <c r="I6348" s="23">
        <v>0</v>
      </c>
      <c r="J6348" s="23">
        <v>0</v>
      </c>
      <c r="K6348" s="23">
        <v>0</v>
      </c>
    </row>
    <row r="6349" spans="1:11" x14ac:dyDescent="0.25">
      <c r="A6349">
        <v>6348</v>
      </c>
      <c r="B6349" s="23">
        <v>1592.0898950000001</v>
      </c>
      <c r="C6349" s="23">
        <v>698.1</v>
      </c>
      <c r="D6349" s="23">
        <v>2685.0540000000001</v>
      </c>
      <c r="E6349" s="23">
        <v>1592.09</v>
      </c>
      <c r="F6349" s="23">
        <v>0</v>
      </c>
      <c r="G6349" s="23">
        <v>0</v>
      </c>
      <c r="H6349" s="23">
        <v>1092.9639999999999</v>
      </c>
      <c r="I6349" s="23">
        <v>0</v>
      </c>
      <c r="J6349" s="23">
        <v>0</v>
      </c>
      <c r="K6349" s="23">
        <v>0</v>
      </c>
    </row>
    <row r="6350" spans="1:11" x14ac:dyDescent="0.25">
      <c r="A6350">
        <v>6349</v>
      </c>
      <c r="B6350" s="23">
        <v>1586.689151</v>
      </c>
      <c r="C6350" s="23">
        <v>700.61</v>
      </c>
      <c r="D6350" s="23">
        <v>2694.848</v>
      </c>
      <c r="E6350" s="23">
        <v>1586.6890000000001</v>
      </c>
      <c r="F6350" s="23">
        <v>0</v>
      </c>
      <c r="G6350" s="23">
        <v>0</v>
      </c>
      <c r="H6350" s="23">
        <v>1108.1590000000001</v>
      </c>
      <c r="I6350" s="23">
        <v>0</v>
      </c>
      <c r="J6350" s="23">
        <v>0</v>
      </c>
      <c r="K6350" s="23">
        <v>0</v>
      </c>
    </row>
    <row r="6351" spans="1:11" x14ac:dyDescent="0.25">
      <c r="A6351">
        <v>6350</v>
      </c>
      <c r="B6351" s="23">
        <v>1637.159478</v>
      </c>
      <c r="C6351" s="23">
        <v>738.18</v>
      </c>
      <c r="D6351" s="23">
        <v>2850.3220000000001</v>
      </c>
      <c r="E6351" s="23">
        <v>1637.16</v>
      </c>
      <c r="F6351" s="23">
        <v>0</v>
      </c>
      <c r="G6351" s="23">
        <v>0</v>
      </c>
      <c r="H6351" s="23">
        <v>1213.162</v>
      </c>
      <c r="I6351" s="23">
        <v>0</v>
      </c>
      <c r="J6351" s="23">
        <v>0</v>
      </c>
      <c r="K6351" s="23">
        <v>0</v>
      </c>
    </row>
    <row r="6352" spans="1:11" x14ac:dyDescent="0.25">
      <c r="A6352">
        <v>6351</v>
      </c>
      <c r="B6352" s="23">
        <v>1737.091134</v>
      </c>
      <c r="C6352" s="23">
        <v>365.45</v>
      </c>
      <c r="D6352" s="23">
        <v>1431.69</v>
      </c>
      <c r="E6352" s="23">
        <v>1431.69</v>
      </c>
      <c r="F6352" s="23">
        <v>0</v>
      </c>
      <c r="G6352" s="23">
        <v>0</v>
      </c>
      <c r="H6352" s="23">
        <v>0</v>
      </c>
      <c r="I6352" s="23">
        <v>133.56200000000001</v>
      </c>
      <c r="J6352" s="23">
        <v>0</v>
      </c>
      <c r="K6352" s="23">
        <v>171.839</v>
      </c>
    </row>
    <row r="6353" spans="1:11" x14ac:dyDescent="0.25">
      <c r="A6353">
        <v>6352</v>
      </c>
      <c r="B6353" s="23">
        <v>1235.9791580000001</v>
      </c>
      <c r="C6353" s="23">
        <v>358.64</v>
      </c>
      <c r="D6353" s="23">
        <v>1427.2170000000001</v>
      </c>
      <c r="E6353" s="23">
        <v>1235.979</v>
      </c>
      <c r="F6353" s="23">
        <v>-191.238</v>
      </c>
      <c r="G6353" s="23">
        <v>0</v>
      </c>
      <c r="H6353" s="23">
        <v>0</v>
      </c>
      <c r="I6353" s="23">
        <v>0</v>
      </c>
      <c r="J6353" s="23">
        <v>0</v>
      </c>
      <c r="K6353" s="23">
        <v>0</v>
      </c>
    </row>
    <row r="6354" spans="1:11" x14ac:dyDescent="0.25">
      <c r="A6354">
        <v>6353</v>
      </c>
      <c r="B6354" s="23">
        <v>1637.975263</v>
      </c>
      <c r="C6354" s="23">
        <v>162.86000000000001</v>
      </c>
      <c r="D6354" s="23">
        <v>633.93700000000001</v>
      </c>
      <c r="E6354" s="23">
        <v>633.93700000000001</v>
      </c>
      <c r="F6354" s="23">
        <v>0</v>
      </c>
      <c r="G6354" s="23">
        <v>0</v>
      </c>
      <c r="H6354" s="23">
        <v>0</v>
      </c>
      <c r="I6354" s="23">
        <v>1004.038</v>
      </c>
      <c r="J6354" s="23">
        <v>0</v>
      </c>
      <c r="K6354" s="23">
        <v>0</v>
      </c>
    </row>
    <row r="6355" spans="1:11" x14ac:dyDescent="0.25">
      <c r="A6355">
        <v>6354</v>
      </c>
      <c r="B6355" s="23">
        <v>1283.7710930000001</v>
      </c>
      <c r="C6355" s="23">
        <v>21.56</v>
      </c>
      <c r="D6355" s="23">
        <v>51.673000000000002</v>
      </c>
      <c r="E6355" s="23">
        <v>51.673000000000002</v>
      </c>
      <c r="F6355" s="23">
        <v>0</v>
      </c>
      <c r="G6355" s="23">
        <v>0</v>
      </c>
      <c r="H6355" s="23">
        <v>0</v>
      </c>
      <c r="I6355" s="23">
        <v>0</v>
      </c>
      <c r="J6355" s="23">
        <v>0</v>
      </c>
      <c r="K6355" s="23">
        <v>1232.098</v>
      </c>
    </row>
    <row r="6356" spans="1:11" x14ac:dyDescent="0.25">
      <c r="A6356">
        <v>6355</v>
      </c>
      <c r="B6356" s="23">
        <v>1342.5199030000001</v>
      </c>
      <c r="C6356" s="23">
        <v>0</v>
      </c>
      <c r="D6356" s="23">
        <v>0</v>
      </c>
      <c r="E6356" s="23">
        <v>0</v>
      </c>
      <c r="F6356" s="23">
        <v>0</v>
      </c>
      <c r="G6356" s="23">
        <v>0</v>
      </c>
      <c r="H6356" s="23">
        <v>0</v>
      </c>
      <c r="I6356" s="23">
        <v>0</v>
      </c>
      <c r="J6356" s="23">
        <v>0</v>
      </c>
      <c r="K6356" s="23">
        <v>1342.52</v>
      </c>
    </row>
    <row r="6357" spans="1:11" x14ac:dyDescent="0.25">
      <c r="A6357">
        <v>6356</v>
      </c>
      <c r="B6357" s="23">
        <v>1375.5898769999999</v>
      </c>
      <c r="C6357" s="23">
        <v>0</v>
      </c>
      <c r="D6357" s="23">
        <v>0</v>
      </c>
      <c r="E6357" s="23">
        <v>0</v>
      </c>
      <c r="F6357" s="23">
        <v>0</v>
      </c>
      <c r="G6357" s="23">
        <v>0</v>
      </c>
      <c r="H6357" s="23">
        <v>0</v>
      </c>
      <c r="I6357" s="23">
        <v>0</v>
      </c>
      <c r="J6357" s="23">
        <v>0</v>
      </c>
      <c r="K6357" s="23">
        <v>1375.59</v>
      </c>
    </row>
    <row r="6358" spans="1:11" x14ac:dyDescent="0.25">
      <c r="A6358">
        <v>6357</v>
      </c>
      <c r="B6358" s="23">
        <v>1208.752579</v>
      </c>
      <c r="C6358" s="23">
        <v>0</v>
      </c>
      <c r="D6358" s="23">
        <v>0</v>
      </c>
      <c r="E6358" s="23">
        <v>0</v>
      </c>
      <c r="F6358" s="23">
        <v>0</v>
      </c>
      <c r="G6358" s="23">
        <v>0</v>
      </c>
      <c r="H6358" s="23">
        <v>0</v>
      </c>
      <c r="I6358" s="23">
        <v>1208.7529999999999</v>
      </c>
      <c r="J6358" s="23">
        <v>0</v>
      </c>
      <c r="K6358" s="23">
        <v>0</v>
      </c>
    </row>
    <row r="6359" spans="1:11" x14ac:dyDescent="0.25">
      <c r="A6359">
        <v>6358</v>
      </c>
      <c r="B6359" s="23">
        <v>1334.698382</v>
      </c>
      <c r="C6359" s="23">
        <v>0</v>
      </c>
      <c r="D6359" s="23">
        <v>0</v>
      </c>
      <c r="E6359" s="23">
        <v>0</v>
      </c>
      <c r="F6359" s="23">
        <v>0</v>
      </c>
      <c r="G6359" s="23">
        <v>0</v>
      </c>
      <c r="H6359" s="23">
        <v>0</v>
      </c>
      <c r="I6359" s="23">
        <v>1334.6980000000001</v>
      </c>
      <c r="J6359" s="23">
        <v>0</v>
      </c>
      <c r="K6359" s="23">
        <v>0</v>
      </c>
    </row>
    <row r="6360" spans="1:11" x14ac:dyDescent="0.25">
      <c r="A6360">
        <v>6359</v>
      </c>
      <c r="B6360" s="23">
        <v>1426.2953299999999</v>
      </c>
      <c r="C6360" s="23">
        <v>0</v>
      </c>
      <c r="D6360" s="23">
        <v>0</v>
      </c>
      <c r="E6360" s="23">
        <v>0</v>
      </c>
      <c r="F6360" s="23">
        <v>0</v>
      </c>
      <c r="G6360" s="23">
        <v>0</v>
      </c>
      <c r="H6360" s="23">
        <v>0</v>
      </c>
      <c r="I6360" s="23">
        <v>1426.2950000000001</v>
      </c>
      <c r="J6360" s="23">
        <v>0</v>
      </c>
      <c r="K6360" s="23">
        <v>0</v>
      </c>
    </row>
    <row r="6361" spans="1:11" x14ac:dyDescent="0.25">
      <c r="A6361">
        <v>6360</v>
      </c>
      <c r="B6361" s="23">
        <v>1445.9232469999999</v>
      </c>
      <c r="C6361" s="23">
        <v>0</v>
      </c>
      <c r="D6361" s="23">
        <v>0</v>
      </c>
      <c r="E6361" s="23">
        <v>0</v>
      </c>
      <c r="F6361" s="23">
        <v>0</v>
      </c>
      <c r="G6361" s="23">
        <v>0</v>
      </c>
      <c r="H6361" s="23">
        <v>0</v>
      </c>
      <c r="I6361" s="23">
        <v>1445.923</v>
      </c>
      <c r="J6361" s="23">
        <v>0</v>
      </c>
      <c r="K6361" s="23">
        <v>0</v>
      </c>
    </row>
    <row r="6362" spans="1:11" x14ac:dyDescent="0.25">
      <c r="A6362">
        <v>6361</v>
      </c>
      <c r="B6362" s="23">
        <v>1568.5977310000001</v>
      </c>
      <c r="C6362" s="23">
        <v>0</v>
      </c>
      <c r="D6362" s="23">
        <v>0</v>
      </c>
      <c r="E6362" s="23">
        <v>0</v>
      </c>
      <c r="F6362" s="23">
        <v>0</v>
      </c>
      <c r="G6362" s="23">
        <v>0</v>
      </c>
      <c r="H6362" s="23">
        <v>0</v>
      </c>
      <c r="I6362" s="23">
        <v>1568.598</v>
      </c>
      <c r="J6362" s="23">
        <v>0</v>
      </c>
      <c r="K6362" s="23">
        <v>0</v>
      </c>
    </row>
    <row r="6363" spans="1:11" x14ac:dyDescent="0.25">
      <c r="A6363">
        <v>6362</v>
      </c>
      <c r="B6363" s="23">
        <v>1526.8884069999999</v>
      </c>
      <c r="C6363" s="23">
        <v>0</v>
      </c>
      <c r="D6363" s="23">
        <v>0</v>
      </c>
      <c r="E6363" s="23">
        <v>0</v>
      </c>
      <c r="F6363" s="23">
        <v>0</v>
      </c>
      <c r="G6363" s="23">
        <v>0</v>
      </c>
      <c r="H6363" s="23">
        <v>0</v>
      </c>
      <c r="I6363" s="23">
        <v>1526.8879999999999</v>
      </c>
      <c r="J6363" s="23">
        <v>0</v>
      </c>
      <c r="K6363" s="23">
        <v>0</v>
      </c>
    </row>
    <row r="6364" spans="1:11" x14ac:dyDescent="0.25">
      <c r="A6364">
        <v>6363</v>
      </c>
      <c r="B6364" s="23">
        <v>1723.1675809999999</v>
      </c>
      <c r="C6364" s="23">
        <v>0</v>
      </c>
      <c r="D6364" s="23">
        <v>0</v>
      </c>
      <c r="E6364" s="23">
        <v>0</v>
      </c>
      <c r="F6364" s="23">
        <v>0</v>
      </c>
      <c r="G6364" s="23">
        <v>0</v>
      </c>
      <c r="H6364" s="23">
        <v>0</v>
      </c>
      <c r="I6364" s="23">
        <v>1723.1679999999999</v>
      </c>
      <c r="J6364" s="23">
        <v>0</v>
      </c>
      <c r="K6364" s="23">
        <v>0</v>
      </c>
    </row>
    <row r="6365" spans="1:11" x14ac:dyDescent="0.25">
      <c r="A6365">
        <v>6364</v>
      </c>
      <c r="B6365" s="23">
        <v>1466.368995</v>
      </c>
      <c r="C6365" s="23">
        <v>0</v>
      </c>
      <c r="D6365" s="23">
        <v>0</v>
      </c>
      <c r="E6365" s="23">
        <v>0</v>
      </c>
      <c r="F6365" s="23">
        <v>0</v>
      </c>
      <c r="G6365" s="23">
        <v>0</v>
      </c>
      <c r="H6365" s="23">
        <v>0</v>
      </c>
      <c r="I6365" s="23">
        <v>1466.3689999999999</v>
      </c>
      <c r="J6365" s="23">
        <v>0</v>
      </c>
      <c r="K6365" s="23">
        <v>0</v>
      </c>
    </row>
    <row r="6366" spans="1:11" x14ac:dyDescent="0.25">
      <c r="A6366">
        <v>6365</v>
      </c>
      <c r="B6366" s="23">
        <v>1491.7217209999999</v>
      </c>
      <c r="C6366" s="23">
        <v>0</v>
      </c>
      <c r="D6366" s="23">
        <v>0</v>
      </c>
      <c r="E6366" s="23">
        <v>0</v>
      </c>
      <c r="F6366" s="23">
        <v>0</v>
      </c>
      <c r="G6366" s="23">
        <v>0</v>
      </c>
      <c r="H6366" s="23">
        <v>0</v>
      </c>
      <c r="I6366" s="23">
        <v>1491.722</v>
      </c>
      <c r="J6366" s="23">
        <v>0</v>
      </c>
      <c r="K6366" s="23">
        <v>0</v>
      </c>
    </row>
    <row r="6367" spans="1:11" x14ac:dyDescent="0.25">
      <c r="A6367">
        <v>6366</v>
      </c>
      <c r="B6367" s="23">
        <v>1755.880776</v>
      </c>
      <c r="C6367" s="23">
        <v>0</v>
      </c>
      <c r="D6367" s="23">
        <v>0</v>
      </c>
      <c r="E6367" s="23">
        <v>0</v>
      </c>
      <c r="F6367" s="23">
        <v>0</v>
      </c>
      <c r="G6367" s="23">
        <v>0</v>
      </c>
      <c r="H6367" s="23">
        <v>0</v>
      </c>
      <c r="I6367" s="23">
        <v>1755.8810000000001</v>
      </c>
      <c r="J6367" s="23">
        <v>0</v>
      </c>
      <c r="K6367" s="23">
        <v>0</v>
      </c>
    </row>
    <row r="6368" spans="1:11" x14ac:dyDescent="0.25">
      <c r="A6368">
        <v>6367</v>
      </c>
      <c r="B6368" s="23">
        <v>1216.9308779999999</v>
      </c>
      <c r="C6368" s="23">
        <v>27.43</v>
      </c>
      <c r="D6368" s="23">
        <v>83.188999999999993</v>
      </c>
      <c r="E6368" s="23">
        <v>0</v>
      </c>
      <c r="F6368" s="23">
        <v>-83.188999999999993</v>
      </c>
      <c r="G6368" s="23">
        <v>0</v>
      </c>
      <c r="H6368" s="23">
        <v>0</v>
      </c>
      <c r="I6368" s="23">
        <v>1216.931</v>
      </c>
      <c r="J6368" s="23">
        <v>0</v>
      </c>
      <c r="K6368" s="23">
        <v>0</v>
      </c>
    </row>
    <row r="6369" spans="1:11" x14ac:dyDescent="0.25">
      <c r="A6369">
        <v>6368</v>
      </c>
      <c r="B6369" s="23">
        <v>1615.2579929999999</v>
      </c>
      <c r="C6369" s="23">
        <v>87.59</v>
      </c>
      <c r="D6369" s="23">
        <v>327.55099999999999</v>
      </c>
      <c r="E6369" s="23">
        <v>0</v>
      </c>
      <c r="F6369" s="23">
        <v>-327.55099999999999</v>
      </c>
      <c r="G6369" s="23">
        <v>0</v>
      </c>
      <c r="H6369" s="23">
        <v>0</v>
      </c>
      <c r="I6369" s="23">
        <v>1615.258</v>
      </c>
      <c r="J6369" s="23">
        <v>0</v>
      </c>
      <c r="K6369" s="23">
        <v>0</v>
      </c>
    </row>
    <row r="6370" spans="1:11" x14ac:dyDescent="0.25">
      <c r="A6370">
        <v>6369</v>
      </c>
      <c r="B6370" s="23">
        <v>1535.5124229999999</v>
      </c>
      <c r="C6370" s="23">
        <v>249.44</v>
      </c>
      <c r="D6370" s="23">
        <v>979.46400000000006</v>
      </c>
      <c r="E6370" s="23">
        <v>0</v>
      </c>
      <c r="F6370" s="23">
        <v>-979.46400000000006</v>
      </c>
      <c r="G6370" s="23">
        <v>0</v>
      </c>
      <c r="H6370" s="23">
        <v>0</v>
      </c>
      <c r="I6370" s="23">
        <v>1535.5119999999999</v>
      </c>
      <c r="J6370" s="23">
        <v>0</v>
      </c>
      <c r="K6370" s="23">
        <v>0</v>
      </c>
    </row>
    <row r="6371" spans="1:11" x14ac:dyDescent="0.25">
      <c r="A6371">
        <v>6370</v>
      </c>
      <c r="B6371" s="23">
        <v>1473.941077</v>
      </c>
      <c r="C6371" s="23">
        <v>266.27999999999997</v>
      </c>
      <c r="D6371" s="23">
        <v>1034.635</v>
      </c>
      <c r="E6371" s="23">
        <v>0</v>
      </c>
      <c r="F6371" s="23">
        <v>-1034.635</v>
      </c>
      <c r="G6371" s="23">
        <v>0</v>
      </c>
      <c r="H6371" s="23">
        <v>0</v>
      </c>
      <c r="I6371" s="23">
        <v>1473.941</v>
      </c>
      <c r="J6371" s="23">
        <v>0</v>
      </c>
      <c r="K6371" s="23">
        <v>0</v>
      </c>
    </row>
    <row r="6372" spans="1:11" x14ac:dyDescent="0.25">
      <c r="A6372">
        <v>6371</v>
      </c>
      <c r="B6372" s="23">
        <v>1908.688202</v>
      </c>
      <c r="C6372" s="23">
        <v>474.67</v>
      </c>
      <c r="D6372" s="23">
        <v>1843.665</v>
      </c>
      <c r="E6372" s="23">
        <v>1843.665</v>
      </c>
      <c r="F6372" s="23">
        <v>0</v>
      </c>
      <c r="G6372" s="23">
        <v>0</v>
      </c>
      <c r="H6372" s="23">
        <v>0</v>
      </c>
      <c r="I6372" s="23">
        <v>0</v>
      </c>
      <c r="J6372" s="23">
        <v>0</v>
      </c>
      <c r="K6372" s="23">
        <v>65.022999999999996</v>
      </c>
    </row>
    <row r="6373" spans="1:11" x14ac:dyDescent="0.25">
      <c r="A6373">
        <v>6372</v>
      </c>
      <c r="B6373" s="23">
        <v>2013.4593669999999</v>
      </c>
      <c r="C6373" s="23">
        <v>527.23</v>
      </c>
      <c r="D6373" s="23">
        <v>2042.4739999999999</v>
      </c>
      <c r="E6373" s="23">
        <v>2013.4590000000001</v>
      </c>
      <c r="F6373" s="23">
        <v>-29.015000000000001</v>
      </c>
      <c r="G6373" s="23">
        <v>0</v>
      </c>
      <c r="H6373" s="23">
        <v>0</v>
      </c>
      <c r="I6373" s="23">
        <v>0</v>
      </c>
      <c r="J6373" s="23">
        <v>0</v>
      </c>
      <c r="K6373" s="23">
        <v>0</v>
      </c>
    </row>
    <row r="6374" spans="1:11" x14ac:dyDescent="0.25">
      <c r="A6374">
        <v>6373</v>
      </c>
      <c r="B6374" s="23">
        <v>2035.7421650000001</v>
      </c>
      <c r="C6374" s="23">
        <v>196.72</v>
      </c>
      <c r="D6374" s="23">
        <v>750.68799999999999</v>
      </c>
      <c r="E6374" s="23">
        <v>0</v>
      </c>
      <c r="F6374" s="23">
        <v>-750.68799999999999</v>
      </c>
      <c r="G6374" s="23">
        <v>0</v>
      </c>
      <c r="H6374" s="23">
        <v>0</v>
      </c>
      <c r="I6374" s="23">
        <v>2035.742</v>
      </c>
      <c r="J6374" s="23">
        <v>0</v>
      </c>
      <c r="K6374" s="23">
        <v>0</v>
      </c>
    </row>
    <row r="6375" spans="1:11" x14ac:dyDescent="0.25">
      <c r="A6375">
        <v>6374</v>
      </c>
      <c r="B6375" s="23">
        <v>1841.982929</v>
      </c>
      <c r="C6375" s="23">
        <v>562.41999999999996</v>
      </c>
      <c r="D6375" s="23">
        <v>2191.1709999999998</v>
      </c>
      <c r="E6375" s="23">
        <v>927.19600000000003</v>
      </c>
      <c r="F6375" s="23">
        <v>-1263.9749999999999</v>
      </c>
      <c r="G6375" s="23">
        <v>0</v>
      </c>
      <c r="H6375" s="23">
        <v>0</v>
      </c>
      <c r="I6375" s="23">
        <v>914.78800000000001</v>
      </c>
      <c r="J6375" s="23">
        <v>0</v>
      </c>
      <c r="K6375" s="23">
        <v>0</v>
      </c>
    </row>
    <row r="6376" spans="1:11" x14ac:dyDescent="0.25">
      <c r="A6376">
        <v>6375</v>
      </c>
      <c r="B6376" s="23">
        <v>1628.792056</v>
      </c>
      <c r="C6376" s="23">
        <v>276.60000000000002</v>
      </c>
      <c r="D6376" s="23">
        <v>1081.788</v>
      </c>
      <c r="E6376" s="23">
        <v>1081.788</v>
      </c>
      <c r="F6376" s="23">
        <v>0</v>
      </c>
      <c r="G6376" s="23">
        <v>0</v>
      </c>
      <c r="H6376" s="23">
        <v>0</v>
      </c>
      <c r="I6376" s="23">
        <v>547.00400000000002</v>
      </c>
      <c r="J6376" s="23">
        <v>0</v>
      </c>
      <c r="K6376" s="23">
        <v>0</v>
      </c>
    </row>
    <row r="6377" spans="1:11" x14ac:dyDescent="0.25">
      <c r="A6377">
        <v>6376</v>
      </c>
      <c r="B6377" s="23">
        <v>1389.470495</v>
      </c>
      <c r="C6377" s="23">
        <v>298.89999999999998</v>
      </c>
      <c r="D6377" s="23">
        <v>1187.846</v>
      </c>
      <c r="E6377" s="23">
        <v>1187.846</v>
      </c>
      <c r="F6377" s="23">
        <v>0</v>
      </c>
      <c r="G6377" s="23">
        <v>0</v>
      </c>
      <c r="H6377" s="23">
        <v>0</v>
      </c>
      <c r="I6377" s="23">
        <v>201.625</v>
      </c>
      <c r="J6377" s="23">
        <v>0</v>
      </c>
      <c r="K6377" s="23">
        <v>0</v>
      </c>
    </row>
    <row r="6378" spans="1:11" x14ac:dyDescent="0.25">
      <c r="A6378">
        <v>6377</v>
      </c>
      <c r="B6378" s="23">
        <v>1931.958529</v>
      </c>
      <c r="C6378" s="23">
        <v>130.05000000000001</v>
      </c>
      <c r="D6378" s="23">
        <v>501.56900000000002</v>
      </c>
      <c r="E6378" s="23">
        <v>501.56900000000002</v>
      </c>
      <c r="F6378" s="23">
        <v>0</v>
      </c>
      <c r="G6378" s="23">
        <v>0</v>
      </c>
      <c r="H6378" s="23">
        <v>0</v>
      </c>
      <c r="I6378" s="23">
        <v>1430.3889999999999</v>
      </c>
      <c r="J6378" s="23">
        <v>0</v>
      </c>
      <c r="K6378" s="23">
        <v>0</v>
      </c>
    </row>
    <row r="6379" spans="1:11" x14ac:dyDescent="0.25">
      <c r="A6379">
        <v>6378</v>
      </c>
      <c r="B6379" s="23">
        <v>1367.834805</v>
      </c>
      <c r="C6379" s="23">
        <v>19.59</v>
      </c>
      <c r="D6379" s="23">
        <v>45.168999999999997</v>
      </c>
      <c r="E6379" s="23">
        <v>45.168999999999997</v>
      </c>
      <c r="F6379" s="23">
        <v>0</v>
      </c>
      <c r="G6379" s="23">
        <v>0</v>
      </c>
      <c r="H6379" s="23">
        <v>0</v>
      </c>
      <c r="I6379" s="23">
        <v>0</v>
      </c>
      <c r="J6379" s="23">
        <v>0</v>
      </c>
      <c r="K6379" s="23">
        <v>1322.665</v>
      </c>
    </row>
    <row r="6380" spans="1:11" x14ac:dyDescent="0.25">
      <c r="A6380">
        <v>6379</v>
      </c>
      <c r="B6380" s="23">
        <v>1384.059528</v>
      </c>
      <c r="C6380" s="23">
        <v>0</v>
      </c>
      <c r="D6380" s="23">
        <v>0</v>
      </c>
      <c r="E6380" s="23">
        <v>0</v>
      </c>
      <c r="F6380" s="23">
        <v>0</v>
      </c>
      <c r="G6380" s="23">
        <v>0</v>
      </c>
      <c r="H6380" s="23">
        <v>0</v>
      </c>
      <c r="I6380" s="23">
        <v>0</v>
      </c>
      <c r="J6380" s="23">
        <v>0</v>
      </c>
      <c r="K6380" s="23">
        <v>1384.06</v>
      </c>
    </row>
    <row r="6381" spans="1:11" x14ac:dyDescent="0.25">
      <c r="A6381">
        <v>6380</v>
      </c>
      <c r="B6381" s="23">
        <v>1184.217682</v>
      </c>
      <c r="C6381" s="23">
        <v>0</v>
      </c>
      <c r="D6381" s="23">
        <v>0</v>
      </c>
      <c r="E6381" s="23">
        <v>0</v>
      </c>
      <c r="F6381" s="23">
        <v>0</v>
      </c>
      <c r="G6381" s="23">
        <v>0</v>
      </c>
      <c r="H6381" s="23">
        <v>0</v>
      </c>
      <c r="I6381" s="23">
        <v>0</v>
      </c>
      <c r="J6381" s="23">
        <v>0</v>
      </c>
      <c r="K6381" s="23">
        <v>1184.2180000000001</v>
      </c>
    </row>
    <row r="6382" spans="1:11" x14ac:dyDescent="0.25">
      <c r="A6382">
        <v>6381</v>
      </c>
      <c r="B6382" s="23">
        <v>1696.1791940000001</v>
      </c>
      <c r="C6382" s="23">
        <v>0</v>
      </c>
      <c r="D6382" s="23">
        <v>0</v>
      </c>
      <c r="E6382" s="23">
        <v>0</v>
      </c>
      <c r="F6382" s="23">
        <v>0</v>
      </c>
      <c r="G6382" s="23">
        <v>0</v>
      </c>
      <c r="H6382" s="23">
        <v>0</v>
      </c>
      <c r="I6382" s="23">
        <v>1696.1790000000001</v>
      </c>
      <c r="J6382" s="23">
        <v>0</v>
      </c>
      <c r="K6382" s="23">
        <v>0</v>
      </c>
    </row>
    <row r="6383" spans="1:11" x14ac:dyDescent="0.25">
      <c r="A6383">
        <v>6382</v>
      </c>
      <c r="B6383" s="23">
        <v>1602.9465869999999</v>
      </c>
      <c r="C6383" s="23">
        <v>0</v>
      </c>
      <c r="D6383" s="23">
        <v>0</v>
      </c>
      <c r="E6383" s="23">
        <v>0</v>
      </c>
      <c r="F6383" s="23">
        <v>0</v>
      </c>
      <c r="G6383" s="23">
        <v>0</v>
      </c>
      <c r="H6383" s="23">
        <v>0</v>
      </c>
      <c r="I6383" s="23">
        <v>1602.9469999999999</v>
      </c>
      <c r="J6383" s="23">
        <v>0</v>
      </c>
      <c r="K6383" s="23">
        <v>0</v>
      </c>
    </row>
    <row r="6384" spans="1:11" x14ac:dyDescent="0.25">
      <c r="A6384">
        <v>6383</v>
      </c>
      <c r="B6384" s="23">
        <v>1638.931102</v>
      </c>
      <c r="C6384" s="23">
        <v>0</v>
      </c>
      <c r="D6384" s="23">
        <v>0</v>
      </c>
      <c r="E6384" s="23">
        <v>0</v>
      </c>
      <c r="F6384" s="23">
        <v>0</v>
      </c>
      <c r="G6384" s="23">
        <v>0</v>
      </c>
      <c r="H6384" s="23">
        <v>0</v>
      </c>
      <c r="I6384" s="23">
        <v>1638.931</v>
      </c>
      <c r="J6384" s="23">
        <v>0</v>
      </c>
      <c r="K6384" s="23">
        <v>0</v>
      </c>
    </row>
    <row r="6385" spans="1:11" x14ac:dyDescent="0.25">
      <c r="A6385">
        <v>6384</v>
      </c>
      <c r="B6385" s="23">
        <v>1551.423303</v>
      </c>
      <c r="C6385" s="23">
        <v>0</v>
      </c>
      <c r="D6385" s="23">
        <v>0</v>
      </c>
      <c r="E6385" s="23">
        <v>0</v>
      </c>
      <c r="F6385" s="23">
        <v>0</v>
      </c>
      <c r="G6385" s="23">
        <v>0</v>
      </c>
      <c r="H6385" s="23">
        <v>0</v>
      </c>
      <c r="I6385" s="23">
        <v>1551.423</v>
      </c>
      <c r="J6385" s="23">
        <v>0</v>
      </c>
      <c r="K6385" s="23">
        <v>0</v>
      </c>
    </row>
    <row r="6386" spans="1:11" x14ac:dyDescent="0.25">
      <c r="A6386">
        <v>6385</v>
      </c>
      <c r="B6386" s="23">
        <v>1701.086174</v>
      </c>
      <c r="C6386" s="23">
        <v>0</v>
      </c>
      <c r="D6386" s="23">
        <v>0</v>
      </c>
      <c r="E6386" s="23">
        <v>0</v>
      </c>
      <c r="F6386" s="23">
        <v>0</v>
      </c>
      <c r="G6386" s="23">
        <v>0</v>
      </c>
      <c r="H6386" s="23">
        <v>0</v>
      </c>
      <c r="I6386" s="23">
        <v>1701.086</v>
      </c>
      <c r="J6386" s="23">
        <v>0</v>
      </c>
      <c r="K6386" s="23">
        <v>0</v>
      </c>
    </row>
    <row r="6387" spans="1:11" x14ac:dyDescent="0.25">
      <c r="A6387">
        <v>6386</v>
      </c>
      <c r="B6387" s="23">
        <v>1653.6520399999999</v>
      </c>
      <c r="C6387" s="23">
        <v>0</v>
      </c>
      <c r="D6387" s="23">
        <v>0</v>
      </c>
      <c r="E6387" s="23">
        <v>0</v>
      </c>
      <c r="F6387" s="23">
        <v>0</v>
      </c>
      <c r="G6387" s="23">
        <v>0</v>
      </c>
      <c r="H6387" s="23">
        <v>0</v>
      </c>
      <c r="I6387" s="23">
        <v>1653.652</v>
      </c>
      <c r="J6387" s="23">
        <v>0</v>
      </c>
      <c r="K6387" s="23">
        <v>0</v>
      </c>
    </row>
    <row r="6388" spans="1:11" x14ac:dyDescent="0.25">
      <c r="A6388">
        <v>6387</v>
      </c>
      <c r="B6388" s="23">
        <v>1684.729576</v>
      </c>
      <c r="C6388" s="23">
        <v>0</v>
      </c>
      <c r="D6388" s="23">
        <v>0</v>
      </c>
      <c r="E6388" s="23">
        <v>0</v>
      </c>
      <c r="F6388" s="23">
        <v>0</v>
      </c>
      <c r="G6388" s="23">
        <v>0</v>
      </c>
      <c r="H6388" s="23">
        <v>0</v>
      </c>
      <c r="I6388" s="23">
        <v>1684.73</v>
      </c>
      <c r="J6388" s="23">
        <v>0</v>
      </c>
      <c r="K6388" s="23">
        <v>0</v>
      </c>
    </row>
    <row r="6389" spans="1:11" x14ac:dyDescent="0.25">
      <c r="A6389">
        <v>6388</v>
      </c>
      <c r="B6389" s="23">
        <v>1203.0277699999999</v>
      </c>
      <c r="C6389" s="23">
        <v>0</v>
      </c>
      <c r="D6389" s="23">
        <v>0</v>
      </c>
      <c r="E6389" s="23">
        <v>0</v>
      </c>
      <c r="F6389" s="23">
        <v>0</v>
      </c>
      <c r="G6389" s="23">
        <v>0</v>
      </c>
      <c r="H6389" s="23">
        <v>0</v>
      </c>
      <c r="I6389" s="23">
        <v>1203.028</v>
      </c>
      <c r="J6389" s="23">
        <v>0</v>
      </c>
      <c r="K6389" s="23">
        <v>0</v>
      </c>
    </row>
    <row r="6390" spans="1:11" x14ac:dyDescent="0.25">
      <c r="A6390">
        <v>6389</v>
      </c>
      <c r="B6390" s="23">
        <v>1548.969814</v>
      </c>
      <c r="C6390" s="23">
        <v>0</v>
      </c>
      <c r="D6390" s="23">
        <v>0</v>
      </c>
      <c r="E6390" s="23">
        <v>0</v>
      </c>
      <c r="F6390" s="23">
        <v>0</v>
      </c>
      <c r="G6390" s="23">
        <v>0</v>
      </c>
      <c r="H6390" s="23">
        <v>0</v>
      </c>
      <c r="I6390" s="23">
        <v>1548.97</v>
      </c>
      <c r="J6390" s="23">
        <v>0</v>
      </c>
      <c r="K6390" s="23">
        <v>0</v>
      </c>
    </row>
    <row r="6391" spans="1:11" x14ac:dyDescent="0.25">
      <c r="A6391">
        <v>6390</v>
      </c>
      <c r="B6391" s="23">
        <v>1546.5163239999999</v>
      </c>
      <c r="C6391" s="23">
        <v>0</v>
      </c>
      <c r="D6391" s="23">
        <v>0</v>
      </c>
      <c r="E6391" s="23">
        <v>0</v>
      </c>
      <c r="F6391" s="23">
        <v>0</v>
      </c>
      <c r="G6391" s="23">
        <v>0</v>
      </c>
      <c r="H6391" s="23">
        <v>0</v>
      </c>
      <c r="I6391" s="23">
        <v>1546.5160000000001</v>
      </c>
      <c r="J6391" s="23">
        <v>0</v>
      </c>
      <c r="K6391" s="23">
        <v>0</v>
      </c>
    </row>
    <row r="6392" spans="1:11" x14ac:dyDescent="0.25">
      <c r="A6392">
        <v>6391</v>
      </c>
      <c r="B6392" s="23">
        <v>1351.0549799999999</v>
      </c>
      <c r="C6392" s="23">
        <v>19.59</v>
      </c>
      <c r="D6392" s="23">
        <v>52.267000000000003</v>
      </c>
      <c r="E6392" s="23">
        <v>0</v>
      </c>
      <c r="F6392" s="23">
        <v>-52.267000000000003</v>
      </c>
      <c r="G6392" s="23">
        <v>0</v>
      </c>
      <c r="H6392" s="23">
        <v>0</v>
      </c>
      <c r="I6392" s="23">
        <v>1351.0550000000001</v>
      </c>
      <c r="J6392" s="23">
        <v>0</v>
      </c>
      <c r="K6392" s="23">
        <v>0</v>
      </c>
    </row>
    <row r="6393" spans="1:11" x14ac:dyDescent="0.25">
      <c r="A6393">
        <v>6392</v>
      </c>
      <c r="B6393" s="23">
        <v>1371.2114200000001</v>
      </c>
      <c r="C6393" s="23">
        <v>58.53</v>
      </c>
      <c r="D6393" s="23">
        <v>208.71199999999999</v>
      </c>
      <c r="E6393" s="23">
        <v>0</v>
      </c>
      <c r="F6393" s="23">
        <v>-208.71199999999999</v>
      </c>
      <c r="G6393" s="23">
        <v>0</v>
      </c>
      <c r="H6393" s="23">
        <v>0</v>
      </c>
      <c r="I6393" s="23">
        <v>1371.211</v>
      </c>
      <c r="J6393" s="23">
        <v>0</v>
      </c>
      <c r="K6393" s="23">
        <v>0</v>
      </c>
    </row>
    <row r="6394" spans="1:11" x14ac:dyDescent="0.25">
      <c r="A6394">
        <v>6393</v>
      </c>
      <c r="B6394" s="23">
        <v>1665.983892</v>
      </c>
      <c r="C6394" s="23">
        <v>192.06</v>
      </c>
      <c r="D6394" s="23">
        <v>747.78</v>
      </c>
      <c r="E6394" s="23">
        <v>0</v>
      </c>
      <c r="F6394" s="23">
        <v>-747.78</v>
      </c>
      <c r="G6394" s="23">
        <v>0</v>
      </c>
      <c r="H6394" s="23">
        <v>0</v>
      </c>
      <c r="I6394" s="23">
        <v>1665.9839999999999</v>
      </c>
      <c r="J6394" s="23">
        <v>0</v>
      </c>
      <c r="K6394" s="23">
        <v>0</v>
      </c>
    </row>
    <row r="6395" spans="1:11" x14ac:dyDescent="0.25">
      <c r="A6395">
        <v>6394</v>
      </c>
      <c r="B6395" s="23">
        <v>1480.4755379999999</v>
      </c>
      <c r="C6395" s="23">
        <v>343.08</v>
      </c>
      <c r="D6395" s="23">
        <v>1341.5630000000001</v>
      </c>
      <c r="E6395" s="23">
        <v>0</v>
      </c>
      <c r="F6395" s="23">
        <v>-1341.5630000000001</v>
      </c>
      <c r="G6395" s="23">
        <v>0</v>
      </c>
      <c r="H6395" s="23">
        <v>0</v>
      </c>
      <c r="I6395" s="23">
        <v>1480.4760000000001</v>
      </c>
      <c r="J6395" s="23">
        <v>0</v>
      </c>
      <c r="K6395" s="23">
        <v>0</v>
      </c>
    </row>
    <row r="6396" spans="1:11" x14ac:dyDescent="0.25">
      <c r="A6396">
        <v>6395</v>
      </c>
      <c r="B6396" s="23">
        <v>1901.191769</v>
      </c>
      <c r="C6396" s="23">
        <v>462.82</v>
      </c>
      <c r="D6396" s="23">
        <v>1798.6510000000001</v>
      </c>
      <c r="E6396" s="23">
        <v>1798.6510000000001</v>
      </c>
      <c r="F6396" s="23">
        <v>0</v>
      </c>
      <c r="G6396" s="23">
        <v>0</v>
      </c>
      <c r="H6396" s="23">
        <v>0</v>
      </c>
      <c r="I6396" s="23">
        <v>0</v>
      </c>
      <c r="J6396" s="23">
        <v>0</v>
      </c>
      <c r="K6396" s="23">
        <v>102.541</v>
      </c>
    </row>
    <row r="6397" spans="1:11" x14ac:dyDescent="0.25">
      <c r="A6397">
        <v>6396</v>
      </c>
      <c r="B6397" s="23">
        <v>1801.9450449999999</v>
      </c>
      <c r="C6397" s="23">
        <v>516.30999999999995</v>
      </c>
      <c r="D6397" s="23">
        <v>1999.134</v>
      </c>
      <c r="E6397" s="23">
        <v>1801.9449999999999</v>
      </c>
      <c r="F6397" s="23">
        <v>-197.18899999999999</v>
      </c>
      <c r="G6397" s="23">
        <v>0</v>
      </c>
      <c r="H6397" s="23">
        <v>0</v>
      </c>
      <c r="I6397" s="23">
        <v>0</v>
      </c>
      <c r="J6397" s="23">
        <v>0</v>
      </c>
      <c r="K6397" s="23">
        <v>0</v>
      </c>
    </row>
    <row r="6398" spans="1:11" x14ac:dyDescent="0.25">
      <c r="A6398">
        <v>6397</v>
      </c>
      <c r="B6398" s="23">
        <v>1608.8247389999999</v>
      </c>
      <c r="C6398" s="23">
        <v>456.76</v>
      </c>
      <c r="D6398" s="23">
        <v>1771.4680000000001</v>
      </c>
      <c r="E6398" s="23">
        <v>86.909000000000006</v>
      </c>
      <c r="F6398" s="23">
        <v>-1684.559</v>
      </c>
      <c r="G6398" s="23">
        <v>0</v>
      </c>
      <c r="H6398" s="23">
        <v>0</v>
      </c>
      <c r="I6398" s="23">
        <v>1521.9159999999999</v>
      </c>
      <c r="J6398" s="23">
        <v>0</v>
      </c>
      <c r="K6398" s="23">
        <v>0</v>
      </c>
    </row>
    <row r="6399" spans="1:11" x14ac:dyDescent="0.25">
      <c r="A6399">
        <v>6398</v>
      </c>
      <c r="B6399" s="23">
        <v>1764.516038</v>
      </c>
      <c r="C6399" s="23">
        <v>294.27999999999997</v>
      </c>
      <c r="D6399" s="23">
        <v>1140.693</v>
      </c>
      <c r="E6399" s="23">
        <v>928.44899999999996</v>
      </c>
      <c r="F6399" s="23">
        <v>-212.244</v>
      </c>
      <c r="G6399" s="23">
        <v>0</v>
      </c>
      <c r="H6399" s="23">
        <v>0</v>
      </c>
      <c r="I6399" s="23">
        <v>836.06799999999998</v>
      </c>
      <c r="J6399" s="23">
        <v>0</v>
      </c>
      <c r="K6399" s="23">
        <v>0</v>
      </c>
    </row>
    <row r="6400" spans="1:11" x14ac:dyDescent="0.25">
      <c r="A6400">
        <v>6399</v>
      </c>
      <c r="B6400" s="23">
        <v>1869.6654490000001</v>
      </c>
      <c r="C6400" s="23">
        <v>212.05</v>
      </c>
      <c r="D6400" s="23">
        <v>820.47299999999996</v>
      </c>
      <c r="E6400" s="23">
        <v>820.47299999999996</v>
      </c>
      <c r="F6400" s="23">
        <v>0</v>
      </c>
      <c r="G6400" s="23">
        <v>0</v>
      </c>
      <c r="H6400" s="23">
        <v>0</v>
      </c>
      <c r="I6400" s="23">
        <v>1049.193</v>
      </c>
      <c r="J6400" s="23">
        <v>0</v>
      </c>
      <c r="K6400" s="23">
        <v>0</v>
      </c>
    </row>
    <row r="6401" spans="1:11" x14ac:dyDescent="0.25">
      <c r="A6401">
        <v>6400</v>
      </c>
      <c r="B6401" s="23">
        <v>1735.391071</v>
      </c>
      <c r="C6401" s="23">
        <v>238.48</v>
      </c>
      <c r="D6401" s="23">
        <v>938.75300000000004</v>
      </c>
      <c r="E6401" s="23">
        <v>938.75300000000004</v>
      </c>
      <c r="F6401" s="23">
        <v>0</v>
      </c>
      <c r="G6401" s="23">
        <v>0</v>
      </c>
      <c r="H6401" s="23">
        <v>0</v>
      </c>
      <c r="I6401" s="23">
        <v>796.63800000000003</v>
      </c>
      <c r="J6401" s="23">
        <v>0</v>
      </c>
      <c r="K6401" s="23">
        <v>0</v>
      </c>
    </row>
    <row r="6402" spans="1:11" x14ac:dyDescent="0.25">
      <c r="A6402">
        <v>6401</v>
      </c>
      <c r="B6402" s="23">
        <v>1870.357538</v>
      </c>
      <c r="C6402" s="23">
        <v>86.39</v>
      </c>
      <c r="D6402" s="23">
        <v>321.827</v>
      </c>
      <c r="E6402" s="23">
        <v>321.827</v>
      </c>
      <c r="F6402" s="23">
        <v>0</v>
      </c>
      <c r="G6402" s="23">
        <v>0</v>
      </c>
      <c r="H6402" s="23">
        <v>0</v>
      </c>
      <c r="I6402" s="23">
        <v>1548.5309999999999</v>
      </c>
      <c r="J6402" s="23">
        <v>0</v>
      </c>
      <c r="K6402" s="23">
        <v>0</v>
      </c>
    </row>
    <row r="6403" spans="1:11" x14ac:dyDescent="0.25">
      <c r="A6403">
        <v>6402</v>
      </c>
      <c r="B6403" s="23">
        <v>1742.409073</v>
      </c>
      <c r="C6403" s="23">
        <v>13.71</v>
      </c>
      <c r="D6403" s="23">
        <v>24.093</v>
      </c>
      <c r="E6403" s="23">
        <v>24.093</v>
      </c>
      <c r="F6403" s="23">
        <v>0</v>
      </c>
      <c r="G6403" s="23">
        <v>0</v>
      </c>
      <c r="H6403" s="23">
        <v>0</v>
      </c>
      <c r="I6403" s="23">
        <v>33.756</v>
      </c>
      <c r="J6403" s="23">
        <v>0</v>
      </c>
      <c r="K6403" s="23">
        <v>1684.559</v>
      </c>
    </row>
    <row r="6404" spans="1:11" x14ac:dyDescent="0.25">
      <c r="A6404">
        <v>6403</v>
      </c>
      <c r="B6404" s="23">
        <v>1712.773985</v>
      </c>
      <c r="C6404" s="23">
        <v>0</v>
      </c>
      <c r="D6404" s="23">
        <v>0</v>
      </c>
      <c r="E6404" s="23">
        <v>0</v>
      </c>
      <c r="F6404" s="23">
        <v>0</v>
      </c>
      <c r="G6404" s="23">
        <v>0</v>
      </c>
      <c r="H6404" s="23">
        <v>0</v>
      </c>
      <c r="I6404" s="23">
        <v>28.215</v>
      </c>
      <c r="J6404" s="23">
        <v>0</v>
      </c>
      <c r="K6404" s="23">
        <v>1684.559</v>
      </c>
    </row>
    <row r="6405" spans="1:11" x14ac:dyDescent="0.25">
      <c r="A6405">
        <v>6404</v>
      </c>
      <c r="B6405" s="23">
        <v>1736.2528589999999</v>
      </c>
      <c r="C6405" s="23">
        <v>0</v>
      </c>
      <c r="D6405" s="23">
        <v>0</v>
      </c>
      <c r="E6405" s="23">
        <v>0</v>
      </c>
      <c r="F6405" s="23">
        <v>0</v>
      </c>
      <c r="G6405" s="23">
        <v>0</v>
      </c>
      <c r="H6405" s="23">
        <v>0</v>
      </c>
      <c r="I6405" s="23">
        <v>51.692999999999998</v>
      </c>
      <c r="J6405" s="23">
        <v>0</v>
      </c>
      <c r="K6405" s="23">
        <v>1684.559</v>
      </c>
    </row>
    <row r="6406" spans="1:11" x14ac:dyDescent="0.25">
      <c r="A6406">
        <v>6405</v>
      </c>
      <c r="B6406" s="23">
        <v>1571.8690509999999</v>
      </c>
      <c r="C6406" s="23">
        <v>0</v>
      </c>
      <c r="D6406" s="23">
        <v>0</v>
      </c>
      <c r="E6406" s="23">
        <v>0</v>
      </c>
      <c r="F6406" s="23">
        <v>0</v>
      </c>
      <c r="G6406" s="23">
        <v>0</v>
      </c>
      <c r="H6406" s="23">
        <v>0</v>
      </c>
      <c r="I6406" s="23">
        <v>1571.8689999999999</v>
      </c>
      <c r="J6406" s="23">
        <v>0</v>
      </c>
      <c r="K6406" s="23">
        <v>0</v>
      </c>
    </row>
    <row r="6407" spans="1:11" x14ac:dyDescent="0.25">
      <c r="A6407">
        <v>6406</v>
      </c>
      <c r="B6407" s="23">
        <v>1566.144241</v>
      </c>
      <c r="C6407" s="23">
        <v>0</v>
      </c>
      <c r="D6407" s="23">
        <v>0</v>
      </c>
      <c r="E6407" s="23">
        <v>0</v>
      </c>
      <c r="F6407" s="23">
        <v>0</v>
      </c>
      <c r="G6407" s="23">
        <v>0</v>
      </c>
      <c r="H6407" s="23">
        <v>0</v>
      </c>
      <c r="I6407" s="23">
        <v>1566.144</v>
      </c>
      <c r="J6407" s="23">
        <v>0</v>
      </c>
      <c r="K6407" s="23">
        <v>0</v>
      </c>
    </row>
    <row r="6408" spans="1:11" x14ac:dyDescent="0.25">
      <c r="A6408">
        <v>6407</v>
      </c>
      <c r="B6408" s="23">
        <v>1353.50847</v>
      </c>
      <c r="C6408" s="23">
        <v>0</v>
      </c>
      <c r="D6408" s="23">
        <v>0</v>
      </c>
      <c r="E6408" s="23">
        <v>0</v>
      </c>
      <c r="F6408" s="23">
        <v>0</v>
      </c>
      <c r="G6408" s="23">
        <v>0</v>
      </c>
      <c r="H6408" s="23">
        <v>0</v>
      </c>
      <c r="I6408" s="23">
        <v>1353.508</v>
      </c>
      <c r="J6408" s="23">
        <v>0</v>
      </c>
      <c r="K6408" s="23">
        <v>0</v>
      </c>
    </row>
    <row r="6409" spans="1:11" x14ac:dyDescent="0.25">
      <c r="A6409">
        <v>6408</v>
      </c>
      <c r="B6409" s="23">
        <v>390.92268799999999</v>
      </c>
      <c r="C6409" s="23">
        <v>0</v>
      </c>
      <c r="D6409" s="23">
        <v>0</v>
      </c>
      <c r="E6409" s="23">
        <v>0</v>
      </c>
      <c r="F6409" s="23">
        <v>0</v>
      </c>
      <c r="G6409" s="23">
        <v>0</v>
      </c>
      <c r="H6409" s="23">
        <v>0</v>
      </c>
      <c r="I6409" s="23">
        <v>390.923</v>
      </c>
      <c r="J6409" s="23">
        <v>0</v>
      </c>
      <c r="K6409" s="23">
        <v>0</v>
      </c>
    </row>
    <row r="6410" spans="1:11" x14ac:dyDescent="0.25">
      <c r="A6410">
        <v>6409</v>
      </c>
      <c r="B6410" s="23">
        <v>403.19013630000001</v>
      </c>
      <c r="C6410" s="23">
        <v>0</v>
      </c>
      <c r="D6410" s="23">
        <v>0</v>
      </c>
      <c r="E6410" s="23">
        <v>0</v>
      </c>
      <c r="F6410" s="23">
        <v>0</v>
      </c>
      <c r="G6410" s="23">
        <v>0</v>
      </c>
      <c r="H6410" s="23">
        <v>0</v>
      </c>
      <c r="I6410" s="23">
        <v>403.19</v>
      </c>
      <c r="J6410" s="23">
        <v>0</v>
      </c>
      <c r="K6410" s="23">
        <v>0</v>
      </c>
    </row>
    <row r="6411" spans="1:11" x14ac:dyDescent="0.25">
      <c r="A6411">
        <v>6410</v>
      </c>
      <c r="B6411" s="23">
        <v>386.83353849999997</v>
      </c>
      <c r="C6411" s="23">
        <v>0</v>
      </c>
      <c r="D6411" s="23">
        <v>0</v>
      </c>
      <c r="E6411" s="23">
        <v>0</v>
      </c>
      <c r="F6411" s="23">
        <v>0</v>
      </c>
      <c r="G6411" s="23">
        <v>0</v>
      </c>
      <c r="H6411" s="23">
        <v>0</v>
      </c>
      <c r="I6411" s="23">
        <v>386.834</v>
      </c>
      <c r="J6411" s="23">
        <v>0</v>
      </c>
      <c r="K6411" s="23">
        <v>0</v>
      </c>
    </row>
    <row r="6412" spans="1:11" x14ac:dyDescent="0.25">
      <c r="A6412">
        <v>6411</v>
      </c>
      <c r="B6412" s="23">
        <v>365.56996129999999</v>
      </c>
      <c r="C6412" s="23">
        <v>0</v>
      </c>
      <c r="D6412" s="23">
        <v>0</v>
      </c>
      <c r="E6412" s="23">
        <v>0</v>
      </c>
      <c r="F6412" s="23">
        <v>0</v>
      </c>
      <c r="G6412" s="23">
        <v>0</v>
      </c>
      <c r="H6412" s="23">
        <v>0</v>
      </c>
      <c r="I6412" s="23">
        <v>365.57</v>
      </c>
      <c r="J6412" s="23">
        <v>0</v>
      </c>
      <c r="K6412" s="23">
        <v>0</v>
      </c>
    </row>
    <row r="6413" spans="1:11" x14ac:dyDescent="0.25">
      <c r="A6413">
        <v>6412</v>
      </c>
      <c r="B6413" s="23">
        <v>375.38391999999999</v>
      </c>
      <c r="C6413" s="23">
        <v>0</v>
      </c>
      <c r="D6413" s="23">
        <v>0</v>
      </c>
      <c r="E6413" s="23">
        <v>0</v>
      </c>
      <c r="F6413" s="23">
        <v>0</v>
      </c>
      <c r="G6413" s="23">
        <v>0</v>
      </c>
      <c r="H6413" s="23">
        <v>0</v>
      </c>
      <c r="I6413" s="23">
        <v>375.38400000000001</v>
      </c>
      <c r="J6413" s="23">
        <v>0</v>
      </c>
      <c r="K6413" s="23">
        <v>0</v>
      </c>
    </row>
    <row r="6414" spans="1:11" x14ac:dyDescent="0.25">
      <c r="A6414">
        <v>6413</v>
      </c>
      <c r="B6414" s="23">
        <v>388.46919830000002</v>
      </c>
      <c r="C6414" s="23">
        <v>0</v>
      </c>
      <c r="D6414" s="23">
        <v>0</v>
      </c>
      <c r="E6414" s="23">
        <v>0</v>
      </c>
      <c r="F6414" s="23">
        <v>0</v>
      </c>
      <c r="G6414" s="23">
        <v>0</v>
      </c>
      <c r="H6414" s="23">
        <v>0</v>
      </c>
      <c r="I6414" s="23">
        <v>388.46899999999999</v>
      </c>
      <c r="J6414" s="23">
        <v>0</v>
      </c>
      <c r="K6414" s="23">
        <v>0</v>
      </c>
    </row>
    <row r="6415" spans="1:11" x14ac:dyDescent="0.25">
      <c r="A6415">
        <v>6414</v>
      </c>
      <c r="B6415" s="23">
        <v>406.46145589999998</v>
      </c>
      <c r="C6415" s="23">
        <v>0</v>
      </c>
      <c r="D6415" s="23">
        <v>0</v>
      </c>
      <c r="E6415" s="23">
        <v>0</v>
      </c>
      <c r="F6415" s="23">
        <v>0</v>
      </c>
      <c r="G6415" s="23">
        <v>0</v>
      </c>
      <c r="H6415" s="23">
        <v>0</v>
      </c>
      <c r="I6415" s="23">
        <v>406.46100000000001</v>
      </c>
      <c r="J6415" s="23">
        <v>0</v>
      </c>
      <c r="K6415" s="23">
        <v>0</v>
      </c>
    </row>
    <row r="6416" spans="1:11" x14ac:dyDescent="0.25">
      <c r="A6416">
        <v>6415</v>
      </c>
      <c r="B6416" s="23">
        <v>362.29864179999998</v>
      </c>
      <c r="C6416" s="23">
        <v>58.74</v>
      </c>
      <c r="D6416" s="23">
        <v>207.69499999999999</v>
      </c>
      <c r="E6416" s="23">
        <v>0</v>
      </c>
      <c r="F6416" s="23">
        <v>-207.69499999999999</v>
      </c>
      <c r="G6416" s="23">
        <v>0</v>
      </c>
      <c r="H6416" s="23">
        <v>0</v>
      </c>
      <c r="I6416" s="23">
        <v>362.29899999999998</v>
      </c>
      <c r="J6416" s="23">
        <v>0</v>
      </c>
      <c r="K6416" s="23">
        <v>0</v>
      </c>
    </row>
    <row r="6417" spans="1:11" x14ac:dyDescent="0.25">
      <c r="A6417">
        <v>6416</v>
      </c>
      <c r="B6417" s="23">
        <v>452.84161130000001</v>
      </c>
      <c r="C6417" s="23">
        <v>190.62</v>
      </c>
      <c r="D6417" s="23">
        <v>750.42499999999995</v>
      </c>
      <c r="E6417" s="23">
        <v>0</v>
      </c>
      <c r="F6417" s="23">
        <v>-750.42499999999995</v>
      </c>
      <c r="G6417" s="23">
        <v>0</v>
      </c>
      <c r="H6417" s="23">
        <v>0</v>
      </c>
      <c r="I6417" s="23">
        <v>452.84199999999998</v>
      </c>
      <c r="J6417" s="23">
        <v>0</v>
      </c>
      <c r="K6417" s="23">
        <v>0</v>
      </c>
    </row>
    <row r="6418" spans="1:11" x14ac:dyDescent="0.25">
      <c r="A6418">
        <v>6417</v>
      </c>
      <c r="B6418" s="23">
        <v>1718.3750970000001</v>
      </c>
      <c r="C6418" s="23">
        <v>332.25</v>
      </c>
      <c r="D6418" s="23">
        <v>1304.845</v>
      </c>
      <c r="E6418" s="23">
        <v>273.834</v>
      </c>
      <c r="F6418" s="23">
        <v>-1031.011</v>
      </c>
      <c r="G6418" s="23">
        <v>0</v>
      </c>
      <c r="H6418" s="23">
        <v>0</v>
      </c>
      <c r="I6418" s="23">
        <v>1444.5409999999999</v>
      </c>
      <c r="J6418" s="23">
        <v>0</v>
      </c>
      <c r="K6418" s="23">
        <v>0</v>
      </c>
    </row>
    <row r="6419" spans="1:11" x14ac:dyDescent="0.25">
      <c r="A6419">
        <v>6418</v>
      </c>
      <c r="B6419" s="23">
        <v>1870.1755700000001</v>
      </c>
      <c r="C6419" s="23">
        <v>592.66999999999996</v>
      </c>
      <c r="D6419" s="23">
        <v>2283.473</v>
      </c>
      <c r="E6419" s="23">
        <v>1870.1759999999999</v>
      </c>
      <c r="F6419" s="23">
        <v>-413.29700000000003</v>
      </c>
      <c r="G6419" s="23">
        <v>0</v>
      </c>
      <c r="H6419" s="23">
        <v>0</v>
      </c>
      <c r="I6419" s="23">
        <v>0</v>
      </c>
      <c r="J6419" s="23">
        <v>0</v>
      </c>
      <c r="K6419" s="23">
        <v>0</v>
      </c>
    </row>
    <row r="6420" spans="1:11" x14ac:dyDescent="0.25">
      <c r="A6420">
        <v>6419</v>
      </c>
      <c r="B6420" s="23">
        <v>1892.522772</v>
      </c>
      <c r="C6420" s="23">
        <v>612.65</v>
      </c>
      <c r="D6420" s="23">
        <v>2333.6320000000001</v>
      </c>
      <c r="E6420" s="23">
        <v>1892.5229999999999</v>
      </c>
      <c r="F6420" s="23">
        <v>-441.10899999999998</v>
      </c>
      <c r="G6420" s="23">
        <v>0</v>
      </c>
      <c r="H6420" s="23">
        <v>0</v>
      </c>
      <c r="I6420" s="23">
        <v>0</v>
      </c>
      <c r="J6420" s="23">
        <v>0</v>
      </c>
      <c r="K6420" s="23">
        <v>0</v>
      </c>
    </row>
    <row r="6421" spans="1:11" x14ac:dyDescent="0.25">
      <c r="A6421">
        <v>6420</v>
      </c>
      <c r="B6421" s="23">
        <v>1967.7385870000001</v>
      </c>
      <c r="C6421" s="23">
        <v>430.28</v>
      </c>
      <c r="D6421" s="23">
        <v>1644.23</v>
      </c>
      <c r="E6421" s="23">
        <v>1644.23</v>
      </c>
      <c r="F6421" s="23">
        <v>0</v>
      </c>
      <c r="G6421" s="23">
        <v>0</v>
      </c>
      <c r="H6421" s="23">
        <v>0</v>
      </c>
      <c r="I6421" s="23">
        <v>0</v>
      </c>
      <c r="J6421" s="23">
        <v>0</v>
      </c>
      <c r="K6421" s="23">
        <v>323.50799999999998</v>
      </c>
    </row>
    <row r="6422" spans="1:11" x14ac:dyDescent="0.25">
      <c r="A6422">
        <v>6421</v>
      </c>
      <c r="B6422" s="23">
        <v>1715.351171</v>
      </c>
      <c r="C6422" s="23">
        <v>681.36</v>
      </c>
      <c r="D6422" s="23">
        <v>2576.712</v>
      </c>
      <c r="E6422" s="23">
        <v>1715.3510000000001</v>
      </c>
      <c r="F6422" s="23">
        <v>-861.36099999999999</v>
      </c>
      <c r="G6422" s="23">
        <v>0</v>
      </c>
      <c r="H6422" s="23">
        <v>0</v>
      </c>
      <c r="I6422" s="23">
        <v>0</v>
      </c>
      <c r="J6422" s="23">
        <v>0</v>
      </c>
      <c r="K6422" s="23">
        <v>0</v>
      </c>
    </row>
    <row r="6423" spans="1:11" x14ac:dyDescent="0.25">
      <c r="A6423">
        <v>6422</v>
      </c>
      <c r="B6423" s="23">
        <v>1757.0441390000001</v>
      </c>
      <c r="C6423" s="23">
        <v>575.34</v>
      </c>
      <c r="D6423" s="23">
        <v>2199.0120000000002</v>
      </c>
      <c r="E6423" s="23">
        <v>1757.0440000000001</v>
      </c>
      <c r="F6423" s="23">
        <v>-441.96800000000002</v>
      </c>
      <c r="G6423" s="23">
        <v>0</v>
      </c>
      <c r="H6423" s="23">
        <v>0</v>
      </c>
      <c r="I6423" s="23">
        <v>0</v>
      </c>
      <c r="J6423" s="23">
        <v>0</v>
      </c>
      <c r="K6423" s="23">
        <v>0</v>
      </c>
    </row>
    <row r="6424" spans="1:11" x14ac:dyDescent="0.25">
      <c r="A6424">
        <v>6423</v>
      </c>
      <c r="B6424" s="23">
        <v>1950.1112860000001</v>
      </c>
      <c r="C6424" s="23">
        <v>249.57</v>
      </c>
      <c r="D6424" s="23">
        <v>960.87300000000005</v>
      </c>
      <c r="E6424" s="23">
        <v>960.87300000000005</v>
      </c>
      <c r="F6424" s="23">
        <v>0</v>
      </c>
      <c r="G6424" s="23">
        <v>0</v>
      </c>
      <c r="H6424" s="23">
        <v>0</v>
      </c>
      <c r="I6424" s="23">
        <v>989.23900000000003</v>
      </c>
      <c r="J6424" s="23">
        <v>0</v>
      </c>
      <c r="K6424" s="23">
        <v>0</v>
      </c>
    </row>
    <row r="6425" spans="1:11" x14ac:dyDescent="0.25">
      <c r="A6425">
        <v>6424</v>
      </c>
      <c r="B6425" s="23">
        <v>1726.1516369999999</v>
      </c>
      <c r="C6425" s="23">
        <v>337.35</v>
      </c>
      <c r="D6425" s="23">
        <v>1326.0920000000001</v>
      </c>
      <c r="E6425" s="23">
        <v>1326.0920000000001</v>
      </c>
      <c r="F6425" s="23">
        <v>0</v>
      </c>
      <c r="G6425" s="23">
        <v>0</v>
      </c>
      <c r="H6425" s="23">
        <v>0</v>
      </c>
      <c r="I6425" s="23">
        <v>400.06</v>
      </c>
      <c r="J6425" s="23">
        <v>0</v>
      </c>
      <c r="K6425" s="23">
        <v>0</v>
      </c>
    </row>
    <row r="6426" spans="1:11" x14ac:dyDescent="0.25">
      <c r="A6426">
        <v>6425</v>
      </c>
      <c r="B6426" s="23">
        <v>2137.6079890000001</v>
      </c>
      <c r="C6426" s="23">
        <v>238.58</v>
      </c>
      <c r="D6426" s="23">
        <v>905.52200000000005</v>
      </c>
      <c r="E6426" s="23">
        <v>905.52200000000005</v>
      </c>
      <c r="F6426" s="23">
        <v>0</v>
      </c>
      <c r="G6426" s="23">
        <v>0</v>
      </c>
      <c r="H6426" s="23">
        <v>0</v>
      </c>
      <c r="I6426" s="23">
        <v>1232.086</v>
      </c>
      <c r="J6426" s="23">
        <v>0</v>
      </c>
      <c r="K6426" s="23">
        <v>0</v>
      </c>
    </row>
    <row r="6427" spans="1:11" x14ac:dyDescent="0.25">
      <c r="A6427">
        <v>6426</v>
      </c>
      <c r="B6427" s="23">
        <v>1644.140678</v>
      </c>
      <c r="C6427" s="23">
        <v>28.93</v>
      </c>
      <c r="D6427" s="23">
        <v>65.125</v>
      </c>
      <c r="E6427" s="23">
        <v>65.125</v>
      </c>
      <c r="F6427" s="23">
        <v>0</v>
      </c>
      <c r="G6427" s="23">
        <v>0</v>
      </c>
      <c r="H6427" s="23">
        <v>0</v>
      </c>
      <c r="I6427" s="23">
        <v>0</v>
      </c>
      <c r="J6427" s="23">
        <v>0</v>
      </c>
      <c r="K6427" s="23">
        <v>1579.0160000000001</v>
      </c>
    </row>
    <row r="6428" spans="1:11" x14ac:dyDescent="0.25">
      <c r="A6428">
        <v>6427</v>
      </c>
      <c r="B6428" s="23">
        <v>1812.776179</v>
      </c>
      <c r="C6428" s="23">
        <v>0</v>
      </c>
      <c r="D6428" s="23">
        <v>0</v>
      </c>
      <c r="E6428" s="23">
        <v>0</v>
      </c>
      <c r="F6428" s="23">
        <v>0</v>
      </c>
      <c r="G6428" s="23">
        <v>0</v>
      </c>
      <c r="H6428" s="23">
        <v>0</v>
      </c>
      <c r="I6428" s="23">
        <v>128.21700000000001</v>
      </c>
      <c r="J6428" s="23">
        <v>0</v>
      </c>
      <c r="K6428" s="23">
        <v>1684.559</v>
      </c>
    </row>
    <row r="6429" spans="1:11" x14ac:dyDescent="0.25">
      <c r="A6429">
        <v>6428</v>
      </c>
      <c r="B6429" s="23">
        <v>1637.2954420000001</v>
      </c>
      <c r="C6429" s="23">
        <v>0</v>
      </c>
      <c r="D6429" s="23">
        <v>0</v>
      </c>
      <c r="E6429" s="23">
        <v>0</v>
      </c>
      <c r="F6429" s="23">
        <v>0</v>
      </c>
      <c r="G6429" s="23">
        <v>0</v>
      </c>
      <c r="H6429" s="23">
        <v>0</v>
      </c>
      <c r="I6429" s="23">
        <v>0</v>
      </c>
      <c r="J6429" s="23">
        <v>0</v>
      </c>
      <c r="K6429" s="23">
        <v>1637.2950000000001</v>
      </c>
    </row>
    <row r="6430" spans="1:11" x14ac:dyDescent="0.25">
      <c r="A6430">
        <v>6429</v>
      </c>
      <c r="B6430" s="23">
        <v>1228.380496</v>
      </c>
      <c r="C6430" s="23">
        <v>0</v>
      </c>
      <c r="D6430" s="23">
        <v>0</v>
      </c>
      <c r="E6430" s="23">
        <v>0</v>
      </c>
      <c r="F6430" s="23">
        <v>0</v>
      </c>
      <c r="G6430" s="23">
        <v>0</v>
      </c>
      <c r="H6430" s="23">
        <v>0</v>
      </c>
      <c r="I6430" s="23">
        <v>1228.3800000000001</v>
      </c>
      <c r="J6430" s="23">
        <v>0</v>
      </c>
      <c r="K6430" s="23">
        <v>0</v>
      </c>
    </row>
    <row r="6431" spans="1:11" x14ac:dyDescent="0.25">
      <c r="A6431">
        <v>6430</v>
      </c>
      <c r="B6431" s="23">
        <v>1411.574392</v>
      </c>
      <c r="C6431" s="23">
        <v>0</v>
      </c>
      <c r="D6431" s="23">
        <v>0</v>
      </c>
      <c r="E6431" s="23">
        <v>0</v>
      </c>
      <c r="F6431" s="23">
        <v>0</v>
      </c>
      <c r="G6431" s="23">
        <v>0</v>
      </c>
      <c r="H6431" s="23">
        <v>0</v>
      </c>
      <c r="I6431" s="23">
        <v>1411.5740000000001</v>
      </c>
      <c r="J6431" s="23">
        <v>0</v>
      </c>
      <c r="K6431" s="23">
        <v>0</v>
      </c>
    </row>
    <row r="6432" spans="1:11" x14ac:dyDescent="0.25">
      <c r="A6432">
        <v>6431</v>
      </c>
      <c r="B6432" s="23">
        <v>1350.2371499999999</v>
      </c>
      <c r="C6432" s="23">
        <v>0</v>
      </c>
      <c r="D6432" s="23">
        <v>0</v>
      </c>
      <c r="E6432" s="23">
        <v>0</v>
      </c>
      <c r="F6432" s="23">
        <v>0</v>
      </c>
      <c r="G6432" s="23">
        <v>0</v>
      </c>
      <c r="H6432" s="23">
        <v>0</v>
      </c>
      <c r="I6432" s="23">
        <v>1350.2370000000001</v>
      </c>
      <c r="J6432" s="23">
        <v>0</v>
      </c>
      <c r="K6432" s="23">
        <v>0</v>
      </c>
    </row>
    <row r="6433" spans="1:11" x14ac:dyDescent="0.25">
      <c r="A6433">
        <v>6432</v>
      </c>
      <c r="B6433" s="23">
        <v>369.65911080000001</v>
      </c>
      <c r="C6433" s="23">
        <v>0</v>
      </c>
      <c r="D6433" s="23">
        <v>0</v>
      </c>
      <c r="E6433" s="23">
        <v>0</v>
      </c>
      <c r="F6433" s="23">
        <v>0</v>
      </c>
      <c r="G6433" s="23">
        <v>0</v>
      </c>
      <c r="H6433" s="23">
        <v>0</v>
      </c>
      <c r="I6433" s="23">
        <v>369.65899999999999</v>
      </c>
      <c r="J6433" s="23">
        <v>0</v>
      </c>
      <c r="K6433" s="23">
        <v>0</v>
      </c>
    </row>
    <row r="6434" spans="1:11" x14ac:dyDescent="0.25">
      <c r="A6434">
        <v>6433</v>
      </c>
      <c r="B6434" s="23">
        <v>112.860525</v>
      </c>
      <c r="C6434" s="23">
        <v>0</v>
      </c>
      <c r="D6434" s="23">
        <v>0</v>
      </c>
      <c r="E6434" s="23">
        <v>0</v>
      </c>
      <c r="F6434" s="23">
        <v>0</v>
      </c>
      <c r="G6434" s="23">
        <v>0</v>
      </c>
      <c r="H6434" s="23">
        <v>0</v>
      </c>
      <c r="I6434" s="23">
        <v>112.861</v>
      </c>
      <c r="J6434" s="23">
        <v>0</v>
      </c>
      <c r="K6434" s="23">
        <v>0</v>
      </c>
    </row>
    <row r="6435" spans="1:11" x14ac:dyDescent="0.25">
      <c r="A6435">
        <v>6434</v>
      </c>
      <c r="B6435" s="23">
        <v>119.4031641</v>
      </c>
      <c r="C6435" s="23">
        <v>0</v>
      </c>
      <c r="D6435" s="23">
        <v>0</v>
      </c>
      <c r="E6435" s="23">
        <v>0</v>
      </c>
      <c r="F6435" s="23">
        <v>0</v>
      </c>
      <c r="G6435" s="23">
        <v>0</v>
      </c>
      <c r="H6435" s="23">
        <v>0</v>
      </c>
      <c r="I6435" s="23">
        <v>119.40300000000001</v>
      </c>
      <c r="J6435" s="23">
        <v>0</v>
      </c>
      <c r="K6435" s="23">
        <v>0</v>
      </c>
    </row>
    <row r="6436" spans="1:11" x14ac:dyDescent="0.25">
      <c r="A6436">
        <v>6435</v>
      </c>
      <c r="B6436" s="23">
        <v>113.6783549</v>
      </c>
      <c r="C6436" s="23">
        <v>0</v>
      </c>
      <c r="D6436" s="23">
        <v>0</v>
      </c>
      <c r="E6436" s="23">
        <v>0</v>
      </c>
      <c r="F6436" s="23">
        <v>0</v>
      </c>
      <c r="G6436" s="23">
        <v>0</v>
      </c>
      <c r="H6436" s="23">
        <v>0</v>
      </c>
      <c r="I6436" s="23">
        <v>113.678</v>
      </c>
      <c r="J6436" s="23">
        <v>0</v>
      </c>
      <c r="K6436" s="23">
        <v>0</v>
      </c>
    </row>
    <row r="6437" spans="1:11" x14ac:dyDescent="0.25">
      <c r="A6437">
        <v>6436</v>
      </c>
      <c r="B6437" s="23">
        <v>116.1318445</v>
      </c>
      <c r="C6437" s="23">
        <v>0</v>
      </c>
      <c r="D6437" s="23">
        <v>0</v>
      </c>
      <c r="E6437" s="23">
        <v>0</v>
      </c>
      <c r="F6437" s="23">
        <v>0</v>
      </c>
      <c r="G6437" s="23">
        <v>0</v>
      </c>
      <c r="H6437" s="23">
        <v>0</v>
      </c>
      <c r="I6437" s="23">
        <v>116.13200000000001</v>
      </c>
      <c r="J6437" s="23">
        <v>0</v>
      </c>
      <c r="K6437" s="23">
        <v>0</v>
      </c>
    </row>
    <row r="6438" spans="1:11" x14ac:dyDescent="0.25">
      <c r="A6438">
        <v>6437</v>
      </c>
      <c r="B6438" s="23">
        <v>112.860525</v>
      </c>
      <c r="C6438" s="23">
        <v>0</v>
      </c>
      <c r="D6438" s="23">
        <v>0</v>
      </c>
      <c r="E6438" s="23">
        <v>0</v>
      </c>
      <c r="F6438" s="23">
        <v>0</v>
      </c>
      <c r="G6438" s="23">
        <v>0</v>
      </c>
      <c r="H6438" s="23">
        <v>0</v>
      </c>
      <c r="I6438" s="23">
        <v>112.861</v>
      </c>
      <c r="J6438" s="23">
        <v>0</v>
      </c>
      <c r="K6438" s="23">
        <v>0</v>
      </c>
    </row>
    <row r="6439" spans="1:11" x14ac:dyDescent="0.25">
      <c r="A6439">
        <v>6438</v>
      </c>
      <c r="B6439" s="23">
        <v>116.94967440000001</v>
      </c>
      <c r="C6439" s="23">
        <v>0</v>
      </c>
      <c r="D6439" s="23">
        <v>0</v>
      </c>
      <c r="E6439" s="23">
        <v>0</v>
      </c>
      <c r="F6439" s="23">
        <v>0</v>
      </c>
      <c r="G6439" s="23">
        <v>0</v>
      </c>
      <c r="H6439" s="23">
        <v>0</v>
      </c>
      <c r="I6439" s="23">
        <v>116.95</v>
      </c>
      <c r="J6439" s="23">
        <v>0</v>
      </c>
      <c r="K6439" s="23">
        <v>0</v>
      </c>
    </row>
    <row r="6440" spans="1:11" x14ac:dyDescent="0.25">
      <c r="A6440">
        <v>6439</v>
      </c>
      <c r="B6440" s="23">
        <v>100.5930766</v>
      </c>
      <c r="C6440" s="23">
        <v>62.51</v>
      </c>
      <c r="D6440" s="23">
        <v>221.78200000000001</v>
      </c>
      <c r="E6440" s="23">
        <v>100.593</v>
      </c>
      <c r="F6440" s="23">
        <v>-121.18899999999999</v>
      </c>
      <c r="G6440" s="23">
        <v>0</v>
      </c>
      <c r="H6440" s="23">
        <v>0</v>
      </c>
      <c r="I6440" s="23">
        <v>0</v>
      </c>
      <c r="J6440" s="23">
        <v>0</v>
      </c>
      <c r="K6440" s="23">
        <v>0</v>
      </c>
    </row>
    <row r="6441" spans="1:11" x14ac:dyDescent="0.25">
      <c r="A6441">
        <v>6440</v>
      </c>
      <c r="B6441" s="23">
        <v>225.14447989999999</v>
      </c>
      <c r="C6441" s="23">
        <v>213.25</v>
      </c>
      <c r="D6441" s="23">
        <v>842.18899999999996</v>
      </c>
      <c r="E6441" s="23">
        <v>225.14400000000001</v>
      </c>
      <c r="F6441" s="23">
        <v>-617.04499999999996</v>
      </c>
      <c r="G6441" s="23">
        <v>0</v>
      </c>
      <c r="H6441" s="23">
        <v>0</v>
      </c>
      <c r="I6441" s="23">
        <v>0</v>
      </c>
      <c r="J6441" s="23">
        <v>0</v>
      </c>
      <c r="K6441" s="23">
        <v>0</v>
      </c>
    </row>
    <row r="6442" spans="1:11" x14ac:dyDescent="0.25">
      <c r="A6442">
        <v>6441</v>
      </c>
      <c r="B6442" s="23">
        <v>1240.0192380000001</v>
      </c>
      <c r="C6442" s="23">
        <v>592.54</v>
      </c>
      <c r="D6442" s="23">
        <v>2354.5070000000001</v>
      </c>
      <c r="E6442" s="23">
        <v>1240.019</v>
      </c>
      <c r="F6442" s="23">
        <v>-1114.4880000000001</v>
      </c>
      <c r="G6442" s="23">
        <v>0</v>
      </c>
      <c r="H6442" s="23">
        <v>0</v>
      </c>
      <c r="I6442" s="23">
        <v>0</v>
      </c>
      <c r="J6442" s="23">
        <v>0</v>
      </c>
      <c r="K6442" s="23">
        <v>0</v>
      </c>
    </row>
    <row r="6443" spans="1:11" x14ac:dyDescent="0.25">
      <c r="A6443">
        <v>6442</v>
      </c>
      <c r="B6443" s="23">
        <v>1266.4218539999999</v>
      </c>
      <c r="C6443" s="23">
        <v>795.58</v>
      </c>
      <c r="D6443" s="23">
        <v>3075.6469999999999</v>
      </c>
      <c r="E6443" s="23">
        <v>1266.422</v>
      </c>
      <c r="F6443" s="23">
        <v>-1684.559</v>
      </c>
      <c r="G6443" s="23">
        <v>0</v>
      </c>
      <c r="H6443" s="23">
        <v>124.666</v>
      </c>
      <c r="I6443" s="23">
        <v>0</v>
      </c>
      <c r="J6443" s="23">
        <v>0</v>
      </c>
      <c r="K6443" s="23">
        <v>0</v>
      </c>
    </row>
    <row r="6444" spans="1:11" x14ac:dyDescent="0.25">
      <c r="A6444">
        <v>6443</v>
      </c>
      <c r="B6444" s="23">
        <v>1701.819154</v>
      </c>
      <c r="C6444" s="23">
        <v>929.41</v>
      </c>
      <c r="D6444" s="23">
        <v>3515.16</v>
      </c>
      <c r="E6444" s="23">
        <v>1701.819</v>
      </c>
      <c r="F6444" s="23">
        <v>-1684.559</v>
      </c>
      <c r="G6444" s="23">
        <v>0</v>
      </c>
      <c r="H6444" s="23">
        <v>128.78200000000001</v>
      </c>
      <c r="I6444" s="23">
        <v>0</v>
      </c>
      <c r="J6444" s="23">
        <v>0</v>
      </c>
      <c r="K6444" s="23">
        <v>0</v>
      </c>
    </row>
    <row r="6445" spans="1:11" x14ac:dyDescent="0.25">
      <c r="A6445">
        <v>6444</v>
      </c>
      <c r="B6445" s="23">
        <v>1591.6165759999999</v>
      </c>
      <c r="C6445" s="23">
        <v>992.44</v>
      </c>
      <c r="D6445" s="23">
        <v>3713.944</v>
      </c>
      <c r="E6445" s="23">
        <v>1591.617</v>
      </c>
      <c r="F6445" s="23">
        <v>-1684.559</v>
      </c>
      <c r="G6445" s="23">
        <v>0</v>
      </c>
      <c r="H6445" s="23">
        <v>437.76799999999997</v>
      </c>
      <c r="I6445" s="23">
        <v>0</v>
      </c>
      <c r="J6445" s="23">
        <v>0</v>
      </c>
      <c r="K6445" s="23">
        <v>0</v>
      </c>
    </row>
    <row r="6446" spans="1:11" x14ac:dyDescent="0.25">
      <c r="A6446">
        <v>6445</v>
      </c>
      <c r="B6446" s="23">
        <v>1439.8743730000001</v>
      </c>
      <c r="C6446" s="23">
        <v>971.24</v>
      </c>
      <c r="D6446" s="23">
        <v>3646.8609999999999</v>
      </c>
      <c r="E6446" s="23">
        <v>1439.874</v>
      </c>
      <c r="F6446" s="23">
        <v>-385.09899999999999</v>
      </c>
      <c r="G6446" s="23">
        <v>0</v>
      </c>
      <c r="H6446" s="23">
        <v>1821.8879999999999</v>
      </c>
      <c r="I6446" s="23">
        <v>0</v>
      </c>
      <c r="J6446" s="23">
        <v>0</v>
      </c>
      <c r="K6446" s="23">
        <v>0</v>
      </c>
    </row>
    <row r="6447" spans="1:11" x14ac:dyDescent="0.25">
      <c r="A6447">
        <v>6446</v>
      </c>
      <c r="B6447" s="23">
        <v>1622.9691069999999</v>
      </c>
      <c r="C6447" s="23">
        <v>866.91</v>
      </c>
      <c r="D6447" s="23">
        <v>3297.527</v>
      </c>
      <c r="E6447" s="23">
        <v>1622.9690000000001</v>
      </c>
      <c r="F6447" s="23">
        <v>0</v>
      </c>
      <c r="G6447" s="23">
        <v>0</v>
      </c>
      <c r="H6447" s="23">
        <v>1674.558</v>
      </c>
      <c r="I6447" s="23">
        <v>0</v>
      </c>
      <c r="J6447" s="23">
        <v>0</v>
      </c>
      <c r="K6447" s="23">
        <v>0</v>
      </c>
    </row>
    <row r="6448" spans="1:11" x14ac:dyDescent="0.25">
      <c r="A6448">
        <v>6447</v>
      </c>
      <c r="B6448" s="23">
        <v>1764.854415</v>
      </c>
      <c r="C6448" s="23">
        <v>704.99</v>
      </c>
      <c r="D6448" s="23">
        <v>2737.6</v>
      </c>
      <c r="E6448" s="23">
        <v>1764.855</v>
      </c>
      <c r="F6448" s="23">
        <v>0</v>
      </c>
      <c r="G6448" s="23">
        <v>0</v>
      </c>
      <c r="H6448" s="23">
        <v>972.745</v>
      </c>
      <c r="I6448" s="23">
        <v>0</v>
      </c>
      <c r="J6448" s="23">
        <v>0</v>
      </c>
      <c r="K6448" s="23">
        <v>0</v>
      </c>
    </row>
    <row r="6449" spans="1:11" x14ac:dyDescent="0.25">
      <c r="A6449">
        <v>6448</v>
      </c>
      <c r="B6449" s="23">
        <v>1749.622333</v>
      </c>
      <c r="C6449" s="23">
        <v>487.19</v>
      </c>
      <c r="D6449" s="23">
        <v>1935.502</v>
      </c>
      <c r="E6449" s="23">
        <v>1749.623</v>
      </c>
      <c r="F6449" s="23">
        <v>0</v>
      </c>
      <c r="G6449" s="23">
        <v>0</v>
      </c>
      <c r="H6449" s="23">
        <v>185.87899999999999</v>
      </c>
      <c r="I6449" s="23">
        <v>0</v>
      </c>
      <c r="J6449" s="23">
        <v>0</v>
      </c>
      <c r="K6449" s="23">
        <v>0</v>
      </c>
    </row>
    <row r="6450" spans="1:11" x14ac:dyDescent="0.25">
      <c r="A6450">
        <v>6449</v>
      </c>
      <c r="B6450" s="23">
        <v>1578.7459779999999</v>
      </c>
      <c r="C6450" s="23">
        <v>208.02</v>
      </c>
      <c r="D6450" s="23">
        <v>799.56200000000001</v>
      </c>
      <c r="E6450" s="23">
        <v>799.56200000000001</v>
      </c>
      <c r="F6450" s="23">
        <v>0</v>
      </c>
      <c r="G6450" s="23">
        <v>0</v>
      </c>
      <c r="H6450" s="23">
        <v>0</v>
      </c>
      <c r="I6450" s="23">
        <v>779.18399999999997</v>
      </c>
      <c r="J6450" s="23">
        <v>0</v>
      </c>
      <c r="K6450" s="23">
        <v>0</v>
      </c>
    </row>
    <row r="6451" spans="1:11" x14ac:dyDescent="0.25">
      <c r="A6451">
        <v>6450</v>
      </c>
      <c r="B6451" s="23">
        <v>1433.920572</v>
      </c>
      <c r="C6451" s="23">
        <v>19.59</v>
      </c>
      <c r="D6451" s="23">
        <v>43.283999999999999</v>
      </c>
      <c r="E6451" s="23">
        <v>43.283999999999999</v>
      </c>
      <c r="F6451" s="23">
        <v>0</v>
      </c>
      <c r="G6451" s="23">
        <v>0</v>
      </c>
      <c r="H6451" s="23">
        <v>0</v>
      </c>
      <c r="I6451" s="23">
        <v>0</v>
      </c>
      <c r="J6451" s="23">
        <v>0</v>
      </c>
      <c r="K6451" s="23">
        <v>1390.6369999999999</v>
      </c>
    </row>
    <row r="6452" spans="1:11" x14ac:dyDescent="0.25">
      <c r="A6452">
        <v>6451</v>
      </c>
      <c r="B6452" s="23">
        <v>1471.9557950000001</v>
      </c>
      <c r="C6452" s="23">
        <v>0</v>
      </c>
      <c r="D6452" s="23">
        <v>0</v>
      </c>
      <c r="E6452" s="23">
        <v>0</v>
      </c>
      <c r="F6452" s="23">
        <v>0</v>
      </c>
      <c r="G6452" s="23">
        <v>0</v>
      </c>
      <c r="H6452" s="23">
        <v>0</v>
      </c>
      <c r="I6452" s="23">
        <v>0</v>
      </c>
      <c r="J6452" s="23">
        <v>0</v>
      </c>
      <c r="K6452" s="23">
        <v>1471.9559999999999</v>
      </c>
    </row>
    <row r="6453" spans="1:11" x14ac:dyDescent="0.25">
      <c r="A6453">
        <v>6452</v>
      </c>
      <c r="B6453" s="23">
        <v>1491.7217209999999</v>
      </c>
      <c r="C6453" s="23">
        <v>0</v>
      </c>
      <c r="D6453" s="23">
        <v>0</v>
      </c>
      <c r="E6453" s="23">
        <v>0</v>
      </c>
      <c r="F6453" s="23">
        <v>0</v>
      </c>
      <c r="G6453" s="23">
        <v>0</v>
      </c>
      <c r="H6453" s="23">
        <v>0</v>
      </c>
      <c r="I6453" s="23">
        <v>0</v>
      </c>
      <c r="J6453" s="23">
        <v>0</v>
      </c>
      <c r="K6453" s="23">
        <v>1491.722</v>
      </c>
    </row>
    <row r="6454" spans="1:11" x14ac:dyDescent="0.25">
      <c r="A6454">
        <v>6453</v>
      </c>
      <c r="B6454" s="23">
        <v>1544.0628340000001</v>
      </c>
      <c r="C6454" s="23">
        <v>0</v>
      </c>
      <c r="D6454" s="23">
        <v>0</v>
      </c>
      <c r="E6454" s="23">
        <v>0</v>
      </c>
      <c r="F6454" s="23">
        <v>0</v>
      </c>
      <c r="G6454" s="23">
        <v>0</v>
      </c>
      <c r="H6454" s="23">
        <v>0</v>
      </c>
      <c r="I6454" s="23">
        <v>1544.0630000000001</v>
      </c>
      <c r="J6454" s="23">
        <v>0</v>
      </c>
      <c r="K6454" s="23">
        <v>0</v>
      </c>
    </row>
    <row r="6455" spans="1:11" x14ac:dyDescent="0.25">
      <c r="A6455">
        <v>6454</v>
      </c>
      <c r="B6455" s="23">
        <v>1414.845712</v>
      </c>
      <c r="C6455" s="23">
        <v>0</v>
      </c>
      <c r="D6455" s="23">
        <v>0</v>
      </c>
      <c r="E6455" s="23">
        <v>0</v>
      </c>
      <c r="F6455" s="23">
        <v>0</v>
      </c>
      <c r="G6455" s="23">
        <v>0</v>
      </c>
      <c r="H6455" s="23">
        <v>0</v>
      </c>
      <c r="I6455" s="23">
        <v>1414.846</v>
      </c>
      <c r="J6455" s="23">
        <v>0</v>
      </c>
      <c r="K6455" s="23">
        <v>0</v>
      </c>
    </row>
    <row r="6456" spans="1:11" x14ac:dyDescent="0.25">
      <c r="A6456">
        <v>6455</v>
      </c>
      <c r="B6456" s="23">
        <v>1431.202309</v>
      </c>
      <c r="C6456" s="23">
        <v>0</v>
      </c>
      <c r="D6456" s="23">
        <v>0</v>
      </c>
      <c r="E6456" s="23">
        <v>0</v>
      </c>
      <c r="F6456" s="23">
        <v>0</v>
      </c>
      <c r="G6456" s="23">
        <v>0</v>
      </c>
      <c r="H6456" s="23">
        <v>0</v>
      </c>
      <c r="I6456" s="23">
        <v>1431.202</v>
      </c>
      <c r="J6456" s="23">
        <v>0</v>
      </c>
      <c r="K6456" s="23">
        <v>0</v>
      </c>
    </row>
    <row r="6457" spans="1:11" x14ac:dyDescent="0.25">
      <c r="A6457">
        <v>6456</v>
      </c>
      <c r="B6457" s="23">
        <v>482.5196358</v>
      </c>
      <c r="C6457" s="23">
        <v>0</v>
      </c>
      <c r="D6457" s="23">
        <v>0</v>
      </c>
      <c r="E6457" s="23">
        <v>0</v>
      </c>
      <c r="F6457" s="23">
        <v>0</v>
      </c>
      <c r="G6457" s="23">
        <v>0</v>
      </c>
      <c r="H6457" s="23">
        <v>0</v>
      </c>
      <c r="I6457" s="23">
        <v>482.52</v>
      </c>
      <c r="J6457" s="23">
        <v>0</v>
      </c>
      <c r="K6457" s="23">
        <v>0</v>
      </c>
    </row>
    <row r="6458" spans="1:11" x14ac:dyDescent="0.25">
      <c r="A6458">
        <v>6457</v>
      </c>
      <c r="B6458" s="23">
        <v>426.08937329999998</v>
      </c>
      <c r="C6458" s="23">
        <v>0</v>
      </c>
      <c r="D6458" s="23">
        <v>0</v>
      </c>
      <c r="E6458" s="23">
        <v>0</v>
      </c>
      <c r="F6458" s="23">
        <v>0</v>
      </c>
      <c r="G6458" s="23">
        <v>0</v>
      </c>
      <c r="H6458" s="23">
        <v>0</v>
      </c>
      <c r="I6458" s="23">
        <v>426.089</v>
      </c>
      <c r="J6458" s="23">
        <v>0</v>
      </c>
      <c r="K6458" s="23">
        <v>0</v>
      </c>
    </row>
    <row r="6459" spans="1:11" x14ac:dyDescent="0.25">
      <c r="A6459">
        <v>6458</v>
      </c>
      <c r="B6459" s="23">
        <v>399.10098690000001</v>
      </c>
      <c r="C6459" s="23">
        <v>0</v>
      </c>
      <c r="D6459" s="23">
        <v>0</v>
      </c>
      <c r="E6459" s="23">
        <v>0</v>
      </c>
      <c r="F6459" s="23">
        <v>0</v>
      </c>
      <c r="G6459" s="23">
        <v>0</v>
      </c>
      <c r="H6459" s="23">
        <v>0</v>
      </c>
      <c r="I6459" s="23">
        <v>399.101</v>
      </c>
      <c r="J6459" s="23">
        <v>0</v>
      </c>
      <c r="K6459" s="23">
        <v>0</v>
      </c>
    </row>
    <row r="6460" spans="1:11" x14ac:dyDescent="0.25">
      <c r="A6460">
        <v>6459</v>
      </c>
      <c r="B6460" s="23">
        <v>440.81031130000002</v>
      </c>
      <c r="C6460" s="23">
        <v>0</v>
      </c>
      <c r="D6460" s="23">
        <v>0</v>
      </c>
      <c r="E6460" s="23">
        <v>0</v>
      </c>
      <c r="F6460" s="23">
        <v>0</v>
      </c>
      <c r="G6460" s="23">
        <v>0</v>
      </c>
      <c r="H6460" s="23">
        <v>0</v>
      </c>
      <c r="I6460" s="23">
        <v>440.81</v>
      </c>
      <c r="J6460" s="23">
        <v>0</v>
      </c>
      <c r="K6460" s="23">
        <v>0</v>
      </c>
    </row>
    <row r="6461" spans="1:11" x14ac:dyDescent="0.25">
      <c r="A6461">
        <v>6460</v>
      </c>
      <c r="B6461" s="23">
        <v>390.1048581</v>
      </c>
      <c r="C6461" s="23">
        <v>0</v>
      </c>
      <c r="D6461" s="23">
        <v>0</v>
      </c>
      <c r="E6461" s="23">
        <v>0</v>
      </c>
      <c r="F6461" s="23">
        <v>0</v>
      </c>
      <c r="G6461" s="23">
        <v>0</v>
      </c>
      <c r="H6461" s="23">
        <v>0</v>
      </c>
      <c r="I6461" s="23">
        <v>390.10500000000002</v>
      </c>
      <c r="J6461" s="23">
        <v>0</v>
      </c>
      <c r="K6461" s="23">
        <v>0</v>
      </c>
    </row>
    <row r="6462" spans="1:11" x14ac:dyDescent="0.25">
      <c r="A6462">
        <v>6461</v>
      </c>
      <c r="B6462" s="23">
        <v>392.55834770000001</v>
      </c>
      <c r="C6462" s="23">
        <v>0</v>
      </c>
      <c r="D6462" s="23">
        <v>0</v>
      </c>
      <c r="E6462" s="23">
        <v>0</v>
      </c>
      <c r="F6462" s="23">
        <v>0</v>
      </c>
      <c r="G6462" s="23">
        <v>0</v>
      </c>
      <c r="H6462" s="23">
        <v>0</v>
      </c>
      <c r="I6462" s="23">
        <v>392.55799999999999</v>
      </c>
      <c r="J6462" s="23">
        <v>0</v>
      </c>
      <c r="K6462" s="23">
        <v>0</v>
      </c>
    </row>
    <row r="6463" spans="1:11" x14ac:dyDescent="0.25">
      <c r="A6463">
        <v>6462</v>
      </c>
      <c r="B6463" s="23">
        <v>495.60491400000001</v>
      </c>
      <c r="C6463" s="23">
        <v>0</v>
      </c>
      <c r="D6463" s="23">
        <v>0</v>
      </c>
      <c r="E6463" s="23">
        <v>0</v>
      </c>
      <c r="F6463" s="23">
        <v>0</v>
      </c>
      <c r="G6463" s="23">
        <v>0</v>
      </c>
      <c r="H6463" s="23">
        <v>0</v>
      </c>
      <c r="I6463" s="23">
        <v>495.60500000000002</v>
      </c>
      <c r="J6463" s="23">
        <v>0</v>
      </c>
      <c r="K6463" s="23">
        <v>0</v>
      </c>
    </row>
    <row r="6464" spans="1:11" x14ac:dyDescent="0.25">
      <c r="A6464">
        <v>6463</v>
      </c>
      <c r="B6464" s="23">
        <v>433.4498423</v>
      </c>
      <c r="C6464" s="23">
        <v>76.540000000000006</v>
      </c>
      <c r="D6464" s="23">
        <v>275.52600000000001</v>
      </c>
      <c r="E6464" s="23">
        <v>0</v>
      </c>
      <c r="F6464" s="23">
        <v>-275.52600000000001</v>
      </c>
      <c r="G6464" s="23">
        <v>0</v>
      </c>
      <c r="H6464" s="23">
        <v>0</v>
      </c>
      <c r="I6464" s="23">
        <v>433.45</v>
      </c>
      <c r="J6464" s="23">
        <v>0</v>
      </c>
      <c r="K6464" s="23">
        <v>0</v>
      </c>
    </row>
    <row r="6465" spans="1:11" x14ac:dyDescent="0.25">
      <c r="A6465">
        <v>6464</v>
      </c>
      <c r="B6465" s="23">
        <v>442.79048189999997</v>
      </c>
      <c r="C6465" s="23">
        <v>239.98</v>
      </c>
      <c r="D6465" s="23">
        <v>957.38099999999997</v>
      </c>
      <c r="E6465" s="23">
        <v>0</v>
      </c>
      <c r="F6465" s="23">
        <v>-957.38099999999997</v>
      </c>
      <c r="G6465" s="23">
        <v>0</v>
      </c>
      <c r="H6465" s="23">
        <v>0</v>
      </c>
      <c r="I6465" s="23">
        <v>442.79</v>
      </c>
      <c r="J6465" s="23">
        <v>0</v>
      </c>
      <c r="K6465" s="23">
        <v>0</v>
      </c>
    </row>
    <row r="6466" spans="1:11" x14ac:dyDescent="0.25">
      <c r="A6466">
        <v>6465</v>
      </c>
      <c r="B6466" s="23">
        <v>1681.481769</v>
      </c>
      <c r="C6466" s="23">
        <v>608.42999999999995</v>
      </c>
      <c r="D6466" s="23">
        <v>2451.1689999999999</v>
      </c>
      <c r="E6466" s="23">
        <v>1546.404</v>
      </c>
      <c r="F6466" s="23">
        <v>-904.76499999999999</v>
      </c>
      <c r="G6466" s="23">
        <v>0</v>
      </c>
      <c r="H6466" s="23">
        <v>0</v>
      </c>
      <c r="I6466" s="23">
        <v>135.078</v>
      </c>
      <c r="J6466" s="23">
        <v>0</v>
      </c>
      <c r="K6466" s="23">
        <v>0</v>
      </c>
    </row>
    <row r="6467" spans="1:11" x14ac:dyDescent="0.25">
      <c r="A6467">
        <v>6466</v>
      </c>
      <c r="B6467" s="23">
        <v>1826.72938</v>
      </c>
      <c r="C6467" s="23">
        <v>451.03</v>
      </c>
      <c r="D6467" s="23">
        <v>1766.2249999999999</v>
      </c>
      <c r="E6467" s="23">
        <v>1766.2249999999999</v>
      </c>
      <c r="F6467" s="23">
        <v>0</v>
      </c>
      <c r="G6467" s="23">
        <v>0</v>
      </c>
      <c r="H6467" s="23">
        <v>0</v>
      </c>
      <c r="I6467" s="23">
        <v>60.503999999999998</v>
      </c>
      <c r="J6467" s="23">
        <v>0</v>
      </c>
      <c r="K6467" s="23">
        <v>0</v>
      </c>
    </row>
    <row r="6468" spans="1:11" x14ac:dyDescent="0.25">
      <c r="A6468">
        <v>6467</v>
      </c>
      <c r="B6468" s="23">
        <v>1832.1434139999999</v>
      </c>
      <c r="C6468" s="23">
        <v>432.09</v>
      </c>
      <c r="D6468" s="23">
        <v>1679.807</v>
      </c>
      <c r="E6468" s="23">
        <v>1679.807</v>
      </c>
      <c r="F6468" s="23">
        <v>0</v>
      </c>
      <c r="G6468" s="23">
        <v>0</v>
      </c>
      <c r="H6468" s="23">
        <v>0</v>
      </c>
      <c r="I6468" s="23">
        <v>0</v>
      </c>
      <c r="J6468" s="23">
        <v>0</v>
      </c>
      <c r="K6468" s="23">
        <v>152.33600000000001</v>
      </c>
    </row>
    <row r="6469" spans="1:11" x14ac:dyDescent="0.25">
      <c r="A6469">
        <v>6468</v>
      </c>
      <c r="B6469" s="23">
        <v>1642.4999069999999</v>
      </c>
      <c r="C6469" s="23">
        <v>484.52</v>
      </c>
      <c r="D6469" s="23">
        <v>1879.825</v>
      </c>
      <c r="E6469" s="23">
        <v>1642.5</v>
      </c>
      <c r="F6469" s="23">
        <v>-237.32499999999999</v>
      </c>
      <c r="G6469" s="23">
        <v>0</v>
      </c>
      <c r="H6469" s="23">
        <v>0</v>
      </c>
      <c r="I6469" s="23">
        <v>0</v>
      </c>
      <c r="J6469" s="23">
        <v>0</v>
      </c>
      <c r="K6469" s="23">
        <v>0</v>
      </c>
    </row>
    <row r="6470" spans="1:11" x14ac:dyDescent="0.25">
      <c r="A6470">
        <v>6469</v>
      </c>
      <c r="B6470" s="23">
        <v>1936.4576159999999</v>
      </c>
      <c r="C6470" s="23">
        <v>234.78</v>
      </c>
      <c r="D6470" s="23">
        <v>902.44299999999998</v>
      </c>
      <c r="E6470" s="23">
        <v>902.44299999999998</v>
      </c>
      <c r="F6470" s="23">
        <v>0</v>
      </c>
      <c r="G6470" s="23">
        <v>0</v>
      </c>
      <c r="H6470" s="23">
        <v>0</v>
      </c>
      <c r="I6470" s="23">
        <v>1034.0150000000001</v>
      </c>
      <c r="J6470" s="23">
        <v>0</v>
      </c>
      <c r="K6470" s="23">
        <v>0</v>
      </c>
    </row>
    <row r="6471" spans="1:11" x14ac:dyDescent="0.25">
      <c r="A6471">
        <v>6470</v>
      </c>
      <c r="B6471" s="23">
        <v>1870.010982</v>
      </c>
      <c r="C6471" s="23">
        <v>483.41</v>
      </c>
      <c r="D6471" s="23">
        <v>1890.9369999999999</v>
      </c>
      <c r="E6471" s="23">
        <v>1870.011</v>
      </c>
      <c r="F6471" s="23">
        <v>-20.925999999999998</v>
      </c>
      <c r="G6471" s="23">
        <v>0</v>
      </c>
      <c r="H6471" s="23">
        <v>0</v>
      </c>
      <c r="I6471" s="23">
        <v>0</v>
      </c>
      <c r="J6471" s="23">
        <v>0</v>
      </c>
      <c r="K6471" s="23">
        <v>0</v>
      </c>
    </row>
    <row r="6472" spans="1:11" x14ac:dyDescent="0.25">
      <c r="A6472">
        <v>6471</v>
      </c>
      <c r="B6472" s="23">
        <v>1945.9423979999999</v>
      </c>
      <c r="C6472" s="23">
        <v>576.54</v>
      </c>
      <c r="D6472" s="23">
        <v>2279.9499999999998</v>
      </c>
      <c r="E6472" s="23">
        <v>1945.943</v>
      </c>
      <c r="F6472" s="23">
        <v>-334.00700000000001</v>
      </c>
      <c r="G6472" s="23">
        <v>0</v>
      </c>
      <c r="H6472" s="23">
        <v>0</v>
      </c>
      <c r="I6472" s="23">
        <v>0</v>
      </c>
      <c r="J6472" s="23">
        <v>0</v>
      </c>
      <c r="K6472" s="23">
        <v>0</v>
      </c>
    </row>
    <row r="6473" spans="1:11" x14ac:dyDescent="0.25">
      <c r="A6473">
        <v>6472</v>
      </c>
      <c r="B6473" s="23">
        <v>1509.5258779999999</v>
      </c>
      <c r="C6473" s="23">
        <v>310.88</v>
      </c>
      <c r="D6473" s="23">
        <v>1241.8019999999999</v>
      </c>
      <c r="E6473" s="23">
        <v>1241.8019999999999</v>
      </c>
      <c r="F6473" s="23">
        <v>0</v>
      </c>
      <c r="G6473" s="23">
        <v>0</v>
      </c>
      <c r="H6473" s="23">
        <v>0</v>
      </c>
      <c r="I6473" s="23">
        <v>267.72399999999999</v>
      </c>
      <c r="J6473" s="23">
        <v>0</v>
      </c>
      <c r="K6473" s="23">
        <v>0</v>
      </c>
    </row>
    <row r="6474" spans="1:11" x14ac:dyDescent="0.25">
      <c r="A6474">
        <v>6473</v>
      </c>
      <c r="B6474" s="23">
        <v>1569.997243</v>
      </c>
      <c r="C6474" s="23">
        <v>126.16</v>
      </c>
      <c r="D6474" s="23">
        <v>486.584</v>
      </c>
      <c r="E6474" s="23">
        <v>486.584</v>
      </c>
      <c r="F6474" s="23">
        <v>0</v>
      </c>
      <c r="G6474" s="23">
        <v>0</v>
      </c>
      <c r="H6474" s="23">
        <v>0</v>
      </c>
      <c r="I6474" s="23">
        <v>1083.414</v>
      </c>
      <c r="J6474" s="23">
        <v>0</v>
      </c>
      <c r="K6474" s="23">
        <v>0</v>
      </c>
    </row>
    <row r="6475" spans="1:11" x14ac:dyDescent="0.25">
      <c r="A6475">
        <v>6474</v>
      </c>
      <c r="B6475" s="23">
        <v>1518.9094540000001</v>
      </c>
      <c r="C6475" s="23">
        <v>16.649999999999999</v>
      </c>
      <c r="D6475" s="23">
        <v>33.055999999999997</v>
      </c>
      <c r="E6475" s="23">
        <v>33.055999999999997</v>
      </c>
      <c r="F6475" s="23">
        <v>0</v>
      </c>
      <c r="G6475" s="23">
        <v>0</v>
      </c>
      <c r="H6475" s="23">
        <v>0</v>
      </c>
      <c r="I6475" s="23">
        <v>0</v>
      </c>
      <c r="J6475" s="23">
        <v>0</v>
      </c>
      <c r="K6475" s="23">
        <v>1485.854</v>
      </c>
    </row>
    <row r="6476" spans="1:11" x14ac:dyDescent="0.25">
      <c r="A6476">
        <v>6475</v>
      </c>
      <c r="B6476" s="23">
        <v>1387.3226689999999</v>
      </c>
      <c r="C6476" s="23">
        <v>0</v>
      </c>
      <c r="D6476" s="23">
        <v>0</v>
      </c>
      <c r="E6476" s="23">
        <v>0</v>
      </c>
      <c r="F6476" s="23">
        <v>0</v>
      </c>
      <c r="G6476" s="23">
        <v>0</v>
      </c>
      <c r="H6476" s="23">
        <v>0</v>
      </c>
      <c r="I6476" s="23">
        <v>0</v>
      </c>
      <c r="J6476" s="23">
        <v>0</v>
      </c>
      <c r="K6476" s="23">
        <v>1387.3230000000001</v>
      </c>
    </row>
    <row r="6477" spans="1:11" x14ac:dyDescent="0.25">
      <c r="A6477">
        <v>6476</v>
      </c>
      <c r="B6477" s="23">
        <v>1625.027994</v>
      </c>
      <c r="C6477" s="23">
        <v>0</v>
      </c>
      <c r="D6477" s="23">
        <v>0</v>
      </c>
      <c r="E6477" s="23">
        <v>0</v>
      </c>
      <c r="F6477" s="23">
        <v>0</v>
      </c>
      <c r="G6477" s="23">
        <v>0</v>
      </c>
      <c r="H6477" s="23">
        <v>0</v>
      </c>
      <c r="I6477" s="23">
        <v>0</v>
      </c>
      <c r="J6477" s="23">
        <v>0</v>
      </c>
      <c r="K6477" s="23">
        <v>1625.028</v>
      </c>
    </row>
    <row r="6478" spans="1:11" x14ac:dyDescent="0.25">
      <c r="A6478">
        <v>6477</v>
      </c>
      <c r="B6478" s="23">
        <v>1559.601602</v>
      </c>
      <c r="C6478" s="23">
        <v>0</v>
      </c>
      <c r="D6478" s="23">
        <v>0</v>
      </c>
      <c r="E6478" s="23">
        <v>0</v>
      </c>
      <c r="F6478" s="23">
        <v>0</v>
      </c>
      <c r="G6478" s="23">
        <v>0</v>
      </c>
      <c r="H6478" s="23">
        <v>0</v>
      </c>
      <c r="I6478" s="23">
        <v>1559.6020000000001</v>
      </c>
      <c r="J6478" s="23">
        <v>0</v>
      </c>
      <c r="K6478" s="23">
        <v>0</v>
      </c>
    </row>
    <row r="6479" spans="1:11" x14ac:dyDescent="0.25">
      <c r="A6479">
        <v>6478</v>
      </c>
      <c r="B6479" s="23">
        <v>1286.4464190000001</v>
      </c>
      <c r="C6479" s="23">
        <v>0</v>
      </c>
      <c r="D6479" s="23">
        <v>0</v>
      </c>
      <c r="E6479" s="23">
        <v>0</v>
      </c>
      <c r="F6479" s="23">
        <v>0</v>
      </c>
      <c r="G6479" s="23">
        <v>0</v>
      </c>
      <c r="H6479" s="23">
        <v>0</v>
      </c>
      <c r="I6479" s="23">
        <v>1286.4459999999999</v>
      </c>
      <c r="J6479" s="23">
        <v>0</v>
      </c>
      <c r="K6479" s="23">
        <v>0</v>
      </c>
    </row>
    <row r="6480" spans="1:11" x14ac:dyDescent="0.25">
      <c r="A6480">
        <v>6479</v>
      </c>
      <c r="B6480" s="23">
        <v>1165.4075949999999</v>
      </c>
      <c r="C6480" s="23">
        <v>0</v>
      </c>
      <c r="D6480" s="23">
        <v>0</v>
      </c>
      <c r="E6480" s="23">
        <v>0</v>
      </c>
      <c r="F6480" s="23">
        <v>0</v>
      </c>
      <c r="G6480" s="23">
        <v>0</v>
      </c>
      <c r="H6480" s="23">
        <v>0</v>
      </c>
      <c r="I6480" s="23">
        <v>1165.4079999999999</v>
      </c>
      <c r="J6480" s="23">
        <v>0</v>
      </c>
      <c r="K6480" s="23">
        <v>0</v>
      </c>
    </row>
    <row r="6481" spans="1:11" x14ac:dyDescent="0.25">
      <c r="A6481">
        <v>6480</v>
      </c>
      <c r="B6481" s="23">
        <v>1319.1596139999999</v>
      </c>
      <c r="C6481" s="23">
        <v>0</v>
      </c>
      <c r="D6481" s="23">
        <v>0</v>
      </c>
      <c r="E6481" s="23">
        <v>0</v>
      </c>
      <c r="F6481" s="23">
        <v>0</v>
      </c>
      <c r="G6481" s="23">
        <v>0</v>
      </c>
      <c r="H6481" s="23">
        <v>0</v>
      </c>
      <c r="I6481" s="23">
        <v>1319.16</v>
      </c>
      <c r="J6481" s="23">
        <v>0</v>
      </c>
      <c r="K6481" s="23">
        <v>0</v>
      </c>
    </row>
    <row r="6482" spans="1:11" x14ac:dyDescent="0.25">
      <c r="A6482">
        <v>6481</v>
      </c>
      <c r="B6482" s="23">
        <v>1503.1713400000001</v>
      </c>
      <c r="C6482" s="23">
        <v>0</v>
      </c>
      <c r="D6482" s="23">
        <v>0</v>
      </c>
      <c r="E6482" s="23">
        <v>0</v>
      </c>
      <c r="F6482" s="23">
        <v>0</v>
      </c>
      <c r="G6482" s="23">
        <v>0</v>
      </c>
      <c r="H6482" s="23">
        <v>0</v>
      </c>
      <c r="I6482" s="23">
        <v>1503.171</v>
      </c>
      <c r="J6482" s="23">
        <v>0</v>
      </c>
      <c r="K6482" s="23">
        <v>0</v>
      </c>
    </row>
    <row r="6483" spans="1:11" x14ac:dyDescent="0.25">
      <c r="A6483">
        <v>6482</v>
      </c>
      <c r="B6483" s="23">
        <v>924.96560680000005</v>
      </c>
      <c r="C6483" s="23">
        <v>0</v>
      </c>
      <c r="D6483" s="23">
        <v>0</v>
      </c>
      <c r="E6483" s="23">
        <v>0</v>
      </c>
      <c r="F6483" s="23">
        <v>0</v>
      </c>
      <c r="G6483" s="23">
        <v>0</v>
      </c>
      <c r="H6483" s="23">
        <v>0</v>
      </c>
      <c r="I6483" s="23">
        <v>924.96600000000001</v>
      </c>
      <c r="J6483" s="23">
        <v>0</v>
      </c>
      <c r="K6483" s="23">
        <v>0</v>
      </c>
    </row>
    <row r="6484" spans="1:11" x14ac:dyDescent="0.25">
      <c r="A6484">
        <v>6483</v>
      </c>
      <c r="B6484" s="23">
        <v>1193.2138110000001</v>
      </c>
      <c r="C6484" s="23">
        <v>0</v>
      </c>
      <c r="D6484" s="23">
        <v>0</v>
      </c>
      <c r="E6484" s="23">
        <v>0</v>
      </c>
      <c r="F6484" s="23">
        <v>0</v>
      </c>
      <c r="G6484" s="23">
        <v>0</v>
      </c>
      <c r="H6484" s="23">
        <v>0</v>
      </c>
      <c r="I6484" s="23">
        <v>1193.2139999999999</v>
      </c>
      <c r="J6484" s="23">
        <v>0</v>
      </c>
      <c r="K6484" s="23">
        <v>0</v>
      </c>
    </row>
    <row r="6485" spans="1:11" x14ac:dyDescent="0.25">
      <c r="A6485">
        <v>6484</v>
      </c>
      <c r="B6485" s="23">
        <v>1166.2254250000001</v>
      </c>
      <c r="C6485" s="23">
        <v>0</v>
      </c>
      <c r="D6485" s="23">
        <v>0</v>
      </c>
      <c r="E6485" s="23">
        <v>0</v>
      </c>
      <c r="F6485" s="23">
        <v>0</v>
      </c>
      <c r="G6485" s="23">
        <v>0</v>
      </c>
      <c r="H6485" s="23">
        <v>0</v>
      </c>
      <c r="I6485" s="23">
        <v>1166.2249999999999</v>
      </c>
      <c r="J6485" s="23">
        <v>0</v>
      </c>
      <c r="K6485" s="23">
        <v>0</v>
      </c>
    </row>
    <row r="6486" spans="1:11" x14ac:dyDescent="0.25">
      <c r="A6486">
        <v>6485</v>
      </c>
      <c r="B6486" s="23">
        <v>1228.380496</v>
      </c>
      <c r="C6486" s="23">
        <v>0</v>
      </c>
      <c r="D6486" s="23">
        <v>0</v>
      </c>
      <c r="E6486" s="23">
        <v>0</v>
      </c>
      <c r="F6486" s="23">
        <v>0</v>
      </c>
      <c r="G6486" s="23">
        <v>0</v>
      </c>
      <c r="H6486" s="23">
        <v>0</v>
      </c>
      <c r="I6486" s="23">
        <v>1228.3800000000001</v>
      </c>
      <c r="J6486" s="23">
        <v>0</v>
      </c>
      <c r="K6486" s="23">
        <v>0</v>
      </c>
    </row>
    <row r="6487" spans="1:11" x14ac:dyDescent="0.25">
      <c r="A6487">
        <v>6486</v>
      </c>
      <c r="B6487" s="23">
        <v>1238.1944550000001</v>
      </c>
      <c r="C6487" s="23">
        <v>0</v>
      </c>
      <c r="D6487" s="23">
        <v>0</v>
      </c>
      <c r="E6487" s="23">
        <v>0</v>
      </c>
      <c r="F6487" s="23">
        <v>0</v>
      </c>
      <c r="G6487" s="23">
        <v>0</v>
      </c>
      <c r="H6487" s="23">
        <v>0</v>
      </c>
      <c r="I6487" s="23">
        <v>1238.194</v>
      </c>
      <c r="J6487" s="23">
        <v>0</v>
      </c>
      <c r="K6487" s="23">
        <v>0</v>
      </c>
    </row>
    <row r="6488" spans="1:11" x14ac:dyDescent="0.25">
      <c r="A6488">
        <v>6487</v>
      </c>
      <c r="B6488" s="23">
        <v>1037.008302</v>
      </c>
      <c r="C6488" s="23">
        <v>29.39</v>
      </c>
      <c r="D6488" s="23">
        <v>90.551000000000002</v>
      </c>
      <c r="E6488" s="23">
        <v>90.551000000000002</v>
      </c>
      <c r="F6488" s="23">
        <v>0</v>
      </c>
      <c r="G6488" s="23">
        <v>0</v>
      </c>
      <c r="H6488" s="23">
        <v>0</v>
      </c>
      <c r="I6488" s="23">
        <v>946.45799999999997</v>
      </c>
      <c r="J6488" s="23">
        <v>0</v>
      </c>
      <c r="K6488" s="23">
        <v>0</v>
      </c>
    </row>
    <row r="6489" spans="1:11" x14ac:dyDescent="0.25">
      <c r="A6489">
        <v>6488</v>
      </c>
      <c r="B6489" s="23">
        <v>344.91668970000001</v>
      </c>
      <c r="C6489" s="23">
        <v>93.16</v>
      </c>
      <c r="D6489" s="23">
        <v>350.14</v>
      </c>
      <c r="E6489" s="23">
        <v>344.916</v>
      </c>
      <c r="F6489" s="23">
        <v>-5.2240000000000002</v>
      </c>
      <c r="G6489" s="23">
        <v>0</v>
      </c>
      <c r="H6489" s="23">
        <v>0</v>
      </c>
      <c r="I6489" s="23">
        <v>0</v>
      </c>
      <c r="J6489" s="23">
        <v>0</v>
      </c>
      <c r="K6489" s="23">
        <v>0</v>
      </c>
    </row>
    <row r="6490" spans="1:11" x14ac:dyDescent="0.25">
      <c r="A6490">
        <v>6489</v>
      </c>
      <c r="B6490" s="23">
        <v>280.40422330000001</v>
      </c>
      <c r="C6490" s="23">
        <v>178.34</v>
      </c>
      <c r="D6490" s="23">
        <v>691.23</v>
      </c>
      <c r="E6490" s="23">
        <v>280.404</v>
      </c>
      <c r="F6490" s="23">
        <v>-410.82600000000002</v>
      </c>
      <c r="G6490" s="23">
        <v>0</v>
      </c>
      <c r="H6490" s="23">
        <v>0</v>
      </c>
      <c r="I6490" s="23">
        <v>0</v>
      </c>
      <c r="J6490" s="23">
        <v>0</v>
      </c>
      <c r="K6490" s="23">
        <v>0</v>
      </c>
    </row>
    <row r="6491" spans="1:11" x14ac:dyDescent="0.25">
      <c r="A6491">
        <v>6490</v>
      </c>
      <c r="B6491" s="23">
        <v>270.33060360000002</v>
      </c>
      <c r="C6491" s="23">
        <v>253.49</v>
      </c>
      <c r="D6491" s="23">
        <v>985.45100000000002</v>
      </c>
      <c r="E6491" s="23">
        <v>270.33</v>
      </c>
      <c r="F6491" s="23">
        <v>-715.12099999999998</v>
      </c>
      <c r="G6491" s="23">
        <v>0</v>
      </c>
      <c r="H6491" s="23">
        <v>0</v>
      </c>
      <c r="I6491" s="23">
        <v>0</v>
      </c>
      <c r="J6491" s="23">
        <v>0</v>
      </c>
      <c r="K6491" s="23">
        <v>0</v>
      </c>
    </row>
    <row r="6492" spans="1:11" x14ac:dyDescent="0.25">
      <c r="A6492">
        <v>6491</v>
      </c>
      <c r="B6492" s="23">
        <v>287.65019619999998</v>
      </c>
      <c r="C6492" s="23">
        <v>470.21</v>
      </c>
      <c r="D6492" s="23">
        <v>1829.671</v>
      </c>
      <c r="E6492" s="23">
        <v>287.64999999999998</v>
      </c>
      <c r="F6492" s="23">
        <v>-1542.021</v>
      </c>
      <c r="G6492" s="23">
        <v>0</v>
      </c>
      <c r="H6492" s="23">
        <v>0</v>
      </c>
      <c r="I6492" s="23">
        <v>0</v>
      </c>
      <c r="J6492" s="23">
        <v>0</v>
      </c>
      <c r="K6492" s="23">
        <v>0</v>
      </c>
    </row>
    <row r="6493" spans="1:11" x14ac:dyDescent="0.25">
      <c r="A6493">
        <v>6492</v>
      </c>
      <c r="B6493" s="23">
        <v>303.9311447</v>
      </c>
      <c r="C6493" s="23">
        <v>537.85</v>
      </c>
      <c r="D6493" s="23">
        <v>2083.9090000000001</v>
      </c>
      <c r="E6493" s="23">
        <v>303.93200000000002</v>
      </c>
      <c r="F6493" s="23">
        <v>-1684.559</v>
      </c>
      <c r="G6493" s="23">
        <v>0</v>
      </c>
      <c r="H6493" s="23">
        <v>95.418000000000006</v>
      </c>
      <c r="I6493" s="23">
        <v>0</v>
      </c>
      <c r="J6493" s="23">
        <v>0</v>
      </c>
      <c r="K6493" s="23">
        <v>0</v>
      </c>
    </row>
    <row r="6494" spans="1:11" x14ac:dyDescent="0.25">
      <c r="A6494">
        <v>6493</v>
      </c>
      <c r="B6494" s="23">
        <v>295.44002590000002</v>
      </c>
      <c r="C6494" s="23">
        <v>482.12</v>
      </c>
      <c r="D6494" s="23">
        <v>1870.3</v>
      </c>
      <c r="E6494" s="23">
        <v>295.44</v>
      </c>
      <c r="F6494" s="23">
        <v>-1574.86</v>
      </c>
      <c r="G6494" s="23">
        <v>0</v>
      </c>
      <c r="H6494" s="23">
        <v>0</v>
      </c>
      <c r="I6494" s="23">
        <v>0</v>
      </c>
      <c r="J6494" s="23">
        <v>0</v>
      </c>
      <c r="K6494" s="23">
        <v>0</v>
      </c>
    </row>
    <row r="6495" spans="1:11" x14ac:dyDescent="0.25">
      <c r="A6495">
        <v>6494</v>
      </c>
      <c r="B6495" s="23">
        <v>282.40892880000001</v>
      </c>
      <c r="C6495" s="23">
        <v>613.38</v>
      </c>
      <c r="D6495" s="23">
        <v>2381.3589999999999</v>
      </c>
      <c r="E6495" s="23">
        <v>282.41000000000003</v>
      </c>
      <c r="F6495" s="23">
        <v>-1358.8879999999999</v>
      </c>
      <c r="G6495" s="23">
        <v>0</v>
      </c>
      <c r="H6495" s="23">
        <v>740.06100000000004</v>
      </c>
      <c r="I6495" s="23">
        <v>0</v>
      </c>
      <c r="J6495" s="23">
        <v>0</v>
      </c>
      <c r="K6495" s="23">
        <v>0</v>
      </c>
    </row>
    <row r="6496" spans="1:11" x14ac:dyDescent="0.25">
      <c r="A6496">
        <v>6495</v>
      </c>
      <c r="B6496" s="23">
        <v>273.04886570000002</v>
      </c>
      <c r="C6496" s="23">
        <v>373.31</v>
      </c>
      <c r="D6496" s="23">
        <v>1465.309</v>
      </c>
      <c r="E6496" s="23">
        <v>273.04899999999998</v>
      </c>
      <c r="F6496" s="23">
        <v>0</v>
      </c>
      <c r="G6496" s="23">
        <v>0</v>
      </c>
      <c r="H6496" s="23">
        <v>1192.26</v>
      </c>
      <c r="I6496" s="23">
        <v>0</v>
      </c>
      <c r="J6496" s="23">
        <v>0</v>
      </c>
      <c r="K6496" s="23">
        <v>0</v>
      </c>
    </row>
    <row r="6497" spans="1:11" x14ac:dyDescent="0.25">
      <c r="A6497">
        <v>6496</v>
      </c>
      <c r="B6497" s="23">
        <v>209.15897240000001</v>
      </c>
      <c r="C6497" s="23">
        <v>194.09</v>
      </c>
      <c r="D6497" s="23">
        <v>759.20699999999999</v>
      </c>
      <c r="E6497" s="23">
        <v>209.15899999999999</v>
      </c>
      <c r="F6497" s="23">
        <v>0</v>
      </c>
      <c r="G6497" s="23">
        <v>0</v>
      </c>
      <c r="H6497" s="23">
        <v>550.048</v>
      </c>
      <c r="I6497" s="23">
        <v>0</v>
      </c>
      <c r="J6497" s="23">
        <v>0</v>
      </c>
      <c r="K6497" s="23">
        <v>0</v>
      </c>
    </row>
    <row r="6498" spans="1:11" x14ac:dyDescent="0.25">
      <c r="A6498">
        <v>6497</v>
      </c>
      <c r="B6498" s="23">
        <v>292.7309644</v>
      </c>
      <c r="C6498" s="23">
        <v>65</v>
      </c>
      <c r="D6498" s="23">
        <v>234.768</v>
      </c>
      <c r="E6498" s="23">
        <v>234.768</v>
      </c>
      <c r="F6498" s="23">
        <v>0</v>
      </c>
      <c r="G6498" s="23">
        <v>0</v>
      </c>
      <c r="H6498" s="23">
        <v>0</v>
      </c>
      <c r="I6498" s="23">
        <v>0</v>
      </c>
      <c r="J6498" s="23">
        <v>0</v>
      </c>
      <c r="K6498" s="23">
        <v>57.963000000000001</v>
      </c>
    </row>
    <row r="6499" spans="1:11" x14ac:dyDescent="0.25">
      <c r="A6499">
        <v>6498</v>
      </c>
      <c r="B6499" s="23">
        <v>235.05453360000001</v>
      </c>
      <c r="C6499" s="23">
        <v>10.77</v>
      </c>
      <c r="D6499" s="23">
        <v>12.656000000000001</v>
      </c>
      <c r="E6499" s="23">
        <v>12.656000000000001</v>
      </c>
      <c r="F6499" s="23">
        <v>0</v>
      </c>
      <c r="G6499" s="23">
        <v>0</v>
      </c>
      <c r="H6499" s="23">
        <v>0</v>
      </c>
      <c r="I6499" s="23">
        <v>0</v>
      </c>
      <c r="J6499" s="23">
        <v>0</v>
      </c>
      <c r="K6499" s="23">
        <v>222.398</v>
      </c>
    </row>
    <row r="6500" spans="1:11" x14ac:dyDescent="0.25">
      <c r="A6500">
        <v>6499</v>
      </c>
      <c r="B6500" s="23">
        <v>209.701807</v>
      </c>
      <c r="C6500" s="23">
        <v>0</v>
      </c>
      <c r="D6500" s="23">
        <v>0</v>
      </c>
      <c r="E6500" s="23">
        <v>0</v>
      </c>
      <c r="F6500" s="23">
        <v>0</v>
      </c>
      <c r="G6500" s="23">
        <v>0</v>
      </c>
      <c r="H6500" s="23">
        <v>0</v>
      </c>
      <c r="I6500" s="23">
        <v>0</v>
      </c>
      <c r="J6500" s="23">
        <v>0</v>
      </c>
      <c r="K6500" s="23">
        <v>209.702</v>
      </c>
    </row>
    <row r="6501" spans="1:11" x14ac:dyDescent="0.25">
      <c r="A6501">
        <v>6500</v>
      </c>
      <c r="B6501" s="23">
        <v>305.86837930000002</v>
      </c>
      <c r="C6501" s="23">
        <v>0</v>
      </c>
      <c r="D6501" s="23">
        <v>0</v>
      </c>
      <c r="E6501" s="23">
        <v>0</v>
      </c>
      <c r="F6501" s="23">
        <v>0</v>
      </c>
      <c r="G6501" s="23">
        <v>0</v>
      </c>
      <c r="H6501" s="23">
        <v>0</v>
      </c>
      <c r="I6501" s="23">
        <v>0</v>
      </c>
      <c r="J6501" s="23">
        <v>0</v>
      </c>
      <c r="K6501" s="23">
        <v>305.86799999999999</v>
      </c>
    </row>
    <row r="6502" spans="1:11" x14ac:dyDescent="0.25">
      <c r="A6502">
        <v>6501</v>
      </c>
      <c r="B6502" s="23">
        <v>293.60093089999998</v>
      </c>
      <c r="C6502" s="23">
        <v>0</v>
      </c>
      <c r="D6502" s="23">
        <v>0</v>
      </c>
      <c r="E6502" s="23">
        <v>0</v>
      </c>
      <c r="F6502" s="23">
        <v>0</v>
      </c>
      <c r="G6502" s="23">
        <v>0</v>
      </c>
      <c r="H6502" s="23">
        <v>0</v>
      </c>
      <c r="I6502" s="23">
        <v>0</v>
      </c>
      <c r="J6502" s="23">
        <v>0</v>
      </c>
      <c r="K6502" s="23">
        <v>293.601</v>
      </c>
    </row>
    <row r="6503" spans="1:11" x14ac:dyDescent="0.25">
      <c r="A6503">
        <v>6502</v>
      </c>
      <c r="B6503" s="23">
        <v>298.50791029999999</v>
      </c>
      <c r="C6503" s="23">
        <v>0</v>
      </c>
      <c r="D6503" s="23">
        <v>0</v>
      </c>
      <c r="E6503" s="23">
        <v>0</v>
      </c>
      <c r="F6503" s="23">
        <v>0</v>
      </c>
      <c r="G6503" s="23">
        <v>0</v>
      </c>
      <c r="H6503" s="23">
        <v>0</v>
      </c>
      <c r="I6503" s="23">
        <v>0</v>
      </c>
      <c r="J6503" s="23">
        <v>0</v>
      </c>
      <c r="K6503" s="23">
        <v>298.50799999999998</v>
      </c>
    </row>
    <row r="6504" spans="1:11" x14ac:dyDescent="0.25">
      <c r="A6504">
        <v>6503</v>
      </c>
      <c r="B6504" s="23">
        <v>235.5350086</v>
      </c>
      <c r="C6504" s="23">
        <v>0</v>
      </c>
      <c r="D6504" s="23">
        <v>0</v>
      </c>
      <c r="E6504" s="23">
        <v>0</v>
      </c>
      <c r="F6504" s="23">
        <v>0</v>
      </c>
      <c r="G6504" s="23">
        <v>0</v>
      </c>
      <c r="H6504" s="23">
        <v>0</v>
      </c>
      <c r="I6504" s="23">
        <v>0</v>
      </c>
      <c r="J6504" s="23">
        <v>0</v>
      </c>
      <c r="K6504" s="23">
        <v>235.535</v>
      </c>
    </row>
    <row r="6505" spans="1:11" x14ac:dyDescent="0.25">
      <c r="A6505">
        <v>6504</v>
      </c>
      <c r="B6505" s="23">
        <v>168.4729576</v>
      </c>
      <c r="C6505" s="23">
        <v>0</v>
      </c>
      <c r="D6505" s="23">
        <v>0</v>
      </c>
      <c r="E6505" s="23">
        <v>0</v>
      </c>
      <c r="F6505" s="23">
        <v>0</v>
      </c>
      <c r="G6505" s="23">
        <v>0</v>
      </c>
      <c r="H6505" s="23">
        <v>0</v>
      </c>
      <c r="I6505" s="23">
        <v>0</v>
      </c>
      <c r="J6505" s="23">
        <v>0</v>
      </c>
      <c r="K6505" s="23">
        <v>168.47300000000001</v>
      </c>
    </row>
    <row r="6506" spans="1:11" x14ac:dyDescent="0.25">
      <c r="A6506">
        <v>6505</v>
      </c>
      <c r="B6506" s="23">
        <v>199.55049339999999</v>
      </c>
      <c r="C6506" s="23">
        <v>0</v>
      </c>
      <c r="D6506" s="23">
        <v>0</v>
      </c>
      <c r="E6506" s="23">
        <v>0</v>
      </c>
      <c r="F6506" s="23">
        <v>0</v>
      </c>
      <c r="G6506" s="23">
        <v>0</v>
      </c>
      <c r="H6506" s="23">
        <v>0</v>
      </c>
      <c r="I6506" s="23">
        <v>0</v>
      </c>
      <c r="J6506" s="23">
        <v>0</v>
      </c>
      <c r="K6506" s="23">
        <v>199.55</v>
      </c>
    </row>
    <row r="6507" spans="1:11" x14ac:dyDescent="0.25">
      <c r="A6507">
        <v>6506</v>
      </c>
      <c r="B6507" s="23">
        <v>243.71330760000001</v>
      </c>
      <c r="C6507" s="23">
        <v>0</v>
      </c>
      <c r="D6507" s="23">
        <v>0</v>
      </c>
      <c r="E6507" s="23">
        <v>0</v>
      </c>
      <c r="F6507" s="23">
        <v>0</v>
      </c>
      <c r="G6507" s="23">
        <v>0</v>
      </c>
      <c r="H6507" s="23">
        <v>0</v>
      </c>
      <c r="I6507" s="23">
        <v>0</v>
      </c>
      <c r="J6507" s="23">
        <v>0</v>
      </c>
      <c r="K6507" s="23">
        <v>243.71299999999999</v>
      </c>
    </row>
    <row r="6508" spans="1:11" x14ac:dyDescent="0.25">
      <c r="A6508">
        <v>6507</v>
      </c>
      <c r="B6508" s="23">
        <v>191.37219450000001</v>
      </c>
      <c r="C6508" s="23">
        <v>0</v>
      </c>
      <c r="D6508" s="23">
        <v>0</v>
      </c>
      <c r="E6508" s="23">
        <v>0</v>
      </c>
      <c r="F6508" s="23">
        <v>0</v>
      </c>
      <c r="G6508" s="23">
        <v>0</v>
      </c>
      <c r="H6508" s="23">
        <v>0</v>
      </c>
      <c r="I6508" s="23">
        <v>0</v>
      </c>
      <c r="J6508" s="23">
        <v>0</v>
      </c>
      <c r="K6508" s="23">
        <v>191.37200000000001</v>
      </c>
    </row>
    <row r="6509" spans="1:11" x14ac:dyDescent="0.25">
      <c r="A6509">
        <v>6508</v>
      </c>
      <c r="B6509" s="23">
        <v>152.1163597</v>
      </c>
      <c r="C6509" s="23">
        <v>0</v>
      </c>
      <c r="D6509" s="23">
        <v>0</v>
      </c>
      <c r="E6509" s="23">
        <v>0</v>
      </c>
      <c r="F6509" s="23">
        <v>0</v>
      </c>
      <c r="G6509" s="23">
        <v>0</v>
      </c>
      <c r="H6509" s="23">
        <v>0</v>
      </c>
      <c r="I6509" s="23">
        <v>0</v>
      </c>
      <c r="J6509" s="23">
        <v>0</v>
      </c>
      <c r="K6509" s="23">
        <v>152.11600000000001</v>
      </c>
    </row>
    <row r="6510" spans="1:11" x14ac:dyDescent="0.25">
      <c r="A6510">
        <v>6509</v>
      </c>
      <c r="B6510" s="23">
        <v>135.7597619</v>
      </c>
      <c r="C6510" s="23">
        <v>0</v>
      </c>
      <c r="D6510" s="23">
        <v>0</v>
      </c>
      <c r="E6510" s="23">
        <v>0</v>
      </c>
      <c r="F6510" s="23">
        <v>0</v>
      </c>
      <c r="G6510" s="23">
        <v>0</v>
      </c>
      <c r="H6510" s="23">
        <v>0</v>
      </c>
      <c r="I6510" s="23">
        <v>0</v>
      </c>
      <c r="J6510" s="23">
        <v>0</v>
      </c>
      <c r="K6510" s="23">
        <v>135.76</v>
      </c>
    </row>
    <row r="6511" spans="1:11" x14ac:dyDescent="0.25">
      <c r="A6511">
        <v>6510</v>
      </c>
      <c r="B6511" s="23">
        <v>197.09700380000001</v>
      </c>
      <c r="C6511" s="23">
        <v>0</v>
      </c>
      <c r="D6511" s="23">
        <v>0</v>
      </c>
      <c r="E6511" s="23">
        <v>0</v>
      </c>
      <c r="F6511" s="23">
        <v>0</v>
      </c>
      <c r="G6511" s="23">
        <v>0</v>
      </c>
      <c r="H6511" s="23">
        <v>0</v>
      </c>
      <c r="I6511" s="23">
        <v>0</v>
      </c>
      <c r="J6511" s="23">
        <v>0</v>
      </c>
      <c r="K6511" s="23">
        <v>197.09700000000001</v>
      </c>
    </row>
    <row r="6512" spans="1:11" x14ac:dyDescent="0.25">
      <c r="A6512">
        <v>6511</v>
      </c>
      <c r="B6512" s="23">
        <v>122.6744837</v>
      </c>
      <c r="C6512" s="23">
        <v>62.59</v>
      </c>
      <c r="D6512" s="23">
        <v>222.46299999999999</v>
      </c>
      <c r="E6512" s="23">
        <v>122.67400000000001</v>
      </c>
      <c r="F6512" s="23">
        <v>-99.789000000000001</v>
      </c>
      <c r="G6512" s="23">
        <v>0</v>
      </c>
      <c r="H6512" s="23">
        <v>0</v>
      </c>
      <c r="I6512" s="23">
        <v>0</v>
      </c>
      <c r="J6512" s="23">
        <v>0</v>
      </c>
      <c r="K6512" s="23">
        <v>0</v>
      </c>
    </row>
    <row r="6513" spans="1:11" x14ac:dyDescent="0.25">
      <c r="A6513">
        <v>6512</v>
      </c>
      <c r="B6513" s="23">
        <v>195.71691580000001</v>
      </c>
      <c r="C6513" s="23">
        <v>201.94</v>
      </c>
      <c r="D6513" s="23">
        <v>799.48400000000004</v>
      </c>
      <c r="E6513" s="23">
        <v>195.71700000000001</v>
      </c>
      <c r="F6513" s="23">
        <v>-603.76700000000005</v>
      </c>
      <c r="G6513" s="23">
        <v>0</v>
      </c>
      <c r="H6513" s="23">
        <v>0</v>
      </c>
      <c r="I6513" s="23">
        <v>0</v>
      </c>
      <c r="J6513" s="23">
        <v>0</v>
      </c>
      <c r="K6513" s="23">
        <v>0</v>
      </c>
    </row>
    <row r="6514" spans="1:11" x14ac:dyDescent="0.25">
      <c r="A6514">
        <v>6513</v>
      </c>
      <c r="B6514" s="23">
        <v>885.46851230000004</v>
      </c>
      <c r="C6514" s="23">
        <v>392.69</v>
      </c>
      <c r="D6514" s="23">
        <v>1556.1489999999999</v>
      </c>
      <c r="E6514" s="23">
        <v>885.46799999999996</v>
      </c>
      <c r="F6514" s="23">
        <v>-670.68100000000004</v>
      </c>
      <c r="G6514" s="23">
        <v>0</v>
      </c>
      <c r="H6514" s="23">
        <v>0</v>
      </c>
      <c r="I6514" s="23">
        <v>0</v>
      </c>
      <c r="J6514" s="23">
        <v>0</v>
      </c>
      <c r="K6514" s="23">
        <v>0</v>
      </c>
    </row>
    <row r="6515" spans="1:11" x14ac:dyDescent="0.25">
      <c r="A6515">
        <v>6514</v>
      </c>
      <c r="B6515" s="23">
        <v>1487.954592</v>
      </c>
      <c r="C6515" s="23">
        <v>586.54</v>
      </c>
      <c r="D6515" s="23">
        <v>2290.152</v>
      </c>
      <c r="E6515" s="23">
        <v>1487.9549999999999</v>
      </c>
      <c r="F6515" s="23">
        <v>-802.197</v>
      </c>
      <c r="G6515" s="23">
        <v>0</v>
      </c>
      <c r="H6515" s="23">
        <v>0</v>
      </c>
      <c r="I6515" s="23">
        <v>0</v>
      </c>
      <c r="J6515" s="23">
        <v>0</v>
      </c>
      <c r="K6515" s="23">
        <v>0</v>
      </c>
    </row>
    <row r="6516" spans="1:11" x14ac:dyDescent="0.25">
      <c r="A6516">
        <v>6515</v>
      </c>
      <c r="B6516" s="23">
        <v>1782.319172</v>
      </c>
      <c r="C6516" s="23">
        <v>279.94</v>
      </c>
      <c r="D6516" s="23">
        <v>1078.451</v>
      </c>
      <c r="E6516" s="23">
        <v>1078.451</v>
      </c>
      <c r="F6516" s="23">
        <v>0</v>
      </c>
      <c r="G6516" s="23">
        <v>0</v>
      </c>
      <c r="H6516" s="23">
        <v>0</v>
      </c>
      <c r="I6516" s="23">
        <v>0</v>
      </c>
      <c r="J6516" s="23">
        <v>0</v>
      </c>
      <c r="K6516" s="23">
        <v>703.86900000000003</v>
      </c>
    </row>
    <row r="6517" spans="1:11" x14ac:dyDescent="0.25">
      <c r="A6517">
        <v>6516</v>
      </c>
      <c r="B6517" s="23">
        <v>1685.3848620000001</v>
      </c>
      <c r="C6517" s="23">
        <v>808.93</v>
      </c>
      <c r="D6517" s="23">
        <v>3095.2510000000002</v>
      </c>
      <c r="E6517" s="23">
        <v>1685.385</v>
      </c>
      <c r="F6517" s="23">
        <v>-1409.866</v>
      </c>
      <c r="G6517" s="23">
        <v>0</v>
      </c>
      <c r="H6517" s="23">
        <v>0</v>
      </c>
      <c r="I6517" s="23">
        <v>0</v>
      </c>
      <c r="J6517" s="23">
        <v>0</v>
      </c>
      <c r="K6517" s="23">
        <v>0</v>
      </c>
    </row>
    <row r="6518" spans="1:11" x14ac:dyDescent="0.25">
      <c r="A6518">
        <v>6517</v>
      </c>
      <c r="B6518" s="23">
        <v>1718.294337</v>
      </c>
      <c r="C6518" s="23">
        <v>759.09</v>
      </c>
      <c r="D6518" s="23">
        <v>2914.951</v>
      </c>
      <c r="E6518" s="23">
        <v>1718.2940000000001</v>
      </c>
      <c r="F6518" s="23">
        <v>-437.38900000000001</v>
      </c>
      <c r="G6518" s="23">
        <v>0</v>
      </c>
      <c r="H6518" s="23">
        <v>759.26800000000003</v>
      </c>
      <c r="I6518" s="23">
        <v>0</v>
      </c>
      <c r="J6518" s="23">
        <v>0</v>
      </c>
      <c r="K6518" s="23">
        <v>0</v>
      </c>
    </row>
    <row r="6519" spans="1:11" x14ac:dyDescent="0.25">
      <c r="A6519">
        <v>6518</v>
      </c>
      <c r="B6519" s="23">
        <v>1671.887602</v>
      </c>
      <c r="C6519" s="23">
        <v>676.61</v>
      </c>
      <c r="D6519" s="23">
        <v>2621.4580000000001</v>
      </c>
      <c r="E6519" s="23">
        <v>1671.8879999999999</v>
      </c>
      <c r="F6519" s="23">
        <v>0</v>
      </c>
      <c r="G6519" s="23">
        <v>0</v>
      </c>
      <c r="H6519" s="23">
        <v>949.57</v>
      </c>
      <c r="I6519" s="23">
        <v>0</v>
      </c>
      <c r="J6519" s="23">
        <v>0</v>
      </c>
      <c r="K6519" s="23">
        <v>0</v>
      </c>
    </row>
    <row r="6520" spans="1:11" x14ac:dyDescent="0.25">
      <c r="A6520">
        <v>6519</v>
      </c>
      <c r="B6520" s="23">
        <v>1697.5459920000001</v>
      </c>
      <c r="C6520" s="23">
        <v>474.54</v>
      </c>
      <c r="D6520" s="23">
        <v>1863.336</v>
      </c>
      <c r="E6520" s="23">
        <v>1697.546</v>
      </c>
      <c r="F6520" s="23">
        <v>0</v>
      </c>
      <c r="G6520" s="23">
        <v>0</v>
      </c>
      <c r="H6520" s="23">
        <v>165.79</v>
      </c>
      <c r="I6520" s="23">
        <v>0</v>
      </c>
      <c r="J6520" s="23">
        <v>0</v>
      </c>
      <c r="K6520" s="23">
        <v>0</v>
      </c>
    </row>
    <row r="6521" spans="1:11" x14ac:dyDescent="0.25">
      <c r="A6521">
        <v>6520</v>
      </c>
      <c r="B6521" s="23">
        <v>1755.85113</v>
      </c>
      <c r="C6521" s="23">
        <v>237.16</v>
      </c>
      <c r="D6521" s="23">
        <v>932.03700000000003</v>
      </c>
      <c r="E6521" s="23">
        <v>932.03700000000003</v>
      </c>
      <c r="F6521" s="23">
        <v>0</v>
      </c>
      <c r="G6521" s="23">
        <v>0</v>
      </c>
      <c r="H6521" s="23">
        <v>0</v>
      </c>
      <c r="I6521" s="23">
        <v>823.81399999999996</v>
      </c>
      <c r="J6521" s="23">
        <v>0</v>
      </c>
      <c r="K6521" s="23">
        <v>0</v>
      </c>
    </row>
    <row r="6522" spans="1:11" x14ac:dyDescent="0.25">
      <c r="A6522">
        <v>6521</v>
      </c>
      <c r="B6522" s="23">
        <v>1623.547722</v>
      </c>
      <c r="C6522" s="23">
        <v>59.44</v>
      </c>
      <c r="D6522" s="23">
        <v>211.02600000000001</v>
      </c>
      <c r="E6522" s="23">
        <v>211.02600000000001</v>
      </c>
      <c r="F6522" s="23">
        <v>0</v>
      </c>
      <c r="G6522" s="23">
        <v>0</v>
      </c>
      <c r="H6522" s="23">
        <v>0</v>
      </c>
      <c r="I6522" s="23">
        <v>1412.521</v>
      </c>
      <c r="J6522" s="23">
        <v>0</v>
      </c>
      <c r="K6522" s="23">
        <v>0</v>
      </c>
    </row>
    <row r="6523" spans="1:11" x14ac:dyDescent="0.25">
      <c r="A6523">
        <v>6522</v>
      </c>
      <c r="B6523" s="23">
        <v>1905.10304</v>
      </c>
      <c r="C6523" s="23">
        <v>9.7899999999999991</v>
      </c>
      <c r="D6523" s="23">
        <v>9.7319999999999993</v>
      </c>
      <c r="E6523" s="23">
        <v>9.7319999999999993</v>
      </c>
      <c r="F6523" s="23">
        <v>0</v>
      </c>
      <c r="G6523" s="23">
        <v>0</v>
      </c>
      <c r="H6523" s="23">
        <v>0</v>
      </c>
      <c r="I6523" s="23">
        <v>210.81100000000001</v>
      </c>
      <c r="J6523" s="23">
        <v>0</v>
      </c>
      <c r="K6523" s="23">
        <v>1684.559</v>
      </c>
    </row>
    <row r="6524" spans="1:11" x14ac:dyDescent="0.25">
      <c r="A6524">
        <v>6523</v>
      </c>
      <c r="B6524" s="23">
        <v>1574.858219</v>
      </c>
      <c r="C6524" s="23">
        <v>0</v>
      </c>
      <c r="D6524" s="23">
        <v>0</v>
      </c>
      <c r="E6524" s="23">
        <v>0</v>
      </c>
      <c r="F6524" s="23">
        <v>0</v>
      </c>
      <c r="G6524" s="23">
        <v>0</v>
      </c>
      <c r="H6524" s="23">
        <v>0</v>
      </c>
      <c r="I6524" s="23">
        <v>0</v>
      </c>
      <c r="J6524" s="23">
        <v>0</v>
      </c>
      <c r="K6524" s="23">
        <v>1574.8579999999999</v>
      </c>
    </row>
    <row r="6525" spans="1:11" x14ac:dyDescent="0.25">
      <c r="A6525">
        <v>6524</v>
      </c>
      <c r="B6525" s="23">
        <v>1257.822373</v>
      </c>
      <c r="C6525" s="23">
        <v>0</v>
      </c>
      <c r="D6525" s="23">
        <v>0</v>
      </c>
      <c r="E6525" s="23">
        <v>0</v>
      </c>
      <c r="F6525" s="23">
        <v>0</v>
      </c>
      <c r="G6525" s="23">
        <v>0</v>
      </c>
      <c r="H6525" s="23">
        <v>0</v>
      </c>
      <c r="I6525" s="23">
        <v>0</v>
      </c>
      <c r="J6525" s="23">
        <v>0</v>
      </c>
      <c r="K6525" s="23">
        <v>1257.8219999999999</v>
      </c>
    </row>
    <row r="6526" spans="1:11" x14ac:dyDescent="0.25">
      <c r="A6526">
        <v>6525</v>
      </c>
      <c r="B6526" s="23">
        <v>1468.004655</v>
      </c>
      <c r="C6526" s="23">
        <v>0</v>
      </c>
      <c r="D6526" s="23">
        <v>0</v>
      </c>
      <c r="E6526" s="23">
        <v>0</v>
      </c>
      <c r="F6526" s="23">
        <v>0</v>
      </c>
      <c r="G6526" s="23">
        <v>0</v>
      </c>
      <c r="H6526" s="23">
        <v>0</v>
      </c>
      <c r="I6526" s="23">
        <v>1468.0050000000001</v>
      </c>
      <c r="J6526" s="23">
        <v>0</v>
      </c>
      <c r="K6526" s="23">
        <v>0</v>
      </c>
    </row>
    <row r="6527" spans="1:11" x14ac:dyDescent="0.25">
      <c r="A6527">
        <v>6526</v>
      </c>
      <c r="B6527" s="23">
        <v>1599.6752670000001</v>
      </c>
      <c r="C6527" s="23">
        <v>0</v>
      </c>
      <c r="D6527" s="23">
        <v>0</v>
      </c>
      <c r="E6527" s="23">
        <v>0</v>
      </c>
      <c r="F6527" s="23">
        <v>0</v>
      </c>
      <c r="G6527" s="23">
        <v>0</v>
      </c>
      <c r="H6527" s="23">
        <v>0</v>
      </c>
      <c r="I6527" s="23">
        <v>1599.675</v>
      </c>
      <c r="J6527" s="23">
        <v>0</v>
      </c>
      <c r="K6527" s="23">
        <v>0</v>
      </c>
    </row>
    <row r="6528" spans="1:11" x14ac:dyDescent="0.25">
      <c r="A6528">
        <v>6527</v>
      </c>
      <c r="B6528" s="23">
        <v>1683.911746</v>
      </c>
      <c r="C6528" s="23">
        <v>0</v>
      </c>
      <c r="D6528" s="23">
        <v>0</v>
      </c>
      <c r="E6528" s="23">
        <v>0</v>
      </c>
      <c r="F6528" s="23">
        <v>0</v>
      </c>
      <c r="G6528" s="23">
        <v>0</v>
      </c>
      <c r="H6528" s="23">
        <v>0</v>
      </c>
      <c r="I6528" s="23">
        <v>1683.912</v>
      </c>
      <c r="J6528" s="23">
        <v>0</v>
      </c>
      <c r="K6528" s="23">
        <v>0</v>
      </c>
    </row>
    <row r="6529" spans="1:11" x14ac:dyDescent="0.25">
      <c r="A6529">
        <v>6528</v>
      </c>
      <c r="B6529" s="23">
        <v>1453.283717</v>
      </c>
      <c r="C6529" s="23">
        <v>0</v>
      </c>
      <c r="D6529" s="23">
        <v>0</v>
      </c>
      <c r="E6529" s="23">
        <v>0</v>
      </c>
      <c r="F6529" s="23">
        <v>0</v>
      </c>
      <c r="G6529" s="23">
        <v>0</v>
      </c>
      <c r="H6529" s="23">
        <v>0</v>
      </c>
      <c r="I6529" s="23">
        <v>1453.2840000000001</v>
      </c>
      <c r="J6529" s="23">
        <v>0</v>
      </c>
      <c r="K6529" s="23">
        <v>0</v>
      </c>
    </row>
    <row r="6530" spans="1:11" x14ac:dyDescent="0.25">
      <c r="A6530">
        <v>6529</v>
      </c>
      <c r="B6530" s="23">
        <v>1407.4852430000001</v>
      </c>
      <c r="C6530" s="23">
        <v>0</v>
      </c>
      <c r="D6530" s="23">
        <v>0</v>
      </c>
      <c r="E6530" s="23">
        <v>0</v>
      </c>
      <c r="F6530" s="23">
        <v>0</v>
      </c>
      <c r="G6530" s="23">
        <v>0</v>
      </c>
      <c r="H6530" s="23">
        <v>0</v>
      </c>
      <c r="I6530" s="23">
        <v>1407.4849999999999</v>
      </c>
      <c r="J6530" s="23">
        <v>0</v>
      </c>
      <c r="K6530" s="23">
        <v>0</v>
      </c>
    </row>
    <row r="6531" spans="1:11" x14ac:dyDescent="0.25">
      <c r="A6531">
        <v>6530</v>
      </c>
      <c r="B6531" s="23">
        <v>1535.884536</v>
      </c>
      <c r="C6531" s="23">
        <v>0</v>
      </c>
      <c r="D6531" s="23">
        <v>0</v>
      </c>
      <c r="E6531" s="23">
        <v>0</v>
      </c>
      <c r="F6531" s="23">
        <v>0</v>
      </c>
      <c r="G6531" s="23">
        <v>0</v>
      </c>
      <c r="H6531" s="23">
        <v>0</v>
      </c>
      <c r="I6531" s="23">
        <v>1535.885</v>
      </c>
      <c r="J6531" s="23">
        <v>0</v>
      </c>
      <c r="K6531" s="23">
        <v>0</v>
      </c>
    </row>
    <row r="6532" spans="1:11" x14ac:dyDescent="0.25">
      <c r="A6532">
        <v>6531</v>
      </c>
      <c r="B6532" s="23">
        <v>1660.194679</v>
      </c>
      <c r="C6532" s="23">
        <v>0</v>
      </c>
      <c r="D6532" s="23">
        <v>0</v>
      </c>
      <c r="E6532" s="23">
        <v>0</v>
      </c>
      <c r="F6532" s="23">
        <v>0</v>
      </c>
      <c r="G6532" s="23">
        <v>0</v>
      </c>
      <c r="H6532" s="23">
        <v>0</v>
      </c>
      <c r="I6532" s="23">
        <v>1660.1949999999999</v>
      </c>
      <c r="J6532" s="23">
        <v>0</v>
      </c>
      <c r="K6532" s="23">
        <v>0</v>
      </c>
    </row>
    <row r="6533" spans="1:11" x14ac:dyDescent="0.25">
      <c r="A6533">
        <v>6532</v>
      </c>
      <c r="B6533" s="23">
        <v>1321.613104</v>
      </c>
      <c r="C6533" s="23">
        <v>0</v>
      </c>
      <c r="D6533" s="23">
        <v>0</v>
      </c>
      <c r="E6533" s="23">
        <v>0</v>
      </c>
      <c r="F6533" s="23">
        <v>0</v>
      </c>
      <c r="G6533" s="23">
        <v>0</v>
      </c>
      <c r="H6533" s="23">
        <v>0</v>
      </c>
      <c r="I6533" s="23">
        <v>1321.6130000000001</v>
      </c>
      <c r="J6533" s="23">
        <v>0</v>
      </c>
      <c r="K6533" s="23">
        <v>0</v>
      </c>
    </row>
    <row r="6534" spans="1:11" x14ac:dyDescent="0.25">
      <c r="A6534">
        <v>6533</v>
      </c>
      <c r="B6534" s="23">
        <v>1273.36114</v>
      </c>
      <c r="C6534" s="23">
        <v>0</v>
      </c>
      <c r="D6534" s="23">
        <v>0</v>
      </c>
      <c r="E6534" s="23">
        <v>0</v>
      </c>
      <c r="F6534" s="23">
        <v>0</v>
      </c>
      <c r="G6534" s="23">
        <v>0</v>
      </c>
      <c r="H6534" s="23">
        <v>0</v>
      </c>
      <c r="I6534" s="23">
        <v>1273.3610000000001</v>
      </c>
      <c r="J6534" s="23">
        <v>0</v>
      </c>
      <c r="K6534" s="23">
        <v>0</v>
      </c>
    </row>
    <row r="6535" spans="1:11" x14ac:dyDescent="0.25">
      <c r="A6535">
        <v>6534</v>
      </c>
      <c r="B6535" s="23">
        <v>1310.1634859999999</v>
      </c>
      <c r="C6535" s="23">
        <v>0</v>
      </c>
      <c r="D6535" s="23">
        <v>0</v>
      </c>
      <c r="E6535" s="23">
        <v>0</v>
      </c>
      <c r="F6535" s="23">
        <v>0</v>
      </c>
      <c r="G6535" s="23">
        <v>0</v>
      </c>
      <c r="H6535" s="23">
        <v>0</v>
      </c>
      <c r="I6535" s="23">
        <v>1310.163</v>
      </c>
      <c r="J6535" s="23">
        <v>0</v>
      </c>
      <c r="K6535" s="23">
        <v>0</v>
      </c>
    </row>
    <row r="6536" spans="1:11" x14ac:dyDescent="0.25">
      <c r="A6536">
        <v>6535</v>
      </c>
      <c r="B6536" s="23">
        <v>1068.085838</v>
      </c>
      <c r="C6536" s="23">
        <v>5.87</v>
      </c>
      <c r="D6536" s="23">
        <v>0</v>
      </c>
      <c r="E6536" s="23">
        <v>0</v>
      </c>
      <c r="F6536" s="23">
        <v>0</v>
      </c>
      <c r="G6536" s="23">
        <v>0</v>
      </c>
      <c r="H6536" s="23">
        <v>0</v>
      </c>
      <c r="I6536" s="23">
        <v>1068.086</v>
      </c>
      <c r="J6536" s="23">
        <v>0</v>
      </c>
      <c r="K6536" s="23">
        <v>0</v>
      </c>
    </row>
    <row r="6537" spans="1:11" x14ac:dyDescent="0.25">
      <c r="A6537">
        <v>6536</v>
      </c>
      <c r="B6537" s="23">
        <v>1296.331938</v>
      </c>
      <c r="C6537" s="23">
        <v>15.67</v>
      </c>
      <c r="D6537" s="23">
        <v>36.899000000000001</v>
      </c>
      <c r="E6537" s="23">
        <v>36.899000000000001</v>
      </c>
      <c r="F6537" s="23">
        <v>0</v>
      </c>
      <c r="G6537" s="23">
        <v>0</v>
      </c>
      <c r="H6537" s="23">
        <v>0</v>
      </c>
      <c r="I6537" s="23">
        <v>1259.433</v>
      </c>
      <c r="J6537" s="23">
        <v>0</v>
      </c>
      <c r="K6537" s="23">
        <v>0</v>
      </c>
    </row>
    <row r="6538" spans="1:11" x14ac:dyDescent="0.25">
      <c r="A6538">
        <v>6537</v>
      </c>
      <c r="B6538" s="23">
        <v>1701.5656260000001</v>
      </c>
      <c r="C6538" s="23">
        <v>35.31</v>
      </c>
      <c r="D6538" s="23">
        <v>111.17700000000001</v>
      </c>
      <c r="E6538" s="23">
        <v>111.17700000000001</v>
      </c>
      <c r="F6538" s="23">
        <v>0</v>
      </c>
      <c r="G6538" s="23">
        <v>0</v>
      </c>
      <c r="H6538" s="23">
        <v>0</v>
      </c>
      <c r="I6538" s="23">
        <v>1339.4169999999999</v>
      </c>
      <c r="J6538" s="23">
        <v>0</v>
      </c>
      <c r="K6538" s="23">
        <v>250.971</v>
      </c>
    </row>
    <row r="6539" spans="1:11" x14ac:dyDescent="0.25">
      <c r="A6539">
        <v>6538</v>
      </c>
      <c r="B6539" s="23">
        <v>1384.2118479999999</v>
      </c>
      <c r="C6539" s="23">
        <v>558.55999999999995</v>
      </c>
      <c r="D6539" s="23">
        <v>2168.3429999999998</v>
      </c>
      <c r="E6539" s="23">
        <v>1384.212</v>
      </c>
      <c r="F6539" s="23">
        <v>-784.13099999999997</v>
      </c>
      <c r="G6539" s="23">
        <v>0</v>
      </c>
      <c r="H6539" s="23">
        <v>0</v>
      </c>
      <c r="I6539" s="23">
        <v>0</v>
      </c>
      <c r="J6539" s="23">
        <v>0</v>
      </c>
      <c r="K6539" s="23">
        <v>0</v>
      </c>
    </row>
    <row r="6540" spans="1:11" x14ac:dyDescent="0.25">
      <c r="A6540">
        <v>6539</v>
      </c>
      <c r="B6540" s="23">
        <v>1713.281039</v>
      </c>
      <c r="C6540" s="23">
        <v>726.86</v>
      </c>
      <c r="D6540" s="23">
        <v>2781.6120000000001</v>
      </c>
      <c r="E6540" s="23">
        <v>1713.2809999999999</v>
      </c>
      <c r="F6540" s="23">
        <v>-1068.3309999999999</v>
      </c>
      <c r="G6540" s="23">
        <v>0</v>
      </c>
      <c r="H6540" s="23">
        <v>0</v>
      </c>
      <c r="I6540" s="23">
        <v>0</v>
      </c>
      <c r="J6540" s="23">
        <v>0</v>
      </c>
      <c r="K6540" s="23">
        <v>0</v>
      </c>
    </row>
    <row r="6541" spans="1:11" x14ac:dyDescent="0.25">
      <c r="A6541">
        <v>6540</v>
      </c>
      <c r="B6541" s="23">
        <v>1435.6380140000001</v>
      </c>
      <c r="C6541" s="23">
        <v>558.20000000000005</v>
      </c>
      <c r="D6541" s="23">
        <v>2143.0720000000001</v>
      </c>
      <c r="E6541" s="23">
        <v>1435.6379999999999</v>
      </c>
      <c r="F6541" s="23">
        <v>-707.43399999999997</v>
      </c>
      <c r="G6541" s="23">
        <v>0</v>
      </c>
      <c r="H6541" s="23">
        <v>0</v>
      </c>
      <c r="I6541" s="23">
        <v>0</v>
      </c>
      <c r="J6541" s="23">
        <v>0</v>
      </c>
      <c r="K6541" s="23">
        <v>0</v>
      </c>
    </row>
    <row r="6542" spans="1:11" x14ac:dyDescent="0.25">
      <c r="A6542">
        <v>6541</v>
      </c>
      <c r="B6542" s="23">
        <v>1436.8197789999999</v>
      </c>
      <c r="C6542" s="23">
        <v>606.02</v>
      </c>
      <c r="D6542" s="23">
        <v>2326.2550000000001</v>
      </c>
      <c r="E6542" s="23">
        <v>1436.819</v>
      </c>
      <c r="F6542" s="23">
        <v>-889.43600000000004</v>
      </c>
      <c r="G6542" s="23">
        <v>0</v>
      </c>
      <c r="H6542" s="23">
        <v>0</v>
      </c>
      <c r="I6542" s="23">
        <v>0</v>
      </c>
      <c r="J6542" s="23">
        <v>0</v>
      </c>
      <c r="K6542" s="23">
        <v>0</v>
      </c>
    </row>
    <row r="6543" spans="1:11" x14ac:dyDescent="0.25">
      <c r="A6543">
        <v>6542</v>
      </c>
      <c r="B6543" s="23">
        <v>1416.2125100000001</v>
      </c>
      <c r="C6543" s="23">
        <v>617.37</v>
      </c>
      <c r="D6543" s="23">
        <v>2383.0529999999999</v>
      </c>
      <c r="E6543" s="23">
        <v>1416.213</v>
      </c>
      <c r="F6543" s="23">
        <v>-966.84</v>
      </c>
      <c r="G6543" s="23">
        <v>0</v>
      </c>
      <c r="H6543" s="23">
        <v>0</v>
      </c>
      <c r="I6543" s="23">
        <v>0</v>
      </c>
      <c r="J6543" s="23">
        <v>0</v>
      </c>
      <c r="K6543" s="23">
        <v>0</v>
      </c>
    </row>
    <row r="6544" spans="1:11" x14ac:dyDescent="0.25">
      <c r="A6544">
        <v>6543</v>
      </c>
      <c r="B6544" s="23">
        <v>1458.1119799999999</v>
      </c>
      <c r="C6544" s="23">
        <v>601.01</v>
      </c>
      <c r="D6544" s="23">
        <v>2348.442</v>
      </c>
      <c r="E6544" s="23">
        <v>1458.1120000000001</v>
      </c>
      <c r="F6544" s="23">
        <v>-890.33</v>
      </c>
      <c r="G6544" s="23">
        <v>0</v>
      </c>
      <c r="H6544" s="23">
        <v>0</v>
      </c>
      <c r="I6544" s="23">
        <v>0</v>
      </c>
      <c r="J6544" s="23">
        <v>0</v>
      </c>
      <c r="K6544" s="23">
        <v>0</v>
      </c>
    </row>
    <row r="6545" spans="1:11" x14ac:dyDescent="0.25">
      <c r="A6545">
        <v>6544</v>
      </c>
      <c r="B6545" s="23">
        <v>1580.7302380000001</v>
      </c>
      <c r="C6545" s="23">
        <v>384.68</v>
      </c>
      <c r="D6545" s="23">
        <v>1528.6669999999999</v>
      </c>
      <c r="E6545" s="23">
        <v>1528.6669999999999</v>
      </c>
      <c r="F6545" s="23">
        <v>0</v>
      </c>
      <c r="G6545" s="23">
        <v>0</v>
      </c>
      <c r="H6545" s="23">
        <v>0</v>
      </c>
      <c r="I6545" s="23">
        <v>52.063000000000002</v>
      </c>
      <c r="J6545" s="23">
        <v>0</v>
      </c>
      <c r="K6545" s="23">
        <v>0</v>
      </c>
    </row>
    <row r="6546" spans="1:11" x14ac:dyDescent="0.25">
      <c r="A6546">
        <v>6545</v>
      </c>
      <c r="B6546" s="23">
        <v>1546.267908</v>
      </c>
      <c r="C6546" s="23">
        <v>110.44</v>
      </c>
      <c r="D6546" s="23">
        <v>417.70299999999997</v>
      </c>
      <c r="E6546" s="23">
        <v>417.70299999999997</v>
      </c>
      <c r="F6546" s="23">
        <v>0</v>
      </c>
      <c r="G6546" s="23">
        <v>0</v>
      </c>
      <c r="H6546" s="23">
        <v>0</v>
      </c>
      <c r="I6546" s="23">
        <v>1128.5650000000001</v>
      </c>
      <c r="J6546" s="23">
        <v>0</v>
      </c>
      <c r="K6546" s="23">
        <v>0</v>
      </c>
    </row>
    <row r="6547" spans="1:11" x14ac:dyDescent="0.25">
      <c r="A6547">
        <v>6546</v>
      </c>
      <c r="B6547" s="23">
        <v>1753.494758</v>
      </c>
      <c r="C6547" s="23">
        <v>13.71</v>
      </c>
      <c r="D6547" s="23">
        <v>21.629000000000001</v>
      </c>
      <c r="E6547" s="23">
        <v>21.629000000000001</v>
      </c>
      <c r="F6547" s="23">
        <v>0</v>
      </c>
      <c r="G6547" s="23">
        <v>0</v>
      </c>
      <c r="H6547" s="23">
        <v>0</v>
      </c>
      <c r="I6547" s="23">
        <v>47.305999999999997</v>
      </c>
      <c r="J6547" s="23">
        <v>0</v>
      </c>
      <c r="K6547" s="23">
        <v>1684.559</v>
      </c>
    </row>
    <row r="6548" spans="1:11" x14ac:dyDescent="0.25">
      <c r="A6548">
        <v>6547</v>
      </c>
      <c r="B6548" s="23">
        <v>1580.4767099999999</v>
      </c>
      <c r="C6548" s="23">
        <v>0</v>
      </c>
      <c r="D6548" s="23">
        <v>0</v>
      </c>
      <c r="E6548" s="23">
        <v>0</v>
      </c>
      <c r="F6548" s="23">
        <v>0</v>
      </c>
      <c r="G6548" s="23">
        <v>0</v>
      </c>
      <c r="H6548" s="23">
        <v>0</v>
      </c>
      <c r="I6548" s="23">
        <v>0</v>
      </c>
      <c r="J6548" s="23">
        <v>0</v>
      </c>
      <c r="K6548" s="23">
        <v>1580.4770000000001</v>
      </c>
    </row>
    <row r="6549" spans="1:11" x14ac:dyDescent="0.25">
      <c r="A6549">
        <v>6548</v>
      </c>
      <c r="B6549" s="23">
        <v>1247.1905839999999</v>
      </c>
      <c r="C6549" s="23">
        <v>0</v>
      </c>
      <c r="D6549" s="23">
        <v>0</v>
      </c>
      <c r="E6549" s="23">
        <v>0</v>
      </c>
      <c r="F6549" s="23">
        <v>0</v>
      </c>
      <c r="G6549" s="23">
        <v>0</v>
      </c>
      <c r="H6549" s="23">
        <v>0</v>
      </c>
      <c r="I6549" s="23">
        <v>0</v>
      </c>
      <c r="J6549" s="23">
        <v>0</v>
      </c>
      <c r="K6549" s="23">
        <v>1247.191</v>
      </c>
    </row>
    <row r="6550" spans="1:11" x14ac:dyDescent="0.25">
      <c r="A6550">
        <v>6549</v>
      </c>
      <c r="B6550" s="23">
        <v>1584.9543289999999</v>
      </c>
      <c r="C6550" s="23">
        <v>0</v>
      </c>
      <c r="D6550" s="23">
        <v>0</v>
      </c>
      <c r="E6550" s="23">
        <v>0</v>
      </c>
      <c r="F6550" s="23">
        <v>0</v>
      </c>
      <c r="G6550" s="23">
        <v>0</v>
      </c>
      <c r="H6550" s="23">
        <v>0</v>
      </c>
      <c r="I6550" s="23">
        <v>1584.954</v>
      </c>
      <c r="J6550" s="23">
        <v>0</v>
      </c>
      <c r="K6550" s="23">
        <v>0</v>
      </c>
    </row>
    <row r="6551" spans="1:11" x14ac:dyDescent="0.25">
      <c r="A6551">
        <v>6550</v>
      </c>
      <c r="B6551" s="23">
        <v>1818.035848</v>
      </c>
      <c r="C6551" s="23">
        <v>0</v>
      </c>
      <c r="D6551" s="23">
        <v>0</v>
      </c>
      <c r="E6551" s="23">
        <v>0</v>
      </c>
      <c r="F6551" s="23">
        <v>0</v>
      </c>
      <c r="G6551" s="23">
        <v>0</v>
      </c>
      <c r="H6551" s="23">
        <v>0</v>
      </c>
      <c r="I6551" s="23">
        <v>1818.0360000000001</v>
      </c>
      <c r="J6551" s="23">
        <v>0</v>
      </c>
      <c r="K6551" s="23">
        <v>0</v>
      </c>
    </row>
    <row r="6552" spans="1:11" x14ac:dyDescent="0.25">
      <c r="A6552">
        <v>6551</v>
      </c>
      <c r="B6552" s="23">
        <v>1714.171452</v>
      </c>
      <c r="C6552" s="23">
        <v>0</v>
      </c>
      <c r="D6552" s="23">
        <v>0</v>
      </c>
      <c r="E6552" s="23">
        <v>0</v>
      </c>
      <c r="F6552" s="23">
        <v>0</v>
      </c>
      <c r="G6552" s="23">
        <v>0</v>
      </c>
      <c r="H6552" s="23">
        <v>0</v>
      </c>
      <c r="I6552" s="23">
        <v>1714.171</v>
      </c>
      <c r="J6552" s="23">
        <v>0</v>
      </c>
      <c r="K6552" s="23">
        <v>0</v>
      </c>
    </row>
    <row r="6553" spans="1:11" x14ac:dyDescent="0.25">
      <c r="A6553">
        <v>6552</v>
      </c>
      <c r="B6553" s="23">
        <v>1513.803128</v>
      </c>
      <c r="C6553" s="23">
        <v>0</v>
      </c>
      <c r="D6553" s="23">
        <v>0</v>
      </c>
      <c r="E6553" s="23">
        <v>0</v>
      </c>
      <c r="F6553" s="23">
        <v>0</v>
      </c>
      <c r="G6553" s="23">
        <v>0</v>
      </c>
      <c r="H6553" s="23">
        <v>0</v>
      </c>
      <c r="I6553" s="23">
        <v>1513.8030000000001</v>
      </c>
      <c r="J6553" s="23">
        <v>0</v>
      </c>
      <c r="K6553" s="23">
        <v>0</v>
      </c>
    </row>
    <row r="6554" spans="1:11" x14ac:dyDescent="0.25">
      <c r="A6554">
        <v>6553</v>
      </c>
      <c r="B6554" s="23">
        <v>1295.9328860000001</v>
      </c>
      <c r="C6554" s="23">
        <v>0</v>
      </c>
      <c r="D6554" s="23">
        <v>0</v>
      </c>
      <c r="E6554" s="23">
        <v>0</v>
      </c>
      <c r="F6554" s="23">
        <v>0</v>
      </c>
      <c r="G6554" s="23">
        <v>0</v>
      </c>
      <c r="H6554" s="23">
        <v>0</v>
      </c>
      <c r="I6554" s="23">
        <v>1295.933</v>
      </c>
      <c r="J6554" s="23">
        <v>0</v>
      </c>
      <c r="K6554" s="23">
        <v>0</v>
      </c>
    </row>
    <row r="6555" spans="1:11" x14ac:dyDescent="0.25">
      <c r="A6555">
        <v>6554</v>
      </c>
      <c r="B6555" s="23">
        <v>1429.566253</v>
      </c>
      <c r="C6555" s="23">
        <v>0</v>
      </c>
      <c r="D6555" s="23">
        <v>0</v>
      </c>
      <c r="E6555" s="23">
        <v>0</v>
      </c>
      <c r="F6555" s="23">
        <v>0</v>
      </c>
      <c r="G6555" s="23">
        <v>0</v>
      </c>
      <c r="H6555" s="23">
        <v>0</v>
      </c>
      <c r="I6555" s="23">
        <v>1429.566</v>
      </c>
      <c r="J6555" s="23">
        <v>0</v>
      </c>
      <c r="K6555" s="23">
        <v>0</v>
      </c>
    </row>
    <row r="6556" spans="1:11" x14ac:dyDescent="0.25">
      <c r="A6556">
        <v>6555</v>
      </c>
      <c r="B6556" s="23">
        <v>1403.150355</v>
      </c>
      <c r="C6556" s="23">
        <v>0</v>
      </c>
      <c r="D6556" s="23">
        <v>0</v>
      </c>
      <c r="E6556" s="23">
        <v>0</v>
      </c>
      <c r="F6556" s="23">
        <v>0</v>
      </c>
      <c r="G6556" s="23">
        <v>0</v>
      </c>
      <c r="H6556" s="23">
        <v>0</v>
      </c>
      <c r="I6556" s="23">
        <v>1403.15</v>
      </c>
      <c r="J6556" s="23">
        <v>0</v>
      </c>
      <c r="K6556" s="23">
        <v>0</v>
      </c>
    </row>
    <row r="6557" spans="1:11" x14ac:dyDescent="0.25">
      <c r="A6557">
        <v>6556</v>
      </c>
      <c r="B6557" s="23">
        <v>223.75819609999999</v>
      </c>
      <c r="C6557" s="23">
        <v>0</v>
      </c>
      <c r="D6557" s="23">
        <v>0</v>
      </c>
      <c r="E6557" s="23">
        <v>0</v>
      </c>
      <c r="F6557" s="23">
        <v>0</v>
      </c>
      <c r="G6557" s="23">
        <v>0</v>
      </c>
      <c r="H6557" s="23">
        <v>0</v>
      </c>
      <c r="I6557" s="23">
        <v>223.75800000000001</v>
      </c>
      <c r="J6557" s="23">
        <v>0</v>
      </c>
      <c r="K6557" s="23">
        <v>0</v>
      </c>
    </row>
    <row r="6558" spans="1:11" x14ac:dyDescent="0.25">
      <c r="A6558">
        <v>6557</v>
      </c>
      <c r="B6558" s="23">
        <v>344.1836141</v>
      </c>
      <c r="C6558" s="23">
        <v>0</v>
      </c>
      <c r="D6558" s="23">
        <v>0</v>
      </c>
      <c r="E6558" s="23">
        <v>0</v>
      </c>
      <c r="F6558" s="23">
        <v>0</v>
      </c>
      <c r="G6558" s="23">
        <v>0</v>
      </c>
      <c r="H6558" s="23">
        <v>0</v>
      </c>
      <c r="I6558" s="23">
        <v>204.01900000000001</v>
      </c>
      <c r="J6558" s="23">
        <v>0</v>
      </c>
      <c r="K6558" s="23">
        <v>140.16499999999999</v>
      </c>
    </row>
    <row r="6559" spans="1:11" x14ac:dyDescent="0.25">
      <c r="A6559">
        <v>6558</v>
      </c>
      <c r="B6559" s="23">
        <v>855.40893719999997</v>
      </c>
      <c r="C6559" s="23">
        <v>0</v>
      </c>
      <c r="D6559" s="23">
        <v>0</v>
      </c>
      <c r="E6559" s="23">
        <v>0</v>
      </c>
      <c r="F6559" s="23">
        <v>0</v>
      </c>
      <c r="G6559" s="23">
        <v>0</v>
      </c>
      <c r="H6559" s="23">
        <v>0</v>
      </c>
      <c r="I6559" s="23">
        <v>0</v>
      </c>
      <c r="J6559" s="23">
        <v>0</v>
      </c>
      <c r="K6559" s="23">
        <v>855.40899999999999</v>
      </c>
    </row>
    <row r="6560" spans="1:11" x14ac:dyDescent="0.25">
      <c r="A6560">
        <v>6559</v>
      </c>
      <c r="B6560" s="23">
        <v>1351.143084</v>
      </c>
      <c r="C6560" s="23">
        <v>85.36</v>
      </c>
      <c r="D6560" s="23">
        <v>307.09399999999999</v>
      </c>
      <c r="E6560" s="23">
        <v>307.09399999999999</v>
      </c>
      <c r="F6560" s="23">
        <v>0</v>
      </c>
      <c r="G6560" s="23">
        <v>0</v>
      </c>
      <c r="H6560" s="23">
        <v>0</v>
      </c>
      <c r="I6560" s="23">
        <v>0</v>
      </c>
      <c r="J6560" s="23">
        <v>0</v>
      </c>
      <c r="K6560" s="23">
        <v>1044.049</v>
      </c>
    </row>
    <row r="6561" spans="1:11" x14ac:dyDescent="0.25">
      <c r="A6561">
        <v>6560</v>
      </c>
      <c r="B6561" s="23">
        <v>1327.7543310000001</v>
      </c>
      <c r="C6561" s="23">
        <v>345.43</v>
      </c>
      <c r="D6561" s="23">
        <v>1383.5509999999999</v>
      </c>
      <c r="E6561" s="23">
        <v>1327.7550000000001</v>
      </c>
      <c r="F6561" s="23">
        <v>-55.795999999999999</v>
      </c>
      <c r="G6561" s="23">
        <v>0</v>
      </c>
      <c r="H6561" s="23">
        <v>0</v>
      </c>
      <c r="I6561" s="23">
        <v>0</v>
      </c>
      <c r="J6561" s="23">
        <v>0</v>
      </c>
      <c r="K6561" s="23">
        <v>0</v>
      </c>
    </row>
    <row r="6562" spans="1:11" x14ac:dyDescent="0.25">
      <c r="A6562">
        <v>6561</v>
      </c>
      <c r="B6562" s="23">
        <v>1082.8362239999999</v>
      </c>
      <c r="C6562" s="23">
        <v>335.35</v>
      </c>
      <c r="D6562" s="23">
        <v>1317.9459999999999</v>
      </c>
      <c r="E6562" s="23">
        <v>1082.837</v>
      </c>
      <c r="F6562" s="23">
        <v>-235.10900000000001</v>
      </c>
      <c r="G6562" s="23">
        <v>0</v>
      </c>
      <c r="H6562" s="23">
        <v>0</v>
      </c>
      <c r="I6562" s="23">
        <v>0</v>
      </c>
      <c r="J6562" s="23">
        <v>0</v>
      </c>
      <c r="K6562" s="23">
        <v>0</v>
      </c>
    </row>
    <row r="6563" spans="1:11" x14ac:dyDescent="0.25">
      <c r="A6563">
        <v>6562</v>
      </c>
      <c r="B6563" s="23">
        <v>962.50792309999997</v>
      </c>
      <c r="C6563" s="23">
        <v>689.07</v>
      </c>
      <c r="D6563" s="23">
        <v>2660.0149999999999</v>
      </c>
      <c r="E6563" s="23">
        <v>962.50800000000004</v>
      </c>
      <c r="F6563" s="23">
        <v>-1684.559</v>
      </c>
      <c r="G6563" s="23">
        <v>0</v>
      </c>
      <c r="H6563" s="23">
        <v>12.948</v>
      </c>
      <c r="I6563" s="23">
        <v>0</v>
      </c>
      <c r="J6563" s="23">
        <v>0</v>
      </c>
      <c r="K6563" s="23">
        <v>0</v>
      </c>
    </row>
    <row r="6564" spans="1:11" x14ac:dyDescent="0.25">
      <c r="A6564">
        <v>6563</v>
      </c>
      <c r="B6564" s="23">
        <v>1672.8605600000001</v>
      </c>
      <c r="C6564" s="23">
        <v>853.8</v>
      </c>
      <c r="D6564" s="23">
        <v>3229.0129999999999</v>
      </c>
      <c r="E6564" s="23">
        <v>1672.86</v>
      </c>
      <c r="F6564" s="23">
        <v>-1556.153</v>
      </c>
      <c r="G6564" s="23">
        <v>0</v>
      </c>
      <c r="H6564" s="23">
        <v>0</v>
      </c>
      <c r="I6564" s="23">
        <v>0</v>
      </c>
      <c r="J6564" s="23">
        <v>0</v>
      </c>
      <c r="K6564" s="23">
        <v>0</v>
      </c>
    </row>
    <row r="6565" spans="1:11" x14ac:dyDescent="0.25">
      <c r="A6565">
        <v>6564</v>
      </c>
      <c r="B6565" s="23">
        <v>1223.3853120000001</v>
      </c>
      <c r="C6565" s="23">
        <v>670.34</v>
      </c>
      <c r="D6565" s="23">
        <v>2523.5720000000001</v>
      </c>
      <c r="E6565" s="23">
        <v>1223.385</v>
      </c>
      <c r="F6565" s="23">
        <v>-1300.1869999999999</v>
      </c>
      <c r="G6565" s="23">
        <v>0</v>
      </c>
      <c r="H6565" s="23">
        <v>0</v>
      </c>
      <c r="I6565" s="23">
        <v>0</v>
      </c>
      <c r="J6565" s="23">
        <v>0</v>
      </c>
      <c r="K6565" s="23">
        <v>0</v>
      </c>
    </row>
    <row r="6566" spans="1:11" x14ac:dyDescent="0.25">
      <c r="A6566">
        <v>6565</v>
      </c>
      <c r="B6566" s="23">
        <v>988.92090770000004</v>
      </c>
      <c r="C6566" s="23">
        <v>863.97</v>
      </c>
      <c r="D6566" s="23">
        <v>3204.9720000000002</v>
      </c>
      <c r="E6566" s="23">
        <v>988.92200000000003</v>
      </c>
      <c r="F6566" s="23">
        <v>-1684.559</v>
      </c>
      <c r="G6566" s="23">
        <v>0</v>
      </c>
      <c r="H6566" s="23">
        <v>531.49099999999999</v>
      </c>
      <c r="I6566" s="23">
        <v>0</v>
      </c>
      <c r="J6566" s="23">
        <v>0</v>
      </c>
      <c r="K6566" s="23">
        <v>0</v>
      </c>
    </row>
    <row r="6567" spans="1:11" x14ac:dyDescent="0.25">
      <c r="A6567">
        <v>6566</v>
      </c>
      <c r="B6567" s="23">
        <v>879.00940560000004</v>
      </c>
      <c r="C6567" s="23">
        <v>816.1</v>
      </c>
      <c r="D6567" s="23">
        <v>3051.8690000000001</v>
      </c>
      <c r="E6567" s="23">
        <v>879.00900000000001</v>
      </c>
      <c r="F6567" s="23">
        <v>-775.13499999999999</v>
      </c>
      <c r="G6567" s="23">
        <v>0</v>
      </c>
      <c r="H6567" s="23">
        <v>1397.7249999999999</v>
      </c>
      <c r="I6567" s="23">
        <v>0</v>
      </c>
      <c r="J6567" s="23">
        <v>0</v>
      </c>
      <c r="K6567" s="23">
        <v>0</v>
      </c>
    </row>
    <row r="6568" spans="1:11" x14ac:dyDescent="0.25">
      <c r="A6568">
        <v>6567</v>
      </c>
      <c r="B6568" s="23">
        <v>1120.1603339999999</v>
      </c>
      <c r="C6568" s="23">
        <v>643.98</v>
      </c>
      <c r="D6568" s="23">
        <v>2464.915</v>
      </c>
      <c r="E6568" s="23">
        <v>1120.1610000000001</v>
      </c>
      <c r="F6568" s="23">
        <v>0</v>
      </c>
      <c r="G6568" s="23">
        <v>0</v>
      </c>
      <c r="H6568" s="23">
        <v>1344.7539999999999</v>
      </c>
      <c r="I6568" s="23">
        <v>0</v>
      </c>
      <c r="J6568" s="23">
        <v>0</v>
      </c>
      <c r="K6568" s="23">
        <v>0</v>
      </c>
    </row>
    <row r="6569" spans="1:11" x14ac:dyDescent="0.25">
      <c r="A6569">
        <v>6568</v>
      </c>
      <c r="B6569" s="23">
        <v>1590.8052049999999</v>
      </c>
      <c r="C6569" s="23">
        <v>400.48</v>
      </c>
      <c r="D6569" s="23">
        <v>1570.412</v>
      </c>
      <c r="E6569" s="23">
        <v>1570.412</v>
      </c>
      <c r="F6569" s="23">
        <v>0</v>
      </c>
      <c r="G6569" s="23">
        <v>0</v>
      </c>
      <c r="H6569" s="23">
        <v>0</v>
      </c>
      <c r="I6569" s="23">
        <v>20.393000000000001</v>
      </c>
      <c r="J6569" s="23">
        <v>0</v>
      </c>
      <c r="K6569" s="23">
        <v>0</v>
      </c>
    </row>
    <row r="6570" spans="1:11" x14ac:dyDescent="0.25">
      <c r="A6570">
        <v>6569</v>
      </c>
      <c r="B6570" s="23">
        <v>1557.5415680000001</v>
      </c>
      <c r="C6570" s="23">
        <v>140.57</v>
      </c>
      <c r="D6570" s="23">
        <v>528.47799999999995</v>
      </c>
      <c r="E6570" s="23">
        <v>528.47799999999995</v>
      </c>
      <c r="F6570" s="23">
        <v>0</v>
      </c>
      <c r="G6570" s="23">
        <v>0</v>
      </c>
      <c r="H6570" s="23">
        <v>0</v>
      </c>
      <c r="I6570" s="23">
        <v>1029.0640000000001</v>
      </c>
      <c r="J6570" s="23">
        <v>0</v>
      </c>
      <c r="K6570" s="23">
        <v>0</v>
      </c>
    </row>
    <row r="6571" spans="1:11" x14ac:dyDescent="0.25">
      <c r="A6571">
        <v>6570</v>
      </c>
      <c r="B6571" s="23">
        <v>1465.6695990000001</v>
      </c>
      <c r="C6571" s="23">
        <v>13.71</v>
      </c>
      <c r="D6571" s="23">
        <v>20.167000000000002</v>
      </c>
      <c r="E6571" s="23">
        <v>20.167000000000002</v>
      </c>
      <c r="F6571" s="23">
        <v>0</v>
      </c>
      <c r="G6571" s="23">
        <v>0</v>
      </c>
      <c r="H6571" s="23">
        <v>0</v>
      </c>
      <c r="I6571" s="23">
        <v>0</v>
      </c>
      <c r="J6571" s="23">
        <v>0</v>
      </c>
      <c r="K6571" s="23">
        <v>1445.502</v>
      </c>
    </row>
    <row r="6572" spans="1:11" x14ac:dyDescent="0.25">
      <c r="A6572">
        <v>6571</v>
      </c>
      <c r="B6572" s="23">
        <v>966.14399370000001</v>
      </c>
      <c r="C6572" s="23">
        <v>0</v>
      </c>
      <c r="D6572" s="23">
        <v>0</v>
      </c>
      <c r="E6572" s="23">
        <v>0</v>
      </c>
      <c r="F6572" s="23">
        <v>0</v>
      </c>
      <c r="G6572" s="23">
        <v>0</v>
      </c>
      <c r="H6572" s="23">
        <v>0</v>
      </c>
      <c r="I6572" s="23">
        <v>0</v>
      </c>
      <c r="J6572" s="23">
        <v>0</v>
      </c>
      <c r="K6572" s="23">
        <v>966.14400000000001</v>
      </c>
    </row>
    <row r="6573" spans="1:11" x14ac:dyDescent="0.25">
      <c r="A6573">
        <v>6572</v>
      </c>
      <c r="B6573" s="23">
        <v>1198.038675</v>
      </c>
      <c r="C6573" s="23">
        <v>0</v>
      </c>
      <c r="D6573" s="23">
        <v>0</v>
      </c>
      <c r="E6573" s="23">
        <v>0</v>
      </c>
      <c r="F6573" s="23">
        <v>0</v>
      </c>
      <c r="G6573" s="23">
        <v>0</v>
      </c>
      <c r="H6573" s="23">
        <v>0</v>
      </c>
      <c r="I6573" s="23">
        <v>0</v>
      </c>
      <c r="J6573" s="23">
        <v>0</v>
      </c>
      <c r="K6573" s="23">
        <v>1198.039</v>
      </c>
    </row>
    <row r="6574" spans="1:11" x14ac:dyDescent="0.25">
      <c r="A6574">
        <v>6573</v>
      </c>
      <c r="B6574" s="23">
        <v>1423.350747</v>
      </c>
      <c r="C6574" s="23">
        <v>0</v>
      </c>
      <c r="D6574" s="23">
        <v>0</v>
      </c>
      <c r="E6574" s="23">
        <v>0</v>
      </c>
      <c r="F6574" s="23">
        <v>0</v>
      </c>
      <c r="G6574" s="23">
        <v>0</v>
      </c>
      <c r="H6574" s="23">
        <v>0</v>
      </c>
      <c r="I6574" s="23">
        <v>1423.3510000000001</v>
      </c>
      <c r="J6574" s="23">
        <v>0</v>
      </c>
      <c r="K6574" s="23">
        <v>0</v>
      </c>
    </row>
    <row r="6575" spans="1:11" x14ac:dyDescent="0.25">
      <c r="A6575">
        <v>6574</v>
      </c>
      <c r="B6575" s="23">
        <v>1421.019933</v>
      </c>
      <c r="C6575" s="23">
        <v>0</v>
      </c>
      <c r="D6575" s="23">
        <v>0</v>
      </c>
      <c r="E6575" s="23">
        <v>0</v>
      </c>
      <c r="F6575" s="23">
        <v>0</v>
      </c>
      <c r="G6575" s="23">
        <v>0</v>
      </c>
      <c r="H6575" s="23">
        <v>0</v>
      </c>
      <c r="I6575" s="23">
        <v>1421.02</v>
      </c>
      <c r="J6575" s="23">
        <v>0</v>
      </c>
      <c r="K6575" s="23">
        <v>0</v>
      </c>
    </row>
    <row r="6576" spans="1:11" x14ac:dyDescent="0.25">
      <c r="A6576">
        <v>6575</v>
      </c>
      <c r="B6576" s="23">
        <v>1225.231511</v>
      </c>
      <c r="C6576" s="23">
        <v>0</v>
      </c>
      <c r="D6576" s="23">
        <v>0</v>
      </c>
      <c r="E6576" s="23">
        <v>0</v>
      </c>
      <c r="F6576" s="23">
        <v>0</v>
      </c>
      <c r="G6576" s="23">
        <v>0</v>
      </c>
      <c r="H6576" s="23">
        <v>0</v>
      </c>
      <c r="I6576" s="23">
        <v>1225.232</v>
      </c>
      <c r="J6576" s="23">
        <v>0</v>
      </c>
      <c r="K6576" s="23">
        <v>0</v>
      </c>
    </row>
    <row r="6577" spans="1:11" x14ac:dyDescent="0.25">
      <c r="A6577">
        <v>6576</v>
      </c>
      <c r="B6577" s="23">
        <v>1382.1730239999999</v>
      </c>
      <c r="C6577" s="23">
        <v>0</v>
      </c>
      <c r="D6577" s="23">
        <v>0</v>
      </c>
      <c r="E6577" s="23">
        <v>0</v>
      </c>
      <c r="F6577" s="23">
        <v>0</v>
      </c>
      <c r="G6577" s="23">
        <v>0</v>
      </c>
      <c r="H6577" s="23">
        <v>0</v>
      </c>
      <c r="I6577" s="23">
        <v>1382.173</v>
      </c>
      <c r="J6577" s="23">
        <v>0</v>
      </c>
      <c r="K6577" s="23">
        <v>0</v>
      </c>
    </row>
    <row r="6578" spans="1:11" x14ac:dyDescent="0.25">
      <c r="A6578">
        <v>6577</v>
      </c>
      <c r="B6578" s="23">
        <v>1511.9217000000001</v>
      </c>
      <c r="C6578" s="23">
        <v>0</v>
      </c>
      <c r="D6578" s="23">
        <v>0</v>
      </c>
      <c r="E6578" s="23">
        <v>0</v>
      </c>
      <c r="F6578" s="23">
        <v>0</v>
      </c>
      <c r="G6578" s="23">
        <v>0</v>
      </c>
      <c r="H6578" s="23">
        <v>0</v>
      </c>
      <c r="I6578" s="23">
        <v>1511.922</v>
      </c>
      <c r="J6578" s="23">
        <v>0</v>
      </c>
      <c r="K6578" s="23">
        <v>0</v>
      </c>
    </row>
    <row r="6579" spans="1:11" x14ac:dyDescent="0.25">
      <c r="A6579">
        <v>6578</v>
      </c>
      <c r="B6579" s="23">
        <v>1197.261737</v>
      </c>
      <c r="C6579" s="23">
        <v>0</v>
      </c>
      <c r="D6579" s="23">
        <v>0</v>
      </c>
      <c r="E6579" s="23">
        <v>0</v>
      </c>
      <c r="F6579" s="23">
        <v>0</v>
      </c>
      <c r="G6579" s="23">
        <v>0</v>
      </c>
      <c r="H6579" s="23">
        <v>0</v>
      </c>
      <c r="I6579" s="23">
        <v>1197.2619999999999</v>
      </c>
      <c r="J6579" s="23">
        <v>0</v>
      </c>
      <c r="K6579" s="23">
        <v>0</v>
      </c>
    </row>
    <row r="6580" spans="1:11" x14ac:dyDescent="0.25">
      <c r="A6580">
        <v>6579</v>
      </c>
      <c r="B6580" s="23">
        <v>1518.9141440000001</v>
      </c>
      <c r="C6580" s="23">
        <v>0</v>
      </c>
      <c r="D6580" s="23">
        <v>0</v>
      </c>
      <c r="E6580" s="23">
        <v>0</v>
      </c>
      <c r="F6580" s="23">
        <v>0</v>
      </c>
      <c r="G6580" s="23">
        <v>0</v>
      </c>
      <c r="H6580" s="23">
        <v>0</v>
      </c>
      <c r="I6580" s="23">
        <v>1518.914</v>
      </c>
      <c r="J6580" s="23">
        <v>0</v>
      </c>
      <c r="K6580" s="23">
        <v>0</v>
      </c>
    </row>
    <row r="6581" spans="1:11" x14ac:dyDescent="0.25">
      <c r="A6581">
        <v>6580</v>
      </c>
      <c r="B6581" s="23">
        <v>1238.4394600000001</v>
      </c>
      <c r="C6581" s="23">
        <v>0</v>
      </c>
      <c r="D6581" s="23">
        <v>0</v>
      </c>
      <c r="E6581" s="23">
        <v>0</v>
      </c>
      <c r="F6581" s="23">
        <v>0</v>
      </c>
      <c r="G6581" s="23">
        <v>0</v>
      </c>
      <c r="H6581" s="23">
        <v>0</v>
      </c>
      <c r="I6581" s="23">
        <v>1238.4390000000001</v>
      </c>
      <c r="J6581" s="23">
        <v>0</v>
      </c>
      <c r="K6581" s="23">
        <v>0</v>
      </c>
    </row>
    <row r="6582" spans="1:11" x14ac:dyDescent="0.25">
      <c r="A6582">
        <v>6581</v>
      </c>
      <c r="B6582" s="23">
        <v>1274.955555</v>
      </c>
      <c r="C6582" s="23">
        <v>0</v>
      </c>
      <c r="D6582" s="23">
        <v>0</v>
      </c>
      <c r="E6582" s="23">
        <v>0</v>
      </c>
      <c r="F6582" s="23">
        <v>0</v>
      </c>
      <c r="G6582" s="23">
        <v>0</v>
      </c>
      <c r="H6582" s="23">
        <v>0</v>
      </c>
      <c r="I6582" s="23">
        <v>1274.9559999999999</v>
      </c>
      <c r="J6582" s="23">
        <v>0</v>
      </c>
      <c r="K6582" s="23">
        <v>0</v>
      </c>
    </row>
    <row r="6583" spans="1:11" x14ac:dyDescent="0.25">
      <c r="A6583">
        <v>6582</v>
      </c>
      <c r="B6583" s="23">
        <v>1134.3297439999999</v>
      </c>
      <c r="C6583" s="23">
        <v>0</v>
      </c>
      <c r="D6583" s="23">
        <v>0</v>
      </c>
      <c r="E6583" s="23">
        <v>0</v>
      </c>
      <c r="F6583" s="23">
        <v>0</v>
      </c>
      <c r="G6583" s="23">
        <v>0</v>
      </c>
      <c r="H6583" s="23">
        <v>0</v>
      </c>
      <c r="I6583" s="23">
        <v>654.35</v>
      </c>
      <c r="J6583" s="23">
        <v>0</v>
      </c>
      <c r="K6583" s="23">
        <v>479.97899999999998</v>
      </c>
    </row>
    <row r="6584" spans="1:11" x14ac:dyDescent="0.25">
      <c r="A6584">
        <v>6583</v>
      </c>
      <c r="B6584" s="23">
        <v>1236.1086459999999</v>
      </c>
      <c r="C6584" s="23">
        <v>52.08</v>
      </c>
      <c r="D6584" s="23">
        <v>180.18199999999999</v>
      </c>
      <c r="E6584" s="23">
        <v>180.18199999999999</v>
      </c>
      <c r="F6584" s="23">
        <v>0</v>
      </c>
      <c r="G6584" s="23">
        <v>0</v>
      </c>
      <c r="H6584" s="23">
        <v>0</v>
      </c>
      <c r="I6584" s="23">
        <v>0</v>
      </c>
      <c r="J6584" s="23">
        <v>0</v>
      </c>
      <c r="K6584" s="23">
        <v>1055.9269999999999</v>
      </c>
    </row>
    <row r="6585" spans="1:11" x14ac:dyDescent="0.25">
      <c r="A6585">
        <v>6584</v>
      </c>
      <c r="B6585" s="23">
        <v>895.82429019999995</v>
      </c>
      <c r="C6585" s="23">
        <v>186.61</v>
      </c>
      <c r="D6585" s="23">
        <v>727.76800000000003</v>
      </c>
      <c r="E6585" s="23">
        <v>727.76800000000003</v>
      </c>
      <c r="F6585" s="23">
        <v>0</v>
      </c>
      <c r="G6585" s="23">
        <v>0</v>
      </c>
      <c r="H6585" s="23">
        <v>0</v>
      </c>
      <c r="I6585" s="23">
        <v>0</v>
      </c>
      <c r="J6585" s="23">
        <v>0</v>
      </c>
      <c r="K6585" s="23">
        <v>168.05699999999999</v>
      </c>
    </row>
    <row r="6586" spans="1:11" x14ac:dyDescent="0.25">
      <c r="A6586">
        <v>6585</v>
      </c>
      <c r="B6586" s="23">
        <v>1078.188191</v>
      </c>
      <c r="C6586" s="23">
        <v>243.36</v>
      </c>
      <c r="D6586" s="23">
        <v>938.60799999999995</v>
      </c>
      <c r="E6586" s="23">
        <v>938.60799999999995</v>
      </c>
      <c r="F6586" s="23">
        <v>0</v>
      </c>
      <c r="G6586" s="23">
        <v>0</v>
      </c>
      <c r="H6586" s="23">
        <v>0</v>
      </c>
      <c r="I6586" s="23">
        <v>0</v>
      </c>
      <c r="J6586" s="23">
        <v>0</v>
      </c>
      <c r="K6586" s="23">
        <v>139.58000000000001</v>
      </c>
    </row>
    <row r="6587" spans="1:11" x14ac:dyDescent="0.25">
      <c r="A6587">
        <v>6586</v>
      </c>
      <c r="B6587" s="23">
        <v>1521.9830489999999</v>
      </c>
      <c r="C6587" s="23">
        <v>420.91</v>
      </c>
      <c r="D6587" s="23">
        <v>1606.422</v>
      </c>
      <c r="E6587" s="23">
        <v>1521.9829999999999</v>
      </c>
      <c r="F6587" s="23">
        <v>-84.438999999999993</v>
      </c>
      <c r="G6587" s="23">
        <v>0</v>
      </c>
      <c r="H6587" s="23">
        <v>0</v>
      </c>
      <c r="I6587" s="23">
        <v>0</v>
      </c>
      <c r="J6587" s="23">
        <v>0</v>
      </c>
      <c r="K6587" s="23">
        <v>0</v>
      </c>
    </row>
    <row r="6588" spans="1:11" x14ac:dyDescent="0.25">
      <c r="A6588">
        <v>6587</v>
      </c>
      <c r="B6588" s="23">
        <v>1177.4915739999999</v>
      </c>
      <c r="C6588" s="23">
        <v>562.27</v>
      </c>
      <c r="D6588" s="23">
        <v>2112.0569999999998</v>
      </c>
      <c r="E6588" s="23">
        <v>1177.491</v>
      </c>
      <c r="F6588" s="23">
        <v>-934.56600000000003</v>
      </c>
      <c r="G6588" s="23">
        <v>0</v>
      </c>
      <c r="H6588" s="23">
        <v>0</v>
      </c>
      <c r="I6588" s="23">
        <v>0</v>
      </c>
      <c r="J6588" s="23">
        <v>0</v>
      </c>
      <c r="K6588" s="23">
        <v>0</v>
      </c>
    </row>
    <row r="6589" spans="1:11" x14ac:dyDescent="0.25">
      <c r="A6589">
        <v>6588</v>
      </c>
      <c r="B6589" s="23">
        <v>1060.14186</v>
      </c>
      <c r="C6589" s="23">
        <v>573.52</v>
      </c>
      <c r="D6589" s="23">
        <v>2143.0259999999998</v>
      </c>
      <c r="E6589" s="23">
        <v>1060.1420000000001</v>
      </c>
      <c r="F6589" s="23">
        <v>-1082.884</v>
      </c>
      <c r="G6589" s="23">
        <v>0</v>
      </c>
      <c r="H6589" s="23">
        <v>0</v>
      </c>
      <c r="I6589" s="23">
        <v>0</v>
      </c>
      <c r="J6589" s="23">
        <v>0</v>
      </c>
      <c r="K6589" s="23">
        <v>0</v>
      </c>
    </row>
    <row r="6590" spans="1:11" x14ac:dyDescent="0.25">
      <c r="A6590">
        <v>6589</v>
      </c>
      <c r="B6590" s="23">
        <v>943.52926560000003</v>
      </c>
      <c r="C6590" s="23">
        <v>638.62</v>
      </c>
      <c r="D6590" s="23">
        <v>2376.9009999999998</v>
      </c>
      <c r="E6590" s="23">
        <v>943.53</v>
      </c>
      <c r="F6590" s="23">
        <v>-1433.3710000000001</v>
      </c>
      <c r="G6590" s="23">
        <v>0</v>
      </c>
      <c r="H6590" s="23">
        <v>0</v>
      </c>
      <c r="I6590" s="23">
        <v>0</v>
      </c>
      <c r="J6590" s="23">
        <v>0</v>
      </c>
      <c r="K6590" s="23">
        <v>0</v>
      </c>
    </row>
    <row r="6591" spans="1:11" x14ac:dyDescent="0.25">
      <c r="A6591">
        <v>6590</v>
      </c>
      <c r="B6591" s="23">
        <v>1025.0300810000001</v>
      </c>
      <c r="C6591" s="23">
        <v>639.63</v>
      </c>
      <c r="D6591" s="23">
        <v>2399.2579999999998</v>
      </c>
      <c r="E6591" s="23">
        <v>1025.03</v>
      </c>
      <c r="F6591" s="23">
        <v>-1374.2280000000001</v>
      </c>
      <c r="G6591" s="23">
        <v>0</v>
      </c>
      <c r="H6591" s="23">
        <v>0</v>
      </c>
      <c r="I6591" s="23">
        <v>0</v>
      </c>
      <c r="J6591" s="23">
        <v>0</v>
      </c>
      <c r="K6591" s="23">
        <v>0</v>
      </c>
    </row>
    <row r="6592" spans="1:11" x14ac:dyDescent="0.25">
      <c r="A6592">
        <v>6591</v>
      </c>
      <c r="B6592" s="23">
        <v>930.06686930000001</v>
      </c>
      <c r="C6592" s="23">
        <v>546.38</v>
      </c>
      <c r="D6592" s="23">
        <v>2089.431</v>
      </c>
      <c r="E6592" s="23">
        <v>930.06700000000001</v>
      </c>
      <c r="F6592" s="23">
        <v>-1159.364</v>
      </c>
      <c r="G6592" s="23">
        <v>0</v>
      </c>
      <c r="H6592" s="23">
        <v>0</v>
      </c>
      <c r="I6592" s="23">
        <v>0</v>
      </c>
      <c r="J6592" s="23">
        <v>0</v>
      </c>
      <c r="K6592" s="23">
        <v>0</v>
      </c>
    </row>
    <row r="6593" spans="1:11" x14ac:dyDescent="0.25">
      <c r="A6593">
        <v>6592</v>
      </c>
      <c r="B6593" s="23">
        <v>968.80112229999997</v>
      </c>
      <c r="C6593" s="23">
        <v>249.26</v>
      </c>
      <c r="D6593" s="23">
        <v>965.69799999999998</v>
      </c>
      <c r="E6593" s="23">
        <v>965.69799999999998</v>
      </c>
      <c r="F6593" s="23">
        <v>0</v>
      </c>
      <c r="G6593" s="23">
        <v>0</v>
      </c>
      <c r="H6593" s="23">
        <v>0</v>
      </c>
      <c r="I6593" s="23">
        <v>3.1040000000000001</v>
      </c>
      <c r="J6593" s="23">
        <v>0</v>
      </c>
      <c r="K6593" s="23">
        <v>0</v>
      </c>
    </row>
    <row r="6594" spans="1:11" x14ac:dyDescent="0.25">
      <c r="A6594">
        <v>6593</v>
      </c>
      <c r="B6594" s="23">
        <v>1132.6777790000001</v>
      </c>
      <c r="C6594" s="23">
        <v>26.45</v>
      </c>
      <c r="D6594" s="23">
        <v>77.852999999999994</v>
      </c>
      <c r="E6594" s="23">
        <v>77.852999999999994</v>
      </c>
      <c r="F6594" s="23">
        <v>0</v>
      </c>
      <c r="G6594" s="23">
        <v>0</v>
      </c>
      <c r="H6594" s="23">
        <v>0</v>
      </c>
      <c r="I6594" s="23">
        <v>1054.825</v>
      </c>
      <c r="J6594" s="23">
        <v>0</v>
      </c>
      <c r="K6594" s="23">
        <v>0</v>
      </c>
    </row>
    <row r="6595" spans="1:11" x14ac:dyDescent="0.25">
      <c r="A6595">
        <v>6594</v>
      </c>
      <c r="B6595" s="23">
        <v>1010.939336</v>
      </c>
      <c r="C6595" s="23">
        <v>3.91</v>
      </c>
      <c r="D6595" s="23">
        <v>0</v>
      </c>
      <c r="E6595" s="23">
        <v>0</v>
      </c>
      <c r="F6595" s="23">
        <v>0</v>
      </c>
      <c r="G6595" s="23">
        <v>0</v>
      </c>
      <c r="H6595" s="23">
        <v>0</v>
      </c>
      <c r="I6595" s="23">
        <v>0</v>
      </c>
      <c r="J6595" s="23">
        <v>0</v>
      </c>
      <c r="K6595" s="23">
        <v>1010.939</v>
      </c>
    </row>
    <row r="6596" spans="1:11" x14ac:dyDescent="0.25">
      <c r="A6596">
        <v>6595</v>
      </c>
      <c r="B6596" s="23">
        <v>1250.787922</v>
      </c>
      <c r="C6596" s="23">
        <v>0</v>
      </c>
      <c r="D6596" s="23">
        <v>0</v>
      </c>
      <c r="E6596" s="23">
        <v>0</v>
      </c>
      <c r="F6596" s="23">
        <v>0</v>
      </c>
      <c r="G6596" s="23">
        <v>0</v>
      </c>
      <c r="H6596" s="23">
        <v>0</v>
      </c>
      <c r="I6596" s="23">
        <v>0</v>
      </c>
      <c r="J6596" s="23">
        <v>0</v>
      </c>
      <c r="K6596" s="23">
        <v>1250.788</v>
      </c>
    </row>
    <row r="6597" spans="1:11" x14ac:dyDescent="0.25">
      <c r="A6597">
        <v>6596</v>
      </c>
      <c r="B6597" s="23">
        <v>1191.823169</v>
      </c>
      <c r="C6597" s="23">
        <v>0</v>
      </c>
      <c r="D6597" s="23">
        <v>0</v>
      </c>
      <c r="E6597" s="23">
        <v>0</v>
      </c>
      <c r="F6597" s="23">
        <v>0</v>
      </c>
      <c r="G6597" s="23">
        <v>0</v>
      </c>
      <c r="H6597" s="23">
        <v>0</v>
      </c>
      <c r="I6597" s="23">
        <v>0</v>
      </c>
      <c r="J6597" s="23">
        <v>0</v>
      </c>
      <c r="K6597" s="23">
        <v>1191.8230000000001</v>
      </c>
    </row>
    <row r="6598" spans="1:11" x14ac:dyDescent="0.25">
      <c r="A6598">
        <v>6597</v>
      </c>
      <c r="B6598" s="23">
        <v>1114.129351</v>
      </c>
      <c r="C6598" s="23">
        <v>0</v>
      </c>
      <c r="D6598" s="23">
        <v>0</v>
      </c>
      <c r="E6598" s="23">
        <v>0</v>
      </c>
      <c r="F6598" s="23">
        <v>0</v>
      </c>
      <c r="G6598" s="23">
        <v>0</v>
      </c>
      <c r="H6598" s="23">
        <v>0</v>
      </c>
      <c r="I6598" s="23">
        <v>1114.1289999999999</v>
      </c>
      <c r="J6598" s="23">
        <v>0</v>
      </c>
      <c r="K6598" s="23">
        <v>0</v>
      </c>
    </row>
    <row r="6599" spans="1:11" x14ac:dyDescent="0.25">
      <c r="A6599">
        <v>6598</v>
      </c>
      <c r="B6599" s="23">
        <v>1338.6644859999999</v>
      </c>
      <c r="C6599" s="23">
        <v>0</v>
      </c>
      <c r="D6599" s="23">
        <v>0</v>
      </c>
      <c r="E6599" s="23">
        <v>0</v>
      </c>
      <c r="F6599" s="23">
        <v>0</v>
      </c>
      <c r="G6599" s="23">
        <v>0</v>
      </c>
      <c r="H6599" s="23">
        <v>0</v>
      </c>
      <c r="I6599" s="23">
        <v>1338.664</v>
      </c>
      <c r="J6599" s="23">
        <v>0</v>
      </c>
      <c r="K6599" s="23">
        <v>0</v>
      </c>
    </row>
    <row r="6600" spans="1:11" x14ac:dyDescent="0.25">
      <c r="A6600">
        <v>6599</v>
      </c>
      <c r="B6600" s="23">
        <v>1141.3221880000001</v>
      </c>
      <c r="C6600" s="23">
        <v>0</v>
      </c>
      <c r="D6600" s="23">
        <v>0</v>
      </c>
      <c r="E6600" s="23">
        <v>0</v>
      </c>
      <c r="F6600" s="23">
        <v>0</v>
      </c>
      <c r="G6600" s="23">
        <v>0</v>
      </c>
      <c r="H6600" s="23">
        <v>0</v>
      </c>
      <c r="I6600" s="23">
        <v>1141.3219999999999</v>
      </c>
      <c r="J6600" s="23">
        <v>0</v>
      </c>
      <c r="K6600" s="23">
        <v>0</v>
      </c>
    </row>
    <row r="6601" spans="1:11" x14ac:dyDescent="0.25">
      <c r="A6601">
        <v>6600</v>
      </c>
      <c r="B6601" s="23">
        <v>156.16457439999999</v>
      </c>
      <c r="C6601" s="23">
        <v>0</v>
      </c>
      <c r="D6601" s="23">
        <v>0</v>
      </c>
      <c r="E6601" s="23">
        <v>0</v>
      </c>
      <c r="F6601" s="23">
        <v>0</v>
      </c>
      <c r="G6601" s="23">
        <v>0</v>
      </c>
      <c r="H6601" s="23">
        <v>0</v>
      </c>
      <c r="I6601" s="23">
        <v>156.16499999999999</v>
      </c>
      <c r="J6601" s="23">
        <v>0</v>
      </c>
      <c r="K6601" s="23">
        <v>0</v>
      </c>
    </row>
    <row r="6602" spans="1:11" x14ac:dyDescent="0.25">
      <c r="A6602">
        <v>6601</v>
      </c>
      <c r="B6602" s="23">
        <v>101.77890170000001</v>
      </c>
      <c r="C6602" s="23">
        <v>0</v>
      </c>
      <c r="D6602" s="23">
        <v>0</v>
      </c>
      <c r="E6602" s="23">
        <v>0</v>
      </c>
      <c r="F6602" s="23">
        <v>0</v>
      </c>
      <c r="G6602" s="23">
        <v>0</v>
      </c>
      <c r="H6602" s="23">
        <v>0</v>
      </c>
      <c r="I6602" s="23">
        <v>101.779</v>
      </c>
      <c r="J6602" s="23">
        <v>0</v>
      </c>
      <c r="K6602" s="23">
        <v>0</v>
      </c>
    </row>
    <row r="6603" spans="1:11" x14ac:dyDescent="0.25">
      <c r="A6603">
        <v>6602</v>
      </c>
      <c r="B6603" s="23">
        <v>103.3327781</v>
      </c>
      <c r="C6603" s="23">
        <v>0</v>
      </c>
      <c r="D6603" s="23">
        <v>0</v>
      </c>
      <c r="E6603" s="23">
        <v>0</v>
      </c>
      <c r="F6603" s="23">
        <v>0</v>
      </c>
      <c r="G6603" s="23">
        <v>0</v>
      </c>
      <c r="H6603" s="23">
        <v>0</v>
      </c>
      <c r="I6603" s="23">
        <v>103.333</v>
      </c>
      <c r="J6603" s="23">
        <v>0</v>
      </c>
      <c r="K6603" s="23">
        <v>0</v>
      </c>
    </row>
    <row r="6604" spans="1:11" x14ac:dyDescent="0.25">
      <c r="A6604">
        <v>6603</v>
      </c>
      <c r="B6604" s="23">
        <v>99.448087150000006</v>
      </c>
      <c r="C6604" s="23">
        <v>0</v>
      </c>
      <c r="D6604" s="23">
        <v>0</v>
      </c>
      <c r="E6604" s="23">
        <v>0</v>
      </c>
      <c r="F6604" s="23">
        <v>0</v>
      </c>
      <c r="G6604" s="23">
        <v>0</v>
      </c>
      <c r="H6604" s="23">
        <v>0</v>
      </c>
      <c r="I6604" s="23">
        <v>99.447999999999993</v>
      </c>
      <c r="J6604" s="23">
        <v>0</v>
      </c>
      <c r="K6604" s="23">
        <v>0</v>
      </c>
    </row>
    <row r="6605" spans="1:11" x14ac:dyDescent="0.25">
      <c r="A6605">
        <v>6604</v>
      </c>
      <c r="B6605" s="23">
        <v>104.8866544</v>
      </c>
      <c r="C6605" s="23">
        <v>0</v>
      </c>
      <c r="D6605" s="23">
        <v>0</v>
      </c>
      <c r="E6605" s="23">
        <v>0</v>
      </c>
      <c r="F6605" s="23">
        <v>0</v>
      </c>
      <c r="G6605" s="23">
        <v>0</v>
      </c>
      <c r="H6605" s="23">
        <v>0</v>
      </c>
      <c r="I6605" s="23">
        <v>104.887</v>
      </c>
      <c r="J6605" s="23">
        <v>0</v>
      </c>
      <c r="K6605" s="23">
        <v>0</v>
      </c>
    </row>
    <row r="6606" spans="1:11" x14ac:dyDescent="0.25">
      <c r="A6606">
        <v>6605</v>
      </c>
      <c r="B6606" s="23">
        <v>98.671148970000004</v>
      </c>
      <c r="C6606" s="23">
        <v>0</v>
      </c>
      <c r="D6606" s="23">
        <v>0</v>
      </c>
      <c r="E6606" s="23">
        <v>0</v>
      </c>
      <c r="F6606" s="23">
        <v>0</v>
      </c>
      <c r="G6606" s="23">
        <v>0</v>
      </c>
      <c r="H6606" s="23">
        <v>0</v>
      </c>
      <c r="I6606" s="23">
        <v>98.671000000000006</v>
      </c>
      <c r="J6606" s="23">
        <v>0</v>
      </c>
      <c r="K6606" s="23">
        <v>0</v>
      </c>
    </row>
    <row r="6607" spans="1:11" x14ac:dyDescent="0.25">
      <c r="A6607">
        <v>6606</v>
      </c>
      <c r="B6607" s="23">
        <v>101.0019635</v>
      </c>
      <c r="C6607" s="23">
        <v>0</v>
      </c>
      <c r="D6607" s="23">
        <v>0</v>
      </c>
      <c r="E6607" s="23">
        <v>0</v>
      </c>
      <c r="F6607" s="23">
        <v>0</v>
      </c>
      <c r="G6607" s="23">
        <v>0</v>
      </c>
      <c r="H6607" s="23">
        <v>0</v>
      </c>
      <c r="I6607" s="23">
        <v>101.002</v>
      </c>
      <c r="J6607" s="23">
        <v>0</v>
      </c>
      <c r="K6607" s="23">
        <v>0</v>
      </c>
    </row>
    <row r="6608" spans="1:11" x14ac:dyDescent="0.25">
      <c r="A6608">
        <v>6607</v>
      </c>
      <c r="B6608" s="23">
        <v>84.283225040000005</v>
      </c>
      <c r="C6608" s="23">
        <v>6.85</v>
      </c>
      <c r="D6608" s="23">
        <v>3.456</v>
      </c>
      <c r="E6608" s="23">
        <v>3.456</v>
      </c>
      <c r="F6608" s="23">
        <v>0</v>
      </c>
      <c r="G6608" s="23">
        <v>0</v>
      </c>
      <c r="H6608" s="23">
        <v>0</v>
      </c>
      <c r="I6608" s="23">
        <v>80.826999999999998</v>
      </c>
      <c r="J6608" s="23">
        <v>0</v>
      </c>
      <c r="K6608" s="23">
        <v>0</v>
      </c>
    </row>
    <row r="6609" spans="1:11" x14ac:dyDescent="0.25">
      <c r="A6609">
        <v>6608</v>
      </c>
      <c r="B6609" s="23">
        <v>99.536463870000006</v>
      </c>
      <c r="C6609" s="23">
        <v>18.61</v>
      </c>
      <c r="D6609" s="23">
        <v>48.170999999999999</v>
      </c>
      <c r="E6609" s="23">
        <v>48.170999999999999</v>
      </c>
      <c r="F6609" s="23">
        <v>0</v>
      </c>
      <c r="G6609" s="23">
        <v>0</v>
      </c>
      <c r="H6609" s="23">
        <v>0</v>
      </c>
      <c r="I6609" s="23">
        <v>51.366</v>
      </c>
      <c r="J6609" s="23">
        <v>0</v>
      </c>
      <c r="K6609" s="23">
        <v>0</v>
      </c>
    </row>
    <row r="6610" spans="1:11" x14ac:dyDescent="0.25">
      <c r="A6610">
        <v>6609</v>
      </c>
      <c r="B6610" s="23">
        <v>1023.343154</v>
      </c>
      <c r="C6610" s="23">
        <v>42.18</v>
      </c>
      <c r="D6610" s="23">
        <v>137.91499999999999</v>
      </c>
      <c r="E6610" s="23">
        <v>137.91499999999999</v>
      </c>
      <c r="F6610" s="23">
        <v>0</v>
      </c>
      <c r="G6610" s="23">
        <v>0</v>
      </c>
      <c r="H6610" s="23">
        <v>0</v>
      </c>
      <c r="I6610" s="23">
        <v>885.428</v>
      </c>
      <c r="J6610" s="23">
        <v>0</v>
      </c>
      <c r="K6610" s="23">
        <v>0</v>
      </c>
    </row>
    <row r="6611" spans="1:11" x14ac:dyDescent="0.25">
      <c r="A6611">
        <v>6610</v>
      </c>
      <c r="B6611" s="23">
        <v>1312.2971460000001</v>
      </c>
      <c r="C6611" s="23">
        <v>82.5</v>
      </c>
      <c r="D6611" s="23">
        <v>293.09500000000003</v>
      </c>
      <c r="E6611" s="23">
        <v>293.09500000000003</v>
      </c>
      <c r="F6611" s="23">
        <v>0</v>
      </c>
      <c r="G6611" s="23">
        <v>0</v>
      </c>
      <c r="H6611" s="23">
        <v>0</v>
      </c>
      <c r="I6611" s="23">
        <v>1019.202</v>
      </c>
      <c r="J6611" s="23">
        <v>0</v>
      </c>
      <c r="K6611" s="23">
        <v>0</v>
      </c>
    </row>
    <row r="6612" spans="1:11" x14ac:dyDescent="0.25">
      <c r="A6612">
        <v>6611</v>
      </c>
      <c r="B6612" s="23">
        <v>985.11779530000001</v>
      </c>
      <c r="C6612" s="23">
        <v>337.07</v>
      </c>
      <c r="D6612" s="23">
        <v>1288.0309999999999</v>
      </c>
      <c r="E6612" s="23">
        <v>985.11800000000005</v>
      </c>
      <c r="F6612" s="23">
        <v>-302.91300000000001</v>
      </c>
      <c r="G6612" s="23">
        <v>0</v>
      </c>
      <c r="H6612" s="23">
        <v>0</v>
      </c>
      <c r="I6612" s="23">
        <v>0</v>
      </c>
      <c r="J6612" s="23">
        <v>0</v>
      </c>
      <c r="K6612" s="23">
        <v>0</v>
      </c>
    </row>
    <row r="6613" spans="1:11" x14ac:dyDescent="0.25">
      <c r="A6613">
        <v>6612</v>
      </c>
      <c r="B6613" s="23">
        <v>1098.0768370000001</v>
      </c>
      <c r="C6613" s="23">
        <v>465.77</v>
      </c>
      <c r="D6613" s="23">
        <v>1769.366</v>
      </c>
      <c r="E6613" s="23">
        <v>1098.077</v>
      </c>
      <c r="F6613" s="23">
        <v>-671.28899999999999</v>
      </c>
      <c r="G6613" s="23">
        <v>0</v>
      </c>
      <c r="H6613" s="23">
        <v>0</v>
      </c>
      <c r="I6613" s="23">
        <v>0</v>
      </c>
      <c r="J6613" s="23">
        <v>0</v>
      </c>
      <c r="K6613" s="23">
        <v>0</v>
      </c>
    </row>
    <row r="6614" spans="1:11" x14ac:dyDescent="0.25">
      <c r="A6614">
        <v>6613</v>
      </c>
      <c r="B6614" s="23">
        <v>1289.3434789999999</v>
      </c>
      <c r="C6614" s="23">
        <v>565.28</v>
      </c>
      <c r="D6614" s="23">
        <v>2138.5320000000002</v>
      </c>
      <c r="E6614" s="23">
        <v>1289.3440000000001</v>
      </c>
      <c r="F6614" s="23">
        <v>-849.18799999999999</v>
      </c>
      <c r="G6614" s="23">
        <v>0</v>
      </c>
      <c r="H6614" s="23">
        <v>0</v>
      </c>
      <c r="I6614" s="23">
        <v>0</v>
      </c>
      <c r="J6614" s="23">
        <v>0</v>
      </c>
      <c r="K6614" s="23">
        <v>0</v>
      </c>
    </row>
    <row r="6615" spans="1:11" x14ac:dyDescent="0.25">
      <c r="A6615">
        <v>6614</v>
      </c>
      <c r="B6615" s="23">
        <v>1274.6729439999999</v>
      </c>
      <c r="C6615" s="23">
        <v>367.04</v>
      </c>
      <c r="D6615" s="23">
        <v>1398.0509999999999</v>
      </c>
      <c r="E6615" s="23">
        <v>1274.673</v>
      </c>
      <c r="F6615" s="23">
        <v>-123.378</v>
      </c>
      <c r="G6615" s="23">
        <v>0</v>
      </c>
      <c r="H6615" s="23">
        <v>0</v>
      </c>
      <c r="I6615" s="23">
        <v>0</v>
      </c>
      <c r="J6615" s="23">
        <v>0</v>
      </c>
      <c r="K6615" s="23">
        <v>0</v>
      </c>
    </row>
    <row r="6616" spans="1:11" x14ac:dyDescent="0.25">
      <c r="A6616">
        <v>6615</v>
      </c>
      <c r="B6616" s="23">
        <v>1148.4204890000001</v>
      </c>
      <c r="C6616" s="23">
        <v>108.07</v>
      </c>
      <c r="D6616" s="23">
        <v>394.20400000000001</v>
      </c>
      <c r="E6616" s="23">
        <v>394.20400000000001</v>
      </c>
      <c r="F6616" s="23">
        <v>0</v>
      </c>
      <c r="G6616" s="23">
        <v>0</v>
      </c>
      <c r="H6616" s="23">
        <v>0</v>
      </c>
      <c r="I6616" s="23">
        <v>754.21600000000001</v>
      </c>
      <c r="J6616" s="23">
        <v>0</v>
      </c>
      <c r="K6616" s="23">
        <v>0</v>
      </c>
    </row>
    <row r="6617" spans="1:11" x14ac:dyDescent="0.25">
      <c r="A6617">
        <v>6616</v>
      </c>
      <c r="B6617" s="23">
        <v>1234.0497600000001</v>
      </c>
      <c r="C6617" s="23">
        <v>62.77</v>
      </c>
      <c r="D6617" s="23">
        <v>219.767</v>
      </c>
      <c r="E6617" s="23">
        <v>219.767</v>
      </c>
      <c r="F6617" s="23">
        <v>0</v>
      </c>
      <c r="G6617" s="23">
        <v>0</v>
      </c>
      <c r="H6617" s="23">
        <v>0</v>
      </c>
      <c r="I6617" s="23">
        <v>1014.283</v>
      </c>
      <c r="J6617" s="23">
        <v>0</v>
      </c>
      <c r="K6617" s="23">
        <v>0</v>
      </c>
    </row>
    <row r="6618" spans="1:11" x14ac:dyDescent="0.25">
      <c r="A6618">
        <v>6617</v>
      </c>
      <c r="B6618" s="23">
        <v>1363.2866280000001</v>
      </c>
      <c r="C6618" s="23">
        <v>40.18</v>
      </c>
      <c r="D6618" s="23">
        <v>132.81700000000001</v>
      </c>
      <c r="E6618" s="23">
        <v>132.81700000000001</v>
      </c>
      <c r="F6618" s="23">
        <v>0</v>
      </c>
      <c r="G6618" s="23">
        <v>0</v>
      </c>
      <c r="H6618" s="23">
        <v>0</v>
      </c>
      <c r="I6618" s="23">
        <v>1230.47</v>
      </c>
      <c r="J6618" s="23">
        <v>0</v>
      </c>
      <c r="K6618" s="23">
        <v>0</v>
      </c>
    </row>
    <row r="6619" spans="1:11" x14ac:dyDescent="0.25">
      <c r="A6619">
        <v>6618</v>
      </c>
      <c r="B6619" s="23">
        <v>1689.670588</v>
      </c>
      <c r="C6619" s="23">
        <v>3.91</v>
      </c>
      <c r="D6619" s="23">
        <v>0</v>
      </c>
      <c r="E6619" s="23">
        <v>0</v>
      </c>
      <c r="F6619" s="23">
        <v>0</v>
      </c>
      <c r="G6619" s="23">
        <v>0</v>
      </c>
      <c r="H6619" s="23">
        <v>0</v>
      </c>
      <c r="I6619" s="23">
        <v>5.1109999999999998</v>
      </c>
      <c r="J6619" s="23">
        <v>0</v>
      </c>
      <c r="K6619" s="23">
        <v>1684.559</v>
      </c>
    </row>
    <row r="6620" spans="1:11" x14ac:dyDescent="0.25">
      <c r="A6620">
        <v>6619</v>
      </c>
      <c r="B6620" s="23">
        <v>1542.974948</v>
      </c>
      <c r="C6620" s="23">
        <v>0</v>
      </c>
      <c r="D6620" s="23">
        <v>0</v>
      </c>
      <c r="E6620" s="23">
        <v>0</v>
      </c>
      <c r="F6620" s="23">
        <v>0</v>
      </c>
      <c r="G6620" s="23">
        <v>0</v>
      </c>
      <c r="H6620" s="23">
        <v>0</v>
      </c>
      <c r="I6620" s="23">
        <v>0</v>
      </c>
      <c r="J6620" s="23">
        <v>0</v>
      </c>
      <c r="K6620" s="23">
        <v>1542.9749999999999</v>
      </c>
    </row>
    <row r="6621" spans="1:11" x14ac:dyDescent="0.25">
      <c r="A6621">
        <v>6620</v>
      </c>
      <c r="B6621" s="23">
        <v>1457.5360270000001</v>
      </c>
      <c r="C6621" s="23">
        <v>0</v>
      </c>
      <c r="D6621" s="23">
        <v>0</v>
      </c>
      <c r="E6621" s="23">
        <v>0</v>
      </c>
      <c r="F6621" s="23">
        <v>0</v>
      </c>
      <c r="G6621" s="23">
        <v>0</v>
      </c>
      <c r="H6621" s="23">
        <v>0</v>
      </c>
      <c r="I6621" s="23">
        <v>0</v>
      </c>
      <c r="J6621" s="23">
        <v>0</v>
      </c>
      <c r="K6621" s="23">
        <v>1457.5360000000001</v>
      </c>
    </row>
    <row r="6622" spans="1:11" x14ac:dyDescent="0.25">
      <c r="A6622">
        <v>6621</v>
      </c>
      <c r="B6622" s="23">
        <v>1491.721307</v>
      </c>
      <c r="C6622" s="23">
        <v>0</v>
      </c>
      <c r="D6622" s="23">
        <v>0</v>
      </c>
      <c r="E6622" s="23">
        <v>0</v>
      </c>
      <c r="F6622" s="23">
        <v>0</v>
      </c>
      <c r="G6622" s="23">
        <v>0</v>
      </c>
      <c r="H6622" s="23">
        <v>0</v>
      </c>
      <c r="I6622" s="23">
        <v>1491.721</v>
      </c>
      <c r="J6622" s="23">
        <v>0</v>
      </c>
      <c r="K6622" s="23">
        <v>0</v>
      </c>
    </row>
    <row r="6623" spans="1:11" x14ac:dyDescent="0.25">
      <c r="A6623">
        <v>6622</v>
      </c>
      <c r="B6623" s="23">
        <v>1543.776165</v>
      </c>
      <c r="C6623" s="23">
        <v>0</v>
      </c>
      <c r="D6623" s="23">
        <v>0</v>
      </c>
      <c r="E6623" s="23">
        <v>0</v>
      </c>
      <c r="F6623" s="23">
        <v>0</v>
      </c>
      <c r="G6623" s="23">
        <v>0</v>
      </c>
      <c r="H6623" s="23">
        <v>0</v>
      </c>
      <c r="I6623" s="23">
        <v>1543.7760000000001</v>
      </c>
      <c r="J6623" s="23">
        <v>0</v>
      </c>
      <c r="K6623" s="23">
        <v>0</v>
      </c>
    </row>
    <row r="6624" spans="1:11" x14ac:dyDescent="0.25">
      <c r="A6624">
        <v>6623</v>
      </c>
      <c r="B6624" s="23">
        <v>1860.7669430000001</v>
      </c>
      <c r="C6624" s="23">
        <v>0</v>
      </c>
      <c r="D6624" s="23">
        <v>0</v>
      </c>
      <c r="E6624" s="23">
        <v>0</v>
      </c>
      <c r="F6624" s="23">
        <v>0</v>
      </c>
      <c r="G6624" s="23">
        <v>0</v>
      </c>
      <c r="H6624" s="23">
        <v>0</v>
      </c>
      <c r="I6624" s="23">
        <v>1860.7670000000001</v>
      </c>
      <c r="J6624" s="23">
        <v>0</v>
      </c>
      <c r="K6624" s="23">
        <v>0</v>
      </c>
    </row>
    <row r="6625" spans="1:11" x14ac:dyDescent="0.25">
      <c r="A6625">
        <v>6624</v>
      </c>
      <c r="B6625" s="23">
        <v>186.46516339999999</v>
      </c>
      <c r="C6625" s="23">
        <v>0</v>
      </c>
      <c r="D6625" s="23">
        <v>0</v>
      </c>
      <c r="E6625" s="23">
        <v>0</v>
      </c>
      <c r="F6625" s="23">
        <v>0</v>
      </c>
      <c r="G6625" s="23">
        <v>0</v>
      </c>
      <c r="H6625" s="23">
        <v>0</v>
      </c>
      <c r="I6625" s="23">
        <v>186.465</v>
      </c>
      <c r="J6625" s="23">
        <v>0</v>
      </c>
      <c r="K6625" s="23">
        <v>0</v>
      </c>
    </row>
    <row r="6626" spans="1:11" x14ac:dyDescent="0.25">
      <c r="A6626">
        <v>6625</v>
      </c>
      <c r="B6626" s="23">
        <v>104.10971619999999</v>
      </c>
      <c r="C6626" s="23">
        <v>0</v>
      </c>
      <c r="D6626" s="23">
        <v>0</v>
      </c>
      <c r="E6626" s="23">
        <v>0</v>
      </c>
      <c r="F6626" s="23">
        <v>0</v>
      </c>
      <c r="G6626" s="23">
        <v>0</v>
      </c>
      <c r="H6626" s="23">
        <v>0</v>
      </c>
      <c r="I6626" s="23">
        <v>104.11</v>
      </c>
      <c r="J6626" s="23">
        <v>0</v>
      </c>
      <c r="K6626" s="23">
        <v>0</v>
      </c>
    </row>
    <row r="6627" spans="1:11" x14ac:dyDescent="0.25">
      <c r="A6627">
        <v>6626</v>
      </c>
      <c r="B6627" s="23">
        <v>112.6560362</v>
      </c>
      <c r="C6627" s="23">
        <v>0</v>
      </c>
      <c r="D6627" s="23">
        <v>0</v>
      </c>
      <c r="E6627" s="23">
        <v>0</v>
      </c>
      <c r="F6627" s="23">
        <v>0</v>
      </c>
      <c r="G6627" s="23">
        <v>0</v>
      </c>
      <c r="H6627" s="23">
        <v>0</v>
      </c>
      <c r="I6627" s="23">
        <v>112.65600000000001</v>
      </c>
      <c r="J6627" s="23">
        <v>0</v>
      </c>
      <c r="K6627" s="23">
        <v>0</v>
      </c>
    </row>
    <row r="6628" spans="1:11" x14ac:dyDescent="0.25">
      <c r="A6628">
        <v>6627</v>
      </c>
      <c r="B6628" s="23">
        <v>107.21746899999999</v>
      </c>
      <c r="C6628" s="23">
        <v>0</v>
      </c>
      <c r="D6628" s="23">
        <v>0</v>
      </c>
      <c r="E6628" s="23">
        <v>0</v>
      </c>
      <c r="F6628" s="23">
        <v>0</v>
      </c>
      <c r="G6628" s="23">
        <v>0</v>
      </c>
      <c r="H6628" s="23">
        <v>0</v>
      </c>
      <c r="I6628" s="23">
        <v>107.217</v>
      </c>
      <c r="J6628" s="23">
        <v>0</v>
      </c>
      <c r="K6628" s="23">
        <v>0</v>
      </c>
    </row>
    <row r="6629" spans="1:11" x14ac:dyDescent="0.25">
      <c r="A6629">
        <v>6628</v>
      </c>
      <c r="B6629" s="23">
        <v>107.21746899999999</v>
      </c>
      <c r="C6629" s="23">
        <v>0</v>
      </c>
      <c r="D6629" s="23">
        <v>0</v>
      </c>
      <c r="E6629" s="23">
        <v>0</v>
      </c>
      <c r="F6629" s="23">
        <v>0</v>
      </c>
      <c r="G6629" s="23">
        <v>0</v>
      </c>
      <c r="H6629" s="23">
        <v>0</v>
      </c>
      <c r="I6629" s="23">
        <v>107.217</v>
      </c>
      <c r="J6629" s="23">
        <v>0</v>
      </c>
      <c r="K6629" s="23">
        <v>0</v>
      </c>
    </row>
    <row r="6630" spans="1:11" x14ac:dyDescent="0.25">
      <c r="A6630">
        <v>6629</v>
      </c>
      <c r="B6630" s="23">
        <v>104.8866544</v>
      </c>
      <c r="C6630" s="23">
        <v>0</v>
      </c>
      <c r="D6630" s="23">
        <v>0</v>
      </c>
      <c r="E6630" s="23">
        <v>0</v>
      </c>
      <c r="F6630" s="23">
        <v>0</v>
      </c>
      <c r="G6630" s="23">
        <v>0</v>
      </c>
      <c r="H6630" s="23">
        <v>0</v>
      </c>
      <c r="I6630" s="23">
        <v>49.588000000000001</v>
      </c>
      <c r="J6630" s="23">
        <v>0</v>
      </c>
      <c r="K6630" s="23">
        <v>55.298999999999999</v>
      </c>
    </row>
    <row r="6631" spans="1:11" x14ac:dyDescent="0.25">
      <c r="A6631">
        <v>6630</v>
      </c>
      <c r="B6631" s="23">
        <v>107.21746899999999</v>
      </c>
      <c r="C6631" s="23">
        <v>0</v>
      </c>
      <c r="D6631" s="23">
        <v>0</v>
      </c>
      <c r="E6631" s="23">
        <v>0</v>
      </c>
      <c r="F6631" s="23">
        <v>0</v>
      </c>
      <c r="G6631" s="23">
        <v>0</v>
      </c>
      <c r="H6631" s="23">
        <v>0</v>
      </c>
      <c r="I6631" s="23">
        <v>0</v>
      </c>
      <c r="J6631" s="23">
        <v>0</v>
      </c>
      <c r="K6631" s="23">
        <v>107.217</v>
      </c>
    </row>
    <row r="6632" spans="1:11" x14ac:dyDescent="0.25">
      <c r="A6632">
        <v>6631</v>
      </c>
      <c r="B6632" s="23">
        <v>100.24542</v>
      </c>
      <c r="C6632" s="23">
        <v>125.03</v>
      </c>
      <c r="D6632" s="23">
        <v>419.72300000000001</v>
      </c>
      <c r="E6632" s="23">
        <v>100.245</v>
      </c>
      <c r="F6632" s="23">
        <v>-319.47800000000001</v>
      </c>
      <c r="G6632" s="23">
        <v>0</v>
      </c>
      <c r="H6632" s="23">
        <v>0</v>
      </c>
      <c r="I6632" s="23">
        <v>0</v>
      </c>
      <c r="J6632" s="23">
        <v>0</v>
      </c>
      <c r="K6632" s="23">
        <v>0</v>
      </c>
    </row>
    <row r="6633" spans="1:11" x14ac:dyDescent="0.25">
      <c r="A6633">
        <v>6632</v>
      </c>
      <c r="B6633" s="23">
        <v>123.11848000000001</v>
      </c>
      <c r="C6633" s="23">
        <v>330.53</v>
      </c>
      <c r="D6633" s="23">
        <v>1315.2339999999999</v>
      </c>
      <c r="E6633" s="23">
        <v>123.119</v>
      </c>
      <c r="F6633" s="23">
        <v>-1192.115</v>
      </c>
      <c r="G6633" s="23">
        <v>0</v>
      </c>
      <c r="H6633" s="23">
        <v>0</v>
      </c>
      <c r="I6633" s="23">
        <v>0</v>
      </c>
      <c r="J6633" s="23">
        <v>0</v>
      </c>
      <c r="K6633" s="23">
        <v>0</v>
      </c>
    </row>
    <row r="6634" spans="1:11" x14ac:dyDescent="0.25">
      <c r="A6634">
        <v>6633</v>
      </c>
      <c r="B6634" s="23">
        <v>971.13970619999998</v>
      </c>
      <c r="C6634" s="23">
        <v>408</v>
      </c>
      <c r="D6634" s="23">
        <v>1599.335</v>
      </c>
      <c r="E6634" s="23">
        <v>971.14</v>
      </c>
      <c r="F6634" s="23">
        <v>-628.19500000000005</v>
      </c>
      <c r="G6634" s="23">
        <v>0</v>
      </c>
      <c r="H6634" s="23">
        <v>0</v>
      </c>
      <c r="I6634" s="23">
        <v>0</v>
      </c>
      <c r="J6634" s="23">
        <v>0</v>
      </c>
      <c r="K6634" s="23">
        <v>0</v>
      </c>
    </row>
    <row r="6635" spans="1:11" x14ac:dyDescent="0.25">
      <c r="A6635">
        <v>6634</v>
      </c>
      <c r="B6635" s="23">
        <v>1916.0218150000001</v>
      </c>
      <c r="C6635" s="23">
        <v>505.1</v>
      </c>
      <c r="D6635" s="23">
        <v>1938.6320000000001</v>
      </c>
      <c r="E6635" s="23">
        <v>1916.0219999999999</v>
      </c>
      <c r="F6635" s="23">
        <v>-22.61</v>
      </c>
      <c r="G6635" s="23">
        <v>0</v>
      </c>
      <c r="H6635" s="23">
        <v>0</v>
      </c>
      <c r="I6635" s="23">
        <v>0</v>
      </c>
      <c r="J6635" s="23">
        <v>0</v>
      </c>
      <c r="K6635" s="23">
        <v>0</v>
      </c>
    </row>
    <row r="6636" spans="1:11" x14ac:dyDescent="0.25">
      <c r="A6636">
        <v>6635</v>
      </c>
      <c r="B6636" s="23">
        <v>1454.100989</v>
      </c>
      <c r="C6636" s="23">
        <v>682.14</v>
      </c>
      <c r="D6636" s="23">
        <v>2567.223</v>
      </c>
      <c r="E6636" s="23">
        <v>1454.1010000000001</v>
      </c>
      <c r="F6636" s="23">
        <v>-1113.1220000000001</v>
      </c>
      <c r="G6636" s="23">
        <v>0</v>
      </c>
      <c r="H6636" s="23">
        <v>0</v>
      </c>
      <c r="I6636" s="23">
        <v>0</v>
      </c>
      <c r="J6636" s="23">
        <v>0</v>
      </c>
      <c r="K6636" s="23">
        <v>0</v>
      </c>
    </row>
    <row r="6637" spans="1:11" x14ac:dyDescent="0.25">
      <c r="A6637">
        <v>6636</v>
      </c>
      <c r="B6637" s="23">
        <v>1405.6336429999999</v>
      </c>
      <c r="C6637" s="23">
        <v>721.96</v>
      </c>
      <c r="D6637" s="23">
        <v>2688.7629999999999</v>
      </c>
      <c r="E6637" s="23">
        <v>1405.634</v>
      </c>
      <c r="F6637" s="23">
        <v>-1283.1289999999999</v>
      </c>
      <c r="G6637" s="23">
        <v>0</v>
      </c>
      <c r="H6637" s="23">
        <v>0</v>
      </c>
      <c r="I6637" s="23">
        <v>0</v>
      </c>
      <c r="J6637" s="23">
        <v>0</v>
      </c>
      <c r="K6637" s="23">
        <v>0</v>
      </c>
    </row>
    <row r="6638" spans="1:11" x14ac:dyDescent="0.25">
      <c r="A6638">
        <v>6637</v>
      </c>
      <c r="B6638" s="23">
        <v>1449.3752629999999</v>
      </c>
      <c r="C6638" s="23">
        <v>849.91</v>
      </c>
      <c r="D6638" s="23">
        <v>3134.18</v>
      </c>
      <c r="E6638" s="23">
        <v>1449.375</v>
      </c>
      <c r="F6638" s="23">
        <v>-1684.559</v>
      </c>
      <c r="G6638" s="23">
        <v>0</v>
      </c>
      <c r="H6638" s="23">
        <v>0.246</v>
      </c>
      <c r="I6638" s="23">
        <v>0</v>
      </c>
      <c r="J6638" s="23">
        <v>0</v>
      </c>
      <c r="K6638" s="23">
        <v>0</v>
      </c>
    </row>
    <row r="6639" spans="1:11" x14ac:dyDescent="0.25">
      <c r="A6639">
        <v>6638</v>
      </c>
      <c r="B6639" s="23">
        <v>1617.9572519999999</v>
      </c>
      <c r="C6639" s="23">
        <v>672.22</v>
      </c>
      <c r="D6639" s="23">
        <v>2521.826</v>
      </c>
      <c r="E6639" s="23">
        <v>1617.9570000000001</v>
      </c>
      <c r="F6639" s="23">
        <v>-903.86900000000003</v>
      </c>
      <c r="G6639" s="23">
        <v>0</v>
      </c>
      <c r="H6639" s="23">
        <v>0</v>
      </c>
      <c r="I6639" s="23">
        <v>0</v>
      </c>
      <c r="J6639" s="23">
        <v>0</v>
      </c>
      <c r="K6639" s="23">
        <v>0</v>
      </c>
    </row>
    <row r="6640" spans="1:11" x14ac:dyDescent="0.25">
      <c r="A6640">
        <v>6639</v>
      </c>
      <c r="B6640" s="23">
        <v>1296.6670919999999</v>
      </c>
      <c r="C6640" s="23">
        <v>381.45</v>
      </c>
      <c r="D6640" s="23">
        <v>1465.0150000000001</v>
      </c>
      <c r="E6640" s="23">
        <v>1296.6669999999999</v>
      </c>
      <c r="F6640" s="23">
        <v>-144.422</v>
      </c>
      <c r="G6640" s="23">
        <v>0</v>
      </c>
      <c r="H6640" s="23">
        <v>23.925999999999998</v>
      </c>
      <c r="I6640" s="23">
        <v>0</v>
      </c>
      <c r="J6640" s="23">
        <v>0</v>
      </c>
      <c r="K6640" s="23">
        <v>0</v>
      </c>
    </row>
    <row r="6641" spans="1:11" x14ac:dyDescent="0.25">
      <c r="A6641">
        <v>6640</v>
      </c>
      <c r="B6641" s="23">
        <v>1542.126143</v>
      </c>
      <c r="C6641" s="23">
        <v>149.56</v>
      </c>
      <c r="D6641" s="23">
        <v>567.33500000000004</v>
      </c>
      <c r="E6641" s="23">
        <v>567.33500000000004</v>
      </c>
      <c r="F6641" s="23">
        <v>0</v>
      </c>
      <c r="G6641" s="23">
        <v>0</v>
      </c>
      <c r="H6641" s="23">
        <v>0</v>
      </c>
      <c r="I6641" s="23">
        <v>974.79100000000005</v>
      </c>
      <c r="J6641" s="23">
        <v>0</v>
      </c>
      <c r="K6641" s="23">
        <v>0</v>
      </c>
    </row>
    <row r="6642" spans="1:11" x14ac:dyDescent="0.25">
      <c r="A6642">
        <v>6641</v>
      </c>
      <c r="B6642" s="23">
        <v>1368.5008539999999</v>
      </c>
      <c r="C6642" s="23">
        <v>119.63</v>
      </c>
      <c r="D6642" s="23">
        <v>448.14499999999998</v>
      </c>
      <c r="E6642" s="23">
        <v>448.14499999999998</v>
      </c>
      <c r="F6642" s="23">
        <v>0</v>
      </c>
      <c r="G6642" s="23">
        <v>0</v>
      </c>
      <c r="H6642" s="23">
        <v>0</v>
      </c>
      <c r="I6642" s="23">
        <v>920.35599999999999</v>
      </c>
      <c r="J6642" s="23">
        <v>0</v>
      </c>
      <c r="K6642" s="23">
        <v>0</v>
      </c>
    </row>
    <row r="6643" spans="1:11" x14ac:dyDescent="0.25">
      <c r="A6643">
        <v>6642</v>
      </c>
      <c r="B6643" s="23">
        <v>1900.3830210000001</v>
      </c>
      <c r="C6643" s="23">
        <v>10.77</v>
      </c>
      <c r="D6643" s="23">
        <v>9.7219999999999995</v>
      </c>
      <c r="E6643" s="23">
        <v>9.7219999999999995</v>
      </c>
      <c r="F6643" s="23">
        <v>0</v>
      </c>
      <c r="G6643" s="23">
        <v>0</v>
      </c>
      <c r="H6643" s="23">
        <v>0</v>
      </c>
      <c r="I6643" s="23">
        <v>206.102</v>
      </c>
      <c r="J6643" s="23">
        <v>0</v>
      </c>
      <c r="K6643" s="23">
        <v>1684.559</v>
      </c>
    </row>
    <row r="6644" spans="1:11" x14ac:dyDescent="0.25">
      <c r="A6644">
        <v>6643</v>
      </c>
      <c r="B6644" s="23">
        <v>1656.321488</v>
      </c>
      <c r="C6644" s="23">
        <v>0</v>
      </c>
      <c r="D6644" s="23">
        <v>0</v>
      </c>
      <c r="E6644" s="23">
        <v>0</v>
      </c>
      <c r="F6644" s="23">
        <v>0</v>
      </c>
      <c r="G6644" s="23">
        <v>0</v>
      </c>
      <c r="H6644" s="23">
        <v>0</v>
      </c>
      <c r="I6644" s="23">
        <v>0</v>
      </c>
      <c r="J6644" s="23">
        <v>0</v>
      </c>
      <c r="K6644" s="23">
        <v>1656.3209999999999</v>
      </c>
    </row>
    <row r="6645" spans="1:11" x14ac:dyDescent="0.25">
      <c r="A6645">
        <v>6644</v>
      </c>
      <c r="B6645" s="23">
        <v>1599.7157139999999</v>
      </c>
      <c r="C6645" s="23">
        <v>0</v>
      </c>
      <c r="D6645" s="23">
        <v>0</v>
      </c>
      <c r="E6645" s="23">
        <v>0</v>
      </c>
      <c r="F6645" s="23">
        <v>0</v>
      </c>
      <c r="G6645" s="23">
        <v>0</v>
      </c>
      <c r="H6645" s="23">
        <v>0</v>
      </c>
      <c r="I6645" s="23">
        <v>0</v>
      </c>
      <c r="J6645" s="23">
        <v>0</v>
      </c>
      <c r="K6645" s="23">
        <v>1599.7159999999999</v>
      </c>
    </row>
    <row r="6646" spans="1:11" x14ac:dyDescent="0.25">
      <c r="A6646">
        <v>6645</v>
      </c>
      <c r="B6646" s="23">
        <v>1535.2298450000001</v>
      </c>
      <c r="C6646" s="23">
        <v>0</v>
      </c>
      <c r="D6646" s="23">
        <v>0</v>
      </c>
      <c r="E6646" s="23">
        <v>0</v>
      </c>
      <c r="F6646" s="23">
        <v>0</v>
      </c>
      <c r="G6646" s="23">
        <v>0</v>
      </c>
      <c r="H6646" s="23">
        <v>0</v>
      </c>
      <c r="I6646" s="23">
        <v>1535.23</v>
      </c>
      <c r="J6646" s="23">
        <v>0</v>
      </c>
      <c r="K6646" s="23">
        <v>0</v>
      </c>
    </row>
    <row r="6647" spans="1:11" x14ac:dyDescent="0.25">
      <c r="A6647">
        <v>6646</v>
      </c>
      <c r="B6647" s="23">
        <v>1731.7952049999999</v>
      </c>
      <c r="C6647" s="23">
        <v>0</v>
      </c>
      <c r="D6647" s="23">
        <v>0</v>
      </c>
      <c r="E6647" s="23">
        <v>0</v>
      </c>
      <c r="F6647" s="23">
        <v>0</v>
      </c>
      <c r="G6647" s="23">
        <v>0</v>
      </c>
      <c r="H6647" s="23">
        <v>0</v>
      </c>
      <c r="I6647" s="23">
        <v>1731.7950000000001</v>
      </c>
      <c r="J6647" s="23">
        <v>0</v>
      </c>
      <c r="K6647" s="23">
        <v>0</v>
      </c>
    </row>
    <row r="6648" spans="1:11" x14ac:dyDescent="0.25">
      <c r="A6648">
        <v>6647</v>
      </c>
      <c r="B6648" s="23">
        <v>1424.127686</v>
      </c>
      <c r="C6648" s="23">
        <v>0</v>
      </c>
      <c r="D6648" s="23">
        <v>0</v>
      </c>
      <c r="E6648" s="23">
        <v>0</v>
      </c>
      <c r="F6648" s="23">
        <v>0</v>
      </c>
      <c r="G6648" s="23">
        <v>0</v>
      </c>
      <c r="H6648" s="23">
        <v>0</v>
      </c>
      <c r="I6648" s="23">
        <v>1424.1279999999999</v>
      </c>
      <c r="J6648" s="23">
        <v>0</v>
      </c>
      <c r="K6648" s="23">
        <v>0</v>
      </c>
    </row>
    <row r="6649" spans="1:11" x14ac:dyDescent="0.25">
      <c r="A6649">
        <v>6648</v>
      </c>
      <c r="B6649" s="23">
        <v>1595.054085</v>
      </c>
      <c r="C6649" s="23">
        <v>0</v>
      </c>
      <c r="D6649" s="23">
        <v>0</v>
      </c>
      <c r="E6649" s="23">
        <v>0</v>
      </c>
      <c r="F6649" s="23">
        <v>0</v>
      </c>
      <c r="G6649" s="23">
        <v>0</v>
      </c>
      <c r="H6649" s="23">
        <v>0</v>
      </c>
      <c r="I6649" s="23">
        <v>1595.0540000000001</v>
      </c>
      <c r="J6649" s="23">
        <v>0</v>
      </c>
      <c r="K6649" s="23">
        <v>0</v>
      </c>
    </row>
    <row r="6650" spans="1:11" x14ac:dyDescent="0.25">
      <c r="A6650">
        <v>6649</v>
      </c>
      <c r="B6650" s="23">
        <v>1460.6437800000001</v>
      </c>
      <c r="C6650" s="23">
        <v>0</v>
      </c>
      <c r="D6650" s="23">
        <v>0</v>
      </c>
      <c r="E6650" s="23">
        <v>0</v>
      </c>
      <c r="F6650" s="23">
        <v>0</v>
      </c>
      <c r="G6650" s="23">
        <v>0</v>
      </c>
      <c r="H6650" s="23">
        <v>0</v>
      </c>
      <c r="I6650" s="23">
        <v>1460.644</v>
      </c>
      <c r="J6650" s="23">
        <v>0</v>
      </c>
      <c r="K6650" s="23">
        <v>0</v>
      </c>
    </row>
    <row r="6651" spans="1:11" x14ac:dyDescent="0.25">
      <c r="A6651">
        <v>6650</v>
      </c>
      <c r="B6651" s="23">
        <v>1355.757126</v>
      </c>
      <c r="C6651" s="23">
        <v>0</v>
      </c>
      <c r="D6651" s="23">
        <v>0</v>
      </c>
      <c r="E6651" s="23">
        <v>0</v>
      </c>
      <c r="F6651" s="23">
        <v>0</v>
      </c>
      <c r="G6651" s="23">
        <v>0</v>
      </c>
      <c r="H6651" s="23">
        <v>0</v>
      </c>
      <c r="I6651" s="23">
        <v>1355.7570000000001</v>
      </c>
      <c r="J6651" s="23">
        <v>0</v>
      </c>
      <c r="K6651" s="23">
        <v>0</v>
      </c>
    </row>
    <row r="6652" spans="1:11" x14ac:dyDescent="0.25">
      <c r="A6652">
        <v>6651</v>
      </c>
      <c r="B6652" s="23">
        <v>1222.1237590000001</v>
      </c>
      <c r="C6652" s="23">
        <v>0</v>
      </c>
      <c r="D6652" s="23">
        <v>0</v>
      </c>
      <c r="E6652" s="23">
        <v>0</v>
      </c>
      <c r="F6652" s="23">
        <v>0</v>
      </c>
      <c r="G6652" s="23">
        <v>0</v>
      </c>
      <c r="H6652" s="23">
        <v>0</v>
      </c>
      <c r="I6652" s="23">
        <v>1222.124</v>
      </c>
      <c r="J6652" s="23">
        <v>0</v>
      </c>
      <c r="K6652" s="23">
        <v>0</v>
      </c>
    </row>
    <row r="6653" spans="1:11" x14ac:dyDescent="0.25">
      <c r="A6653">
        <v>6652</v>
      </c>
      <c r="B6653" s="23">
        <v>1309.9177729999999</v>
      </c>
      <c r="C6653" s="23">
        <v>0</v>
      </c>
      <c r="D6653" s="23">
        <v>0</v>
      </c>
      <c r="E6653" s="23">
        <v>0</v>
      </c>
      <c r="F6653" s="23">
        <v>0</v>
      </c>
      <c r="G6653" s="23">
        <v>0</v>
      </c>
      <c r="H6653" s="23">
        <v>0</v>
      </c>
      <c r="I6653" s="23">
        <v>1309.9179999999999</v>
      </c>
      <c r="J6653" s="23">
        <v>0</v>
      </c>
      <c r="K6653" s="23">
        <v>0</v>
      </c>
    </row>
    <row r="6654" spans="1:11" x14ac:dyDescent="0.25">
      <c r="A6654">
        <v>6653</v>
      </c>
      <c r="B6654" s="23">
        <v>1102.475279</v>
      </c>
      <c r="C6654" s="23">
        <v>0</v>
      </c>
      <c r="D6654" s="23">
        <v>0</v>
      </c>
      <c r="E6654" s="23">
        <v>0</v>
      </c>
      <c r="F6654" s="23">
        <v>0</v>
      </c>
      <c r="G6654" s="23">
        <v>0</v>
      </c>
      <c r="H6654" s="23">
        <v>0</v>
      </c>
      <c r="I6654" s="23">
        <v>1102.4749999999999</v>
      </c>
      <c r="J6654" s="23">
        <v>0</v>
      </c>
      <c r="K6654" s="23">
        <v>0</v>
      </c>
    </row>
    <row r="6655" spans="1:11" x14ac:dyDescent="0.25">
      <c r="A6655">
        <v>6654</v>
      </c>
      <c r="B6655" s="23">
        <v>1162.2995189999999</v>
      </c>
      <c r="C6655" s="23">
        <v>0</v>
      </c>
      <c r="D6655" s="23">
        <v>0</v>
      </c>
      <c r="E6655" s="23">
        <v>0</v>
      </c>
      <c r="F6655" s="23">
        <v>0</v>
      </c>
      <c r="G6655" s="23">
        <v>0</v>
      </c>
      <c r="H6655" s="23">
        <v>0</v>
      </c>
      <c r="I6655" s="23">
        <v>303.98099999999999</v>
      </c>
      <c r="J6655" s="23">
        <v>0</v>
      </c>
      <c r="K6655" s="23">
        <v>858.31899999999996</v>
      </c>
    </row>
    <row r="6656" spans="1:11" x14ac:dyDescent="0.25">
      <c r="A6656">
        <v>6655</v>
      </c>
      <c r="B6656" s="23">
        <v>1174.144912</v>
      </c>
      <c r="C6656" s="23">
        <v>125.49</v>
      </c>
      <c r="D6656" s="23">
        <v>421.21100000000001</v>
      </c>
      <c r="E6656" s="23">
        <v>421.21100000000001</v>
      </c>
      <c r="F6656" s="23">
        <v>0</v>
      </c>
      <c r="G6656" s="23">
        <v>0</v>
      </c>
      <c r="H6656" s="23">
        <v>0</v>
      </c>
      <c r="I6656" s="23">
        <v>0</v>
      </c>
      <c r="J6656" s="23">
        <v>0</v>
      </c>
      <c r="K6656" s="23">
        <v>752.93399999999997</v>
      </c>
    </row>
    <row r="6657" spans="1:11" x14ac:dyDescent="0.25">
      <c r="A6657">
        <v>6656</v>
      </c>
      <c r="B6657" s="23">
        <v>224.0097298</v>
      </c>
      <c r="C6657" s="23">
        <v>314.26</v>
      </c>
      <c r="D6657" s="23">
        <v>1250.894</v>
      </c>
      <c r="E6657" s="23">
        <v>224.01</v>
      </c>
      <c r="F6657" s="23">
        <v>-1026.884</v>
      </c>
      <c r="G6657" s="23">
        <v>0</v>
      </c>
      <c r="H6657" s="23">
        <v>0</v>
      </c>
      <c r="I6657" s="23">
        <v>0</v>
      </c>
      <c r="J6657" s="23">
        <v>0</v>
      </c>
      <c r="K6657" s="23">
        <v>0</v>
      </c>
    </row>
    <row r="6658" spans="1:11" x14ac:dyDescent="0.25">
      <c r="A6658">
        <v>6657</v>
      </c>
      <c r="B6658" s="23">
        <v>279.8453634</v>
      </c>
      <c r="C6658" s="23">
        <v>393.38</v>
      </c>
      <c r="D6658" s="23">
        <v>1543.421</v>
      </c>
      <c r="E6658" s="23">
        <v>279.846</v>
      </c>
      <c r="F6658" s="23">
        <v>-1263.575</v>
      </c>
      <c r="G6658" s="23">
        <v>0</v>
      </c>
      <c r="H6658" s="23">
        <v>0</v>
      </c>
      <c r="I6658" s="23">
        <v>0</v>
      </c>
      <c r="J6658" s="23">
        <v>0</v>
      </c>
      <c r="K6658" s="23">
        <v>0</v>
      </c>
    </row>
    <row r="6659" spans="1:11" x14ac:dyDescent="0.25">
      <c r="A6659">
        <v>6658</v>
      </c>
      <c r="B6659" s="23">
        <v>322.6468878</v>
      </c>
      <c r="C6659" s="23">
        <v>652.89</v>
      </c>
      <c r="D6659" s="23">
        <v>2499.3389999999999</v>
      </c>
      <c r="E6659" s="23">
        <v>322.64699999999999</v>
      </c>
      <c r="F6659" s="23">
        <v>-1684.559</v>
      </c>
      <c r="G6659" s="23">
        <v>0</v>
      </c>
      <c r="H6659" s="23">
        <v>492.13299999999998</v>
      </c>
      <c r="I6659" s="23">
        <v>0</v>
      </c>
      <c r="J6659" s="23">
        <v>0</v>
      </c>
      <c r="K6659" s="23">
        <v>0</v>
      </c>
    </row>
    <row r="6660" spans="1:11" x14ac:dyDescent="0.25">
      <c r="A6660">
        <v>6659</v>
      </c>
      <c r="B6660" s="23">
        <v>279.45980780000002</v>
      </c>
      <c r="C6660" s="23">
        <v>613.63</v>
      </c>
      <c r="D6660" s="23">
        <v>2319.375</v>
      </c>
      <c r="E6660" s="23">
        <v>279.46100000000001</v>
      </c>
      <c r="F6660" s="23">
        <v>-1684.559</v>
      </c>
      <c r="G6660" s="23">
        <v>0</v>
      </c>
      <c r="H6660" s="23">
        <v>355.35500000000002</v>
      </c>
      <c r="I6660" s="23">
        <v>0</v>
      </c>
      <c r="J6660" s="23">
        <v>0</v>
      </c>
      <c r="K6660" s="23">
        <v>0</v>
      </c>
    </row>
    <row r="6661" spans="1:11" x14ac:dyDescent="0.25">
      <c r="A6661">
        <v>6660</v>
      </c>
      <c r="B6661" s="23">
        <v>226.31626510000001</v>
      </c>
      <c r="C6661" s="23">
        <v>681.9</v>
      </c>
      <c r="D6661" s="23">
        <v>2558.2449999999999</v>
      </c>
      <c r="E6661" s="23">
        <v>226.31700000000001</v>
      </c>
      <c r="F6661" s="23">
        <v>-1631.92</v>
      </c>
      <c r="G6661" s="23">
        <v>0</v>
      </c>
      <c r="H6661" s="23">
        <v>700.00800000000004</v>
      </c>
      <c r="I6661" s="23">
        <v>0</v>
      </c>
      <c r="J6661" s="23">
        <v>0</v>
      </c>
      <c r="K6661" s="23">
        <v>0</v>
      </c>
    </row>
    <row r="6662" spans="1:11" x14ac:dyDescent="0.25">
      <c r="A6662">
        <v>6661</v>
      </c>
      <c r="B6662" s="23">
        <v>249.95655160000001</v>
      </c>
      <c r="C6662" s="23">
        <v>791.42</v>
      </c>
      <c r="D6662" s="23">
        <v>2960.0680000000002</v>
      </c>
      <c r="E6662" s="23">
        <v>249.95599999999999</v>
      </c>
      <c r="F6662" s="23">
        <v>0</v>
      </c>
      <c r="G6662" s="23">
        <v>0</v>
      </c>
      <c r="H6662" s="23">
        <v>2710.1120000000001</v>
      </c>
      <c r="I6662" s="23">
        <v>0</v>
      </c>
      <c r="J6662" s="23">
        <v>0</v>
      </c>
      <c r="K6662" s="23">
        <v>0</v>
      </c>
    </row>
    <row r="6663" spans="1:11" x14ac:dyDescent="0.25">
      <c r="A6663">
        <v>6662</v>
      </c>
      <c r="B6663" s="23">
        <v>247.44024300000001</v>
      </c>
      <c r="C6663" s="23">
        <v>804.74</v>
      </c>
      <c r="D6663" s="23">
        <v>3038.7640000000001</v>
      </c>
      <c r="E6663" s="23">
        <v>247.441</v>
      </c>
      <c r="F6663" s="23">
        <v>0</v>
      </c>
      <c r="G6663" s="23">
        <v>0</v>
      </c>
      <c r="H6663" s="23">
        <v>2791.3229999999999</v>
      </c>
      <c r="I6663" s="23">
        <v>0</v>
      </c>
      <c r="J6663" s="23">
        <v>0</v>
      </c>
      <c r="K6663" s="23">
        <v>0</v>
      </c>
    </row>
    <row r="6664" spans="1:11" x14ac:dyDescent="0.25">
      <c r="A6664">
        <v>6663</v>
      </c>
      <c r="B6664" s="23">
        <v>268.36415940000001</v>
      </c>
      <c r="C6664" s="23">
        <v>319.8</v>
      </c>
      <c r="D6664" s="23">
        <v>1234.3530000000001</v>
      </c>
      <c r="E6664" s="23">
        <v>268.36399999999998</v>
      </c>
      <c r="F6664" s="23">
        <v>0</v>
      </c>
      <c r="G6664" s="23">
        <v>0</v>
      </c>
      <c r="H6664" s="23">
        <v>965.98900000000003</v>
      </c>
      <c r="I6664" s="23">
        <v>0</v>
      </c>
      <c r="J6664" s="23">
        <v>0</v>
      </c>
      <c r="K6664" s="23">
        <v>0</v>
      </c>
    </row>
    <row r="6665" spans="1:11" x14ac:dyDescent="0.25">
      <c r="A6665">
        <v>6664</v>
      </c>
      <c r="B6665" s="23">
        <v>198.79225880000001</v>
      </c>
      <c r="C6665" s="23">
        <v>280.88</v>
      </c>
      <c r="D6665" s="23">
        <v>1097.4860000000001</v>
      </c>
      <c r="E6665" s="23">
        <v>198.792</v>
      </c>
      <c r="F6665" s="23">
        <v>0</v>
      </c>
      <c r="G6665" s="23">
        <v>0</v>
      </c>
      <c r="H6665" s="23">
        <v>898.69399999999996</v>
      </c>
      <c r="I6665" s="23">
        <v>0</v>
      </c>
      <c r="J6665" s="23">
        <v>0</v>
      </c>
      <c r="K6665" s="23">
        <v>0</v>
      </c>
    </row>
    <row r="6666" spans="1:11" x14ac:dyDescent="0.25">
      <c r="A6666">
        <v>6665</v>
      </c>
      <c r="B6666" s="23">
        <v>292.66969920000003</v>
      </c>
      <c r="C6666" s="23">
        <v>25.47</v>
      </c>
      <c r="D6666" s="23">
        <v>74.314999999999998</v>
      </c>
      <c r="E6666" s="23">
        <v>74.314999999999998</v>
      </c>
      <c r="F6666" s="23">
        <v>0</v>
      </c>
      <c r="G6666" s="23">
        <v>0</v>
      </c>
      <c r="H6666" s="23">
        <v>0</v>
      </c>
      <c r="I6666" s="23">
        <v>0</v>
      </c>
      <c r="J6666" s="23">
        <v>0</v>
      </c>
      <c r="K6666" s="23">
        <v>218.35499999999999</v>
      </c>
    </row>
    <row r="6667" spans="1:11" x14ac:dyDescent="0.25">
      <c r="A6667">
        <v>6666</v>
      </c>
      <c r="B6667" s="23">
        <v>221.63229899999999</v>
      </c>
      <c r="C6667" s="23">
        <v>2.94</v>
      </c>
      <c r="D6667" s="23">
        <v>0</v>
      </c>
      <c r="E6667" s="23">
        <v>0</v>
      </c>
      <c r="F6667" s="23">
        <v>0</v>
      </c>
      <c r="G6667" s="23">
        <v>0</v>
      </c>
      <c r="H6667" s="23">
        <v>0</v>
      </c>
      <c r="I6667" s="23">
        <v>0</v>
      </c>
      <c r="J6667" s="23">
        <v>0</v>
      </c>
      <c r="K6667" s="23">
        <v>221.63200000000001</v>
      </c>
    </row>
    <row r="6668" spans="1:11" x14ac:dyDescent="0.25">
      <c r="A6668">
        <v>6667</v>
      </c>
      <c r="B6668" s="23">
        <v>210.06951649999999</v>
      </c>
      <c r="C6668" s="23">
        <v>0</v>
      </c>
      <c r="D6668" s="23">
        <v>0</v>
      </c>
      <c r="E6668" s="23">
        <v>0</v>
      </c>
      <c r="F6668" s="23">
        <v>0</v>
      </c>
      <c r="G6668" s="23">
        <v>0</v>
      </c>
      <c r="H6668" s="23">
        <v>0</v>
      </c>
      <c r="I6668" s="23">
        <v>0</v>
      </c>
      <c r="J6668" s="23">
        <v>0</v>
      </c>
      <c r="K6668" s="23">
        <v>210.07</v>
      </c>
    </row>
    <row r="6669" spans="1:11" x14ac:dyDescent="0.25">
      <c r="A6669">
        <v>6668</v>
      </c>
      <c r="B6669" s="23">
        <v>235.41226879999999</v>
      </c>
      <c r="C6669" s="23">
        <v>0</v>
      </c>
      <c r="D6669" s="23">
        <v>0</v>
      </c>
      <c r="E6669" s="23">
        <v>0</v>
      </c>
      <c r="F6669" s="23">
        <v>0</v>
      </c>
      <c r="G6669" s="23">
        <v>0</v>
      </c>
      <c r="H6669" s="23">
        <v>0</v>
      </c>
      <c r="I6669" s="23">
        <v>0</v>
      </c>
      <c r="J6669" s="23">
        <v>0</v>
      </c>
      <c r="K6669" s="23">
        <v>235.41200000000001</v>
      </c>
    </row>
    <row r="6670" spans="1:11" x14ac:dyDescent="0.25">
      <c r="A6670">
        <v>6669</v>
      </c>
      <c r="B6670" s="23">
        <v>195.0114834</v>
      </c>
      <c r="C6670" s="23">
        <v>0</v>
      </c>
      <c r="D6670" s="23">
        <v>0</v>
      </c>
      <c r="E6670" s="23">
        <v>0</v>
      </c>
      <c r="F6670" s="23">
        <v>0</v>
      </c>
      <c r="G6670" s="23">
        <v>0</v>
      </c>
      <c r="H6670" s="23">
        <v>0</v>
      </c>
      <c r="I6670" s="23">
        <v>0</v>
      </c>
      <c r="J6670" s="23">
        <v>0</v>
      </c>
      <c r="K6670" s="23">
        <v>195.011</v>
      </c>
    </row>
    <row r="6671" spans="1:11" x14ac:dyDescent="0.25">
      <c r="A6671">
        <v>6670</v>
      </c>
      <c r="B6671" s="23">
        <v>287.46712689999998</v>
      </c>
      <c r="C6671" s="23">
        <v>0</v>
      </c>
      <c r="D6671" s="23">
        <v>0</v>
      </c>
      <c r="E6671" s="23">
        <v>0</v>
      </c>
      <c r="F6671" s="23">
        <v>0</v>
      </c>
      <c r="G6671" s="23">
        <v>0</v>
      </c>
      <c r="H6671" s="23">
        <v>0</v>
      </c>
      <c r="I6671" s="23">
        <v>0</v>
      </c>
      <c r="J6671" s="23">
        <v>0</v>
      </c>
      <c r="K6671" s="23">
        <v>287.46699999999998</v>
      </c>
    </row>
    <row r="6672" spans="1:11" x14ac:dyDescent="0.25">
      <c r="A6672">
        <v>6671</v>
      </c>
      <c r="B6672" s="23">
        <v>260.27429059999997</v>
      </c>
      <c r="C6672" s="23">
        <v>0</v>
      </c>
      <c r="D6672" s="23">
        <v>0</v>
      </c>
      <c r="E6672" s="23">
        <v>0</v>
      </c>
      <c r="F6672" s="23">
        <v>0</v>
      </c>
      <c r="G6672" s="23">
        <v>0</v>
      </c>
      <c r="H6672" s="23">
        <v>0</v>
      </c>
      <c r="I6672" s="23">
        <v>0</v>
      </c>
      <c r="J6672" s="23">
        <v>0</v>
      </c>
      <c r="K6672" s="23">
        <v>260.274</v>
      </c>
    </row>
    <row r="6673" spans="1:11" x14ac:dyDescent="0.25">
      <c r="A6673">
        <v>6672</v>
      </c>
      <c r="B6673" s="23">
        <v>282.80549780000001</v>
      </c>
      <c r="C6673" s="23">
        <v>0</v>
      </c>
      <c r="D6673" s="23">
        <v>0</v>
      </c>
      <c r="E6673" s="23">
        <v>0</v>
      </c>
      <c r="F6673" s="23">
        <v>0</v>
      </c>
      <c r="G6673" s="23">
        <v>0</v>
      </c>
      <c r="H6673" s="23">
        <v>0</v>
      </c>
      <c r="I6673" s="23">
        <v>0</v>
      </c>
      <c r="J6673" s="23">
        <v>0</v>
      </c>
      <c r="K6673" s="23">
        <v>282.80500000000001</v>
      </c>
    </row>
    <row r="6674" spans="1:11" x14ac:dyDescent="0.25">
      <c r="A6674">
        <v>6673</v>
      </c>
      <c r="B6674" s="23">
        <v>230.75063969999999</v>
      </c>
      <c r="C6674" s="23">
        <v>0</v>
      </c>
      <c r="D6674" s="23">
        <v>0</v>
      </c>
      <c r="E6674" s="23">
        <v>0</v>
      </c>
      <c r="F6674" s="23">
        <v>0</v>
      </c>
      <c r="G6674" s="23">
        <v>0</v>
      </c>
      <c r="H6674" s="23">
        <v>0</v>
      </c>
      <c r="I6674" s="23">
        <v>0</v>
      </c>
      <c r="J6674" s="23">
        <v>0</v>
      </c>
      <c r="K6674" s="23">
        <v>230.751</v>
      </c>
    </row>
    <row r="6675" spans="1:11" x14ac:dyDescent="0.25">
      <c r="A6675">
        <v>6674</v>
      </c>
      <c r="B6675" s="23">
        <v>185.68822520000001</v>
      </c>
      <c r="C6675" s="23">
        <v>0</v>
      </c>
      <c r="D6675" s="23">
        <v>0</v>
      </c>
      <c r="E6675" s="23">
        <v>0</v>
      </c>
      <c r="F6675" s="23">
        <v>0</v>
      </c>
      <c r="G6675" s="23">
        <v>0</v>
      </c>
      <c r="H6675" s="23">
        <v>0</v>
      </c>
      <c r="I6675" s="23">
        <v>0</v>
      </c>
      <c r="J6675" s="23">
        <v>0</v>
      </c>
      <c r="K6675" s="23">
        <v>185.68799999999999</v>
      </c>
    </row>
    <row r="6676" spans="1:11" x14ac:dyDescent="0.25">
      <c r="A6676">
        <v>6675</v>
      </c>
      <c r="B6676" s="23">
        <v>236.18920700000001</v>
      </c>
      <c r="C6676" s="23">
        <v>0</v>
      </c>
      <c r="D6676" s="23">
        <v>0</v>
      </c>
      <c r="E6676" s="23">
        <v>0</v>
      </c>
      <c r="F6676" s="23">
        <v>0</v>
      </c>
      <c r="G6676" s="23">
        <v>0</v>
      </c>
      <c r="H6676" s="23">
        <v>0</v>
      </c>
      <c r="I6676" s="23">
        <v>0</v>
      </c>
      <c r="J6676" s="23">
        <v>0</v>
      </c>
      <c r="K6676" s="23">
        <v>236.18899999999999</v>
      </c>
    </row>
    <row r="6677" spans="1:11" x14ac:dyDescent="0.25">
      <c r="A6677">
        <v>6676</v>
      </c>
      <c r="B6677" s="23">
        <v>198.11923609999999</v>
      </c>
      <c r="C6677" s="23">
        <v>0</v>
      </c>
      <c r="D6677" s="23">
        <v>0</v>
      </c>
      <c r="E6677" s="23">
        <v>0</v>
      </c>
      <c r="F6677" s="23">
        <v>0</v>
      </c>
      <c r="G6677" s="23">
        <v>0</v>
      </c>
      <c r="H6677" s="23">
        <v>0</v>
      </c>
      <c r="I6677" s="23">
        <v>0</v>
      </c>
      <c r="J6677" s="23">
        <v>0</v>
      </c>
      <c r="K6677" s="23">
        <v>198.119</v>
      </c>
    </row>
    <row r="6678" spans="1:11" x14ac:dyDescent="0.25">
      <c r="A6678">
        <v>6677</v>
      </c>
      <c r="B6678" s="23">
        <v>229.19676340000001</v>
      </c>
      <c r="C6678" s="23">
        <v>0</v>
      </c>
      <c r="D6678" s="23">
        <v>0</v>
      </c>
      <c r="E6678" s="23">
        <v>0</v>
      </c>
      <c r="F6678" s="23">
        <v>0</v>
      </c>
      <c r="G6678" s="23">
        <v>0</v>
      </c>
      <c r="H6678" s="23">
        <v>0</v>
      </c>
      <c r="I6678" s="23">
        <v>0</v>
      </c>
      <c r="J6678" s="23">
        <v>0</v>
      </c>
      <c r="K6678" s="23">
        <v>229.197</v>
      </c>
    </row>
    <row r="6679" spans="1:11" x14ac:dyDescent="0.25">
      <c r="A6679">
        <v>6678</v>
      </c>
      <c r="B6679" s="23">
        <v>285.13631240000001</v>
      </c>
      <c r="C6679" s="23">
        <v>0</v>
      </c>
      <c r="D6679" s="23">
        <v>0</v>
      </c>
      <c r="E6679" s="23">
        <v>0</v>
      </c>
      <c r="F6679" s="23">
        <v>0</v>
      </c>
      <c r="G6679" s="23">
        <v>0</v>
      </c>
      <c r="H6679" s="23">
        <v>0</v>
      </c>
      <c r="I6679" s="23">
        <v>0</v>
      </c>
      <c r="J6679" s="23">
        <v>0</v>
      </c>
      <c r="K6679" s="23">
        <v>285.13600000000002</v>
      </c>
    </row>
    <row r="6680" spans="1:11" x14ac:dyDescent="0.25">
      <c r="A6680">
        <v>6679</v>
      </c>
      <c r="B6680" s="23">
        <v>164.7108944</v>
      </c>
      <c r="C6680" s="23">
        <v>128.21</v>
      </c>
      <c r="D6680" s="23">
        <v>430.411</v>
      </c>
      <c r="E6680" s="23">
        <v>164.71100000000001</v>
      </c>
      <c r="F6680" s="23">
        <v>-265.7</v>
      </c>
      <c r="G6680" s="23">
        <v>0</v>
      </c>
      <c r="H6680" s="23">
        <v>0</v>
      </c>
      <c r="I6680" s="23">
        <v>0</v>
      </c>
      <c r="J6680" s="23">
        <v>0</v>
      </c>
      <c r="K6680" s="23">
        <v>0</v>
      </c>
    </row>
    <row r="6681" spans="1:11" x14ac:dyDescent="0.25">
      <c r="A6681">
        <v>6680</v>
      </c>
      <c r="B6681" s="23">
        <v>199.38758770000001</v>
      </c>
      <c r="C6681" s="23">
        <v>349.54</v>
      </c>
      <c r="D6681" s="23">
        <v>1394.6669999999999</v>
      </c>
      <c r="E6681" s="23">
        <v>199.387</v>
      </c>
      <c r="F6681" s="23">
        <v>-1195.28</v>
      </c>
      <c r="G6681" s="23">
        <v>0</v>
      </c>
      <c r="H6681" s="23">
        <v>0</v>
      </c>
      <c r="I6681" s="23">
        <v>0</v>
      </c>
      <c r="J6681" s="23">
        <v>0</v>
      </c>
      <c r="K6681" s="23">
        <v>0</v>
      </c>
    </row>
    <row r="6682" spans="1:11" x14ac:dyDescent="0.25">
      <c r="A6682">
        <v>6681</v>
      </c>
      <c r="B6682" s="23">
        <v>1165.9822059999999</v>
      </c>
      <c r="C6682" s="23">
        <v>430.24</v>
      </c>
      <c r="D6682" s="23">
        <v>1693.5319999999999</v>
      </c>
      <c r="E6682" s="23">
        <v>1165.982</v>
      </c>
      <c r="F6682" s="23">
        <v>-527.54999999999995</v>
      </c>
      <c r="G6682" s="23">
        <v>0</v>
      </c>
      <c r="H6682" s="23">
        <v>0</v>
      </c>
      <c r="I6682" s="23">
        <v>0</v>
      </c>
      <c r="J6682" s="23">
        <v>0</v>
      </c>
      <c r="K6682" s="23">
        <v>0</v>
      </c>
    </row>
    <row r="6683" spans="1:11" x14ac:dyDescent="0.25">
      <c r="A6683">
        <v>6682</v>
      </c>
      <c r="B6683" s="23">
        <v>1779.250589</v>
      </c>
      <c r="C6683" s="23">
        <v>662.74</v>
      </c>
      <c r="D6683" s="23">
        <v>2548.8429999999998</v>
      </c>
      <c r="E6683" s="23">
        <v>1779.251</v>
      </c>
      <c r="F6683" s="23">
        <v>-769.59199999999998</v>
      </c>
      <c r="G6683" s="23">
        <v>0</v>
      </c>
      <c r="H6683" s="23">
        <v>0</v>
      </c>
      <c r="I6683" s="23">
        <v>0</v>
      </c>
      <c r="J6683" s="23">
        <v>0</v>
      </c>
      <c r="K6683" s="23">
        <v>0</v>
      </c>
    </row>
    <row r="6684" spans="1:11" x14ac:dyDescent="0.25">
      <c r="A6684">
        <v>6683</v>
      </c>
      <c r="B6684" s="23">
        <v>1668.84476</v>
      </c>
      <c r="C6684" s="23">
        <v>772.77</v>
      </c>
      <c r="D6684" s="23">
        <v>2926.672</v>
      </c>
      <c r="E6684" s="23">
        <v>1668.845</v>
      </c>
      <c r="F6684" s="23">
        <v>-887.83100000000002</v>
      </c>
      <c r="G6684" s="23">
        <v>0</v>
      </c>
      <c r="H6684" s="23">
        <v>369.99599999999998</v>
      </c>
      <c r="I6684" s="23">
        <v>0</v>
      </c>
      <c r="J6684" s="23">
        <v>0</v>
      </c>
      <c r="K6684" s="23">
        <v>0</v>
      </c>
    </row>
    <row r="6685" spans="1:11" x14ac:dyDescent="0.25">
      <c r="A6685">
        <v>6684</v>
      </c>
      <c r="B6685" s="23">
        <v>1306.7682600000001</v>
      </c>
      <c r="C6685" s="23">
        <v>762.96</v>
      </c>
      <c r="D6685" s="23">
        <v>2889.9169999999999</v>
      </c>
      <c r="E6685" s="23">
        <v>1306.768</v>
      </c>
      <c r="F6685" s="23">
        <v>0</v>
      </c>
      <c r="G6685" s="23">
        <v>0</v>
      </c>
      <c r="H6685" s="23">
        <v>1583.1489999999999</v>
      </c>
      <c r="I6685" s="23">
        <v>0</v>
      </c>
      <c r="J6685" s="23">
        <v>0</v>
      </c>
      <c r="K6685" s="23">
        <v>0</v>
      </c>
    </row>
    <row r="6686" spans="1:11" x14ac:dyDescent="0.25">
      <c r="A6686">
        <v>6685</v>
      </c>
      <c r="B6686" s="23">
        <v>1367.4141119999999</v>
      </c>
      <c r="C6686" s="23">
        <v>704.59</v>
      </c>
      <c r="D6686" s="23">
        <v>2682.0210000000002</v>
      </c>
      <c r="E6686" s="23">
        <v>1367.414</v>
      </c>
      <c r="F6686" s="23">
        <v>0</v>
      </c>
      <c r="G6686" s="23">
        <v>0</v>
      </c>
      <c r="H6686" s="23">
        <v>1314.607</v>
      </c>
      <c r="I6686" s="23">
        <v>0</v>
      </c>
      <c r="J6686" s="23">
        <v>0</v>
      </c>
      <c r="K6686" s="23">
        <v>0</v>
      </c>
    </row>
    <row r="6687" spans="1:11" x14ac:dyDescent="0.25">
      <c r="A6687">
        <v>6686</v>
      </c>
      <c r="B6687" s="23">
        <v>1211.363165</v>
      </c>
      <c r="C6687" s="23">
        <v>319.45999999999998</v>
      </c>
      <c r="D6687" s="23">
        <v>1224.43</v>
      </c>
      <c r="E6687" s="23">
        <v>1211.3630000000001</v>
      </c>
      <c r="F6687" s="23">
        <v>0</v>
      </c>
      <c r="G6687" s="23">
        <v>0</v>
      </c>
      <c r="H6687" s="23">
        <v>13.067</v>
      </c>
      <c r="I6687" s="23">
        <v>0</v>
      </c>
      <c r="J6687" s="23">
        <v>0</v>
      </c>
      <c r="K6687" s="23">
        <v>0</v>
      </c>
    </row>
    <row r="6688" spans="1:11" x14ac:dyDescent="0.25">
      <c r="A6688">
        <v>6687</v>
      </c>
      <c r="B6688" s="23">
        <v>1187.0498560000001</v>
      </c>
      <c r="C6688" s="23">
        <v>45.13</v>
      </c>
      <c r="D6688" s="23">
        <v>147.27099999999999</v>
      </c>
      <c r="E6688" s="23">
        <v>147.27099999999999</v>
      </c>
      <c r="F6688" s="23">
        <v>0</v>
      </c>
      <c r="G6688" s="23">
        <v>0</v>
      </c>
      <c r="H6688" s="23">
        <v>0</v>
      </c>
      <c r="I6688" s="23">
        <v>1039.779</v>
      </c>
      <c r="J6688" s="23">
        <v>0</v>
      </c>
      <c r="K6688" s="23">
        <v>0</v>
      </c>
    </row>
    <row r="6689" spans="1:11" x14ac:dyDescent="0.25">
      <c r="A6689">
        <v>6688</v>
      </c>
      <c r="B6689" s="23">
        <v>1289.3337670000001</v>
      </c>
      <c r="C6689" s="23">
        <v>71.61</v>
      </c>
      <c r="D6689" s="23">
        <v>255.63300000000001</v>
      </c>
      <c r="E6689" s="23">
        <v>255.63300000000001</v>
      </c>
      <c r="F6689" s="23">
        <v>0</v>
      </c>
      <c r="G6689" s="23">
        <v>0</v>
      </c>
      <c r="H6689" s="23">
        <v>0</v>
      </c>
      <c r="I6689" s="23">
        <v>1033.701</v>
      </c>
      <c r="J6689" s="23">
        <v>0</v>
      </c>
      <c r="K6689" s="23">
        <v>0</v>
      </c>
    </row>
    <row r="6690" spans="1:11" x14ac:dyDescent="0.25">
      <c r="A6690">
        <v>6689</v>
      </c>
      <c r="B6690" s="23">
        <v>1473.5875699999999</v>
      </c>
      <c r="C6690" s="23">
        <v>47.05</v>
      </c>
      <c r="D6690" s="23">
        <v>160.47999999999999</v>
      </c>
      <c r="E6690" s="23">
        <v>160.47999999999999</v>
      </c>
      <c r="F6690" s="23">
        <v>0</v>
      </c>
      <c r="G6690" s="23">
        <v>0</v>
      </c>
      <c r="H6690" s="23">
        <v>0</v>
      </c>
      <c r="I6690" s="23">
        <v>1313.1079999999999</v>
      </c>
      <c r="J6690" s="23">
        <v>0</v>
      </c>
      <c r="K6690" s="23">
        <v>0</v>
      </c>
    </row>
    <row r="6691" spans="1:11" x14ac:dyDescent="0.25">
      <c r="A6691">
        <v>6690</v>
      </c>
      <c r="B6691" s="23">
        <v>1450.7679250000001</v>
      </c>
      <c r="C6691" s="23">
        <v>7.83</v>
      </c>
      <c r="D6691" s="23">
        <v>0.93500000000000005</v>
      </c>
      <c r="E6691" s="23">
        <v>0.93500000000000005</v>
      </c>
      <c r="F6691" s="23">
        <v>0</v>
      </c>
      <c r="G6691" s="23">
        <v>0</v>
      </c>
      <c r="H6691" s="23">
        <v>0</v>
      </c>
      <c r="I6691" s="23">
        <v>0</v>
      </c>
      <c r="J6691" s="23">
        <v>0</v>
      </c>
      <c r="K6691" s="23">
        <v>1449.8330000000001</v>
      </c>
    </row>
    <row r="6692" spans="1:11" x14ac:dyDescent="0.25">
      <c r="A6692">
        <v>6691</v>
      </c>
      <c r="B6692" s="23">
        <v>1377.545386</v>
      </c>
      <c r="C6692" s="23">
        <v>0</v>
      </c>
      <c r="D6692" s="23">
        <v>0</v>
      </c>
      <c r="E6692" s="23">
        <v>0</v>
      </c>
      <c r="F6692" s="23">
        <v>0</v>
      </c>
      <c r="G6692" s="23">
        <v>0</v>
      </c>
      <c r="H6692" s="23">
        <v>0</v>
      </c>
      <c r="I6692" s="23">
        <v>0</v>
      </c>
      <c r="J6692" s="23">
        <v>0</v>
      </c>
      <c r="K6692" s="23">
        <v>1377.5450000000001</v>
      </c>
    </row>
    <row r="6693" spans="1:11" x14ac:dyDescent="0.25">
      <c r="A6693">
        <v>6692</v>
      </c>
      <c r="B6693" s="23">
        <v>1000.696377</v>
      </c>
      <c r="C6693" s="23">
        <v>0</v>
      </c>
      <c r="D6693" s="23">
        <v>0</v>
      </c>
      <c r="E6693" s="23">
        <v>0</v>
      </c>
      <c r="F6693" s="23">
        <v>0</v>
      </c>
      <c r="G6693" s="23">
        <v>0</v>
      </c>
      <c r="H6693" s="23">
        <v>0</v>
      </c>
      <c r="I6693" s="23">
        <v>0</v>
      </c>
      <c r="J6693" s="23">
        <v>0</v>
      </c>
      <c r="K6693" s="23">
        <v>1000.696</v>
      </c>
    </row>
    <row r="6694" spans="1:11" x14ac:dyDescent="0.25">
      <c r="A6694">
        <v>6693</v>
      </c>
      <c r="B6694" s="23">
        <v>1480.067235</v>
      </c>
      <c r="C6694" s="23">
        <v>0</v>
      </c>
      <c r="D6694" s="23">
        <v>0</v>
      </c>
      <c r="E6694" s="23">
        <v>0</v>
      </c>
      <c r="F6694" s="23">
        <v>0</v>
      </c>
      <c r="G6694" s="23">
        <v>0</v>
      </c>
      <c r="H6694" s="23">
        <v>0</v>
      </c>
      <c r="I6694" s="23">
        <v>1480.067</v>
      </c>
      <c r="J6694" s="23">
        <v>0</v>
      </c>
      <c r="K6694" s="23">
        <v>0</v>
      </c>
    </row>
    <row r="6695" spans="1:11" x14ac:dyDescent="0.25">
      <c r="A6695">
        <v>6694</v>
      </c>
      <c r="B6695" s="23">
        <v>1346.433867</v>
      </c>
      <c r="C6695" s="23">
        <v>0</v>
      </c>
      <c r="D6695" s="23">
        <v>0</v>
      </c>
      <c r="E6695" s="23">
        <v>0</v>
      </c>
      <c r="F6695" s="23">
        <v>0</v>
      </c>
      <c r="G6695" s="23">
        <v>0</v>
      </c>
      <c r="H6695" s="23">
        <v>0</v>
      </c>
      <c r="I6695" s="23">
        <v>1346.434</v>
      </c>
      <c r="J6695" s="23">
        <v>0</v>
      </c>
      <c r="K6695" s="23">
        <v>0</v>
      </c>
    </row>
    <row r="6696" spans="1:11" x14ac:dyDescent="0.25">
      <c r="A6696">
        <v>6695</v>
      </c>
      <c r="B6696" s="23">
        <v>1285.8326890000001</v>
      </c>
      <c r="C6696" s="23">
        <v>0</v>
      </c>
      <c r="D6696" s="23">
        <v>0</v>
      </c>
      <c r="E6696" s="23">
        <v>0</v>
      </c>
      <c r="F6696" s="23">
        <v>0</v>
      </c>
      <c r="G6696" s="23">
        <v>0</v>
      </c>
      <c r="H6696" s="23">
        <v>0</v>
      </c>
      <c r="I6696" s="23">
        <v>1285.8330000000001</v>
      </c>
      <c r="J6696" s="23">
        <v>0</v>
      </c>
      <c r="K6696" s="23">
        <v>0</v>
      </c>
    </row>
    <row r="6697" spans="1:11" x14ac:dyDescent="0.25">
      <c r="A6697">
        <v>6696</v>
      </c>
      <c r="B6697" s="23">
        <v>1184.8307259999999</v>
      </c>
      <c r="C6697" s="23">
        <v>0</v>
      </c>
      <c r="D6697" s="23">
        <v>0</v>
      </c>
      <c r="E6697" s="23">
        <v>0</v>
      </c>
      <c r="F6697" s="23">
        <v>0</v>
      </c>
      <c r="G6697" s="23">
        <v>0</v>
      </c>
      <c r="H6697" s="23">
        <v>0</v>
      </c>
      <c r="I6697" s="23">
        <v>1184.8309999999999</v>
      </c>
      <c r="J6697" s="23">
        <v>0</v>
      </c>
      <c r="K6697" s="23">
        <v>0</v>
      </c>
    </row>
    <row r="6698" spans="1:11" x14ac:dyDescent="0.25">
      <c r="A6698">
        <v>6697</v>
      </c>
      <c r="B6698" s="23">
        <v>1309.9177729999999</v>
      </c>
      <c r="C6698" s="23">
        <v>0</v>
      </c>
      <c r="D6698" s="23">
        <v>0</v>
      </c>
      <c r="E6698" s="23">
        <v>0</v>
      </c>
      <c r="F6698" s="23">
        <v>0</v>
      </c>
      <c r="G6698" s="23">
        <v>0</v>
      </c>
      <c r="H6698" s="23">
        <v>0</v>
      </c>
      <c r="I6698" s="23">
        <v>1309.9179999999999</v>
      </c>
      <c r="J6698" s="23">
        <v>0</v>
      </c>
      <c r="K6698" s="23">
        <v>0</v>
      </c>
    </row>
    <row r="6699" spans="1:11" x14ac:dyDescent="0.25">
      <c r="A6699">
        <v>6698</v>
      </c>
      <c r="B6699" s="23">
        <v>1500.2676269999999</v>
      </c>
      <c r="C6699" s="23">
        <v>0</v>
      </c>
      <c r="D6699" s="23">
        <v>0</v>
      </c>
      <c r="E6699" s="23">
        <v>0</v>
      </c>
      <c r="F6699" s="23">
        <v>0</v>
      </c>
      <c r="G6699" s="23">
        <v>0</v>
      </c>
      <c r="H6699" s="23">
        <v>0</v>
      </c>
      <c r="I6699" s="23">
        <v>1500.268</v>
      </c>
      <c r="J6699" s="23">
        <v>0</v>
      </c>
      <c r="K6699" s="23">
        <v>0</v>
      </c>
    </row>
    <row r="6700" spans="1:11" x14ac:dyDescent="0.25">
      <c r="A6700">
        <v>6699</v>
      </c>
      <c r="B6700" s="23">
        <v>1316.9102170000001</v>
      </c>
      <c r="C6700" s="23">
        <v>0</v>
      </c>
      <c r="D6700" s="23">
        <v>0</v>
      </c>
      <c r="E6700" s="23">
        <v>0</v>
      </c>
      <c r="F6700" s="23">
        <v>0</v>
      </c>
      <c r="G6700" s="23">
        <v>0</v>
      </c>
      <c r="H6700" s="23">
        <v>0</v>
      </c>
      <c r="I6700" s="23">
        <v>1316.91</v>
      </c>
      <c r="J6700" s="23">
        <v>0</v>
      </c>
      <c r="K6700" s="23">
        <v>0</v>
      </c>
    </row>
    <row r="6701" spans="1:11" x14ac:dyDescent="0.25">
      <c r="A6701">
        <v>6700</v>
      </c>
      <c r="B6701" s="23">
        <v>1187.9384789999999</v>
      </c>
      <c r="C6701" s="23">
        <v>0</v>
      </c>
      <c r="D6701" s="23">
        <v>0</v>
      </c>
      <c r="E6701" s="23">
        <v>0</v>
      </c>
      <c r="F6701" s="23">
        <v>0</v>
      </c>
      <c r="G6701" s="23">
        <v>0</v>
      </c>
      <c r="H6701" s="23">
        <v>0</v>
      </c>
      <c r="I6701" s="23">
        <v>1187.9380000000001</v>
      </c>
      <c r="J6701" s="23">
        <v>0</v>
      </c>
      <c r="K6701" s="23">
        <v>0</v>
      </c>
    </row>
    <row r="6702" spans="1:11" x14ac:dyDescent="0.25">
      <c r="A6702">
        <v>6701</v>
      </c>
      <c r="B6702" s="23">
        <v>966.51109699999995</v>
      </c>
      <c r="C6702" s="23">
        <v>0</v>
      </c>
      <c r="D6702" s="23">
        <v>0</v>
      </c>
      <c r="E6702" s="23">
        <v>0</v>
      </c>
      <c r="F6702" s="23">
        <v>0</v>
      </c>
      <c r="G6702" s="23">
        <v>0</v>
      </c>
      <c r="H6702" s="23">
        <v>0</v>
      </c>
      <c r="I6702" s="23">
        <v>966.51099999999997</v>
      </c>
      <c r="J6702" s="23">
        <v>0</v>
      </c>
      <c r="K6702" s="23">
        <v>0</v>
      </c>
    </row>
    <row r="6703" spans="1:11" x14ac:dyDescent="0.25">
      <c r="A6703">
        <v>6702</v>
      </c>
      <c r="B6703" s="23">
        <v>1231.447017</v>
      </c>
      <c r="C6703" s="23">
        <v>0</v>
      </c>
      <c r="D6703" s="23">
        <v>0</v>
      </c>
      <c r="E6703" s="23">
        <v>0</v>
      </c>
      <c r="F6703" s="23">
        <v>0</v>
      </c>
      <c r="G6703" s="23">
        <v>0</v>
      </c>
      <c r="H6703" s="23">
        <v>0</v>
      </c>
      <c r="I6703" s="23">
        <v>106.78</v>
      </c>
      <c r="J6703" s="23">
        <v>0</v>
      </c>
      <c r="K6703" s="23">
        <v>1124.6669999999999</v>
      </c>
    </row>
    <row r="6704" spans="1:11" x14ac:dyDescent="0.25">
      <c r="A6704">
        <v>6703</v>
      </c>
      <c r="B6704" s="23">
        <v>1040.39986</v>
      </c>
      <c r="C6704" s="23">
        <v>107.79</v>
      </c>
      <c r="D6704" s="23">
        <v>373.29300000000001</v>
      </c>
      <c r="E6704" s="23">
        <v>373.29300000000001</v>
      </c>
      <c r="F6704" s="23">
        <v>0</v>
      </c>
      <c r="G6704" s="23">
        <v>0</v>
      </c>
      <c r="H6704" s="23">
        <v>0</v>
      </c>
      <c r="I6704" s="23">
        <v>0</v>
      </c>
      <c r="J6704" s="23">
        <v>0</v>
      </c>
      <c r="K6704" s="23">
        <v>667.10699999999997</v>
      </c>
    </row>
    <row r="6705" spans="1:11" x14ac:dyDescent="0.25">
      <c r="A6705">
        <v>6704</v>
      </c>
      <c r="B6705" s="23">
        <v>1049.4094299999999</v>
      </c>
      <c r="C6705" s="23">
        <v>288.13</v>
      </c>
      <c r="D6705" s="23">
        <v>1148.3589999999999</v>
      </c>
      <c r="E6705" s="23">
        <v>1049.4100000000001</v>
      </c>
      <c r="F6705" s="23">
        <v>-98.948999999999998</v>
      </c>
      <c r="G6705" s="23">
        <v>0</v>
      </c>
      <c r="H6705" s="23">
        <v>0</v>
      </c>
      <c r="I6705" s="23">
        <v>0</v>
      </c>
      <c r="J6705" s="23">
        <v>0</v>
      </c>
      <c r="K6705" s="23">
        <v>0</v>
      </c>
    </row>
    <row r="6706" spans="1:11" x14ac:dyDescent="0.25">
      <c r="A6706">
        <v>6705</v>
      </c>
      <c r="B6706" s="23">
        <v>1392.0498500000001</v>
      </c>
      <c r="C6706" s="23">
        <v>477.14</v>
      </c>
      <c r="D6706" s="23">
        <v>1881.489</v>
      </c>
      <c r="E6706" s="23">
        <v>1392.05</v>
      </c>
      <c r="F6706" s="23">
        <v>-489.43900000000002</v>
      </c>
      <c r="G6706" s="23">
        <v>0</v>
      </c>
      <c r="H6706" s="23">
        <v>0</v>
      </c>
      <c r="I6706" s="23">
        <v>0</v>
      </c>
      <c r="J6706" s="23">
        <v>0</v>
      </c>
      <c r="K6706" s="23">
        <v>0</v>
      </c>
    </row>
    <row r="6707" spans="1:11" x14ac:dyDescent="0.25">
      <c r="A6707">
        <v>6706</v>
      </c>
      <c r="B6707" s="23">
        <v>1491.899032</v>
      </c>
      <c r="C6707" s="23">
        <v>629.82000000000005</v>
      </c>
      <c r="D6707" s="23">
        <v>2428.723</v>
      </c>
      <c r="E6707" s="23">
        <v>1491.8989999999999</v>
      </c>
      <c r="F6707" s="23">
        <v>-936.82399999999996</v>
      </c>
      <c r="G6707" s="23">
        <v>0</v>
      </c>
      <c r="H6707" s="23">
        <v>0</v>
      </c>
      <c r="I6707" s="23">
        <v>0</v>
      </c>
      <c r="J6707" s="23">
        <v>0</v>
      </c>
      <c r="K6707" s="23">
        <v>0</v>
      </c>
    </row>
    <row r="6708" spans="1:11" x14ac:dyDescent="0.25">
      <c r="A6708">
        <v>6707</v>
      </c>
      <c r="B6708" s="23">
        <v>1479.701102</v>
      </c>
      <c r="C6708" s="23">
        <v>653.35</v>
      </c>
      <c r="D6708" s="23">
        <v>2489.1680000000001</v>
      </c>
      <c r="E6708" s="23">
        <v>1479.701</v>
      </c>
      <c r="F6708" s="23">
        <v>-1009.467</v>
      </c>
      <c r="G6708" s="23">
        <v>0</v>
      </c>
      <c r="H6708" s="23">
        <v>0</v>
      </c>
      <c r="I6708" s="23">
        <v>0</v>
      </c>
      <c r="J6708" s="23">
        <v>0</v>
      </c>
      <c r="K6708" s="23">
        <v>0</v>
      </c>
    </row>
    <row r="6709" spans="1:11" x14ac:dyDescent="0.25">
      <c r="A6709">
        <v>6708</v>
      </c>
      <c r="B6709" s="23">
        <v>1376.6975520000001</v>
      </c>
      <c r="C6709" s="23">
        <v>791.1</v>
      </c>
      <c r="D6709" s="23">
        <v>2990.174</v>
      </c>
      <c r="E6709" s="23">
        <v>1376.6969999999999</v>
      </c>
      <c r="F6709" s="23">
        <v>-1613.4770000000001</v>
      </c>
      <c r="G6709" s="23">
        <v>0</v>
      </c>
      <c r="H6709" s="23">
        <v>0</v>
      </c>
      <c r="I6709" s="23">
        <v>0</v>
      </c>
      <c r="J6709" s="23">
        <v>0</v>
      </c>
      <c r="K6709" s="23">
        <v>0</v>
      </c>
    </row>
    <row r="6710" spans="1:11" x14ac:dyDescent="0.25">
      <c r="A6710">
        <v>6709</v>
      </c>
      <c r="B6710" s="23">
        <v>1804.4340689999999</v>
      </c>
      <c r="C6710" s="23">
        <v>758.97</v>
      </c>
      <c r="D6710" s="23">
        <v>2878.377</v>
      </c>
      <c r="E6710" s="23">
        <v>1804.434</v>
      </c>
      <c r="F6710" s="23">
        <v>-1073.943</v>
      </c>
      <c r="G6710" s="23">
        <v>0</v>
      </c>
      <c r="H6710" s="23">
        <v>0</v>
      </c>
      <c r="I6710" s="23">
        <v>0</v>
      </c>
      <c r="J6710" s="23">
        <v>0</v>
      </c>
      <c r="K6710" s="23">
        <v>0</v>
      </c>
    </row>
    <row r="6711" spans="1:11" x14ac:dyDescent="0.25">
      <c r="A6711">
        <v>6710</v>
      </c>
      <c r="B6711" s="23">
        <v>1768.6143059999999</v>
      </c>
      <c r="C6711" s="23">
        <v>730.18</v>
      </c>
      <c r="D6711" s="23">
        <v>2800.7979999999998</v>
      </c>
      <c r="E6711" s="23">
        <v>1768.615</v>
      </c>
      <c r="F6711" s="23">
        <v>-1032.183</v>
      </c>
      <c r="G6711" s="23">
        <v>0</v>
      </c>
      <c r="H6711" s="23">
        <v>0</v>
      </c>
      <c r="I6711" s="23">
        <v>0</v>
      </c>
      <c r="J6711" s="23">
        <v>0</v>
      </c>
      <c r="K6711" s="23">
        <v>0</v>
      </c>
    </row>
    <row r="6712" spans="1:11" x14ac:dyDescent="0.25">
      <c r="A6712">
        <v>6711</v>
      </c>
      <c r="B6712" s="23">
        <v>1995.8376459999999</v>
      </c>
      <c r="C6712" s="23">
        <v>485.68</v>
      </c>
      <c r="D6712" s="23">
        <v>1900.442</v>
      </c>
      <c r="E6712" s="23">
        <v>1900.442</v>
      </c>
      <c r="F6712" s="23">
        <v>0</v>
      </c>
      <c r="G6712" s="23">
        <v>0</v>
      </c>
      <c r="H6712" s="23">
        <v>0</v>
      </c>
      <c r="I6712" s="23">
        <v>95.396000000000001</v>
      </c>
      <c r="J6712" s="23">
        <v>0</v>
      </c>
      <c r="K6712" s="23">
        <v>0</v>
      </c>
    </row>
    <row r="6713" spans="1:11" x14ac:dyDescent="0.25">
      <c r="A6713">
        <v>6712</v>
      </c>
      <c r="B6713" s="23">
        <v>1636.768867</v>
      </c>
      <c r="C6713" s="23">
        <v>407.44</v>
      </c>
      <c r="D6713" s="23">
        <v>1632.499</v>
      </c>
      <c r="E6713" s="23">
        <v>1632.499</v>
      </c>
      <c r="F6713" s="23">
        <v>0</v>
      </c>
      <c r="G6713" s="23">
        <v>0</v>
      </c>
      <c r="H6713" s="23">
        <v>0</v>
      </c>
      <c r="I6713" s="23">
        <v>4.2699999999999996</v>
      </c>
      <c r="J6713" s="23">
        <v>0</v>
      </c>
      <c r="K6713" s="23">
        <v>0</v>
      </c>
    </row>
    <row r="6714" spans="1:11" x14ac:dyDescent="0.25">
      <c r="A6714">
        <v>6713</v>
      </c>
      <c r="B6714" s="23">
        <v>1880.170003</v>
      </c>
      <c r="C6714" s="23">
        <v>68.28</v>
      </c>
      <c r="D6714" s="23">
        <v>242.38800000000001</v>
      </c>
      <c r="E6714" s="23">
        <v>242.38800000000001</v>
      </c>
      <c r="F6714" s="23">
        <v>0</v>
      </c>
      <c r="G6714" s="23">
        <v>0</v>
      </c>
      <c r="H6714" s="23">
        <v>0</v>
      </c>
      <c r="I6714" s="23">
        <v>1637.7819999999999</v>
      </c>
      <c r="J6714" s="23">
        <v>0</v>
      </c>
      <c r="K6714" s="23">
        <v>0</v>
      </c>
    </row>
    <row r="6715" spans="1:11" x14ac:dyDescent="0.25">
      <c r="A6715">
        <v>6714</v>
      </c>
      <c r="B6715" s="23">
        <v>1605.270822</v>
      </c>
      <c r="C6715" s="23">
        <v>3.91</v>
      </c>
      <c r="D6715" s="23">
        <v>0</v>
      </c>
      <c r="E6715" s="23">
        <v>0</v>
      </c>
      <c r="F6715" s="23">
        <v>0</v>
      </c>
      <c r="G6715" s="23">
        <v>0</v>
      </c>
      <c r="H6715" s="23">
        <v>0</v>
      </c>
      <c r="I6715" s="23">
        <v>0</v>
      </c>
      <c r="J6715" s="23">
        <v>0</v>
      </c>
      <c r="K6715" s="23">
        <v>1605.271</v>
      </c>
    </row>
    <row r="6716" spans="1:11" x14ac:dyDescent="0.25">
      <c r="A6716">
        <v>6715</v>
      </c>
      <c r="B6716" s="23">
        <v>1176.8107809999999</v>
      </c>
      <c r="C6716" s="23">
        <v>0</v>
      </c>
      <c r="D6716" s="23">
        <v>0</v>
      </c>
      <c r="E6716" s="23">
        <v>0</v>
      </c>
      <c r="F6716" s="23">
        <v>0</v>
      </c>
      <c r="G6716" s="23">
        <v>0</v>
      </c>
      <c r="H6716" s="23">
        <v>0</v>
      </c>
      <c r="I6716" s="23">
        <v>0</v>
      </c>
      <c r="J6716" s="23">
        <v>0</v>
      </c>
      <c r="K6716" s="23">
        <v>1176.8109999999999</v>
      </c>
    </row>
    <row r="6717" spans="1:11" x14ac:dyDescent="0.25">
      <c r="A6717">
        <v>6716</v>
      </c>
      <c r="B6717" s="23">
        <v>1179.392159</v>
      </c>
      <c r="C6717" s="23">
        <v>0</v>
      </c>
      <c r="D6717" s="23">
        <v>0</v>
      </c>
      <c r="E6717" s="23">
        <v>0</v>
      </c>
      <c r="F6717" s="23">
        <v>0</v>
      </c>
      <c r="G6717" s="23">
        <v>0</v>
      </c>
      <c r="H6717" s="23">
        <v>0</v>
      </c>
      <c r="I6717" s="23">
        <v>0</v>
      </c>
      <c r="J6717" s="23">
        <v>0</v>
      </c>
      <c r="K6717" s="23">
        <v>1179.3920000000001</v>
      </c>
    </row>
    <row r="6718" spans="1:11" x14ac:dyDescent="0.25">
      <c r="A6718">
        <v>6717</v>
      </c>
      <c r="B6718" s="23">
        <v>1017.7890169999999</v>
      </c>
      <c r="C6718" s="23">
        <v>0</v>
      </c>
      <c r="D6718" s="23">
        <v>0</v>
      </c>
      <c r="E6718" s="23">
        <v>0</v>
      </c>
      <c r="F6718" s="23">
        <v>0</v>
      </c>
      <c r="G6718" s="23">
        <v>0</v>
      </c>
      <c r="H6718" s="23">
        <v>0</v>
      </c>
      <c r="I6718" s="23">
        <v>1017.789</v>
      </c>
      <c r="J6718" s="23">
        <v>0</v>
      </c>
      <c r="K6718" s="23">
        <v>0</v>
      </c>
    </row>
    <row r="6719" spans="1:11" x14ac:dyDescent="0.25">
      <c r="A6719">
        <v>6718</v>
      </c>
      <c r="B6719" s="23">
        <v>1282.724937</v>
      </c>
      <c r="C6719" s="23">
        <v>0</v>
      </c>
      <c r="D6719" s="23">
        <v>0</v>
      </c>
      <c r="E6719" s="23">
        <v>0</v>
      </c>
      <c r="F6719" s="23">
        <v>0</v>
      </c>
      <c r="G6719" s="23">
        <v>0</v>
      </c>
      <c r="H6719" s="23">
        <v>0</v>
      </c>
      <c r="I6719" s="23">
        <v>1282.7249999999999</v>
      </c>
      <c r="J6719" s="23">
        <v>0</v>
      </c>
      <c r="K6719" s="23">
        <v>0</v>
      </c>
    </row>
    <row r="6720" spans="1:11" x14ac:dyDescent="0.25">
      <c r="A6720">
        <v>6719</v>
      </c>
      <c r="B6720" s="23">
        <v>1643.2242530000001</v>
      </c>
      <c r="C6720" s="23">
        <v>0</v>
      </c>
      <c r="D6720" s="23">
        <v>0</v>
      </c>
      <c r="E6720" s="23">
        <v>0</v>
      </c>
      <c r="F6720" s="23">
        <v>0</v>
      </c>
      <c r="G6720" s="23">
        <v>0</v>
      </c>
      <c r="H6720" s="23">
        <v>0</v>
      </c>
      <c r="I6720" s="23">
        <v>1643.2239999999999</v>
      </c>
      <c r="J6720" s="23">
        <v>0</v>
      </c>
      <c r="K6720" s="23">
        <v>0</v>
      </c>
    </row>
    <row r="6721" spans="1:11" x14ac:dyDescent="0.25">
      <c r="A6721">
        <v>6720</v>
      </c>
      <c r="B6721" s="23">
        <v>1414.804427</v>
      </c>
      <c r="C6721" s="23">
        <v>0</v>
      </c>
      <c r="D6721" s="23">
        <v>0</v>
      </c>
      <c r="E6721" s="23">
        <v>0</v>
      </c>
      <c r="F6721" s="23">
        <v>0</v>
      </c>
      <c r="G6721" s="23">
        <v>0</v>
      </c>
      <c r="H6721" s="23">
        <v>0</v>
      </c>
      <c r="I6721" s="23">
        <v>1414.8040000000001</v>
      </c>
      <c r="J6721" s="23">
        <v>0</v>
      </c>
      <c r="K6721" s="23">
        <v>0</v>
      </c>
    </row>
    <row r="6722" spans="1:11" x14ac:dyDescent="0.25">
      <c r="A6722">
        <v>6721</v>
      </c>
      <c r="B6722" s="23">
        <v>1612.9236639999999</v>
      </c>
      <c r="C6722" s="23">
        <v>0</v>
      </c>
      <c r="D6722" s="23">
        <v>0</v>
      </c>
      <c r="E6722" s="23">
        <v>0</v>
      </c>
      <c r="F6722" s="23">
        <v>0</v>
      </c>
      <c r="G6722" s="23">
        <v>0</v>
      </c>
      <c r="H6722" s="23">
        <v>0</v>
      </c>
      <c r="I6722" s="23">
        <v>1612.924</v>
      </c>
      <c r="J6722" s="23">
        <v>0</v>
      </c>
      <c r="K6722" s="23">
        <v>0</v>
      </c>
    </row>
    <row r="6723" spans="1:11" x14ac:dyDescent="0.25">
      <c r="A6723">
        <v>6722</v>
      </c>
      <c r="B6723" s="23">
        <v>1513.475576</v>
      </c>
      <c r="C6723" s="23">
        <v>0</v>
      </c>
      <c r="D6723" s="23">
        <v>0</v>
      </c>
      <c r="E6723" s="23">
        <v>0</v>
      </c>
      <c r="F6723" s="23">
        <v>0</v>
      </c>
      <c r="G6723" s="23">
        <v>0</v>
      </c>
      <c r="H6723" s="23">
        <v>0</v>
      </c>
      <c r="I6723" s="23">
        <v>1513.4760000000001</v>
      </c>
      <c r="J6723" s="23">
        <v>0</v>
      </c>
      <c r="K6723" s="23">
        <v>0</v>
      </c>
    </row>
    <row r="6724" spans="1:11" x14ac:dyDescent="0.25">
      <c r="A6724">
        <v>6723</v>
      </c>
      <c r="B6724" s="23">
        <v>1312.2485879999999</v>
      </c>
      <c r="C6724" s="23">
        <v>0</v>
      </c>
      <c r="D6724" s="23">
        <v>0</v>
      </c>
      <c r="E6724" s="23">
        <v>0</v>
      </c>
      <c r="F6724" s="23">
        <v>0</v>
      </c>
      <c r="G6724" s="23">
        <v>0</v>
      </c>
      <c r="H6724" s="23">
        <v>0</v>
      </c>
      <c r="I6724" s="23">
        <v>1312.249</v>
      </c>
      <c r="J6724" s="23">
        <v>0</v>
      </c>
      <c r="K6724" s="23">
        <v>0</v>
      </c>
    </row>
    <row r="6725" spans="1:11" x14ac:dyDescent="0.25">
      <c r="A6725">
        <v>6724</v>
      </c>
      <c r="B6725" s="23">
        <v>926.88724979999995</v>
      </c>
      <c r="C6725" s="23">
        <v>0</v>
      </c>
      <c r="D6725" s="23">
        <v>0</v>
      </c>
      <c r="E6725" s="23">
        <v>0</v>
      </c>
      <c r="F6725" s="23">
        <v>0</v>
      </c>
      <c r="G6725" s="23">
        <v>0</v>
      </c>
      <c r="H6725" s="23">
        <v>0</v>
      </c>
      <c r="I6725" s="23">
        <v>926.88699999999994</v>
      </c>
      <c r="J6725" s="23">
        <v>0</v>
      </c>
      <c r="K6725" s="23">
        <v>0</v>
      </c>
    </row>
    <row r="6726" spans="1:11" x14ac:dyDescent="0.25">
      <c r="A6726">
        <v>6725</v>
      </c>
      <c r="B6726" s="23">
        <v>1116.4601660000001</v>
      </c>
      <c r="C6726" s="23">
        <v>0</v>
      </c>
      <c r="D6726" s="23">
        <v>0</v>
      </c>
      <c r="E6726" s="23">
        <v>0</v>
      </c>
      <c r="F6726" s="23">
        <v>0</v>
      </c>
      <c r="G6726" s="23">
        <v>0</v>
      </c>
      <c r="H6726" s="23">
        <v>0</v>
      </c>
      <c r="I6726" s="23">
        <v>1116.46</v>
      </c>
      <c r="J6726" s="23">
        <v>0</v>
      </c>
      <c r="K6726" s="23">
        <v>0</v>
      </c>
    </row>
    <row r="6727" spans="1:11" x14ac:dyDescent="0.25">
      <c r="A6727">
        <v>6726</v>
      </c>
      <c r="B6727" s="23">
        <v>923.00255890000005</v>
      </c>
      <c r="C6727" s="23">
        <v>0</v>
      </c>
      <c r="D6727" s="23">
        <v>0</v>
      </c>
      <c r="E6727" s="23">
        <v>0</v>
      </c>
      <c r="F6727" s="23">
        <v>0</v>
      </c>
      <c r="G6727" s="23">
        <v>0</v>
      </c>
      <c r="H6727" s="23">
        <v>0</v>
      </c>
      <c r="I6727" s="23">
        <v>923.00300000000004</v>
      </c>
      <c r="J6727" s="23">
        <v>0</v>
      </c>
      <c r="K6727" s="23">
        <v>0</v>
      </c>
    </row>
    <row r="6728" spans="1:11" x14ac:dyDescent="0.25">
      <c r="A6728">
        <v>6727</v>
      </c>
      <c r="B6728" s="23">
        <v>974.57280179999998</v>
      </c>
      <c r="C6728" s="23">
        <v>5.87</v>
      </c>
      <c r="D6728" s="23">
        <v>0</v>
      </c>
      <c r="E6728" s="23">
        <v>0</v>
      </c>
      <c r="F6728" s="23">
        <v>0</v>
      </c>
      <c r="G6728" s="23">
        <v>0</v>
      </c>
      <c r="H6728" s="23">
        <v>0</v>
      </c>
      <c r="I6728" s="23">
        <v>974.57299999999998</v>
      </c>
      <c r="J6728" s="23">
        <v>0</v>
      </c>
      <c r="K6728" s="23">
        <v>0</v>
      </c>
    </row>
    <row r="6729" spans="1:11" x14ac:dyDescent="0.25">
      <c r="A6729">
        <v>6728</v>
      </c>
      <c r="B6729" s="23">
        <v>1109.3055360000001</v>
      </c>
      <c r="C6729" s="23">
        <v>29.85</v>
      </c>
      <c r="D6729" s="23">
        <v>92.600999999999999</v>
      </c>
      <c r="E6729" s="23">
        <v>0</v>
      </c>
      <c r="F6729" s="23">
        <v>-92.600999999999999</v>
      </c>
      <c r="G6729" s="23">
        <v>0</v>
      </c>
      <c r="H6729" s="23">
        <v>0</v>
      </c>
      <c r="I6729" s="23">
        <v>1109.306</v>
      </c>
      <c r="J6729" s="23">
        <v>0</v>
      </c>
      <c r="K6729" s="23">
        <v>0</v>
      </c>
    </row>
    <row r="6730" spans="1:11" x14ac:dyDescent="0.25">
      <c r="A6730">
        <v>6729</v>
      </c>
      <c r="B6730" s="23">
        <v>1453.1366149999999</v>
      </c>
      <c r="C6730" s="23">
        <v>101.85</v>
      </c>
      <c r="D6730" s="23">
        <v>377.29199999999997</v>
      </c>
      <c r="E6730" s="23">
        <v>0</v>
      </c>
      <c r="F6730" s="23">
        <v>-377.29199999999997</v>
      </c>
      <c r="G6730" s="23">
        <v>0</v>
      </c>
      <c r="H6730" s="23">
        <v>0</v>
      </c>
      <c r="I6730" s="23">
        <v>1453.1369999999999</v>
      </c>
      <c r="J6730" s="23">
        <v>0</v>
      </c>
      <c r="K6730" s="23">
        <v>0</v>
      </c>
    </row>
    <row r="6731" spans="1:11" x14ac:dyDescent="0.25">
      <c r="A6731">
        <v>6730</v>
      </c>
      <c r="B6731" s="23">
        <v>1636.429928</v>
      </c>
      <c r="C6731" s="23">
        <v>101.21</v>
      </c>
      <c r="D6731" s="23">
        <v>368.09100000000001</v>
      </c>
      <c r="E6731" s="23">
        <v>0</v>
      </c>
      <c r="F6731" s="23">
        <v>-368.09100000000001</v>
      </c>
      <c r="G6731" s="23">
        <v>0</v>
      </c>
      <c r="H6731" s="23">
        <v>0</v>
      </c>
      <c r="I6731" s="23">
        <v>1636.43</v>
      </c>
      <c r="J6731" s="23">
        <v>0</v>
      </c>
      <c r="K6731" s="23">
        <v>0</v>
      </c>
    </row>
    <row r="6732" spans="1:11" x14ac:dyDescent="0.25">
      <c r="A6732">
        <v>6731</v>
      </c>
      <c r="B6732" s="23">
        <v>1700.659408</v>
      </c>
      <c r="C6732" s="23">
        <v>100.29</v>
      </c>
      <c r="D6732" s="23">
        <v>360.46699999999998</v>
      </c>
      <c r="E6732" s="23">
        <v>360.46699999999998</v>
      </c>
      <c r="F6732" s="23">
        <v>0</v>
      </c>
      <c r="G6732" s="23">
        <v>0</v>
      </c>
      <c r="H6732" s="23">
        <v>0</v>
      </c>
      <c r="I6732" s="23">
        <v>0</v>
      </c>
      <c r="J6732" s="23">
        <v>0</v>
      </c>
      <c r="K6732" s="23">
        <v>1340.193</v>
      </c>
    </row>
    <row r="6733" spans="1:11" x14ac:dyDescent="0.25">
      <c r="A6733">
        <v>6732</v>
      </c>
      <c r="B6733" s="23">
        <v>1576.451272</v>
      </c>
      <c r="C6733" s="23">
        <v>171.65</v>
      </c>
      <c r="D6733" s="23">
        <v>638.69500000000005</v>
      </c>
      <c r="E6733" s="23">
        <v>638.69500000000005</v>
      </c>
      <c r="F6733" s="23">
        <v>0</v>
      </c>
      <c r="G6733" s="23">
        <v>0</v>
      </c>
      <c r="H6733" s="23">
        <v>0</v>
      </c>
      <c r="I6733" s="23">
        <v>0</v>
      </c>
      <c r="J6733" s="23">
        <v>0</v>
      </c>
      <c r="K6733" s="23">
        <v>937.75699999999995</v>
      </c>
    </row>
    <row r="6734" spans="1:11" x14ac:dyDescent="0.25">
      <c r="A6734">
        <v>6733</v>
      </c>
      <c r="B6734" s="23">
        <v>1782.2291760000001</v>
      </c>
      <c r="C6734" s="23">
        <v>383.61</v>
      </c>
      <c r="D6734" s="23">
        <v>1465.154</v>
      </c>
      <c r="E6734" s="23">
        <v>0</v>
      </c>
      <c r="F6734" s="23">
        <v>-1465.154</v>
      </c>
      <c r="G6734" s="23">
        <v>0</v>
      </c>
      <c r="H6734" s="23">
        <v>0</v>
      </c>
      <c r="I6734" s="23">
        <v>1782.229</v>
      </c>
      <c r="J6734" s="23">
        <v>0</v>
      </c>
      <c r="K6734" s="23">
        <v>0</v>
      </c>
    </row>
    <row r="6735" spans="1:11" x14ac:dyDescent="0.25">
      <c r="A6735">
        <v>6734</v>
      </c>
      <c r="B6735" s="23">
        <v>1708.3705190000001</v>
      </c>
      <c r="C6735" s="23">
        <v>615.71</v>
      </c>
      <c r="D6735" s="23">
        <v>2362.2809999999999</v>
      </c>
      <c r="E6735" s="23">
        <v>981.41800000000001</v>
      </c>
      <c r="F6735" s="23">
        <v>-1380.8630000000001</v>
      </c>
      <c r="G6735" s="23">
        <v>0</v>
      </c>
      <c r="H6735" s="23">
        <v>0</v>
      </c>
      <c r="I6735" s="23">
        <v>726.952</v>
      </c>
      <c r="J6735" s="23">
        <v>0</v>
      </c>
      <c r="K6735" s="23">
        <v>0</v>
      </c>
    </row>
    <row r="6736" spans="1:11" x14ac:dyDescent="0.25">
      <c r="A6736">
        <v>6735</v>
      </c>
      <c r="B6736" s="23">
        <v>1688.8664570000001</v>
      </c>
      <c r="C6736" s="23">
        <v>602.66999999999996</v>
      </c>
      <c r="D6736" s="23">
        <v>2348.1219999999998</v>
      </c>
      <c r="E6736" s="23">
        <v>1688.866</v>
      </c>
      <c r="F6736" s="23">
        <v>-659.25599999999997</v>
      </c>
      <c r="G6736" s="23">
        <v>0</v>
      </c>
      <c r="H6736" s="23">
        <v>0</v>
      </c>
      <c r="I6736" s="23">
        <v>0</v>
      </c>
      <c r="J6736" s="23">
        <v>0</v>
      </c>
      <c r="K6736" s="23">
        <v>0</v>
      </c>
    </row>
    <row r="6737" spans="1:11" x14ac:dyDescent="0.25">
      <c r="A6737">
        <v>6736</v>
      </c>
      <c r="B6737" s="23">
        <v>1513.6533010000001</v>
      </c>
      <c r="C6737" s="23">
        <v>443.45</v>
      </c>
      <c r="D6737" s="23">
        <v>1767.925</v>
      </c>
      <c r="E6737" s="23">
        <v>1513.654</v>
      </c>
      <c r="F6737" s="23">
        <v>-254.27099999999999</v>
      </c>
      <c r="G6737" s="23">
        <v>0</v>
      </c>
      <c r="H6737" s="23">
        <v>0</v>
      </c>
      <c r="I6737" s="23">
        <v>0</v>
      </c>
      <c r="J6737" s="23">
        <v>0</v>
      </c>
      <c r="K6737" s="23">
        <v>0</v>
      </c>
    </row>
    <row r="6738" spans="1:11" x14ac:dyDescent="0.25">
      <c r="A6738">
        <v>6737</v>
      </c>
      <c r="B6738" s="23">
        <v>1543.6955579999999</v>
      </c>
      <c r="C6738" s="23">
        <v>198.97</v>
      </c>
      <c r="D6738" s="23">
        <v>739.82500000000005</v>
      </c>
      <c r="E6738" s="23">
        <v>739.82500000000005</v>
      </c>
      <c r="F6738" s="23">
        <v>0</v>
      </c>
      <c r="G6738" s="23">
        <v>0</v>
      </c>
      <c r="H6738" s="23">
        <v>0</v>
      </c>
      <c r="I6738" s="23">
        <v>803.87099999999998</v>
      </c>
      <c r="J6738" s="23">
        <v>0</v>
      </c>
      <c r="K6738" s="23">
        <v>0</v>
      </c>
    </row>
    <row r="6739" spans="1:11" x14ac:dyDescent="0.25">
      <c r="A6739">
        <v>6738</v>
      </c>
      <c r="B6739" s="23">
        <v>1589.396033</v>
      </c>
      <c r="C6739" s="23">
        <v>22.99</v>
      </c>
      <c r="D6739" s="23">
        <v>29.434999999999999</v>
      </c>
      <c r="E6739" s="23">
        <v>29.434999999999999</v>
      </c>
      <c r="F6739" s="23">
        <v>0</v>
      </c>
      <c r="G6739" s="23">
        <v>0</v>
      </c>
      <c r="H6739" s="23">
        <v>0</v>
      </c>
      <c r="I6739" s="23">
        <v>0</v>
      </c>
      <c r="J6739" s="23">
        <v>0</v>
      </c>
      <c r="K6739" s="23">
        <v>1559.962</v>
      </c>
    </row>
    <row r="6740" spans="1:11" x14ac:dyDescent="0.25">
      <c r="A6740">
        <v>6739</v>
      </c>
      <c r="B6740" s="23">
        <v>1404.394427</v>
      </c>
      <c r="C6740" s="23">
        <v>0</v>
      </c>
      <c r="D6740" s="23">
        <v>0</v>
      </c>
      <c r="E6740" s="23">
        <v>0</v>
      </c>
      <c r="F6740" s="23">
        <v>0</v>
      </c>
      <c r="G6740" s="23">
        <v>0</v>
      </c>
      <c r="H6740" s="23">
        <v>0</v>
      </c>
      <c r="I6740" s="23">
        <v>0</v>
      </c>
      <c r="J6740" s="23">
        <v>0</v>
      </c>
      <c r="K6740" s="23">
        <v>1404.394</v>
      </c>
    </row>
    <row r="6741" spans="1:11" x14ac:dyDescent="0.25">
      <c r="A6741">
        <v>6740</v>
      </c>
      <c r="B6741" s="23">
        <v>1464.5284710000001</v>
      </c>
      <c r="C6741" s="23">
        <v>0</v>
      </c>
      <c r="D6741" s="23">
        <v>0</v>
      </c>
      <c r="E6741" s="23">
        <v>0</v>
      </c>
      <c r="F6741" s="23">
        <v>0</v>
      </c>
      <c r="G6741" s="23">
        <v>0</v>
      </c>
      <c r="H6741" s="23">
        <v>0</v>
      </c>
      <c r="I6741" s="23">
        <v>0</v>
      </c>
      <c r="J6741" s="23">
        <v>0</v>
      </c>
      <c r="K6741" s="23">
        <v>1464.528</v>
      </c>
    </row>
    <row r="6742" spans="1:11" x14ac:dyDescent="0.25">
      <c r="A6742">
        <v>6741</v>
      </c>
      <c r="B6742" s="23">
        <v>1266.4092350000001</v>
      </c>
      <c r="C6742" s="23">
        <v>0</v>
      </c>
      <c r="D6742" s="23">
        <v>0</v>
      </c>
      <c r="E6742" s="23">
        <v>0</v>
      </c>
      <c r="F6742" s="23">
        <v>0</v>
      </c>
      <c r="G6742" s="23">
        <v>0</v>
      </c>
      <c r="H6742" s="23">
        <v>0</v>
      </c>
      <c r="I6742" s="23">
        <v>1266.4090000000001</v>
      </c>
      <c r="J6742" s="23">
        <v>0</v>
      </c>
      <c r="K6742" s="23">
        <v>0</v>
      </c>
    </row>
    <row r="6743" spans="1:11" x14ac:dyDescent="0.25">
      <c r="A6743">
        <v>6742</v>
      </c>
      <c r="B6743" s="23">
        <v>1237.6625220000001</v>
      </c>
      <c r="C6743" s="23">
        <v>0</v>
      </c>
      <c r="D6743" s="23">
        <v>0</v>
      </c>
      <c r="E6743" s="23">
        <v>0</v>
      </c>
      <c r="F6743" s="23">
        <v>0</v>
      </c>
      <c r="G6743" s="23">
        <v>0</v>
      </c>
      <c r="H6743" s="23">
        <v>0</v>
      </c>
      <c r="I6743" s="23">
        <v>1237.663</v>
      </c>
      <c r="J6743" s="23">
        <v>0</v>
      </c>
      <c r="K6743" s="23">
        <v>0</v>
      </c>
    </row>
    <row r="6744" spans="1:11" x14ac:dyDescent="0.25">
      <c r="A6744">
        <v>6743</v>
      </c>
      <c r="B6744" s="23">
        <v>1469.1901</v>
      </c>
      <c r="C6744" s="23">
        <v>0</v>
      </c>
      <c r="D6744" s="23">
        <v>0</v>
      </c>
      <c r="E6744" s="23">
        <v>0</v>
      </c>
      <c r="F6744" s="23">
        <v>0</v>
      </c>
      <c r="G6744" s="23">
        <v>0</v>
      </c>
      <c r="H6744" s="23">
        <v>0</v>
      </c>
      <c r="I6744" s="23">
        <v>1469.19</v>
      </c>
      <c r="J6744" s="23">
        <v>0</v>
      </c>
      <c r="K6744" s="23">
        <v>0</v>
      </c>
    </row>
    <row r="6745" spans="1:11" x14ac:dyDescent="0.25">
      <c r="A6745">
        <v>6744</v>
      </c>
      <c r="B6745" s="23">
        <v>1402.373417</v>
      </c>
      <c r="C6745" s="23">
        <v>0</v>
      </c>
      <c r="D6745" s="23">
        <v>0</v>
      </c>
      <c r="E6745" s="23">
        <v>0</v>
      </c>
      <c r="F6745" s="23">
        <v>0</v>
      </c>
      <c r="G6745" s="23">
        <v>0</v>
      </c>
      <c r="H6745" s="23">
        <v>0</v>
      </c>
      <c r="I6745" s="23">
        <v>1402.373</v>
      </c>
      <c r="J6745" s="23">
        <v>0</v>
      </c>
      <c r="K6745" s="23">
        <v>0</v>
      </c>
    </row>
    <row r="6746" spans="1:11" x14ac:dyDescent="0.25">
      <c r="A6746">
        <v>6745</v>
      </c>
      <c r="B6746" s="23">
        <v>1487.836616</v>
      </c>
      <c r="C6746" s="23">
        <v>0</v>
      </c>
      <c r="D6746" s="23">
        <v>0</v>
      </c>
      <c r="E6746" s="23">
        <v>0</v>
      </c>
      <c r="F6746" s="23">
        <v>0</v>
      </c>
      <c r="G6746" s="23">
        <v>0</v>
      </c>
      <c r="H6746" s="23">
        <v>0</v>
      </c>
      <c r="I6746" s="23">
        <v>1487.837</v>
      </c>
      <c r="J6746" s="23">
        <v>0</v>
      </c>
      <c r="K6746" s="23">
        <v>0</v>
      </c>
    </row>
    <row r="6747" spans="1:11" x14ac:dyDescent="0.25">
      <c r="A6747">
        <v>6746</v>
      </c>
      <c r="B6747" s="23">
        <v>1173.953591</v>
      </c>
      <c r="C6747" s="23">
        <v>0</v>
      </c>
      <c r="D6747" s="23">
        <v>0</v>
      </c>
      <c r="E6747" s="23">
        <v>0</v>
      </c>
      <c r="F6747" s="23">
        <v>0</v>
      </c>
      <c r="G6747" s="23">
        <v>0</v>
      </c>
      <c r="H6747" s="23">
        <v>0</v>
      </c>
      <c r="I6747" s="23">
        <v>1173.954</v>
      </c>
      <c r="J6747" s="23">
        <v>0</v>
      </c>
      <c r="K6747" s="23">
        <v>0</v>
      </c>
    </row>
    <row r="6748" spans="1:11" x14ac:dyDescent="0.25">
      <c r="A6748">
        <v>6747</v>
      </c>
      <c r="B6748" s="23">
        <v>1220.569882</v>
      </c>
      <c r="C6748" s="23">
        <v>0</v>
      </c>
      <c r="D6748" s="23">
        <v>0</v>
      </c>
      <c r="E6748" s="23">
        <v>0</v>
      </c>
      <c r="F6748" s="23">
        <v>0</v>
      </c>
      <c r="G6748" s="23">
        <v>0</v>
      </c>
      <c r="H6748" s="23">
        <v>0</v>
      </c>
      <c r="I6748" s="23">
        <v>1220.57</v>
      </c>
      <c r="J6748" s="23">
        <v>0</v>
      </c>
      <c r="K6748" s="23">
        <v>0</v>
      </c>
    </row>
    <row r="6749" spans="1:11" x14ac:dyDescent="0.25">
      <c r="A6749">
        <v>6748</v>
      </c>
      <c r="B6749" s="23">
        <v>1091.598144</v>
      </c>
      <c r="C6749" s="23">
        <v>0</v>
      </c>
      <c r="D6749" s="23">
        <v>0</v>
      </c>
      <c r="E6749" s="23">
        <v>0</v>
      </c>
      <c r="F6749" s="23">
        <v>0</v>
      </c>
      <c r="G6749" s="23">
        <v>0</v>
      </c>
      <c r="H6749" s="23">
        <v>0</v>
      </c>
      <c r="I6749" s="23">
        <v>1091.598</v>
      </c>
      <c r="J6749" s="23">
        <v>0</v>
      </c>
      <c r="K6749" s="23">
        <v>0</v>
      </c>
    </row>
    <row r="6750" spans="1:11" x14ac:dyDescent="0.25">
      <c r="A6750">
        <v>6749</v>
      </c>
      <c r="B6750" s="23">
        <v>1039.5432860000001</v>
      </c>
      <c r="C6750" s="23">
        <v>0</v>
      </c>
      <c r="D6750" s="23">
        <v>0</v>
      </c>
      <c r="E6750" s="23">
        <v>0</v>
      </c>
      <c r="F6750" s="23">
        <v>0</v>
      </c>
      <c r="G6750" s="23">
        <v>0</v>
      </c>
      <c r="H6750" s="23">
        <v>0</v>
      </c>
      <c r="I6750" s="23">
        <v>1039.5429999999999</v>
      </c>
      <c r="J6750" s="23">
        <v>0</v>
      </c>
      <c r="K6750" s="23">
        <v>0</v>
      </c>
    </row>
    <row r="6751" spans="1:11" x14ac:dyDescent="0.25">
      <c r="A6751">
        <v>6750</v>
      </c>
      <c r="B6751" s="23">
        <v>1033.327781</v>
      </c>
      <c r="C6751" s="23">
        <v>0</v>
      </c>
      <c r="D6751" s="23">
        <v>0</v>
      </c>
      <c r="E6751" s="23">
        <v>0</v>
      </c>
      <c r="F6751" s="23">
        <v>0</v>
      </c>
      <c r="G6751" s="23">
        <v>0</v>
      </c>
      <c r="H6751" s="23">
        <v>0</v>
      </c>
      <c r="I6751" s="23">
        <v>1033.328</v>
      </c>
      <c r="J6751" s="23">
        <v>0</v>
      </c>
      <c r="K6751" s="23">
        <v>0</v>
      </c>
    </row>
    <row r="6752" spans="1:11" x14ac:dyDescent="0.25">
      <c r="A6752">
        <v>6751</v>
      </c>
      <c r="B6752" s="23">
        <v>1125.232769</v>
      </c>
      <c r="C6752" s="23">
        <v>88.61</v>
      </c>
      <c r="D6752" s="23">
        <v>301.62400000000002</v>
      </c>
      <c r="E6752" s="23">
        <v>301.62400000000002</v>
      </c>
      <c r="F6752" s="23">
        <v>0</v>
      </c>
      <c r="G6752" s="23">
        <v>0</v>
      </c>
      <c r="H6752" s="23">
        <v>0</v>
      </c>
      <c r="I6752" s="23">
        <v>823.60900000000004</v>
      </c>
      <c r="J6752" s="23">
        <v>0</v>
      </c>
      <c r="K6752" s="23">
        <v>0</v>
      </c>
    </row>
    <row r="6753" spans="1:11" x14ac:dyDescent="0.25">
      <c r="A6753">
        <v>6752</v>
      </c>
      <c r="B6753" s="23">
        <v>1299.0474369999999</v>
      </c>
      <c r="C6753" s="23">
        <v>212.06</v>
      </c>
      <c r="D6753" s="23">
        <v>837.63800000000003</v>
      </c>
      <c r="E6753" s="23">
        <v>837.63800000000003</v>
      </c>
      <c r="F6753" s="23">
        <v>0</v>
      </c>
      <c r="G6753" s="23">
        <v>0</v>
      </c>
      <c r="H6753" s="23">
        <v>0</v>
      </c>
      <c r="I6753" s="23">
        <v>461.40899999999999</v>
      </c>
      <c r="J6753" s="23">
        <v>0</v>
      </c>
      <c r="K6753" s="23">
        <v>0</v>
      </c>
    </row>
    <row r="6754" spans="1:11" x14ac:dyDescent="0.25">
      <c r="A6754">
        <v>6753</v>
      </c>
      <c r="B6754" s="23">
        <v>1556.242139</v>
      </c>
      <c r="C6754" s="23">
        <v>323.10000000000002</v>
      </c>
      <c r="D6754" s="23">
        <v>1262.941</v>
      </c>
      <c r="E6754" s="23">
        <v>1262.941</v>
      </c>
      <c r="F6754" s="23">
        <v>0</v>
      </c>
      <c r="G6754" s="23">
        <v>0</v>
      </c>
      <c r="H6754" s="23">
        <v>0</v>
      </c>
      <c r="I6754" s="23">
        <v>293.30200000000002</v>
      </c>
      <c r="J6754" s="23">
        <v>0</v>
      </c>
      <c r="K6754" s="23">
        <v>0</v>
      </c>
    </row>
    <row r="6755" spans="1:11" x14ac:dyDescent="0.25">
      <c r="A6755">
        <v>6754</v>
      </c>
      <c r="B6755" s="23">
        <v>1612.0777720000001</v>
      </c>
      <c r="C6755" s="23">
        <v>179.59</v>
      </c>
      <c r="D6755" s="23">
        <v>676.98800000000006</v>
      </c>
      <c r="E6755" s="23">
        <v>676.98800000000006</v>
      </c>
      <c r="F6755" s="23">
        <v>0</v>
      </c>
      <c r="G6755" s="23">
        <v>0</v>
      </c>
      <c r="H6755" s="23">
        <v>0</v>
      </c>
      <c r="I6755" s="23">
        <v>935.08900000000006</v>
      </c>
      <c r="J6755" s="23">
        <v>0</v>
      </c>
      <c r="K6755" s="23">
        <v>0</v>
      </c>
    </row>
    <row r="6756" spans="1:11" x14ac:dyDescent="0.25">
      <c r="A6756">
        <v>6755</v>
      </c>
      <c r="B6756" s="23">
        <v>0</v>
      </c>
      <c r="C6756" s="23">
        <v>447.11</v>
      </c>
      <c r="D6756" s="23">
        <v>1701.9469999999999</v>
      </c>
      <c r="E6756" s="23">
        <v>0</v>
      </c>
      <c r="F6756" s="23">
        <v>-1684.559</v>
      </c>
      <c r="G6756" s="23">
        <v>0</v>
      </c>
      <c r="H6756" s="23">
        <v>17.388000000000002</v>
      </c>
      <c r="I6756" s="23">
        <v>0</v>
      </c>
      <c r="J6756" s="23">
        <v>0</v>
      </c>
      <c r="K6756" s="23">
        <v>0</v>
      </c>
    </row>
    <row r="6757" spans="1:11" x14ac:dyDescent="0.25">
      <c r="A6757">
        <v>6756</v>
      </c>
      <c r="B6757" s="23">
        <v>1493.2052590000001</v>
      </c>
      <c r="C6757" s="23">
        <v>702.76</v>
      </c>
      <c r="D6757" s="23">
        <v>2623.1779999999999</v>
      </c>
      <c r="E6757" s="23">
        <v>1493.2049999999999</v>
      </c>
      <c r="F6757" s="23">
        <v>-1129.973</v>
      </c>
      <c r="G6757" s="23">
        <v>0</v>
      </c>
      <c r="H6757" s="23">
        <v>0</v>
      </c>
      <c r="I6757" s="23">
        <v>0</v>
      </c>
      <c r="J6757" s="23">
        <v>0</v>
      </c>
      <c r="K6757" s="23">
        <v>0</v>
      </c>
    </row>
    <row r="6758" spans="1:11" x14ac:dyDescent="0.25">
      <c r="A6758">
        <v>6757</v>
      </c>
      <c r="B6758" s="23">
        <v>1246.7915459999999</v>
      </c>
      <c r="C6758" s="23">
        <v>665.37</v>
      </c>
      <c r="D6758" s="23">
        <v>2490.6039999999998</v>
      </c>
      <c r="E6758" s="23">
        <v>1246.7909999999999</v>
      </c>
      <c r="F6758" s="23">
        <v>-1243.8130000000001</v>
      </c>
      <c r="G6758" s="23">
        <v>0</v>
      </c>
      <c r="H6758" s="23">
        <v>0</v>
      </c>
      <c r="I6758" s="23">
        <v>0</v>
      </c>
      <c r="J6758" s="23">
        <v>0</v>
      </c>
      <c r="K6758" s="23">
        <v>0</v>
      </c>
    </row>
    <row r="6759" spans="1:11" x14ac:dyDescent="0.25">
      <c r="A6759">
        <v>6758</v>
      </c>
      <c r="B6759" s="23">
        <v>1561.962346</v>
      </c>
      <c r="C6759" s="23">
        <v>618.16999999999996</v>
      </c>
      <c r="D6759" s="23">
        <v>2332.4540000000002</v>
      </c>
      <c r="E6759" s="23">
        <v>1561.962</v>
      </c>
      <c r="F6759" s="23">
        <v>-770.49199999999996</v>
      </c>
      <c r="G6759" s="23">
        <v>0</v>
      </c>
      <c r="H6759" s="23">
        <v>0</v>
      </c>
      <c r="I6759" s="23">
        <v>0</v>
      </c>
      <c r="J6759" s="23">
        <v>0</v>
      </c>
      <c r="K6759" s="23">
        <v>0</v>
      </c>
    </row>
    <row r="6760" spans="1:11" x14ac:dyDescent="0.25">
      <c r="A6760">
        <v>6759</v>
      </c>
      <c r="B6760" s="23">
        <v>1551.856323</v>
      </c>
      <c r="C6760" s="23">
        <v>327.3</v>
      </c>
      <c r="D6760" s="23">
        <v>1256.809</v>
      </c>
      <c r="E6760" s="23">
        <v>1256.809</v>
      </c>
      <c r="F6760" s="23">
        <v>0</v>
      </c>
      <c r="G6760" s="23">
        <v>0</v>
      </c>
      <c r="H6760" s="23">
        <v>0</v>
      </c>
      <c r="I6760" s="23">
        <v>295.048</v>
      </c>
      <c r="J6760" s="23">
        <v>0</v>
      </c>
      <c r="K6760" s="23">
        <v>0</v>
      </c>
    </row>
    <row r="6761" spans="1:11" x14ac:dyDescent="0.25">
      <c r="A6761">
        <v>6760</v>
      </c>
      <c r="B6761" s="23">
        <v>1685.147837</v>
      </c>
      <c r="C6761" s="23">
        <v>324.99</v>
      </c>
      <c r="D6761" s="23">
        <v>1280.1220000000001</v>
      </c>
      <c r="E6761" s="23">
        <v>1280.1220000000001</v>
      </c>
      <c r="F6761" s="23">
        <v>0</v>
      </c>
      <c r="G6761" s="23">
        <v>0</v>
      </c>
      <c r="H6761" s="23">
        <v>0</v>
      </c>
      <c r="I6761" s="23">
        <v>405.02600000000001</v>
      </c>
      <c r="J6761" s="23">
        <v>0</v>
      </c>
      <c r="K6761" s="23">
        <v>0</v>
      </c>
    </row>
    <row r="6762" spans="1:11" x14ac:dyDescent="0.25">
      <c r="A6762">
        <v>6761</v>
      </c>
      <c r="B6762" s="23">
        <v>1491.693143</v>
      </c>
      <c r="C6762" s="23">
        <v>163.89</v>
      </c>
      <c r="D6762" s="23">
        <v>612.46799999999996</v>
      </c>
      <c r="E6762" s="23">
        <v>612.46799999999996</v>
      </c>
      <c r="F6762" s="23">
        <v>0</v>
      </c>
      <c r="G6762" s="23">
        <v>0</v>
      </c>
      <c r="H6762" s="23">
        <v>0</v>
      </c>
      <c r="I6762" s="23">
        <v>879.22500000000002</v>
      </c>
      <c r="J6762" s="23">
        <v>0</v>
      </c>
      <c r="K6762" s="23">
        <v>0</v>
      </c>
    </row>
    <row r="6763" spans="1:11" x14ac:dyDescent="0.25">
      <c r="A6763">
        <v>6762</v>
      </c>
      <c r="B6763" s="23">
        <v>1361.000487</v>
      </c>
      <c r="C6763" s="23">
        <v>15.85</v>
      </c>
      <c r="D6763" s="23">
        <v>16.861000000000001</v>
      </c>
      <c r="E6763" s="23">
        <v>16.861000000000001</v>
      </c>
      <c r="F6763" s="23">
        <v>0</v>
      </c>
      <c r="G6763" s="23">
        <v>0</v>
      </c>
      <c r="H6763" s="23">
        <v>0</v>
      </c>
      <c r="I6763" s="23">
        <v>0</v>
      </c>
      <c r="J6763" s="23">
        <v>0</v>
      </c>
      <c r="K6763" s="23">
        <v>1344.1389999999999</v>
      </c>
    </row>
    <row r="6764" spans="1:11" x14ac:dyDescent="0.25">
      <c r="A6764">
        <v>6763</v>
      </c>
      <c r="B6764" s="23">
        <v>1278.874237</v>
      </c>
      <c r="C6764" s="23">
        <v>0</v>
      </c>
      <c r="D6764" s="23">
        <v>0</v>
      </c>
      <c r="E6764" s="23">
        <v>0</v>
      </c>
      <c r="F6764" s="23">
        <v>0</v>
      </c>
      <c r="G6764" s="23">
        <v>0</v>
      </c>
      <c r="H6764" s="23">
        <v>0</v>
      </c>
      <c r="I6764" s="23">
        <v>0</v>
      </c>
      <c r="J6764" s="23">
        <v>0</v>
      </c>
      <c r="K6764" s="23">
        <v>1278.874</v>
      </c>
    </row>
    <row r="6765" spans="1:11" x14ac:dyDescent="0.25">
      <c r="A6765">
        <v>6764</v>
      </c>
      <c r="B6765" s="23">
        <v>1114.9062899999999</v>
      </c>
      <c r="C6765" s="23">
        <v>0</v>
      </c>
      <c r="D6765" s="23">
        <v>0</v>
      </c>
      <c r="E6765" s="23">
        <v>0</v>
      </c>
      <c r="F6765" s="23">
        <v>0</v>
      </c>
      <c r="G6765" s="23">
        <v>0</v>
      </c>
      <c r="H6765" s="23">
        <v>0</v>
      </c>
      <c r="I6765" s="23">
        <v>0</v>
      </c>
      <c r="J6765" s="23">
        <v>0</v>
      </c>
      <c r="K6765" s="23">
        <v>1114.9059999999999</v>
      </c>
    </row>
    <row r="6766" spans="1:11" x14ac:dyDescent="0.25">
      <c r="A6766">
        <v>6765</v>
      </c>
      <c r="B6766" s="23">
        <v>1342.5491770000001</v>
      </c>
      <c r="C6766" s="23">
        <v>0</v>
      </c>
      <c r="D6766" s="23">
        <v>0</v>
      </c>
      <c r="E6766" s="23">
        <v>0</v>
      </c>
      <c r="F6766" s="23">
        <v>0</v>
      </c>
      <c r="G6766" s="23">
        <v>0</v>
      </c>
      <c r="H6766" s="23">
        <v>0</v>
      </c>
      <c r="I6766" s="23">
        <v>1342.549</v>
      </c>
      <c r="J6766" s="23">
        <v>0</v>
      </c>
      <c r="K6766" s="23">
        <v>0</v>
      </c>
    </row>
    <row r="6767" spans="1:11" x14ac:dyDescent="0.25">
      <c r="A6767">
        <v>6766</v>
      </c>
      <c r="B6767" s="23">
        <v>1593.500209</v>
      </c>
      <c r="C6767" s="23">
        <v>0</v>
      </c>
      <c r="D6767" s="23">
        <v>0</v>
      </c>
      <c r="E6767" s="23">
        <v>0</v>
      </c>
      <c r="F6767" s="23">
        <v>0</v>
      </c>
      <c r="G6767" s="23">
        <v>0</v>
      </c>
      <c r="H6767" s="23">
        <v>0</v>
      </c>
      <c r="I6767" s="23">
        <v>1593.5</v>
      </c>
      <c r="J6767" s="23">
        <v>0</v>
      </c>
      <c r="K6767" s="23">
        <v>0</v>
      </c>
    </row>
    <row r="6768" spans="1:11" x14ac:dyDescent="0.25">
      <c r="A6768">
        <v>6767</v>
      </c>
      <c r="B6768" s="23">
        <v>1337.8875479999999</v>
      </c>
      <c r="C6768" s="23">
        <v>0</v>
      </c>
      <c r="D6768" s="23">
        <v>0</v>
      </c>
      <c r="E6768" s="23">
        <v>0</v>
      </c>
      <c r="F6768" s="23">
        <v>0</v>
      </c>
      <c r="G6768" s="23">
        <v>0</v>
      </c>
      <c r="H6768" s="23">
        <v>0</v>
      </c>
      <c r="I6768" s="23">
        <v>1337.8879999999999</v>
      </c>
      <c r="J6768" s="23">
        <v>0</v>
      </c>
      <c r="K6768" s="23">
        <v>0</v>
      </c>
    </row>
    <row r="6769" spans="1:11" x14ac:dyDescent="0.25">
      <c r="A6769">
        <v>6768</v>
      </c>
      <c r="B6769" s="23">
        <v>1203.4772419999999</v>
      </c>
      <c r="C6769" s="23">
        <v>0</v>
      </c>
      <c r="D6769" s="23">
        <v>0</v>
      </c>
      <c r="E6769" s="23">
        <v>0</v>
      </c>
      <c r="F6769" s="23">
        <v>0</v>
      </c>
      <c r="G6769" s="23">
        <v>0</v>
      </c>
      <c r="H6769" s="23">
        <v>0</v>
      </c>
      <c r="I6769" s="23">
        <v>1203.4770000000001</v>
      </c>
      <c r="J6769" s="23">
        <v>0</v>
      </c>
      <c r="K6769" s="23">
        <v>0</v>
      </c>
    </row>
    <row r="6770" spans="1:11" x14ac:dyDescent="0.25">
      <c r="A6770">
        <v>6769</v>
      </c>
      <c r="B6770" s="23">
        <v>923.00255890000005</v>
      </c>
      <c r="C6770" s="23">
        <v>0</v>
      </c>
      <c r="D6770" s="23">
        <v>0</v>
      </c>
      <c r="E6770" s="23">
        <v>0</v>
      </c>
      <c r="F6770" s="23">
        <v>0</v>
      </c>
      <c r="G6770" s="23">
        <v>0</v>
      </c>
      <c r="H6770" s="23">
        <v>0</v>
      </c>
      <c r="I6770" s="23">
        <v>923.00300000000004</v>
      </c>
      <c r="J6770" s="23">
        <v>0</v>
      </c>
      <c r="K6770" s="23">
        <v>0</v>
      </c>
    </row>
    <row r="6771" spans="1:11" x14ac:dyDescent="0.25">
      <c r="A6771">
        <v>6770</v>
      </c>
      <c r="B6771" s="23">
        <v>1208.9158090000001</v>
      </c>
      <c r="C6771" s="23">
        <v>0</v>
      </c>
      <c r="D6771" s="23">
        <v>0</v>
      </c>
      <c r="E6771" s="23">
        <v>0</v>
      </c>
      <c r="F6771" s="23">
        <v>0</v>
      </c>
      <c r="G6771" s="23">
        <v>0</v>
      </c>
      <c r="H6771" s="23">
        <v>0</v>
      </c>
      <c r="I6771" s="23">
        <v>1208.9159999999999</v>
      </c>
      <c r="J6771" s="23">
        <v>0</v>
      </c>
      <c r="K6771" s="23">
        <v>0</v>
      </c>
    </row>
    <row r="6772" spans="1:11" x14ac:dyDescent="0.25">
      <c r="A6772">
        <v>6771</v>
      </c>
      <c r="B6772" s="23">
        <v>935.43356979999999</v>
      </c>
      <c r="C6772" s="23">
        <v>0</v>
      </c>
      <c r="D6772" s="23">
        <v>0</v>
      </c>
      <c r="E6772" s="23">
        <v>0</v>
      </c>
      <c r="F6772" s="23">
        <v>0</v>
      </c>
      <c r="G6772" s="23">
        <v>0</v>
      </c>
      <c r="H6772" s="23">
        <v>0</v>
      </c>
      <c r="I6772" s="23">
        <v>935.43399999999997</v>
      </c>
      <c r="J6772" s="23">
        <v>0</v>
      </c>
      <c r="K6772" s="23">
        <v>0</v>
      </c>
    </row>
    <row r="6773" spans="1:11" x14ac:dyDescent="0.25">
      <c r="A6773">
        <v>6772</v>
      </c>
      <c r="B6773" s="23">
        <v>835.98548259999995</v>
      </c>
      <c r="C6773" s="23">
        <v>0</v>
      </c>
      <c r="D6773" s="23">
        <v>0</v>
      </c>
      <c r="E6773" s="23">
        <v>0</v>
      </c>
      <c r="F6773" s="23">
        <v>0</v>
      </c>
      <c r="G6773" s="23">
        <v>0</v>
      </c>
      <c r="H6773" s="23">
        <v>0</v>
      </c>
      <c r="I6773" s="23">
        <v>835.98500000000001</v>
      </c>
      <c r="J6773" s="23">
        <v>0</v>
      </c>
      <c r="K6773" s="23">
        <v>0</v>
      </c>
    </row>
    <row r="6774" spans="1:11" x14ac:dyDescent="0.25">
      <c r="A6774">
        <v>6773</v>
      </c>
      <c r="B6774" s="23">
        <v>948.64151890000005</v>
      </c>
      <c r="C6774" s="23">
        <v>0</v>
      </c>
      <c r="D6774" s="23">
        <v>0</v>
      </c>
      <c r="E6774" s="23">
        <v>0</v>
      </c>
      <c r="F6774" s="23">
        <v>0</v>
      </c>
      <c r="G6774" s="23">
        <v>0</v>
      </c>
      <c r="H6774" s="23">
        <v>0</v>
      </c>
      <c r="I6774" s="23">
        <v>948.64200000000005</v>
      </c>
      <c r="J6774" s="23">
        <v>0</v>
      </c>
      <c r="K6774" s="23">
        <v>0</v>
      </c>
    </row>
    <row r="6775" spans="1:11" x14ac:dyDescent="0.25">
      <c r="A6775">
        <v>6774</v>
      </c>
      <c r="B6775" s="23">
        <v>1023.227584</v>
      </c>
      <c r="C6775" s="23">
        <v>0</v>
      </c>
      <c r="D6775" s="23">
        <v>0</v>
      </c>
      <c r="E6775" s="23">
        <v>0</v>
      </c>
      <c r="F6775" s="23">
        <v>0</v>
      </c>
      <c r="G6775" s="23">
        <v>0</v>
      </c>
      <c r="H6775" s="23">
        <v>0</v>
      </c>
      <c r="I6775" s="23">
        <v>1023.228</v>
      </c>
      <c r="J6775" s="23">
        <v>0</v>
      </c>
      <c r="K6775" s="23">
        <v>0</v>
      </c>
    </row>
    <row r="6776" spans="1:11" x14ac:dyDescent="0.25">
      <c r="A6776">
        <v>6775</v>
      </c>
      <c r="B6776" s="23">
        <v>855.542959</v>
      </c>
      <c r="C6776" s="23">
        <v>7.83</v>
      </c>
      <c r="D6776" s="23">
        <v>7.18</v>
      </c>
      <c r="E6776" s="23">
        <v>7.18</v>
      </c>
      <c r="F6776" s="23">
        <v>0</v>
      </c>
      <c r="G6776" s="23">
        <v>0</v>
      </c>
      <c r="H6776" s="23">
        <v>0</v>
      </c>
      <c r="I6776" s="23">
        <v>848.36300000000006</v>
      </c>
      <c r="J6776" s="23">
        <v>0</v>
      </c>
      <c r="K6776" s="23">
        <v>0</v>
      </c>
    </row>
    <row r="6777" spans="1:11" x14ac:dyDescent="0.25">
      <c r="A6777">
        <v>6776</v>
      </c>
      <c r="B6777" s="23">
        <v>734.4697688</v>
      </c>
      <c r="C6777" s="23">
        <v>124.84</v>
      </c>
      <c r="D6777" s="23">
        <v>478.96899999999999</v>
      </c>
      <c r="E6777" s="23">
        <v>478.96899999999999</v>
      </c>
      <c r="F6777" s="23">
        <v>0</v>
      </c>
      <c r="G6777" s="23">
        <v>0</v>
      </c>
      <c r="H6777" s="23">
        <v>0</v>
      </c>
      <c r="I6777" s="23">
        <v>255.5</v>
      </c>
      <c r="J6777" s="23">
        <v>0</v>
      </c>
      <c r="K6777" s="23">
        <v>0</v>
      </c>
    </row>
    <row r="6778" spans="1:11" x14ac:dyDescent="0.25">
      <c r="A6778">
        <v>6777</v>
      </c>
      <c r="B6778" s="23">
        <v>1354.9452249999999</v>
      </c>
      <c r="C6778" s="23">
        <v>493.25</v>
      </c>
      <c r="D6778" s="23">
        <v>1947.28</v>
      </c>
      <c r="E6778" s="23">
        <v>1354.9449999999999</v>
      </c>
      <c r="F6778" s="23">
        <v>-592.33500000000004</v>
      </c>
      <c r="G6778" s="23">
        <v>0</v>
      </c>
      <c r="H6778" s="23">
        <v>0</v>
      </c>
      <c r="I6778" s="23">
        <v>0</v>
      </c>
      <c r="J6778" s="23">
        <v>0</v>
      </c>
      <c r="K6778" s="23">
        <v>0</v>
      </c>
    </row>
    <row r="6779" spans="1:11" x14ac:dyDescent="0.25">
      <c r="A6779">
        <v>6778</v>
      </c>
      <c r="B6779" s="23">
        <v>1584.170153</v>
      </c>
      <c r="C6779" s="23">
        <v>549.98</v>
      </c>
      <c r="D6779" s="23">
        <v>2120.5700000000002</v>
      </c>
      <c r="E6779" s="23">
        <v>1584.17</v>
      </c>
      <c r="F6779" s="23">
        <v>-536.4</v>
      </c>
      <c r="G6779" s="23">
        <v>0</v>
      </c>
      <c r="H6779" s="23">
        <v>0</v>
      </c>
      <c r="I6779" s="23">
        <v>0</v>
      </c>
      <c r="J6779" s="23">
        <v>0</v>
      </c>
      <c r="K6779" s="23">
        <v>0</v>
      </c>
    </row>
    <row r="6780" spans="1:11" x14ac:dyDescent="0.25">
      <c r="A6780">
        <v>6779</v>
      </c>
      <c r="B6780" s="23">
        <v>1585.9435140000001</v>
      </c>
      <c r="C6780" s="23">
        <v>442.88</v>
      </c>
      <c r="D6780" s="23">
        <v>1689.818</v>
      </c>
      <c r="E6780" s="23">
        <v>1585.943</v>
      </c>
      <c r="F6780" s="23">
        <v>-103.875</v>
      </c>
      <c r="G6780" s="23">
        <v>0</v>
      </c>
      <c r="H6780" s="23">
        <v>0</v>
      </c>
      <c r="I6780" s="23">
        <v>0</v>
      </c>
      <c r="J6780" s="23">
        <v>0</v>
      </c>
      <c r="K6780" s="23">
        <v>0</v>
      </c>
    </row>
    <row r="6781" spans="1:11" x14ac:dyDescent="0.25">
      <c r="A6781">
        <v>6780</v>
      </c>
      <c r="B6781" s="23">
        <v>1196.4828560000001</v>
      </c>
      <c r="C6781" s="23">
        <v>492.73</v>
      </c>
      <c r="D6781" s="23">
        <v>1870.816</v>
      </c>
      <c r="E6781" s="23">
        <v>1196.4829999999999</v>
      </c>
      <c r="F6781" s="23">
        <v>-674.33299999999997</v>
      </c>
      <c r="G6781" s="23">
        <v>0</v>
      </c>
      <c r="H6781" s="23">
        <v>0</v>
      </c>
      <c r="I6781" s="23">
        <v>0</v>
      </c>
      <c r="J6781" s="23">
        <v>0</v>
      </c>
      <c r="K6781" s="23">
        <v>0</v>
      </c>
    </row>
    <row r="6782" spans="1:11" x14ac:dyDescent="0.25">
      <c r="A6782">
        <v>6781</v>
      </c>
      <c r="B6782" s="23">
        <v>1424.9425000000001</v>
      </c>
      <c r="C6782" s="23">
        <v>374.48</v>
      </c>
      <c r="D6782" s="23">
        <v>1426.9949999999999</v>
      </c>
      <c r="E6782" s="23">
        <v>1424.943</v>
      </c>
      <c r="F6782" s="23">
        <v>-2.052</v>
      </c>
      <c r="G6782" s="23">
        <v>0</v>
      </c>
      <c r="H6782" s="23">
        <v>0</v>
      </c>
      <c r="I6782" s="23">
        <v>0</v>
      </c>
      <c r="J6782" s="23">
        <v>0</v>
      </c>
      <c r="K6782" s="23">
        <v>0</v>
      </c>
    </row>
    <row r="6783" spans="1:11" x14ac:dyDescent="0.25">
      <c r="A6783">
        <v>6782</v>
      </c>
      <c r="B6783" s="23">
        <v>1249.168005</v>
      </c>
      <c r="C6783" s="23">
        <v>402.92</v>
      </c>
      <c r="D6783" s="23">
        <v>1543.4829999999999</v>
      </c>
      <c r="E6783" s="23">
        <v>1249.1679999999999</v>
      </c>
      <c r="F6783" s="23">
        <v>-294.315</v>
      </c>
      <c r="G6783" s="23">
        <v>0</v>
      </c>
      <c r="H6783" s="23">
        <v>0</v>
      </c>
      <c r="I6783" s="23">
        <v>0</v>
      </c>
      <c r="J6783" s="23">
        <v>0</v>
      </c>
      <c r="K6783" s="23">
        <v>0</v>
      </c>
    </row>
    <row r="6784" spans="1:11" x14ac:dyDescent="0.25">
      <c r="A6784">
        <v>6783</v>
      </c>
      <c r="B6784" s="23">
        <v>1398.0079949999999</v>
      </c>
      <c r="C6784" s="23">
        <v>531.78</v>
      </c>
      <c r="D6784" s="23">
        <v>2061.2829999999999</v>
      </c>
      <c r="E6784" s="23">
        <v>1398.008</v>
      </c>
      <c r="F6784" s="23">
        <v>-663.27499999999998</v>
      </c>
      <c r="G6784" s="23">
        <v>0</v>
      </c>
      <c r="H6784" s="23">
        <v>0</v>
      </c>
      <c r="I6784" s="23">
        <v>0</v>
      </c>
      <c r="J6784" s="23">
        <v>0</v>
      </c>
      <c r="K6784" s="23">
        <v>0</v>
      </c>
    </row>
    <row r="6785" spans="1:11" x14ac:dyDescent="0.25">
      <c r="A6785">
        <v>6784</v>
      </c>
      <c r="B6785" s="23">
        <v>1407.307945</v>
      </c>
      <c r="C6785" s="23">
        <v>395.43</v>
      </c>
      <c r="D6785" s="23">
        <v>1569.1510000000001</v>
      </c>
      <c r="E6785" s="23">
        <v>1407.308</v>
      </c>
      <c r="F6785" s="23">
        <v>-161.84299999999999</v>
      </c>
      <c r="G6785" s="23">
        <v>0</v>
      </c>
      <c r="H6785" s="23">
        <v>0</v>
      </c>
      <c r="I6785" s="23">
        <v>0</v>
      </c>
      <c r="J6785" s="23">
        <v>0</v>
      </c>
      <c r="K6785" s="23">
        <v>0</v>
      </c>
    </row>
    <row r="6786" spans="1:11" x14ac:dyDescent="0.25">
      <c r="A6786">
        <v>6785</v>
      </c>
      <c r="B6786" s="23">
        <v>1093.0432490000001</v>
      </c>
      <c r="C6786" s="23">
        <v>150.66999999999999</v>
      </c>
      <c r="D6786" s="23">
        <v>565</v>
      </c>
      <c r="E6786" s="23">
        <v>565</v>
      </c>
      <c r="F6786" s="23">
        <v>0</v>
      </c>
      <c r="G6786" s="23">
        <v>0</v>
      </c>
      <c r="H6786" s="23">
        <v>0</v>
      </c>
      <c r="I6786" s="23">
        <v>528.04300000000001</v>
      </c>
      <c r="J6786" s="23">
        <v>0</v>
      </c>
      <c r="K6786" s="23">
        <v>0</v>
      </c>
    </row>
    <row r="6787" spans="1:11" x14ac:dyDescent="0.25">
      <c r="A6787">
        <v>6786</v>
      </c>
      <c r="B6787" s="23">
        <v>1275.5440860000001</v>
      </c>
      <c r="C6787" s="23">
        <v>15.21</v>
      </c>
      <c r="D6787" s="23">
        <v>14.041</v>
      </c>
      <c r="E6787" s="23">
        <v>14.041</v>
      </c>
      <c r="F6787" s="23">
        <v>0</v>
      </c>
      <c r="G6787" s="23">
        <v>0</v>
      </c>
      <c r="H6787" s="23">
        <v>0</v>
      </c>
      <c r="I6787" s="23">
        <v>0</v>
      </c>
      <c r="J6787" s="23">
        <v>0</v>
      </c>
      <c r="K6787" s="23">
        <v>1261.5039999999999</v>
      </c>
    </row>
    <row r="6788" spans="1:11" x14ac:dyDescent="0.25">
      <c r="A6788">
        <v>6787</v>
      </c>
      <c r="B6788" s="23">
        <v>1074.023803</v>
      </c>
      <c r="C6788" s="23">
        <v>0</v>
      </c>
      <c r="D6788" s="23">
        <v>0</v>
      </c>
      <c r="E6788" s="23">
        <v>0</v>
      </c>
      <c r="F6788" s="23">
        <v>0</v>
      </c>
      <c r="G6788" s="23">
        <v>0</v>
      </c>
      <c r="H6788" s="23">
        <v>0</v>
      </c>
      <c r="I6788" s="23">
        <v>0</v>
      </c>
      <c r="J6788" s="23">
        <v>0</v>
      </c>
      <c r="K6788" s="23">
        <v>1074.0239999999999</v>
      </c>
    </row>
    <row r="6789" spans="1:11" x14ac:dyDescent="0.25">
      <c r="A6789">
        <v>6788</v>
      </c>
      <c r="B6789" s="23">
        <v>1001.473315</v>
      </c>
      <c r="C6789" s="23">
        <v>0</v>
      </c>
      <c r="D6789" s="23">
        <v>0</v>
      </c>
      <c r="E6789" s="23">
        <v>0</v>
      </c>
      <c r="F6789" s="23">
        <v>0</v>
      </c>
      <c r="G6789" s="23">
        <v>0</v>
      </c>
      <c r="H6789" s="23">
        <v>0</v>
      </c>
      <c r="I6789" s="23">
        <v>0</v>
      </c>
      <c r="J6789" s="23">
        <v>0</v>
      </c>
      <c r="K6789" s="23">
        <v>1001.473</v>
      </c>
    </row>
    <row r="6790" spans="1:11" x14ac:dyDescent="0.25">
      <c r="A6790">
        <v>6789</v>
      </c>
      <c r="B6790" s="23">
        <v>1020.8967699999999</v>
      </c>
      <c r="C6790" s="23">
        <v>0</v>
      </c>
      <c r="D6790" s="23">
        <v>0</v>
      </c>
      <c r="E6790" s="23">
        <v>0</v>
      </c>
      <c r="F6790" s="23">
        <v>0</v>
      </c>
      <c r="G6790" s="23">
        <v>0</v>
      </c>
      <c r="H6790" s="23">
        <v>0</v>
      </c>
      <c r="I6790" s="23">
        <v>1020.897</v>
      </c>
      <c r="J6790" s="23">
        <v>0</v>
      </c>
      <c r="K6790" s="23">
        <v>0</v>
      </c>
    </row>
    <row r="6791" spans="1:11" x14ac:dyDescent="0.25">
      <c r="A6791">
        <v>6790</v>
      </c>
      <c r="B6791" s="23">
        <v>1296.709824</v>
      </c>
      <c r="C6791" s="23">
        <v>0</v>
      </c>
      <c r="D6791" s="23">
        <v>0</v>
      </c>
      <c r="E6791" s="23">
        <v>0</v>
      </c>
      <c r="F6791" s="23">
        <v>0</v>
      </c>
      <c r="G6791" s="23">
        <v>0</v>
      </c>
      <c r="H6791" s="23">
        <v>0</v>
      </c>
      <c r="I6791" s="23">
        <v>1296.71</v>
      </c>
      <c r="J6791" s="23">
        <v>0</v>
      </c>
      <c r="K6791" s="23">
        <v>0</v>
      </c>
    </row>
    <row r="6792" spans="1:11" x14ac:dyDescent="0.25">
      <c r="A6792">
        <v>6791</v>
      </c>
      <c r="B6792" s="23">
        <v>1046.5357300000001</v>
      </c>
      <c r="C6792" s="23">
        <v>0</v>
      </c>
      <c r="D6792" s="23">
        <v>0</v>
      </c>
      <c r="E6792" s="23">
        <v>0</v>
      </c>
      <c r="F6792" s="23">
        <v>0</v>
      </c>
      <c r="G6792" s="23">
        <v>0</v>
      </c>
      <c r="H6792" s="23">
        <v>0</v>
      </c>
      <c r="I6792" s="23">
        <v>1046.5360000000001</v>
      </c>
      <c r="J6792" s="23">
        <v>0</v>
      </c>
      <c r="K6792" s="23">
        <v>0</v>
      </c>
    </row>
    <row r="6793" spans="1:11" x14ac:dyDescent="0.25">
      <c r="A6793">
        <v>6792</v>
      </c>
      <c r="B6793" s="23">
        <v>1089.2673299999999</v>
      </c>
      <c r="C6793" s="23">
        <v>0</v>
      </c>
      <c r="D6793" s="23">
        <v>0</v>
      </c>
      <c r="E6793" s="23">
        <v>0</v>
      </c>
      <c r="F6793" s="23">
        <v>0</v>
      </c>
      <c r="G6793" s="23">
        <v>0</v>
      </c>
      <c r="H6793" s="23">
        <v>0</v>
      </c>
      <c r="I6793" s="23">
        <v>1089.2670000000001</v>
      </c>
      <c r="J6793" s="23">
        <v>0</v>
      </c>
      <c r="K6793" s="23">
        <v>0</v>
      </c>
    </row>
    <row r="6794" spans="1:11" x14ac:dyDescent="0.25">
      <c r="A6794">
        <v>6793</v>
      </c>
      <c r="B6794" s="23">
        <v>1177.061344</v>
      </c>
      <c r="C6794" s="23">
        <v>0</v>
      </c>
      <c r="D6794" s="23">
        <v>0</v>
      </c>
      <c r="E6794" s="23">
        <v>0</v>
      </c>
      <c r="F6794" s="23">
        <v>0</v>
      </c>
      <c r="G6794" s="23">
        <v>0</v>
      </c>
      <c r="H6794" s="23">
        <v>0</v>
      </c>
      <c r="I6794" s="23">
        <v>1177.0609999999999</v>
      </c>
      <c r="J6794" s="23">
        <v>0</v>
      </c>
      <c r="K6794" s="23">
        <v>0</v>
      </c>
    </row>
    <row r="6795" spans="1:11" x14ac:dyDescent="0.25">
      <c r="A6795">
        <v>6794</v>
      </c>
      <c r="B6795" s="23">
        <v>1226.0084489999999</v>
      </c>
      <c r="C6795" s="23">
        <v>0</v>
      </c>
      <c r="D6795" s="23">
        <v>0</v>
      </c>
      <c r="E6795" s="23">
        <v>0</v>
      </c>
      <c r="F6795" s="23">
        <v>0</v>
      </c>
      <c r="G6795" s="23">
        <v>0</v>
      </c>
      <c r="H6795" s="23">
        <v>0</v>
      </c>
      <c r="I6795" s="23">
        <v>1226.008</v>
      </c>
      <c r="J6795" s="23">
        <v>0</v>
      </c>
      <c r="K6795" s="23">
        <v>0</v>
      </c>
    </row>
    <row r="6796" spans="1:11" x14ac:dyDescent="0.25">
      <c r="A6796">
        <v>6795</v>
      </c>
      <c r="B6796" s="23">
        <v>1172.399715</v>
      </c>
      <c r="C6796" s="23">
        <v>0</v>
      </c>
      <c r="D6796" s="23">
        <v>0</v>
      </c>
      <c r="E6796" s="23">
        <v>0</v>
      </c>
      <c r="F6796" s="23">
        <v>0</v>
      </c>
      <c r="G6796" s="23">
        <v>0</v>
      </c>
      <c r="H6796" s="23">
        <v>0</v>
      </c>
      <c r="I6796" s="23">
        <v>1172.4000000000001</v>
      </c>
      <c r="J6796" s="23">
        <v>0</v>
      </c>
      <c r="K6796" s="23">
        <v>0</v>
      </c>
    </row>
    <row r="6797" spans="1:11" x14ac:dyDescent="0.25">
      <c r="A6797">
        <v>6796</v>
      </c>
      <c r="B6797" s="23">
        <v>942.42601339999999</v>
      </c>
      <c r="C6797" s="23">
        <v>0</v>
      </c>
      <c r="D6797" s="23">
        <v>0</v>
      </c>
      <c r="E6797" s="23">
        <v>0</v>
      </c>
      <c r="F6797" s="23">
        <v>0</v>
      </c>
      <c r="G6797" s="23">
        <v>0</v>
      </c>
      <c r="H6797" s="23">
        <v>0</v>
      </c>
      <c r="I6797" s="23">
        <v>942.42600000000004</v>
      </c>
      <c r="J6797" s="23">
        <v>0</v>
      </c>
      <c r="K6797" s="23">
        <v>0</v>
      </c>
    </row>
    <row r="6798" spans="1:11" x14ac:dyDescent="0.25">
      <c r="A6798">
        <v>6797</v>
      </c>
      <c r="B6798" s="23">
        <v>939.3182607</v>
      </c>
      <c r="C6798" s="23">
        <v>0</v>
      </c>
      <c r="D6798" s="23">
        <v>0</v>
      </c>
      <c r="E6798" s="23">
        <v>0</v>
      </c>
      <c r="F6798" s="23">
        <v>0</v>
      </c>
      <c r="G6798" s="23">
        <v>0</v>
      </c>
      <c r="H6798" s="23">
        <v>0</v>
      </c>
      <c r="I6798" s="23">
        <v>939.31799999999998</v>
      </c>
      <c r="J6798" s="23">
        <v>0</v>
      </c>
      <c r="K6798" s="23">
        <v>0</v>
      </c>
    </row>
    <row r="6799" spans="1:11" x14ac:dyDescent="0.25">
      <c r="A6799">
        <v>6798</v>
      </c>
      <c r="B6799" s="23">
        <v>1045.758791</v>
      </c>
      <c r="C6799" s="23">
        <v>0</v>
      </c>
      <c r="D6799" s="23">
        <v>0</v>
      </c>
      <c r="E6799" s="23">
        <v>0</v>
      </c>
      <c r="F6799" s="23">
        <v>0</v>
      </c>
      <c r="G6799" s="23">
        <v>0</v>
      </c>
      <c r="H6799" s="23">
        <v>0</v>
      </c>
      <c r="I6799" s="23">
        <v>1045.759</v>
      </c>
      <c r="J6799" s="23">
        <v>0</v>
      </c>
      <c r="K6799" s="23">
        <v>0</v>
      </c>
    </row>
    <row r="6800" spans="1:11" x14ac:dyDescent="0.25">
      <c r="A6800">
        <v>6799</v>
      </c>
      <c r="B6800" s="23">
        <v>671.39792720000003</v>
      </c>
      <c r="C6800" s="23">
        <v>66.790000000000006</v>
      </c>
      <c r="D6800" s="23">
        <v>237.041</v>
      </c>
      <c r="E6800" s="23">
        <v>237.041</v>
      </c>
      <c r="F6800" s="23">
        <v>0</v>
      </c>
      <c r="G6800" s="23">
        <v>0</v>
      </c>
      <c r="H6800" s="23">
        <v>0</v>
      </c>
      <c r="I6800" s="23">
        <v>434.35700000000003</v>
      </c>
      <c r="J6800" s="23">
        <v>0</v>
      </c>
      <c r="K6800" s="23">
        <v>0</v>
      </c>
    </row>
    <row r="6801" spans="1:11" x14ac:dyDescent="0.25">
      <c r="A6801">
        <v>6800</v>
      </c>
      <c r="B6801" s="23">
        <v>872.06454940000003</v>
      </c>
      <c r="C6801" s="23">
        <v>177.36</v>
      </c>
      <c r="D6801" s="23">
        <v>689.99099999999999</v>
      </c>
      <c r="E6801" s="23">
        <v>689.99099999999999</v>
      </c>
      <c r="F6801" s="23">
        <v>0</v>
      </c>
      <c r="G6801" s="23">
        <v>0</v>
      </c>
      <c r="H6801" s="23">
        <v>0</v>
      </c>
      <c r="I6801" s="23">
        <v>182.07400000000001</v>
      </c>
      <c r="J6801" s="23">
        <v>0</v>
      </c>
      <c r="K6801" s="23">
        <v>0</v>
      </c>
    </row>
    <row r="6802" spans="1:11" x14ac:dyDescent="0.25">
      <c r="A6802">
        <v>6801</v>
      </c>
      <c r="B6802" s="23">
        <v>485.77768409999999</v>
      </c>
      <c r="C6802" s="23">
        <v>290.44</v>
      </c>
      <c r="D6802" s="23">
        <v>1127.6030000000001</v>
      </c>
      <c r="E6802" s="23">
        <v>485.77800000000002</v>
      </c>
      <c r="F6802" s="23">
        <v>-641.82500000000005</v>
      </c>
      <c r="G6802" s="23">
        <v>0</v>
      </c>
      <c r="H6802" s="23">
        <v>0</v>
      </c>
      <c r="I6802" s="23">
        <v>0</v>
      </c>
      <c r="J6802" s="23">
        <v>0</v>
      </c>
      <c r="K6802" s="23">
        <v>0</v>
      </c>
    </row>
    <row r="6803" spans="1:11" x14ac:dyDescent="0.25">
      <c r="A6803">
        <v>6802</v>
      </c>
      <c r="B6803" s="23">
        <v>364.51705750000002</v>
      </c>
      <c r="C6803" s="23">
        <v>508.37</v>
      </c>
      <c r="D6803" s="23">
        <v>1950.6379999999999</v>
      </c>
      <c r="E6803" s="23">
        <v>364.51799999999997</v>
      </c>
      <c r="F6803" s="23">
        <v>-1586.12</v>
      </c>
      <c r="G6803" s="23">
        <v>0</v>
      </c>
      <c r="H6803" s="23">
        <v>0</v>
      </c>
      <c r="I6803" s="23">
        <v>0</v>
      </c>
      <c r="J6803" s="23">
        <v>0</v>
      </c>
      <c r="K6803" s="23">
        <v>0</v>
      </c>
    </row>
    <row r="6804" spans="1:11" x14ac:dyDescent="0.25">
      <c r="A6804">
        <v>6803</v>
      </c>
      <c r="B6804" s="23">
        <v>364.7608219</v>
      </c>
      <c r="C6804" s="23">
        <v>627.75</v>
      </c>
      <c r="D6804" s="23">
        <v>2376.25</v>
      </c>
      <c r="E6804" s="23">
        <v>364.762</v>
      </c>
      <c r="F6804" s="23">
        <v>-1684.559</v>
      </c>
      <c r="G6804" s="23">
        <v>0</v>
      </c>
      <c r="H6804" s="23">
        <v>326.92899999999997</v>
      </c>
      <c r="I6804" s="23">
        <v>0</v>
      </c>
      <c r="J6804" s="23">
        <v>0</v>
      </c>
      <c r="K6804" s="23">
        <v>0</v>
      </c>
    </row>
    <row r="6805" spans="1:11" x14ac:dyDescent="0.25">
      <c r="A6805">
        <v>6804</v>
      </c>
      <c r="B6805" s="23">
        <v>378.67189999999999</v>
      </c>
      <c r="C6805" s="23">
        <v>455.85</v>
      </c>
      <c r="D6805" s="23">
        <v>1734.683</v>
      </c>
      <c r="E6805" s="23">
        <v>378.67200000000003</v>
      </c>
      <c r="F6805" s="23">
        <v>-1356.011</v>
      </c>
      <c r="G6805" s="23">
        <v>0</v>
      </c>
      <c r="H6805" s="23">
        <v>0</v>
      </c>
      <c r="I6805" s="23">
        <v>0</v>
      </c>
      <c r="J6805" s="23">
        <v>0</v>
      </c>
      <c r="K6805" s="23">
        <v>0</v>
      </c>
    </row>
    <row r="6806" spans="1:11" x14ac:dyDescent="0.25">
      <c r="A6806">
        <v>6805</v>
      </c>
      <c r="B6806" s="23">
        <v>728.45918080000001</v>
      </c>
      <c r="C6806" s="23">
        <v>268.73</v>
      </c>
      <c r="D6806" s="23">
        <v>1017.056</v>
      </c>
      <c r="E6806" s="23">
        <v>728.46</v>
      </c>
      <c r="F6806" s="23">
        <v>-288.596</v>
      </c>
      <c r="G6806" s="23">
        <v>0</v>
      </c>
      <c r="H6806" s="23">
        <v>0</v>
      </c>
      <c r="I6806" s="23">
        <v>0</v>
      </c>
      <c r="J6806" s="23">
        <v>0</v>
      </c>
      <c r="K6806" s="23">
        <v>0</v>
      </c>
    </row>
    <row r="6807" spans="1:11" x14ac:dyDescent="0.25">
      <c r="A6807">
        <v>6806</v>
      </c>
      <c r="B6807" s="23">
        <v>1278.5809429999999</v>
      </c>
      <c r="C6807" s="23">
        <v>340.68</v>
      </c>
      <c r="D6807" s="23">
        <v>1306.348</v>
      </c>
      <c r="E6807" s="23">
        <v>1278.5809999999999</v>
      </c>
      <c r="F6807" s="23">
        <v>-27.766999999999999</v>
      </c>
      <c r="G6807" s="23">
        <v>0</v>
      </c>
      <c r="H6807" s="23">
        <v>0</v>
      </c>
      <c r="I6807" s="23">
        <v>0</v>
      </c>
      <c r="J6807" s="23">
        <v>0</v>
      </c>
      <c r="K6807" s="23">
        <v>0</v>
      </c>
    </row>
    <row r="6808" spans="1:11" x14ac:dyDescent="0.25">
      <c r="A6808">
        <v>6807</v>
      </c>
      <c r="B6808" s="23">
        <v>1456.5444600000001</v>
      </c>
      <c r="C6808" s="23">
        <v>57.9</v>
      </c>
      <c r="D6808" s="23">
        <v>197.089</v>
      </c>
      <c r="E6808" s="23">
        <v>197.089</v>
      </c>
      <c r="F6808" s="23">
        <v>0</v>
      </c>
      <c r="G6808" s="23">
        <v>0</v>
      </c>
      <c r="H6808" s="23">
        <v>0</v>
      </c>
      <c r="I6808" s="23">
        <v>1259.4549999999999</v>
      </c>
      <c r="J6808" s="23">
        <v>0</v>
      </c>
      <c r="K6808" s="23">
        <v>0</v>
      </c>
    </row>
    <row r="6809" spans="1:11" x14ac:dyDescent="0.25">
      <c r="A6809">
        <v>6808</v>
      </c>
      <c r="B6809" s="23">
        <v>1463.7020030000001</v>
      </c>
      <c r="C6809" s="23">
        <v>55.98</v>
      </c>
      <c r="D6809" s="23">
        <v>193.411</v>
      </c>
      <c r="E6809" s="23">
        <v>193.411</v>
      </c>
      <c r="F6809" s="23">
        <v>0</v>
      </c>
      <c r="G6809" s="23">
        <v>0</v>
      </c>
      <c r="H6809" s="23">
        <v>0</v>
      </c>
      <c r="I6809" s="23">
        <v>1270.2909999999999</v>
      </c>
      <c r="J6809" s="23">
        <v>0</v>
      </c>
      <c r="K6809" s="23">
        <v>0</v>
      </c>
    </row>
    <row r="6810" spans="1:11" x14ac:dyDescent="0.25">
      <c r="A6810">
        <v>6809</v>
      </c>
      <c r="B6810" s="23">
        <v>1357.086661</v>
      </c>
      <c r="C6810" s="23">
        <v>12.73</v>
      </c>
      <c r="D6810" s="23">
        <v>25.457000000000001</v>
      </c>
      <c r="E6810" s="23">
        <v>25.457000000000001</v>
      </c>
      <c r="F6810" s="23">
        <v>0</v>
      </c>
      <c r="G6810" s="23">
        <v>0</v>
      </c>
      <c r="H6810" s="23">
        <v>0</v>
      </c>
      <c r="I6810" s="23">
        <v>1331.63</v>
      </c>
      <c r="J6810" s="23">
        <v>0</v>
      </c>
      <c r="K6810" s="23">
        <v>0</v>
      </c>
    </row>
    <row r="6811" spans="1:11" x14ac:dyDescent="0.25">
      <c r="A6811">
        <v>6810</v>
      </c>
      <c r="B6811" s="23">
        <v>968.97787579999999</v>
      </c>
      <c r="C6811" s="23">
        <v>1.96</v>
      </c>
      <c r="D6811" s="23">
        <v>0</v>
      </c>
      <c r="E6811" s="23">
        <v>0</v>
      </c>
      <c r="F6811" s="23">
        <v>0</v>
      </c>
      <c r="G6811" s="23">
        <v>0</v>
      </c>
      <c r="H6811" s="23">
        <v>0</v>
      </c>
      <c r="I6811" s="23">
        <v>0</v>
      </c>
      <c r="J6811" s="23">
        <v>0</v>
      </c>
      <c r="K6811" s="23">
        <v>968.97799999999995</v>
      </c>
    </row>
    <row r="6812" spans="1:11" x14ac:dyDescent="0.25">
      <c r="A6812">
        <v>6811</v>
      </c>
      <c r="B6812" s="23">
        <v>859.41793819999998</v>
      </c>
      <c r="C6812" s="23">
        <v>0</v>
      </c>
      <c r="D6812" s="23">
        <v>0</v>
      </c>
      <c r="E6812" s="23">
        <v>0</v>
      </c>
      <c r="F6812" s="23">
        <v>0</v>
      </c>
      <c r="G6812" s="23">
        <v>0</v>
      </c>
      <c r="H6812" s="23">
        <v>0</v>
      </c>
      <c r="I6812" s="23">
        <v>0</v>
      </c>
      <c r="J6812" s="23">
        <v>0</v>
      </c>
      <c r="K6812" s="23">
        <v>859.41800000000001</v>
      </c>
    </row>
    <row r="6813" spans="1:11" x14ac:dyDescent="0.25">
      <c r="A6813">
        <v>6812</v>
      </c>
      <c r="B6813" s="23">
        <v>666.61295919999998</v>
      </c>
      <c r="C6813" s="23">
        <v>0</v>
      </c>
      <c r="D6813" s="23">
        <v>0</v>
      </c>
      <c r="E6813" s="23">
        <v>0</v>
      </c>
      <c r="F6813" s="23">
        <v>0</v>
      </c>
      <c r="G6813" s="23">
        <v>0</v>
      </c>
      <c r="H6813" s="23">
        <v>0</v>
      </c>
      <c r="I6813" s="23">
        <v>0</v>
      </c>
      <c r="J6813" s="23">
        <v>0</v>
      </c>
      <c r="K6813" s="23">
        <v>666.61300000000006</v>
      </c>
    </row>
    <row r="6814" spans="1:11" x14ac:dyDescent="0.25">
      <c r="A6814">
        <v>6813</v>
      </c>
      <c r="B6814" s="23">
        <v>1020.8967699999999</v>
      </c>
      <c r="C6814" s="23">
        <v>0</v>
      </c>
      <c r="D6814" s="23">
        <v>0</v>
      </c>
      <c r="E6814" s="23">
        <v>0</v>
      </c>
      <c r="F6814" s="23">
        <v>0</v>
      </c>
      <c r="G6814" s="23">
        <v>0</v>
      </c>
      <c r="H6814" s="23">
        <v>0</v>
      </c>
      <c r="I6814" s="23">
        <v>1020.897</v>
      </c>
      <c r="J6814" s="23">
        <v>0</v>
      </c>
      <c r="K6814" s="23">
        <v>0</v>
      </c>
    </row>
    <row r="6815" spans="1:11" x14ac:dyDescent="0.25">
      <c r="A6815">
        <v>6814</v>
      </c>
      <c r="B6815" s="23">
        <v>1041.8741010000001</v>
      </c>
      <c r="C6815" s="23">
        <v>0</v>
      </c>
      <c r="D6815" s="23">
        <v>0</v>
      </c>
      <c r="E6815" s="23">
        <v>0</v>
      </c>
      <c r="F6815" s="23">
        <v>0</v>
      </c>
      <c r="G6815" s="23">
        <v>0</v>
      </c>
      <c r="H6815" s="23">
        <v>0</v>
      </c>
      <c r="I6815" s="23">
        <v>1041.874</v>
      </c>
      <c r="J6815" s="23">
        <v>0</v>
      </c>
      <c r="K6815" s="23">
        <v>0</v>
      </c>
    </row>
    <row r="6816" spans="1:11" x14ac:dyDescent="0.25">
      <c r="A6816">
        <v>6815</v>
      </c>
      <c r="B6816" s="23">
        <v>1133.5528059999999</v>
      </c>
      <c r="C6816" s="23">
        <v>0</v>
      </c>
      <c r="D6816" s="23">
        <v>0</v>
      </c>
      <c r="E6816" s="23">
        <v>0</v>
      </c>
      <c r="F6816" s="23">
        <v>0</v>
      </c>
      <c r="G6816" s="23">
        <v>0</v>
      </c>
      <c r="H6816" s="23">
        <v>0</v>
      </c>
      <c r="I6816" s="23">
        <v>1133.5530000000001</v>
      </c>
      <c r="J6816" s="23">
        <v>0</v>
      </c>
      <c r="K6816" s="23">
        <v>0</v>
      </c>
    </row>
    <row r="6817" spans="1:11" x14ac:dyDescent="0.25">
      <c r="A6817">
        <v>6816</v>
      </c>
      <c r="B6817" s="23">
        <v>1121.898733</v>
      </c>
      <c r="C6817" s="23">
        <v>0</v>
      </c>
      <c r="D6817" s="23">
        <v>0</v>
      </c>
      <c r="E6817" s="23">
        <v>0</v>
      </c>
      <c r="F6817" s="23">
        <v>0</v>
      </c>
      <c r="G6817" s="23">
        <v>0</v>
      </c>
      <c r="H6817" s="23">
        <v>0</v>
      </c>
      <c r="I6817" s="23">
        <v>1121.8989999999999</v>
      </c>
      <c r="J6817" s="23">
        <v>0</v>
      </c>
      <c r="K6817" s="23">
        <v>0</v>
      </c>
    </row>
    <row r="6818" spans="1:11" x14ac:dyDescent="0.25">
      <c r="A6818">
        <v>6817</v>
      </c>
      <c r="B6818" s="23">
        <v>916.01011530000005</v>
      </c>
      <c r="C6818" s="23">
        <v>0</v>
      </c>
      <c r="D6818" s="23">
        <v>0</v>
      </c>
      <c r="E6818" s="23">
        <v>0</v>
      </c>
      <c r="F6818" s="23">
        <v>0</v>
      </c>
      <c r="G6818" s="23">
        <v>0</v>
      </c>
      <c r="H6818" s="23">
        <v>0</v>
      </c>
      <c r="I6818" s="23">
        <v>916.01</v>
      </c>
      <c r="J6818" s="23">
        <v>0</v>
      </c>
      <c r="K6818" s="23">
        <v>0</v>
      </c>
    </row>
    <row r="6819" spans="1:11" x14ac:dyDescent="0.25">
      <c r="A6819">
        <v>6818</v>
      </c>
      <c r="B6819" s="23">
        <v>1391.4962820000001</v>
      </c>
      <c r="C6819" s="23">
        <v>0</v>
      </c>
      <c r="D6819" s="23">
        <v>0</v>
      </c>
      <c r="E6819" s="23">
        <v>0</v>
      </c>
      <c r="F6819" s="23">
        <v>0</v>
      </c>
      <c r="G6819" s="23">
        <v>0</v>
      </c>
      <c r="H6819" s="23">
        <v>0</v>
      </c>
      <c r="I6819" s="23">
        <v>1391.4960000000001</v>
      </c>
      <c r="J6819" s="23">
        <v>0</v>
      </c>
      <c r="K6819" s="23">
        <v>0</v>
      </c>
    </row>
    <row r="6820" spans="1:11" x14ac:dyDescent="0.25">
      <c r="A6820">
        <v>6819</v>
      </c>
      <c r="B6820" s="23">
        <v>1013.904326</v>
      </c>
      <c r="C6820" s="23">
        <v>0</v>
      </c>
      <c r="D6820" s="23">
        <v>0</v>
      </c>
      <c r="E6820" s="23">
        <v>0</v>
      </c>
      <c r="F6820" s="23">
        <v>0</v>
      </c>
      <c r="G6820" s="23">
        <v>0</v>
      </c>
      <c r="H6820" s="23">
        <v>0</v>
      </c>
      <c r="I6820" s="23">
        <v>1013.904</v>
      </c>
      <c r="J6820" s="23">
        <v>0</v>
      </c>
      <c r="K6820" s="23">
        <v>0</v>
      </c>
    </row>
    <row r="6821" spans="1:11" x14ac:dyDescent="0.25">
      <c r="A6821">
        <v>6820</v>
      </c>
      <c r="B6821" s="23">
        <v>1124.229548</v>
      </c>
      <c r="C6821" s="23">
        <v>0</v>
      </c>
      <c r="D6821" s="23">
        <v>0</v>
      </c>
      <c r="E6821" s="23">
        <v>0</v>
      </c>
      <c r="F6821" s="23">
        <v>0</v>
      </c>
      <c r="G6821" s="23">
        <v>0</v>
      </c>
      <c r="H6821" s="23">
        <v>0</v>
      </c>
      <c r="I6821" s="23">
        <v>1124.23</v>
      </c>
      <c r="J6821" s="23">
        <v>0</v>
      </c>
      <c r="K6821" s="23">
        <v>0</v>
      </c>
    </row>
    <row r="6822" spans="1:11" x14ac:dyDescent="0.25">
      <c r="A6822">
        <v>6821</v>
      </c>
      <c r="B6822" s="23">
        <v>933.10275530000001</v>
      </c>
      <c r="C6822" s="23">
        <v>0</v>
      </c>
      <c r="D6822" s="23">
        <v>0</v>
      </c>
      <c r="E6822" s="23">
        <v>0</v>
      </c>
      <c r="F6822" s="23">
        <v>0</v>
      </c>
      <c r="G6822" s="23">
        <v>0</v>
      </c>
      <c r="H6822" s="23">
        <v>0</v>
      </c>
      <c r="I6822" s="23">
        <v>269.48099999999999</v>
      </c>
      <c r="J6822" s="23">
        <v>0</v>
      </c>
      <c r="K6822" s="23">
        <v>663.62199999999996</v>
      </c>
    </row>
    <row r="6823" spans="1:11" x14ac:dyDescent="0.25">
      <c r="A6823">
        <v>6822</v>
      </c>
      <c r="B6823" s="23">
        <v>828.21610080000005</v>
      </c>
      <c r="C6823" s="23">
        <v>0</v>
      </c>
      <c r="D6823" s="23">
        <v>0</v>
      </c>
      <c r="E6823" s="23">
        <v>0</v>
      </c>
      <c r="F6823" s="23">
        <v>0</v>
      </c>
      <c r="G6823" s="23">
        <v>0</v>
      </c>
      <c r="H6823" s="23">
        <v>0</v>
      </c>
      <c r="I6823" s="23">
        <v>0</v>
      </c>
      <c r="J6823" s="23">
        <v>0</v>
      </c>
      <c r="K6823" s="23">
        <v>828.21600000000001</v>
      </c>
    </row>
    <row r="6824" spans="1:11" x14ac:dyDescent="0.25">
      <c r="A6824">
        <v>6823</v>
      </c>
      <c r="B6824" s="23">
        <v>1121.516091</v>
      </c>
      <c r="C6824" s="23">
        <v>29.39</v>
      </c>
      <c r="D6824" s="23">
        <v>90.013000000000005</v>
      </c>
      <c r="E6824" s="23">
        <v>90.013000000000005</v>
      </c>
      <c r="F6824" s="23">
        <v>0</v>
      </c>
      <c r="G6824" s="23">
        <v>0</v>
      </c>
      <c r="H6824" s="23">
        <v>0</v>
      </c>
      <c r="I6824" s="23">
        <v>0</v>
      </c>
      <c r="J6824" s="23">
        <v>0</v>
      </c>
      <c r="K6824" s="23">
        <v>1031.5029999999999</v>
      </c>
    </row>
    <row r="6825" spans="1:11" x14ac:dyDescent="0.25">
      <c r="A6825">
        <v>6824</v>
      </c>
      <c r="B6825" s="23">
        <v>241.54522460000001</v>
      </c>
      <c r="C6825" s="23">
        <v>124.11</v>
      </c>
      <c r="D6825" s="23">
        <v>472.86900000000003</v>
      </c>
      <c r="E6825" s="23">
        <v>241.54599999999999</v>
      </c>
      <c r="F6825" s="23">
        <v>-231.32300000000001</v>
      </c>
      <c r="G6825" s="23">
        <v>0</v>
      </c>
      <c r="H6825" s="23">
        <v>0</v>
      </c>
      <c r="I6825" s="23">
        <v>0</v>
      </c>
      <c r="J6825" s="23">
        <v>0</v>
      </c>
      <c r="K6825" s="23">
        <v>0</v>
      </c>
    </row>
    <row r="6826" spans="1:11" x14ac:dyDescent="0.25">
      <c r="A6826">
        <v>6825</v>
      </c>
      <c r="B6826" s="23">
        <v>286.40466400000003</v>
      </c>
      <c r="C6826" s="23">
        <v>241.87</v>
      </c>
      <c r="D6826" s="23">
        <v>937.00199999999995</v>
      </c>
      <c r="E6826" s="23">
        <v>286.40499999999997</v>
      </c>
      <c r="F6826" s="23">
        <v>-650.59699999999998</v>
      </c>
      <c r="G6826" s="23">
        <v>0</v>
      </c>
      <c r="H6826" s="23">
        <v>0</v>
      </c>
      <c r="I6826" s="23">
        <v>0</v>
      </c>
      <c r="J6826" s="23">
        <v>0</v>
      </c>
      <c r="K6826" s="23">
        <v>0</v>
      </c>
    </row>
    <row r="6827" spans="1:11" x14ac:dyDescent="0.25">
      <c r="A6827">
        <v>6826</v>
      </c>
      <c r="B6827" s="23">
        <v>227.02133649999999</v>
      </c>
      <c r="C6827" s="23">
        <v>466.31</v>
      </c>
      <c r="D6827" s="23">
        <v>1800.8820000000001</v>
      </c>
      <c r="E6827" s="23">
        <v>227.02099999999999</v>
      </c>
      <c r="F6827" s="23">
        <v>-1573.8610000000001</v>
      </c>
      <c r="G6827" s="23">
        <v>0</v>
      </c>
      <c r="H6827" s="23">
        <v>0</v>
      </c>
      <c r="I6827" s="23">
        <v>0</v>
      </c>
      <c r="J6827" s="23">
        <v>0</v>
      </c>
      <c r="K6827" s="23">
        <v>0</v>
      </c>
    </row>
    <row r="6828" spans="1:11" x14ac:dyDescent="0.25">
      <c r="A6828">
        <v>6827</v>
      </c>
      <c r="B6828" s="23">
        <v>226.70861880000001</v>
      </c>
      <c r="C6828" s="23">
        <v>630.09</v>
      </c>
      <c r="D6828" s="23">
        <v>2402.4659999999999</v>
      </c>
      <c r="E6828" s="23">
        <v>226.709</v>
      </c>
      <c r="F6828" s="23">
        <v>-1684.559</v>
      </c>
      <c r="G6828" s="23">
        <v>0</v>
      </c>
      <c r="H6828" s="23">
        <v>491.19799999999998</v>
      </c>
      <c r="I6828" s="23">
        <v>0</v>
      </c>
      <c r="J6828" s="23">
        <v>0</v>
      </c>
      <c r="K6828" s="23">
        <v>0</v>
      </c>
    </row>
    <row r="6829" spans="1:11" x14ac:dyDescent="0.25">
      <c r="A6829">
        <v>6828</v>
      </c>
      <c r="B6829" s="23">
        <v>265.60991360000003</v>
      </c>
      <c r="C6829" s="23">
        <v>641.32000000000005</v>
      </c>
      <c r="D6829" s="23">
        <v>2436.875</v>
      </c>
      <c r="E6829" s="23">
        <v>265.61</v>
      </c>
      <c r="F6829" s="23">
        <v>-1684.559</v>
      </c>
      <c r="G6829" s="23">
        <v>0</v>
      </c>
      <c r="H6829" s="23">
        <v>486.70600000000002</v>
      </c>
      <c r="I6829" s="23">
        <v>0</v>
      </c>
      <c r="J6829" s="23">
        <v>0</v>
      </c>
      <c r="K6829" s="23">
        <v>0</v>
      </c>
    </row>
    <row r="6830" spans="1:11" x14ac:dyDescent="0.25">
      <c r="A6830">
        <v>6829</v>
      </c>
      <c r="B6830" s="23">
        <v>180.5099323</v>
      </c>
      <c r="C6830" s="23">
        <v>620.14</v>
      </c>
      <c r="D6830" s="23">
        <v>2359.373</v>
      </c>
      <c r="E6830" s="23">
        <v>180.51</v>
      </c>
      <c r="F6830" s="23">
        <v>-1466.5989999999999</v>
      </c>
      <c r="G6830" s="23">
        <v>0</v>
      </c>
      <c r="H6830" s="23">
        <v>712.26400000000001</v>
      </c>
      <c r="I6830" s="23">
        <v>0</v>
      </c>
      <c r="J6830" s="23">
        <v>0</v>
      </c>
      <c r="K6830" s="23">
        <v>0</v>
      </c>
    </row>
    <row r="6831" spans="1:11" x14ac:dyDescent="0.25">
      <c r="A6831">
        <v>6830</v>
      </c>
      <c r="B6831" s="23">
        <v>244.4169823</v>
      </c>
      <c r="C6831" s="23">
        <v>387.58</v>
      </c>
      <c r="D6831" s="23">
        <v>1488.4159999999999</v>
      </c>
      <c r="E6831" s="23">
        <v>244.417</v>
      </c>
      <c r="F6831" s="23">
        <v>0</v>
      </c>
      <c r="G6831" s="23">
        <v>0</v>
      </c>
      <c r="H6831" s="23">
        <v>1243.999</v>
      </c>
      <c r="I6831" s="23">
        <v>0</v>
      </c>
      <c r="J6831" s="23">
        <v>0</v>
      </c>
      <c r="K6831" s="23">
        <v>0</v>
      </c>
    </row>
    <row r="6832" spans="1:11" x14ac:dyDescent="0.25">
      <c r="A6832">
        <v>6831</v>
      </c>
      <c r="B6832" s="23">
        <v>281.78868</v>
      </c>
      <c r="C6832" s="23">
        <v>43.17</v>
      </c>
      <c r="D6832" s="23">
        <v>139.98699999999999</v>
      </c>
      <c r="E6832" s="23">
        <v>139.98699999999999</v>
      </c>
      <c r="F6832" s="23">
        <v>0</v>
      </c>
      <c r="G6832" s="23">
        <v>0</v>
      </c>
      <c r="H6832" s="23">
        <v>0</v>
      </c>
      <c r="I6832" s="23">
        <v>0</v>
      </c>
      <c r="J6832" s="23">
        <v>0</v>
      </c>
      <c r="K6832" s="23">
        <v>141.80199999999999</v>
      </c>
    </row>
    <row r="6833" spans="1:11" x14ac:dyDescent="0.25">
      <c r="A6833">
        <v>6832</v>
      </c>
      <c r="B6833" s="23">
        <v>244.58790870000001</v>
      </c>
      <c r="C6833" s="23">
        <v>32.35</v>
      </c>
      <c r="D6833" s="23">
        <v>100.283</v>
      </c>
      <c r="E6833" s="23">
        <v>100.283</v>
      </c>
      <c r="F6833" s="23">
        <v>0</v>
      </c>
      <c r="G6833" s="23">
        <v>0</v>
      </c>
      <c r="H6833" s="23">
        <v>0</v>
      </c>
      <c r="I6833" s="23">
        <v>0</v>
      </c>
      <c r="J6833" s="23">
        <v>0</v>
      </c>
      <c r="K6833" s="23">
        <v>144.30500000000001</v>
      </c>
    </row>
    <row r="6834" spans="1:11" x14ac:dyDescent="0.25">
      <c r="A6834">
        <v>6833</v>
      </c>
      <c r="B6834" s="23">
        <v>259.57698859999999</v>
      </c>
      <c r="C6834" s="23">
        <v>100.57</v>
      </c>
      <c r="D6834" s="23">
        <v>375.07</v>
      </c>
      <c r="E6834" s="23">
        <v>259.577</v>
      </c>
      <c r="F6834" s="23">
        <v>-115.49299999999999</v>
      </c>
      <c r="G6834" s="23">
        <v>0</v>
      </c>
      <c r="H6834" s="23">
        <v>0</v>
      </c>
      <c r="I6834" s="23">
        <v>0</v>
      </c>
      <c r="J6834" s="23">
        <v>0</v>
      </c>
      <c r="K6834" s="23">
        <v>0</v>
      </c>
    </row>
    <row r="6835" spans="1:11" x14ac:dyDescent="0.25">
      <c r="A6835">
        <v>6834</v>
      </c>
      <c r="B6835" s="23">
        <v>261.39987980000001</v>
      </c>
      <c r="C6835" s="23">
        <v>9.44</v>
      </c>
      <c r="D6835" s="23">
        <v>1.7410000000000001</v>
      </c>
      <c r="E6835" s="23">
        <v>1.7410000000000001</v>
      </c>
      <c r="F6835" s="23">
        <v>0</v>
      </c>
      <c r="G6835" s="23">
        <v>0</v>
      </c>
      <c r="H6835" s="23">
        <v>0</v>
      </c>
      <c r="I6835" s="23">
        <v>0</v>
      </c>
      <c r="J6835" s="23">
        <v>0</v>
      </c>
      <c r="K6835" s="23">
        <v>259.65899999999999</v>
      </c>
    </row>
    <row r="6836" spans="1:11" x14ac:dyDescent="0.25">
      <c r="A6836">
        <v>6835</v>
      </c>
      <c r="B6836" s="23">
        <v>181.0159132</v>
      </c>
      <c r="C6836" s="23">
        <v>0</v>
      </c>
      <c r="D6836" s="23">
        <v>0</v>
      </c>
      <c r="E6836" s="23">
        <v>0</v>
      </c>
      <c r="F6836" s="23">
        <v>0</v>
      </c>
      <c r="G6836" s="23">
        <v>0</v>
      </c>
      <c r="H6836" s="23">
        <v>0</v>
      </c>
      <c r="I6836" s="23">
        <v>0</v>
      </c>
      <c r="J6836" s="23">
        <v>0</v>
      </c>
      <c r="K6836" s="23">
        <v>181.01599999999999</v>
      </c>
    </row>
    <row r="6837" spans="1:11" x14ac:dyDescent="0.25">
      <c r="A6837">
        <v>6836</v>
      </c>
      <c r="B6837" s="23">
        <v>341.85279960000003</v>
      </c>
      <c r="C6837" s="23">
        <v>0</v>
      </c>
      <c r="D6837" s="23">
        <v>0</v>
      </c>
      <c r="E6837" s="23">
        <v>0</v>
      </c>
      <c r="F6837" s="23">
        <v>0</v>
      </c>
      <c r="G6837" s="23">
        <v>0</v>
      </c>
      <c r="H6837" s="23">
        <v>0</v>
      </c>
      <c r="I6837" s="23">
        <v>0</v>
      </c>
      <c r="J6837" s="23">
        <v>0</v>
      </c>
      <c r="K6837" s="23">
        <v>341.85300000000001</v>
      </c>
    </row>
    <row r="6838" spans="1:11" x14ac:dyDescent="0.25">
      <c r="A6838">
        <v>6837</v>
      </c>
      <c r="B6838" s="23">
        <v>203.55780340000001</v>
      </c>
      <c r="C6838" s="23">
        <v>0</v>
      </c>
      <c r="D6838" s="23">
        <v>0</v>
      </c>
      <c r="E6838" s="23">
        <v>0</v>
      </c>
      <c r="F6838" s="23">
        <v>0</v>
      </c>
      <c r="G6838" s="23">
        <v>0</v>
      </c>
      <c r="H6838" s="23">
        <v>0</v>
      </c>
      <c r="I6838" s="23">
        <v>0</v>
      </c>
      <c r="J6838" s="23">
        <v>0</v>
      </c>
      <c r="K6838" s="23">
        <v>203.55799999999999</v>
      </c>
    </row>
    <row r="6839" spans="1:11" x14ac:dyDescent="0.25">
      <c r="A6839">
        <v>6838</v>
      </c>
      <c r="B6839" s="23">
        <v>261.82816700000001</v>
      </c>
      <c r="C6839" s="23">
        <v>0</v>
      </c>
      <c r="D6839" s="23">
        <v>0</v>
      </c>
      <c r="E6839" s="23">
        <v>0</v>
      </c>
      <c r="F6839" s="23">
        <v>0</v>
      </c>
      <c r="G6839" s="23">
        <v>0</v>
      </c>
      <c r="H6839" s="23">
        <v>0</v>
      </c>
      <c r="I6839" s="23">
        <v>0</v>
      </c>
      <c r="J6839" s="23">
        <v>0</v>
      </c>
      <c r="K6839" s="23">
        <v>261.82799999999997</v>
      </c>
    </row>
    <row r="6840" spans="1:11" x14ac:dyDescent="0.25">
      <c r="A6840">
        <v>6839</v>
      </c>
      <c r="B6840" s="23">
        <v>280.47468329999998</v>
      </c>
      <c r="C6840" s="23">
        <v>0</v>
      </c>
      <c r="D6840" s="23">
        <v>0</v>
      </c>
      <c r="E6840" s="23">
        <v>0</v>
      </c>
      <c r="F6840" s="23">
        <v>0</v>
      </c>
      <c r="G6840" s="23">
        <v>0</v>
      </c>
      <c r="H6840" s="23">
        <v>0</v>
      </c>
      <c r="I6840" s="23">
        <v>0</v>
      </c>
      <c r="J6840" s="23">
        <v>0</v>
      </c>
      <c r="K6840" s="23">
        <v>280.47500000000002</v>
      </c>
    </row>
    <row r="6841" spans="1:11" x14ac:dyDescent="0.25">
      <c r="A6841">
        <v>6840</v>
      </c>
      <c r="B6841" s="23">
        <v>239.2969597</v>
      </c>
      <c r="C6841" s="23">
        <v>0</v>
      </c>
      <c r="D6841" s="23">
        <v>0</v>
      </c>
      <c r="E6841" s="23">
        <v>0</v>
      </c>
      <c r="F6841" s="23">
        <v>0</v>
      </c>
      <c r="G6841" s="23">
        <v>0</v>
      </c>
      <c r="H6841" s="23">
        <v>0</v>
      </c>
      <c r="I6841" s="23">
        <v>0</v>
      </c>
      <c r="J6841" s="23">
        <v>0</v>
      </c>
      <c r="K6841" s="23">
        <v>239.297</v>
      </c>
    </row>
    <row r="6842" spans="1:11" x14ac:dyDescent="0.25">
      <c r="A6842">
        <v>6841</v>
      </c>
      <c r="B6842" s="23">
        <v>247.84327970000001</v>
      </c>
      <c r="C6842" s="23">
        <v>0</v>
      </c>
      <c r="D6842" s="23">
        <v>0</v>
      </c>
      <c r="E6842" s="23">
        <v>0</v>
      </c>
      <c r="F6842" s="23">
        <v>0</v>
      </c>
      <c r="G6842" s="23">
        <v>0</v>
      </c>
      <c r="H6842" s="23">
        <v>0</v>
      </c>
      <c r="I6842" s="23">
        <v>0</v>
      </c>
      <c r="J6842" s="23">
        <v>0</v>
      </c>
      <c r="K6842" s="23">
        <v>247.84299999999999</v>
      </c>
    </row>
    <row r="6843" spans="1:11" x14ac:dyDescent="0.25">
      <c r="A6843">
        <v>6842</v>
      </c>
      <c r="B6843" s="23">
        <v>213.6579997</v>
      </c>
      <c r="C6843" s="23">
        <v>0</v>
      </c>
      <c r="D6843" s="23">
        <v>0</v>
      </c>
      <c r="E6843" s="23">
        <v>0</v>
      </c>
      <c r="F6843" s="23">
        <v>0</v>
      </c>
      <c r="G6843" s="23">
        <v>0</v>
      </c>
      <c r="H6843" s="23">
        <v>0</v>
      </c>
      <c r="I6843" s="23">
        <v>0</v>
      </c>
      <c r="J6843" s="23">
        <v>0</v>
      </c>
      <c r="K6843" s="23">
        <v>213.65799999999999</v>
      </c>
    </row>
    <row r="6844" spans="1:11" x14ac:dyDescent="0.25">
      <c r="A6844">
        <v>6843</v>
      </c>
      <c r="B6844" s="23">
        <v>278.9208069</v>
      </c>
      <c r="C6844" s="23">
        <v>0</v>
      </c>
      <c r="D6844" s="23">
        <v>0</v>
      </c>
      <c r="E6844" s="23">
        <v>0</v>
      </c>
      <c r="F6844" s="23">
        <v>0</v>
      </c>
      <c r="G6844" s="23">
        <v>0</v>
      </c>
      <c r="H6844" s="23">
        <v>0</v>
      </c>
      <c r="I6844" s="23">
        <v>0</v>
      </c>
      <c r="J6844" s="23">
        <v>0</v>
      </c>
      <c r="K6844" s="23">
        <v>278.92099999999999</v>
      </c>
    </row>
    <row r="6845" spans="1:11" x14ac:dyDescent="0.25">
      <c r="A6845">
        <v>6844</v>
      </c>
      <c r="B6845" s="23">
        <v>284.35937419999999</v>
      </c>
      <c r="C6845" s="23">
        <v>0</v>
      </c>
      <c r="D6845" s="23">
        <v>0</v>
      </c>
      <c r="E6845" s="23">
        <v>0</v>
      </c>
      <c r="F6845" s="23">
        <v>0</v>
      </c>
      <c r="G6845" s="23">
        <v>0</v>
      </c>
      <c r="H6845" s="23">
        <v>0</v>
      </c>
      <c r="I6845" s="23">
        <v>0</v>
      </c>
      <c r="J6845" s="23">
        <v>0</v>
      </c>
      <c r="K6845" s="23">
        <v>284.35899999999998</v>
      </c>
    </row>
    <row r="6846" spans="1:11" x14ac:dyDescent="0.25">
      <c r="A6846">
        <v>6845</v>
      </c>
      <c r="B6846" s="23">
        <v>227.642887</v>
      </c>
      <c r="C6846" s="23">
        <v>0</v>
      </c>
      <c r="D6846" s="23">
        <v>0</v>
      </c>
      <c r="E6846" s="23">
        <v>0</v>
      </c>
      <c r="F6846" s="23">
        <v>0</v>
      </c>
      <c r="G6846" s="23">
        <v>0</v>
      </c>
      <c r="H6846" s="23">
        <v>0</v>
      </c>
      <c r="I6846" s="23">
        <v>0</v>
      </c>
      <c r="J6846" s="23">
        <v>0</v>
      </c>
      <c r="K6846" s="23">
        <v>227.643</v>
      </c>
    </row>
    <row r="6847" spans="1:11" x14ac:dyDescent="0.25">
      <c r="A6847">
        <v>6846</v>
      </c>
      <c r="B6847" s="23">
        <v>224.53513430000001</v>
      </c>
      <c r="C6847" s="23">
        <v>0</v>
      </c>
      <c r="D6847" s="23">
        <v>0</v>
      </c>
      <c r="E6847" s="23">
        <v>0</v>
      </c>
      <c r="F6847" s="23">
        <v>0</v>
      </c>
      <c r="G6847" s="23">
        <v>0</v>
      </c>
      <c r="H6847" s="23">
        <v>0</v>
      </c>
      <c r="I6847" s="23">
        <v>0</v>
      </c>
      <c r="J6847" s="23">
        <v>0</v>
      </c>
      <c r="K6847" s="23">
        <v>224.535</v>
      </c>
    </row>
    <row r="6848" spans="1:11" x14ac:dyDescent="0.25">
      <c r="A6848">
        <v>6847</v>
      </c>
      <c r="B6848" s="23">
        <v>211.14654709999999</v>
      </c>
      <c r="C6848" s="23">
        <v>63.84</v>
      </c>
      <c r="D6848" s="23">
        <v>214.11</v>
      </c>
      <c r="E6848" s="23">
        <v>211.14599999999999</v>
      </c>
      <c r="F6848" s="23">
        <v>-2.964</v>
      </c>
      <c r="G6848" s="23">
        <v>0</v>
      </c>
      <c r="H6848" s="23">
        <v>0</v>
      </c>
      <c r="I6848" s="23">
        <v>0</v>
      </c>
      <c r="J6848" s="23">
        <v>0</v>
      </c>
      <c r="K6848" s="23">
        <v>0</v>
      </c>
    </row>
    <row r="6849" spans="1:11" x14ac:dyDescent="0.25">
      <c r="A6849">
        <v>6848</v>
      </c>
      <c r="B6849" s="23">
        <v>228.42662340000001</v>
      </c>
      <c r="C6849" s="23">
        <v>394.31</v>
      </c>
      <c r="D6849" s="23">
        <v>1570.5</v>
      </c>
      <c r="E6849" s="23">
        <v>228.42699999999999</v>
      </c>
      <c r="F6849" s="23">
        <v>-1342.0730000000001</v>
      </c>
      <c r="G6849" s="23">
        <v>0</v>
      </c>
      <c r="H6849" s="23">
        <v>0</v>
      </c>
      <c r="I6849" s="23">
        <v>0</v>
      </c>
      <c r="J6849" s="23">
        <v>0</v>
      </c>
      <c r="K6849" s="23">
        <v>0</v>
      </c>
    </row>
    <row r="6850" spans="1:11" x14ac:dyDescent="0.25">
      <c r="A6850">
        <v>6849</v>
      </c>
      <c r="B6850" s="23">
        <v>798.53026409999995</v>
      </c>
      <c r="C6850" s="23">
        <v>287.98</v>
      </c>
      <c r="D6850" s="23">
        <v>1121.146</v>
      </c>
      <c r="E6850" s="23">
        <v>798.53099999999995</v>
      </c>
      <c r="F6850" s="23">
        <v>-322.61500000000001</v>
      </c>
      <c r="G6850" s="23">
        <v>0</v>
      </c>
      <c r="H6850" s="23">
        <v>0</v>
      </c>
      <c r="I6850" s="23">
        <v>0</v>
      </c>
      <c r="J6850" s="23">
        <v>0</v>
      </c>
      <c r="K6850" s="23">
        <v>0</v>
      </c>
    </row>
    <row r="6851" spans="1:11" x14ac:dyDescent="0.25">
      <c r="A6851">
        <v>6850</v>
      </c>
      <c r="B6851" s="23">
        <v>1189.1388480000001</v>
      </c>
      <c r="C6851" s="23">
        <v>485.15</v>
      </c>
      <c r="D6851" s="23">
        <v>1872.7170000000001</v>
      </c>
      <c r="E6851" s="23">
        <v>1189.1389999999999</v>
      </c>
      <c r="F6851" s="23">
        <v>-683.57799999999997</v>
      </c>
      <c r="G6851" s="23">
        <v>0</v>
      </c>
      <c r="H6851" s="23">
        <v>0</v>
      </c>
      <c r="I6851" s="23">
        <v>0</v>
      </c>
      <c r="J6851" s="23">
        <v>0</v>
      </c>
      <c r="K6851" s="23">
        <v>0</v>
      </c>
    </row>
    <row r="6852" spans="1:11" x14ac:dyDescent="0.25">
      <c r="A6852">
        <v>6851</v>
      </c>
      <c r="B6852" s="23">
        <v>1149.784987</v>
      </c>
      <c r="C6852" s="23">
        <v>352.93</v>
      </c>
      <c r="D6852" s="23">
        <v>1347.2249999999999</v>
      </c>
      <c r="E6852" s="23">
        <v>1149.7850000000001</v>
      </c>
      <c r="F6852" s="23">
        <v>-197.44</v>
      </c>
      <c r="G6852" s="23">
        <v>0</v>
      </c>
      <c r="H6852" s="23">
        <v>0</v>
      </c>
      <c r="I6852" s="23">
        <v>0</v>
      </c>
      <c r="J6852" s="23">
        <v>0</v>
      </c>
      <c r="K6852" s="23">
        <v>0</v>
      </c>
    </row>
    <row r="6853" spans="1:11" x14ac:dyDescent="0.25">
      <c r="A6853">
        <v>6852</v>
      </c>
      <c r="B6853" s="23">
        <v>1049.251129</v>
      </c>
      <c r="C6853" s="23">
        <v>496.13</v>
      </c>
      <c r="D6853" s="23">
        <v>1884.0820000000001</v>
      </c>
      <c r="E6853" s="23">
        <v>1049.251</v>
      </c>
      <c r="F6853" s="23">
        <v>-834.83100000000002</v>
      </c>
      <c r="G6853" s="23">
        <v>0</v>
      </c>
      <c r="H6853" s="23">
        <v>0</v>
      </c>
      <c r="I6853" s="23">
        <v>0</v>
      </c>
      <c r="J6853" s="23">
        <v>0</v>
      </c>
      <c r="K6853" s="23">
        <v>0</v>
      </c>
    </row>
    <row r="6854" spans="1:11" x14ac:dyDescent="0.25">
      <c r="A6854">
        <v>6853</v>
      </c>
      <c r="B6854" s="23">
        <v>1004.3509</v>
      </c>
      <c r="C6854" s="23">
        <v>635.54999999999995</v>
      </c>
      <c r="D6854" s="23">
        <v>2406.9079999999999</v>
      </c>
      <c r="E6854" s="23">
        <v>1004.35</v>
      </c>
      <c r="F6854" s="23">
        <v>-430.35</v>
      </c>
      <c r="G6854" s="23">
        <v>0</v>
      </c>
      <c r="H6854" s="23">
        <v>972.20799999999997</v>
      </c>
      <c r="I6854" s="23">
        <v>0</v>
      </c>
      <c r="J6854" s="23">
        <v>0</v>
      </c>
      <c r="K6854" s="23">
        <v>0</v>
      </c>
    </row>
    <row r="6855" spans="1:11" x14ac:dyDescent="0.25">
      <c r="A6855">
        <v>6854</v>
      </c>
      <c r="B6855" s="23">
        <v>1250.2042469999999</v>
      </c>
      <c r="C6855" s="23">
        <v>666.15</v>
      </c>
      <c r="D6855" s="23">
        <v>2536.77</v>
      </c>
      <c r="E6855" s="23">
        <v>1250.204</v>
      </c>
      <c r="F6855" s="23">
        <v>0</v>
      </c>
      <c r="G6855" s="23">
        <v>0</v>
      </c>
      <c r="H6855" s="23">
        <v>1286.566</v>
      </c>
      <c r="I6855" s="23">
        <v>0</v>
      </c>
      <c r="J6855" s="23">
        <v>0</v>
      </c>
      <c r="K6855" s="23">
        <v>0</v>
      </c>
    </row>
    <row r="6856" spans="1:11" x14ac:dyDescent="0.25">
      <c r="A6856">
        <v>6855</v>
      </c>
      <c r="B6856" s="23">
        <v>903.81218579999995</v>
      </c>
      <c r="C6856" s="23">
        <v>441.83</v>
      </c>
      <c r="D6856" s="23">
        <v>1710.011</v>
      </c>
      <c r="E6856" s="23">
        <v>903.81200000000001</v>
      </c>
      <c r="F6856" s="23">
        <v>0</v>
      </c>
      <c r="G6856" s="23">
        <v>0</v>
      </c>
      <c r="H6856" s="23">
        <v>806.19899999999996</v>
      </c>
      <c r="I6856" s="23">
        <v>0</v>
      </c>
      <c r="J6856" s="23">
        <v>0</v>
      </c>
      <c r="K6856" s="23">
        <v>0</v>
      </c>
    </row>
    <row r="6857" spans="1:11" x14ac:dyDescent="0.25">
      <c r="A6857">
        <v>6856</v>
      </c>
      <c r="B6857" s="23">
        <v>1265.998429</v>
      </c>
      <c r="C6857" s="23">
        <v>208.1</v>
      </c>
      <c r="D6857" s="23">
        <v>807.03599999999994</v>
      </c>
      <c r="E6857" s="23">
        <v>807.03599999999994</v>
      </c>
      <c r="F6857" s="23">
        <v>0</v>
      </c>
      <c r="G6857" s="23">
        <v>0</v>
      </c>
      <c r="H6857" s="23">
        <v>0</v>
      </c>
      <c r="I6857" s="23">
        <v>458.96199999999999</v>
      </c>
      <c r="J6857" s="23">
        <v>0</v>
      </c>
      <c r="K6857" s="23">
        <v>0</v>
      </c>
    </row>
    <row r="6858" spans="1:11" x14ac:dyDescent="0.25">
      <c r="A6858">
        <v>6857</v>
      </c>
      <c r="B6858" s="23">
        <v>1338.141024</v>
      </c>
      <c r="C6858" s="23">
        <v>9.7899999999999991</v>
      </c>
      <c r="D6858" s="23">
        <v>14.242000000000001</v>
      </c>
      <c r="E6858" s="23">
        <v>14.242000000000001</v>
      </c>
      <c r="F6858" s="23">
        <v>0</v>
      </c>
      <c r="G6858" s="23">
        <v>0</v>
      </c>
      <c r="H6858" s="23">
        <v>0</v>
      </c>
      <c r="I6858" s="23">
        <v>1323.8989999999999</v>
      </c>
      <c r="J6858" s="23">
        <v>0</v>
      </c>
      <c r="K6858" s="23">
        <v>0</v>
      </c>
    </row>
    <row r="6859" spans="1:11" x14ac:dyDescent="0.25">
      <c r="A6859">
        <v>6858</v>
      </c>
      <c r="B6859" s="23">
        <v>1446.20147</v>
      </c>
      <c r="C6859" s="23">
        <v>6.55</v>
      </c>
      <c r="D6859" s="23">
        <v>0</v>
      </c>
      <c r="E6859" s="23">
        <v>0</v>
      </c>
      <c r="F6859" s="23">
        <v>0</v>
      </c>
      <c r="G6859" s="23">
        <v>0</v>
      </c>
      <c r="H6859" s="23">
        <v>0</v>
      </c>
      <c r="I6859" s="23">
        <v>0</v>
      </c>
      <c r="J6859" s="23">
        <v>0</v>
      </c>
      <c r="K6859" s="23">
        <v>1446.201</v>
      </c>
    </row>
    <row r="6860" spans="1:11" x14ac:dyDescent="0.25">
      <c r="A6860">
        <v>6859</v>
      </c>
      <c r="B6860" s="23">
        <v>1536.916772</v>
      </c>
      <c r="C6860" s="23">
        <v>0</v>
      </c>
      <c r="D6860" s="23">
        <v>0</v>
      </c>
      <c r="E6860" s="23">
        <v>0</v>
      </c>
      <c r="F6860" s="23">
        <v>0</v>
      </c>
      <c r="G6860" s="23">
        <v>0</v>
      </c>
      <c r="H6860" s="23">
        <v>0</v>
      </c>
      <c r="I6860" s="23">
        <v>0</v>
      </c>
      <c r="J6860" s="23">
        <v>0</v>
      </c>
      <c r="K6860" s="23">
        <v>1536.9169999999999</v>
      </c>
    </row>
    <row r="6861" spans="1:11" x14ac:dyDescent="0.25">
      <c r="A6861">
        <v>6860</v>
      </c>
      <c r="B6861" s="23">
        <v>1201.146428</v>
      </c>
      <c r="C6861" s="23">
        <v>0</v>
      </c>
      <c r="D6861" s="23">
        <v>0</v>
      </c>
      <c r="E6861" s="23">
        <v>0</v>
      </c>
      <c r="F6861" s="23">
        <v>0</v>
      </c>
      <c r="G6861" s="23">
        <v>0</v>
      </c>
      <c r="H6861" s="23">
        <v>0</v>
      </c>
      <c r="I6861" s="23">
        <v>0</v>
      </c>
      <c r="J6861" s="23">
        <v>0</v>
      </c>
      <c r="K6861" s="23">
        <v>1201.146</v>
      </c>
    </row>
    <row r="6862" spans="1:11" x14ac:dyDescent="0.25">
      <c r="A6862">
        <v>6861</v>
      </c>
      <c r="B6862" s="23">
        <v>1445.8819550000001</v>
      </c>
      <c r="C6862" s="23">
        <v>0</v>
      </c>
      <c r="D6862" s="23">
        <v>0</v>
      </c>
      <c r="E6862" s="23">
        <v>0</v>
      </c>
      <c r="F6862" s="23">
        <v>0</v>
      </c>
      <c r="G6862" s="23">
        <v>0</v>
      </c>
      <c r="H6862" s="23">
        <v>0</v>
      </c>
      <c r="I6862" s="23">
        <v>1445.8820000000001</v>
      </c>
      <c r="J6862" s="23">
        <v>0</v>
      </c>
      <c r="K6862" s="23">
        <v>0</v>
      </c>
    </row>
    <row r="6863" spans="1:11" x14ac:dyDescent="0.25">
      <c r="A6863">
        <v>6862</v>
      </c>
      <c r="B6863" s="23">
        <v>1395.380973</v>
      </c>
      <c r="C6863" s="23">
        <v>0</v>
      </c>
      <c r="D6863" s="23">
        <v>0</v>
      </c>
      <c r="E6863" s="23">
        <v>0</v>
      </c>
      <c r="F6863" s="23">
        <v>0</v>
      </c>
      <c r="G6863" s="23">
        <v>0</v>
      </c>
      <c r="H6863" s="23">
        <v>0</v>
      </c>
      <c r="I6863" s="23">
        <v>1395.3810000000001</v>
      </c>
      <c r="J6863" s="23">
        <v>0</v>
      </c>
      <c r="K6863" s="23">
        <v>0</v>
      </c>
    </row>
    <row r="6864" spans="1:11" x14ac:dyDescent="0.25">
      <c r="A6864">
        <v>6863</v>
      </c>
      <c r="B6864" s="23">
        <v>1485.5058019999999</v>
      </c>
      <c r="C6864" s="23">
        <v>0</v>
      </c>
      <c r="D6864" s="23">
        <v>0</v>
      </c>
      <c r="E6864" s="23">
        <v>0</v>
      </c>
      <c r="F6864" s="23">
        <v>0</v>
      </c>
      <c r="G6864" s="23">
        <v>0</v>
      </c>
      <c r="H6864" s="23">
        <v>0</v>
      </c>
      <c r="I6864" s="23">
        <v>1485.5060000000001</v>
      </c>
      <c r="J6864" s="23">
        <v>0</v>
      </c>
      <c r="K6864" s="23">
        <v>0</v>
      </c>
    </row>
    <row r="6865" spans="1:11" x14ac:dyDescent="0.25">
      <c r="A6865">
        <v>6864</v>
      </c>
      <c r="B6865" s="23">
        <v>1257.085977</v>
      </c>
      <c r="C6865" s="23">
        <v>0</v>
      </c>
      <c r="D6865" s="23">
        <v>0</v>
      </c>
      <c r="E6865" s="23">
        <v>0</v>
      </c>
      <c r="F6865" s="23">
        <v>0</v>
      </c>
      <c r="G6865" s="23">
        <v>0</v>
      </c>
      <c r="H6865" s="23">
        <v>0</v>
      </c>
      <c r="I6865" s="23">
        <v>1257.086</v>
      </c>
      <c r="J6865" s="23">
        <v>0</v>
      </c>
      <c r="K6865" s="23">
        <v>0</v>
      </c>
    </row>
    <row r="6866" spans="1:11" x14ac:dyDescent="0.25">
      <c r="A6866">
        <v>6865</v>
      </c>
      <c r="B6866" s="23">
        <v>1266.4092350000001</v>
      </c>
      <c r="C6866" s="23">
        <v>0</v>
      </c>
      <c r="D6866" s="23">
        <v>0</v>
      </c>
      <c r="E6866" s="23">
        <v>0</v>
      </c>
      <c r="F6866" s="23">
        <v>0</v>
      </c>
      <c r="G6866" s="23">
        <v>0</v>
      </c>
      <c r="H6866" s="23">
        <v>0</v>
      </c>
      <c r="I6866" s="23">
        <v>1266.4090000000001</v>
      </c>
      <c r="J6866" s="23">
        <v>0</v>
      </c>
      <c r="K6866" s="23">
        <v>0</v>
      </c>
    </row>
    <row r="6867" spans="1:11" x14ac:dyDescent="0.25">
      <c r="A6867">
        <v>6866</v>
      </c>
      <c r="B6867" s="23">
        <v>1198.815613</v>
      </c>
      <c r="C6867" s="23">
        <v>0</v>
      </c>
      <c r="D6867" s="23">
        <v>0</v>
      </c>
      <c r="E6867" s="23">
        <v>0</v>
      </c>
      <c r="F6867" s="23">
        <v>0</v>
      </c>
      <c r="G6867" s="23">
        <v>0</v>
      </c>
      <c r="H6867" s="23">
        <v>0</v>
      </c>
      <c r="I6867" s="23">
        <v>1198.816</v>
      </c>
      <c r="J6867" s="23">
        <v>0</v>
      </c>
      <c r="K6867" s="23">
        <v>0</v>
      </c>
    </row>
    <row r="6868" spans="1:11" x14ac:dyDescent="0.25">
      <c r="A6868">
        <v>6867</v>
      </c>
      <c r="B6868" s="23">
        <v>1652.547511</v>
      </c>
      <c r="C6868" s="23">
        <v>0</v>
      </c>
      <c r="D6868" s="23">
        <v>0</v>
      </c>
      <c r="E6868" s="23">
        <v>0</v>
      </c>
      <c r="F6868" s="23">
        <v>0</v>
      </c>
      <c r="G6868" s="23">
        <v>0</v>
      </c>
      <c r="H6868" s="23">
        <v>0</v>
      </c>
      <c r="I6868" s="23">
        <v>1652.548</v>
      </c>
      <c r="J6868" s="23">
        <v>0</v>
      </c>
      <c r="K6868" s="23">
        <v>0</v>
      </c>
    </row>
    <row r="6869" spans="1:11" x14ac:dyDescent="0.25">
      <c r="A6869">
        <v>6868</v>
      </c>
      <c r="B6869" s="23">
        <v>1262.5245440000001</v>
      </c>
      <c r="C6869" s="23">
        <v>0</v>
      </c>
      <c r="D6869" s="23">
        <v>0</v>
      </c>
      <c r="E6869" s="23">
        <v>0</v>
      </c>
      <c r="F6869" s="23">
        <v>0</v>
      </c>
      <c r="G6869" s="23">
        <v>0</v>
      </c>
      <c r="H6869" s="23">
        <v>0</v>
      </c>
      <c r="I6869" s="23">
        <v>1262.5250000000001</v>
      </c>
      <c r="J6869" s="23">
        <v>0</v>
      </c>
      <c r="K6869" s="23">
        <v>0</v>
      </c>
    </row>
    <row r="6870" spans="1:11" x14ac:dyDescent="0.25">
      <c r="A6870">
        <v>6869</v>
      </c>
      <c r="B6870" s="23">
        <v>1325.456537</v>
      </c>
      <c r="C6870" s="23">
        <v>0</v>
      </c>
      <c r="D6870" s="23">
        <v>0</v>
      </c>
      <c r="E6870" s="23">
        <v>0</v>
      </c>
      <c r="F6870" s="23">
        <v>0</v>
      </c>
      <c r="G6870" s="23">
        <v>0</v>
      </c>
      <c r="H6870" s="23">
        <v>0</v>
      </c>
      <c r="I6870" s="23">
        <v>1325.4570000000001</v>
      </c>
      <c r="J6870" s="23">
        <v>0</v>
      </c>
      <c r="K6870" s="23">
        <v>0</v>
      </c>
    </row>
    <row r="6871" spans="1:11" x14ac:dyDescent="0.25">
      <c r="A6871">
        <v>6870</v>
      </c>
      <c r="B6871" s="23">
        <v>1463.7515330000001</v>
      </c>
      <c r="C6871" s="23">
        <v>0</v>
      </c>
      <c r="D6871" s="23">
        <v>0</v>
      </c>
      <c r="E6871" s="23">
        <v>0</v>
      </c>
      <c r="F6871" s="23">
        <v>0</v>
      </c>
      <c r="G6871" s="23">
        <v>0</v>
      </c>
      <c r="H6871" s="23">
        <v>0</v>
      </c>
      <c r="I6871" s="23">
        <v>1463.752</v>
      </c>
      <c r="J6871" s="23">
        <v>0</v>
      </c>
      <c r="K6871" s="23">
        <v>0</v>
      </c>
    </row>
    <row r="6872" spans="1:11" x14ac:dyDescent="0.25">
      <c r="A6872">
        <v>6871</v>
      </c>
      <c r="B6872" s="23">
        <v>1647.1089440000001</v>
      </c>
      <c r="C6872" s="23">
        <v>133.93</v>
      </c>
      <c r="D6872" s="23">
        <v>452.63400000000001</v>
      </c>
      <c r="E6872" s="23">
        <v>0</v>
      </c>
      <c r="F6872" s="23">
        <v>-452.63400000000001</v>
      </c>
      <c r="G6872" s="23">
        <v>0</v>
      </c>
      <c r="H6872" s="23">
        <v>0</v>
      </c>
      <c r="I6872" s="23">
        <v>1647.1089999999999</v>
      </c>
      <c r="J6872" s="23">
        <v>0</v>
      </c>
      <c r="K6872" s="23">
        <v>0</v>
      </c>
    </row>
    <row r="6873" spans="1:11" x14ac:dyDescent="0.25">
      <c r="A6873">
        <v>6872</v>
      </c>
      <c r="B6873" s="23">
        <v>1347.642006</v>
      </c>
      <c r="C6873" s="23">
        <v>289.23</v>
      </c>
      <c r="D6873" s="23">
        <v>1136.896</v>
      </c>
      <c r="E6873" s="23">
        <v>219.84399999999999</v>
      </c>
      <c r="F6873" s="23">
        <v>-917.05200000000002</v>
      </c>
      <c r="G6873" s="23">
        <v>0</v>
      </c>
      <c r="H6873" s="23">
        <v>0</v>
      </c>
      <c r="I6873" s="23">
        <v>1127.798</v>
      </c>
      <c r="J6873" s="23">
        <v>0</v>
      </c>
      <c r="K6873" s="23">
        <v>0</v>
      </c>
    </row>
    <row r="6874" spans="1:11" x14ac:dyDescent="0.25">
      <c r="A6874">
        <v>6873</v>
      </c>
      <c r="B6874" s="23">
        <v>1537.375166</v>
      </c>
      <c r="C6874" s="23">
        <v>332.34</v>
      </c>
      <c r="D6874" s="23">
        <v>1282.1110000000001</v>
      </c>
      <c r="E6874" s="23">
        <v>1282.1110000000001</v>
      </c>
      <c r="F6874" s="23">
        <v>0</v>
      </c>
      <c r="G6874" s="23">
        <v>0</v>
      </c>
      <c r="H6874" s="23">
        <v>0</v>
      </c>
      <c r="I6874" s="23">
        <v>255.26499999999999</v>
      </c>
      <c r="J6874" s="23">
        <v>0</v>
      </c>
      <c r="K6874" s="23">
        <v>0</v>
      </c>
    </row>
    <row r="6875" spans="1:11" x14ac:dyDescent="0.25">
      <c r="A6875">
        <v>6874</v>
      </c>
      <c r="B6875" s="23">
        <v>2055.255936</v>
      </c>
      <c r="C6875" s="23">
        <v>580.22</v>
      </c>
      <c r="D6875" s="23">
        <v>2186.9969999999998</v>
      </c>
      <c r="E6875" s="23">
        <v>2055.2559999999999</v>
      </c>
      <c r="F6875" s="23">
        <v>-131.74100000000001</v>
      </c>
      <c r="G6875" s="23">
        <v>0</v>
      </c>
      <c r="H6875" s="23">
        <v>0</v>
      </c>
      <c r="I6875" s="23">
        <v>0</v>
      </c>
      <c r="J6875" s="23">
        <v>0</v>
      </c>
      <c r="K6875" s="23">
        <v>0</v>
      </c>
    </row>
    <row r="6876" spans="1:11" x14ac:dyDescent="0.25">
      <c r="A6876">
        <v>6875</v>
      </c>
      <c r="B6876" s="23">
        <v>1950.167277</v>
      </c>
      <c r="C6876" s="23">
        <v>604.51</v>
      </c>
      <c r="D6876" s="23">
        <v>2258.098</v>
      </c>
      <c r="E6876" s="23">
        <v>1950.1669999999999</v>
      </c>
      <c r="F6876" s="23">
        <v>-307.93099999999998</v>
      </c>
      <c r="G6876" s="23">
        <v>0</v>
      </c>
      <c r="H6876" s="23">
        <v>0</v>
      </c>
      <c r="I6876" s="23">
        <v>0</v>
      </c>
      <c r="J6876" s="23">
        <v>0</v>
      </c>
      <c r="K6876" s="23">
        <v>0</v>
      </c>
    </row>
    <row r="6877" spans="1:11" x14ac:dyDescent="0.25">
      <c r="A6877">
        <v>6876</v>
      </c>
      <c r="B6877" s="23">
        <v>1632.941476</v>
      </c>
      <c r="C6877" s="23">
        <v>632.58000000000004</v>
      </c>
      <c r="D6877" s="23">
        <v>2357.7460000000001</v>
      </c>
      <c r="E6877" s="23">
        <v>1632.942</v>
      </c>
      <c r="F6877" s="23">
        <v>-724.80399999999997</v>
      </c>
      <c r="G6877" s="23">
        <v>0</v>
      </c>
      <c r="H6877" s="23">
        <v>0</v>
      </c>
      <c r="I6877" s="23">
        <v>0</v>
      </c>
      <c r="J6877" s="23">
        <v>0</v>
      </c>
      <c r="K6877" s="23">
        <v>0</v>
      </c>
    </row>
    <row r="6878" spans="1:11" x14ac:dyDescent="0.25">
      <c r="A6878">
        <v>6877</v>
      </c>
      <c r="B6878" s="23">
        <v>1578.924849</v>
      </c>
      <c r="C6878" s="23">
        <v>605.95000000000005</v>
      </c>
      <c r="D6878" s="23">
        <v>2266.2399999999998</v>
      </c>
      <c r="E6878" s="23">
        <v>1578.925</v>
      </c>
      <c r="F6878" s="23">
        <v>-687.31500000000005</v>
      </c>
      <c r="G6878" s="23">
        <v>0</v>
      </c>
      <c r="H6878" s="23">
        <v>0</v>
      </c>
      <c r="I6878" s="23">
        <v>0</v>
      </c>
      <c r="J6878" s="23">
        <v>0</v>
      </c>
      <c r="K6878" s="23">
        <v>0</v>
      </c>
    </row>
    <row r="6879" spans="1:11" x14ac:dyDescent="0.25">
      <c r="A6879">
        <v>6878</v>
      </c>
      <c r="B6879" s="23">
        <v>1500.0918449999999</v>
      </c>
      <c r="C6879" s="23">
        <v>588.25</v>
      </c>
      <c r="D6879" s="23">
        <v>2225.7559999999999</v>
      </c>
      <c r="E6879" s="23">
        <v>1500.0920000000001</v>
      </c>
      <c r="F6879" s="23">
        <v>-725.66399999999999</v>
      </c>
      <c r="G6879" s="23">
        <v>0</v>
      </c>
      <c r="H6879" s="23">
        <v>0</v>
      </c>
      <c r="I6879" s="23">
        <v>0</v>
      </c>
      <c r="J6879" s="23">
        <v>0</v>
      </c>
      <c r="K6879" s="23">
        <v>0</v>
      </c>
    </row>
    <row r="6880" spans="1:11" x14ac:dyDescent="0.25">
      <c r="A6880">
        <v>6879</v>
      </c>
      <c r="B6880" s="23">
        <v>1560.43372</v>
      </c>
      <c r="C6880" s="23">
        <v>469.9</v>
      </c>
      <c r="D6880" s="23">
        <v>1811.5129999999999</v>
      </c>
      <c r="E6880" s="23">
        <v>1560.433</v>
      </c>
      <c r="F6880" s="23">
        <v>-251.08</v>
      </c>
      <c r="G6880" s="23">
        <v>0</v>
      </c>
      <c r="H6880" s="23">
        <v>0</v>
      </c>
      <c r="I6880" s="23">
        <v>0</v>
      </c>
      <c r="J6880" s="23">
        <v>0</v>
      </c>
      <c r="K6880" s="23">
        <v>0</v>
      </c>
    </row>
    <row r="6881" spans="1:11" x14ac:dyDescent="0.25">
      <c r="A6881">
        <v>6880</v>
      </c>
      <c r="B6881" s="23">
        <v>1354.962706</v>
      </c>
      <c r="C6881" s="23">
        <v>237.27</v>
      </c>
      <c r="D6881" s="23">
        <v>922.71299999999997</v>
      </c>
      <c r="E6881" s="23">
        <v>922.71299999999997</v>
      </c>
      <c r="F6881" s="23">
        <v>0</v>
      </c>
      <c r="G6881" s="23">
        <v>0</v>
      </c>
      <c r="H6881" s="23">
        <v>0</v>
      </c>
      <c r="I6881" s="23">
        <v>432.24900000000002</v>
      </c>
      <c r="J6881" s="23">
        <v>0</v>
      </c>
      <c r="K6881" s="23">
        <v>0</v>
      </c>
    </row>
    <row r="6882" spans="1:11" x14ac:dyDescent="0.25">
      <c r="A6882">
        <v>6881</v>
      </c>
      <c r="B6882" s="23">
        <v>1401.9868899999999</v>
      </c>
      <c r="C6882" s="23">
        <v>135.36000000000001</v>
      </c>
      <c r="D6882" s="23">
        <v>504.63799999999998</v>
      </c>
      <c r="E6882" s="23">
        <v>504.63799999999998</v>
      </c>
      <c r="F6882" s="23">
        <v>0</v>
      </c>
      <c r="G6882" s="23">
        <v>0</v>
      </c>
      <c r="H6882" s="23">
        <v>0</v>
      </c>
      <c r="I6882" s="23">
        <v>897.34900000000005</v>
      </c>
      <c r="J6882" s="23">
        <v>0</v>
      </c>
      <c r="K6882" s="23">
        <v>0</v>
      </c>
    </row>
    <row r="6883" spans="1:11" x14ac:dyDescent="0.25">
      <c r="A6883">
        <v>6882</v>
      </c>
      <c r="B6883" s="23">
        <v>1511.5332309999999</v>
      </c>
      <c r="C6883" s="23">
        <v>9.14</v>
      </c>
      <c r="D6883" s="23">
        <v>0</v>
      </c>
      <c r="E6883" s="23">
        <v>0</v>
      </c>
      <c r="F6883" s="23">
        <v>0</v>
      </c>
      <c r="G6883" s="23">
        <v>0</v>
      </c>
      <c r="H6883" s="23">
        <v>0</v>
      </c>
      <c r="I6883" s="23">
        <v>0</v>
      </c>
      <c r="J6883" s="23">
        <v>0</v>
      </c>
      <c r="K6883" s="23">
        <v>1511.5329999999999</v>
      </c>
    </row>
    <row r="6884" spans="1:11" x14ac:dyDescent="0.25">
      <c r="A6884">
        <v>6883</v>
      </c>
      <c r="B6884" s="23">
        <v>1511.251591</v>
      </c>
      <c r="C6884" s="23">
        <v>0</v>
      </c>
      <c r="D6884" s="23">
        <v>0</v>
      </c>
      <c r="E6884" s="23">
        <v>0</v>
      </c>
      <c r="F6884" s="23">
        <v>0</v>
      </c>
      <c r="G6884" s="23">
        <v>0</v>
      </c>
      <c r="H6884" s="23">
        <v>0</v>
      </c>
      <c r="I6884" s="23">
        <v>0</v>
      </c>
      <c r="J6884" s="23">
        <v>0</v>
      </c>
      <c r="K6884" s="23">
        <v>1511.252</v>
      </c>
    </row>
    <row r="6885" spans="1:11" x14ac:dyDescent="0.25">
      <c r="A6885">
        <v>6884</v>
      </c>
      <c r="B6885" s="23">
        <v>1042.6510390000001</v>
      </c>
      <c r="C6885" s="23">
        <v>0</v>
      </c>
      <c r="D6885" s="23">
        <v>0</v>
      </c>
      <c r="E6885" s="23">
        <v>0</v>
      </c>
      <c r="F6885" s="23">
        <v>0</v>
      </c>
      <c r="G6885" s="23">
        <v>0</v>
      </c>
      <c r="H6885" s="23">
        <v>0</v>
      </c>
      <c r="I6885" s="23">
        <v>0</v>
      </c>
      <c r="J6885" s="23">
        <v>0</v>
      </c>
      <c r="K6885" s="23">
        <v>1042.6510000000001</v>
      </c>
    </row>
    <row r="6886" spans="1:11" x14ac:dyDescent="0.25">
      <c r="A6886">
        <v>6885</v>
      </c>
      <c r="B6886" s="23">
        <v>1417.1352420000001</v>
      </c>
      <c r="C6886" s="23">
        <v>0</v>
      </c>
      <c r="D6886" s="23">
        <v>0</v>
      </c>
      <c r="E6886" s="23">
        <v>0</v>
      </c>
      <c r="F6886" s="23">
        <v>0</v>
      </c>
      <c r="G6886" s="23">
        <v>0</v>
      </c>
      <c r="H6886" s="23">
        <v>0</v>
      </c>
      <c r="I6886" s="23">
        <v>1417.135</v>
      </c>
      <c r="J6886" s="23">
        <v>0</v>
      </c>
      <c r="K6886" s="23">
        <v>0</v>
      </c>
    </row>
    <row r="6887" spans="1:11" x14ac:dyDescent="0.25">
      <c r="A6887">
        <v>6886</v>
      </c>
      <c r="B6887" s="23">
        <v>1734.1260199999999</v>
      </c>
      <c r="C6887" s="23">
        <v>0</v>
      </c>
      <c r="D6887" s="23">
        <v>0</v>
      </c>
      <c r="E6887" s="23">
        <v>0</v>
      </c>
      <c r="F6887" s="23">
        <v>0</v>
      </c>
      <c r="G6887" s="23">
        <v>0</v>
      </c>
      <c r="H6887" s="23">
        <v>0</v>
      </c>
      <c r="I6887" s="23">
        <v>1734.126</v>
      </c>
      <c r="J6887" s="23">
        <v>0</v>
      </c>
      <c r="K6887" s="23">
        <v>0</v>
      </c>
    </row>
    <row r="6888" spans="1:11" x14ac:dyDescent="0.25">
      <c r="A6888">
        <v>6887</v>
      </c>
      <c r="B6888" s="23">
        <v>1786.9578160000001</v>
      </c>
      <c r="C6888" s="23">
        <v>0</v>
      </c>
      <c r="D6888" s="23">
        <v>0</v>
      </c>
      <c r="E6888" s="23">
        <v>0</v>
      </c>
      <c r="F6888" s="23">
        <v>0</v>
      </c>
      <c r="G6888" s="23">
        <v>0</v>
      </c>
      <c r="H6888" s="23">
        <v>0</v>
      </c>
      <c r="I6888" s="23">
        <v>1786.9580000000001</v>
      </c>
      <c r="J6888" s="23">
        <v>0</v>
      </c>
      <c r="K6888" s="23">
        <v>0</v>
      </c>
    </row>
    <row r="6889" spans="1:11" x14ac:dyDescent="0.25">
      <c r="A6889">
        <v>6888</v>
      </c>
      <c r="B6889" s="23">
        <v>1498.713751</v>
      </c>
      <c r="C6889" s="23">
        <v>0</v>
      </c>
      <c r="D6889" s="23">
        <v>0</v>
      </c>
      <c r="E6889" s="23">
        <v>0</v>
      </c>
      <c r="F6889" s="23">
        <v>0</v>
      </c>
      <c r="G6889" s="23">
        <v>0</v>
      </c>
      <c r="H6889" s="23">
        <v>0</v>
      </c>
      <c r="I6889" s="23">
        <v>1498.7139999999999</v>
      </c>
      <c r="J6889" s="23">
        <v>0</v>
      </c>
      <c r="K6889" s="23">
        <v>0</v>
      </c>
    </row>
    <row r="6890" spans="1:11" x14ac:dyDescent="0.25">
      <c r="A6890">
        <v>6889</v>
      </c>
      <c r="B6890" s="23">
        <v>1306.0330819999999</v>
      </c>
      <c r="C6890" s="23">
        <v>0</v>
      </c>
      <c r="D6890" s="23">
        <v>0</v>
      </c>
      <c r="E6890" s="23">
        <v>0</v>
      </c>
      <c r="F6890" s="23">
        <v>0</v>
      </c>
      <c r="G6890" s="23">
        <v>0</v>
      </c>
      <c r="H6890" s="23">
        <v>0</v>
      </c>
      <c r="I6890" s="23">
        <v>1306.0329999999999</v>
      </c>
      <c r="J6890" s="23">
        <v>0</v>
      </c>
      <c r="K6890" s="23">
        <v>0</v>
      </c>
    </row>
    <row r="6891" spans="1:11" x14ac:dyDescent="0.25">
      <c r="A6891">
        <v>6890</v>
      </c>
      <c r="B6891" s="23">
        <v>1539.8914749999999</v>
      </c>
      <c r="C6891" s="23">
        <v>0</v>
      </c>
      <c r="D6891" s="23">
        <v>0</v>
      </c>
      <c r="E6891" s="23">
        <v>0</v>
      </c>
      <c r="F6891" s="23">
        <v>0</v>
      </c>
      <c r="G6891" s="23">
        <v>0</v>
      </c>
      <c r="H6891" s="23">
        <v>0</v>
      </c>
      <c r="I6891" s="23">
        <v>1539.8910000000001</v>
      </c>
      <c r="J6891" s="23">
        <v>0</v>
      </c>
      <c r="K6891" s="23">
        <v>0</v>
      </c>
    </row>
    <row r="6892" spans="1:11" x14ac:dyDescent="0.25">
      <c r="A6892">
        <v>6891</v>
      </c>
      <c r="B6892" s="23">
        <v>1354.9801869999999</v>
      </c>
      <c r="C6892" s="23">
        <v>0</v>
      </c>
      <c r="D6892" s="23">
        <v>0</v>
      </c>
      <c r="E6892" s="23">
        <v>0</v>
      </c>
      <c r="F6892" s="23">
        <v>0</v>
      </c>
      <c r="G6892" s="23">
        <v>0</v>
      </c>
      <c r="H6892" s="23">
        <v>0</v>
      </c>
      <c r="I6892" s="23">
        <v>1354.98</v>
      </c>
      <c r="J6892" s="23">
        <v>0</v>
      </c>
      <c r="K6892" s="23">
        <v>0</v>
      </c>
    </row>
    <row r="6893" spans="1:11" x14ac:dyDescent="0.25">
      <c r="A6893">
        <v>6892</v>
      </c>
      <c r="B6893" s="23">
        <v>1587.2847039999999</v>
      </c>
      <c r="C6893" s="23">
        <v>0</v>
      </c>
      <c r="D6893" s="23">
        <v>0</v>
      </c>
      <c r="E6893" s="23">
        <v>0</v>
      </c>
      <c r="F6893" s="23">
        <v>0</v>
      </c>
      <c r="G6893" s="23">
        <v>0</v>
      </c>
      <c r="H6893" s="23">
        <v>0</v>
      </c>
      <c r="I6893" s="23">
        <v>1587.2850000000001</v>
      </c>
      <c r="J6893" s="23">
        <v>0</v>
      </c>
      <c r="K6893" s="23">
        <v>0</v>
      </c>
    </row>
    <row r="6894" spans="1:11" x14ac:dyDescent="0.25">
      <c r="A6894">
        <v>6893</v>
      </c>
      <c r="B6894" s="23">
        <v>1386.8346529999999</v>
      </c>
      <c r="C6894" s="23">
        <v>0</v>
      </c>
      <c r="D6894" s="23">
        <v>0</v>
      </c>
      <c r="E6894" s="23">
        <v>0</v>
      </c>
      <c r="F6894" s="23">
        <v>0</v>
      </c>
      <c r="G6894" s="23">
        <v>0</v>
      </c>
      <c r="H6894" s="23">
        <v>0</v>
      </c>
      <c r="I6894" s="23">
        <v>1386.835</v>
      </c>
      <c r="J6894" s="23">
        <v>0</v>
      </c>
      <c r="K6894" s="23">
        <v>0</v>
      </c>
    </row>
    <row r="6895" spans="1:11" x14ac:dyDescent="0.25">
      <c r="A6895">
        <v>6894</v>
      </c>
      <c r="B6895" s="23">
        <v>1682.8480999999999</v>
      </c>
      <c r="C6895" s="23">
        <v>0</v>
      </c>
      <c r="D6895" s="23">
        <v>0</v>
      </c>
      <c r="E6895" s="23">
        <v>0</v>
      </c>
      <c r="F6895" s="23">
        <v>0</v>
      </c>
      <c r="G6895" s="23">
        <v>0</v>
      </c>
      <c r="H6895" s="23">
        <v>0</v>
      </c>
      <c r="I6895" s="23">
        <v>1682.848</v>
      </c>
      <c r="J6895" s="23">
        <v>0</v>
      </c>
      <c r="K6895" s="23">
        <v>0</v>
      </c>
    </row>
    <row r="6896" spans="1:11" x14ac:dyDescent="0.25">
      <c r="A6896">
        <v>6895</v>
      </c>
      <c r="B6896" s="23">
        <v>1314.5968829999999</v>
      </c>
      <c r="C6896" s="23">
        <v>83.6</v>
      </c>
      <c r="D6896" s="23">
        <v>288.88499999999999</v>
      </c>
      <c r="E6896" s="23">
        <v>288.88499999999999</v>
      </c>
      <c r="F6896" s="23">
        <v>0</v>
      </c>
      <c r="G6896" s="23">
        <v>0</v>
      </c>
      <c r="H6896" s="23">
        <v>0</v>
      </c>
      <c r="I6896" s="23">
        <v>1025.712</v>
      </c>
      <c r="J6896" s="23">
        <v>0</v>
      </c>
      <c r="K6896" s="23">
        <v>0</v>
      </c>
    </row>
    <row r="6897" spans="1:11" x14ac:dyDescent="0.25">
      <c r="A6897">
        <v>6896</v>
      </c>
      <c r="B6897" s="23">
        <v>1491.5814580000001</v>
      </c>
      <c r="C6897" s="23">
        <v>236.77</v>
      </c>
      <c r="D6897" s="23">
        <v>937.38400000000001</v>
      </c>
      <c r="E6897" s="23">
        <v>937.38400000000001</v>
      </c>
      <c r="F6897" s="23">
        <v>0</v>
      </c>
      <c r="G6897" s="23">
        <v>0</v>
      </c>
      <c r="H6897" s="23">
        <v>0</v>
      </c>
      <c r="I6897" s="23">
        <v>554.197</v>
      </c>
      <c r="J6897" s="23">
        <v>0</v>
      </c>
      <c r="K6897" s="23">
        <v>0</v>
      </c>
    </row>
    <row r="6898" spans="1:11" x14ac:dyDescent="0.25">
      <c r="A6898">
        <v>6897</v>
      </c>
      <c r="B6898" s="23">
        <v>1238.8415259999999</v>
      </c>
      <c r="C6898" s="23">
        <v>361.64</v>
      </c>
      <c r="D6898" s="23">
        <v>1424.376</v>
      </c>
      <c r="E6898" s="23">
        <v>1238.8420000000001</v>
      </c>
      <c r="F6898" s="23">
        <v>-185.53399999999999</v>
      </c>
      <c r="G6898" s="23">
        <v>0</v>
      </c>
      <c r="H6898" s="23">
        <v>0</v>
      </c>
      <c r="I6898" s="23">
        <v>0</v>
      </c>
      <c r="J6898" s="23">
        <v>0</v>
      </c>
      <c r="K6898" s="23">
        <v>0</v>
      </c>
    </row>
    <row r="6899" spans="1:11" x14ac:dyDescent="0.25">
      <c r="A6899">
        <v>6898</v>
      </c>
      <c r="B6899" s="23">
        <v>1931.01478</v>
      </c>
      <c r="C6899" s="23">
        <v>566.73</v>
      </c>
      <c r="D6899" s="23">
        <v>2201.828</v>
      </c>
      <c r="E6899" s="23">
        <v>1931.0150000000001</v>
      </c>
      <c r="F6899" s="23">
        <v>-270.81299999999999</v>
      </c>
      <c r="G6899" s="23">
        <v>0</v>
      </c>
      <c r="H6899" s="23">
        <v>0</v>
      </c>
      <c r="I6899" s="23">
        <v>0</v>
      </c>
      <c r="J6899" s="23">
        <v>0</v>
      </c>
      <c r="K6899" s="23">
        <v>0</v>
      </c>
    </row>
    <row r="6900" spans="1:11" x14ac:dyDescent="0.25">
      <c r="A6900">
        <v>6899</v>
      </c>
      <c r="B6900" s="23">
        <v>1849.8422210000001</v>
      </c>
      <c r="C6900" s="23">
        <v>498.25</v>
      </c>
      <c r="D6900" s="23">
        <v>1918.847</v>
      </c>
      <c r="E6900" s="23">
        <v>1849.8420000000001</v>
      </c>
      <c r="F6900" s="23">
        <v>-69.004999999999995</v>
      </c>
      <c r="G6900" s="23">
        <v>0</v>
      </c>
      <c r="H6900" s="23">
        <v>0</v>
      </c>
      <c r="I6900" s="23">
        <v>0</v>
      </c>
      <c r="J6900" s="23">
        <v>0</v>
      </c>
      <c r="K6900" s="23">
        <v>0</v>
      </c>
    </row>
    <row r="6901" spans="1:11" x14ac:dyDescent="0.25">
      <c r="A6901">
        <v>6900</v>
      </c>
      <c r="B6901" s="23">
        <v>1624.0727260000001</v>
      </c>
      <c r="C6901" s="23">
        <v>848.19</v>
      </c>
      <c r="D6901" s="23">
        <v>3192.2689999999998</v>
      </c>
      <c r="E6901" s="23">
        <v>1624.0719999999999</v>
      </c>
      <c r="F6901" s="23">
        <v>-1568.1969999999999</v>
      </c>
      <c r="G6901" s="23">
        <v>0</v>
      </c>
      <c r="H6901" s="23">
        <v>0</v>
      </c>
      <c r="I6901" s="23">
        <v>0</v>
      </c>
      <c r="J6901" s="23">
        <v>0</v>
      </c>
      <c r="K6901" s="23">
        <v>0</v>
      </c>
    </row>
    <row r="6902" spans="1:11" x14ac:dyDescent="0.25">
      <c r="A6902">
        <v>6901</v>
      </c>
      <c r="B6902" s="23">
        <v>1805.685911</v>
      </c>
      <c r="C6902" s="23">
        <v>681.81</v>
      </c>
      <c r="D6902" s="23">
        <v>2592.9580000000001</v>
      </c>
      <c r="E6902" s="23">
        <v>1805.6849999999999</v>
      </c>
      <c r="F6902" s="23">
        <v>-787.27300000000002</v>
      </c>
      <c r="G6902" s="23">
        <v>0</v>
      </c>
      <c r="H6902" s="23">
        <v>0</v>
      </c>
      <c r="I6902" s="23">
        <v>0</v>
      </c>
      <c r="J6902" s="23">
        <v>0</v>
      </c>
      <c r="K6902" s="23">
        <v>0</v>
      </c>
    </row>
    <row r="6903" spans="1:11" x14ac:dyDescent="0.25">
      <c r="A6903">
        <v>6902</v>
      </c>
      <c r="B6903" s="23">
        <v>1579.4376279999999</v>
      </c>
      <c r="C6903" s="23">
        <v>655.97</v>
      </c>
      <c r="D6903" s="23">
        <v>2510.9259999999999</v>
      </c>
      <c r="E6903" s="23">
        <v>1579.4369999999999</v>
      </c>
      <c r="F6903" s="23">
        <v>-931.48900000000003</v>
      </c>
      <c r="G6903" s="23">
        <v>0</v>
      </c>
      <c r="H6903" s="23">
        <v>0</v>
      </c>
      <c r="I6903" s="23">
        <v>0</v>
      </c>
      <c r="J6903" s="23">
        <v>0</v>
      </c>
      <c r="K6903" s="23">
        <v>0</v>
      </c>
    </row>
    <row r="6904" spans="1:11" x14ac:dyDescent="0.25">
      <c r="A6904">
        <v>6903</v>
      </c>
      <c r="B6904" s="23">
        <v>1451.8731190000001</v>
      </c>
      <c r="C6904" s="23">
        <v>500.53</v>
      </c>
      <c r="D6904" s="23">
        <v>1951.826</v>
      </c>
      <c r="E6904" s="23">
        <v>1451.873</v>
      </c>
      <c r="F6904" s="23">
        <v>-499.95299999999997</v>
      </c>
      <c r="G6904" s="23">
        <v>0</v>
      </c>
      <c r="H6904" s="23">
        <v>0</v>
      </c>
      <c r="I6904" s="23">
        <v>0</v>
      </c>
      <c r="J6904" s="23">
        <v>0</v>
      </c>
      <c r="K6904" s="23">
        <v>0</v>
      </c>
    </row>
    <row r="6905" spans="1:11" x14ac:dyDescent="0.25">
      <c r="A6905">
        <v>6904</v>
      </c>
      <c r="B6905" s="23">
        <v>1128.7455010000001</v>
      </c>
      <c r="C6905" s="23">
        <v>150.11000000000001</v>
      </c>
      <c r="D6905" s="23">
        <v>574.00900000000001</v>
      </c>
      <c r="E6905" s="23">
        <v>574.00900000000001</v>
      </c>
      <c r="F6905" s="23">
        <v>0</v>
      </c>
      <c r="G6905" s="23">
        <v>0</v>
      </c>
      <c r="H6905" s="23">
        <v>0</v>
      </c>
      <c r="I6905" s="23">
        <v>554.73699999999997</v>
      </c>
      <c r="J6905" s="23">
        <v>0</v>
      </c>
      <c r="K6905" s="23">
        <v>0</v>
      </c>
    </row>
    <row r="6906" spans="1:11" x14ac:dyDescent="0.25">
      <c r="A6906">
        <v>6905</v>
      </c>
      <c r="B6906" s="23">
        <v>1228.0848169999999</v>
      </c>
      <c r="C6906" s="23">
        <v>29.39</v>
      </c>
      <c r="D6906" s="23">
        <v>90.122</v>
      </c>
      <c r="E6906" s="23">
        <v>90.122</v>
      </c>
      <c r="F6906" s="23">
        <v>0</v>
      </c>
      <c r="G6906" s="23">
        <v>0</v>
      </c>
      <c r="H6906" s="23">
        <v>0</v>
      </c>
      <c r="I6906" s="23">
        <v>1137.963</v>
      </c>
      <c r="J6906" s="23">
        <v>0</v>
      </c>
      <c r="K6906" s="23">
        <v>0</v>
      </c>
    </row>
    <row r="6907" spans="1:11" x14ac:dyDescent="0.25">
      <c r="A6907">
        <v>6906</v>
      </c>
      <c r="B6907" s="23">
        <v>1434.297806</v>
      </c>
      <c r="C6907" s="23">
        <v>1.96</v>
      </c>
      <c r="D6907" s="23">
        <v>0</v>
      </c>
      <c r="E6907" s="23">
        <v>0</v>
      </c>
      <c r="F6907" s="23">
        <v>0</v>
      </c>
      <c r="G6907" s="23">
        <v>0</v>
      </c>
      <c r="H6907" s="23">
        <v>0</v>
      </c>
      <c r="I6907" s="23">
        <v>0</v>
      </c>
      <c r="J6907" s="23">
        <v>0</v>
      </c>
      <c r="K6907" s="23">
        <v>1434.298</v>
      </c>
    </row>
    <row r="6908" spans="1:11" x14ac:dyDescent="0.25">
      <c r="A6908">
        <v>6907</v>
      </c>
      <c r="B6908" s="23">
        <v>1492.2515679999999</v>
      </c>
      <c r="C6908" s="23">
        <v>0</v>
      </c>
      <c r="D6908" s="23">
        <v>0</v>
      </c>
      <c r="E6908" s="23">
        <v>0</v>
      </c>
      <c r="F6908" s="23">
        <v>0</v>
      </c>
      <c r="G6908" s="23">
        <v>0</v>
      </c>
      <c r="H6908" s="23">
        <v>0</v>
      </c>
      <c r="I6908" s="23">
        <v>0</v>
      </c>
      <c r="J6908" s="23">
        <v>0</v>
      </c>
      <c r="K6908" s="23">
        <v>1492.252</v>
      </c>
    </row>
    <row r="6909" spans="1:11" x14ac:dyDescent="0.25">
      <c r="A6909">
        <v>6908</v>
      </c>
      <c r="B6909" s="23">
        <v>1240.7702750000001</v>
      </c>
      <c r="C6909" s="23">
        <v>0</v>
      </c>
      <c r="D6909" s="23">
        <v>0</v>
      </c>
      <c r="E6909" s="23">
        <v>0</v>
      </c>
      <c r="F6909" s="23">
        <v>0</v>
      </c>
      <c r="G6909" s="23">
        <v>0</v>
      </c>
      <c r="H6909" s="23">
        <v>0</v>
      </c>
      <c r="I6909" s="23">
        <v>0</v>
      </c>
      <c r="J6909" s="23">
        <v>0</v>
      </c>
      <c r="K6909" s="23">
        <v>1240.77</v>
      </c>
    </row>
    <row r="6910" spans="1:11" x14ac:dyDescent="0.25">
      <c r="A6910">
        <v>6909</v>
      </c>
      <c r="B6910" s="23">
        <v>1418.689118</v>
      </c>
      <c r="C6910" s="23">
        <v>0</v>
      </c>
      <c r="D6910" s="23">
        <v>0</v>
      </c>
      <c r="E6910" s="23">
        <v>0</v>
      </c>
      <c r="F6910" s="23">
        <v>0</v>
      </c>
      <c r="G6910" s="23">
        <v>0</v>
      </c>
      <c r="H6910" s="23">
        <v>0</v>
      </c>
      <c r="I6910" s="23">
        <v>1418.6890000000001</v>
      </c>
      <c r="J6910" s="23">
        <v>0</v>
      </c>
      <c r="K6910" s="23">
        <v>0</v>
      </c>
    </row>
    <row r="6911" spans="1:11" x14ac:dyDescent="0.25">
      <c r="A6911">
        <v>6910</v>
      </c>
      <c r="B6911" s="23">
        <v>1613.7006019999999</v>
      </c>
      <c r="C6911" s="23">
        <v>0</v>
      </c>
      <c r="D6911" s="23">
        <v>0</v>
      </c>
      <c r="E6911" s="23">
        <v>0</v>
      </c>
      <c r="F6911" s="23">
        <v>0</v>
      </c>
      <c r="G6911" s="23">
        <v>0</v>
      </c>
      <c r="H6911" s="23">
        <v>0</v>
      </c>
      <c r="I6911" s="23">
        <v>1613.701</v>
      </c>
      <c r="J6911" s="23">
        <v>0</v>
      </c>
      <c r="K6911" s="23">
        <v>0</v>
      </c>
    </row>
    <row r="6912" spans="1:11" x14ac:dyDescent="0.25">
      <c r="A6912">
        <v>6911</v>
      </c>
      <c r="B6912" s="23">
        <v>1366.63426</v>
      </c>
      <c r="C6912" s="23">
        <v>0</v>
      </c>
      <c r="D6912" s="23">
        <v>0</v>
      </c>
      <c r="E6912" s="23">
        <v>0</v>
      </c>
      <c r="F6912" s="23">
        <v>0</v>
      </c>
      <c r="G6912" s="23">
        <v>0</v>
      </c>
      <c r="H6912" s="23">
        <v>0</v>
      </c>
      <c r="I6912" s="23">
        <v>1366.634</v>
      </c>
      <c r="J6912" s="23">
        <v>0</v>
      </c>
      <c r="K6912" s="23">
        <v>0</v>
      </c>
    </row>
    <row r="6913" spans="1:11" x14ac:dyDescent="0.25">
      <c r="A6913">
        <v>6912</v>
      </c>
      <c r="B6913" s="23">
        <v>1386.8346529999999</v>
      </c>
      <c r="C6913" s="23">
        <v>0</v>
      </c>
      <c r="D6913" s="23">
        <v>0</v>
      </c>
      <c r="E6913" s="23">
        <v>0</v>
      </c>
      <c r="F6913" s="23">
        <v>0</v>
      </c>
      <c r="G6913" s="23">
        <v>0</v>
      </c>
      <c r="H6913" s="23">
        <v>0</v>
      </c>
      <c r="I6913" s="23">
        <v>1386.835</v>
      </c>
      <c r="J6913" s="23">
        <v>0</v>
      </c>
      <c r="K6913" s="23">
        <v>0</v>
      </c>
    </row>
    <row r="6914" spans="1:11" x14ac:dyDescent="0.25">
      <c r="A6914">
        <v>6913</v>
      </c>
      <c r="B6914" s="23">
        <v>1509.5908850000001</v>
      </c>
      <c r="C6914" s="23">
        <v>0</v>
      </c>
      <c r="D6914" s="23">
        <v>0</v>
      </c>
      <c r="E6914" s="23">
        <v>0</v>
      </c>
      <c r="F6914" s="23">
        <v>0</v>
      </c>
      <c r="G6914" s="23">
        <v>0</v>
      </c>
      <c r="H6914" s="23">
        <v>0</v>
      </c>
      <c r="I6914" s="23">
        <v>1509.5909999999999</v>
      </c>
      <c r="J6914" s="23">
        <v>0</v>
      </c>
      <c r="K6914" s="23">
        <v>0</v>
      </c>
    </row>
    <row r="6915" spans="1:11" x14ac:dyDescent="0.25">
      <c r="A6915">
        <v>6914</v>
      </c>
      <c r="B6915" s="23">
        <v>1275.732493</v>
      </c>
      <c r="C6915" s="23">
        <v>0</v>
      </c>
      <c r="D6915" s="23">
        <v>0</v>
      </c>
      <c r="E6915" s="23">
        <v>0</v>
      </c>
      <c r="F6915" s="23">
        <v>0</v>
      </c>
      <c r="G6915" s="23">
        <v>0</v>
      </c>
      <c r="H6915" s="23">
        <v>0</v>
      </c>
      <c r="I6915" s="23">
        <v>1275.732</v>
      </c>
      <c r="J6915" s="23">
        <v>0</v>
      </c>
      <c r="K6915" s="23">
        <v>0</v>
      </c>
    </row>
    <row r="6916" spans="1:11" x14ac:dyDescent="0.25">
      <c r="A6916">
        <v>6915</v>
      </c>
      <c r="B6916" s="23">
        <v>1501.821504</v>
      </c>
      <c r="C6916" s="23">
        <v>0</v>
      </c>
      <c r="D6916" s="23">
        <v>0</v>
      </c>
      <c r="E6916" s="23">
        <v>0</v>
      </c>
      <c r="F6916" s="23">
        <v>0</v>
      </c>
      <c r="G6916" s="23">
        <v>0</v>
      </c>
      <c r="H6916" s="23">
        <v>0</v>
      </c>
      <c r="I6916" s="23">
        <v>1501.8219999999999</v>
      </c>
      <c r="J6916" s="23">
        <v>0</v>
      </c>
      <c r="K6916" s="23">
        <v>0</v>
      </c>
    </row>
    <row r="6917" spans="1:11" x14ac:dyDescent="0.25">
      <c r="A6917">
        <v>6916</v>
      </c>
      <c r="B6917" s="23">
        <v>1306.0330819999999</v>
      </c>
      <c r="C6917" s="23">
        <v>0</v>
      </c>
      <c r="D6917" s="23">
        <v>0</v>
      </c>
      <c r="E6917" s="23">
        <v>0</v>
      </c>
      <c r="F6917" s="23">
        <v>0</v>
      </c>
      <c r="G6917" s="23">
        <v>0</v>
      </c>
      <c r="H6917" s="23">
        <v>0</v>
      </c>
      <c r="I6917" s="23">
        <v>1306.0329999999999</v>
      </c>
      <c r="J6917" s="23">
        <v>0</v>
      </c>
      <c r="K6917" s="23">
        <v>0</v>
      </c>
    </row>
    <row r="6918" spans="1:11" x14ac:dyDescent="0.25">
      <c r="A6918">
        <v>6917</v>
      </c>
      <c r="B6918" s="23">
        <v>1323.125722</v>
      </c>
      <c r="C6918" s="23">
        <v>0</v>
      </c>
      <c r="D6918" s="23">
        <v>0</v>
      </c>
      <c r="E6918" s="23">
        <v>0</v>
      </c>
      <c r="F6918" s="23">
        <v>0</v>
      </c>
      <c r="G6918" s="23">
        <v>0</v>
      </c>
      <c r="H6918" s="23">
        <v>0</v>
      </c>
      <c r="I6918" s="23">
        <v>1323.126</v>
      </c>
      <c r="J6918" s="23">
        <v>0</v>
      </c>
      <c r="K6918" s="23">
        <v>0</v>
      </c>
    </row>
    <row r="6919" spans="1:11" x14ac:dyDescent="0.25">
      <c r="A6919">
        <v>6918</v>
      </c>
      <c r="B6919" s="23">
        <v>1096.259773</v>
      </c>
      <c r="C6919" s="23">
        <v>0</v>
      </c>
      <c r="D6919" s="23">
        <v>0</v>
      </c>
      <c r="E6919" s="23">
        <v>0</v>
      </c>
      <c r="F6919" s="23">
        <v>0</v>
      </c>
      <c r="G6919" s="23">
        <v>0</v>
      </c>
      <c r="H6919" s="23">
        <v>0</v>
      </c>
      <c r="I6919" s="23">
        <v>1096.26</v>
      </c>
      <c r="J6919" s="23">
        <v>0</v>
      </c>
      <c r="K6919" s="23">
        <v>0</v>
      </c>
    </row>
    <row r="6920" spans="1:11" x14ac:dyDescent="0.25">
      <c r="A6920">
        <v>6919</v>
      </c>
      <c r="B6920" s="23">
        <v>1443.5695920000001</v>
      </c>
      <c r="C6920" s="23">
        <v>52.2</v>
      </c>
      <c r="D6920" s="23">
        <v>180.41399999999999</v>
      </c>
      <c r="E6920" s="23">
        <v>180.41399999999999</v>
      </c>
      <c r="F6920" s="23">
        <v>0</v>
      </c>
      <c r="G6920" s="23">
        <v>0</v>
      </c>
      <c r="H6920" s="23">
        <v>0</v>
      </c>
      <c r="I6920" s="23">
        <v>1263.155</v>
      </c>
      <c r="J6920" s="23">
        <v>0</v>
      </c>
      <c r="K6920" s="23">
        <v>0</v>
      </c>
    </row>
    <row r="6921" spans="1:11" x14ac:dyDescent="0.25">
      <c r="A6921">
        <v>6920</v>
      </c>
      <c r="B6921" s="23">
        <v>1285.1606380000001</v>
      </c>
      <c r="C6921" s="23">
        <v>182.11</v>
      </c>
      <c r="D6921" s="23">
        <v>711.68700000000001</v>
      </c>
      <c r="E6921" s="23">
        <v>711.68700000000001</v>
      </c>
      <c r="F6921" s="23">
        <v>0</v>
      </c>
      <c r="G6921" s="23">
        <v>0</v>
      </c>
      <c r="H6921" s="23">
        <v>0</v>
      </c>
      <c r="I6921" s="23">
        <v>573.47400000000005</v>
      </c>
      <c r="J6921" s="23">
        <v>0</v>
      </c>
      <c r="K6921" s="23">
        <v>0</v>
      </c>
    </row>
    <row r="6922" spans="1:11" x14ac:dyDescent="0.25">
      <c r="A6922">
        <v>6921</v>
      </c>
      <c r="B6922" s="23">
        <v>1191.5871749999999</v>
      </c>
      <c r="C6922" s="23">
        <v>350.95</v>
      </c>
      <c r="D6922" s="23">
        <v>1375.0319999999999</v>
      </c>
      <c r="E6922" s="23">
        <v>1191.587</v>
      </c>
      <c r="F6922" s="23">
        <v>-183.44499999999999</v>
      </c>
      <c r="G6922" s="23">
        <v>0</v>
      </c>
      <c r="H6922" s="23">
        <v>0</v>
      </c>
      <c r="I6922" s="23">
        <v>0</v>
      </c>
      <c r="J6922" s="23">
        <v>0</v>
      </c>
      <c r="K6922" s="23">
        <v>0</v>
      </c>
    </row>
    <row r="6923" spans="1:11" x14ac:dyDescent="0.25">
      <c r="A6923">
        <v>6922</v>
      </c>
      <c r="B6923" s="23">
        <v>1744.244668</v>
      </c>
      <c r="C6923" s="23">
        <v>358.61</v>
      </c>
      <c r="D6923" s="23">
        <v>1381.9079999999999</v>
      </c>
      <c r="E6923" s="23">
        <v>1381.9079999999999</v>
      </c>
      <c r="F6923" s="23">
        <v>0</v>
      </c>
      <c r="G6923" s="23">
        <v>0</v>
      </c>
      <c r="H6923" s="23">
        <v>0</v>
      </c>
      <c r="I6923" s="23">
        <v>362.33699999999999</v>
      </c>
      <c r="J6923" s="23">
        <v>0</v>
      </c>
      <c r="K6923" s="23">
        <v>0</v>
      </c>
    </row>
    <row r="6924" spans="1:11" x14ac:dyDescent="0.25">
      <c r="A6924">
        <v>6923</v>
      </c>
      <c r="B6924" s="23">
        <v>1620.4415120000001</v>
      </c>
      <c r="C6924" s="23">
        <v>509.44</v>
      </c>
      <c r="D6924" s="23">
        <v>1935.192</v>
      </c>
      <c r="E6924" s="23">
        <v>1620.442</v>
      </c>
      <c r="F6924" s="23">
        <v>-314.75</v>
      </c>
      <c r="G6924" s="23">
        <v>0</v>
      </c>
      <c r="H6924" s="23">
        <v>0</v>
      </c>
      <c r="I6924" s="23">
        <v>0</v>
      </c>
      <c r="J6924" s="23">
        <v>0</v>
      </c>
      <c r="K6924" s="23">
        <v>0</v>
      </c>
    </row>
    <row r="6925" spans="1:11" x14ac:dyDescent="0.25">
      <c r="A6925">
        <v>6924</v>
      </c>
      <c r="B6925" s="23">
        <v>1876.276572</v>
      </c>
      <c r="C6925" s="23">
        <v>699.5</v>
      </c>
      <c r="D6925" s="23">
        <v>2609.5459999999998</v>
      </c>
      <c r="E6925" s="23">
        <v>1876.277</v>
      </c>
      <c r="F6925" s="23">
        <v>-733.26900000000001</v>
      </c>
      <c r="G6925" s="23">
        <v>0</v>
      </c>
      <c r="H6925" s="23">
        <v>0</v>
      </c>
      <c r="I6925" s="23">
        <v>0</v>
      </c>
      <c r="J6925" s="23">
        <v>0</v>
      </c>
      <c r="K6925" s="23">
        <v>0</v>
      </c>
    </row>
    <row r="6926" spans="1:11" x14ac:dyDescent="0.25">
      <c r="A6926">
        <v>6925</v>
      </c>
      <c r="B6926" s="23">
        <v>1620.8484330000001</v>
      </c>
      <c r="C6926" s="23">
        <v>803.71</v>
      </c>
      <c r="D6926" s="23">
        <v>2977.8589999999999</v>
      </c>
      <c r="E6926" s="23">
        <v>1620.848</v>
      </c>
      <c r="F6926" s="23">
        <v>-1357.011</v>
      </c>
      <c r="G6926" s="23">
        <v>0</v>
      </c>
      <c r="H6926" s="23">
        <v>0</v>
      </c>
      <c r="I6926" s="23">
        <v>0</v>
      </c>
      <c r="J6926" s="23">
        <v>0</v>
      </c>
      <c r="K6926" s="23">
        <v>0</v>
      </c>
    </row>
    <row r="6927" spans="1:11" x14ac:dyDescent="0.25">
      <c r="A6927">
        <v>6926</v>
      </c>
      <c r="B6927" s="23">
        <v>1712.8476250000001</v>
      </c>
      <c r="C6927" s="23">
        <v>568.45000000000005</v>
      </c>
      <c r="D6927" s="23">
        <v>2160.6770000000001</v>
      </c>
      <c r="E6927" s="23">
        <v>1712.847</v>
      </c>
      <c r="F6927" s="23">
        <v>-447.83</v>
      </c>
      <c r="G6927" s="23">
        <v>0</v>
      </c>
      <c r="H6927" s="23">
        <v>0</v>
      </c>
      <c r="I6927" s="23">
        <v>0</v>
      </c>
      <c r="J6927" s="23">
        <v>0</v>
      </c>
      <c r="K6927" s="23">
        <v>0</v>
      </c>
    </row>
    <row r="6928" spans="1:11" x14ac:dyDescent="0.25">
      <c r="A6928">
        <v>6927</v>
      </c>
      <c r="B6928" s="23">
        <v>1534.4519359999999</v>
      </c>
      <c r="C6928" s="23">
        <v>488.51</v>
      </c>
      <c r="D6928" s="23">
        <v>1895.3430000000001</v>
      </c>
      <c r="E6928" s="23">
        <v>1534.452</v>
      </c>
      <c r="F6928" s="23">
        <v>-360.89100000000002</v>
      </c>
      <c r="G6928" s="23">
        <v>0</v>
      </c>
      <c r="H6928" s="23">
        <v>0</v>
      </c>
      <c r="I6928" s="23">
        <v>0</v>
      </c>
      <c r="J6928" s="23">
        <v>0</v>
      </c>
      <c r="K6928" s="23">
        <v>0</v>
      </c>
    </row>
    <row r="6929" spans="1:11" x14ac:dyDescent="0.25">
      <c r="A6929">
        <v>6928</v>
      </c>
      <c r="B6929" s="23">
        <v>1664.7065930000001</v>
      </c>
      <c r="C6929" s="23">
        <v>72.95</v>
      </c>
      <c r="D6929" s="23">
        <v>262.7</v>
      </c>
      <c r="E6929" s="23">
        <v>262.7</v>
      </c>
      <c r="F6929" s="23">
        <v>0</v>
      </c>
      <c r="G6929" s="23">
        <v>0</v>
      </c>
      <c r="H6929" s="23">
        <v>0</v>
      </c>
      <c r="I6929" s="23">
        <v>1402.0070000000001</v>
      </c>
      <c r="J6929" s="23">
        <v>0</v>
      </c>
      <c r="K6929" s="23">
        <v>0</v>
      </c>
    </row>
    <row r="6930" spans="1:11" x14ac:dyDescent="0.25">
      <c r="A6930">
        <v>6929</v>
      </c>
      <c r="B6930" s="23">
        <v>1575.5306</v>
      </c>
      <c r="C6930" s="23">
        <v>21.55</v>
      </c>
      <c r="D6930" s="23">
        <v>59.576999999999998</v>
      </c>
      <c r="E6930" s="23">
        <v>59.576999999999998</v>
      </c>
      <c r="F6930" s="23">
        <v>0</v>
      </c>
      <c r="G6930" s="23">
        <v>0</v>
      </c>
      <c r="H6930" s="23">
        <v>0</v>
      </c>
      <c r="I6930" s="23">
        <v>1515.954</v>
      </c>
      <c r="J6930" s="23">
        <v>0</v>
      </c>
      <c r="K6930" s="23">
        <v>0</v>
      </c>
    </row>
    <row r="6931" spans="1:11" x14ac:dyDescent="0.25">
      <c r="A6931">
        <v>6930</v>
      </c>
      <c r="B6931" s="23">
        <v>1789.099252</v>
      </c>
      <c r="C6931" s="23">
        <v>1.96</v>
      </c>
      <c r="D6931" s="23">
        <v>0</v>
      </c>
      <c r="E6931" s="23">
        <v>0</v>
      </c>
      <c r="F6931" s="23">
        <v>0</v>
      </c>
      <c r="G6931" s="23">
        <v>0</v>
      </c>
      <c r="H6931" s="23">
        <v>0</v>
      </c>
      <c r="I6931" s="23">
        <v>104.54</v>
      </c>
      <c r="J6931" s="23">
        <v>0</v>
      </c>
      <c r="K6931" s="23">
        <v>1684.559</v>
      </c>
    </row>
    <row r="6932" spans="1:11" x14ac:dyDescent="0.25">
      <c r="A6932">
        <v>6931</v>
      </c>
      <c r="B6932" s="23">
        <v>1655.204639</v>
      </c>
      <c r="C6932" s="23">
        <v>0</v>
      </c>
      <c r="D6932" s="23">
        <v>0</v>
      </c>
      <c r="E6932" s="23">
        <v>0</v>
      </c>
      <c r="F6932" s="23">
        <v>0</v>
      </c>
      <c r="G6932" s="23">
        <v>0</v>
      </c>
      <c r="H6932" s="23">
        <v>0</v>
      </c>
      <c r="I6932" s="23">
        <v>0</v>
      </c>
      <c r="J6932" s="23">
        <v>0</v>
      </c>
      <c r="K6932" s="23">
        <v>1655.2049999999999</v>
      </c>
    </row>
    <row r="6933" spans="1:11" x14ac:dyDescent="0.25">
      <c r="A6933">
        <v>6932</v>
      </c>
      <c r="B6933" s="23">
        <v>1494.82906</v>
      </c>
      <c r="C6933" s="23">
        <v>0</v>
      </c>
      <c r="D6933" s="23">
        <v>0</v>
      </c>
      <c r="E6933" s="23">
        <v>0</v>
      </c>
      <c r="F6933" s="23">
        <v>0</v>
      </c>
      <c r="G6933" s="23">
        <v>0</v>
      </c>
      <c r="H6933" s="23">
        <v>0</v>
      </c>
      <c r="I6933" s="23">
        <v>0</v>
      </c>
      <c r="J6933" s="23">
        <v>0</v>
      </c>
      <c r="K6933" s="23">
        <v>1494.829</v>
      </c>
    </row>
    <row r="6934" spans="1:11" x14ac:dyDescent="0.25">
      <c r="A6934">
        <v>6933</v>
      </c>
      <c r="B6934" s="23">
        <v>1709.2639979999999</v>
      </c>
      <c r="C6934" s="23">
        <v>0</v>
      </c>
      <c r="D6934" s="23">
        <v>0</v>
      </c>
      <c r="E6934" s="23">
        <v>0</v>
      </c>
      <c r="F6934" s="23">
        <v>0</v>
      </c>
      <c r="G6934" s="23">
        <v>0</v>
      </c>
      <c r="H6934" s="23">
        <v>0</v>
      </c>
      <c r="I6934" s="23">
        <v>1709.2639999999999</v>
      </c>
      <c r="J6934" s="23">
        <v>0</v>
      </c>
      <c r="K6934" s="23">
        <v>0</v>
      </c>
    </row>
    <row r="6935" spans="1:11" x14ac:dyDescent="0.25">
      <c r="A6935">
        <v>6934</v>
      </c>
      <c r="B6935" s="23">
        <v>1697.609925</v>
      </c>
      <c r="C6935" s="23">
        <v>0</v>
      </c>
      <c r="D6935" s="23">
        <v>0</v>
      </c>
      <c r="E6935" s="23">
        <v>0</v>
      </c>
      <c r="F6935" s="23">
        <v>0</v>
      </c>
      <c r="G6935" s="23">
        <v>0</v>
      </c>
      <c r="H6935" s="23">
        <v>0</v>
      </c>
      <c r="I6935" s="23">
        <v>1697.61</v>
      </c>
      <c r="J6935" s="23">
        <v>0</v>
      </c>
      <c r="K6935" s="23">
        <v>0</v>
      </c>
    </row>
    <row r="6936" spans="1:11" x14ac:dyDescent="0.25">
      <c r="A6936">
        <v>6935</v>
      </c>
      <c r="B6936" s="23">
        <v>1894.952223</v>
      </c>
      <c r="C6936" s="23">
        <v>0</v>
      </c>
      <c r="D6936" s="23">
        <v>0</v>
      </c>
      <c r="E6936" s="23">
        <v>0</v>
      </c>
      <c r="F6936" s="23">
        <v>0</v>
      </c>
      <c r="G6936" s="23">
        <v>0</v>
      </c>
      <c r="H6936" s="23">
        <v>0</v>
      </c>
      <c r="I6936" s="23">
        <v>1894.952</v>
      </c>
      <c r="J6936" s="23">
        <v>0</v>
      </c>
      <c r="K6936" s="23">
        <v>0</v>
      </c>
    </row>
    <row r="6937" spans="1:11" x14ac:dyDescent="0.25">
      <c r="A6937">
        <v>6936</v>
      </c>
      <c r="B6937" s="23">
        <v>1490.1674310000001</v>
      </c>
      <c r="C6937" s="23">
        <v>0</v>
      </c>
      <c r="D6937" s="23">
        <v>0</v>
      </c>
      <c r="E6937" s="23">
        <v>0</v>
      </c>
      <c r="F6937" s="23">
        <v>0</v>
      </c>
      <c r="G6937" s="23">
        <v>0</v>
      </c>
      <c r="H6937" s="23">
        <v>0</v>
      </c>
      <c r="I6937" s="23">
        <v>1490.1669999999999</v>
      </c>
      <c r="J6937" s="23">
        <v>0</v>
      </c>
      <c r="K6937" s="23">
        <v>0</v>
      </c>
    </row>
    <row r="6938" spans="1:11" x14ac:dyDescent="0.25">
      <c r="A6938">
        <v>6937</v>
      </c>
      <c r="B6938" s="23">
        <v>1436.5586960000001</v>
      </c>
      <c r="C6938" s="23">
        <v>0</v>
      </c>
      <c r="D6938" s="23">
        <v>0</v>
      </c>
      <c r="E6938" s="23">
        <v>0</v>
      </c>
      <c r="F6938" s="23">
        <v>0</v>
      </c>
      <c r="G6938" s="23">
        <v>0</v>
      </c>
      <c r="H6938" s="23">
        <v>0</v>
      </c>
      <c r="I6938" s="23">
        <v>1436.559</v>
      </c>
      <c r="J6938" s="23">
        <v>0</v>
      </c>
      <c r="K6938" s="23">
        <v>0</v>
      </c>
    </row>
    <row r="6939" spans="1:11" x14ac:dyDescent="0.25">
      <c r="A6939">
        <v>6938</v>
      </c>
      <c r="B6939" s="23">
        <v>1714.702565</v>
      </c>
      <c r="C6939" s="23">
        <v>0</v>
      </c>
      <c r="D6939" s="23">
        <v>0</v>
      </c>
      <c r="E6939" s="23">
        <v>0</v>
      </c>
      <c r="F6939" s="23">
        <v>0</v>
      </c>
      <c r="G6939" s="23">
        <v>0</v>
      </c>
      <c r="H6939" s="23">
        <v>0</v>
      </c>
      <c r="I6939" s="23">
        <v>1714.703</v>
      </c>
      <c r="J6939" s="23">
        <v>0</v>
      </c>
      <c r="K6939" s="23">
        <v>0</v>
      </c>
    </row>
    <row r="6940" spans="1:11" x14ac:dyDescent="0.25">
      <c r="A6940">
        <v>6939</v>
      </c>
      <c r="B6940" s="23">
        <v>1420.2429950000001</v>
      </c>
      <c r="C6940" s="23">
        <v>0</v>
      </c>
      <c r="D6940" s="23">
        <v>0</v>
      </c>
      <c r="E6940" s="23">
        <v>0</v>
      </c>
      <c r="F6940" s="23">
        <v>0</v>
      </c>
      <c r="G6940" s="23">
        <v>0</v>
      </c>
      <c r="H6940" s="23">
        <v>0</v>
      </c>
      <c r="I6940" s="23">
        <v>1420.2429999999999</v>
      </c>
      <c r="J6940" s="23">
        <v>0</v>
      </c>
      <c r="K6940" s="23">
        <v>0</v>
      </c>
    </row>
    <row r="6941" spans="1:11" x14ac:dyDescent="0.25">
      <c r="A6941">
        <v>6940</v>
      </c>
      <c r="B6941" s="23">
        <v>1859.9900050000001</v>
      </c>
      <c r="C6941" s="23">
        <v>0</v>
      </c>
      <c r="D6941" s="23">
        <v>0</v>
      </c>
      <c r="E6941" s="23">
        <v>0</v>
      </c>
      <c r="F6941" s="23">
        <v>0</v>
      </c>
      <c r="G6941" s="23">
        <v>0</v>
      </c>
      <c r="H6941" s="23">
        <v>0</v>
      </c>
      <c r="I6941" s="23">
        <v>1859.99</v>
      </c>
      <c r="J6941" s="23">
        <v>0</v>
      </c>
      <c r="K6941" s="23">
        <v>0</v>
      </c>
    </row>
    <row r="6942" spans="1:11" x14ac:dyDescent="0.25">
      <c r="A6942">
        <v>6941</v>
      </c>
      <c r="B6942" s="23">
        <v>1577.9614449999999</v>
      </c>
      <c r="C6942" s="23">
        <v>0</v>
      </c>
      <c r="D6942" s="23">
        <v>0</v>
      </c>
      <c r="E6942" s="23">
        <v>0</v>
      </c>
      <c r="F6942" s="23">
        <v>0</v>
      </c>
      <c r="G6942" s="23">
        <v>0</v>
      </c>
      <c r="H6942" s="23">
        <v>0</v>
      </c>
      <c r="I6942" s="23">
        <v>1577.961</v>
      </c>
      <c r="J6942" s="23">
        <v>0</v>
      </c>
      <c r="K6942" s="23">
        <v>0</v>
      </c>
    </row>
    <row r="6943" spans="1:11" x14ac:dyDescent="0.25">
      <c r="A6943">
        <v>6942</v>
      </c>
      <c r="B6943" s="23">
        <v>1522.7988350000001</v>
      </c>
      <c r="C6943" s="23">
        <v>0</v>
      </c>
      <c r="D6943" s="23">
        <v>0</v>
      </c>
      <c r="E6943" s="23">
        <v>0</v>
      </c>
      <c r="F6943" s="23">
        <v>0</v>
      </c>
      <c r="G6943" s="23">
        <v>0</v>
      </c>
      <c r="H6943" s="23">
        <v>0</v>
      </c>
      <c r="I6943" s="23">
        <v>1522.799</v>
      </c>
      <c r="J6943" s="23">
        <v>0</v>
      </c>
      <c r="K6943" s="23">
        <v>0</v>
      </c>
    </row>
    <row r="6944" spans="1:11" x14ac:dyDescent="0.25">
      <c r="A6944">
        <v>6943</v>
      </c>
      <c r="B6944" s="23">
        <v>1380.682274</v>
      </c>
      <c r="C6944" s="23">
        <v>95</v>
      </c>
      <c r="D6944" s="23">
        <v>332.339</v>
      </c>
      <c r="E6944" s="23">
        <v>332.339</v>
      </c>
      <c r="F6944" s="23">
        <v>0</v>
      </c>
      <c r="G6944" s="23">
        <v>0</v>
      </c>
      <c r="H6944" s="23">
        <v>0</v>
      </c>
      <c r="I6944" s="23">
        <v>1048.3430000000001</v>
      </c>
      <c r="J6944" s="23">
        <v>0</v>
      </c>
      <c r="K6944" s="23">
        <v>0</v>
      </c>
    </row>
    <row r="6945" spans="1:11" x14ac:dyDescent="0.25">
      <c r="A6945">
        <v>6944</v>
      </c>
      <c r="B6945" s="23">
        <v>1445.3682040000001</v>
      </c>
      <c r="C6945" s="23">
        <v>272.3</v>
      </c>
      <c r="D6945" s="23">
        <v>1086.855</v>
      </c>
      <c r="E6945" s="23">
        <v>1086.855</v>
      </c>
      <c r="F6945" s="23">
        <v>0</v>
      </c>
      <c r="G6945" s="23">
        <v>0</v>
      </c>
      <c r="H6945" s="23">
        <v>0</v>
      </c>
      <c r="I6945" s="23">
        <v>358.51299999999998</v>
      </c>
      <c r="J6945" s="23">
        <v>0</v>
      </c>
      <c r="K6945" s="23">
        <v>0</v>
      </c>
    </row>
    <row r="6946" spans="1:11" x14ac:dyDescent="0.25">
      <c r="A6946">
        <v>6945</v>
      </c>
      <c r="B6946" s="23">
        <v>1443.6317469999999</v>
      </c>
      <c r="C6946" s="23">
        <v>489.94</v>
      </c>
      <c r="D6946" s="23">
        <v>1943.7719999999999</v>
      </c>
      <c r="E6946" s="23">
        <v>1443.6320000000001</v>
      </c>
      <c r="F6946" s="23">
        <v>-500.14</v>
      </c>
      <c r="G6946" s="23">
        <v>0</v>
      </c>
      <c r="H6946" s="23">
        <v>0</v>
      </c>
      <c r="I6946" s="23">
        <v>0</v>
      </c>
      <c r="J6946" s="23">
        <v>0</v>
      </c>
      <c r="K6946" s="23">
        <v>0</v>
      </c>
    </row>
    <row r="6947" spans="1:11" x14ac:dyDescent="0.25">
      <c r="A6947">
        <v>6946</v>
      </c>
      <c r="B6947" s="23">
        <v>1751.352682</v>
      </c>
      <c r="C6947" s="23">
        <v>701.95</v>
      </c>
      <c r="D6947" s="23">
        <v>2724.7939999999999</v>
      </c>
      <c r="E6947" s="23">
        <v>1751.3530000000001</v>
      </c>
      <c r="F6947" s="23">
        <v>-973.44100000000003</v>
      </c>
      <c r="G6947" s="23">
        <v>0</v>
      </c>
      <c r="H6947" s="23">
        <v>0</v>
      </c>
      <c r="I6947" s="23">
        <v>0</v>
      </c>
      <c r="J6947" s="23">
        <v>0</v>
      </c>
      <c r="K6947" s="23">
        <v>0</v>
      </c>
    </row>
    <row r="6948" spans="1:11" x14ac:dyDescent="0.25">
      <c r="A6948">
        <v>6947</v>
      </c>
      <c r="B6948" s="23">
        <v>1975.0040489999999</v>
      </c>
      <c r="C6948" s="23">
        <v>636.98</v>
      </c>
      <c r="D6948" s="23">
        <v>2447.6770000000001</v>
      </c>
      <c r="E6948" s="23">
        <v>1975.0039999999999</v>
      </c>
      <c r="F6948" s="23">
        <v>-472.673</v>
      </c>
      <c r="G6948" s="23">
        <v>0</v>
      </c>
      <c r="H6948" s="23">
        <v>0</v>
      </c>
      <c r="I6948" s="23">
        <v>0</v>
      </c>
      <c r="J6948" s="23">
        <v>0</v>
      </c>
      <c r="K6948" s="23">
        <v>0</v>
      </c>
    </row>
    <row r="6949" spans="1:11" x14ac:dyDescent="0.25">
      <c r="A6949">
        <v>6948</v>
      </c>
      <c r="B6949" s="23">
        <v>1647.8616019999999</v>
      </c>
      <c r="C6949" s="23">
        <v>820.64</v>
      </c>
      <c r="D6949" s="23">
        <v>3111.73</v>
      </c>
      <c r="E6949" s="23">
        <v>1647.8620000000001</v>
      </c>
      <c r="F6949" s="23">
        <v>-1463.8679999999999</v>
      </c>
      <c r="G6949" s="23">
        <v>0</v>
      </c>
      <c r="H6949" s="23">
        <v>0</v>
      </c>
      <c r="I6949" s="23">
        <v>0</v>
      </c>
      <c r="J6949" s="23">
        <v>0</v>
      </c>
      <c r="K6949" s="23">
        <v>0</v>
      </c>
    </row>
    <row r="6950" spans="1:11" x14ac:dyDescent="0.25">
      <c r="A6950">
        <v>6949</v>
      </c>
      <c r="B6950" s="23">
        <v>1546.639183</v>
      </c>
      <c r="C6950" s="23">
        <v>747.1</v>
      </c>
      <c r="D6950" s="23">
        <v>2839.8609999999999</v>
      </c>
      <c r="E6950" s="23">
        <v>1546.6389999999999</v>
      </c>
      <c r="F6950" s="23">
        <v>-1293.222</v>
      </c>
      <c r="G6950" s="23">
        <v>0</v>
      </c>
      <c r="H6950" s="23">
        <v>0</v>
      </c>
      <c r="I6950" s="23">
        <v>0</v>
      </c>
      <c r="J6950" s="23">
        <v>0</v>
      </c>
      <c r="K6950" s="23">
        <v>0</v>
      </c>
    </row>
    <row r="6951" spans="1:11" x14ac:dyDescent="0.25">
      <c r="A6951">
        <v>6950</v>
      </c>
      <c r="B6951" s="23">
        <v>1415.406555</v>
      </c>
      <c r="C6951" s="23">
        <v>673.12</v>
      </c>
      <c r="D6951" s="23">
        <v>2585.7629999999999</v>
      </c>
      <c r="E6951" s="23">
        <v>1415.4069999999999</v>
      </c>
      <c r="F6951" s="23">
        <v>-1170.356</v>
      </c>
      <c r="G6951" s="23">
        <v>0</v>
      </c>
      <c r="H6951" s="23">
        <v>0</v>
      </c>
      <c r="I6951" s="23">
        <v>0</v>
      </c>
      <c r="J6951" s="23">
        <v>0</v>
      </c>
      <c r="K6951" s="23">
        <v>0</v>
      </c>
    </row>
    <row r="6952" spans="1:11" x14ac:dyDescent="0.25">
      <c r="A6952">
        <v>6951</v>
      </c>
      <c r="B6952" s="23">
        <v>1594.6539620000001</v>
      </c>
      <c r="C6952" s="23">
        <v>537.83000000000004</v>
      </c>
      <c r="D6952" s="23">
        <v>2104.221</v>
      </c>
      <c r="E6952" s="23">
        <v>1594.654</v>
      </c>
      <c r="F6952" s="23">
        <v>-509.56700000000001</v>
      </c>
      <c r="G6952" s="23">
        <v>0</v>
      </c>
      <c r="H6952" s="23">
        <v>0</v>
      </c>
      <c r="I6952" s="23">
        <v>0</v>
      </c>
      <c r="J6952" s="23">
        <v>0</v>
      </c>
      <c r="K6952" s="23">
        <v>0</v>
      </c>
    </row>
    <row r="6953" spans="1:11" x14ac:dyDescent="0.25">
      <c r="A6953">
        <v>6952</v>
      </c>
      <c r="B6953" s="23">
        <v>1899.5274179999999</v>
      </c>
      <c r="C6953" s="23">
        <v>183.75</v>
      </c>
      <c r="D6953" s="23">
        <v>713.99599999999998</v>
      </c>
      <c r="E6953" s="23">
        <v>713.99599999999998</v>
      </c>
      <c r="F6953" s="23">
        <v>0</v>
      </c>
      <c r="G6953" s="23">
        <v>0</v>
      </c>
      <c r="H6953" s="23">
        <v>0</v>
      </c>
      <c r="I6953" s="23">
        <v>1185.5319999999999</v>
      </c>
      <c r="J6953" s="23">
        <v>0</v>
      </c>
      <c r="K6953" s="23">
        <v>0</v>
      </c>
    </row>
    <row r="6954" spans="1:11" x14ac:dyDescent="0.25">
      <c r="A6954">
        <v>6953</v>
      </c>
      <c r="B6954" s="23">
        <v>1653.7527359999999</v>
      </c>
      <c r="C6954" s="23">
        <v>58.02</v>
      </c>
      <c r="D6954" s="23">
        <v>198.15899999999999</v>
      </c>
      <c r="E6954" s="23">
        <v>198.15899999999999</v>
      </c>
      <c r="F6954" s="23">
        <v>0</v>
      </c>
      <c r="G6954" s="23">
        <v>0</v>
      </c>
      <c r="H6954" s="23">
        <v>0</v>
      </c>
      <c r="I6954" s="23">
        <v>1455.5940000000001</v>
      </c>
      <c r="J6954" s="23">
        <v>0</v>
      </c>
      <c r="K6954" s="23">
        <v>0</v>
      </c>
    </row>
    <row r="6955" spans="1:11" x14ac:dyDescent="0.25">
      <c r="A6955">
        <v>6954</v>
      </c>
      <c r="B6955" s="23">
        <v>1424.521982</v>
      </c>
      <c r="C6955" s="23">
        <v>1.96</v>
      </c>
      <c r="D6955" s="23">
        <v>0</v>
      </c>
      <c r="E6955" s="23">
        <v>0</v>
      </c>
      <c r="F6955" s="23">
        <v>0</v>
      </c>
      <c r="G6955" s="23">
        <v>0</v>
      </c>
      <c r="H6955" s="23">
        <v>0</v>
      </c>
      <c r="I6955" s="23">
        <v>0</v>
      </c>
      <c r="J6955" s="23">
        <v>0</v>
      </c>
      <c r="K6955" s="23">
        <v>1424.5219999999999</v>
      </c>
    </row>
    <row r="6956" spans="1:11" x14ac:dyDescent="0.25">
      <c r="A6956">
        <v>6955</v>
      </c>
      <c r="B6956" s="23">
        <v>1615.55457</v>
      </c>
      <c r="C6956" s="23">
        <v>0</v>
      </c>
      <c r="D6956" s="23">
        <v>0</v>
      </c>
      <c r="E6956" s="23">
        <v>0</v>
      </c>
      <c r="F6956" s="23">
        <v>0</v>
      </c>
      <c r="G6956" s="23">
        <v>0</v>
      </c>
      <c r="H6956" s="23">
        <v>0</v>
      </c>
      <c r="I6956" s="23">
        <v>0</v>
      </c>
      <c r="J6956" s="23">
        <v>0</v>
      </c>
      <c r="K6956" s="23">
        <v>1615.5550000000001</v>
      </c>
    </row>
    <row r="6957" spans="1:11" x14ac:dyDescent="0.25">
      <c r="A6957">
        <v>6956</v>
      </c>
      <c r="B6957" s="23">
        <v>1257.085977</v>
      </c>
      <c r="C6957" s="23">
        <v>0</v>
      </c>
      <c r="D6957" s="23">
        <v>0</v>
      </c>
      <c r="E6957" s="23">
        <v>0</v>
      </c>
      <c r="F6957" s="23">
        <v>0</v>
      </c>
      <c r="G6957" s="23">
        <v>0</v>
      </c>
      <c r="H6957" s="23">
        <v>0</v>
      </c>
      <c r="I6957" s="23">
        <v>0</v>
      </c>
      <c r="J6957" s="23">
        <v>0</v>
      </c>
      <c r="K6957" s="23">
        <v>1257.086</v>
      </c>
    </row>
    <row r="6958" spans="1:11" x14ac:dyDescent="0.25">
      <c r="A6958">
        <v>6957</v>
      </c>
      <c r="B6958" s="23">
        <v>1328.5642889999999</v>
      </c>
      <c r="C6958" s="23">
        <v>0</v>
      </c>
      <c r="D6958" s="23">
        <v>0</v>
      </c>
      <c r="E6958" s="23">
        <v>0</v>
      </c>
      <c r="F6958" s="23">
        <v>0</v>
      </c>
      <c r="G6958" s="23">
        <v>0</v>
      </c>
      <c r="H6958" s="23">
        <v>0</v>
      </c>
      <c r="I6958" s="23">
        <v>1328.5640000000001</v>
      </c>
      <c r="J6958" s="23">
        <v>0</v>
      </c>
      <c r="K6958" s="23">
        <v>0</v>
      </c>
    </row>
    <row r="6959" spans="1:11" x14ac:dyDescent="0.25">
      <c r="A6959">
        <v>6958</v>
      </c>
      <c r="B6959" s="23">
        <v>1113.3524130000001</v>
      </c>
      <c r="C6959" s="23">
        <v>0</v>
      </c>
      <c r="D6959" s="23">
        <v>0</v>
      </c>
      <c r="E6959" s="23">
        <v>0</v>
      </c>
      <c r="F6959" s="23">
        <v>0</v>
      </c>
      <c r="G6959" s="23">
        <v>0</v>
      </c>
      <c r="H6959" s="23">
        <v>0</v>
      </c>
      <c r="I6959" s="23">
        <v>1113.3520000000001</v>
      </c>
      <c r="J6959" s="23">
        <v>0</v>
      </c>
      <c r="K6959" s="23">
        <v>0</v>
      </c>
    </row>
    <row r="6960" spans="1:11" x14ac:dyDescent="0.25">
      <c r="A6960">
        <v>6959</v>
      </c>
      <c r="B6960" s="23">
        <v>1417.1352420000001</v>
      </c>
      <c r="C6960" s="23">
        <v>0</v>
      </c>
      <c r="D6960" s="23">
        <v>0</v>
      </c>
      <c r="E6960" s="23">
        <v>0</v>
      </c>
      <c r="F6960" s="23">
        <v>0</v>
      </c>
      <c r="G6960" s="23">
        <v>0</v>
      </c>
      <c r="H6960" s="23">
        <v>0</v>
      </c>
      <c r="I6960" s="23">
        <v>1417.135</v>
      </c>
      <c r="J6960" s="23">
        <v>0</v>
      </c>
      <c r="K6960" s="23">
        <v>0</v>
      </c>
    </row>
    <row r="6961" spans="1:11" x14ac:dyDescent="0.25">
      <c r="A6961">
        <v>6960</v>
      </c>
      <c r="B6961" s="23">
        <v>1232.2239549999999</v>
      </c>
      <c r="C6961" s="23">
        <v>0</v>
      </c>
      <c r="D6961" s="23">
        <v>0</v>
      </c>
      <c r="E6961" s="23">
        <v>0</v>
      </c>
      <c r="F6961" s="23">
        <v>0</v>
      </c>
      <c r="G6961" s="23">
        <v>0</v>
      </c>
      <c r="H6961" s="23">
        <v>0</v>
      </c>
      <c r="I6961" s="23">
        <v>1232.2239999999999</v>
      </c>
      <c r="J6961" s="23">
        <v>0</v>
      </c>
      <c r="K6961" s="23">
        <v>0</v>
      </c>
    </row>
    <row r="6962" spans="1:11" x14ac:dyDescent="0.25">
      <c r="A6962">
        <v>6961</v>
      </c>
      <c r="B6962" s="23">
        <v>896.5866608</v>
      </c>
      <c r="C6962" s="23">
        <v>0</v>
      </c>
      <c r="D6962" s="23">
        <v>0</v>
      </c>
      <c r="E6962" s="23">
        <v>0</v>
      </c>
      <c r="F6962" s="23">
        <v>0</v>
      </c>
      <c r="G6962" s="23">
        <v>0</v>
      </c>
      <c r="H6962" s="23">
        <v>0</v>
      </c>
      <c r="I6962" s="23">
        <v>896.58699999999999</v>
      </c>
      <c r="J6962" s="23">
        <v>0</v>
      </c>
      <c r="K6962" s="23">
        <v>0</v>
      </c>
    </row>
    <row r="6963" spans="1:11" x14ac:dyDescent="0.25">
      <c r="A6963">
        <v>6962</v>
      </c>
      <c r="B6963" s="23">
        <v>1312.2485879999999</v>
      </c>
      <c r="C6963" s="23">
        <v>0</v>
      </c>
      <c r="D6963" s="23">
        <v>0</v>
      </c>
      <c r="E6963" s="23">
        <v>0</v>
      </c>
      <c r="F6963" s="23">
        <v>0</v>
      </c>
      <c r="G6963" s="23">
        <v>0</v>
      </c>
      <c r="H6963" s="23">
        <v>0</v>
      </c>
      <c r="I6963" s="23">
        <v>1312.249</v>
      </c>
      <c r="J6963" s="23">
        <v>0</v>
      </c>
      <c r="K6963" s="23">
        <v>0</v>
      </c>
    </row>
    <row r="6964" spans="1:11" x14ac:dyDescent="0.25">
      <c r="A6964">
        <v>6963</v>
      </c>
      <c r="B6964" s="23">
        <v>996.81168609999997</v>
      </c>
      <c r="C6964" s="23">
        <v>0</v>
      </c>
      <c r="D6964" s="23">
        <v>0</v>
      </c>
      <c r="E6964" s="23">
        <v>0</v>
      </c>
      <c r="F6964" s="23">
        <v>0</v>
      </c>
      <c r="G6964" s="23">
        <v>0</v>
      </c>
      <c r="H6964" s="23">
        <v>0</v>
      </c>
      <c r="I6964" s="23">
        <v>996.81200000000001</v>
      </c>
      <c r="J6964" s="23">
        <v>0</v>
      </c>
      <c r="K6964" s="23">
        <v>0</v>
      </c>
    </row>
    <row r="6965" spans="1:11" x14ac:dyDescent="0.25">
      <c r="A6965">
        <v>6964</v>
      </c>
      <c r="B6965" s="23">
        <v>1216.685191</v>
      </c>
      <c r="C6965" s="23">
        <v>0</v>
      </c>
      <c r="D6965" s="23">
        <v>0</v>
      </c>
      <c r="E6965" s="23">
        <v>0</v>
      </c>
      <c r="F6965" s="23">
        <v>0</v>
      </c>
      <c r="G6965" s="23">
        <v>0</v>
      </c>
      <c r="H6965" s="23">
        <v>0</v>
      </c>
      <c r="I6965" s="23">
        <v>1216.6849999999999</v>
      </c>
      <c r="J6965" s="23">
        <v>0</v>
      </c>
      <c r="K6965" s="23">
        <v>0</v>
      </c>
    </row>
    <row r="6966" spans="1:11" x14ac:dyDescent="0.25">
      <c r="A6966">
        <v>6965</v>
      </c>
      <c r="B6966" s="23">
        <v>1229.1162019999999</v>
      </c>
      <c r="C6966" s="23">
        <v>0</v>
      </c>
      <c r="D6966" s="23">
        <v>0</v>
      </c>
      <c r="E6966" s="23">
        <v>0</v>
      </c>
      <c r="F6966" s="23">
        <v>0</v>
      </c>
      <c r="G6966" s="23">
        <v>0</v>
      </c>
      <c r="H6966" s="23">
        <v>0</v>
      </c>
      <c r="I6966" s="23">
        <v>1229.116</v>
      </c>
      <c r="J6966" s="23">
        <v>0</v>
      </c>
      <c r="K6966" s="23">
        <v>0</v>
      </c>
    </row>
    <row r="6967" spans="1:11" x14ac:dyDescent="0.25">
      <c r="A6967">
        <v>6966</v>
      </c>
      <c r="B6967" s="23">
        <v>891.92503169999998</v>
      </c>
      <c r="C6967" s="23">
        <v>0</v>
      </c>
      <c r="D6967" s="23">
        <v>0</v>
      </c>
      <c r="E6967" s="23">
        <v>0</v>
      </c>
      <c r="F6967" s="23">
        <v>0</v>
      </c>
      <c r="G6967" s="23">
        <v>0</v>
      </c>
      <c r="H6967" s="23">
        <v>0</v>
      </c>
      <c r="I6967" s="23">
        <v>891.92499999999995</v>
      </c>
      <c r="J6967" s="23">
        <v>0</v>
      </c>
      <c r="K6967" s="23">
        <v>0</v>
      </c>
    </row>
    <row r="6968" spans="1:11" x14ac:dyDescent="0.25">
      <c r="A6968">
        <v>6967</v>
      </c>
      <c r="B6968" s="23">
        <v>1020.536465</v>
      </c>
      <c r="C6968" s="23">
        <v>56.27</v>
      </c>
      <c r="D6968" s="23">
        <v>197.14599999999999</v>
      </c>
      <c r="E6968" s="23">
        <v>197.14599999999999</v>
      </c>
      <c r="F6968" s="23">
        <v>0</v>
      </c>
      <c r="G6968" s="23">
        <v>0</v>
      </c>
      <c r="H6968" s="23">
        <v>0</v>
      </c>
      <c r="I6968" s="23">
        <v>823.39</v>
      </c>
      <c r="J6968" s="23">
        <v>0</v>
      </c>
      <c r="K6968" s="23">
        <v>0</v>
      </c>
    </row>
    <row r="6969" spans="1:11" x14ac:dyDescent="0.25">
      <c r="A6969">
        <v>6968</v>
      </c>
      <c r="B6969" s="23">
        <v>782.7914389</v>
      </c>
      <c r="C6969" s="23">
        <v>200</v>
      </c>
      <c r="D6969" s="23">
        <v>788.40899999999999</v>
      </c>
      <c r="E6969" s="23">
        <v>782.79200000000003</v>
      </c>
      <c r="F6969" s="23">
        <v>-5.617</v>
      </c>
      <c r="G6969" s="23">
        <v>0</v>
      </c>
      <c r="H6969" s="23">
        <v>0</v>
      </c>
      <c r="I6969" s="23">
        <v>0</v>
      </c>
      <c r="J6969" s="23">
        <v>0</v>
      </c>
      <c r="K6969" s="23">
        <v>0</v>
      </c>
    </row>
    <row r="6970" spans="1:11" x14ac:dyDescent="0.25">
      <c r="A6970">
        <v>6969</v>
      </c>
      <c r="B6970" s="23">
        <v>1064.2324390000001</v>
      </c>
      <c r="C6970" s="23">
        <v>202.01</v>
      </c>
      <c r="D6970" s="23">
        <v>782.64400000000001</v>
      </c>
      <c r="E6970" s="23">
        <v>782.64400000000001</v>
      </c>
      <c r="F6970" s="23">
        <v>0</v>
      </c>
      <c r="G6970" s="23">
        <v>0</v>
      </c>
      <c r="H6970" s="23">
        <v>0</v>
      </c>
      <c r="I6970" s="23">
        <v>281.589</v>
      </c>
      <c r="J6970" s="23">
        <v>0</v>
      </c>
      <c r="K6970" s="23">
        <v>0</v>
      </c>
    </row>
    <row r="6971" spans="1:11" x14ac:dyDescent="0.25">
      <c r="A6971">
        <v>6970</v>
      </c>
      <c r="B6971" s="23">
        <v>1233.7117920000001</v>
      </c>
      <c r="C6971" s="23">
        <v>443.74</v>
      </c>
      <c r="D6971" s="23">
        <v>1727.1510000000001</v>
      </c>
      <c r="E6971" s="23">
        <v>1233.712</v>
      </c>
      <c r="F6971" s="23">
        <v>-493.43900000000002</v>
      </c>
      <c r="G6971" s="23">
        <v>0</v>
      </c>
      <c r="H6971" s="23">
        <v>0</v>
      </c>
      <c r="I6971" s="23">
        <v>0</v>
      </c>
      <c r="J6971" s="23">
        <v>0</v>
      </c>
      <c r="K6971" s="23">
        <v>0</v>
      </c>
    </row>
    <row r="6972" spans="1:11" x14ac:dyDescent="0.25">
      <c r="A6972">
        <v>6971</v>
      </c>
      <c r="B6972" s="23">
        <v>1280.4232569999999</v>
      </c>
      <c r="C6972" s="23">
        <v>520.16999999999996</v>
      </c>
      <c r="D6972" s="23">
        <v>2001.903</v>
      </c>
      <c r="E6972" s="23">
        <v>1280.424</v>
      </c>
      <c r="F6972" s="23">
        <v>-721.47900000000004</v>
      </c>
      <c r="G6972" s="23">
        <v>0</v>
      </c>
      <c r="H6972" s="23">
        <v>0</v>
      </c>
      <c r="I6972" s="23">
        <v>0</v>
      </c>
      <c r="J6972" s="23">
        <v>0</v>
      </c>
      <c r="K6972" s="23">
        <v>0</v>
      </c>
    </row>
    <row r="6973" spans="1:11" x14ac:dyDescent="0.25">
      <c r="A6973">
        <v>6972</v>
      </c>
      <c r="B6973" s="23">
        <v>1104.273891</v>
      </c>
      <c r="C6973" s="23">
        <v>515.44000000000005</v>
      </c>
      <c r="D6973" s="23">
        <v>1977.665</v>
      </c>
      <c r="E6973" s="23">
        <v>1104.2739999999999</v>
      </c>
      <c r="F6973" s="23">
        <v>-873.39099999999996</v>
      </c>
      <c r="G6973" s="23">
        <v>0</v>
      </c>
      <c r="H6973" s="23">
        <v>0</v>
      </c>
      <c r="I6973" s="23">
        <v>0</v>
      </c>
      <c r="J6973" s="23">
        <v>0</v>
      </c>
      <c r="K6973" s="23">
        <v>0</v>
      </c>
    </row>
    <row r="6974" spans="1:11" x14ac:dyDescent="0.25">
      <c r="A6974">
        <v>6973</v>
      </c>
      <c r="B6974" s="23">
        <v>1300.3109320000001</v>
      </c>
      <c r="C6974" s="23">
        <v>663.35</v>
      </c>
      <c r="D6974" s="23">
        <v>2535.8719999999998</v>
      </c>
      <c r="E6974" s="23">
        <v>1300.3109999999999</v>
      </c>
      <c r="F6974" s="23">
        <v>-1235.5609999999999</v>
      </c>
      <c r="G6974" s="23">
        <v>0</v>
      </c>
      <c r="H6974" s="23">
        <v>0</v>
      </c>
      <c r="I6974" s="23">
        <v>0</v>
      </c>
      <c r="J6974" s="23">
        <v>0</v>
      </c>
      <c r="K6974" s="23">
        <v>0</v>
      </c>
    </row>
    <row r="6975" spans="1:11" x14ac:dyDescent="0.25">
      <c r="A6975">
        <v>6974</v>
      </c>
      <c r="B6975" s="23">
        <v>1092.2167810000001</v>
      </c>
      <c r="C6975" s="23">
        <v>361.71</v>
      </c>
      <c r="D6975" s="23">
        <v>1396.847</v>
      </c>
      <c r="E6975" s="23">
        <v>1092.2159999999999</v>
      </c>
      <c r="F6975" s="23">
        <v>-304.63099999999997</v>
      </c>
      <c r="G6975" s="23">
        <v>0</v>
      </c>
      <c r="H6975" s="23">
        <v>0</v>
      </c>
      <c r="I6975" s="23">
        <v>0</v>
      </c>
      <c r="J6975" s="23">
        <v>0</v>
      </c>
      <c r="K6975" s="23">
        <v>0</v>
      </c>
    </row>
    <row r="6976" spans="1:11" x14ac:dyDescent="0.25">
      <c r="A6976">
        <v>6975</v>
      </c>
      <c r="B6976" s="23">
        <v>1134.3734469999999</v>
      </c>
      <c r="C6976" s="23">
        <v>409.07</v>
      </c>
      <c r="D6976" s="23">
        <v>1602.915</v>
      </c>
      <c r="E6976" s="23">
        <v>1134.374</v>
      </c>
      <c r="F6976" s="23">
        <v>-468.541</v>
      </c>
      <c r="G6976" s="23">
        <v>0</v>
      </c>
      <c r="H6976" s="23">
        <v>0</v>
      </c>
      <c r="I6976" s="23">
        <v>0</v>
      </c>
      <c r="J6976" s="23">
        <v>0</v>
      </c>
      <c r="K6976" s="23">
        <v>0</v>
      </c>
    </row>
    <row r="6977" spans="1:11" x14ac:dyDescent="0.25">
      <c r="A6977">
        <v>6976</v>
      </c>
      <c r="B6977" s="23">
        <v>1436.7587579999999</v>
      </c>
      <c r="C6977" s="23">
        <v>208.34</v>
      </c>
      <c r="D6977" s="23">
        <v>815.73</v>
      </c>
      <c r="E6977" s="23">
        <v>815.73</v>
      </c>
      <c r="F6977" s="23">
        <v>0</v>
      </c>
      <c r="G6977" s="23">
        <v>0</v>
      </c>
      <c r="H6977" s="23">
        <v>0</v>
      </c>
      <c r="I6977" s="23">
        <v>621.02800000000002</v>
      </c>
      <c r="J6977" s="23">
        <v>0</v>
      </c>
      <c r="K6977" s="23">
        <v>0</v>
      </c>
    </row>
    <row r="6978" spans="1:11" x14ac:dyDescent="0.25">
      <c r="A6978">
        <v>6977</v>
      </c>
      <c r="B6978" s="23">
        <v>1263.9142919999999</v>
      </c>
      <c r="C6978" s="23">
        <v>104.13</v>
      </c>
      <c r="D6978" s="23">
        <v>389.11099999999999</v>
      </c>
      <c r="E6978" s="23">
        <v>389.11099999999999</v>
      </c>
      <c r="F6978" s="23">
        <v>0</v>
      </c>
      <c r="G6978" s="23">
        <v>0</v>
      </c>
      <c r="H6978" s="23">
        <v>0</v>
      </c>
      <c r="I6978" s="23">
        <v>874.803</v>
      </c>
      <c r="J6978" s="23">
        <v>0</v>
      </c>
      <c r="K6978" s="23">
        <v>0</v>
      </c>
    </row>
    <row r="6979" spans="1:11" x14ac:dyDescent="0.25">
      <c r="A6979">
        <v>6978</v>
      </c>
      <c r="B6979" s="23">
        <v>1435.7710750000001</v>
      </c>
      <c r="C6979" s="23">
        <v>4.8899999999999997</v>
      </c>
      <c r="D6979" s="23">
        <v>0</v>
      </c>
      <c r="E6979" s="23">
        <v>0</v>
      </c>
      <c r="F6979" s="23">
        <v>0</v>
      </c>
      <c r="G6979" s="23">
        <v>0</v>
      </c>
      <c r="H6979" s="23">
        <v>0</v>
      </c>
      <c r="I6979" s="23">
        <v>0</v>
      </c>
      <c r="J6979" s="23">
        <v>0</v>
      </c>
      <c r="K6979" s="23">
        <v>1435.771</v>
      </c>
    </row>
    <row r="6980" spans="1:11" x14ac:dyDescent="0.25">
      <c r="A6980">
        <v>6979</v>
      </c>
      <c r="B6980" s="23">
        <v>1114.3041619999999</v>
      </c>
      <c r="C6980" s="23">
        <v>0</v>
      </c>
      <c r="D6980" s="23">
        <v>0</v>
      </c>
      <c r="E6980" s="23">
        <v>0</v>
      </c>
      <c r="F6980" s="23">
        <v>0</v>
      </c>
      <c r="G6980" s="23">
        <v>0</v>
      </c>
      <c r="H6980" s="23">
        <v>0</v>
      </c>
      <c r="I6980" s="23">
        <v>0</v>
      </c>
      <c r="J6980" s="23">
        <v>0</v>
      </c>
      <c r="K6980" s="23">
        <v>1114.3040000000001</v>
      </c>
    </row>
    <row r="6981" spans="1:11" x14ac:dyDescent="0.25">
      <c r="A6981">
        <v>6980</v>
      </c>
      <c r="B6981" s="23">
        <v>986.71148970000002</v>
      </c>
      <c r="C6981" s="23">
        <v>0</v>
      </c>
      <c r="D6981" s="23">
        <v>0</v>
      </c>
      <c r="E6981" s="23">
        <v>0</v>
      </c>
      <c r="F6981" s="23">
        <v>0</v>
      </c>
      <c r="G6981" s="23">
        <v>0</v>
      </c>
      <c r="H6981" s="23">
        <v>0</v>
      </c>
      <c r="I6981" s="23">
        <v>0</v>
      </c>
      <c r="J6981" s="23">
        <v>0</v>
      </c>
      <c r="K6981" s="23">
        <v>986.71100000000001</v>
      </c>
    </row>
    <row r="6982" spans="1:11" x14ac:dyDescent="0.25">
      <c r="A6982">
        <v>6981</v>
      </c>
      <c r="B6982" s="23">
        <v>1394.6040350000001</v>
      </c>
      <c r="C6982" s="23">
        <v>0</v>
      </c>
      <c r="D6982" s="23">
        <v>0</v>
      </c>
      <c r="E6982" s="23">
        <v>0</v>
      </c>
      <c r="F6982" s="23">
        <v>0</v>
      </c>
      <c r="G6982" s="23">
        <v>0</v>
      </c>
      <c r="H6982" s="23">
        <v>0</v>
      </c>
      <c r="I6982" s="23">
        <v>1394.604</v>
      </c>
      <c r="J6982" s="23">
        <v>0</v>
      </c>
      <c r="K6982" s="23">
        <v>0</v>
      </c>
    </row>
    <row r="6983" spans="1:11" x14ac:dyDescent="0.25">
      <c r="A6983">
        <v>6982</v>
      </c>
      <c r="B6983" s="23">
        <v>1505.706195</v>
      </c>
      <c r="C6983" s="23">
        <v>0</v>
      </c>
      <c r="D6983" s="23">
        <v>0</v>
      </c>
      <c r="E6983" s="23">
        <v>0</v>
      </c>
      <c r="F6983" s="23">
        <v>0</v>
      </c>
      <c r="G6983" s="23">
        <v>0</v>
      </c>
      <c r="H6983" s="23">
        <v>0</v>
      </c>
      <c r="I6983" s="23">
        <v>1505.7059999999999</v>
      </c>
      <c r="J6983" s="23">
        <v>0</v>
      </c>
      <c r="K6983" s="23">
        <v>0</v>
      </c>
    </row>
    <row r="6984" spans="1:11" x14ac:dyDescent="0.25">
      <c r="A6984">
        <v>6983</v>
      </c>
      <c r="B6984" s="23">
        <v>1400.042602</v>
      </c>
      <c r="C6984" s="23">
        <v>0</v>
      </c>
      <c r="D6984" s="23">
        <v>0</v>
      </c>
      <c r="E6984" s="23">
        <v>0</v>
      </c>
      <c r="F6984" s="23">
        <v>0</v>
      </c>
      <c r="G6984" s="23">
        <v>0</v>
      </c>
      <c r="H6984" s="23">
        <v>0</v>
      </c>
      <c r="I6984" s="23">
        <v>1400.0429999999999</v>
      </c>
      <c r="J6984" s="23">
        <v>0</v>
      </c>
      <c r="K6984" s="23">
        <v>0</v>
      </c>
    </row>
    <row r="6985" spans="1:11" x14ac:dyDescent="0.25">
      <c r="A6985">
        <v>6984</v>
      </c>
      <c r="B6985" s="23">
        <v>1386.8346529999999</v>
      </c>
      <c r="C6985" s="23">
        <v>0</v>
      </c>
      <c r="D6985" s="23">
        <v>0</v>
      </c>
      <c r="E6985" s="23">
        <v>0</v>
      </c>
      <c r="F6985" s="23">
        <v>0</v>
      </c>
      <c r="G6985" s="23">
        <v>0</v>
      </c>
      <c r="H6985" s="23">
        <v>0</v>
      </c>
      <c r="I6985" s="23">
        <v>1386.835</v>
      </c>
      <c r="J6985" s="23">
        <v>0</v>
      </c>
      <c r="K6985" s="23">
        <v>0</v>
      </c>
    </row>
    <row r="6986" spans="1:11" x14ac:dyDescent="0.25">
      <c r="A6986">
        <v>6985</v>
      </c>
      <c r="B6986" s="23">
        <v>1262.5245440000001</v>
      </c>
      <c r="C6986" s="23">
        <v>0</v>
      </c>
      <c r="D6986" s="23">
        <v>0</v>
      </c>
      <c r="E6986" s="23">
        <v>0</v>
      </c>
      <c r="F6986" s="23">
        <v>0</v>
      </c>
      <c r="G6986" s="23">
        <v>0</v>
      </c>
      <c r="H6986" s="23">
        <v>0</v>
      </c>
      <c r="I6986" s="23">
        <v>1262.5250000000001</v>
      </c>
      <c r="J6986" s="23">
        <v>0</v>
      </c>
      <c r="K6986" s="23">
        <v>0</v>
      </c>
    </row>
    <row r="6987" spans="1:11" x14ac:dyDescent="0.25">
      <c r="A6987">
        <v>6986</v>
      </c>
      <c r="B6987" s="23">
        <v>1246.98578</v>
      </c>
      <c r="C6987" s="23">
        <v>0</v>
      </c>
      <c r="D6987" s="23">
        <v>0</v>
      </c>
      <c r="E6987" s="23">
        <v>0</v>
      </c>
      <c r="F6987" s="23">
        <v>0</v>
      </c>
      <c r="G6987" s="23">
        <v>0</v>
      </c>
      <c r="H6987" s="23">
        <v>0</v>
      </c>
      <c r="I6987" s="23">
        <v>1246.9860000000001</v>
      </c>
      <c r="J6987" s="23">
        <v>0</v>
      </c>
      <c r="K6987" s="23">
        <v>0</v>
      </c>
    </row>
    <row r="6988" spans="1:11" x14ac:dyDescent="0.25">
      <c r="A6988">
        <v>6987</v>
      </c>
      <c r="B6988" s="23">
        <v>1582.6230740000001</v>
      </c>
      <c r="C6988" s="23">
        <v>0</v>
      </c>
      <c r="D6988" s="23">
        <v>0</v>
      </c>
      <c r="E6988" s="23">
        <v>0</v>
      </c>
      <c r="F6988" s="23">
        <v>0</v>
      </c>
      <c r="G6988" s="23">
        <v>0</v>
      </c>
      <c r="H6988" s="23">
        <v>0</v>
      </c>
      <c r="I6988" s="23">
        <v>1582.623</v>
      </c>
      <c r="J6988" s="23">
        <v>0</v>
      </c>
      <c r="K6988" s="23">
        <v>0</v>
      </c>
    </row>
    <row r="6989" spans="1:11" x14ac:dyDescent="0.25">
      <c r="A6989">
        <v>6988</v>
      </c>
      <c r="B6989" s="23">
        <v>1398.488726</v>
      </c>
      <c r="C6989" s="23">
        <v>0</v>
      </c>
      <c r="D6989" s="23">
        <v>0</v>
      </c>
      <c r="E6989" s="23">
        <v>0</v>
      </c>
      <c r="F6989" s="23">
        <v>0</v>
      </c>
      <c r="G6989" s="23">
        <v>0</v>
      </c>
      <c r="H6989" s="23">
        <v>0</v>
      </c>
      <c r="I6989" s="23">
        <v>1398.489</v>
      </c>
      <c r="J6989" s="23">
        <v>0</v>
      </c>
      <c r="K6989" s="23">
        <v>0</v>
      </c>
    </row>
    <row r="6990" spans="1:11" x14ac:dyDescent="0.25">
      <c r="A6990">
        <v>6989</v>
      </c>
      <c r="B6990" s="23">
        <v>1537.5606600000001</v>
      </c>
      <c r="C6990" s="23">
        <v>0</v>
      </c>
      <c r="D6990" s="23">
        <v>0</v>
      </c>
      <c r="E6990" s="23">
        <v>0</v>
      </c>
      <c r="F6990" s="23">
        <v>0</v>
      </c>
      <c r="G6990" s="23">
        <v>0</v>
      </c>
      <c r="H6990" s="23">
        <v>0</v>
      </c>
      <c r="I6990" s="23">
        <v>1537.5609999999999</v>
      </c>
      <c r="J6990" s="23">
        <v>0</v>
      </c>
      <c r="K6990" s="23">
        <v>0</v>
      </c>
    </row>
    <row r="6991" spans="1:11" x14ac:dyDescent="0.25">
      <c r="A6991">
        <v>6990</v>
      </c>
      <c r="B6991" s="23">
        <v>1553.876362</v>
      </c>
      <c r="C6991" s="23">
        <v>0</v>
      </c>
      <c r="D6991" s="23">
        <v>0</v>
      </c>
      <c r="E6991" s="23">
        <v>0</v>
      </c>
      <c r="F6991" s="23">
        <v>0</v>
      </c>
      <c r="G6991" s="23">
        <v>0</v>
      </c>
      <c r="H6991" s="23">
        <v>0</v>
      </c>
      <c r="I6991" s="23">
        <v>704.28200000000004</v>
      </c>
      <c r="J6991" s="23">
        <v>0</v>
      </c>
      <c r="K6991" s="23">
        <v>849.59500000000003</v>
      </c>
    </row>
    <row r="6992" spans="1:11" x14ac:dyDescent="0.25">
      <c r="A6992">
        <v>6991</v>
      </c>
      <c r="B6992" s="23">
        <v>1107.5098379999999</v>
      </c>
      <c r="C6992" s="23">
        <v>106.02</v>
      </c>
      <c r="D6992" s="23">
        <v>368.82</v>
      </c>
      <c r="E6992" s="23">
        <v>368.82</v>
      </c>
      <c r="F6992" s="23">
        <v>0</v>
      </c>
      <c r="G6992" s="23">
        <v>0</v>
      </c>
      <c r="H6992" s="23">
        <v>0</v>
      </c>
      <c r="I6992" s="23">
        <v>0</v>
      </c>
      <c r="J6992" s="23">
        <v>0</v>
      </c>
      <c r="K6992" s="23">
        <v>738.69</v>
      </c>
    </row>
    <row r="6993" spans="1:11" x14ac:dyDescent="0.25">
      <c r="A6993">
        <v>6992</v>
      </c>
      <c r="B6993" s="23">
        <v>198.92142480000001</v>
      </c>
      <c r="C6993" s="23">
        <v>268.81</v>
      </c>
      <c r="D6993" s="23">
        <v>1074.0239999999999</v>
      </c>
      <c r="E6993" s="23">
        <v>198.922</v>
      </c>
      <c r="F6993" s="23">
        <v>-875.10199999999998</v>
      </c>
      <c r="G6993" s="23">
        <v>0</v>
      </c>
      <c r="H6993" s="23">
        <v>0</v>
      </c>
      <c r="I6993" s="23">
        <v>0</v>
      </c>
      <c r="J6993" s="23">
        <v>0</v>
      </c>
      <c r="K6993" s="23">
        <v>0</v>
      </c>
    </row>
    <row r="6994" spans="1:11" x14ac:dyDescent="0.25">
      <c r="A6994">
        <v>6993</v>
      </c>
      <c r="B6994" s="23">
        <v>298.2131531</v>
      </c>
      <c r="C6994" s="23">
        <v>541.94000000000005</v>
      </c>
      <c r="D6994" s="23">
        <v>2155.31</v>
      </c>
      <c r="E6994" s="23">
        <v>298.214</v>
      </c>
      <c r="F6994" s="23">
        <v>-1684.559</v>
      </c>
      <c r="G6994" s="23">
        <v>0</v>
      </c>
      <c r="H6994" s="23">
        <v>172.53700000000001</v>
      </c>
      <c r="I6994" s="23">
        <v>0</v>
      </c>
      <c r="J6994" s="23">
        <v>0</v>
      </c>
      <c r="K6994" s="23">
        <v>0</v>
      </c>
    </row>
    <row r="6995" spans="1:11" x14ac:dyDescent="0.25">
      <c r="A6995">
        <v>6994</v>
      </c>
      <c r="B6995" s="23">
        <v>304.1926636</v>
      </c>
      <c r="C6995" s="23">
        <v>481.41</v>
      </c>
      <c r="D6995" s="23">
        <v>1874.1479999999999</v>
      </c>
      <c r="E6995" s="23">
        <v>304.19299999999998</v>
      </c>
      <c r="F6995" s="23">
        <v>-1569.9549999999999</v>
      </c>
      <c r="G6995" s="23">
        <v>0</v>
      </c>
      <c r="H6995" s="23">
        <v>0</v>
      </c>
      <c r="I6995" s="23">
        <v>0</v>
      </c>
      <c r="J6995" s="23">
        <v>0</v>
      </c>
      <c r="K6995" s="23">
        <v>0</v>
      </c>
    </row>
    <row r="6996" spans="1:11" x14ac:dyDescent="0.25">
      <c r="A6996">
        <v>6995</v>
      </c>
      <c r="B6996" s="23">
        <v>345.29754930000001</v>
      </c>
      <c r="C6996" s="23">
        <v>496.87</v>
      </c>
      <c r="D6996" s="23">
        <v>1911.0260000000001</v>
      </c>
      <c r="E6996" s="23">
        <v>345.29700000000003</v>
      </c>
      <c r="F6996" s="23">
        <v>-1565.729</v>
      </c>
      <c r="G6996" s="23">
        <v>0</v>
      </c>
      <c r="H6996" s="23">
        <v>0</v>
      </c>
      <c r="I6996" s="23">
        <v>0</v>
      </c>
      <c r="J6996" s="23">
        <v>0</v>
      </c>
      <c r="K6996" s="23">
        <v>0</v>
      </c>
    </row>
    <row r="6997" spans="1:11" x14ac:dyDescent="0.25">
      <c r="A6997">
        <v>6996</v>
      </c>
      <c r="B6997" s="23">
        <v>302.53681410000002</v>
      </c>
      <c r="C6997" s="23">
        <v>724.97</v>
      </c>
      <c r="D6997" s="23">
        <v>2750.1729999999998</v>
      </c>
      <c r="E6997" s="23">
        <v>302.53699999999998</v>
      </c>
      <c r="F6997" s="23">
        <v>-1596.153</v>
      </c>
      <c r="G6997" s="23">
        <v>0</v>
      </c>
      <c r="H6997" s="23">
        <v>851.48299999999995</v>
      </c>
      <c r="I6997" s="23">
        <v>0</v>
      </c>
      <c r="J6997" s="23">
        <v>0</v>
      </c>
      <c r="K6997" s="23">
        <v>0</v>
      </c>
    </row>
    <row r="6998" spans="1:11" x14ac:dyDescent="0.25">
      <c r="A6998">
        <v>6997</v>
      </c>
      <c r="B6998" s="23">
        <v>291.07600480000002</v>
      </c>
      <c r="C6998" s="23">
        <v>317.85000000000002</v>
      </c>
      <c r="D6998" s="23">
        <v>1214.682</v>
      </c>
      <c r="E6998" s="23">
        <v>291.07600000000002</v>
      </c>
      <c r="F6998" s="23">
        <v>0</v>
      </c>
      <c r="G6998" s="23">
        <v>0</v>
      </c>
      <c r="H6998" s="23">
        <v>923.60599999999999</v>
      </c>
      <c r="I6998" s="23">
        <v>0</v>
      </c>
      <c r="J6998" s="23">
        <v>0</v>
      </c>
      <c r="K6998" s="23">
        <v>0</v>
      </c>
    </row>
    <row r="6999" spans="1:11" x14ac:dyDescent="0.25">
      <c r="A6999">
        <v>6998</v>
      </c>
      <c r="B6999" s="23">
        <v>306.26029039999997</v>
      </c>
      <c r="C6999" s="23">
        <v>535.89</v>
      </c>
      <c r="D6999" s="23">
        <v>2063.096</v>
      </c>
      <c r="E6999" s="23">
        <v>306.26</v>
      </c>
      <c r="F6999" s="23">
        <v>0</v>
      </c>
      <c r="G6999" s="23">
        <v>0</v>
      </c>
      <c r="H6999" s="23">
        <v>1756.836</v>
      </c>
      <c r="I6999" s="23">
        <v>0</v>
      </c>
      <c r="J6999" s="23">
        <v>0</v>
      </c>
      <c r="K6999" s="23">
        <v>0</v>
      </c>
    </row>
    <row r="7000" spans="1:11" x14ac:dyDescent="0.25">
      <c r="A7000">
        <v>6999</v>
      </c>
      <c r="B7000" s="23">
        <v>275.20995599999998</v>
      </c>
      <c r="C7000" s="23">
        <v>556.99</v>
      </c>
      <c r="D7000" s="23">
        <v>2174.8519999999999</v>
      </c>
      <c r="E7000" s="23">
        <v>275.20999999999998</v>
      </c>
      <c r="F7000" s="23">
        <v>0</v>
      </c>
      <c r="G7000" s="23">
        <v>0</v>
      </c>
      <c r="H7000" s="23">
        <v>1899.6420000000001</v>
      </c>
      <c r="I7000" s="23">
        <v>0</v>
      </c>
      <c r="J7000" s="23">
        <v>0</v>
      </c>
      <c r="K7000" s="23">
        <v>0</v>
      </c>
    </row>
    <row r="7001" spans="1:11" x14ac:dyDescent="0.25">
      <c r="A7001">
        <v>7000</v>
      </c>
      <c r="B7001" s="23">
        <v>224.03400920000001</v>
      </c>
      <c r="C7001" s="23">
        <v>387.61</v>
      </c>
      <c r="D7001" s="23">
        <v>1547.1969999999999</v>
      </c>
      <c r="E7001" s="23">
        <v>224.03399999999999</v>
      </c>
      <c r="F7001" s="23">
        <v>0</v>
      </c>
      <c r="G7001" s="23">
        <v>0</v>
      </c>
      <c r="H7001" s="23">
        <v>1323.163</v>
      </c>
      <c r="I7001" s="23">
        <v>0</v>
      </c>
      <c r="J7001" s="23">
        <v>0</v>
      </c>
      <c r="K7001" s="23">
        <v>0</v>
      </c>
    </row>
    <row r="7002" spans="1:11" x14ac:dyDescent="0.25">
      <c r="A7002">
        <v>7001</v>
      </c>
      <c r="B7002" s="23">
        <v>243.4564925</v>
      </c>
      <c r="C7002" s="23">
        <v>65.22</v>
      </c>
      <c r="D7002" s="23">
        <v>232.94</v>
      </c>
      <c r="E7002" s="23">
        <v>232.94</v>
      </c>
      <c r="F7002" s="23">
        <v>0</v>
      </c>
      <c r="G7002" s="23">
        <v>0</v>
      </c>
      <c r="H7002" s="23">
        <v>0</v>
      </c>
      <c r="I7002" s="23">
        <v>0</v>
      </c>
      <c r="J7002" s="23">
        <v>0</v>
      </c>
      <c r="K7002" s="23">
        <v>10.516999999999999</v>
      </c>
    </row>
    <row r="7003" spans="1:11" x14ac:dyDescent="0.25">
      <c r="A7003">
        <v>7002</v>
      </c>
      <c r="B7003" s="23">
        <v>289.91253990000001</v>
      </c>
      <c r="C7003" s="23">
        <v>3.91</v>
      </c>
      <c r="D7003" s="23">
        <v>0</v>
      </c>
      <c r="E7003" s="23">
        <v>0</v>
      </c>
      <c r="F7003" s="23">
        <v>0</v>
      </c>
      <c r="G7003" s="23">
        <v>0</v>
      </c>
      <c r="H7003" s="23">
        <v>0</v>
      </c>
      <c r="I7003" s="23">
        <v>0</v>
      </c>
      <c r="J7003" s="23">
        <v>0</v>
      </c>
      <c r="K7003" s="23">
        <v>289.91300000000001</v>
      </c>
    </row>
    <row r="7004" spans="1:11" x14ac:dyDescent="0.25">
      <c r="A7004">
        <v>7003</v>
      </c>
      <c r="B7004" s="23">
        <v>248.78046140000001</v>
      </c>
      <c r="C7004" s="23">
        <v>0</v>
      </c>
      <c r="D7004" s="23">
        <v>0</v>
      </c>
      <c r="E7004" s="23">
        <v>0</v>
      </c>
      <c r="F7004" s="23">
        <v>0</v>
      </c>
      <c r="G7004" s="23">
        <v>0</v>
      </c>
      <c r="H7004" s="23">
        <v>0</v>
      </c>
      <c r="I7004" s="23">
        <v>0</v>
      </c>
      <c r="J7004" s="23">
        <v>0</v>
      </c>
      <c r="K7004" s="23">
        <v>248.78</v>
      </c>
    </row>
    <row r="7005" spans="1:11" x14ac:dyDescent="0.25">
      <c r="A7005">
        <v>7004</v>
      </c>
      <c r="B7005" s="23">
        <v>309.22139600000003</v>
      </c>
      <c r="C7005" s="23">
        <v>0</v>
      </c>
      <c r="D7005" s="23">
        <v>0</v>
      </c>
      <c r="E7005" s="23">
        <v>0</v>
      </c>
      <c r="F7005" s="23">
        <v>0</v>
      </c>
      <c r="G7005" s="23">
        <v>0</v>
      </c>
      <c r="H7005" s="23">
        <v>0</v>
      </c>
      <c r="I7005" s="23">
        <v>0</v>
      </c>
      <c r="J7005" s="23">
        <v>0</v>
      </c>
      <c r="K7005" s="23">
        <v>309.221</v>
      </c>
    </row>
    <row r="7006" spans="1:11" x14ac:dyDescent="0.25">
      <c r="A7006">
        <v>7005</v>
      </c>
      <c r="B7006" s="23">
        <v>289.79794149999998</v>
      </c>
      <c r="C7006" s="23">
        <v>0</v>
      </c>
      <c r="D7006" s="23">
        <v>0</v>
      </c>
      <c r="E7006" s="23">
        <v>0</v>
      </c>
      <c r="F7006" s="23">
        <v>0</v>
      </c>
      <c r="G7006" s="23">
        <v>0</v>
      </c>
      <c r="H7006" s="23">
        <v>0</v>
      </c>
      <c r="I7006" s="23">
        <v>0</v>
      </c>
      <c r="J7006" s="23">
        <v>0</v>
      </c>
      <c r="K7006" s="23">
        <v>289.798</v>
      </c>
    </row>
    <row r="7007" spans="1:11" x14ac:dyDescent="0.25">
      <c r="A7007">
        <v>7006</v>
      </c>
      <c r="B7007" s="23">
        <v>230.75063969999999</v>
      </c>
      <c r="C7007" s="23">
        <v>0</v>
      </c>
      <c r="D7007" s="23">
        <v>0</v>
      </c>
      <c r="E7007" s="23">
        <v>0</v>
      </c>
      <c r="F7007" s="23">
        <v>0</v>
      </c>
      <c r="G7007" s="23">
        <v>0</v>
      </c>
      <c r="H7007" s="23">
        <v>0</v>
      </c>
      <c r="I7007" s="23">
        <v>0</v>
      </c>
      <c r="J7007" s="23">
        <v>0</v>
      </c>
      <c r="K7007" s="23">
        <v>230.751</v>
      </c>
    </row>
    <row r="7008" spans="1:11" x14ac:dyDescent="0.25">
      <c r="A7008">
        <v>7007</v>
      </c>
      <c r="B7008" s="23">
        <v>296.79038509999998</v>
      </c>
      <c r="C7008" s="23">
        <v>0</v>
      </c>
      <c r="D7008" s="23">
        <v>0</v>
      </c>
      <c r="E7008" s="23">
        <v>0</v>
      </c>
      <c r="F7008" s="23">
        <v>0</v>
      </c>
      <c r="G7008" s="23">
        <v>0</v>
      </c>
      <c r="H7008" s="23">
        <v>0</v>
      </c>
      <c r="I7008" s="23">
        <v>0</v>
      </c>
      <c r="J7008" s="23">
        <v>0</v>
      </c>
      <c r="K7008" s="23">
        <v>296.79000000000002</v>
      </c>
    </row>
    <row r="7009" spans="1:11" x14ac:dyDescent="0.25">
      <c r="A7009">
        <v>7008</v>
      </c>
      <c r="B7009" s="23">
        <v>163.15701799999999</v>
      </c>
      <c r="C7009" s="23">
        <v>0</v>
      </c>
      <c r="D7009" s="23">
        <v>0</v>
      </c>
      <c r="E7009" s="23">
        <v>0</v>
      </c>
      <c r="F7009" s="23">
        <v>0</v>
      </c>
      <c r="G7009" s="23">
        <v>0</v>
      </c>
      <c r="H7009" s="23">
        <v>0</v>
      </c>
      <c r="I7009" s="23">
        <v>0</v>
      </c>
      <c r="J7009" s="23">
        <v>0</v>
      </c>
      <c r="K7009" s="23">
        <v>163.15700000000001</v>
      </c>
    </row>
    <row r="7010" spans="1:11" x14ac:dyDescent="0.25">
      <c r="A7010">
        <v>7009</v>
      </c>
      <c r="B7010" s="23">
        <v>222.20431970000001</v>
      </c>
      <c r="C7010" s="23">
        <v>0</v>
      </c>
      <c r="D7010" s="23">
        <v>0</v>
      </c>
      <c r="E7010" s="23">
        <v>0</v>
      </c>
      <c r="F7010" s="23">
        <v>0</v>
      </c>
      <c r="G7010" s="23">
        <v>0</v>
      </c>
      <c r="H7010" s="23">
        <v>0</v>
      </c>
      <c r="I7010" s="23">
        <v>0</v>
      </c>
      <c r="J7010" s="23">
        <v>0</v>
      </c>
      <c r="K7010" s="23">
        <v>222.20400000000001</v>
      </c>
    </row>
    <row r="7011" spans="1:11" x14ac:dyDescent="0.25">
      <c r="A7011">
        <v>7010</v>
      </c>
      <c r="B7011" s="23">
        <v>219.87350520000001</v>
      </c>
      <c r="C7011" s="23">
        <v>0</v>
      </c>
      <c r="D7011" s="23">
        <v>0</v>
      </c>
      <c r="E7011" s="23">
        <v>0</v>
      </c>
      <c r="F7011" s="23">
        <v>0</v>
      </c>
      <c r="G7011" s="23">
        <v>0</v>
      </c>
      <c r="H7011" s="23">
        <v>0</v>
      </c>
      <c r="I7011" s="23">
        <v>0</v>
      </c>
      <c r="J7011" s="23">
        <v>0</v>
      </c>
      <c r="K7011" s="23">
        <v>219.874</v>
      </c>
    </row>
    <row r="7012" spans="1:11" x14ac:dyDescent="0.25">
      <c r="A7012">
        <v>7011</v>
      </c>
      <c r="B7012" s="23">
        <v>215.21187610000001</v>
      </c>
      <c r="C7012" s="23">
        <v>0</v>
      </c>
      <c r="D7012" s="23">
        <v>0</v>
      </c>
      <c r="E7012" s="23">
        <v>0</v>
      </c>
      <c r="F7012" s="23">
        <v>0</v>
      </c>
      <c r="G7012" s="23">
        <v>0</v>
      </c>
      <c r="H7012" s="23">
        <v>0</v>
      </c>
      <c r="I7012" s="23">
        <v>0</v>
      </c>
      <c r="J7012" s="23">
        <v>0</v>
      </c>
      <c r="K7012" s="23">
        <v>215.21199999999999</v>
      </c>
    </row>
    <row r="7013" spans="1:11" x14ac:dyDescent="0.25">
      <c r="A7013">
        <v>7012</v>
      </c>
      <c r="B7013" s="23">
        <v>131.30255260000001</v>
      </c>
      <c r="C7013" s="23">
        <v>0</v>
      </c>
      <c r="D7013" s="23">
        <v>0</v>
      </c>
      <c r="E7013" s="23">
        <v>0</v>
      </c>
      <c r="F7013" s="23">
        <v>0</v>
      </c>
      <c r="G7013" s="23">
        <v>0</v>
      </c>
      <c r="H7013" s="23">
        <v>0</v>
      </c>
      <c r="I7013" s="23">
        <v>0</v>
      </c>
      <c r="J7013" s="23">
        <v>0</v>
      </c>
      <c r="K7013" s="23">
        <v>131.303</v>
      </c>
    </row>
    <row r="7014" spans="1:11" x14ac:dyDescent="0.25">
      <c r="A7014">
        <v>7013</v>
      </c>
      <c r="B7014" s="23">
        <v>144.5105016</v>
      </c>
      <c r="C7014" s="23">
        <v>0</v>
      </c>
      <c r="D7014" s="23">
        <v>0</v>
      </c>
      <c r="E7014" s="23">
        <v>0</v>
      </c>
      <c r="F7014" s="23">
        <v>0</v>
      </c>
      <c r="G7014" s="23">
        <v>0</v>
      </c>
      <c r="H7014" s="23">
        <v>0</v>
      </c>
      <c r="I7014" s="23">
        <v>0</v>
      </c>
      <c r="J7014" s="23">
        <v>0</v>
      </c>
      <c r="K7014" s="23">
        <v>144.511</v>
      </c>
    </row>
    <row r="7015" spans="1:11" x14ac:dyDescent="0.25">
      <c r="A7015">
        <v>7014</v>
      </c>
      <c r="B7015" s="23">
        <v>197.34229790000001</v>
      </c>
      <c r="C7015" s="23">
        <v>0</v>
      </c>
      <c r="D7015" s="23">
        <v>0</v>
      </c>
      <c r="E7015" s="23">
        <v>0</v>
      </c>
      <c r="F7015" s="23">
        <v>0</v>
      </c>
      <c r="G7015" s="23">
        <v>0</v>
      </c>
      <c r="H7015" s="23">
        <v>0</v>
      </c>
      <c r="I7015" s="23">
        <v>0</v>
      </c>
      <c r="J7015" s="23">
        <v>0</v>
      </c>
      <c r="K7015" s="23">
        <v>197.34200000000001</v>
      </c>
    </row>
    <row r="7016" spans="1:11" x14ac:dyDescent="0.25">
      <c r="A7016">
        <v>7015</v>
      </c>
      <c r="B7016" s="23">
        <v>135.91368069999999</v>
      </c>
      <c r="C7016" s="23">
        <v>66.28</v>
      </c>
      <c r="D7016" s="23">
        <v>235.34700000000001</v>
      </c>
      <c r="E7016" s="23">
        <v>135.91399999999999</v>
      </c>
      <c r="F7016" s="23">
        <v>-99.433000000000007</v>
      </c>
      <c r="G7016" s="23">
        <v>0</v>
      </c>
      <c r="H7016" s="23">
        <v>0</v>
      </c>
      <c r="I7016" s="23">
        <v>0</v>
      </c>
      <c r="J7016" s="23">
        <v>0</v>
      </c>
      <c r="K7016" s="23">
        <v>0</v>
      </c>
    </row>
    <row r="7017" spans="1:11" x14ac:dyDescent="0.25">
      <c r="A7017">
        <v>7016</v>
      </c>
      <c r="B7017" s="23">
        <v>163.4920726</v>
      </c>
      <c r="C7017" s="23">
        <v>233.01</v>
      </c>
      <c r="D7017" s="23">
        <v>926.41699999999992</v>
      </c>
      <c r="E7017" s="23">
        <v>163.49199999999999</v>
      </c>
      <c r="F7017" s="23">
        <v>-762.92499999999995</v>
      </c>
      <c r="G7017" s="23">
        <v>0</v>
      </c>
      <c r="H7017" s="23">
        <v>0</v>
      </c>
      <c r="I7017" s="23">
        <v>0</v>
      </c>
      <c r="J7017" s="23">
        <v>0</v>
      </c>
      <c r="K7017" s="23">
        <v>0</v>
      </c>
    </row>
    <row r="7018" spans="1:11" x14ac:dyDescent="0.25">
      <c r="A7018">
        <v>7017</v>
      </c>
      <c r="B7018" s="23">
        <v>970.38413390000005</v>
      </c>
      <c r="C7018" s="23">
        <v>393.39</v>
      </c>
      <c r="D7018" s="23">
        <v>1561.2429999999999</v>
      </c>
      <c r="E7018" s="23">
        <v>970.38499999999999</v>
      </c>
      <c r="F7018" s="23">
        <v>-590.85799999999995</v>
      </c>
      <c r="G7018" s="23">
        <v>0</v>
      </c>
      <c r="H7018" s="23">
        <v>0</v>
      </c>
      <c r="I7018" s="23">
        <v>0</v>
      </c>
      <c r="J7018" s="23">
        <v>0</v>
      </c>
      <c r="K7018" s="23">
        <v>0</v>
      </c>
    </row>
    <row r="7019" spans="1:11" x14ac:dyDescent="0.25">
      <c r="A7019">
        <v>7018</v>
      </c>
      <c r="B7019" s="23">
        <v>1153.9649139999999</v>
      </c>
      <c r="C7019" s="23">
        <v>485.7</v>
      </c>
      <c r="D7019" s="23">
        <v>1896.4280000000001</v>
      </c>
      <c r="E7019" s="23">
        <v>1153.9649999999999</v>
      </c>
      <c r="F7019" s="23">
        <v>-742.46299999999997</v>
      </c>
      <c r="G7019" s="23">
        <v>0</v>
      </c>
      <c r="H7019" s="23">
        <v>0</v>
      </c>
      <c r="I7019" s="23">
        <v>0</v>
      </c>
      <c r="J7019" s="23">
        <v>0</v>
      </c>
      <c r="K7019" s="23">
        <v>0</v>
      </c>
    </row>
    <row r="7020" spans="1:11" x14ac:dyDescent="0.25">
      <c r="A7020">
        <v>7019</v>
      </c>
      <c r="B7020" s="23">
        <v>1330.27064</v>
      </c>
      <c r="C7020" s="23">
        <v>754.1</v>
      </c>
      <c r="D7020" s="23">
        <v>2901.029</v>
      </c>
      <c r="E7020" s="23">
        <v>1330.271</v>
      </c>
      <c r="F7020" s="23">
        <v>-1108.9100000000001</v>
      </c>
      <c r="G7020" s="23">
        <v>0</v>
      </c>
      <c r="H7020" s="23">
        <v>461.84800000000001</v>
      </c>
      <c r="I7020" s="23">
        <v>0</v>
      </c>
      <c r="J7020" s="23">
        <v>0</v>
      </c>
      <c r="K7020" s="23">
        <v>0</v>
      </c>
    </row>
    <row r="7021" spans="1:11" x14ac:dyDescent="0.25">
      <c r="A7021">
        <v>7020</v>
      </c>
      <c r="B7021" s="23">
        <v>1342.417097</v>
      </c>
      <c r="C7021" s="23">
        <v>822.77</v>
      </c>
      <c r="D7021" s="23">
        <v>3143.4839999999999</v>
      </c>
      <c r="E7021" s="23">
        <v>1342.4169999999999</v>
      </c>
      <c r="F7021" s="23">
        <v>0</v>
      </c>
      <c r="G7021" s="23">
        <v>0</v>
      </c>
      <c r="H7021" s="23">
        <v>1801.067</v>
      </c>
      <c r="I7021" s="23">
        <v>0</v>
      </c>
      <c r="J7021" s="23">
        <v>0</v>
      </c>
      <c r="K7021" s="23">
        <v>0</v>
      </c>
    </row>
    <row r="7022" spans="1:11" x14ac:dyDescent="0.25">
      <c r="A7022">
        <v>7021</v>
      </c>
      <c r="B7022" s="23">
        <v>1361.5307479999999</v>
      </c>
      <c r="C7022" s="23">
        <v>616.38</v>
      </c>
      <c r="D7022" s="23">
        <v>2377.2669999999998</v>
      </c>
      <c r="E7022" s="23">
        <v>1361.53</v>
      </c>
      <c r="F7022" s="23">
        <v>0</v>
      </c>
      <c r="G7022" s="23">
        <v>0</v>
      </c>
      <c r="H7022" s="23">
        <v>1015.737</v>
      </c>
      <c r="I7022" s="23">
        <v>0</v>
      </c>
      <c r="J7022" s="23">
        <v>0</v>
      </c>
      <c r="K7022" s="23">
        <v>0</v>
      </c>
    </row>
    <row r="7023" spans="1:11" x14ac:dyDescent="0.25">
      <c r="A7023">
        <v>7022</v>
      </c>
      <c r="B7023" s="23">
        <v>1355.7182789999999</v>
      </c>
      <c r="C7023" s="23">
        <v>265.89999999999998</v>
      </c>
      <c r="D7023" s="23">
        <v>1022.521</v>
      </c>
      <c r="E7023" s="23">
        <v>1022.521</v>
      </c>
      <c r="F7023" s="23">
        <v>0</v>
      </c>
      <c r="G7023" s="23">
        <v>0</v>
      </c>
      <c r="H7023" s="23">
        <v>0</v>
      </c>
      <c r="I7023" s="23">
        <v>333.197</v>
      </c>
      <c r="J7023" s="23">
        <v>0</v>
      </c>
      <c r="K7023" s="23">
        <v>0</v>
      </c>
    </row>
    <row r="7024" spans="1:11" x14ac:dyDescent="0.25">
      <c r="A7024">
        <v>7023</v>
      </c>
      <c r="B7024" s="23">
        <v>1394.875963</v>
      </c>
      <c r="C7024" s="23">
        <v>198.79</v>
      </c>
      <c r="D7024" s="23">
        <v>762.76099999999997</v>
      </c>
      <c r="E7024" s="23">
        <v>762.76099999999997</v>
      </c>
      <c r="F7024" s="23">
        <v>0</v>
      </c>
      <c r="G7024" s="23">
        <v>0</v>
      </c>
      <c r="H7024" s="23">
        <v>0</v>
      </c>
      <c r="I7024" s="23">
        <v>632.11500000000001</v>
      </c>
      <c r="J7024" s="23">
        <v>0</v>
      </c>
      <c r="K7024" s="23">
        <v>0</v>
      </c>
    </row>
    <row r="7025" spans="1:11" x14ac:dyDescent="0.25">
      <c r="A7025">
        <v>7024</v>
      </c>
      <c r="B7025" s="23">
        <v>1538.616325</v>
      </c>
      <c r="C7025" s="23">
        <v>110.19</v>
      </c>
      <c r="D7025" s="23">
        <v>413.19400000000002</v>
      </c>
      <c r="E7025" s="23">
        <v>413.19400000000002</v>
      </c>
      <c r="F7025" s="23">
        <v>0</v>
      </c>
      <c r="G7025" s="23">
        <v>0</v>
      </c>
      <c r="H7025" s="23">
        <v>0</v>
      </c>
      <c r="I7025" s="23">
        <v>1125.423</v>
      </c>
      <c r="J7025" s="23">
        <v>0</v>
      </c>
      <c r="K7025" s="23">
        <v>0</v>
      </c>
    </row>
    <row r="7026" spans="1:11" x14ac:dyDescent="0.25">
      <c r="A7026">
        <v>7025</v>
      </c>
      <c r="B7026" s="23">
        <v>1416.417545</v>
      </c>
      <c r="C7026" s="23">
        <v>39.200000000000003</v>
      </c>
      <c r="D7026" s="23">
        <v>129.09800000000001</v>
      </c>
      <c r="E7026" s="23">
        <v>129.09800000000001</v>
      </c>
      <c r="F7026" s="23">
        <v>0</v>
      </c>
      <c r="G7026" s="23">
        <v>0</v>
      </c>
      <c r="H7026" s="23">
        <v>0</v>
      </c>
      <c r="I7026" s="23">
        <v>1287.32</v>
      </c>
      <c r="J7026" s="23">
        <v>0</v>
      </c>
      <c r="K7026" s="23">
        <v>0</v>
      </c>
    </row>
    <row r="7027" spans="1:11" x14ac:dyDescent="0.25">
      <c r="A7027">
        <v>7026</v>
      </c>
      <c r="B7027" s="23">
        <v>1352.2385670000001</v>
      </c>
      <c r="C7027" s="23">
        <v>1.96</v>
      </c>
      <c r="D7027" s="23">
        <v>0</v>
      </c>
      <c r="E7027" s="23">
        <v>0</v>
      </c>
      <c r="F7027" s="23">
        <v>0</v>
      </c>
      <c r="G7027" s="23">
        <v>0</v>
      </c>
      <c r="H7027" s="23">
        <v>0</v>
      </c>
      <c r="I7027" s="23">
        <v>0</v>
      </c>
      <c r="J7027" s="23">
        <v>0</v>
      </c>
      <c r="K7027" s="23">
        <v>1352.239</v>
      </c>
    </row>
    <row r="7028" spans="1:11" x14ac:dyDescent="0.25">
      <c r="A7028">
        <v>7027</v>
      </c>
      <c r="B7028" s="23">
        <v>1554.2017049999999</v>
      </c>
      <c r="C7028" s="23">
        <v>0</v>
      </c>
      <c r="D7028" s="23">
        <v>0</v>
      </c>
      <c r="E7028" s="23">
        <v>0</v>
      </c>
      <c r="F7028" s="23">
        <v>0</v>
      </c>
      <c r="G7028" s="23">
        <v>0</v>
      </c>
      <c r="H7028" s="23">
        <v>0</v>
      </c>
      <c r="I7028" s="23">
        <v>0</v>
      </c>
      <c r="J7028" s="23">
        <v>0</v>
      </c>
      <c r="K7028" s="23">
        <v>1554.202</v>
      </c>
    </row>
    <row r="7029" spans="1:11" x14ac:dyDescent="0.25">
      <c r="A7029">
        <v>7028</v>
      </c>
      <c r="B7029" s="23">
        <v>1215.1313150000001</v>
      </c>
      <c r="C7029" s="23">
        <v>0</v>
      </c>
      <c r="D7029" s="23">
        <v>0</v>
      </c>
      <c r="E7029" s="23">
        <v>0</v>
      </c>
      <c r="F7029" s="23">
        <v>0</v>
      </c>
      <c r="G7029" s="23">
        <v>0</v>
      </c>
      <c r="H7029" s="23">
        <v>0</v>
      </c>
      <c r="I7029" s="23">
        <v>0</v>
      </c>
      <c r="J7029" s="23">
        <v>0</v>
      </c>
      <c r="K7029" s="23">
        <v>1215.1310000000001</v>
      </c>
    </row>
    <row r="7030" spans="1:11" x14ac:dyDescent="0.25">
      <c r="A7030">
        <v>7029</v>
      </c>
      <c r="B7030" s="23">
        <v>895.03278439999997</v>
      </c>
      <c r="C7030" s="23">
        <v>0</v>
      </c>
      <c r="D7030" s="23">
        <v>0</v>
      </c>
      <c r="E7030" s="23">
        <v>0</v>
      </c>
      <c r="F7030" s="23">
        <v>0</v>
      </c>
      <c r="G7030" s="23">
        <v>0</v>
      </c>
      <c r="H7030" s="23">
        <v>0</v>
      </c>
      <c r="I7030" s="23">
        <v>895.03300000000002</v>
      </c>
      <c r="J7030" s="23">
        <v>0</v>
      </c>
      <c r="K7030" s="23">
        <v>0</v>
      </c>
    </row>
    <row r="7031" spans="1:11" x14ac:dyDescent="0.25">
      <c r="A7031">
        <v>7030</v>
      </c>
      <c r="B7031" s="23">
        <v>1180.9460349999999</v>
      </c>
      <c r="C7031" s="23">
        <v>0</v>
      </c>
      <c r="D7031" s="23">
        <v>0</v>
      </c>
      <c r="E7031" s="23">
        <v>0</v>
      </c>
      <c r="F7031" s="23">
        <v>0</v>
      </c>
      <c r="G7031" s="23">
        <v>0</v>
      </c>
      <c r="H7031" s="23">
        <v>0</v>
      </c>
      <c r="I7031" s="23">
        <v>1180.9459999999999</v>
      </c>
      <c r="J7031" s="23">
        <v>0</v>
      </c>
      <c r="K7031" s="23">
        <v>0</v>
      </c>
    </row>
    <row r="7032" spans="1:11" x14ac:dyDescent="0.25">
      <c r="A7032">
        <v>7031</v>
      </c>
      <c r="B7032" s="23">
        <v>1267.963111</v>
      </c>
      <c r="C7032" s="23">
        <v>0</v>
      </c>
      <c r="D7032" s="23">
        <v>0</v>
      </c>
      <c r="E7032" s="23">
        <v>0</v>
      </c>
      <c r="F7032" s="23">
        <v>0</v>
      </c>
      <c r="G7032" s="23">
        <v>0</v>
      </c>
      <c r="H7032" s="23">
        <v>0</v>
      </c>
      <c r="I7032" s="23">
        <v>1267.963</v>
      </c>
      <c r="J7032" s="23">
        <v>0</v>
      </c>
      <c r="K7032" s="23">
        <v>0</v>
      </c>
    </row>
    <row r="7033" spans="1:11" x14ac:dyDescent="0.25">
      <c r="A7033">
        <v>7032</v>
      </c>
      <c r="B7033" s="23">
        <v>849.97036990000004</v>
      </c>
      <c r="C7033" s="23">
        <v>0</v>
      </c>
      <c r="D7033" s="23">
        <v>0</v>
      </c>
      <c r="E7033" s="23">
        <v>0</v>
      </c>
      <c r="F7033" s="23">
        <v>0</v>
      </c>
      <c r="G7033" s="23">
        <v>0</v>
      </c>
      <c r="H7033" s="23">
        <v>0</v>
      </c>
      <c r="I7033" s="23">
        <v>849.97</v>
      </c>
      <c r="J7033" s="23">
        <v>0</v>
      </c>
      <c r="K7033" s="23">
        <v>0</v>
      </c>
    </row>
    <row r="7034" spans="1:11" x14ac:dyDescent="0.25">
      <c r="A7034">
        <v>7033</v>
      </c>
      <c r="B7034" s="23">
        <v>1104.8060929999999</v>
      </c>
      <c r="C7034" s="23">
        <v>0</v>
      </c>
      <c r="D7034" s="23">
        <v>0</v>
      </c>
      <c r="E7034" s="23">
        <v>0</v>
      </c>
      <c r="F7034" s="23">
        <v>0</v>
      </c>
      <c r="G7034" s="23">
        <v>0</v>
      </c>
      <c r="H7034" s="23">
        <v>0</v>
      </c>
      <c r="I7034" s="23">
        <v>1104.806</v>
      </c>
      <c r="J7034" s="23">
        <v>0</v>
      </c>
      <c r="K7034" s="23">
        <v>0</v>
      </c>
    </row>
    <row r="7035" spans="1:11" x14ac:dyDescent="0.25">
      <c r="A7035">
        <v>7034</v>
      </c>
      <c r="B7035" s="23">
        <v>738.09127190000004</v>
      </c>
      <c r="C7035" s="23">
        <v>0</v>
      </c>
      <c r="D7035" s="23">
        <v>0</v>
      </c>
      <c r="E7035" s="23">
        <v>0</v>
      </c>
      <c r="F7035" s="23">
        <v>0</v>
      </c>
      <c r="G7035" s="23">
        <v>0</v>
      </c>
      <c r="H7035" s="23">
        <v>0</v>
      </c>
      <c r="I7035" s="23">
        <v>738.09100000000001</v>
      </c>
      <c r="J7035" s="23">
        <v>0</v>
      </c>
      <c r="K7035" s="23">
        <v>0</v>
      </c>
    </row>
    <row r="7036" spans="1:11" x14ac:dyDescent="0.25">
      <c r="A7036">
        <v>7035</v>
      </c>
      <c r="B7036" s="23">
        <v>1162.2995189999999</v>
      </c>
      <c r="C7036" s="23">
        <v>0</v>
      </c>
      <c r="D7036" s="23">
        <v>0</v>
      </c>
      <c r="E7036" s="23">
        <v>0</v>
      </c>
      <c r="F7036" s="23">
        <v>0</v>
      </c>
      <c r="G7036" s="23">
        <v>0</v>
      </c>
      <c r="H7036" s="23">
        <v>0</v>
      </c>
      <c r="I7036" s="23">
        <v>1162.3</v>
      </c>
      <c r="J7036" s="23">
        <v>0</v>
      </c>
      <c r="K7036" s="23">
        <v>0</v>
      </c>
    </row>
    <row r="7037" spans="1:11" x14ac:dyDescent="0.25">
      <c r="A7037">
        <v>7036</v>
      </c>
      <c r="B7037" s="23">
        <v>1122.675671</v>
      </c>
      <c r="C7037" s="23">
        <v>0</v>
      </c>
      <c r="D7037" s="23">
        <v>0</v>
      </c>
      <c r="E7037" s="23">
        <v>0</v>
      </c>
      <c r="F7037" s="23">
        <v>0</v>
      </c>
      <c r="G7037" s="23">
        <v>0</v>
      </c>
      <c r="H7037" s="23">
        <v>0</v>
      </c>
      <c r="I7037" s="23">
        <v>1122.6759999999999</v>
      </c>
      <c r="J7037" s="23">
        <v>0</v>
      </c>
      <c r="K7037" s="23">
        <v>0</v>
      </c>
    </row>
    <row r="7038" spans="1:11" x14ac:dyDescent="0.25">
      <c r="A7038">
        <v>7037</v>
      </c>
      <c r="B7038" s="23">
        <v>1184.8307259999999</v>
      </c>
      <c r="C7038" s="23">
        <v>0</v>
      </c>
      <c r="D7038" s="23">
        <v>0</v>
      </c>
      <c r="E7038" s="23">
        <v>0</v>
      </c>
      <c r="F7038" s="23">
        <v>0</v>
      </c>
      <c r="G7038" s="23">
        <v>0</v>
      </c>
      <c r="H7038" s="23">
        <v>0</v>
      </c>
      <c r="I7038" s="23">
        <v>1184.8309999999999</v>
      </c>
      <c r="J7038" s="23">
        <v>0</v>
      </c>
      <c r="K7038" s="23">
        <v>0</v>
      </c>
    </row>
    <row r="7039" spans="1:11" x14ac:dyDescent="0.25">
      <c r="A7039">
        <v>7038</v>
      </c>
      <c r="B7039" s="23">
        <v>1024.004522</v>
      </c>
      <c r="C7039" s="23">
        <v>0</v>
      </c>
      <c r="D7039" s="23">
        <v>0</v>
      </c>
      <c r="E7039" s="23">
        <v>0</v>
      </c>
      <c r="F7039" s="23">
        <v>0</v>
      </c>
      <c r="G7039" s="23">
        <v>0</v>
      </c>
      <c r="H7039" s="23">
        <v>0</v>
      </c>
      <c r="I7039" s="23">
        <v>1024.0050000000001</v>
      </c>
      <c r="J7039" s="23">
        <v>0</v>
      </c>
      <c r="K7039" s="23">
        <v>0</v>
      </c>
    </row>
    <row r="7040" spans="1:11" x14ac:dyDescent="0.25">
      <c r="A7040">
        <v>7039</v>
      </c>
      <c r="B7040" s="23">
        <v>1256.021571</v>
      </c>
      <c r="C7040" s="23">
        <v>53.72</v>
      </c>
      <c r="D7040" s="23">
        <v>186.51</v>
      </c>
      <c r="E7040" s="23">
        <v>186.51</v>
      </c>
      <c r="F7040" s="23">
        <v>0</v>
      </c>
      <c r="G7040" s="23">
        <v>0</v>
      </c>
      <c r="H7040" s="23">
        <v>0</v>
      </c>
      <c r="I7040" s="23">
        <v>625.49</v>
      </c>
      <c r="J7040" s="23">
        <v>0</v>
      </c>
      <c r="K7040" s="23">
        <v>444.02199999999999</v>
      </c>
    </row>
    <row r="7041" spans="1:11" x14ac:dyDescent="0.25">
      <c r="A7041">
        <v>7040</v>
      </c>
      <c r="B7041" s="23">
        <v>1353.6059780000001</v>
      </c>
      <c r="C7041" s="23">
        <v>259.63</v>
      </c>
      <c r="D7041" s="23">
        <v>1033.8699999999999</v>
      </c>
      <c r="E7041" s="23">
        <v>1033.8699999999999</v>
      </c>
      <c r="F7041" s="23">
        <v>0</v>
      </c>
      <c r="G7041" s="23">
        <v>0</v>
      </c>
      <c r="H7041" s="23">
        <v>0</v>
      </c>
      <c r="I7041" s="23">
        <v>0</v>
      </c>
      <c r="J7041" s="23">
        <v>0</v>
      </c>
      <c r="K7041" s="23">
        <v>319.73599999999999</v>
      </c>
    </row>
    <row r="7042" spans="1:11" x14ac:dyDescent="0.25">
      <c r="A7042">
        <v>7041</v>
      </c>
      <c r="B7042" s="23">
        <v>1534.356761</v>
      </c>
      <c r="C7042" s="23">
        <v>211.41</v>
      </c>
      <c r="D7042" s="23">
        <v>820.803</v>
      </c>
      <c r="E7042" s="23">
        <v>820.803</v>
      </c>
      <c r="F7042" s="23">
        <v>0</v>
      </c>
      <c r="G7042" s="23">
        <v>0</v>
      </c>
      <c r="H7042" s="23">
        <v>0</v>
      </c>
      <c r="I7042" s="23">
        <v>0</v>
      </c>
      <c r="J7042" s="23">
        <v>0</v>
      </c>
      <c r="K7042" s="23">
        <v>713.55399999999997</v>
      </c>
    </row>
    <row r="7043" spans="1:11" x14ac:dyDescent="0.25">
      <c r="A7043">
        <v>7042</v>
      </c>
      <c r="B7043" s="23">
        <v>1602.1426750000001</v>
      </c>
      <c r="C7043" s="23">
        <v>505.97</v>
      </c>
      <c r="D7043" s="23">
        <v>1968.299</v>
      </c>
      <c r="E7043" s="23">
        <v>1602.1420000000001</v>
      </c>
      <c r="F7043" s="23">
        <v>-366.15699999999998</v>
      </c>
      <c r="G7043" s="23">
        <v>0</v>
      </c>
      <c r="H7043" s="23">
        <v>0</v>
      </c>
      <c r="I7043" s="23">
        <v>0</v>
      </c>
      <c r="J7043" s="23">
        <v>0</v>
      </c>
      <c r="K7043" s="23">
        <v>0</v>
      </c>
    </row>
    <row r="7044" spans="1:11" x14ac:dyDescent="0.25">
      <c r="A7044">
        <v>7043</v>
      </c>
      <c r="B7044" s="23">
        <v>1628.6013049999999</v>
      </c>
      <c r="C7044" s="23">
        <v>747.3</v>
      </c>
      <c r="D7044" s="23">
        <v>2861.1439999999998</v>
      </c>
      <c r="E7044" s="23">
        <v>1628.6010000000001</v>
      </c>
      <c r="F7044" s="23">
        <v>-1232.5429999999999</v>
      </c>
      <c r="G7044" s="23">
        <v>0</v>
      </c>
      <c r="H7044" s="23">
        <v>0</v>
      </c>
      <c r="I7044" s="23">
        <v>0</v>
      </c>
      <c r="J7044" s="23">
        <v>0</v>
      </c>
      <c r="K7044" s="23">
        <v>0</v>
      </c>
    </row>
    <row r="7045" spans="1:11" x14ac:dyDescent="0.25">
      <c r="A7045">
        <v>7044</v>
      </c>
      <c r="B7045" s="23">
        <v>1636.178394</v>
      </c>
      <c r="C7045" s="23">
        <v>852.02</v>
      </c>
      <c r="D7045" s="23">
        <v>3232.8820000000001</v>
      </c>
      <c r="E7045" s="23">
        <v>1636.1780000000001</v>
      </c>
      <c r="F7045" s="23">
        <v>-1596.704</v>
      </c>
      <c r="G7045" s="23">
        <v>0</v>
      </c>
      <c r="H7045" s="23">
        <v>0</v>
      </c>
      <c r="I7045" s="23">
        <v>0</v>
      </c>
      <c r="J7045" s="23">
        <v>0</v>
      </c>
      <c r="K7045" s="23">
        <v>0</v>
      </c>
    </row>
    <row r="7046" spans="1:11" x14ac:dyDescent="0.25">
      <c r="A7046">
        <v>7045</v>
      </c>
      <c r="B7046" s="23">
        <v>1876.1804259999999</v>
      </c>
      <c r="C7046" s="23">
        <v>868.28</v>
      </c>
      <c r="D7046" s="23">
        <v>3298.9369999999999</v>
      </c>
      <c r="E7046" s="23">
        <v>1876.18</v>
      </c>
      <c r="F7046" s="23">
        <v>-1422.7570000000001</v>
      </c>
      <c r="G7046" s="23">
        <v>0</v>
      </c>
      <c r="H7046" s="23">
        <v>0</v>
      </c>
      <c r="I7046" s="23">
        <v>0</v>
      </c>
      <c r="J7046" s="23">
        <v>0</v>
      </c>
      <c r="K7046" s="23">
        <v>0</v>
      </c>
    </row>
    <row r="7047" spans="1:11" x14ac:dyDescent="0.25">
      <c r="A7047">
        <v>7046</v>
      </c>
      <c r="B7047" s="23">
        <v>1679.110056</v>
      </c>
      <c r="C7047" s="23">
        <v>762.81</v>
      </c>
      <c r="D7047" s="23">
        <v>2937.9229999999998</v>
      </c>
      <c r="E7047" s="23">
        <v>1679.11</v>
      </c>
      <c r="F7047" s="23">
        <v>-1258.8130000000001</v>
      </c>
      <c r="G7047" s="23">
        <v>0</v>
      </c>
      <c r="H7047" s="23">
        <v>0</v>
      </c>
      <c r="I7047" s="23">
        <v>0</v>
      </c>
      <c r="J7047" s="23">
        <v>0</v>
      </c>
      <c r="K7047" s="23">
        <v>0</v>
      </c>
    </row>
    <row r="7048" spans="1:11" x14ac:dyDescent="0.25">
      <c r="A7048">
        <v>7047</v>
      </c>
      <c r="B7048" s="23">
        <v>1605.5446930000001</v>
      </c>
      <c r="C7048" s="23">
        <v>499.11</v>
      </c>
      <c r="D7048" s="23">
        <v>1959.5229999999999</v>
      </c>
      <c r="E7048" s="23">
        <v>1605.5450000000001</v>
      </c>
      <c r="F7048" s="23">
        <v>-353.97800000000001</v>
      </c>
      <c r="G7048" s="23">
        <v>0</v>
      </c>
      <c r="H7048" s="23">
        <v>0</v>
      </c>
      <c r="I7048" s="23">
        <v>0</v>
      </c>
      <c r="J7048" s="23">
        <v>0</v>
      </c>
      <c r="K7048" s="23">
        <v>0</v>
      </c>
    </row>
    <row r="7049" spans="1:11" x14ac:dyDescent="0.25">
      <c r="A7049">
        <v>7048</v>
      </c>
      <c r="B7049" s="23">
        <v>1427.726852</v>
      </c>
      <c r="C7049" s="23">
        <v>253.76</v>
      </c>
      <c r="D7049" s="23">
        <v>1001.765</v>
      </c>
      <c r="E7049" s="23">
        <v>1001.765</v>
      </c>
      <c r="F7049" s="23">
        <v>0</v>
      </c>
      <c r="G7049" s="23">
        <v>0</v>
      </c>
      <c r="H7049" s="23">
        <v>0</v>
      </c>
      <c r="I7049" s="23">
        <v>425.96199999999999</v>
      </c>
      <c r="J7049" s="23">
        <v>0</v>
      </c>
      <c r="K7049" s="23">
        <v>0</v>
      </c>
    </row>
    <row r="7050" spans="1:11" x14ac:dyDescent="0.25">
      <c r="A7050">
        <v>7049</v>
      </c>
      <c r="B7050" s="23">
        <v>1587.193413</v>
      </c>
      <c r="C7050" s="23">
        <v>167.6</v>
      </c>
      <c r="D7050" s="23">
        <v>616.83799999999997</v>
      </c>
      <c r="E7050" s="23">
        <v>616.83799999999997</v>
      </c>
      <c r="F7050" s="23">
        <v>0</v>
      </c>
      <c r="G7050" s="23">
        <v>0</v>
      </c>
      <c r="H7050" s="23">
        <v>0</v>
      </c>
      <c r="I7050" s="23">
        <v>970.35500000000002</v>
      </c>
      <c r="J7050" s="23">
        <v>0</v>
      </c>
      <c r="K7050" s="23">
        <v>0</v>
      </c>
    </row>
    <row r="7051" spans="1:11" x14ac:dyDescent="0.25">
      <c r="A7051">
        <v>7050</v>
      </c>
      <c r="B7051" s="23">
        <v>1493.7656260000001</v>
      </c>
      <c r="C7051" s="23">
        <v>7.48</v>
      </c>
      <c r="D7051" s="23">
        <v>0</v>
      </c>
      <c r="E7051" s="23">
        <v>0</v>
      </c>
      <c r="F7051" s="23">
        <v>0</v>
      </c>
      <c r="G7051" s="23">
        <v>0</v>
      </c>
      <c r="H7051" s="23">
        <v>0</v>
      </c>
      <c r="I7051" s="23">
        <v>0</v>
      </c>
      <c r="J7051" s="23">
        <v>0</v>
      </c>
      <c r="K7051" s="23">
        <v>1493.7660000000001</v>
      </c>
    </row>
    <row r="7052" spans="1:11" x14ac:dyDescent="0.25">
      <c r="A7052">
        <v>7051</v>
      </c>
      <c r="B7052" s="23">
        <v>1428.0123759999999</v>
      </c>
      <c r="C7052" s="23">
        <v>0</v>
      </c>
      <c r="D7052" s="23">
        <v>0</v>
      </c>
      <c r="E7052" s="23">
        <v>0</v>
      </c>
      <c r="F7052" s="23">
        <v>0</v>
      </c>
      <c r="G7052" s="23">
        <v>0</v>
      </c>
      <c r="H7052" s="23">
        <v>0</v>
      </c>
      <c r="I7052" s="23">
        <v>0</v>
      </c>
      <c r="J7052" s="23">
        <v>0</v>
      </c>
      <c r="K7052" s="23">
        <v>1428.0119999999999</v>
      </c>
    </row>
    <row r="7053" spans="1:11" x14ac:dyDescent="0.25">
      <c r="A7053">
        <v>7052</v>
      </c>
      <c r="B7053" s="23">
        <v>1214.3543770000001</v>
      </c>
      <c r="C7053" s="23">
        <v>0</v>
      </c>
      <c r="D7053" s="23">
        <v>0</v>
      </c>
      <c r="E7053" s="23">
        <v>0</v>
      </c>
      <c r="F7053" s="23">
        <v>0</v>
      </c>
      <c r="G7053" s="23">
        <v>0</v>
      </c>
      <c r="H7053" s="23">
        <v>0</v>
      </c>
      <c r="I7053" s="23">
        <v>0</v>
      </c>
      <c r="J7053" s="23">
        <v>0</v>
      </c>
      <c r="K7053" s="23">
        <v>1214.354</v>
      </c>
    </row>
    <row r="7054" spans="1:11" x14ac:dyDescent="0.25">
      <c r="A7054">
        <v>7053</v>
      </c>
      <c r="B7054" s="23">
        <v>1286.6096279999999</v>
      </c>
      <c r="C7054" s="23">
        <v>0</v>
      </c>
      <c r="D7054" s="23">
        <v>0</v>
      </c>
      <c r="E7054" s="23">
        <v>0</v>
      </c>
      <c r="F7054" s="23">
        <v>0</v>
      </c>
      <c r="G7054" s="23">
        <v>0</v>
      </c>
      <c r="H7054" s="23">
        <v>0</v>
      </c>
      <c r="I7054" s="23">
        <v>1286.6099999999999</v>
      </c>
      <c r="J7054" s="23">
        <v>0</v>
      </c>
      <c r="K7054" s="23">
        <v>0</v>
      </c>
    </row>
    <row r="7055" spans="1:11" x14ac:dyDescent="0.25">
      <c r="A7055">
        <v>7054</v>
      </c>
      <c r="B7055" s="23">
        <v>1485.5058019999999</v>
      </c>
      <c r="C7055" s="23">
        <v>0</v>
      </c>
      <c r="D7055" s="23">
        <v>0</v>
      </c>
      <c r="E7055" s="23">
        <v>0</v>
      </c>
      <c r="F7055" s="23">
        <v>0</v>
      </c>
      <c r="G7055" s="23">
        <v>0</v>
      </c>
      <c r="H7055" s="23">
        <v>0</v>
      </c>
      <c r="I7055" s="23">
        <v>1485.5060000000001</v>
      </c>
      <c r="J7055" s="23">
        <v>0</v>
      </c>
      <c r="K7055" s="23">
        <v>0</v>
      </c>
    </row>
    <row r="7056" spans="1:11" x14ac:dyDescent="0.25">
      <c r="A7056">
        <v>7055</v>
      </c>
      <c r="B7056" s="23">
        <v>1588.0616419999999</v>
      </c>
      <c r="C7056" s="23">
        <v>0</v>
      </c>
      <c r="D7056" s="23">
        <v>0</v>
      </c>
      <c r="E7056" s="23">
        <v>0</v>
      </c>
      <c r="F7056" s="23">
        <v>0</v>
      </c>
      <c r="G7056" s="23">
        <v>0</v>
      </c>
      <c r="H7056" s="23">
        <v>0</v>
      </c>
      <c r="I7056" s="23">
        <v>1588.0619999999999</v>
      </c>
      <c r="J7056" s="23">
        <v>0</v>
      </c>
      <c r="K7056" s="23">
        <v>0</v>
      </c>
    </row>
    <row r="7057" spans="1:11" x14ac:dyDescent="0.25">
      <c r="A7057">
        <v>7056</v>
      </c>
      <c r="B7057" s="23">
        <v>1464.5284710000001</v>
      </c>
      <c r="C7057" s="23">
        <v>0</v>
      </c>
      <c r="D7057" s="23">
        <v>0</v>
      </c>
      <c r="E7057" s="23">
        <v>0</v>
      </c>
      <c r="F7057" s="23">
        <v>0</v>
      </c>
      <c r="G7057" s="23">
        <v>0</v>
      </c>
      <c r="H7057" s="23">
        <v>0</v>
      </c>
      <c r="I7057" s="23">
        <v>1464.528</v>
      </c>
      <c r="J7057" s="23">
        <v>0</v>
      </c>
      <c r="K7057" s="23">
        <v>0</v>
      </c>
    </row>
    <row r="7058" spans="1:11" x14ac:dyDescent="0.25">
      <c r="A7058">
        <v>7057</v>
      </c>
      <c r="B7058" s="23">
        <v>943.97988980000002</v>
      </c>
      <c r="C7058" s="23">
        <v>0</v>
      </c>
      <c r="D7058" s="23">
        <v>0</v>
      </c>
      <c r="E7058" s="23">
        <v>0</v>
      </c>
      <c r="F7058" s="23">
        <v>0</v>
      </c>
      <c r="G7058" s="23">
        <v>0</v>
      </c>
      <c r="H7058" s="23">
        <v>0</v>
      </c>
      <c r="I7058" s="23">
        <v>943.98</v>
      </c>
      <c r="J7058" s="23">
        <v>0</v>
      </c>
      <c r="K7058" s="23">
        <v>0</v>
      </c>
    </row>
    <row r="7059" spans="1:11" x14ac:dyDescent="0.25">
      <c r="A7059">
        <v>7058</v>
      </c>
      <c r="B7059" s="23">
        <v>1055.08205</v>
      </c>
      <c r="C7059" s="23">
        <v>0</v>
      </c>
      <c r="D7059" s="23">
        <v>0</v>
      </c>
      <c r="E7059" s="23">
        <v>0</v>
      </c>
      <c r="F7059" s="23">
        <v>0</v>
      </c>
      <c r="G7059" s="23">
        <v>0</v>
      </c>
      <c r="H7059" s="23">
        <v>0</v>
      </c>
      <c r="I7059" s="23">
        <v>1055.0820000000001</v>
      </c>
      <c r="J7059" s="23">
        <v>0</v>
      </c>
      <c r="K7059" s="23">
        <v>0</v>
      </c>
    </row>
    <row r="7060" spans="1:11" x14ac:dyDescent="0.25">
      <c r="A7060">
        <v>7059</v>
      </c>
      <c r="B7060" s="23">
        <v>1517.360267</v>
      </c>
      <c r="C7060" s="23">
        <v>0</v>
      </c>
      <c r="D7060" s="23">
        <v>0</v>
      </c>
      <c r="E7060" s="23">
        <v>0</v>
      </c>
      <c r="F7060" s="23">
        <v>0</v>
      </c>
      <c r="G7060" s="23">
        <v>0</v>
      </c>
      <c r="H7060" s="23">
        <v>0</v>
      </c>
      <c r="I7060" s="23">
        <v>1517.36</v>
      </c>
      <c r="J7060" s="23">
        <v>0</v>
      </c>
      <c r="K7060" s="23">
        <v>0</v>
      </c>
    </row>
    <row r="7061" spans="1:11" x14ac:dyDescent="0.25">
      <c r="A7061">
        <v>7060</v>
      </c>
      <c r="B7061" s="23">
        <v>1184.8307259999999</v>
      </c>
      <c r="C7061" s="23">
        <v>0</v>
      </c>
      <c r="D7061" s="23">
        <v>0</v>
      </c>
      <c r="E7061" s="23">
        <v>0</v>
      </c>
      <c r="F7061" s="23">
        <v>0</v>
      </c>
      <c r="G7061" s="23">
        <v>0</v>
      </c>
      <c r="H7061" s="23">
        <v>0</v>
      </c>
      <c r="I7061" s="23">
        <v>1184.8309999999999</v>
      </c>
      <c r="J7061" s="23">
        <v>0</v>
      </c>
      <c r="K7061" s="23">
        <v>0</v>
      </c>
    </row>
    <row r="7062" spans="1:11" x14ac:dyDescent="0.25">
      <c r="A7062">
        <v>7061</v>
      </c>
      <c r="B7062" s="23">
        <v>1555.4302379999999</v>
      </c>
      <c r="C7062" s="23">
        <v>0</v>
      </c>
      <c r="D7062" s="23">
        <v>0</v>
      </c>
      <c r="E7062" s="23">
        <v>0</v>
      </c>
      <c r="F7062" s="23">
        <v>0</v>
      </c>
      <c r="G7062" s="23">
        <v>0</v>
      </c>
      <c r="H7062" s="23">
        <v>0</v>
      </c>
      <c r="I7062" s="23">
        <v>1555.43</v>
      </c>
      <c r="J7062" s="23">
        <v>0</v>
      </c>
      <c r="K7062" s="23">
        <v>0</v>
      </c>
    </row>
    <row r="7063" spans="1:11" x14ac:dyDescent="0.25">
      <c r="A7063">
        <v>7062</v>
      </c>
      <c r="B7063" s="23">
        <v>1419.466056</v>
      </c>
      <c r="C7063" s="23">
        <v>0</v>
      </c>
      <c r="D7063" s="23">
        <v>0</v>
      </c>
      <c r="E7063" s="23">
        <v>0</v>
      </c>
      <c r="F7063" s="23">
        <v>0</v>
      </c>
      <c r="G7063" s="23">
        <v>0</v>
      </c>
      <c r="H7063" s="23">
        <v>0</v>
      </c>
      <c r="I7063" s="23">
        <v>1180.4770000000001</v>
      </c>
      <c r="J7063" s="23">
        <v>0</v>
      </c>
      <c r="K7063" s="23">
        <v>238.989</v>
      </c>
    </row>
    <row r="7064" spans="1:11" x14ac:dyDescent="0.25">
      <c r="A7064">
        <v>7063</v>
      </c>
      <c r="B7064" s="23">
        <v>1509.6792620000001</v>
      </c>
      <c r="C7064" s="23">
        <v>122.01</v>
      </c>
      <c r="D7064" s="23">
        <v>420.03800000000001</v>
      </c>
      <c r="E7064" s="23">
        <v>420.03800000000001</v>
      </c>
      <c r="F7064" s="23">
        <v>0</v>
      </c>
      <c r="G7064" s="23">
        <v>0</v>
      </c>
      <c r="H7064" s="23">
        <v>0</v>
      </c>
      <c r="I7064" s="23">
        <v>0</v>
      </c>
      <c r="J7064" s="23">
        <v>0</v>
      </c>
      <c r="K7064" s="23">
        <v>1089.6410000000001</v>
      </c>
    </row>
    <row r="7065" spans="1:11" x14ac:dyDescent="0.25">
      <c r="A7065">
        <v>7064</v>
      </c>
      <c r="B7065" s="23">
        <v>1222.599633</v>
      </c>
      <c r="C7065" s="23">
        <v>331.66</v>
      </c>
      <c r="D7065" s="23">
        <v>1332.26</v>
      </c>
      <c r="E7065" s="23">
        <v>1222.5999999999999</v>
      </c>
      <c r="F7065" s="23">
        <v>-109.66</v>
      </c>
      <c r="G7065" s="23">
        <v>0</v>
      </c>
      <c r="H7065" s="23">
        <v>0</v>
      </c>
      <c r="I7065" s="23">
        <v>0</v>
      </c>
      <c r="J7065" s="23">
        <v>0</v>
      </c>
      <c r="K7065" s="23">
        <v>0</v>
      </c>
    </row>
    <row r="7066" spans="1:11" x14ac:dyDescent="0.25">
      <c r="A7066">
        <v>7065</v>
      </c>
      <c r="B7066" s="23">
        <v>1098.0622699999999</v>
      </c>
      <c r="C7066" s="23">
        <v>457.55</v>
      </c>
      <c r="D7066" s="23">
        <v>1813.3679999999999</v>
      </c>
      <c r="E7066" s="23">
        <v>1098.0630000000001</v>
      </c>
      <c r="F7066" s="23">
        <v>-715.30499999999995</v>
      </c>
      <c r="G7066" s="23">
        <v>0</v>
      </c>
      <c r="H7066" s="23">
        <v>0</v>
      </c>
      <c r="I7066" s="23">
        <v>0</v>
      </c>
      <c r="J7066" s="23">
        <v>0</v>
      </c>
      <c r="K7066" s="23">
        <v>0</v>
      </c>
    </row>
    <row r="7067" spans="1:11" x14ac:dyDescent="0.25">
      <c r="A7067">
        <v>7066</v>
      </c>
      <c r="B7067" s="23">
        <v>1450.012352</v>
      </c>
      <c r="C7067" s="23">
        <v>587.92999999999995</v>
      </c>
      <c r="D7067" s="23">
        <v>2283.8290000000002</v>
      </c>
      <c r="E7067" s="23">
        <v>1450.0119999999999</v>
      </c>
      <c r="F7067" s="23">
        <v>-833.81700000000001</v>
      </c>
      <c r="G7067" s="23">
        <v>0</v>
      </c>
      <c r="H7067" s="23">
        <v>0</v>
      </c>
      <c r="I7067" s="23">
        <v>0</v>
      </c>
      <c r="J7067" s="23">
        <v>0</v>
      </c>
      <c r="K7067" s="23">
        <v>0</v>
      </c>
    </row>
    <row r="7068" spans="1:11" x14ac:dyDescent="0.25">
      <c r="A7068">
        <v>7067</v>
      </c>
      <c r="B7068" s="23">
        <v>1367.1295580000001</v>
      </c>
      <c r="C7068" s="23">
        <v>628.25</v>
      </c>
      <c r="D7068" s="23">
        <v>2407.1460000000002</v>
      </c>
      <c r="E7068" s="23">
        <v>1367.13</v>
      </c>
      <c r="F7068" s="23">
        <v>-1040.0160000000001</v>
      </c>
      <c r="G7068" s="23">
        <v>0</v>
      </c>
      <c r="H7068" s="23">
        <v>0</v>
      </c>
      <c r="I7068" s="23">
        <v>0</v>
      </c>
      <c r="J7068" s="23">
        <v>0</v>
      </c>
      <c r="K7068" s="23">
        <v>0</v>
      </c>
    </row>
    <row r="7069" spans="1:11" x14ac:dyDescent="0.25">
      <c r="A7069">
        <v>7068</v>
      </c>
      <c r="B7069" s="23">
        <v>1547.10049</v>
      </c>
      <c r="C7069" s="23">
        <v>718.56</v>
      </c>
      <c r="D7069" s="23">
        <v>2729.567</v>
      </c>
      <c r="E7069" s="23">
        <v>1547.1010000000001</v>
      </c>
      <c r="F7069" s="23">
        <v>-1182.4659999999999</v>
      </c>
      <c r="G7069" s="23">
        <v>0</v>
      </c>
      <c r="H7069" s="23">
        <v>0</v>
      </c>
      <c r="I7069" s="23">
        <v>0</v>
      </c>
      <c r="J7069" s="23">
        <v>0</v>
      </c>
      <c r="K7069" s="23">
        <v>0</v>
      </c>
    </row>
    <row r="7070" spans="1:11" x14ac:dyDescent="0.25">
      <c r="A7070">
        <v>7069</v>
      </c>
      <c r="B7070" s="23">
        <v>1876.222186</v>
      </c>
      <c r="C7070" s="23">
        <v>766.01</v>
      </c>
      <c r="D7070" s="23">
        <v>2904.857</v>
      </c>
      <c r="E7070" s="23">
        <v>1876.222</v>
      </c>
      <c r="F7070" s="23">
        <v>-1028.635</v>
      </c>
      <c r="G7070" s="23">
        <v>0</v>
      </c>
      <c r="H7070" s="23">
        <v>0</v>
      </c>
      <c r="I7070" s="23">
        <v>0</v>
      </c>
      <c r="J7070" s="23">
        <v>0</v>
      </c>
      <c r="K7070" s="23">
        <v>0</v>
      </c>
    </row>
    <row r="7071" spans="1:11" x14ac:dyDescent="0.25">
      <c r="A7071">
        <v>7070</v>
      </c>
      <c r="B7071" s="23">
        <v>1289.566849</v>
      </c>
      <c r="C7071" s="23">
        <v>641.04999999999995</v>
      </c>
      <c r="D7071" s="23">
        <v>2461.3560000000002</v>
      </c>
      <c r="E7071" s="23">
        <v>1289.567</v>
      </c>
      <c r="F7071" s="23">
        <v>-1171.789</v>
      </c>
      <c r="G7071" s="23">
        <v>0</v>
      </c>
      <c r="H7071" s="23">
        <v>0</v>
      </c>
      <c r="I7071" s="23">
        <v>0</v>
      </c>
      <c r="J7071" s="23">
        <v>0</v>
      </c>
      <c r="K7071" s="23">
        <v>0</v>
      </c>
    </row>
    <row r="7072" spans="1:11" x14ac:dyDescent="0.25">
      <c r="A7072">
        <v>7071</v>
      </c>
      <c r="B7072" s="23">
        <v>1309.7798660000001</v>
      </c>
      <c r="C7072" s="23">
        <v>94.97</v>
      </c>
      <c r="D7072" s="23">
        <v>345.08300000000003</v>
      </c>
      <c r="E7072" s="23">
        <v>345.08300000000003</v>
      </c>
      <c r="F7072" s="23">
        <v>0</v>
      </c>
      <c r="G7072" s="23">
        <v>0</v>
      </c>
      <c r="H7072" s="23">
        <v>0</v>
      </c>
      <c r="I7072" s="23">
        <v>964.697</v>
      </c>
      <c r="J7072" s="23">
        <v>0</v>
      </c>
      <c r="K7072" s="23">
        <v>0</v>
      </c>
    </row>
    <row r="7073" spans="1:11" x14ac:dyDescent="0.25">
      <c r="A7073">
        <v>7072</v>
      </c>
      <c r="B7073" s="23">
        <v>1430.007165</v>
      </c>
      <c r="C7073" s="23">
        <v>43.13</v>
      </c>
      <c r="D7073" s="23">
        <v>143.27199999999999</v>
      </c>
      <c r="E7073" s="23">
        <v>143.27199999999999</v>
      </c>
      <c r="F7073" s="23">
        <v>0</v>
      </c>
      <c r="G7073" s="23">
        <v>0</v>
      </c>
      <c r="H7073" s="23">
        <v>0</v>
      </c>
      <c r="I7073" s="23">
        <v>1286.7349999999999</v>
      </c>
      <c r="J7073" s="23">
        <v>0</v>
      </c>
      <c r="K7073" s="23">
        <v>0</v>
      </c>
    </row>
    <row r="7074" spans="1:11" x14ac:dyDescent="0.25">
      <c r="A7074">
        <v>7073</v>
      </c>
      <c r="B7074" s="23">
        <v>1378.6088199999999</v>
      </c>
      <c r="C7074" s="23">
        <v>15.67</v>
      </c>
      <c r="D7074" s="23">
        <v>36.78</v>
      </c>
      <c r="E7074" s="23">
        <v>36.78</v>
      </c>
      <c r="F7074" s="23">
        <v>0</v>
      </c>
      <c r="G7074" s="23">
        <v>0</v>
      </c>
      <c r="H7074" s="23">
        <v>0</v>
      </c>
      <c r="I7074" s="23">
        <v>1341.829</v>
      </c>
      <c r="J7074" s="23">
        <v>0</v>
      </c>
      <c r="K7074" s="23">
        <v>0</v>
      </c>
    </row>
    <row r="7075" spans="1:11" x14ac:dyDescent="0.25">
      <c r="A7075">
        <v>7074</v>
      </c>
      <c r="B7075" s="23">
        <v>911.51455669999996</v>
      </c>
      <c r="C7075" s="23">
        <v>0.98</v>
      </c>
      <c r="D7075" s="23">
        <v>0</v>
      </c>
      <c r="E7075" s="23">
        <v>0</v>
      </c>
      <c r="F7075" s="23">
        <v>0</v>
      </c>
      <c r="G7075" s="23">
        <v>0</v>
      </c>
      <c r="H7075" s="23">
        <v>0</v>
      </c>
      <c r="I7075" s="23">
        <v>0</v>
      </c>
      <c r="J7075" s="23">
        <v>0</v>
      </c>
      <c r="K7075" s="23">
        <v>911.51499999999999</v>
      </c>
    </row>
    <row r="7076" spans="1:11" x14ac:dyDescent="0.25">
      <c r="A7076">
        <v>7075</v>
      </c>
      <c r="B7076" s="23">
        <v>1308.9971009999999</v>
      </c>
      <c r="C7076" s="23">
        <v>0</v>
      </c>
      <c r="D7076" s="23">
        <v>0</v>
      </c>
      <c r="E7076" s="23">
        <v>0</v>
      </c>
      <c r="F7076" s="23">
        <v>0</v>
      </c>
      <c r="G7076" s="23">
        <v>0</v>
      </c>
      <c r="H7076" s="23">
        <v>0</v>
      </c>
      <c r="I7076" s="23">
        <v>0</v>
      </c>
      <c r="J7076" s="23">
        <v>0</v>
      </c>
      <c r="K7076" s="23">
        <v>1308.9970000000001</v>
      </c>
    </row>
    <row r="7077" spans="1:11" x14ac:dyDescent="0.25">
      <c r="A7077">
        <v>7076</v>
      </c>
      <c r="B7077" s="23">
        <v>978.16516969999998</v>
      </c>
      <c r="C7077" s="23">
        <v>0</v>
      </c>
      <c r="D7077" s="23">
        <v>0</v>
      </c>
      <c r="E7077" s="23">
        <v>0</v>
      </c>
      <c r="F7077" s="23">
        <v>0</v>
      </c>
      <c r="G7077" s="23">
        <v>0</v>
      </c>
      <c r="H7077" s="23">
        <v>0</v>
      </c>
      <c r="I7077" s="23">
        <v>0</v>
      </c>
      <c r="J7077" s="23">
        <v>0</v>
      </c>
      <c r="K7077" s="23">
        <v>978.16499999999996</v>
      </c>
    </row>
    <row r="7078" spans="1:11" x14ac:dyDescent="0.25">
      <c r="A7078">
        <v>7077</v>
      </c>
      <c r="B7078" s="23">
        <v>1111.0215989999999</v>
      </c>
      <c r="C7078" s="23">
        <v>0</v>
      </c>
      <c r="D7078" s="23">
        <v>0</v>
      </c>
      <c r="E7078" s="23">
        <v>0</v>
      </c>
      <c r="F7078" s="23">
        <v>0</v>
      </c>
      <c r="G7078" s="23">
        <v>0</v>
      </c>
      <c r="H7078" s="23">
        <v>0</v>
      </c>
      <c r="I7078" s="23">
        <v>1111.0219999999999</v>
      </c>
      <c r="J7078" s="23">
        <v>0</v>
      </c>
      <c r="K7078" s="23">
        <v>0</v>
      </c>
    </row>
    <row r="7079" spans="1:11" x14ac:dyDescent="0.25">
      <c r="A7079">
        <v>7078</v>
      </c>
      <c r="B7079" s="23">
        <v>1313.0255259999999</v>
      </c>
      <c r="C7079" s="23">
        <v>0</v>
      </c>
      <c r="D7079" s="23">
        <v>0</v>
      </c>
      <c r="E7079" s="23">
        <v>0</v>
      </c>
      <c r="F7079" s="23">
        <v>0</v>
      </c>
      <c r="G7079" s="23">
        <v>0</v>
      </c>
      <c r="H7079" s="23">
        <v>0</v>
      </c>
      <c r="I7079" s="23">
        <v>1313.0260000000001</v>
      </c>
      <c r="J7079" s="23">
        <v>0</v>
      </c>
      <c r="K7079" s="23">
        <v>0</v>
      </c>
    </row>
    <row r="7080" spans="1:11" x14ac:dyDescent="0.25">
      <c r="A7080">
        <v>7079</v>
      </c>
      <c r="B7080" s="23">
        <v>1476.959482</v>
      </c>
      <c r="C7080" s="23">
        <v>0</v>
      </c>
      <c r="D7080" s="23">
        <v>0</v>
      </c>
      <c r="E7080" s="23">
        <v>0</v>
      </c>
      <c r="F7080" s="23">
        <v>0</v>
      </c>
      <c r="G7080" s="23">
        <v>0</v>
      </c>
      <c r="H7080" s="23">
        <v>0</v>
      </c>
      <c r="I7080" s="23">
        <v>1476.9590000000001</v>
      </c>
      <c r="J7080" s="23">
        <v>0</v>
      </c>
      <c r="K7080" s="23">
        <v>0</v>
      </c>
    </row>
    <row r="7081" spans="1:11" x14ac:dyDescent="0.25">
      <c r="A7081">
        <v>7080</v>
      </c>
      <c r="B7081" s="23">
        <v>1488.6135549999999</v>
      </c>
      <c r="C7081" s="23">
        <v>0</v>
      </c>
      <c r="D7081" s="23">
        <v>0</v>
      </c>
      <c r="E7081" s="23">
        <v>0</v>
      </c>
      <c r="F7081" s="23">
        <v>0</v>
      </c>
      <c r="G7081" s="23">
        <v>0</v>
      </c>
      <c r="H7081" s="23">
        <v>0</v>
      </c>
      <c r="I7081" s="23">
        <v>1488.614</v>
      </c>
      <c r="J7081" s="23">
        <v>0</v>
      </c>
      <c r="K7081" s="23">
        <v>0</v>
      </c>
    </row>
    <row r="7082" spans="1:11" x14ac:dyDescent="0.25">
      <c r="A7082">
        <v>7081</v>
      </c>
      <c r="B7082" s="23">
        <v>1055.858988</v>
      </c>
      <c r="C7082" s="23">
        <v>0</v>
      </c>
      <c r="D7082" s="23">
        <v>0</v>
      </c>
      <c r="E7082" s="23">
        <v>0</v>
      </c>
      <c r="F7082" s="23">
        <v>0</v>
      </c>
      <c r="G7082" s="23">
        <v>0</v>
      </c>
      <c r="H7082" s="23">
        <v>0</v>
      </c>
      <c r="I7082" s="23">
        <v>1055.8589999999999</v>
      </c>
      <c r="J7082" s="23">
        <v>0</v>
      </c>
      <c r="K7082" s="23">
        <v>0</v>
      </c>
    </row>
    <row r="7083" spans="1:11" x14ac:dyDescent="0.25">
      <c r="A7083">
        <v>7082</v>
      </c>
      <c r="B7083" s="23">
        <v>1290.494318</v>
      </c>
      <c r="C7083" s="23">
        <v>0</v>
      </c>
      <c r="D7083" s="23">
        <v>0</v>
      </c>
      <c r="E7083" s="23">
        <v>0</v>
      </c>
      <c r="F7083" s="23">
        <v>0</v>
      </c>
      <c r="G7083" s="23">
        <v>0</v>
      </c>
      <c r="H7083" s="23">
        <v>0</v>
      </c>
      <c r="I7083" s="23">
        <v>1290.4939999999999</v>
      </c>
      <c r="J7083" s="23">
        <v>0</v>
      </c>
      <c r="K7083" s="23">
        <v>0</v>
      </c>
    </row>
    <row r="7084" spans="1:11" x14ac:dyDescent="0.25">
      <c r="A7084">
        <v>7083</v>
      </c>
      <c r="B7084" s="23">
        <v>1036.4355330000001</v>
      </c>
      <c r="C7084" s="23">
        <v>0</v>
      </c>
      <c r="D7084" s="23">
        <v>0</v>
      </c>
      <c r="E7084" s="23">
        <v>0</v>
      </c>
      <c r="F7084" s="23">
        <v>0</v>
      </c>
      <c r="G7084" s="23">
        <v>0</v>
      </c>
      <c r="H7084" s="23">
        <v>0</v>
      </c>
      <c r="I7084" s="23">
        <v>1036.4359999999999</v>
      </c>
      <c r="J7084" s="23">
        <v>0</v>
      </c>
      <c r="K7084" s="23">
        <v>0</v>
      </c>
    </row>
    <row r="7085" spans="1:11" x14ac:dyDescent="0.25">
      <c r="A7085">
        <v>7084</v>
      </c>
      <c r="B7085" s="23">
        <v>1038.7663480000001</v>
      </c>
      <c r="C7085" s="23">
        <v>0</v>
      </c>
      <c r="D7085" s="23">
        <v>0</v>
      </c>
      <c r="E7085" s="23">
        <v>0</v>
      </c>
      <c r="F7085" s="23">
        <v>0</v>
      </c>
      <c r="G7085" s="23">
        <v>0</v>
      </c>
      <c r="H7085" s="23">
        <v>0</v>
      </c>
      <c r="I7085" s="23">
        <v>1038.7660000000001</v>
      </c>
      <c r="J7085" s="23">
        <v>0</v>
      </c>
      <c r="K7085" s="23">
        <v>0</v>
      </c>
    </row>
    <row r="7086" spans="1:11" x14ac:dyDescent="0.25">
      <c r="A7086">
        <v>7085</v>
      </c>
      <c r="B7086" s="23">
        <v>936.98744620000002</v>
      </c>
      <c r="C7086" s="23">
        <v>0</v>
      </c>
      <c r="D7086" s="23">
        <v>0</v>
      </c>
      <c r="E7086" s="23">
        <v>0</v>
      </c>
      <c r="F7086" s="23">
        <v>0</v>
      </c>
      <c r="G7086" s="23">
        <v>0</v>
      </c>
      <c r="H7086" s="23">
        <v>0</v>
      </c>
      <c r="I7086" s="23">
        <v>479.56700000000001</v>
      </c>
      <c r="J7086" s="23">
        <v>0</v>
      </c>
      <c r="K7086" s="23">
        <v>457.42</v>
      </c>
    </row>
    <row r="7087" spans="1:11" x14ac:dyDescent="0.25">
      <c r="A7087">
        <v>7086</v>
      </c>
      <c r="B7087" s="23">
        <v>1198.038675</v>
      </c>
      <c r="C7087" s="23">
        <v>0</v>
      </c>
      <c r="D7087" s="23">
        <v>0</v>
      </c>
      <c r="E7087" s="23">
        <v>0</v>
      </c>
      <c r="F7087" s="23">
        <v>0</v>
      </c>
      <c r="G7087" s="23">
        <v>0</v>
      </c>
      <c r="H7087" s="23">
        <v>0</v>
      </c>
      <c r="I7087" s="23">
        <v>0</v>
      </c>
      <c r="J7087" s="23">
        <v>0</v>
      </c>
      <c r="K7087" s="23">
        <v>1198.039</v>
      </c>
    </row>
    <row r="7088" spans="1:11" x14ac:dyDescent="0.25">
      <c r="A7088">
        <v>7087</v>
      </c>
      <c r="B7088" s="23">
        <v>1205.406962</v>
      </c>
      <c r="C7088" s="23">
        <v>126.2</v>
      </c>
      <c r="D7088" s="23">
        <v>433.59800000000001</v>
      </c>
      <c r="E7088" s="23">
        <v>433.59800000000001</v>
      </c>
      <c r="F7088" s="23">
        <v>0</v>
      </c>
      <c r="G7088" s="23">
        <v>0</v>
      </c>
      <c r="H7088" s="23">
        <v>0</v>
      </c>
      <c r="I7088" s="23">
        <v>0</v>
      </c>
      <c r="J7088" s="23">
        <v>0</v>
      </c>
      <c r="K7088" s="23">
        <v>771.80899999999997</v>
      </c>
    </row>
    <row r="7089" spans="1:11" x14ac:dyDescent="0.25">
      <c r="A7089">
        <v>7088</v>
      </c>
      <c r="B7089" s="23">
        <v>1106.893143</v>
      </c>
      <c r="C7089" s="23">
        <v>306.86</v>
      </c>
      <c r="D7089" s="23">
        <v>1232.788</v>
      </c>
      <c r="E7089" s="23">
        <v>1106.893</v>
      </c>
      <c r="F7089" s="23">
        <v>-125.895</v>
      </c>
      <c r="G7089" s="23">
        <v>0</v>
      </c>
      <c r="H7089" s="23">
        <v>0</v>
      </c>
      <c r="I7089" s="23">
        <v>0</v>
      </c>
      <c r="J7089" s="23">
        <v>0</v>
      </c>
      <c r="K7089" s="23">
        <v>0</v>
      </c>
    </row>
    <row r="7090" spans="1:11" x14ac:dyDescent="0.25">
      <c r="A7090">
        <v>7089</v>
      </c>
      <c r="B7090" s="23">
        <v>1442.523639</v>
      </c>
      <c r="C7090" s="23">
        <v>553.5</v>
      </c>
      <c r="D7090" s="23">
        <v>2201.5749999999998</v>
      </c>
      <c r="E7090" s="23">
        <v>1442.5239999999999</v>
      </c>
      <c r="F7090" s="23">
        <v>-759.05100000000004</v>
      </c>
      <c r="G7090" s="23">
        <v>0</v>
      </c>
      <c r="H7090" s="23">
        <v>0</v>
      </c>
      <c r="I7090" s="23">
        <v>0</v>
      </c>
      <c r="J7090" s="23">
        <v>0</v>
      </c>
      <c r="K7090" s="23">
        <v>0</v>
      </c>
    </row>
    <row r="7091" spans="1:11" x14ac:dyDescent="0.25">
      <c r="A7091">
        <v>7090</v>
      </c>
      <c r="B7091" s="23">
        <v>1737.005547</v>
      </c>
      <c r="C7091" s="23">
        <v>665.29</v>
      </c>
      <c r="D7091" s="23">
        <v>2581.3820000000001</v>
      </c>
      <c r="E7091" s="23">
        <v>1737.0060000000001</v>
      </c>
      <c r="F7091" s="23">
        <v>-844.37599999999998</v>
      </c>
      <c r="G7091" s="23">
        <v>0</v>
      </c>
      <c r="H7091" s="23">
        <v>0</v>
      </c>
      <c r="I7091" s="23">
        <v>0</v>
      </c>
      <c r="J7091" s="23">
        <v>0</v>
      </c>
      <c r="K7091" s="23">
        <v>0</v>
      </c>
    </row>
    <row r="7092" spans="1:11" x14ac:dyDescent="0.25">
      <c r="A7092">
        <v>7091</v>
      </c>
      <c r="B7092" s="23">
        <v>1443.4841289999999</v>
      </c>
      <c r="C7092" s="23">
        <v>659.55</v>
      </c>
      <c r="D7092" s="23">
        <v>2520.87</v>
      </c>
      <c r="E7092" s="23">
        <v>1443.4839999999999</v>
      </c>
      <c r="F7092" s="23">
        <v>-1077.386</v>
      </c>
      <c r="G7092" s="23">
        <v>0</v>
      </c>
      <c r="H7092" s="23">
        <v>0</v>
      </c>
      <c r="I7092" s="23">
        <v>0</v>
      </c>
      <c r="J7092" s="23">
        <v>0</v>
      </c>
      <c r="K7092" s="23">
        <v>0</v>
      </c>
    </row>
    <row r="7093" spans="1:11" x14ac:dyDescent="0.25">
      <c r="A7093">
        <v>7092</v>
      </c>
      <c r="B7093" s="23">
        <v>1588.2694730000001</v>
      </c>
      <c r="C7093" s="23">
        <v>472.06</v>
      </c>
      <c r="D7093" s="23">
        <v>1801.528</v>
      </c>
      <c r="E7093" s="23">
        <v>1588.27</v>
      </c>
      <c r="F7093" s="23">
        <v>-213.25800000000001</v>
      </c>
      <c r="G7093" s="23">
        <v>0</v>
      </c>
      <c r="H7093" s="23">
        <v>0</v>
      </c>
      <c r="I7093" s="23">
        <v>0</v>
      </c>
      <c r="J7093" s="23">
        <v>0</v>
      </c>
      <c r="K7093" s="23">
        <v>0</v>
      </c>
    </row>
    <row r="7094" spans="1:11" x14ac:dyDescent="0.25">
      <c r="A7094">
        <v>7093</v>
      </c>
      <c r="B7094" s="23">
        <v>1786.2342920000001</v>
      </c>
      <c r="C7094" s="23">
        <v>802.33</v>
      </c>
      <c r="D7094" s="23">
        <v>2982.395</v>
      </c>
      <c r="E7094" s="23">
        <v>1786.2349999999999</v>
      </c>
      <c r="F7094" s="23">
        <v>-1196.1600000000001</v>
      </c>
      <c r="G7094" s="23">
        <v>0</v>
      </c>
      <c r="H7094" s="23">
        <v>0</v>
      </c>
      <c r="I7094" s="23">
        <v>0</v>
      </c>
      <c r="J7094" s="23">
        <v>0</v>
      </c>
      <c r="K7094" s="23">
        <v>0</v>
      </c>
    </row>
    <row r="7095" spans="1:11" x14ac:dyDescent="0.25">
      <c r="A7095">
        <v>7094</v>
      </c>
      <c r="B7095" s="23">
        <v>1390.166747</v>
      </c>
      <c r="C7095" s="23">
        <v>791.57</v>
      </c>
      <c r="D7095" s="23">
        <v>2958.643</v>
      </c>
      <c r="E7095" s="23">
        <v>1390.1669999999999</v>
      </c>
      <c r="F7095" s="23">
        <v>-1568.4760000000001</v>
      </c>
      <c r="G7095" s="23">
        <v>0</v>
      </c>
      <c r="H7095" s="23">
        <v>0</v>
      </c>
      <c r="I7095" s="23">
        <v>0</v>
      </c>
      <c r="J7095" s="23">
        <v>0</v>
      </c>
      <c r="K7095" s="23">
        <v>0</v>
      </c>
    </row>
    <row r="7096" spans="1:11" x14ac:dyDescent="0.25">
      <c r="A7096">
        <v>7095</v>
      </c>
      <c r="B7096" s="23">
        <v>1677.384282</v>
      </c>
      <c r="C7096" s="23">
        <v>562.62</v>
      </c>
      <c r="D7096" s="23">
        <v>2153.848</v>
      </c>
      <c r="E7096" s="23">
        <v>1677.384</v>
      </c>
      <c r="F7096" s="23">
        <v>-476.464</v>
      </c>
      <c r="G7096" s="23">
        <v>0</v>
      </c>
      <c r="H7096" s="23">
        <v>0</v>
      </c>
      <c r="I7096" s="23">
        <v>0</v>
      </c>
      <c r="J7096" s="23">
        <v>0</v>
      </c>
      <c r="K7096" s="23">
        <v>0</v>
      </c>
    </row>
    <row r="7097" spans="1:11" x14ac:dyDescent="0.25">
      <c r="A7097">
        <v>7096</v>
      </c>
      <c r="B7097" s="23">
        <v>1676.6694990000001</v>
      </c>
      <c r="C7097" s="23">
        <v>361.54</v>
      </c>
      <c r="D7097" s="23">
        <v>1424.164</v>
      </c>
      <c r="E7097" s="23">
        <v>1424.164</v>
      </c>
      <c r="F7097" s="23">
        <v>0</v>
      </c>
      <c r="G7097" s="23">
        <v>0</v>
      </c>
      <c r="H7097" s="23">
        <v>0</v>
      </c>
      <c r="I7097" s="23">
        <v>252.506</v>
      </c>
      <c r="J7097" s="23">
        <v>0</v>
      </c>
      <c r="K7097" s="23">
        <v>0</v>
      </c>
    </row>
    <row r="7098" spans="1:11" x14ac:dyDescent="0.25">
      <c r="A7098">
        <v>7097</v>
      </c>
      <c r="B7098" s="23">
        <v>1553.3917469999999</v>
      </c>
      <c r="C7098" s="23">
        <v>121.01</v>
      </c>
      <c r="D7098" s="23">
        <v>443.863</v>
      </c>
      <c r="E7098" s="23">
        <v>443.863</v>
      </c>
      <c r="F7098" s="23">
        <v>0</v>
      </c>
      <c r="G7098" s="23">
        <v>0</v>
      </c>
      <c r="H7098" s="23">
        <v>0</v>
      </c>
      <c r="I7098" s="23">
        <v>1109.529</v>
      </c>
      <c r="J7098" s="23">
        <v>0</v>
      </c>
      <c r="K7098" s="23">
        <v>0</v>
      </c>
    </row>
    <row r="7099" spans="1:11" x14ac:dyDescent="0.25">
      <c r="A7099">
        <v>7098</v>
      </c>
      <c r="B7099" s="23">
        <v>1585.9658509999999</v>
      </c>
      <c r="C7099" s="23">
        <v>4.22</v>
      </c>
      <c r="D7099" s="23">
        <v>0</v>
      </c>
      <c r="E7099" s="23">
        <v>0</v>
      </c>
      <c r="F7099" s="23">
        <v>0</v>
      </c>
      <c r="G7099" s="23">
        <v>0</v>
      </c>
      <c r="H7099" s="23">
        <v>0</v>
      </c>
      <c r="I7099" s="23">
        <v>0</v>
      </c>
      <c r="J7099" s="23">
        <v>0</v>
      </c>
      <c r="K7099" s="23">
        <v>1585.9659999999999</v>
      </c>
    </row>
    <row r="7100" spans="1:11" x14ac:dyDescent="0.25">
      <c r="A7100">
        <v>7099</v>
      </c>
      <c r="B7100" s="23">
        <v>1572.7909219999999</v>
      </c>
      <c r="C7100" s="23">
        <v>0</v>
      </c>
      <c r="D7100" s="23">
        <v>0</v>
      </c>
      <c r="E7100" s="23">
        <v>0</v>
      </c>
      <c r="F7100" s="23">
        <v>0</v>
      </c>
      <c r="G7100" s="23">
        <v>0</v>
      </c>
      <c r="H7100" s="23">
        <v>0</v>
      </c>
      <c r="I7100" s="23">
        <v>0</v>
      </c>
      <c r="J7100" s="23">
        <v>0</v>
      </c>
      <c r="K7100" s="23">
        <v>1572.7909999999999</v>
      </c>
    </row>
    <row r="7101" spans="1:11" x14ac:dyDescent="0.25">
      <c r="A7101">
        <v>7100</v>
      </c>
      <c r="B7101" s="23">
        <v>1489.3904930000001</v>
      </c>
      <c r="C7101" s="23">
        <v>0</v>
      </c>
      <c r="D7101" s="23">
        <v>0</v>
      </c>
      <c r="E7101" s="23">
        <v>0</v>
      </c>
      <c r="F7101" s="23">
        <v>0</v>
      </c>
      <c r="G7101" s="23">
        <v>0</v>
      </c>
      <c r="H7101" s="23">
        <v>0</v>
      </c>
      <c r="I7101" s="23">
        <v>0</v>
      </c>
      <c r="J7101" s="23">
        <v>0</v>
      </c>
      <c r="K7101" s="23">
        <v>1489.39</v>
      </c>
    </row>
    <row r="7102" spans="1:11" x14ac:dyDescent="0.25">
      <c r="A7102">
        <v>7101</v>
      </c>
      <c r="B7102" s="23">
        <v>1698.3868629999999</v>
      </c>
      <c r="C7102" s="23">
        <v>0</v>
      </c>
      <c r="D7102" s="23">
        <v>0</v>
      </c>
      <c r="E7102" s="23">
        <v>0</v>
      </c>
      <c r="F7102" s="23">
        <v>0</v>
      </c>
      <c r="G7102" s="23">
        <v>0</v>
      </c>
      <c r="H7102" s="23">
        <v>0</v>
      </c>
      <c r="I7102" s="23">
        <v>1698.3869999999999</v>
      </c>
      <c r="J7102" s="23">
        <v>0</v>
      </c>
      <c r="K7102" s="23">
        <v>0</v>
      </c>
    </row>
    <row r="7103" spans="1:11" x14ac:dyDescent="0.25">
      <c r="A7103">
        <v>7102</v>
      </c>
      <c r="B7103" s="23">
        <v>1112.5754750000001</v>
      </c>
      <c r="C7103" s="23">
        <v>0</v>
      </c>
      <c r="D7103" s="23">
        <v>0</v>
      </c>
      <c r="E7103" s="23">
        <v>0</v>
      </c>
      <c r="F7103" s="23">
        <v>0</v>
      </c>
      <c r="G7103" s="23">
        <v>0</v>
      </c>
      <c r="H7103" s="23">
        <v>0</v>
      </c>
      <c r="I7103" s="23">
        <v>1112.575</v>
      </c>
      <c r="J7103" s="23">
        <v>0</v>
      </c>
      <c r="K7103" s="23">
        <v>0</v>
      </c>
    </row>
    <row r="7104" spans="1:11" x14ac:dyDescent="0.25">
      <c r="A7104">
        <v>7103</v>
      </c>
      <c r="B7104" s="23">
        <v>1168.515024</v>
      </c>
      <c r="C7104" s="23">
        <v>0</v>
      </c>
      <c r="D7104" s="23">
        <v>0</v>
      </c>
      <c r="E7104" s="23">
        <v>0</v>
      </c>
      <c r="F7104" s="23">
        <v>0</v>
      </c>
      <c r="G7104" s="23">
        <v>0</v>
      </c>
      <c r="H7104" s="23">
        <v>0</v>
      </c>
      <c r="I7104" s="23">
        <v>1168.5150000000001</v>
      </c>
      <c r="J7104" s="23">
        <v>0</v>
      </c>
      <c r="K7104" s="23">
        <v>0</v>
      </c>
    </row>
    <row r="7105" spans="1:11" x14ac:dyDescent="0.25">
      <c r="A7105">
        <v>7104</v>
      </c>
      <c r="B7105" s="23">
        <v>371.37645049999998</v>
      </c>
      <c r="C7105" s="23">
        <v>0</v>
      </c>
      <c r="D7105" s="23">
        <v>0</v>
      </c>
      <c r="E7105" s="23">
        <v>0</v>
      </c>
      <c r="F7105" s="23">
        <v>0</v>
      </c>
      <c r="G7105" s="23">
        <v>0</v>
      </c>
      <c r="H7105" s="23">
        <v>0</v>
      </c>
      <c r="I7105" s="23">
        <v>371.37599999999998</v>
      </c>
      <c r="J7105" s="23">
        <v>0</v>
      </c>
      <c r="K7105" s="23">
        <v>0</v>
      </c>
    </row>
    <row r="7106" spans="1:11" x14ac:dyDescent="0.25">
      <c r="A7106">
        <v>7105</v>
      </c>
      <c r="B7106" s="23">
        <v>116.5407271</v>
      </c>
      <c r="C7106" s="23">
        <v>0</v>
      </c>
      <c r="D7106" s="23">
        <v>0</v>
      </c>
      <c r="E7106" s="23">
        <v>0</v>
      </c>
      <c r="F7106" s="23">
        <v>0</v>
      </c>
      <c r="G7106" s="23">
        <v>0</v>
      </c>
      <c r="H7106" s="23">
        <v>0</v>
      </c>
      <c r="I7106" s="23">
        <v>116.541</v>
      </c>
      <c r="J7106" s="23">
        <v>0</v>
      </c>
      <c r="K7106" s="23">
        <v>0</v>
      </c>
    </row>
    <row r="7107" spans="1:11" x14ac:dyDescent="0.25">
      <c r="A7107">
        <v>7106</v>
      </c>
      <c r="B7107" s="23">
        <v>122.7562326</v>
      </c>
      <c r="C7107" s="23">
        <v>0</v>
      </c>
      <c r="D7107" s="23">
        <v>0</v>
      </c>
      <c r="E7107" s="23">
        <v>0</v>
      </c>
      <c r="F7107" s="23">
        <v>0</v>
      </c>
      <c r="G7107" s="23">
        <v>0</v>
      </c>
      <c r="H7107" s="23">
        <v>0</v>
      </c>
      <c r="I7107" s="23">
        <v>122.756</v>
      </c>
      <c r="J7107" s="23">
        <v>0</v>
      </c>
      <c r="K7107" s="23">
        <v>0</v>
      </c>
    </row>
    <row r="7108" spans="1:11" x14ac:dyDescent="0.25">
      <c r="A7108">
        <v>7107</v>
      </c>
      <c r="B7108" s="23">
        <v>114.9868508</v>
      </c>
      <c r="C7108" s="23">
        <v>0</v>
      </c>
      <c r="D7108" s="23">
        <v>0</v>
      </c>
      <c r="E7108" s="23">
        <v>0</v>
      </c>
      <c r="F7108" s="23">
        <v>0</v>
      </c>
      <c r="G7108" s="23">
        <v>0</v>
      </c>
      <c r="H7108" s="23">
        <v>0</v>
      </c>
      <c r="I7108" s="23">
        <v>114.98699999999999</v>
      </c>
      <c r="J7108" s="23">
        <v>0</v>
      </c>
      <c r="K7108" s="23">
        <v>0</v>
      </c>
    </row>
    <row r="7109" spans="1:11" x14ac:dyDescent="0.25">
      <c r="A7109">
        <v>7108</v>
      </c>
      <c r="B7109" s="23">
        <v>121.2023562</v>
      </c>
      <c r="C7109" s="23">
        <v>0</v>
      </c>
      <c r="D7109" s="23">
        <v>0</v>
      </c>
      <c r="E7109" s="23">
        <v>0</v>
      </c>
      <c r="F7109" s="23">
        <v>0</v>
      </c>
      <c r="G7109" s="23">
        <v>0</v>
      </c>
      <c r="H7109" s="23">
        <v>0</v>
      </c>
      <c r="I7109" s="23">
        <v>121.202</v>
      </c>
      <c r="J7109" s="23">
        <v>0</v>
      </c>
      <c r="K7109" s="23">
        <v>0</v>
      </c>
    </row>
    <row r="7110" spans="1:11" x14ac:dyDescent="0.25">
      <c r="A7110">
        <v>7109</v>
      </c>
      <c r="B7110" s="23">
        <v>123.53317079999999</v>
      </c>
      <c r="C7110" s="23">
        <v>0</v>
      </c>
      <c r="D7110" s="23">
        <v>0</v>
      </c>
      <c r="E7110" s="23">
        <v>0</v>
      </c>
      <c r="F7110" s="23">
        <v>0</v>
      </c>
      <c r="G7110" s="23">
        <v>0</v>
      </c>
      <c r="H7110" s="23">
        <v>0</v>
      </c>
      <c r="I7110" s="23">
        <v>123.533</v>
      </c>
      <c r="J7110" s="23">
        <v>0</v>
      </c>
      <c r="K7110" s="23">
        <v>0</v>
      </c>
    </row>
    <row r="7111" spans="1:11" x14ac:dyDescent="0.25">
      <c r="A7111">
        <v>7110</v>
      </c>
      <c r="B7111" s="23">
        <v>101.77890170000001</v>
      </c>
      <c r="C7111" s="23">
        <v>0</v>
      </c>
      <c r="D7111" s="23">
        <v>0</v>
      </c>
      <c r="E7111" s="23">
        <v>0</v>
      </c>
      <c r="F7111" s="23">
        <v>0</v>
      </c>
      <c r="G7111" s="23">
        <v>0</v>
      </c>
      <c r="H7111" s="23">
        <v>0</v>
      </c>
      <c r="I7111" s="23">
        <v>101.779</v>
      </c>
      <c r="J7111" s="23">
        <v>0</v>
      </c>
      <c r="K7111" s="23">
        <v>0</v>
      </c>
    </row>
    <row r="7112" spans="1:11" x14ac:dyDescent="0.25">
      <c r="A7112">
        <v>7111</v>
      </c>
      <c r="B7112" s="23">
        <v>87.84742894</v>
      </c>
      <c r="C7112" s="23">
        <v>83.05</v>
      </c>
      <c r="D7112" s="23">
        <v>285.59899999999999</v>
      </c>
      <c r="E7112" s="23">
        <v>0</v>
      </c>
      <c r="F7112" s="23">
        <v>-285.59899999999999</v>
      </c>
      <c r="G7112" s="23">
        <v>0</v>
      </c>
      <c r="H7112" s="23">
        <v>0</v>
      </c>
      <c r="I7112" s="23">
        <v>87.846999999999994</v>
      </c>
      <c r="J7112" s="23">
        <v>0</v>
      </c>
      <c r="K7112" s="23">
        <v>0</v>
      </c>
    </row>
    <row r="7113" spans="1:11" x14ac:dyDescent="0.25">
      <c r="A7113">
        <v>7112</v>
      </c>
      <c r="B7113" s="23">
        <v>176.3999293</v>
      </c>
      <c r="C7113" s="23">
        <v>236.06</v>
      </c>
      <c r="D7113" s="23">
        <v>934.25900000000001</v>
      </c>
      <c r="E7113" s="23">
        <v>0</v>
      </c>
      <c r="F7113" s="23">
        <v>-934.25900000000001</v>
      </c>
      <c r="G7113" s="23">
        <v>0</v>
      </c>
      <c r="H7113" s="23">
        <v>0</v>
      </c>
      <c r="I7113" s="23">
        <v>176.4</v>
      </c>
      <c r="J7113" s="23">
        <v>0</v>
      </c>
      <c r="K7113" s="23">
        <v>0</v>
      </c>
    </row>
    <row r="7114" spans="1:11" x14ac:dyDescent="0.25">
      <c r="A7114">
        <v>7113</v>
      </c>
      <c r="B7114" s="23">
        <v>1266.3004639999999</v>
      </c>
      <c r="C7114" s="23">
        <v>155.49</v>
      </c>
      <c r="D7114" s="23">
        <v>591.41800000000001</v>
      </c>
      <c r="E7114" s="23">
        <v>0</v>
      </c>
      <c r="F7114" s="23">
        <v>-591.41800000000001</v>
      </c>
      <c r="G7114" s="23">
        <v>0</v>
      </c>
      <c r="H7114" s="23">
        <v>0</v>
      </c>
      <c r="I7114" s="23">
        <v>1266.3</v>
      </c>
      <c r="J7114" s="23">
        <v>0</v>
      </c>
      <c r="K7114" s="23">
        <v>0</v>
      </c>
    </row>
    <row r="7115" spans="1:11" x14ac:dyDescent="0.25">
      <c r="A7115">
        <v>7114</v>
      </c>
      <c r="B7115" s="23">
        <v>1548.048354</v>
      </c>
      <c r="C7115" s="23">
        <v>47.11</v>
      </c>
      <c r="D7115" s="23">
        <v>155.27199999999999</v>
      </c>
      <c r="E7115" s="23">
        <v>0</v>
      </c>
      <c r="F7115" s="23">
        <v>-155.27199999999999</v>
      </c>
      <c r="G7115" s="23">
        <v>0</v>
      </c>
      <c r="H7115" s="23">
        <v>0</v>
      </c>
      <c r="I7115" s="23">
        <v>1548.048</v>
      </c>
      <c r="J7115" s="23">
        <v>0</v>
      </c>
      <c r="K7115" s="23">
        <v>0</v>
      </c>
    </row>
    <row r="7116" spans="1:11" x14ac:dyDescent="0.25">
      <c r="A7116">
        <v>7115</v>
      </c>
      <c r="B7116" s="23">
        <v>1673.0266300000001</v>
      </c>
      <c r="C7116" s="23">
        <v>147.66</v>
      </c>
      <c r="D7116" s="23">
        <v>546.87800000000004</v>
      </c>
      <c r="E7116" s="23">
        <v>546.87800000000004</v>
      </c>
      <c r="F7116" s="23">
        <v>0</v>
      </c>
      <c r="G7116" s="23">
        <v>0</v>
      </c>
      <c r="H7116" s="23">
        <v>0</v>
      </c>
      <c r="I7116" s="23">
        <v>0</v>
      </c>
      <c r="J7116" s="23">
        <v>0</v>
      </c>
      <c r="K7116" s="23">
        <v>1126.1479999999999</v>
      </c>
    </row>
    <row r="7117" spans="1:11" x14ac:dyDescent="0.25">
      <c r="A7117">
        <v>7116</v>
      </c>
      <c r="B7117" s="23">
        <v>1771.9988430000001</v>
      </c>
      <c r="C7117" s="23">
        <v>556.23</v>
      </c>
      <c r="D7117" s="23">
        <v>2097.6709999999998</v>
      </c>
      <c r="E7117" s="23">
        <v>1771.999</v>
      </c>
      <c r="F7117" s="23">
        <v>-325.67200000000003</v>
      </c>
      <c r="G7117" s="23">
        <v>0</v>
      </c>
      <c r="H7117" s="23">
        <v>0</v>
      </c>
      <c r="I7117" s="23">
        <v>0</v>
      </c>
      <c r="J7117" s="23">
        <v>0</v>
      </c>
      <c r="K7117" s="23">
        <v>0</v>
      </c>
    </row>
    <row r="7118" spans="1:11" x14ac:dyDescent="0.25">
      <c r="A7118">
        <v>7117</v>
      </c>
      <c r="B7118" s="23">
        <v>1494.002592</v>
      </c>
      <c r="C7118" s="23">
        <v>755.85</v>
      </c>
      <c r="D7118" s="23">
        <v>2815.5250000000001</v>
      </c>
      <c r="E7118" s="23">
        <v>1130.9659999999999</v>
      </c>
      <c r="F7118" s="23">
        <v>-1684.559</v>
      </c>
      <c r="G7118" s="23">
        <v>0</v>
      </c>
      <c r="H7118" s="23">
        <v>0</v>
      </c>
      <c r="I7118" s="23">
        <v>363.03699999999998</v>
      </c>
      <c r="J7118" s="23">
        <v>0</v>
      </c>
      <c r="K7118" s="23">
        <v>0</v>
      </c>
    </row>
    <row r="7119" spans="1:11" x14ac:dyDescent="0.25">
      <c r="A7119">
        <v>7118</v>
      </c>
      <c r="B7119" s="23">
        <v>1420.6499160000001</v>
      </c>
      <c r="C7119" s="23">
        <v>540.58000000000004</v>
      </c>
      <c r="D7119" s="23">
        <v>2058.3539999999998</v>
      </c>
      <c r="E7119" s="23">
        <v>373.79500000000002</v>
      </c>
      <c r="F7119" s="23">
        <v>-1684.559</v>
      </c>
      <c r="G7119" s="23">
        <v>0</v>
      </c>
      <c r="H7119" s="23">
        <v>0</v>
      </c>
      <c r="I7119" s="23">
        <v>1046.855</v>
      </c>
      <c r="J7119" s="23">
        <v>0</v>
      </c>
      <c r="K7119" s="23">
        <v>0</v>
      </c>
    </row>
    <row r="7120" spans="1:11" x14ac:dyDescent="0.25">
      <c r="A7120">
        <v>7119</v>
      </c>
      <c r="B7120" s="23">
        <v>1712.2377289999999</v>
      </c>
      <c r="C7120" s="23">
        <v>540.75</v>
      </c>
      <c r="D7120" s="23">
        <v>2099.8090000000002</v>
      </c>
      <c r="E7120" s="23">
        <v>1334.982</v>
      </c>
      <c r="F7120" s="23">
        <v>-764.827</v>
      </c>
      <c r="G7120" s="23">
        <v>0</v>
      </c>
      <c r="H7120" s="23">
        <v>0</v>
      </c>
      <c r="I7120" s="23">
        <v>377.25599999999997</v>
      </c>
      <c r="J7120" s="23">
        <v>0</v>
      </c>
      <c r="K7120" s="23">
        <v>0</v>
      </c>
    </row>
    <row r="7121" spans="1:11" x14ac:dyDescent="0.25">
      <c r="A7121">
        <v>7120</v>
      </c>
      <c r="B7121" s="23">
        <v>1677.2910489999999</v>
      </c>
      <c r="C7121" s="23">
        <v>247.34</v>
      </c>
      <c r="D7121" s="23">
        <v>973.05899999999997</v>
      </c>
      <c r="E7121" s="23">
        <v>973.05899999999997</v>
      </c>
      <c r="F7121" s="23">
        <v>0</v>
      </c>
      <c r="G7121" s="23">
        <v>0</v>
      </c>
      <c r="H7121" s="23">
        <v>0</v>
      </c>
      <c r="I7121" s="23">
        <v>704.23199999999997</v>
      </c>
      <c r="J7121" s="23">
        <v>0</v>
      </c>
      <c r="K7121" s="23">
        <v>0</v>
      </c>
    </row>
    <row r="7122" spans="1:11" x14ac:dyDescent="0.25">
      <c r="A7122">
        <v>7121</v>
      </c>
      <c r="B7122" s="23">
        <v>1676.966678</v>
      </c>
      <c r="C7122" s="23">
        <v>8.81</v>
      </c>
      <c r="D7122" s="23">
        <v>10.811999999999999</v>
      </c>
      <c r="E7122" s="23">
        <v>10.811999999999999</v>
      </c>
      <c r="F7122" s="23">
        <v>0</v>
      </c>
      <c r="G7122" s="23">
        <v>0</v>
      </c>
      <c r="H7122" s="23">
        <v>0</v>
      </c>
      <c r="I7122" s="23">
        <v>1666.155</v>
      </c>
      <c r="J7122" s="23">
        <v>0</v>
      </c>
      <c r="K7122" s="23">
        <v>0</v>
      </c>
    </row>
    <row r="7123" spans="1:11" x14ac:dyDescent="0.25">
      <c r="A7123">
        <v>7122</v>
      </c>
      <c r="B7123" s="23">
        <v>1398.5489379999999</v>
      </c>
      <c r="C7123" s="23">
        <v>0.98</v>
      </c>
      <c r="D7123" s="23">
        <v>0</v>
      </c>
      <c r="E7123" s="23">
        <v>0</v>
      </c>
      <c r="F7123" s="23">
        <v>0</v>
      </c>
      <c r="G7123" s="23">
        <v>0</v>
      </c>
      <c r="H7123" s="23">
        <v>0</v>
      </c>
      <c r="I7123" s="23">
        <v>0</v>
      </c>
      <c r="J7123" s="23">
        <v>0</v>
      </c>
      <c r="K7123" s="23">
        <v>1398.549</v>
      </c>
    </row>
    <row r="7124" spans="1:11" x14ac:dyDescent="0.25">
      <c r="A7124">
        <v>7123</v>
      </c>
      <c r="B7124" s="23">
        <v>1443.042246</v>
      </c>
      <c r="C7124" s="23">
        <v>0</v>
      </c>
      <c r="D7124" s="23">
        <v>0</v>
      </c>
      <c r="E7124" s="23">
        <v>0</v>
      </c>
      <c r="F7124" s="23">
        <v>0</v>
      </c>
      <c r="G7124" s="23">
        <v>0</v>
      </c>
      <c r="H7124" s="23">
        <v>0</v>
      </c>
      <c r="I7124" s="23">
        <v>0</v>
      </c>
      <c r="J7124" s="23">
        <v>0</v>
      </c>
      <c r="K7124" s="23">
        <v>1443.0419999999999</v>
      </c>
    </row>
    <row r="7125" spans="1:11" x14ac:dyDescent="0.25">
      <c r="A7125">
        <v>7124</v>
      </c>
      <c r="B7125" s="23">
        <v>1379.0652709999999</v>
      </c>
      <c r="C7125" s="23">
        <v>0</v>
      </c>
      <c r="D7125" s="23">
        <v>0</v>
      </c>
      <c r="E7125" s="23">
        <v>0</v>
      </c>
      <c r="F7125" s="23">
        <v>0</v>
      </c>
      <c r="G7125" s="23">
        <v>0</v>
      </c>
      <c r="H7125" s="23">
        <v>0</v>
      </c>
      <c r="I7125" s="23">
        <v>0</v>
      </c>
      <c r="J7125" s="23">
        <v>0</v>
      </c>
      <c r="K7125" s="23">
        <v>1379.0650000000001</v>
      </c>
    </row>
    <row r="7126" spans="1:11" x14ac:dyDescent="0.25">
      <c r="A7126">
        <v>7125</v>
      </c>
      <c r="B7126" s="23">
        <v>1510.3678239999999</v>
      </c>
      <c r="C7126" s="23">
        <v>0</v>
      </c>
      <c r="D7126" s="23">
        <v>0</v>
      </c>
      <c r="E7126" s="23">
        <v>0</v>
      </c>
      <c r="F7126" s="23">
        <v>0</v>
      </c>
      <c r="G7126" s="23">
        <v>0</v>
      </c>
      <c r="H7126" s="23">
        <v>0</v>
      </c>
      <c r="I7126" s="23">
        <v>1510.3679999999999</v>
      </c>
      <c r="J7126" s="23">
        <v>0</v>
      </c>
      <c r="K7126" s="23">
        <v>0</v>
      </c>
    </row>
    <row r="7127" spans="1:11" x14ac:dyDescent="0.25">
      <c r="A7127">
        <v>7126</v>
      </c>
      <c r="B7127" s="23">
        <v>1776.080682</v>
      </c>
      <c r="C7127" s="23">
        <v>0</v>
      </c>
      <c r="D7127" s="23">
        <v>0</v>
      </c>
      <c r="E7127" s="23">
        <v>0</v>
      </c>
      <c r="F7127" s="23">
        <v>0</v>
      </c>
      <c r="G7127" s="23">
        <v>0</v>
      </c>
      <c r="H7127" s="23">
        <v>0</v>
      </c>
      <c r="I7127" s="23">
        <v>1776.0809999999999</v>
      </c>
      <c r="J7127" s="23">
        <v>0</v>
      </c>
      <c r="K7127" s="23">
        <v>0</v>
      </c>
    </row>
    <row r="7128" spans="1:11" x14ac:dyDescent="0.25">
      <c r="A7128">
        <v>7127</v>
      </c>
      <c r="B7128" s="23">
        <v>1299.0406379999999</v>
      </c>
      <c r="C7128" s="23">
        <v>0</v>
      </c>
      <c r="D7128" s="23">
        <v>0</v>
      </c>
      <c r="E7128" s="23">
        <v>0</v>
      </c>
      <c r="F7128" s="23">
        <v>0</v>
      </c>
      <c r="G7128" s="23">
        <v>0</v>
      </c>
      <c r="H7128" s="23">
        <v>0</v>
      </c>
      <c r="I7128" s="23">
        <v>1299.0409999999999</v>
      </c>
      <c r="J7128" s="23">
        <v>0</v>
      </c>
      <c r="K7128" s="23">
        <v>0</v>
      </c>
    </row>
    <row r="7129" spans="1:11" x14ac:dyDescent="0.25">
      <c r="A7129">
        <v>7128</v>
      </c>
      <c r="B7129" s="23">
        <v>1407.035046</v>
      </c>
      <c r="C7129" s="23">
        <v>0</v>
      </c>
      <c r="D7129" s="23">
        <v>0</v>
      </c>
      <c r="E7129" s="23">
        <v>0</v>
      </c>
      <c r="F7129" s="23">
        <v>0</v>
      </c>
      <c r="G7129" s="23">
        <v>0</v>
      </c>
      <c r="H7129" s="23">
        <v>0</v>
      </c>
      <c r="I7129" s="23">
        <v>1407.0350000000001</v>
      </c>
      <c r="J7129" s="23">
        <v>0</v>
      </c>
      <c r="K7129" s="23">
        <v>0</v>
      </c>
    </row>
    <row r="7130" spans="1:11" x14ac:dyDescent="0.25">
      <c r="A7130">
        <v>7129</v>
      </c>
      <c r="B7130" s="23">
        <v>1057.4128639999999</v>
      </c>
      <c r="C7130" s="23">
        <v>0</v>
      </c>
      <c r="D7130" s="23">
        <v>0</v>
      </c>
      <c r="E7130" s="23">
        <v>0</v>
      </c>
      <c r="F7130" s="23">
        <v>0</v>
      </c>
      <c r="G7130" s="23">
        <v>0</v>
      </c>
      <c r="H7130" s="23">
        <v>0</v>
      </c>
      <c r="I7130" s="23">
        <v>1057.413</v>
      </c>
      <c r="J7130" s="23">
        <v>0</v>
      </c>
      <c r="K7130" s="23">
        <v>0</v>
      </c>
    </row>
    <row r="7131" spans="1:11" x14ac:dyDescent="0.25">
      <c r="A7131">
        <v>7130</v>
      </c>
      <c r="B7131" s="23">
        <v>1358.0879399999999</v>
      </c>
      <c r="C7131" s="23">
        <v>0</v>
      </c>
      <c r="D7131" s="23">
        <v>0</v>
      </c>
      <c r="E7131" s="23">
        <v>0</v>
      </c>
      <c r="F7131" s="23">
        <v>0</v>
      </c>
      <c r="G7131" s="23">
        <v>0</v>
      </c>
      <c r="H7131" s="23">
        <v>0</v>
      </c>
      <c r="I7131" s="23">
        <v>1358.088</v>
      </c>
      <c r="J7131" s="23">
        <v>0</v>
      </c>
      <c r="K7131" s="23">
        <v>0</v>
      </c>
    </row>
    <row r="7132" spans="1:11" x14ac:dyDescent="0.25">
      <c r="A7132">
        <v>7131</v>
      </c>
      <c r="B7132" s="23">
        <v>1203.4772419999999</v>
      </c>
      <c r="C7132" s="23">
        <v>0</v>
      </c>
      <c r="D7132" s="23">
        <v>0</v>
      </c>
      <c r="E7132" s="23">
        <v>0</v>
      </c>
      <c r="F7132" s="23">
        <v>0</v>
      </c>
      <c r="G7132" s="23">
        <v>0</v>
      </c>
      <c r="H7132" s="23">
        <v>0</v>
      </c>
      <c r="I7132" s="23">
        <v>1203.4770000000001</v>
      </c>
      <c r="J7132" s="23">
        <v>0</v>
      </c>
      <c r="K7132" s="23">
        <v>0</v>
      </c>
    </row>
    <row r="7133" spans="1:11" x14ac:dyDescent="0.25">
      <c r="A7133">
        <v>7132</v>
      </c>
      <c r="B7133" s="23">
        <v>1147.537693</v>
      </c>
      <c r="C7133" s="23">
        <v>0</v>
      </c>
      <c r="D7133" s="23">
        <v>0</v>
      </c>
      <c r="E7133" s="23">
        <v>0</v>
      </c>
      <c r="F7133" s="23">
        <v>0</v>
      </c>
      <c r="G7133" s="23">
        <v>0</v>
      </c>
      <c r="H7133" s="23">
        <v>0</v>
      </c>
      <c r="I7133" s="23">
        <v>1147.538</v>
      </c>
      <c r="J7133" s="23">
        <v>0</v>
      </c>
      <c r="K7133" s="23">
        <v>0</v>
      </c>
    </row>
    <row r="7134" spans="1:11" x14ac:dyDescent="0.25">
      <c r="A7134">
        <v>7133</v>
      </c>
      <c r="B7134" s="23">
        <v>1421.019933</v>
      </c>
      <c r="C7134" s="23">
        <v>0</v>
      </c>
      <c r="D7134" s="23">
        <v>0</v>
      </c>
      <c r="E7134" s="23">
        <v>0</v>
      </c>
      <c r="F7134" s="23">
        <v>0</v>
      </c>
      <c r="G7134" s="23">
        <v>0</v>
      </c>
      <c r="H7134" s="23">
        <v>0</v>
      </c>
      <c r="I7134" s="23">
        <v>1421.02</v>
      </c>
      <c r="J7134" s="23">
        <v>0</v>
      </c>
      <c r="K7134" s="23">
        <v>0</v>
      </c>
    </row>
    <row r="7135" spans="1:11" x14ac:dyDescent="0.25">
      <c r="A7135">
        <v>7134</v>
      </c>
      <c r="B7135" s="23">
        <v>1152.9762599999999</v>
      </c>
      <c r="C7135" s="23">
        <v>0</v>
      </c>
      <c r="D7135" s="23">
        <v>0</v>
      </c>
      <c r="E7135" s="23">
        <v>0</v>
      </c>
      <c r="F7135" s="23">
        <v>0</v>
      </c>
      <c r="G7135" s="23">
        <v>0</v>
      </c>
      <c r="H7135" s="23">
        <v>0</v>
      </c>
      <c r="I7135" s="23">
        <v>1152.9760000000001</v>
      </c>
      <c r="J7135" s="23">
        <v>0</v>
      </c>
      <c r="K7135" s="23">
        <v>0</v>
      </c>
    </row>
    <row r="7136" spans="1:11" x14ac:dyDescent="0.25">
      <c r="A7136">
        <v>7135</v>
      </c>
      <c r="B7136" s="23">
        <v>1150.645446</v>
      </c>
      <c r="C7136" s="23">
        <v>31.36</v>
      </c>
      <c r="D7136" s="23">
        <v>97.844999999999999</v>
      </c>
      <c r="E7136" s="23">
        <v>0</v>
      </c>
      <c r="F7136" s="23">
        <v>-97.844999999999999</v>
      </c>
      <c r="G7136" s="23">
        <v>0</v>
      </c>
      <c r="H7136" s="23">
        <v>0</v>
      </c>
      <c r="I7136" s="23">
        <v>1150.645</v>
      </c>
      <c r="J7136" s="23">
        <v>0</v>
      </c>
      <c r="K7136" s="23">
        <v>0</v>
      </c>
    </row>
    <row r="7137" spans="1:11" x14ac:dyDescent="0.25">
      <c r="A7137">
        <v>7136</v>
      </c>
      <c r="B7137" s="23">
        <v>1557.232735</v>
      </c>
      <c r="C7137" s="23">
        <v>91.31</v>
      </c>
      <c r="D7137" s="23">
        <v>341.21899999999999</v>
      </c>
      <c r="E7137" s="23">
        <v>91.396000000000001</v>
      </c>
      <c r="F7137" s="23">
        <v>-249.82300000000001</v>
      </c>
      <c r="G7137" s="23">
        <v>0</v>
      </c>
      <c r="H7137" s="23">
        <v>0</v>
      </c>
      <c r="I7137" s="23">
        <v>1465.837</v>
      </c>
      <c r="J7137" s="23">
        <v>0</v>
      </c>
      <c r="K7137" s="23">
        <v>0</v>
      </c>
    </row>
    <row r="7138" spans="1:11" x14ac:dyDescent="0.25">
      <c r="A7138">
        <v>7137</v>
      </c>
      <c r="B7138" s="23">
        <v>1562.955856</v>
      </c>
      <c r="C7138" s="23">
        <v>34.32</v>
      </c>
      <c r="D7138" s="23">
        <v>107.654</v>
      </c>
      <c r="E7138" s="23">
        <v>107.654</v>
      </c>
      <c r="F7138" s="23">
        <v>0</v>
      </c>
      <c r="G7138" s="23">
        <v>0</v>
      </c>
      <c r="H7138" s="23">
        <v>0</v>
      </c>
      <c r="I7138" s="23">
        <v>1455.3009999999999</v>
      </c>
      <c r="J7138" s="23">
        <v>0</v>
      </c>
      <c r="K7138" s="23">
        <v>0</v>
      </c>
    </row>
    <row r="7139" spans="1:11" x14ac:dyDescent="0.25">
      <c r="A7139">
        <v>7138</v>
      </c>
      <c r="B7139" s="23">
        <v>1484.1529579999999</v>
      </c>
      <c r="C7139" s="23">
        <v>194.89</v>
      </c>
      <c r="D7139" s="23">
        <v>742.74300000000005</v>
      </c>
      <c r="E7139" s="23">
        <v>742.74300000000005</v>
      </c>
      <c r="F7139" s="23">
        <v>0</v>
      </c>
      <c r="G7139" s="23">
        <v>0</v>
      </c>
      <c r="H7139" s="23">
        <v>0</v>
      </c>
      <c r="I7139" s="23">
        <v>741.41</v>
      </c>
      <c r="J7139" s="23">
        <v>0</v>
      </c>
      <c r="K7139" s="23">
        <v>0</v>
      </c>
    </row>
    <row r="7140" spans="1:11" x14ac:dyDescent="0.25">
      <c r="A7140">
        <v>7139</v>
      </c>
      <c r="B7140" s="23">
        <v>1538.7348079999999</v>
      </c>
      <c r="C7140" s="23">
        <v>679.17</v>
      </c>
      <c r="D7140" s="23">
        <v>2580.4</v>
      </c>
      <c r="E7140" s="23">
        <v>1538.7339999999999</v>
      </c>
      <c r="F7140" s="23">
        <v>-1041.6659999999999</v>
      </c>
      <c r="G7140" s="23">
        <v>0</v>
      </c>
      <c r="H7140" s="23">
        <v>0</v>
      </c>
      <c r="I7140" s="23">
        <v>0</v>
      </c>
      <c r="J7140" s="23">
        <v>0</v>
      </c>
      <c r="K7140" s="23">
        <v>0</v>
      </c>
    </row>
    <row r="7141" spans="1:11" x14ac:dyDescent="0.25">
      <c r="A7141">
        <v>7140</v>
      </c>
      <c r="B7141" s="23">
        <v>1370.9210169999999</v>
      </c>
      <c r="C7141" s="23">
        <v>657.2</v>
      </c>
      <c r="D7141" s="23">
        <v>2504.614</v>
      </c>
      <c r="E7141" s="23">
        <v>1370.921</v>
      </c>
      <c r="F7141" s="23">
        <v>-1133.693</v>
      </c>
      <c r="G7141" s="23">
        <v>0</v>
      </c>
      <c r="H7141" s="23">
        <v>0</v>
      </c>
      <c r="I7141" s="23">
        <v>0</v>
      </c>
      <c r="J7141" s="23">
        <v>0</v>
      </c>
      <c r="K7141" s="23">
        <v>0</v>
      </c>
    </row>
    <row r="7142" spans="1:11" x14ac:dyDescent="0.25">
      <c r="A7142">
        <v>7141</v>
      </c>
      <c r="B7142" s="23">
        <v>1755.523868</v>
      </c>
      <c r="C7142" s="23">
        <v>166.42</v>
      </c>
      <c r="D7142" s="23">
        <v>621.83399999999995</v>
      </c>
      <c r="E7142" s="23">
        <v>621.83399999999995</v>
      </c>
      <c r="F7142" s="23">
        <v>0</v>
      </c>
      <c r="G7142" s="23">
        <v>0</v>
      </c>
      <c r="H7142" s="23">
        <v>0</v>
      </c>
      <c r="I7142" s="23">
        <v>1133.69</v>
      </c>
      <c r="J7142" s="23">
        <v>0</v>
      </c>
      <c r="K7142" s="23">
        <v>0</v>
      </c>
    </row>
    <row r="7143" spans="1:11" x14ac:dyDescent="0.25">
      <c r="A7143">
        <v>7142</v>
      </c>
      <c r="B7143" s="23">
        <v>1535.2541249999999</v>
      </c>
      <c r="C7143" s="23">
        <v>260.14999999999998</v>
      </c>
      <c r="D7143" s="23">
        <v>999.60599999999999</v>
      </c>
      <c r="E7143" s="23">
        <v>999.60599999999999</v>
      </c>
      <c r="F7143" s="23">
        <v>0</v>
      </c>
      <c r="G7143" s="23">
        <v>0</v>
      </c>
      <c r="H7143" s="23">
        <v>0</v>
      </c>
      <c r="I7143" s="23">
        <v>535.649</v>
      </c>
      <c r="J7143" s="23">
        <v>0</v>
      </c>
      <c r="K7143" s="23">
        <v>0</v>
      </c>
    </row>
    <row r="7144" spans="1:11" x14ac:dyDescent="0.25">
      <c r="A7144">
        <v>7143</v>
      </c>
      <c r="B7144" s="23">
        <v>1077.4462149999999</v>
      </c>
      <c r="C7144" s="23">
        <v>56.91</v>
      </c>
      <c r="D7144" s="23">
        <v>194.98699999999999</v>
      </c>
      <c r="E7144" s="23">
        <v>194.98699999999999</v>
      </c>
      <c r="F7144" s="23">
        <v>0</v>
      </c>
      <c r="G7144" s="23">
        <v>0</v>
      </c>
      <c r="H7144" s="23">
        <v>0</v>
      </c>
      <c r="I7144" s="23">
        <v>882.45899999999995</v>
      </c>
      <c r="J7144" s="23">
        <v>0</v>
      </c>
      <c r="K7144" s="23">
        <v>0</v>
      </c>
    </row>
    <row r="7145" spans="1:11" x14ac:dyDescent="0.25">
      <c r="A7145">
        <v>7144</v>
      </c>
      <c r="B7145" s="23">
        <v>1517.8448820000001</v>
      </c>
      <c r="C7145" s="23">
        <v>76.510000000000005</v>
      </c>
      <c r="D7145" s="23">
        <v>277.75299999999999</v>
      </c>
      <c r="E7145" s="23">
        <v>277.75299999999999</v>
      </c>
      <c r="F7145" s="23">
        <v>0</v>
      </c>
      <c r="G7145" s="23">
        <v>0</v>
      </c>
      <c r="H7145" s="23">
        <v>0</v>
      </c>
      <c r="I7145" s="23">
        <v>1240.0920000000001</v>
      </c>
      <c r="J7145" s="23">
        <v>0</v>
      </c>
      <c r="K7145" s="23">
        <v>0</v>
      </c>
    </row>
    <row r="7146" spans="1:11" x14ac:dyDescent="0.25">
      <c r="A7146">
        <v>7145</v>
      </c>
      <c r="B7146" s="23">
        <v>1251.0074070000001</v>
      </c>
      <c r="C7146" s="23">
        <v>98.36</v>
      </c>
      <c r="D7146" s="23">
        <v>364.85199999999998</v>
      </c>
      <c r="E7146" s="23">
        <v>364.85199999999998</v>
      </c>
      <c r="F7146" s="23">
        <v>0</v>
      </c>
      <c r="G7146" s="23">
        <v>0</v>
      </c>
      <c r="H7146" s="23">
        <v>0</v>
      </c>
      <c r="I7146" s="23">
        <v>886.15499999999997</v>
      </c>
      <c r="J7146" s="23">
        <v>0</v>
      </c>
      <c r="K7146" s="23">
        <v>0</v>
      </c>
    </row>
    <row r="7147" spans="1:11" x14ac:dyDescent="0.25">
      <c r="A7147">
        <v>7146</v>
      </c>
      <c r="B7147" s="23">
        <v>1642.014171</v>
      </c>
      <c r="C7147" s="23">
        <v>3.91</v>
      </c>
      <c r="D7147" s="23">
        <v>0</v>
      </c>
      <c r="E7147" s="23">
        <v>0</v>
      </c>
      <c r="F7147" s="23">
        <v>0</v>
      </c>
      <c r="G7147" s="23">
        <v>0</v>
      </c>
      <c r="H7147" s="23">
        <v>0</v>
      </c>
      <c r="I7147" s="23">
        <v>0</v>
      </c>
      <c r="J7147" s="23">
        <v>0</v>
      </c>
      <c r="K7147" s="23">
        <v>1642.0139999999999</v>
      </c>
    </row>
    <row r="7148" spans="1:11" x14ac:dyDescent="0.25">
      <c r="A7148">
        <v>7147</v>
      </c>
      <c r="B7148" s="23">
        <v>1603.619829</v>
      </c>
      <c r="C7148" s="23">
        <v>0</v>
      </c>
      <c r="D7148" s="23">
        <v>0</v>
      </c>
      <c r="E7148" s="23">
        <v>0</v>
      </c>
      <c r="F7148" s="23">
        <v>0</v>
      </c>
      <c r="G7148" s="23">
        <v>0</v>
      </c>
      <c r="H7148" s="23">
        <v>0</v>
      </c>
      <c r="I7148" s="23">
        <v>0</v>
      </c>
      <c r="J7148" s="23">
        <v>0</v>
      </c>
      <c r="K7148" s="23">
        <v>1603.62</v>
      </c>
    </row>
    <row r="7149" spans="1:11" x14ac:dyDescent="0.25">
      <c r="A7149">
        <v>7148</v>
      </c>
      <c r="B7149" s="23">
        <v>1352.649373</v>
      </c>
      <c r="C7149" s="23">
        <v>0</v>
      </c>
      <c r="D7149" s="23">
        <v>0</v>
      </c>
      <c r="E7149" s="23">
        <v>0</v>
      </c>
      <c r="F7149" s="23">
        <v>0</v>
      </c>
      <c r="G7149" s="23">
        <v>0</v>
      </c>
      <c r="H7149" s="23">
        <v>0</v>
      </c>
      <c r="I7149" s="23">
        <v>0</v>
      </c>
      <c r="J7149" s="23">
        <v>0</v>
      </c>
      <c r="K7149" s="23">
        <v>1352.6489999999999</v>
      </c>
    </row>
    <row r="7150" spans="1:11" x14ac:dyDescent="0.25">
      <c r="A7150">
        <v>7149</v>
      </c>
      <c r="B7150" s="23">
        <v>1404.7042309999999</v>
      </c>
      <c r="C7150" s="23">
        <v>0</v>
      </c>
      <c r="D7150" s="23">
        <v>0</v>
      </c>
      <c r="E7150" s="23">
        <v>0</v>
      </c>
      <c r="F7150" s="23">
        <v>0</v>
      </c>
      <c r="G7150" s="23">
        <v>0</v>
      </c>
      <c r="H7150" s="23">
        <v>0</v>
      </c>
      <c r="I7150" s="23">
        <v>1404.704</v>
      </c>
      <c r="J7150" s="23">
        <v>0</v>
      </c>
      <c r="K7150" s="23">
        <v>0</v>
      </c>
    </row>
    <row r="7151" spans="1:11" x14ac:dyDescent="0.25">
      <c r="A7151">
        <v>7150</v>
      </c>
      <c r="B7151" s="23">
        <v>1233.7778310000001</v>
      </c>
      <c r="C7151" s="23">
        <v>0</v>
      </c>
      <c r="D7151" s="23">
        <v>0</v>
      </c>
      <c r="E7151" s="23">
        <v>0</v>
      </c>
      <c r="F7151" s="23">
        <v>0</v>
      </c>
      <c r="G7151" s="23">
        <v>0</v>
      </c>
      <c r="H7151" s="23">
        <v>0</v>
      </c>
      <c r="I7151" s="23">
        <v>1233.778</v>
      </c>
      <c r="J7151" s="23">
        <v>0</v>
      </c>
      <c r="K7151" s="23">
        <v>0</v>
      </c>
    </row>
    <row r="7152" spans="1:11" x14ac:dyDescent="0.25">
      <c r="A7152">
        <v>7151</v>
      </c>
      <c r="B7152" s="23">
        <v>1466.082347</v>
      </c>
      <c r="C7152" s="23">
        <v>0</v>
      </c>
      <c r="D7152" s="23">
        <v>0</v>
      </c>
      <c r="E7152" s="23">
        <v>0</v>
      </c>
      <c r="F7152" s="23">
        <v>0</v>
      </c>
      <c r="G7152" s="23">
        <v>0</v>
      </c>
      <c r="H7152" s="23">
        <v>0</v>
      </c>
      <c r="I7152" s="23">
        <v>1466.0820000000001</v>
      </c>
      <c r="J7152" s="23">
        <v>0</v>
      </c>
      <c r="K7152" s="23">
        <v>0</v>
      </c>
    </row>
    <row r="7153" spans="1:11" x14ac:dyDescent="0.25">
      <c r="A7153">
        <v>7152</v>
      </c>
      <c r="B7153" s="23">
        <v>1573.299816</v>
      </c>
      <c r="C7153" s="23">
        <v>0</v>
      </c>
      <c r="D7153" s="23">
        <v>0</v>
      </c>
      <c r="E7153" s="23">
        <v>0</v>
      </c>
      <c r="F7153" s="23">
        <v>0</v>
      </c>
      <c r="G7153" s="23">
        <v>0</v>
      </c>
      <c r="H7153" s="23">
        <v>0</v>
      </c>
      <c r="I7153" s="23">
        <v>1573.3</v>
      </c>
      <c r="J7153" s="23">
        <v>0</v>
      </c>
      <c r="K7153" s="23">
        <v>0</v>
      </c>
    </row>
    <row r="7154" spans="1:11" x14ac:dyDescent="0.25">
      <c r="A7154">
        <v>7153</v>
      </c>
      <c r="B7154" s="23">
        <v>1475.405606</v>
      </c>
      <c r="C7154" s="23">
        <v>0</v>
      </c>
      <c r="D7154" s="23">
        <v>0</v>
      </c>
      <c r="E7154" s="23">
        <v>0</v>
      </c>
      <c r="F7154" s="23">
        <v>0</v>
      </c>
      <c r="G7154" s="23">
        <v>0</v>
      </c>
      <c r="H7154" s="23">
        <v>0</v>
      </c>
      <c r="I7154" s="23">
        <v>1475.4059999999999</v>
      </c>
      <c r="J7154" s="23">
        <v>0</v>
      </c>
      <c r="K7154" s="23">
        <v>0</v>
      </c>
    </row>
    <row r="7155" spans="1:11" x14ac:dyDescent="0.25">
      <c r="A7155">
        <v>7154</v>
      </c>
      <c r="B7155" s="23">
        <v>1317.6871550000001</v>
      </c>
      <c r="C7155" s="23">
        <v>0</v>
      </c>
      <c r="D7155" s="23">
        <v>0</v>
      </c>
      <c r="E7155" s="23">
        <v>0</v>
      </c>
      <c r="F7155" s="23">
        <v>0</v>
      </c>
      <c r="G7155" s="23">
        <v>0</v>
      </c>
      <c r="H7155" s="23">
        <v>0</v>
      </c>
      <c r="I7155" s="23">
        <v>1317.6869999999999</v>
      </c>
      <c r="J7155" s="23">
        <v>0</v>
      </c>
      <c r="K7155" s="23">
        <v>0</v>
      </c>
    </row>
    <row r="7156" spans="1:11" x14ac:dyDescent="0.25">
      <c r="A7156">
        <v>7155</v>
      </c>
      <c r="B7156" s="23">
        <v>1793.9502600000001</v>
      </c>
      <c r="C7156" s="23">
        <v>0</v>
      </c>
      <c r="D7156" s="23">
        <v>0</v>
      </c>
      <c r="E7156" s="23">
        <v>0</v>
      </c>
      <c r="F7156" s="23">
        <v>0</v>
      </c>
      <c r="G7156" s="23">
        <v>0</v>
      </c>
      <c r="H7156" s="23">
        <v>0</v>
      </c>
      <c r="I7156" s="23">
        <v>1793.95</v>
      </c>
      <c r="J7156" s="23">
        <v>0</v>
      </c>
      <c r="K7156" s="23">
        <v>0</v>
      </c>
    </row>
    <row r="7157" spans="1:11" x14ac:dyDescent="0.25">
      <c r="A7157">
        <v>7156</v>
      </c>
      <c r="B7157" s="23">
        <v>1639.3395619999999</v>
      </c>
      <c r="C7157" s="23">
        <v>0</v>
      </c>
      <c r="D7157" s="23">
        <v>0</v>
      </c>
      <c r="E7157" s="23">
        <v>0</v>
      </c>
      <c r="F7157" s="23">
        <v>0</v>
      </c>
      <c r="G7157" s="23">
        <v>0</v>
      </c>
      <c r="H7157" s="23">
        <v>0</v>
      </c>
      <c r="I7157" s="23">
        <v>1639.34</v>
      </c>
      <c r="J7157" s="23">
        <v>0</v>
      </c>
      <c r="K7157" s="23">
        <v>0</v>
      </c>
    </row>
    <row r="7158" spans="1:11" x14ac:dyDescent="0.25">
      <c r="A7158">
        <v>7157</v>
      </c>
      <c r="B7158" s="23">
        <v>1427.2354379999999</v>
      </c>
      <c r="C7158" s="23">
        <v>0</v>
      </c>
      <c r="D7158" s="23">
        <v>0</v>
      </c>
      <c r="E7158" s="23">
        <v>0</v>
      </c>
      <c r="F7158" s="23">
        <v>0</v>
      </c>
      <c r="G7158" s="23">
        <v>0</v>
      </c>
      <c r="H7158" s="23">
        <v>0</v>
      </c>
      <c r="I7158" s="23">
        <v>1427.2349999999999</v>
      </c>
      <c r="J7158" s="23">
        <v>0</v>
      </c>
      <c r="K7158" s="23">
        <v>0</v>
      </c>
    </row>
    <row r="7159" spans="1:11" x14ac:dyDescent="0.25">
      <c r="A7159">
        <v>7158</v>
      </c>
      <c r="B7159" s="23">
        <v>1366.63426</v>
      </c>
      <c r="C7159" s="23">
        <v>0</v>
      </c>
      <c r="D7159" s="23">
        <v>0</v>
      </c>
      <c r="E7159" s="23">
        <v>0</v>
      </c>
      <c r="F7159" s="23">
        <v>0</v>
      </c>
      <c r="G7159" s="23">
        <v>0</v>
      </c>
      <c r="H7159" s="23">
        <v>0</v>
      </c>
      <c r="I7159" s="23">
        <v>1366.634</v>
      </c>
      <c r="J7159" s="23">
        <v>0</v>
      </c>
      <c r="K7159" s="23">
        <v>0</v>
      </c>
    </row>
    <row r="7160" spans="1:11" x14ac:dyDescent="0.25">
      <c r="A7160">
        <v>7159</v>
      </c>
      <c r="B7160" s="23">
        <v>1260.977466</v>
      </c>
      <c r="C7160" s="23">
        <v>76.77</v>
      </c>
      <c r="D7160" s="23">
        <v>258.52600000000001</v>
      </c>
      <c r="E7160" s="23">
        <v>258.52600000000001</v>
      </c>
      <c r="F7160" s="23">
        <v>0</v>
      </c>
      <c r="G7160" s="23">
        <v>0</v>
      </c>
      <c r="H7160" s="23">
        <v>0</v>
      </c>
      <c r="I7160" s="23">
        <v>1002.452</v>
      </c>
      <c r="J7160" s="23">
        <v>0</v>
      </c>
      <c r="K7160" s="23">
        <v>0</v>
      </c>
    </row>
    <row r="7161" spans="1:11" x14ac:dyDescent="0.25">
      <c r="A7161">
        <v>7160</v>
      </c>
      <c r="B7161" s="23">
        <v>331.61275439999997</v>
      </c>
      <c r="C7161" s="23">
        <v>347.36</v>
      </c>
      <c r="D7161" s="23">
        <v>1396.723</v>
      </c>
      <c r="E7161" s="23">
        <v>331.61200000000002</v>
      </c>
      <c r="F7161" s="23">
        <v>-1065.1110000000001</v>
      </c>
      <c r="G7161" s="23">
        <v>0</v>
      </c>
      <c r="H7161" s="23">
        <v>0</v>
      </c>
      <c r="I7161" s="23">
        <v>0</v>
      </c>
      <c r="J7161" s="23">
        <v>0</v>
      </c>
      <c r="K7161" s="23">
        <v>0</v>
      </c>
    </row>
    <row r="7162" spans="1:11" x14ac:dyDescent="0.25">
      <c r="A7162">
        <v>7161</v>
      </c>
      <c r="B7162" s="23">
        <v>268.45544960000001</v>
      </c>
      <c r="C7162" s="23">
        <v>386.29</v>
      </c>
      <c r="D7162" s="23">
        <v>1531.963</v>
      </c>
      <c r="E7162" s="23">
        <v>268.45499999999998</v>
      </c>
      <c r="F7162" s="23">
        <v>-1263.508</v>
      </c>
      <c r="G7162" s="23">
        <v>0</v>
      </c>
      <c r="H7162" s="23">
        <v>0</v>
      </c>
      <c r="I7162" s="23">
        <v>0</v>
      </c>
      <c r="J7162" s="23">
        <v>0</v>
      </c>
      <c r="K7162" s="23">
        <v>0</v>
      </c>
    </row>
    <row r="7163" spans="1:11" x14ac:dyDescent="0.25">
      <c r="A7163">
        <v>7162</v>
      </c>
      <c r="B7163" s="23">
        <v>276.04904920000001</v>
      </c>
      <c r="C7163" s="23">
        <v>472.4</v>
      </c>
      <c r="D7163" s="23">
        <v>1855.1479999999999</v>
      </c>
      <c r="E7163" s="23">
        <v>276.04899999999998</v>
      </c>
      <c r="F7163" s="23">
        <v>-1579.0989999999999</v>
      </c>
      <c r="G7163" s="23">
        <v>0</v>
      </c>
      <c r="H7163" s="23">
        <v>0</v>
      </c>
      <c r="I7163" s="23">
        <v>0</v>
      </c>
      <c r="J7163" s="23">
        <v>0</v>
      </c>
      <c r="K7163" s="23">
        <v>0</v>
      </c>
    </row>
    <row r="7164" spans="1:11" x14ac:dyDescent="0.25">
      <c r="A7164">
        <v>7163</v>
      </c>
      <c r="B7164" s="23">
        <v>261.249348</v>
      </c>
      <c r="C7164" s="23">
        <v>669.06</v>
      </c>
      <c r="D7164" s="23">
        <v>2601.306</v>
      </c>
      <c r="E7164" s="23">
        <v>261.25</v>
      </c>
      <c r="F7164" s="23">
        <v>-1684.559</v>
      </c>
      <c r="G7164" s="23">
        <v>0</v>
      </c>
      <c r="H7164" s="23">
        <v>655.49699999999996</v>
      </c>
      <c r="I7164" s="23">
        <v>0</v>
      </c>
      <c r="J7164" s="23">
        <v>0</v>
      </c>
      <c r="K7164" s="23">
        <v>0</v>
      </c>
    </row>
    <row r="7165" spans="1:11" x14ac:dyDescent="0.25">
      <c r="A7165">
        <v>7164</v>
      </c>
      <c r="B7165" s="23">
        <v>324.22892810000002</v>
      </c>
      <c r="C7165" s="23">
        <v>815.69</v>
      </c>
      <c r="D7165" s="23">
        <v>3145.86</v>
      </c>
      <c r="E7165" s="23">
        <v>324.22899999999998</v>
      </c>
      <c r="F7165" s="23">
        <v>-1684.559</v>
      </c>
      <c r="G7165" s="23">
        <v>0</v>
      </c>
      <c r="H7165" s="23">
        <v>1137.0719999999999</v>
      </c>
      <c r="I7165" s="23">
        <v>0</v>
      </c>
      <c r="J7165" s="23">
        <v>0</v>
      </c>
      <c r="K7165" s="23">
        <v>0</v>
      </c>
    </row>
    <row r="7166" spans="1:11" x14ac:dyDescent="0.25">
      <c r="A7166">
        <v>7165</v>
      </c>
      <c r="B7166" s="23">
        <v>205.8623963</v>
      </c>
      <c r="C7166" s="23">
        <v>876.13</v>
      </c>
      <c r="D7166" s="23">
        <v>3386.0729999999999</v>
      </c>
      <c r="E7166" s="23">
        <v>205.863</v>
      </c>
      <c r="F7166" s="23">
        <v>-14.662000000000001</v>
      </c>
      <c r="G7166" s="23">
        <v>0</v>
      </c>
      <c r="H7166" s="23">
        <v>3165.5479999999998</v>
      </c>
      <c r="I7166" s="23">
        <v>0</v>
      </c>
      <c r="J7166" s="23">
        <v>0</v>
      </c>
      <c r="K7166" s="23">
        <v>0</v>
      </c>
    </row>
    <row r="7167" spans="1:11" x14ac:dyDescent="0.25">
      <c r="A7167">
        <v>7166</v>
      </c>
      <c r="B7167" s="23">
        <v>205.16218069999999</v>
      </c>
      <c r="C7167" s="23">
        <v>581.37</v>
      </c>
      <c r="D7167" s="23">
        <v>2278.5749999999998</v>
      </c>
      <c r="E7167" s="23">
        <v>205.16200000000001</v>
      </c>
      <c r="F7167" s="23">
        <v>0</v>
      </c>
      <c r="G7167" s="23">
        <v>0</v>
      </c>
      <c r="H7167" s="23">
        <v>2073.413</v>
      </c>
      <c r="I7167" s="23">
        <v>0</v>
      </c>
      <c r="J7167" s="23">
        <v>0</v>
      </c>
      <c r="K7167" s="23">
        <v>0</v>
      </c>
    </row>
    <row r="7168" spans="1:11" x14ac:dyDescent="0.25">
      <c r="A7168">
        <v>7167</v>
      </c>
      <c r="B7168" s="23">
        <v>333.75127670000001</v>
      </c>
      <c r="C7168" s="23">
        <v>566.08000000000004</v>
      </c>
      <c r="D7168" s="23">
        <v>2252.5970000000002</v>
      </c>
      <c r="E7168" s="23">
        <v>333.75099999999998</v>
      </c>
      <c r="F7168" s="23">
        <v>0</v>
      </c>
      <c r="G7168" s="23">
        <v>0</v>
      </c>
      <c r="H7168" s="23">
        <v>1918.846</v>
      </c>
      <c r="I7168" s="23">
        <v>0</v>
      </c>
      <c r="J7168" s="23">
        <v>0</v>
      </c>
      <c r="K7168" s="23">
        <v>0</v>
      </c>
    </row>
    <row r="7169" spans="1:11" x14ac:dyDescent="0.25">
      <c r="A7169">
        <v>7168</v>
      </c>
      <c r="B7169" s="23">
        <v>381.83306720000002</v>
      </c>
      <c r="C7169" s="23">
        <v>288.02999999999997</v>
      </c>
      <c r="D7169" s="23">
        <v>1155.5340000000001</v>
      </c>
      <c r="E7169" s="23">
        <v>381.83300000000003</v>
      </c>
      <c r="F7169" s="23">
        <v>0</v>
      </c>
      <c r="G7169" s="23">
        <v>0</v>
      </c>
      <c r="H7169" s="23">
        <v>773.70100000000002</v>
      </c>
      <c r="I7169" s="23">
        <v>0</v>
      </c>
      <c r="J7169" s="23">
        <v>0</v>
      </c>
      <c r="K7169" s="23">
        <v>0</v>
      </c>
    </row>
    <row r="7170" spans="1:11" x14ac:dyDescent="0.25">
      <c r="A7170">
        <v>7169</v>
      </c>
      <c r="B7170" s="23">
        <v>308.01617060000001</v>
      </c>
      <c r="C7170" s="23">
        <v>163.65</v>
      </c>
      <c r="D7170" s="23">
        <v>600.81400000000008</v>
      </c>
      <c r="E7170" s="23">
        <v>308.01600000000002</v>
      </c>
      <c r="F7170" s="23">
        <v>0</v>
      </c>
      <c r="G7170" s="23">
        <v>0</v>
      </c>
      <c r="H7170" s="23">
        <v>292.798</v>
      </c>
      <c r="I7170" s="23">
        <v>0</v>
      </c>
      <c r="J7170" s="23">
        <v>0</v>
      </c>
      <c r="K7170" s="23">
        <v>0</v>
      </c>
    </row>
    <row r="7171" spans="1:11" x14ac:dyDescent="0.25">
      <c r="A7171">
        <v>7170</v>
      </c>
      <c r="B7171" s="23">
        <v>338.77418210000002</v>
      </c>
      <c r="C7171" s="23">
        <v>8.27</v>
      </c>
      <c r="D7171" s="23">
        <v>0</v>
      </c>
      <c r="E7171" s="23">
        <v>0</v>
      </c>
      <c r="F7171" s="23">
        <v>0</v>
      </c>
      <c r="G7171" s="23">
        <v>0</v>
      </c>
      <c r="H7171" s="23">
        <v>0</v>
      </c>
      <c r="I7171" s="23">
        <v>0</v>
      </c>
      <c r="J7171" s="23">
        <v>0</v>
      </c>
      <c r="K7171" s="23">
        <v>338.774</v>
      </c>
    </row>
    <row r="7172" spans="1:11" x14ac:dyDescent="0.25">
      <c r="A7172">
        <v>7171</v>
      </c>
      <c r="B7172" s="23">
        <v>273.57061640000001</v>
      </c>
      <c r="C7172" s="23">
        <v>0</v>
      </c>
      <c r="D7172" s="23">
        <v>0</v>
      </c>
      <c r="E7172" s="23">
        <v>0</v>
      </c>
      <c r="F7172" s="23">
        <v>0</v>
      </c>
      <c r="G7172" s="23">
        <v>0</v>
      </c>
      <c r="H7172" s="23">
        <v>0</v>
      </c>
      <c r="I7172" s="23">
        <v>0</v>
      </c>
      <c r="J7172" s="23">
        <v>0</v>
      </c>
      <c r="K7172" s="23">
        <v>273.57100000000003</v>
      </c>
    </row>
    <row r="7173" spans="1:11" x14ac:dyDescent="0.25">
      <c r="A7173">
        <v>7172</v>
      </c>
      <c r="B7173" s="23">
        <v>258.72041419999999</v>
      </c>
      <c r="C7173" s="23">
        <v>0</v>
      </c>
      <c r="D7173" s="23">
        <v>0</v>
      </c>
      <c r="E7173" s="23">
        <v>0</v>
      </c>
      <c r="F7173" s="23">
        <v>0</v>
      </c>
      <c r="G7173" s="23">
        <v>0</v>
      </c>
      <c r="H7173" s="23">
        <v>0</v>
      </c>
      <c r="I7173" s="23">
        <v>0</v>
      </c>
      <c r="J7173" s="23">
        <v>0</v>
      </c>
      <c r="K7173" s="23">
        <v>258.72000000000003</v>
      </c>
    </row>
    <row r="7174" spans="1:11" x14ac:dyDescent="0.25">
      <c r="A7174">
        <v>7173</v>
      </c>
      <c r="B7174" s="23">
        <v>300.67507599999999</v>
      </c>
      <c r="C7174" s="23">
        <v>0</v>
      </c>
      <c r="D7174" s="23">
        <v>0</v>
      </c>
      <c r="E7174" s="23">
        <v>0</v>
      </c>
      <c r="F7174" s="23">
        <v>0</v>
      </c>
      <c r="G7174" s="23">
        <v>0</v>
      </c>
      <c r="H7174" s="23">
        <v>0</v>
      </c>
      <c r="I7174" s="23">
        <v>0</v>
      </c>
      <c r="J7174" s="23">
        <v>0</v>
      </c>
      <c r="K7174" s="23">
        <v>300.67500000000001</v>
      </c>
    </row>
    <row r="7175" spans="1:11" x14ac:dyDescent="0.25">
      <c r="A7175">
        <v>7174</v>
      </c>
      <c r="B7175" s="23">
        <v>283.58243599999997</v>
      </c>
      <c r="C7175" s="23">
        <v>0</v>
      </c>
      <c r="D7175" s="23">
        <v>0</v>
      </c>
      <c r="E7175" s="23">
        <v>0</v>
      </c>
      <c r="F7175" s="23">
        <v>0</v>
      </c>
      <c r="G7175" s="23">
        <v>0</v>
      </c>
      <c r="H7175" s="23">
        <v>0</v>
      </c>
      <c r="I7175" s="23">
        <v>0</v>
      </c>
      <c r="J7175" s="23">
        <v>0</v>
      </c>
      <c r="K7175" s="23">
        <v>283.58199999999999</v>
      </c>
    </row>
    <row r="7176" spans="1:11" x14ac:dyDescent="0.25">
      <c r="A7176">
        <v>7175</v>
      </c>
      <c r="B7176" s="23">
        <v>236.18920700000001</v>
      </c>
      <c r="C7176" s="23">
        <v>0</v>
      </c>
      <c r="D7176" s="23">
        <v>0</v>
      </c>
      <c r="E7176" s="23">
        <v>0</v>
      </c>
      <c r="F7176" s="23">
        <v>0</v>
      </c>
      <c r="G7176" s="23">
        <v>0</v>
      </c>
      <c r="H7176" s="23">
        <v>0</v>
      </c>
      <c r="I7176" s="23">
        <v>0</v>
      </c>
      <c r="J7176" s="23">
        <v>0</v>
      </c>
      <c r="K7176" s="23">
        <v>236.18899999999999</v>
      </c>
    </row>
    <row r="7177" spans="1:11" x14ac:dyDescent="0.25">
      <c r="A7177">
        <v>7176</v>
      </c>
      <c r="B7177" s="23">
        <v>135.18724349999999</v>
      </c>
      <c r="C7177" s="23">
        <v>0</v>
      </c>
      <c r="D7177" s="23">
        <v>0</v>
      </c>
      <c r="E7177" s="23">
        <v>0</v>
      </c>
      <c r="F7177" s="23">
        <v>0</v>
      </c>
      <c r="G7177" s="23">
        <v>0</v>
      </c>
      <c r="H7177" s="23">
        <v>0</v>
      </c>
      <c r="I7177" s="23">
        <v>0</v>
      </c>
      <c r="J7177" s="23">
        <v>0</v>
      </c>
      <c r="K7177" s="23">
        <v>135.18700000000001</v>
      </c>
    </row>
    <row r="7178" spans="1:11" x14ac:dyDescent="0.25">
      <c r="A7178">
        <v>7177</v>
      </c>
      <c r="B7178" s="23">
        <v>138.29499620000001</v>
      </c>
      <c r="C7178" s="23">
        <v>0</v>
      </c>
      <c r="D7178" s="23">
        <v>0</v>
      </c>
      <c r="E7178" s="23">
        <v>0</v>
      </c>
      <c r="F7178" s="23">
        <v>0</v>
      </c>
      <c r="G7178" s="23">
        <v>0</v>
      </c>
      <c r="H7178" s="23">
        <v>0</v>
      </c>
      <c r="I7178" s="23">
        <v>0</v>
      </c>
      <c r="J7178" s="23">
        <v>0</v>
      </c>
      <c r="K7178" s="23">
        <v>138.29499999999999</v>
      </c>
    </row>
    <row r="7179" spans="1:11" x14ac:dyDescent="0.25">
      <c r="A7179">
        <v>7178</v>
      </c>
      <c r="B7179" s="23">
        <v>120.42541799999999</v>
      </c>
      <c r="C7179" s="23">
        <v>0</v>
      </c>
      <c r="D7179" s="23">
        <v>0</v>
      </c>
      <c r="E7179" s="23">
        <v>0</v>
      </c>
      <c r="F7179" s="23">
        <v>0</v>
      </c>
      <c r="G7179" s="23">
        <v>0</v>
      </c>
      <c r="H7179" s="23">
        <v>0</v>
      </c>
      <c r="I7179" s="23">
        <v>0</v>
      </c>
      <c r="J7179" s="23">
        <v>0</v>
      </c>
      <c r="K7179" s="23">
        <v>120.425</v>
      </c>
    </row>
    <row r="7180" spans="1:11" x14ac:dyDescent="0.25">
      <c r="A7180">
        <v>7179</v>
      </c>
      <c r="B7180" s="23">
        <v>114.9868508</v>
      </c>
      <c r="C7180" s="23">
        <v>0</v>
      </c>
      <c r="D7180" s="23">
        <v>0</v>
      </c>
      <c r="E7180" s="23">
        <v>0</v>
      </c>
      <c r="F7180" s="23">
        <v>0</v>
      </c>
      <c r="G7180" s="23">
        <v>0</v>
      </c>
      <c r="H7180" s="23">
        <v>0</v>
      </c>
      <c r="I7180" s="23">
        <v>0</v>
      </c>
      <c r="J7180" s="23">
        <v>0</v>
      </c>
      <c r="K7180" s="23">
        <v>114.98699999999999</v>
      </c>
    </row>
    <row r="7181" spans="1:11" x14ac:dyDescent="0.25">
      <c r="A7181">
        <v>7180</v>
      </c>
      <c r="B7181" s="23">
        <v>111.879098</v>
      </c>
      <c r="C7181" s="23">
        <v>0</v>
      </c>
      <c r="D7181" s="23">
        <v>0</v>
      </c>
      <c r="E7181" s="23">
        <v>0</v>
      </c>
      <c r="F7181" s="23">
        <v>0</v>
      </c>
      <c r="G7181" s="23">
        <v>0</v>
      </c>
      <c r="H7181" s="23">
        <v>0</v>
      </c>
      <c r="I7181" s="23">
        <v>0</v>
      </c>
      <c r="J7181" s="23">
        <v>0</v>
      </c>
      <c r="K7181" s="23">
        <v>111.879</v>
      </c>
    </row>
    <row r="7182" spans="1:11" x14ac:dyDescent="0.25">
      <c r="A7182">
        <v>7181</v>
      </c>
      <c r="B7182" s="23">
        <v>98.671148970000004</v>
      </c>
      <c r="C7182" s="23">
        <v>0</v>
      </c>
      <c r="D7182" s="23">
        <v>0</v>
      </c>
      <c r="E7182" s="23">
        <v>0</v>
      </c>
      <c r="F7182" s="23">
        <v>0</v>
      </c>
      <c r="G7182" s="23">
        <v>0</v>
      </c>
      <c r="H7182" s="23">
        <v>0</v>
      </c>
      <c r="I7182" s="23">
        <v>0</v>
      </c>
      <c r="J7182" s="23">
        <v>0</v>
      </c>
      <c r="K7182" s="23">
        <v>98.671000000000006</v>
      </c>
    </row>
    <row r="7183" spans="1:11" x14ac:dyDescent="0.25">
      <c r="A7183">
        <v>7182</v>
      </c>
      <c r="B7183" s="23">
        <v>96.340334429999999</v>
      </c>
      <c r="C7183" s="23">
        <v>0</v>
      </c>
      <c r="D7183" s="23">
        <v>0</v>
      </c>
      <c r="E7183" s="23">
        <v>0</v>
      </c>
      <c r="F7183" s="23">
        <v>0</v>
      </c>
      <c r="G7183" s="23">
        <v>0</v>
      </c>
      <c r="H7183" s="23">
        <v>0</v>
      </c>
      <c r="I7183" s="23">
        <v>0</v>
      </c>
      <c r="J7183" s="23">
        <v>0</v>
      </c>
      <c r="K7183" s="23">
        <v>96.34</v>
      </c>
    </row>
    <row r="7184" spans="1:11" x14ac:dyDescent="0.25">
      <c r="A7184">
        <v>7183</v>
      </c>
      <c r="B7184" s="23">
        <v>79.437073130000002</v>
      </c>
      <c r="C7184" s="23">
        <v>140.72999999999999</v>
      </c>
      <c r="D7184" s="23">
        <v>472.755</v>
      </c>
      <c r="E7184" s="23">
        <v>79.436999999999998</v>
      </c>
      <c r="F7184" s="23">
        <v>-393.31799999999998</v>
      </c>
      <c r="G7184" s="23">
        <v>0</v>
      </c>
      <c r="H7184" s="23">
        <v>0</v>
      </c>
      <c r="I7184" s="23">
        <v>0</v>
      </c>
      <c r="J7184" s="23">
        <v>0</v>
      </c>
      <c r="K7184" s="23">
        <v>0</v>
      </c>
    </row>
    <row r="7185" spans="1:11" x14ac:dyDescent="0.25">
      <c r="A7185">
        <v>7184</v>
      </c>
      <c r="B7185" s="23">
        <v>86.909276090000006</v>
      </c>
      <c r="C7185" s="23">
        <v>365.24</v>
      </c>
      <c r="D7185" s="23">
        <v>1466.6210000000001</v>
      </c>
      <c r="E7185" s="23">
        <v>86.909000000000006</v>
      </c>
      <c r="F7185" s="23">
        <v>-1379.712</v>
      </c>
      <c r="G7185" s="23">
        <v>0</v>
      </c>
      <c r="H7185" s="23">
        <v>0</v>
      </c>
      <c r="I7185" s="23">
        <v>0</v>
      </c>
      <c r="J7185" s="23">
        <v>0</v>
      </c>
      <c r="K7185" s="23">
        <v>0</v>
      </c>
    </row>
    <row r="7186" spans="1:11" x14ac:dyDescent="0.25">
      <c r="A7186">
        <v>7185</v>
      </c>
      <c r="B7186" s="23">
        <v>86.551884520000002</v>
      </c>
      <c r="C7186" s="23">
        <v>639.01</v>
      </c>
      <c r="D7186" s="23">
        <v>2542.029</v>
      </c>
      <c r="E7186" s="23">
        <v>86.552000000000007</v>
      </c>
      <c r="F7186" s="23">
        <v>-1017.32</v>
      </c>
      <c r="G7186" s="23">
        <v>0</v>
      </c>
      <c r="H7186" s="23">
        <v>1438.1569999999999</v>
      </c>
      <c r="I7186" s="23">
        <v>0</v>
      </c>
      <c r="J7186" s="23">
        <v>0</v>
      </c>
      <c r="K7186" s="23">
        <v>0</v>
      </c>
    </row>
    <row r="7187" spans="1:11" x14ac:dyDescent="0.25">
      <c r="A7187">
        <v>7186</v>
      </c>
      <c r="B7187" s="23">
        <v>85.542836059999999</v>
      </c>
      <c r="C7187" s="23">
        <v>820.55</v>
      </c>
      <c r="D7187" s="23">
        <v>3182.2429999999999</v>
      </c>
      <c r="E7187" s="23">
        <v>85.543000000000006</v>
      </c>
      <c r="F7187" s="23">
        <v>0</v>
      </c>
      <c r="G7187" s="23">
        <v>0</v>
      </c>
      <c r="H7187" s="23">
        <v>3096.7</v>
      </c>
      <c r="I7187" s="23">
        <v>0</v>
      </c>
      <c r="J7187" s="23">
        <v>0</v>
      </c>
      <c r="K7187" s="23">
        <v>0</v>
      </c>
    </row>
    <row r="7188" spans="1:11" x14ac:dyDescent="0.25">
      <c r="A7188">
        <v>7187</v>
      </c>
      <c r="B7188" s="23">
        <v>82.011652029999993</v>
      </c>
      <c r="C7188" s="23">
        <v>525.36</v>
      </c>
      <c r="D7188" s="23">
        <v>2032.3910000000001</v>
      </c>
      <c r="E7188" s="23">
        <v>82.012</v>
      </c>
      <c r="F7188" s="23">
        <v>0</v>
      </c>
      <c r="G7188" s="23">
        <v>0</v>
      </c>
      <c r="H7188" s="23">
        <v>1950.3789999999999</v>
      </c>
      <c r="I7188" s="23">
        <v>0</v>
      </c>
      <c r="J7188" s="23">
        <v>0</v>
      </c>
      <c r="K7188" s="23">
        <v>0</v>
      </c>
    </row>
    <row r="7189" spans="1:11" x14ac:dyDescent="0.25">
      <c r="A7189">
        <v>7188</v>
      </c>
      <c r="B7189" s="23">
        <v>89.474143260000005</v>
      </c>
      <c r="C7189" s="23">
        <v>555.48</v>
      </c>
      <c r="D7189" s="23">
        <v>2132.886</v>
      </c>
      <c r="E7189" s="23">
        <v>89.474999999999994</v>
      </c>
      <c r="F7189" s="23">
        <v>0</v>
      </c>
      <c r="G7189" s="23">
        <v>0</v>
      </c>
      <c r="H7189" s="23">
        <v>2043.4110000000001</v>
      </c>
      <c r="I7189" s="23">
        <v>0</v>
      </c>
      <c r="J7189" s="23">
        <v>0</v>
      </c>
      <c r="K7189" s="23">
        <v>0</v>
      </c>
    </row>
    <row r="7190" spans="1:11" x14ac:dyDescent="0.25">
      <c r="A7190">
        <v>7189</v>
      </c>
      <c r="B7190" s="23">
        <v>85.719589499999998</v>
      </c>
      <c r="C7190" s="23">
        <v>644.5</v>
      </c>
      <c r="D7190" s="23">
        <v>2479.7559999999999</v>
      </c>
      <c r="E7190" s="23">
        <v>85.72</v>
      </c>
      <c r="F7190" s="23">
        <v>0</v>
      </c>
      <c r="G7190" s="23">
        <v>0</v>
      </c>
      <c r="H7190" s="23">
        <v>2394.0360000000001</v>
      </c>
      <c r="I7190" s="23">
        <v>0</v>
      </c>
      <c r="J7190" s="23">
        <v>0</v>
      </c>
      <c r="K7190" s="23">
        <v>0</v>
      </c>
    </row>
    <row r="7191" spans="1:11" x14ac:dyDescent="0.25">
      <c r="A7191">
        <v>7190</v>
      </c>
      <c r="B7191" s="23">
        <v>90.035481090000005</v>
      </c>
      <c r="C7191" s="23">
        <v>732.28</v>
      </c>
      <c r="D7191" s="23">
        <v>2833.951</v>
      </c>
      <c r="E7191" s="23">
        <v>90.034999999999997</v>
      </c>
      <c r="F7191" s="23">
        <v>0</v>
      </c>
      <c r="G7191" s="23">
        <v>0</v>
      </c>
      <c r="H7191" s="23">
        <v>2743.9160000000002</v>
      </c>
      <c r="I7191" s="23">
        <v>0</v>
      </c>
      <c r="J7191" s="23">
        <v>0</v>
      </c>
      <c r="K7191" s="23">
        <v>0</v>
      </c>
    </row>
    <row r="7192" spans="1:11" x14ac:dyDescent="0.25">
      <c r="A7192">
        <v>7191</v>
      </c>
      <c r="B7192" s="23">
        <v>84.298763800000003</v>
      </c>
      <c r="C7192" s="23">
        <v>115.75</v>
      </c>
      <c r="D7192" s="23">
        <v>428.12799999999999</v>
      </c>
      <c r="E7192" s="23">
        <v>84.299000000000007</v>
      </c>
      <c r="F7192" s="23">
        <v>0</v>
      </c>
      <c r="G7192" s="23">
        <v>0</v>
      </c>
      <c r="H7192" s="23">
        <v>343.82900000000001</v>
      </c>
      <c r="I7192" s="23">
        <v>0</v>
      </c>
      <c r="J7192" s="23">
        <v>0</v>
      </c>
      <c r="K7192" s="23">
        <v>0</v>
      </c>
    </row>
    <row r="7193" spans="1:11" x14ac:dyDescent="0.25">
      <c r="A7193">
        <v>7192</v>
      </c>
      <c r="B7193" s="23">
        <v>95.414806819999995</v>
      </c>
      <c r="C7193" s="23">
        <v>233.41</v>
      </c>
      <c r="D7193" s="23">
        <v>920.82299999999998</v>
      </c>
      <c r="E7193" s="23">
        <v>95.415000000000006</v>
      </c>
      <c r="F7193" s="23">
        <v>0</v>
      </c>
      <c r="G7193" s="23">
        <v>0</v>
      </c>
      <c r="H7193" s="23">
        <v>825.40800000000002</v>
      </c>
      <c r="I7193" s="23">
        <v>0</v>
      </c>
      <c r="J7193" s="23">
        <v>0</v>
      </c>
      <c r="K7193" s="23">
        <v>0</v>
      </c>
    </row>
    <row r="7194" spans="1:11" x14ac:dyDescent="0.25">
      <c r="A7194">
        <v>7193</v>
      </c>
      <c r="B7194" s="23">
        <v>85.638010989999998</v>
      </c>
      <c r="C7194" s="23">
        <v>30.37</v>
      </c>
      <c r="D7194" s="23">
        <v>93.820999999999998</v>
      </c>
      <c r="E7194" s="23">
        <v>85.638000000000005</v>
      </c>
      <c r="F7194" s="23">
        <v>0</v>
      </c>
      <c r="G7194" s="23">
        <v>0</v>
      </c>
      <c r="H7194" s="23">
        <v>8.1829999999999998</v>
      </c>
      <c r="I7194" s="23">
        <v>0</v>
      </c>
      <c r="J7194" s="23">
        <v>0</v>
      </c>
      <c r="K7194" s="23">
        <v>0</v>
      </c>
    </row>
    <row r="7195" spans="1:11" x14ac:dyDescent="0.25">
      <c r="A7195">
        <v>7194</v>
      </c>
      <c r="B7195" s="23">
        <v>92.160407019999994</v>
      </c>
      <c r="C7195" s="23">
        <v>1.96</v>
      </c>
      <c r="D7195" s="23">
        <v>0</v>
      </c>
      <c r="E7195" s="23">
        <v>0</v>
      </c>
      <c r="F7195" s="23">
        <v>0</v>
      </c>
      <c r="G7195" s="23">
        <v>0</v>
      </c>
      <c r="H7195" s="23">
        <v>0</v>
      </c>
      <c r="I7195" s="23">
        <v>0</v>
      </c>
      <c r="J7195" s="23">
        <v>0</v>
      </c>
      <c r="K7195" s="23">
        <v>92.16</v>
      </c>
    </row>
    <row r="7196" spans="1:11" x14ac:dyDescent="0.25">
      <c r="A7196">
        <v>7195</v>
      </c>
      <c r="B7196" s="23">
        <v>99.126628980000007</v>
      </c>
      <c r="C7196" s="23">
        <v>0</v>
      </c>
      <c r="D7196" s="23">
        <v>0</v>
      </c>
      <c r="E7196" s="23">
        <v>0</v>
      </c>
      <c r="F7196" s="23">
        <v>0</v>
      </c>
      <c r="G7196" s="23">
        <v>0</v>
      </c>
      <c r="H7196" s="23">
        <v>0</v>
      </c>
      <c r="I7196" s="23">
        <v>0</v>
      </c>
      <c r="J7196" s="23">
        <v>0</v>
      </c>
      <c r="K7196" s="23">
        <v>99.126999999999995</v>
      </c>
    </row>
    <row r="7197" spans="1:11" x14ac:dyDescent="0.25">
      <c r="A7197">
        <v>7196</v>
      </c>
      <c r="B7197" s="23">
        <v>101.77890170000001</v>
      </c>
      <c r="C7197" s="23">
        <v>0</v>
      </c>
      <c r="D7197" s="23">
        <v>0</v>
      </c>
      <c r="E7197" s="23">
        <v>0</v>
      </c>
      <c r="F7197" s="23">
        <v>0</v>
      </c>
      <c r="G7197" s="23">
        <v>0</v>
      </c>
      <c r="H7197" s="23">
        <v>0</v>
      </c>
      <c r="I7197" s="23">
        <v>0</v>
      </c>
      <c r="J7197" s="23">
        <v>0</v>
      </c>
      <c r="K7197" s="23">
        <v>101.779</v>
      </c>
    </row>
    <row r="7198" spans="1:11" x14ac:dyDescent="0.25">
      <c r="A7198">
        <v>7197</v>
      </c>
      <c r="B7198" s="23">
        <v>100.2250253</v>
      </c>
      <c r="C7198" s="23">
        <v>0</v>
      </c>
      <c r="D7198" s="23">
        <v>0</v>
      </c>
      <c r="E7198" s="23">
        <v>0</v>
      </c>
      <c r="F7198" s="23">
        <v>0</v>
      </c>
      <c r="G7198" s="23">
        <v>0</v>
      </c>
      <c r="H7198" s="23">
        <v>0</v>
      </c>
      <c r="I7198" s="23">
        <v>0</v>
      </c>
      <c r="J7198" s="23">
        <v>0</v>
      </c>
      <c r="K7198" s="23">
        <v>100.22499999999999</v>
      </c>
    </row>
    <row r="7199" spans="1:11" x14ac:dyDescent="0.25">
      <c r="A7199">
        <v>7198</v>
      </c>
      <c r="B7199" s="23">
        <v>107.9944071</v>
      </c>
      <c r="C7199" s="23">
        <v>0</v>
      </c>
      <c r="D7199" s="23">
        <v>0</v>
      </c>
      <c r="E7199" s="23">
        <v>0</v>
      </c>
      <c r="F7199" s="23">
        <v>0</v>
      </c>
      <c r="G7199" s="23">
        <v>0</v>
      </c>
      <c r="H7199" s="23">
        <v>0</v>
      </c>
      <c r="I7199" s="23">
        <v>0</v>
      </c>
      <c r="J7199" s="23">
        <v>0</v>
      </c>
      <c r="K7199" s="23">
        <v>107.994</v>
      </c>
    </row>
    <row r="7200" spans="1:11" x14ac:dyDescent="0.25">
      <c r="A7200">
        <v>7199</v>
      </c>
      <c r="B7200" s="23">
        <v>98.671148970000004</v>
      </c>
      <c r="C7200" s="23">
        <v>0</v>
      </c>
      <c r="D7200" s="23">
        <v>0</v>
      </c>
      <c r="E7200" s="23">
        <v>0</v>
      </c>
      <c r="F7200" s="23">
        <v>0</v>
      </c>
      <c r="G7200" s="23">
        <v>0</v>
      </c>
      <c r="H7200" s="23">
        <v>0</v>
      </c>
      <c r="I7200" s="23">
        <v>0</v>
      </c>
      <c r="J7200" s="23">
        <v>0</v>
      </c>
      <c r="K7200" s="23">
        <v>98.671000000000006</v>
      </c>
    </row>
    <row r="7201" spans="1:11" x14ac:dyDescent="0.25">
      <c r="A7201">
        <v>7200</v>
      </c>
      <c r="B7201" s="23">
        <v>104.10971619999999</v>
      </c>
      <c r="C7201" s="23">
        <v>0</v>
      </c>
      <c r="D7201" s="23">
        <v>0</v>
      </c>
      <c r="E7201" s="23">
        <v>0</v>
      </c>
      <c r="F7201" s="23">
        <v>0</v>
      </c>
      <c r="G7201" s="23">
        <v>0</v>
      </c>
      <c r="H7201" s="23">
        <v>0</v>
      </c>
      <c r="I7201" s="23">
        <v>0</v>
      </c>
      <c r="J7201" s="23">
        <v>0</v>
      </c>
      <c r="K7201" s="23">
        <v>104.11</v>
      </c>
    </row>
    <row r="7202" spans="1:11" x14ac:dyDescent="0.25">
      <c r="A7202">
        <v>7201</v>
      </c>
      <c r="B7202" s="23">
        <v>94.009519890000007</v>
      </c>
      <c r="C7202" s="23">
        <v>0</v>
      </c>
      <c r="D7202" s="23">
        <v>0</v>
      </c>
      <c r="E7202" s="23">
        <v>0</v>
      </c>
      <c r="F7202" s="23">
        <v>0</v>
      </c>
      <c r="G7202" s="23">
        <v>0</v>
      </c>
      <c r="H7202" s="23">
        <v>0</v>
      </c>
      <c r="I7202" s="23">
        <v>0</v>
      </c>
      <c r="J7202" s="23">
        <v>0</v>
      </c>
      <c r="K7202" s="23">
        <v>94.01</v>
      </c>
    </row>
    <row r="7203" spans="1:11" x14ac:dyDescent="0.25">
      <c r="A7203">
        <v>7202</v>
      </c>
      <c r="B7203" s="23">
        <v>100.2250253</v>
      </c>
      <c r="C7203" s="23">
        <v>0</v>
      </c>
      <c r="D7203" s="23">
        <v>0</v>
      </c>
      <c r="E7203" s="23">
        <v>0</v>
      </c>
      <c r="F7203" s="23">
        <v>0</v>
      </c>
      <c r="G7203" s="23">
        <v>0</v>
      </c>
      <c r="H7203" s="23">
        <v>0</v>
      </c>
      <c r="I7203" s="23">
        <v>0</v>
      </c>
      <c r="J7203" s="23">
        <v>0</v>
      </c>
      <c r="K7203" s="23">
        <v>100.22499999999999</v>
      </c>
    </row>
    <row r="7204" spans="1:11" x14ac:dyDescent="0.25">
      <c r="A7204">
        <v>7203</v>
      </c>
      <c r="B7204" s="23">
        <v>97.117272610000001</v>
      </c>
      <c r="C7204" s="23">
        <v>0</v>
      </c>
      <c r="D7204" s="23">
        <v>0</v>
      </c>
      <c r="E7204" s="23">
        <v>0</v>
      </c>
      <c r="F7204" s="23">
        <v>0</v>
      </c>
      <c r="G7204" s="23">
        <v>0</v>
      </c>
      <c r="H7204" s="23">
        <v>0</v>
      </c>
      <c r="I7204" s="23">
        <v>0</v>
      </c>
      <c r="J7204" s="23">
        <v>0</v>
      </c>
      <c r="K7204" s="23">
        <v>97.117000000000004</v>
      </c>
    </row>
    <row r="7205" spans="1:11" x14ac:dyDescent="0.25">
      <c r="A7205">
        <v>7204</v>
      </c>
      <c r="B7205" s="23">
        <v>98.671148970000004</v>
      </c>
      <c r="C7205" s="23">
        <v>0</v>
      </c>
      <c r="D7205" s="23">
        <v>0</v>
      </c>
      <c r="E7205" s="23">
        <v>0</v>
      </c>
      <c r="F7205" s="23">
        <v>0</v>
      </c>
      <c r="G7205" s="23">
        <v>0</v>
      </c>
      <c r="H7205" s="23">
        <v>0</v>
      </c>
      <c r="I7205" s="23">
        <v>0</v>
      </c>
      <c r="J7205" s="23">
        <v>0</v>
      </c>
      <c r="K7205" s="23">
        <v>98.671000000000006</v>
      </c>
    </row>
    <row r="7206" spans="1:11" x14ac:dyDescent="0.25">
      <c r="A7206">
        <v>7205</v>
      </c>
      <c r="B7206" s="23">
        <v>93.232581710000005</v>
      </c>
      <c r="C7206" s="23">
        <v>0</v>
      </c>
      <c r="D7206" s="23">
        <v>0</v>
      </c>
      <c r="E7206" s="23">
        <v>0</v>
      </c>
      <c r="F7206" s="23">
        <v>0</v>
      </c>
      <c r="G7206" s="23">
        <v>0</v>
      </c>
      <c r="H7206" s="23">
        <v>0</v>
      </c>
      <c r="I7206" s="23">
        <v>0</v>
      </c>
      <c r="J7206" s="23">
        <v>0</v>
      </c>
      <c r="K7206" s="23">
        <v>93.233000000000004</v>
      </c>
    </row>
    <row r="7207" spans="1:11" x14ac:dyDescent="0.25">
      <c r="A7207">
        <v>7206</v>
      </c>
      <c r="B7207" s="23">
        <v>98.671148970000004</v>
      </c>
      <c r="C7207" s="23">
        <v>0</v>
      </c>
      <c r="D7207" s="23">
        <v>0</v>
      </c>
      <c r="E7207" s="23">
        <v>0</v>
      </c>
      <c r="F7207" s="23">
        <v>0</v>
      </c>
      <c r="G7207" s="23">
        <v>0</v>
      </c>
      <c r="H7207" s="23">
        <v>0</v>
      </c>
      <c r="I7207" s="23">
        <v>0</v>
      </c>
      <c r="J7207" s="23">
        <v>0</v>
      </c>
      <c r="K7207" s="23">
        <v>98.671000000000006</v>
      </c>
    </row>
    <row r="7208" spans="1:11" x14ac:dyDescent="0.25">
      <c r="A7208">
        <v>7207</v>
      </c>
      <c r="B7208" s="23">
        <v>88.025153549999999</v>
      </c>
      <c r="C7208" s="23">
        <v>101.11</v>
      </c>
      <c r="D7208" s="23">
        <v>345.51200000000011</v>
      </c>
      <c r="E7208" s="23">
        <v>88.025000000000006</v>
      </c>
      <c r="F7208" s="23">
        <v>-257.48700000000002</v>
      </c>
      <c r="G7208" s="23">
        <v>0</v>
      </c>
      <c r="H7208" s="23">
        <v>0</v>
      </c>
      <c r="I7208" s="23">
        <v>0</v>
      </c>
      <c r="J7208" s="23">
        <v>0</v>
      </c>
      <c r="K7208" s="23">
        <v>0</v>
      </c>
    </row>
    <row r="7209" spans="1:11" x14ac:dyDescent="0.25">
      <c r="A7209">
        <v>7208</v>
      </c>
      <c r="B7209" s="23">
        <v>138.26683220000001</v>
      </c>
      <c r="C7209" s="23">
        <v>339.4</v>
      </c>
      <c r="D7209" s="23">
        <v>1353.646</v>
      </c>
      <c r="E7209" s="23">
        <v>138.267</v>
      </c>
      <c r="F7209" s="23">
        <v>-1173.684</v>
      </c>
      <c r="G7209" s="23">
        <v>0</v>
      </c>
      <c r="H7209" s="23">
        <v>41.695</v>
      </c>
      <c r="I7209" s="23">
        <v>0</v>
      </c>
      <c r="J7209" s="23">
        <v>0</v>
      </c>
      <c r="K7209" s="23">
        <v>0</v>
      </c>
    </row>
    <row r="7210" spans="1:11" x14ac:dyDescent="0.25">
      <c r="A7210">
        <v>7209</v>
      </c>
      <c r="B7210" s="23">
        <v>851.52910210000005</v>
      </c>
      <c r="C7210" s="23">
        <v>558.91999999999996</v>
      </c>
      <c r="D7210" s="23">
        <v>2193.7330000000002</v>
      </c>
      <c r="E7210" s="23">
        <v>851.529</v>
      </c>
      <c r="F7210" s="23">
        <v>0</v>
      </c>
      <c r="G7210" s="23">
        <v>0</v>
      </c>
      <c r="H7210" s="23">
        <v>1342.204</v>
      </c>
      <c r="I7210" s="23">
        <v>0</v>
      </c>
      <c r="J7210" s="23">
        <v>0</v>
      </c>
      <c r="K7210" s="23">
        <v>0</v>
      </c>
    </row>
    <row r="7211" spans="1:11" x14ac:dyDescent="0.25">
      <c r="A7211">
        <v>7210</v>
      </c>
      <c r="B7211" s="23">
        <v>1151.9371060000001</v>
      </c>
      <c r="C7211" s="23">
        <v>803.56</v>
      </c>
      <c r="D7211" s="23">
        <v>3058.8530000000001</v>
      </c>
      <c r="E7211" s="23">
        <v>1151.9369999999999</v>
      </c>
      <c r="F7211" s="23">
        <v>0</v>
      </c>
      <c r="G7211" s="23">
        <v>0</v>
      </c>
      <c r="H7211" s="23">
        <v>1906.9159999999999</v>
      </c>
      <c r="I7211" s="23">
        <v>0</v>
      </c>
      <c r="J7211" s="23">
        <v>0</v>
      </c>
      <c r="K7211" s="23">
        <v>0</v>
      </c>
    </row>
    <row r="7212" spans="1:11" x14ac:dyDescent="0.25">
      <c r="A7212">
        <v>7211</v>
      </c>
      <c r="B7212" s="23">
        <v>1368.572721</v>
      </c>
      <c r="C7212" s="23">
        <v>924.84</v>
      </c>
      <c r="D7212" s="23">
        <v>3448.8939999999998</v>
      </c>
      <c r="E7212" s="23">
        <v>1368.5730000000001</v>
      </c>
      <c r="F7212" s="23">
        <v>0</v>
      </c>
      <c r="G7212" s="23">
        <v>0</v>
      </c>
      <c r="H7212" s="23">
        <v>2080.3209999999999</v>
      </c>
      <c r="I7212" s="23">
        <v>0</v>
      </c>
      <c r="J7212" s="23">
        <v>0</v>
      </c>
      <c r="K7212" s="23">
        <v>0</v>
      </c>
    </row>
    <row r="7213" spans="1:11" x14ac:dyDescent="0.25">
      <c r="A7213">
        <v>7212</v>
      </c>
      <c r="B7213" s="23">
        <v>1597.642261</v>
      </c>
      <c r="C7213" s="23">
        <v>779.49</v>
      </c>
      <c r="D7213" s="23">
        <v>2921.7020000000002</v>
      </c>
      <c r="E7213" s="23">
        <v>1597.6420000000001</v>
      </c>
      <c r="F7213" s="23">
        <v>0</v>
      </c>
      <c r="G7213" s="23">
        <v>0</v>
      </c>
      <c r="H7213" s="23">
        <v>1324.06</v>
      </c>
      <c r="I7213" s="23">
        <v>0</v>
      </c>
      <c r="J7213" s="23">
        <v>0</v>
      </c>
      <c r="K7213" s="23">
        <v>0</v>
      </c>
    </row>
    <row r="7214" spans="1:11" x14ac:dyDescent="0.25">
      <c r="A7214">
        <v>7213</v>
      </c>
      <c r="B7214" s="23">
        <v>1506.781283</v>
      </c>
      <c r="C7214" s="23">
        <v>680.43</v>
      </c>
      <c r="D7214" s="23">
        <v>2573.5610000000001</v>
      </c>
      <c r="E7214" s="23">
        <v>1506.7809999999999</v>
      </c>
      <c r="F7214" s="23">
        <v>0</v>
      </c>
      <c r="G7214" s="23">
        <v>0</v>
      </c>
      <c r="H7214" s="23">
        <v>1066.78</v>
      </c>
      <c r="I7214" s="23">
        <v>0</v>
      </c>
      <c r="J7214" s="23">
        <v>0</v>
      </c>
      <c r="K7214" s="23">
        <v>0</v>
      </c>
    </row>
    <row r="7215" spans="1:11" x14ac:dyDescent="0.25">
      <c r="A7215">
        <v>7214</v>
      </c>
      <c r="B7215" s="23">
        <v>1412.8970440000001</v>
      </c>
      <c r="C7215" s="23">
        <v>599.57000000000005</v>
      </c>
      <c r="D7215" s="23">
        <v>2298.1379999999999</v>
      </c>
      <c r="E7215" s="23">
        <v>1412.8969999999999</v>
      </c>
      <c r="F7215" s="23">
        <v>0</v>
      </c>
      <c r="G7215" s="23">
        <v>0</v>
      </c>
      <c r="H7215" s="23">
        <v>885.24099999999999</v>
      </c>
      <c r="I7215" s="23">
        <v>0</v>
      </c>
      <c r="J7215" s="23">
        <v>0</v>
      </c>
      <c r="K7215" s="23">
        <v>0</v>
      </c>
    </row>
    <row r="7216" spans="1:11" x14ac:dyDescent="0.25">
      <c r="A7216">
        <v>7215</v>
      </c>
      <c r="B7216" s="23">
        <v>1414.7092520000001</v>
      </c>
      <c r="C7216" s="23">
        <v>396.22</v>
      </c>
      <c r="D7216" s="23">
        <v>1541.9739999999999</v>
      </c>
      <c r="E7216" s="23">
        <v>1414.7090000000001</v>
      </c>
      <c r="F7216" s="23">
        <v>0</v>
      </c>
      <c r="G7216" s="23">
        <v>0</v>
      </c>
      <c r="H7216" s="23">
        <v>127.265</v>
      </c>
      <c r="I7216" s="23">
        <v>0</v>
      </c>
      <c r="J7216" s="23">
        <v>0</v>
      </c>
      <c r="K7216" s="23">
        <v>0</v>
      </c>
    </row>
    <row r="7217" spans="1:11" x14ac:dyDescent="0.25">
      <c r="A7217">
        <v>7216</v>
      </c>
      <c r="B7217" s="23">
        <v>1584.3585599999999</v>
      </c>
      <c r="C7217" s="23">
        <v>224.19</v>
      </c>
      <c r="D7217" s="23">
        <v>877.44100000000003</v>
      </c>
      <c r="E7217" s="23">
        <v>877.44100000000003</v>
      </c>
      <c r="F7217" s="23">
        <v>0</v>
      </c>
      <c r="G7217" s="23">
        <v>0</v>
      </c>
      <c r="H7217" s="23">
        <v>0</v>
      </c>
      <c r="I7217" s="23">
        <v>706.91800000000001</v>
      </c>
      <c r="J7217" s="23">
        <v>0</v>
      </c>
      <c r="K7217" s="23">
        <v>0</v>
      </c>
    </row>
    <row r="7218" spans="1:11" x14ac:dyDescent="0.25">
      <c r="A7218">
        <v>7217</v>
      </c>
      <c r="B7218" s="23">
        <v>1584.519775</v>
      </c>
      <c r="C7218" s="23">
        <v>83.9</v>
      </c>
      <c r="D7218" s="23">
        <v>307.41399999999999</v>
      </c>
      <c r="E7218" s="23">
        <v>307.41399999999999</v>
      </c>
      <c r="F7218" s="23">
        <v>0</v>
      </c>
      <c r="G7218" s="23">
        <v>0</v>
      </c>
      <c r="H7218" s="23">
        <v>0</v>
      </c>
      <c r="I7218" s="23">
        <v>1277.105</v>
      </c>
      <c r="J7218" s="23">
        <v>0</v>
      </c>
      <c r="K7218" s="23">
        <v>0</v>
      </c>
    </row>
    <row r="7219" spans="1:11" x14ac:dyDescent="0.25">
      <c r="A7219">
        <v>7218</v>
      </c>
      <c r="B7219" s="23">
        <v>1715.0240229999999</v>
      </c>
      <c r="C7219" s="23">
        <v>2.94</v>
      </c>
      <c r="D7219" s="23">
        <v>0</v>
      </c>
      <c r="E7219" s="23">
        <v>0</v>
      </c>
      <c r="F7219" s="23">
        <v>0</v>
      </c>
      <c r="G7219" s="23">
        <v>0</v>
      </c>
      <c r="H7219" s="23">
        <v>0</v>
      </c>
      <c r="I7219" s="23">
        <v>30.465</v>
      </c>
      <c r="J7219" s="23">
        <v>0</v>
      </c>
      <c r="K7219" s="23">
        <v>1684.559</v>
      </c>
    </row>
    <row r="7220" spans="1:11" x14ac:dyDescent="0.25">
      <c r="A7220">
        <v>7219</v>
      </c>
      <c r="B7220" s="23">
        <v>1680.964025</v>
      </c>
      <c r="C7220" s="23">
        <v>0</v>
      </c>
      <c r="D7220" s="23">
        <v>0</v>
      </c>
      <c r="E7220" s="23">
        <v>0</v>
      </c>
      <c r="F7220" s="23">
        <v>0</v>
      </c>
      <c r="G7220" s="23">
        <v>0</v>
      </c>
      <c r="H7220" s="23">
        <v>0</v>
      </c>
      <c r="I7220" s="23">
        <v>0</v>
      </c>
      <c r="J7220" s="23">
        <v>0</v>
      </c>
      <c r="K7220" s="23">
        <v>1680.9639999999999</v>
      </c>
    </row>
    <row r="7221" spans="1:11" x14ac:dyDescent="0.25">
      <c r="A7221">
        <v>7220</v>
      </c>
      <c r="B7221" s="23">
        <v>1793.1733220000001</v>
      </c>
      <c r="C7221" s="23">
        <v>0</v>
      </c>
      <c r="D7221" s="23">
        <v>0</v>
      </c>
      <c r="E7221" s="23">
        <v>0</v>
      </c>
      <c r="F7221" s="23">
        <v>0</v>
      </c>
      <c r="G7221" s="23">
        <v>0</v>
      </c>
      <c r="H7221" s="23">
        <v>0</v>
      </c>
      <c r="I7221" s="23">
        <v>108.614</v>
      </c>
      <c r="J7221" s="23">
        <v>0</v>
      </c>
      <c r="K7221" s="23">
        <v>1684.559</v>
      </c>
    </row>
    <row r="7222" spans="1:11" x14ac:dyDescent="0.25">
      <c r="A7222">
        <v>7221</v>
      </c>
      <c r="B7222" s="23">
        <v>1675.855656</v>
      </c>
      <c r="C7222" s="23">
        <v>0</v>
      </c>
      <c r="D7222" s="23">
        <v>0</v>
      </c>
      <c r="E7222" s="23">
        <v>0</v>
      </c>
      <c r="F7222" s="23">
        <v>0</v>
      </c>
      <c r="G7222" s="23">
        <v>0</v>
      </c>
      <c r="H7222" s="23">
        <v>0</v>
      </c>
      <c r="I7222" s="23">
        <v>1675.856</v>
      </c>
      <c r="J7222" s="23">
        <v>0</v>
      </c>
      <c r="K7222" s="23">
        <v>0</v>
      </c>
    </row>
    <row r="7223" spans="1:11" x14ac:dyDescent="0.25">
      <c r="A7223">
        <v>7222</v>
      </c>
      <c r="B7223" s="23">
        <v>1509.5908850000001</v>
      </c>
      <c r="C7223" s="23">
        <v>0</v>
      </c>
      <c r="D7223" s="23">
        <v>0</v>
      </c>
      <c r="E7223" s="23">
        <v>0</v>
      </c>
      <c r="F7223" s="23">
        <v>0</v>
      </c>
      <c r="G7223" s="23">
        <v>0</v>
      </c>
      <c r="H7223" s="23">
        <v>0</v>
      </c>
      <c r="I7223" s="23">
        <v>1509.5909999999999</v>
      </c>
      <c r="J7223" s="23">
        <v>0</v>
      </c>
      <c r="K7223" s="23">
        <v>0</v>
      </c>
    </row>
    <row r="7224" spans="1:11" x14ac:dyDescent="0.25">
      <c r="A7224">
        <v>7223</v>
      </c>
      <c r="B7224" s="23">
        <v>1940.7915760000001</v>
      </c>
      <c r="C7224" s="23">
        <v>0</v>
      </c>
      <c r="D7224" s="23">
        <v>0</v>
      </c>
      <c r="E7224" s="23">
        <v>0</v>
      </c>
      <c r="F7224" s="23">
        <v>0</v>
      </c>
      <c r="G7224" s="23">
        <v>0</v>
      </c>
      <c r="H7224" s="23">
        <v>0</v>
      </c>
      <c r="I7224" s="23">
        <v>1940.7919999999999</v>
      </c>
      <c r="J7224" s="23">
        <v>0</v>
      </c>
      <c r="K7224" s="23">
        <v>0</v>
      </c>
    </row>
    <row r="7225" spans="1:11" x14ac:dyDescent="0.25">
      <c r="A7225">
        <v>7224</v>
      </c>
      <c r="B7225" s="23">
        <v>1651.770573</v>
      </c>
      <c r="C7225" s="23">
        <v>0</v>
      </c>
      <c r="D7225" s="23">
        <v>0</v>
      </c>
      <c r="E7225" s="23">
        <v>0</v>
      </c>
      <c r="F7225" s="23">
        <v>0</v>
      </c>
      <c r="G7225" s="23">
        <v>0</v>
      </c>
      <c r="H7225" s="23">
        <v>0</v>
      </c>
      <c r="I7225" s="23">
        <v>1651.771</v>
      </c>
      <c r="J7225" s="23">
        <v>0</v>
      </c>
      <c r="K7225" s="23">
        <v>0</v>
      </c>
    </row>
    <row r="7226" spans="1:11" x14ac:dyDescent="0.25">
      <c r="A7226">
        <v>7225</v>
      </c>
      <c r="B7226" s="23">
        <v>1884.8520269999999</v>
      </c>
      <c r="C7226" s="23">
        <v>0</v>
      </c>
      <c r="D7226" s="23">
        <v>0</v>
      </c>
      <c r="E7226" s="23">
        <v>0</v>
      </c>
      <c r="F7226" s="23">
        <v>0</v>
      </c>
      <c r="G7226" s="23">
        <v>0</v>
      </c>
      <c r="H7226" s="23">
        <v>0</v>
      </c>
      <c r="I7226" s="23">
        <v>1884.8520000000001</v>
      </c>
      <c r="J7226" s="23">
        <v>0</v>
      </c>
      <c r="K7226" s="23">
        <v>0</v>
      </c>
    </row>
    <row r="7227" spans="1:11" x14ac:dyDescent="0.25">
      <c r="A7227">
        <v>7226</v>
      </c>
      <c r="B7227" s="23">
        <v>1574.853693</v>
      </c>
      <c r="C7227" s="23">
        <v>0</v>
      </c>
      <c r="D7227" s="23">
        <v>0</v>
      </c>
      <c r="E7227" s="23">
        <v>0</v>
      </c>
      <c r="F7227" s="23">
        <v>0</v>
      </c>
      <c r="G7227" s="23">
        <v>0</v>
      </c>
      <c r="H7227" s="23">
        <v>0</v>
      </c>
      <c r="I7227" s="23">
        <v>1574.854</v>
      </c>
      <c r="J7227" s="23">
        <v>0</v>
      </c>
      <c r="K7227" s="23">
        <v>0</v>
      </c>
    </row>
    <row r="7228" spans="1:11" x14ac:dyDescent="0.25">
      <c r="A7228">
        <v>7227</v>
      </c>
      <c r="B7228" s="23">
        <v>1236.1086459999999</v>
      </c>
      <c r="C7228" s="23">
        <v>0</v>
      </c>
      <c r="D7228" s="23">
        <v>0</v>
      </c>
      <c r="E7228" s="23">
        <v>0</v>
      </c>
      <c r="F7228" s="23">
        <v>0</v>
      </c>
      <c r="G7228" s="23">
        <v>0</v>
      </c>
      <c r="H7228" s="23">
        <v>0</v>
      </c>
      <c r="I7228" s="23">
        <v>1236.1089999999999</v>
      </c>
      <c r="J7228" s="23">
        <v>0</v>
      </c>
      <c r="K7228" s="23">
        <v>0</v>
      </c>
    </row>
    <row r="7229" spans="1:11" x14ac:dyDescent="0.25">
      <c r="A7229">
        <v>7228</v>
      </c>
      <c r="B7229" s="23">
        <v>1240.7702750000001</v>
      </c>
      <c r="C7229" s="23">
        <v>0</v>
      </c>
      <c r="D7229" s="23">
        <v>0</v>
      </c>
      <c r="E7229" s="23">
        <v>0</v>
      </c>
      <c r="F7229" s="23">
        <v>0</v>
      </c>
      <c r="G7229" s="23">
        <v>0</v>
      </c>
      <c r="H7229" s="23">
        <v>0</v>
      </c>
      <c r="I7229" s="23">
        <v>1240.77</v>
      </c>
      <c r="J7229" s="23">
        <v>0</v>
      </c>
      <c r="K7229" s="23">
        <v>0</v>
      </c>
    </row>
    <row r="7230" spans="1:11" x14ac:dyDescent="0.25">
      <c r="A7230">
        <v>7229</v>
      </c>
      <c r="B7230" s="23">
        <v>1692.1713580000001</v>
      </c>
      <c r="C7230" s="23">
        <v>0</v>
      </c>
      <c r="D7230" s="23">
        <v>0</v>
      </c>
      <c r="E7230" s="23">
        <v>0</v>
      </c>
      <c r="F7230" s="23">
        <v>0</v>
      </c>
      <c r="G7230" s="23">
        <v>0</v>
      </c>
      <c r="H7230" s="23">
        <v>0</v>
      </c>
      <c r="I7230" s="23">
        <v>1692.171</v>
      </c>
      <c r="J7230" s="23">
        <v>0</v>
      </c>
      <c r="K7230" s="23">
        <v>0</v>
      </c>
    </row>
    <row r="7231" spans="1:11" x14ac:dyDescent="0.25">
      <c r="A7231">
        <v>7230</v>
      </c>
      <c r="B7231" s="23">
        <v>1647.1089440000001</v>
      </c>
      <c r="C7231" s="23">
        <v>0</v>
      </c>
      <c r="D7231" s="23">
        <v>0</v>
      </c>
      <c r="E7231" s="23">
        <v>0</v>
      </c>
      <c r="F7231" s="23">
        <v>0</v>
      </c>
      <c r="G7231" s="23">
        <v>0</v>
      </c>
      <c r="H7231" s="23">
        <v>0</v>
      </c>
      <c r="I7231" s="23">
        <v>1531.0740000000001</v>
      </c>
      <c r="J7231" s="23">
        <v>0</v>
      </c>
      <c r="K7231" s="23">
        <v>116.035</v>
      </c>
    </row>
    <row r="7232" spans="1:11" x14ac:dyDescent="0.25">
      <c r="A7232">
        <v>7231</v>
      </c>
      <c r="B7232" s="23">
        <v>1061.5189820000001</v>
      </c>
      <c r="C7232" s="23">
        <v>137.66</v>
      </c>
      <c r="D7232" s="23">
        <v>463.02300000000002</v>
      </c>
      <c r="E7232" s="23">
        <v>463.02300000000002</v>
      </c>
      <c r="F7232" s="23">
        <v>0</v>
      </c>
      <c r="G7232" s="23">
        <v>0</v>
      </c>
      <c r="H7232" s="23">
        <v>0</v>
      </c>
      <c r="I7232" s="23">
        <v>0</v>
      </c>
      <c r="J7232" s="23">
        <v>0</v>
      </c>
      <c r="K7232" s="23">
        <v>598.49599999999998</v>
      </c>
    </row>
    <row r="7233" spans="1:11" x14ac:dyDescent="0.25">
      <c r="A7233">
        <v>7232</v>
      </c>
      <c r="B7233" s="23">
        <v>1120.1185740000001</v>
      </c>
      <c r="C7233" s="23">
        <v>381.55</v>
      </c>
      <c r="D7233" s="23">
        <v>1528.626</v>
      </c>
      <c r="E7233" s="23">
        <v>1120.1189999999999</v>
      </c>
      <c r="F7233" s="23">
        <v>-408.50700000000001</v>
      </c>
      <c r="G7233" s="23">
        <v>0</v>
      </c>
      <c r="H7233" s="23">
        <v>0</v>
      </c>
      <c r="I7233" s="23">
        <v>0</v>
      </c>
      <c r="J7233" s="23">
        <v>0</v>
      </c>
      <c r="K7233" s="23">
        <v>0</v>
      </c>
    </row>
    <row r="7234" spans="1:11" x14ac:dyDescent="0.25">
      <c r="A7234">
        <v>7233</v>
      </c>
      <c r="B7234" s="23">
        <v>1674.457167</v>
      </c>
      <c r="C7234" s="23">
        <v>564.20000000000005</v>
      </c>
      <c r="D7234" s="23">
        <v>2238.6390000000001</v>
      </c>
      <c r="E7234" s="23">
        <v>1674.4570000000001</v>
      </c>
      <c r="F7234" s="23">
        <v>-564.18200000000002</v>
      </c>
      <c r="G7234" s="23">
        <v>0</v>
      </c>
      <c r="H7234" s="23">
        <v>0</v>
      </c>
      <c r="I7234" s="23">
        <v>0</v>
      </c>
      <c r="J7234" s="23">
        <v>0</v>
      </c>
      <c r="K7234" s="23">
        <v>0</v>
      </c>
    </row>
    <row r="7235" spans="1:11" x14ac:dyDescent="0.25">
      <c r="A7235">
        <v>7234</v>
      </c>
      <c r="B7235" s="23">
        <v>2076.6159090000001</v>
      </c>
      <c r="C7235" s="23">
        <v>775.49</v>
      </c>
      <c r="D7235" s="23">
        <v>3007.34</v>
      </c>
      <c r="E7235" s="23">
        <v>2076.616</v>
      </c>
      <c r="F7235" s="23">
        <v>-930.72400000000005</v>
      </c>
      <c r="G7235" s="23">
        <v>0</v>
      </c>
      <c r="H7235" s="23">
        <v>0</v>
      </c>
      <c r="I7235" s="23">
        <v>0</v>
      </c>
      <c r="J7235" s="23">
        <v>0</v>
      </c>
      <c r="K7235" s="23">
        <v>0</v>
      </c>
    </row>
    <row r="7236" spans="1:11" x14ac:dyDescent="0.25">
      <c r="A7236">
        <v>7235</v>
      </c>
      <c r="B7236" s="23">
        <v>1845.2747959999999</v>
      </c>
      <c r="C7236" s="23">
        <v>883.27</v>
      </c>
      <c r="D7236" s="23">
        <v>3374.13</v>
      </c>
      <c r="E7236" s="23">
        <v>1845.2750000000001</v>
      </c>
      <c r="F7236" s="23">
        <v>-1528.855</v>
      </c>
      <c r="G7236" s="23">
        <v>0</v>
      </c>
      <c r="H7236" s="23">
        <v>0</v>
      </c>
      <c r="I7236" s="23">
        <v>0</v>
      </c>
      <c r="J7236" s="23">
        <v>0</v>
      </c>
      <c r="K7236" s="23">
        <v>0</v>
      </c>
    </row>
    <row r="7237" spans="1:11" x14ac:dyDescent="0.25">
      <c r="A7237">
        <v>7236</v>
      </c>
      <c r="B7237" s="23">
        <v>2071.696919</v>
      </c>
      <c r="C7237" s="23">
        <v>711.6</v>
      </c>
      <c r="D7237" s="23">
        <v>2718.047</v>
      </c>
      <c r="E7237" s="23">
        <v>2071.6970000000001</v>
      </c>
      <c r="F7237" s="23">
        <v>-646.35</v>
      </c>
      <c r="G7237" s="23">
        <v>0</v>
      </c>
      <c r="H7237" s="23">
        <v>0</v>
      </c>
      <c r="I7237" s="23">
        <v>0</v>
      </c>
      <c r="J7237" s="23">
        <v>0</v>
      </c>
      <c r="K7237" s="23">
        <v>0</v>
      </c>
    </row>
    <row r="7238" spans="1:11" x14ac:dyDescent="0.25">
      <c r="A7238">
        <v>7237</v>
      </c>
      <c r="B7238" s="23">
        <v>1651.018885</v>
      </c>
      <c r="C7238" s="23">
        <v>743.83</v>
      </c>
      <c r="D7238" s="23">
        <v>2842.893</v>
      </c>
      <c r="E7238" s="23">
        <v>1651.018</v>
      </c>
      <c r="F7238" s="23">
        <v>-1191.875</v>
      </c>
      <c r="G7238" s="23">
        <v>0</v>
      </c>
      <c r="H7238" s="23">
        <v>0</v>
      </c>
      <c r="I7238" s="23">
        <v>0</v>
      </c>
      <c r="J7238" s="23">
        <v>0</v>
      </c>
      <c r="K7238" s="23">
        <v>0</v>
      </c>
    </row>
    <row r="7239" spans="1:11" x14ac:dyDescent="0.25">
      <c r="A7239">
        <v>7238</v>
      </c>
      <c r="B7239" s="23">
        <v>1496.2673669999999</v>
      </c>
      <c r="C7239" s="23">
        <v>682.98</v>
      </c>
      <c r="D7239" s="23">
        <v>2641.165</v>
      </c>
      <c r="E7239" s="23">
        <v>1496.2670000000001</v>
      </c>
      <c r="F7239" s="23">
        <v>-1144.8979999999999</v>
      </c>
      <c r="G7239" s="23">
        <v>0</v>
      </c>
      <c r="H7239" s="23">
        <v>0</v>
      </c>
      <c r="I7239" s="23">
        <v>0</v>
      </c>
      <c r="J7239" s="23">
        <v>0</v>
      </c>
      <c r="K7239" s="23">
        <v>0</v>
      </c>
    </row>
    <row r="7240" spans="1:11" x14ac:dyDescent="0.25">
      <c r="A7240">
        <v>7239</v>
      </c>
      <c r="B7240" s="23">
        <v>1315.4864769999999</v>
      </c>
      <c r="C7240" s="23">
        <v>58.87</v>
      </c>
      <c r="D7240" s="23">
        <v>202.529</v>
      </c>
      <c r="E7240" s="23">
        <v>202.529</v>
      </c>
      <c r="F7240" s="23">
        <v>0</v>
      </c>
      <c r="G7240" s="23">
        <v>0</v>
      </c>
      <c r="H7240" s="23">
        <v>0</v>
      </c>
      <c r="I7240" s="23">
        <v>1112.9580000000001</v>
      </c>
      <c r="J7240" s="23">
        <v>0</v>
      </c>
      <c r="K7240" s="23">
        <v>0</v>
      </c>
    </row>
    <row r="7241" spans="1:11" x14ac:dyDescent="0.25">
      <c r="A7241">
        <v>7240</v>
      </c>
      <c r="B7241" s="23">
        <v>1605.1610800000001</v>
      </c>
      <c r="C7241" s="23">
        <v>248.35</v>
      </c>
      <c r="D7241" s="23">
        <v>984.77499999999998</v>
      </c>
      <c r="E7241" s="23">
        <v>984.77499999999998</v>
      </c>
      <c r="F7241" s="23">
        <v>0</v>
      </c>
      <c r="G7241" s="23">
        <v>0</v>
      </c>
      <c r="H7241" s="23">
        <v>0</v>
      </c>
      <c r="I7241" s="23">
        <v>620.38599999999997</v>
      </c>
      <c r="J7241" s="23">
        <v>0</v>
      </c>
      <c r="K7241" s="23">
        <v>0</v>
      </c>
    </row>
    <row r="7242" spans="1:11" x14ac:dyDescent="0.25">
      <c r="A7242">
        <v>7241</v>
      </c>
      <c r="B7242" s="23">
        <v>1758.8345959999999</v>
      </c>
      <c r="C7242" s="23">
        <v>130.18</v>
      </c>
      <c r="D7242" s="23">
        <v>478.654</v>
      </c>
      <c r="E7242" s="23">
        <v>478.654</v>
      </c>
      <c r="F7242" s="23">
        <v>0</v>
      </c>
      <c r="G7242" s="23">
        <v>0</v>
      </c>
      <c r="H7242" s="23">
        <v>0</v>
      </c>
      <c r="I7242" s="23">
        <v>1280.18</v>
      </c>
      <c r="J7242" s="23">
        <v>0</v>
      </c>
      <c r="K7242" s="23">
        <v>0</v>
      </c>
    </row>
    <row r="7243" spans="1:11" x14ac:dyDescent="0.25">
      <c r="A7243">
        <v>7242</v>
      </c>
      <c r="B7243" s="23">
        <v>1473.30593</v>
      </c>
      <c r="C7243" s="23">
        <v>5.96</v>
      </c>
      <c r="D7243" s="23">
        <v>0</v>
      </c>
      <c r="E7243" s="23">
        <v>0</v>
      </c>
      <c r="F7243" s="23">
        <v>0</v>
      </c>
      <c r="G7243" s="23">
        <v>0</v>
      </c>
      <c r="H7243" s="23">
        <v>0</v>
      </c>
      <c r="I7243" s="23">
        <v>0</v>
      </c>
      <c r="J7243" s="23">
        <v>0</v>
      </c>
      <c r="K7243" s="23">
        <v>1473.306</v>
      </c>
    </row>
    <row r="7244" spans="1:11" x14ac:dyDescent="0.25">
      <c r="A7244">
        <v>7243</v>
      </c>
      <c r="B7244" s="23">
        <v>1812.4967449999999</v>
      </c>
      <c r="C7244" s="23">
        <v>0</v>
      </c>
      <c r="D7244" s="23">
        <v>0</v>
      </c>
      <c r="E7244" s="23">
        <v>0</v>
      </c>
      <c r="F7244" s="23">
        <v>0</v>
      </c>
      <c r="G7244" s="23">
        <v>0</v>
      </c>
      <c r="H7244" s="23">
        <v>0</v>
      </c>
      <c r="I7244" s="23">
        <v>127.937</v>
      </c>
      <c r="J7244" s="23">
        <v>0</v>
      </c>
      <c r="K7244" s="23">
        <v>1684.559</v>
      </c>
    </row>
    <row r="7245" spans="1:11" x14ac:dyDescent="0.25">
      <c r="A7245">
        <v>7244</v>
      </c>
      <c r="B7245" s="23">
        <v>1695.2791110000001</v>
      </c>
      <c r="C7245" s="23">
        <v>0</v>
      </c>
      <c r="D7245" s="23">
        <v>0</v>
      </c>
      <c r="E7245" s="23">
        <v>0</v>
      </c>
      <c r="F7245" s="23">
        <v>0</v>
      </c>
      <c r="G7245" s="23">
        <v>0</v>
      </c>
      <c r="H7245" s="23">
        <v>0</v>
      </c>
      <c r="I7245" s="23">
        <v>10.72</v>
      </c>
      <c r="J7245" s="23">
        <v>0</v>
      </c>
      <c r="K7245" s="23">
        <v>1684.559</v>
      </c>
    </row>
    <row r="7246" spans="1:11" x14ac:dyDescent="0.25">
      <c r="A7246">
        <v>7245</v>
      </c>
      <c r="B7246" s="23">
        <v>1998.285001</v>
      </c>
      <c r="C7246" s="23">
        <v>0</v>
      </c>
      <c r="D7246" s="23">
        <v>0</v>
      </c>
      <c r="E7246" s="23">
        <v>0</v>
      </c>
      <c r="F7246" s="23">
        <v>0</v>
      </c>
      <c r="G7246" s="23">
        <v>0</v>
      </c>
      <c r="H7246" s="23">
        <v>0</v>
      </c>
      <c r="I7246" s="23">
        <v>1998.2850000000001</v>
      </c>
      <c r="J7246" s="23">
        <v>0</v>
      </c>
      <c r="K7246" s="23">
        <v>0</v>
      </c>
    </row>
    <row r="7247" spans="1:11" x14ac:dyDescent="0.25">
      <c r="A7247">
        <v>7246</v>
      </c>
      <c r="B7247" s="23">
        <v>1626.908551</v>
      </c>
      <c r="C7247" s="23">
        <v>0</v>
      </c>
      <c r="D7247" s="23">
        <v>0</v>
      </c>
      <c r="E7247" s="23">
        <v>0</v>
      </c>
      <c r="F7247" s="23">
        <v>0</v>
      </c>
      <c r="G7247" s="23">
        <v>0</v>
      </c>
      <c r="H7247" s="23">
        <v>0</v>
      </c>
      <c r="I7247" s="23">
        <v>1626.9090000000001</v>
      </c>
      <c r="J7247" s="23">
        <v>0</v>
      </c>
      <c r="K7247" s="23">
        <v>0</v>
      </c>
    </row>
    <row r="7248" spans="1:11" x14ac:dyDescent="0.25">
      <c r="A7248">
        <v>7247</v>
      </c>
      <c r="B7248" s="23">
        <v>1615.2544780000001</v>
      </c>
      <c r="C7248" s="23">
        <v>0</v>
      </c>
      <c r="D7248" s="23">
        <v>0</v>
      </c>
      <c r="E7248" s="23">
        <v>0</v>
      </c>
      <c r="F7248" s="23">
        <v>0</v>
      </c>
      <c r="G7248" s="23">
        <v>0</v>
      </c>
      <c r="H7248" s="23">
        <v>0</v>
      </c>
      <c r="I7248" s="23">
        <v>1615.2539999999999</v>
      </c>
      <c r="J7248" s="23">
        <v>0</v>
      </c>
      <c r="K7248" s="23">
        <v>0</v>
      </c>
    </row>
    <row r="7249" spans="1:11" x14ac:dyDescent="0.25">
      <c r="A7249">
        <v>7248</v>
      </c>
      <c r="B7249" s="23">
        <v>1388.3885290000001</v>
      </c>
      <c r="C7249" s="23">
        <v>0</v>
      </c>
      <c r="D7249" s="23">
        <v>0</v>
      </c>
      <c r="E7249" s="23">
        <v>0</v>
      </c>
      <c r="F7249" s="23">
        <v>0</v>
      </c>
      <c r="G7249" s="23">
        <v>0</v>
      </c>
      <c r="H7249" s="23">
        <v>0</v>
      </c>
      <c r="I7249" s="23">
        <v>1388.3889999999999</v>
      </c>
      <c r="J7249" s="23">
        <v>0</v>
      </c>
      <c r="K7249" s="23">
        <v>0</v>
      </c>
    </row>
    <row r="7250" spans="1:11" x14ac:dyDescent="0.25">
      <c r="A7250">
        <v>7249</v>
      </c>
      <c r="B7250" s="23">
        <v>1436.5586960000001</v>
      </c>
      <c r="C7250" s="23">
        <v>0</v>
      </c>
      <c r="D7250" s="23">
        <v>0</v>
      </c>
      <c r="E7250" s="23">
        <v>0</v>
      </c>
      <c r="F7250" s="23">
        <v>0</v>
      </c>
      <c r="G7250" s="23">
        <v>0</v>
      </c>
      <c r="H7250" s="23">
        <v>0</v>
      </c>
      <c r="I7250" s="23">
        <v>1436.559</v>
      </c>
      <c r="J7250" s="23">
        <v>0</v>
      </c>
      <c r="K7250" s="23">
        <v>0</v>
      </c>
    </row>
    <row r="7251" spans="1:11" x14ac:dyDescent="0.25">
      <c r="A7251">
        <v>7250</v>
      </c>
      <c r="B7251" s="23">
        <v>1567.0843110000001</v>
      </c>
      <c r="C7251" s="23">
        <v>0</v>
      </c>
      <c r="D7251" s="23">
        <v>0</v>
      </c>
      <c r="E7251" s="23">
        <v>0</v>
      </c>
      <c r="F7251" s="23">
        <v>0</v>
      </c>
      <c r="G7251" s="23">
        <v>0</v>
      </c>
      <c r="H7251" s="23">
        <v>0</v>
      </c>
      <c r="I7251" s="23">
        <v>1567.0840000000001</v>
      </c>
      <c r="J7251" s="23">
        <v>0</v>
      </c>
      <c r="K7251" s="23">
        <v>0</v>
      </c>
    </row>
    <row r="7252" spans="1:11" x14ac:dyDescent="0.25">
      <c r="A7252">
        <v>7251</v>
      </c>
      <c r="B7252" s="23">
        <v>991.37311880000004</v>
      </c>
      <c r="C7252" s="23">
        <v>0</v>
      </c>
      <c r="D7252" s="23">
        <v>0</v>
      </c>
      <c r="E7252" s="23">
        <v>0</v>
      </c>
      <c r="F7252" s="23">
        <v>0</v>
      </c>
      <c r="G7252" s="23">
        <v>0</v>
      </c>
      <c r="H7252" s="23">
        <v>0</v>
      </c>
      <c r="I7252" s="23">
        <v>991.37300000000005</v>
      </c>
      <c r="J7252" s="23">
        <v>0</v>
      </c>
      <c r="K7252" s="23">
        <v>0</v>
      </c>
    </row>
    <row r="7253" spans="1:11" x14ac:dyDescent="0.25">
      <c r="A7253">
        <v>7252</v>
      </c>
      <c r="B7253" s="23">
        <v>1218.2390680000001</v>
      </c>
      <c r="C7253" s="23">
        <v>0</v>
      </c>
      <c r="D7253" s="23">
        <v>0</v>
      </c>
      <c r="E7253" s="23">
        <v>0</v>
      </c>
      <c r="F7253" s="23">
        <v>0</v>
      </c>
      <c r="G7253" s="23">
        <v>0</v>
      </c>
      <c r="H7253" s="23">
        <v>0</v>
      </c>
      <c r="I7253" s="23">
        <v>1218.239</v>
      </c>
      <c r="J7253" s="23">
        <v>0</v>
      </c>
      <c r="K7253" s="23">
        <v>0</v>
      </c>
    </row>
    <row r="7254" spans="1:11" x14ac:dyDescent="0.25">
      <c r="A7254">
        <v>7253</v>
      </c>
      <c r="B7254" s="23">
        <v>1230.670079</v>
      </c>
      <c r="C7254" s="23">
        <v>0</v>
      </c>
      <c r="D7254" s="23">
        <v>0</v>
      </c>
      <c r="E7254" s="23">
        <v>0</v>
      </c>
      <c r="F7254" s="23">
        <v>0</v>
      </c>
      <c r="G7254" s="23">
        <v>0</v>
      </c>
      <c r="H7254" s="23">
        <v>0</v>
      </c>
      <c r="I7254" s="23">
        <v>1230.67</v>
      </c>
      <c r="J7254" s="23">
        <v>0</v>
      </c>
      <c r="K7254" s="23">
        <v>0</v>
      </c>
    </row>
    <row r="7255" spans="1:11" x14ac:dyDescent="0.25">
      <c r="A7255">
        <v>7254</v>
      </c>
      <c r="B7255" s="23">
        <v>1351.872435</v>
      </c>
      <c r="C7255" s="23">
        <v>0</v>
      </c>
      <c r="D7255" s="23">
        <v>0</v>
      </c>
      <c r="E7255" s="23">
        <v>0</v>
      </c>
      <c r="F7255" s="23">
        <v>0</v>
      </c>
      <c r="G7255" s="23">
        <v>0</v>
      </c>
      <c r="H7255" s="23">
        <v>0</v>
      </c>
      <c r="I7255" s="23">
        <v>1351.8720000000001</v>
      </c>
      <c r="J7255" s="23">
        <v>0</v>
      </c>
      <c r="K7255" s="23">
        <v>0</v>
      </c>
    </row>
    <row r="7256" spans="1:11" x14ac:dyDescent="0.25">
      <c r="A7256">
        <v>7255</v>
      </c>
      <c r="B7256" s="23">
        <v>1256.233287</v>
      </c>
      <c r="C7256" s="23">
        <v>44.27</v>
      </c>
      <c r="D7256" s="23">
        <v>149.88499999999999</v>
      </c>
      <c r="E7256" s="23">
        <v>149.88499999999999</v>
      </c>
      <c r="F7256" s="23">
        <v>0</v>
      </c>
      <c r="G7256" s="23">
        <v>0</v>
      </c>
      <c r="H7256" s="23">
        <v>0</v>
      </c>
      <c r="I7256" s="23">
        <v>1106.3489999999999</v>
      </c>
      <c r="J7256" s="23">
        <v>0</v>
      </c>
      <c r="K7256" s="23">
        <v>0</v>
      </c>
    </row>
    <row r="7257" spans="1:11" x14ac:dyDescent="0.25">
      <c r="A7257">
        <v>7256</v>
      </c>
      <c r="B7257" s="23">
        <v>631.52351739999995</v>
      </c>
      <c r="C7257" s="23">
        <v>124.52</v>
      </c>
      <c r="D7257" s="23">
        <v>480.63299999999998</v>
      </c>
      <c r="E7257" s="23">
        <v>480.63299999999998</v>
      </c>
      <c r="F7257" s="23">
        <v>0</v>
      </c>
      <c r="G7257" s="23">
        <v>0</v>
      </c>
      <c r="H7257" s="23">
        <v>0</v>
      </c>
      <c r="I7257" s="23">
        <v>150.89099999999999</v>
      </c>
      <c r="J7257" s="23">
        <v>0</v>
      </c>
      <c r="K7257" s="23">
        <v>0</v>
      </c>
    </row>
    <row r="7258" spans="1:11" x14ac:dyDescent="0.25">
      <c r="A7258">
        <v>7257</v>
      </c>
      <c r="B7258" s="23">
        <v>1426.3623540000001</v>
      </c>
      <c r="C7258" s="23">
        <v>204.61</v>
      </c>
      <c r="D7258" s="23">
        <v>796.73599999999999</v>
      </c>
      <c r="E7258" s="23">
        <v>796.73599999999999</v>
      </c>
      <c r="F7258" s="23">
        <v>0</v>
      </c>
      <c r="G7258" s="23">
        <v>0</v>
      </c>
      <c r="H7258" s="23">
        <v>0</v>
      </c>
      <c r="I7258" s="23">
        <v>629.62699999999995</v>
      </c>
      <c r="J7258" s="23">
        <v>0</v>
      </c>
      <c r="K7258" s="23">
        <v>0</v>
      </c>
    </row>
    <row r="7259" spans="1:11" x14ac:dyDescent="0.25">
      <c r="A7259">
        <v>7258</v>
      </c>
      <c r="B7259" s="23">
        <v>1434.290037</v>
      </c>
      <c r="C7259" s="23">
        <v>608.15</v>
      </c>
      <c r="D7259" s="23">
        <v>2377.143</v>
      </c>
      <c r="E7259" s="23">
        <v>1434.29</v>
      </c>
      <c r="F7259" s="23">
        <v>-942.85299999999995</v>
      </c>
      <c r="G7259" s="23">
        <v>0</v>
      </c>
      <c r="H7259" s="23">
        <v>0</v>
      </c>
      <c r="I7259" s="23">
        <v>0</v>
      </c>
      <c r="J7259" s="23">
        <v>0</v>
      </c>
      <c r="K7259" s="23">
        <v>0</v>
      </c>
    </row>
    <row r="7260" spans="1:11" x14ac:dyDescent="0.25">
      <c r="A7260">
        <v>7259</v>
      </c>
      <c r="B7260" s="23">
        <v>1329.045991</v>
      </c>
      <c r="C7260" s="23">
        <v>591.66</v>
      </c>
      <c r="D7260" s="23">
        <v>2285.8229999999999</v>
      </c>
      <c r="E7260" s="23">
        <v>1329.046</v>
      </c>
      <c r="F7260" s="23">
        <v>-956.77700000000004</v>
      </c>
      <c r="G7260" s="23">
        <v>0</v>
      </c>
      <c r="H7260" s="23">
        <v>0</v>
      </c>
      <c r="I7260" s="23">
        <v>0</v>
      </c>
      <c r="J7260" s="23">
        <v>0</v>
      </c>
      <c r="K7260" s="23">
        <v>0</v>
      </c>
    </row>
    <row r="7261" spans="1:11" x14ac:dyDescent="0.25">
      <c r="A7261">
        <v>7260</v>
      </c>
      <c r="B7261" s="23">
        <v>1071.6104379999999</v>
      </c>
      <c r="C7261" s="23">
        <v>579.78</v>
      </c>
      <c r="D7261" s="23">
        <v>2230.8029999999999</v>
      </c>
      <c r="E7261" s="23">
        <v>1071.6110000000001</v>
      </c>
      <c r="F7261" s="23">
        <v>-1159.192</v>
      </c>
      <c r="G7261" s="23">
        <v>0</v>
      </c>
      <c r="H7261" s="23">
        <v>0</v>
      </c>
      <c r="I7261" s="23">
        <v>0</v>
      </c>
      <c r="J7261" s="23">
        <v>0</v>
      </c>
      <c r="K7261" s="23">
        <v>0</v>
      </c>
    </row>
    <row r="7262" spans="1:11" x14ac:dyDescent="0.25">
      <c r="A7262">
        <v>7261</v>
      </c>
      <c r="B7262" s="23">
        <v>1688.5430570000001</v>
      </c>
      <c r="C7262" s="23">
        <v>485.84</v>
      </c>
      <c r="D7262" s="23">
        <v>1874.8610000000001</v>
      </c>
      <c r="E7262" s="23">
        <v>1688.5429999999999</v>
      </c>
      <c r="F7262" s="23">
        <v>-186.31800000000001</v>
      </c>
      <c r="G7262" s="23">
        <v>0</v>
      </c>
      <c r="H7262" s="23">
        <v>0</v>
      </c>
      <c r="I7262" s="23">
        <v>0</v>
      </c>
      <c r="J7262" s="23">
        <v>0</v>
      </c>
      <c r="K7262" s="23">
        <v>0</v>
      </c>
    </row>
    <row r="7263" spans="1:11" x14ac:dyDescent="0.25">
      <c r="A7263">
        <v>7262</v>
      </c>
      <c r="B7263" s="23">
        <v>1314.6289320000001</v>
      </c>
      <c r="C7263" s="23">
        <v>196.59</v>
      </c>
      <c r="D7263" s="23">
        <v>747.60400000000004</v>
      </c>
      <c r="E7263" s="23">
        <v>747.60400000000004</v>
      </c>
      <c r="F7263" s="23">
        <v>0</v>
      </c>
      <c r="G7263" s="23">
        <v>0</v>
      </c>
      <c r="H7263" s="23">
        <v>0</v>
      </c>
      <c r="I7263" s="23">
        <v>567.02499999999998</v>
      </c>
      <c r="J7263" s="23">
        <v>0</v>
      </c>
      <c r="K7263" s="23">
        <v>0</v>
      </c>
    </row>
    <row r="7264" spans="1:11" x14ac:dyDescent="0.25">
      <c r="A7264">
        <v>7263</v>
      </c>
      <c r="B7264" s="23">
        <v>1623.580342</v>
      </c>
      <c r="C7264" s="23">
        <v>188.41</v>
      </c>
      <c r="D7264" s="23">
        <v>727.62300000000005</v>
      </c>
      <c r="E7264" s="23">
        <v>727.62300000000005</v>
      </c>
      <c r="F7264" s="23">
        <v>0</v>
      </c>
      <c r="G7264" s="23">
        <v>0</v>
      </c>
      <c r="H7264" s="23">
        <v>0</v>
      </c>
      <c r="I7264" s="23">
        <v>895.95699999999999</v>
      </c>
      <c r="J7264" s="23">
        <v>0</v>
      </c>
      <c r="K7264" s="23">
        <v>0</v>
      </c>
    </row>
    <row r="7265" spans="1:11" x14ac:dyDescent="0.25">
      <c r="A7265">
        <v>7264</v>
      </c>
      <c r="B7265" s="23">
        <v>1596.3166100000001</v>
      </c>
      <c r="C7265" s="23">
        <v>81.44</v>
      </c>
      <c r="D7265" s="23">
        <v>297.75400000000002</v>
      </c>
      <c r="E7265" s="23">
        <v>297.75400000000002</v>
      </c>
      <c r="F7265" s="23">
        <v>0</v>
      </c>
      <c r="G7265" s="23">
        <v>0</v>
      </c>
      <c r="H7265" s="23">
        <v>0</v>
      </c>
      <c r="I7265" s="23">
        <v>1298.5619999999999</v>
      </c>
      <c r="J7265" s="23">
        <v>0</v>
      </c>
      <c r="K7265" s="23">
        <v>0</v>
      </c>
    </row>
    <row r="7266" spans="1:11" x14ac:dyDescent="0.25">
      <c r="A7266">
        <v>7265</v>
      </c>
      <c r="B7266" s="23">
        <v>1509.3432359999999</v>
      </c>
      <c r="C7266" s="23">
        <v>63.11</v>
      </c>
      <c r="D7266" s="23">
        <v>225.21199999999999</v>
      </c>
      <c r="E7266" s="23">
        <v>225.21199999999999</v>
      </c>
      <c r="F7266" s="23">
        <v>0</v>
      </c>
      <c r="G7266" s="23">
        <v>0</v>
      </c>
      <c r="H7266" s="23">
        <v>0</v>
      </c>
      <c r="I7266" s="23">
        <v>1284.1320000000001</v>
      </c>
      <c r="J7266" s="23">
        <v>0</v>
      </c>
      <c r="K7266" s="23">
        <v>0</v>
      </c>
    </row>
    <row r="7267" spans="1:11" x14ac:dyDescent="0.25">
      <c r="A7267">
        <v>7266</v>
      </c>
      <c r="B7267" s="23">
        <v>1577.5496680000001</v>
      </c>
      <c r="C7267" s="23">
        <v>1.96</v>
      </c>
      <c r="D7267" s="23">
        <v>0</v>
      </c>
      <c r="E7267" s="23">
        <v>0</v>
      </c>
      <c r="F7267" s="23">
        <v>0</v>
      </c>
      <c r="G7267" s="23">
        <v>0</v>
      </c>
      <c r="H7267" s="23">
        <v>0</v>
      </c>
      <c r="I7267" s="23">
        <v>0</v>
      </c>
      <c r="J7267" s="23">
        <v>0</v>
      </c>
      <c r="K7267" s="23">
        <v>1577.55</v>
      </c>
    </row>
    <row r="7268" spans="1:11" x14ac:dyDescent="0.25">
      <c r="A7268">
        <v>7267</v>
      </c>
      <c r="B7268" s="23">
        <v>1551.362967</v>
      </c>
      <c r="C7268" s="23">
        <v>0</v>
      </c>
      <c r="D7268" s="23">
        <v>0</v>
      </c>
      <c r="E7268" s="23">
        <v>0</v>
      </c>
      <c r="F7268" s="23">
        <v>0</v>
      </c>
      <c r="G7268" s="23">
        <v>0</v>
      </c>
      <c r="H7268" s="23">
        <v>0</v>
      </c>
      <c r="I7268" s="23">
        <v>0</v>
      </c>
      <c r="J7268" s="23">
        <v>0</v>
      </c>
      <c r="K7268" s="23">
        <v>1551.3630000000001</v>
      </c>
    </row>
    <row r="7269" spans="1:11" x14ac:dyDescent="0.25">
      <c r="A7269">
        <v>7268</v>
      </c>
      <c r="B7269" s="23">
        <v>1267.963111</v>
      </c>
      <c r="C7269" s="23">
        <v>0</v>
      </c>
      <c r="D7269" s="23">
        <v>0</v>
      </c>
      <c r="E7269" s="23">
        <v>0</v>
      </c>
      <c r="F7269" s="23">
        <v>0</v>
      </c>
      <c r="G7269" s="23">
        <v>0</v>
      </c>
      <c r="H7269" s="23">
        <v>0</v>
      </c>
      <c r="I7269" s="23">
        <v>0</v>
      </c>
      <c r="J7269" s="23">
        <v>0</v>
      </c>
      <c r="K7269" s="23">
        <v>1267.963</v>
      </c>
    </row>
    <row r="7270" spans="1:11" x14ac:dyDescent="0.25">
      <c r="A7270">
        <v>7269</v>
      </c>
      <c r="B7270" s="23">
        <v>1587.2847039999999</v>
      </c>
      <c r="C7270" s="23">
        <v>0</v>
      </c>
      <c r="D7270" s="23">
        <v>0</v>
      </c>
      <c r="E7270" s="23">
        <v>0</v>
      </c>
      <c r="F7270" s="23">
        <v>0</v>
      </c>
      <c r="G7270" s="23">
        <v>0</v>
      </c>
      <c r="H7270" s="23">
        <v>0</v>
      </c>
      <c r="I7270" s="23">
        <v>1587.2850000000001</v>
      </c>
      <c r="J7270" s="23">
        <v>0</v>
      </c>
      <c r="K7270" s="23">
        <v>0</v>
      </c>
    </row>
    <row r="7271" spans="1:11" x14ac:dyDescent="0.25">
      <c r="A7271">
        <v>7270</v>
      </c>
      <c r="B7271" s="23">
        <v>1797.834951</v>
      </c>
      <c r="C7271" s="23">
        <v>0</v>
      </c>
      <c r="D7271" s="23">
        <v>0</v>
      </c>
      <c r="E7271" s="23">
        <v>0</v>
      </c>
      <c r="F7271" s="23">
        <v>0</v>
      </c>
      <c r="G7271" s="23">
        <v>0</v>
      </c>
      <c r="H7271" s="23">
        <v>0</v>
      </c>
      <c r="I7271" s="23">
        <v>1797.835</v>
      </c>
      <c r="J7271" s="23">
        <v>0</v>
      </c>
      <c r="K7271" s="23">
        <v>0</v>
      </c>
    </row>
    <row r="7272" spans="1:11" x14ac:dyDescent="0.25">
      <c r="A7272">
        <v>7271</v>
      </c>
      <c r="B7272" s="23">
        <v>1567.0843110000001</v>
      </c>
      <c r="C7272" s="23">
        <v>0</v>
      </c>
      <c r="D7272" s="23">
        <v>0</v>
      </c>
      <c r="E7272" s="23">
        <v>0</v>
      </c>
      <c r="F7272" s="23">
        <v>0</v>
      </c>
      <c r="G7272" s="23">
        <v>0</v>
      </c>
      <c r="H7272" s="23">
        <v>0</v>
      </c>
      <c r="I7272" s="23">
        <v>1567.0840000000001</v>
      </c>
      <c r="J7272" s="23">
        <v>0</v>
      </c>
      <c r="K7272" s="23">
        <v>0</v>
      </c>
    </row>
    <row r="7273" spans="1:11" x14ac:dyDescent="0.25">
      <c r="A7273">
        <v>7272</v>
      </c>
      <c r="B7273" s="23">
        <v>1323.90266</v>
      </c>
      <c r="C7273" s="23">
        <v>0</v>
      </c>
      <c r="D7273" s="23">
        <v>0</v>
      </c>
      <c r="E7273" s="23">
        <v>0</v>
      </c>
      <c r="F7273" s="23">
        <v>0</v>
      </c>
      <c r="G7273" s="23">
        <v>0</v>
      </c>
      <c r="H7273" s="23">
        <v>0</v>
      </c>
      <c r="I7273" s="23">
        <v>1323.903</v>
      </c>
      <c r="J7273" s="23">
        <v>0</v>
      </c>
      <c r="K7273" s="23">
        <v>0</v>
      </c>
    </row>
    <row r="7274" spans="1:11" x14ac:dyDescent="0.25">
      <c r="A7274">
        <v>7273</v>
      </c>
      <c r="B7274" s="23">
        <v>1209.6927479999999</v>
      </c>
      <c r="C7274" s="23">
        <v>0</v>
      </c>
      <c r="D7274" s="23">
        <v>0</v>
      </c>
      <c r="E7274" s="23">
        <v>0</v>
      </c>
      <c r="F7274" s="23">
        <v>0</v>
      </c>
      <c r="G7274" s="23">
        <v>0</v>
      </c>
      <c r="H7274" s="23">
        <v>0</v>
      </c>
      <c r="I7274" s="23">
        <v>1209.693</v>
      </c>
      <c r="J7274" s="23">
        <v>0</v>
      </c>
      <c r="K7274" s="23">
        <v>0</v>
      </c>
    </row>
    <row r="7275" spans="1:11" x14ac:dyDescent="0.25">
      <c r="A7275">
        <v>7274</v>
      </c>
      <c r="B7275" s="23">
        <v>1199.592551</v>
      </c>
      <c r="C7275" s="23">
        <v>0</v>
      </c>
      <c r="D7275" s="23">
        <v>0</v>
      </c>
      <c r="E7275" s="23">
        <v>0</v>
      </c>
      <c r="F7275" s="23">
        <v>0</v>
      </c>
      <c r="G7275" s="23">
        <v>0</v>
      </c>
      <c r="H7275" s="23">
        <v>0</v>
      </c>
      <c r="I7275" s="23">
        <v>1199.5930000000001</v>
      </c>
      <c r="J7275" s="23">
        <v>0</v>
      </c>
      <c r="K7275" s="23">
        <v>0</v>
      </c>
    </row>
    <row r="7276" spans="1:11" x14ac:dyDescent="0.25">
      <c r="A7276">
        <v>7275</v>
      </c>
      <c r="B7276" s="23">
        <v>1285.8326890000001</v>
      </c>
      <c r="C7276" s="23">
        <v>0</v>
      </c>
      <c r="D7276" s="23">
        <v>0</v>
      </c>
      <c r="E7276" s="23">
        <v>0</v>
      </c>
      <c r="F7276" s="23">
        <v>0</v>
      </c>
      <c r="G7276" s="23">
        <v>0</v>
      </c>
      <c r="H7276" s="23">
        <v>0</v>
      </c>
      <c r="I7276" s="23">
        <v>1285.8330000000001</v>
      </c>
      <c r="J7276" s="23">
        <v>0</v>
      </c>
      <c r="K7276" s="23">
        <v>0</v>
      </c>
    </row>
    <row r="7277" spans="1:11" x14ac:dyDescent="0.25">
      <c r="A7277">
        <v>7276</v>
      </c>
      <c r="B7277" s="23">
        <v>1353.4263109999999</v>
      </c>
      <c r="C7277" s="23">
        <v>0</v>
      </c>
      <c r="D7277" s="23">
        <v>0</v>
      </c>
      <c r="E7277" s="23">
        <v>0</v>
      </c>
      <c r="F7277" s="23">
        <v>0</v>
      </c>
      <c r="G7277" s="23">
        <v>0</v>
      </c>
      <c r="H7277" s="23">
        <v>0</v>
      </c>
      <c r="I7277" s="23">
        <v>1353.4259999999999</v>
      </c>
      <c r="J7277" s="23">
        <v>0</v>
      </c>
      <c r="K7277" s="23">
        <v>0</v>
      </c>
    </row>
    <row r="7278" spans="1:11" x14ac:dyDescent="0.25">
      <c r="A7278">
        <v>7277</v>
      </c>
      <c r="B7278" s="23">
        <v>1157.63789</v>
      </c>
      <c r="C7278" s="23">
        <v>0</v>
      </c>
      <c r="D7278" s="23">
        <v>0</v>
      </c>
      <c r="E7278" s="23">
        <v>0</v>
      </c>
      <c r="F7278" s="23">
        <v>0</v>
      </c>
      <c r="G7278" s="23">
        <v>0</v>
      </c>
      <c r="H7278" s="23">
        <v>0</v>
      </c>
      <c r="I7278" s="23">
        <v>1157.6379999999999</v>
      </c>
      <c r="J7278" s="23">
        <v>0</v>
      </c>
      <c r="K7278" s="23">
        <v>0</v>
      </c>
    </row>
    <row r="7279" spans="1:11" x14ac:dyDescent="0.25">
      <c r="A7279">
        <v>7278</v>
      </c>
      <c r="B7279" s="23">
        <v>1076.059381</v>
      </c>
      <c r="C7279" s="23">
        <v>0</v>
      </c>
      <c r="D7279" s="23">
        <v>0</v>
      </c>
      <c r="E7279" s="23">
        <v>0</v>
      </c>
      <c r="F7279" s="23">
        <v>0</v>
      </c>
      <c r="G7279" s="23">
        <v>0</v>
      </c>
      <c r="H7279" s="23">
        <v>0</v>
      </c>
      <c r="I7279" s="23">
        <v>1076.059</v>
      </c>
      <c r="J7279" s="23">
        <v>0</v>
      </c>
      <c r="K7279" s="23">
        <v>0</v>
      </c>
    </row>
    <row r="7280" spans="1:11" x14ac:dyDescent="0.25">
      <c r="A7280">
        <v>7279</v>
      </c>
      <c r="B7280" s="23">
        <v>1040.5707870000001</v>
      </c>
      <c r="C7280" s="23">
        <v>122.71</v>
      </c>
      <c r="D7280" s="23">
        <v>417.476</v>
      </c>
      <c r="E7280" s="23">
        <v>417.476</v>
      </c>
      <c r="F7280" s="23">
        <v>0</v>
      </c>
      <c r="G7280" s="23">
        <v>0</v>
      </c>
      <c r="H7280" s="23">
        <v>0</v>
      </c>
      <c r="I7280" s="23">
        <v>623.09500000000003</v>
      </c>
      <c r="J7280" s="23">
        <v>0</v>
      </c>
      <c r="K7280" s="23">
        <v>0</v>
      </c>
    </row>
    <row r="7281" spans="1:11" x14ac:dyDescent="0.25">
      <c r="A7281">
        <v>7280</v>
      </c>
      <c r="B7281" s="23">
        <v>680.1870404</v>
      </c>
      <c r="C7281" s="23">
        <v>346</v>
      </c>
      <c r="D7281" s="23">
        <v>1386.165</v>
      </c>
      <c r="E7281" s="23">
        <v>680.18700000000001</v>
      </c>
      <c r="F7281" s="23">
        <v>-705.97799999999995</v>
      </c>
      <c r="G7281" s="23">
        <v>0</v>
      </c>
      <c r="H7281" s="23">
        <v>0</v>
      </c>
      <c r="I7281" s="23">
        <v>0</v>
      </c>
      <c r="J7281" s="23">
        <v>0</v>
      </c>
      <c r="K7281" s="23">
        <v>0</v>
      </c>
    </row>
    <row r="7282" spans="1:11" x14ac:dyDescent="0.25">
      <c r="A7282">
        <v>7281</v>
      </c>
      <c r="B7282" s="23">
        <v>1145.7167440000001</v>
      </c>
      <c r="C7282" s="23">
        <v>562.58000000000004</v>
      </c>
      <c r="D7282" s="23">
        <v>2223.953</v>
      </c>
      <c r="E7282" s="23">
        <v>1145.7170000000001</v>
      </c>
      <c r="F7282" s="23">
        <v>-1078.2360000000001</v>
      </c>
      <c r="G7282" s="23">
        <v>0</v>
      </c>
      <c r="H7282" s="23">
        <v>0</v>
      </c>
      <c r="I7282" s="23">
        <v>0</v>
      </c>
      <c r="J7282" s="23">
        <v>0</v>
      </c>
      <c r="K7282" s="23">
        <v>0</v>
      </c>
    </row>
    <row r="7283" spans="1:11" x14ac:dyDescent="0.25">
      <c r="A7283">
        <v>7282</v>
      </c>
      <c r="B7283" s="23">
        <v>1580.9303199999999</v>
      </c>
      <c r="C7283" s="23">
        <v>700.01</v>
      </c>
      <c r="D7283" s="23">
        <v>2702.2449999999999</v>
      </c>
      <c r="E7283" s="23">
        <v>1580.93</v>
      </c>
      <c r="F7283" s="23">
        <v>-1121.3150000000001</v>
      </c>
      <c r="G7283" s="23">
        <v>0</v>
      </c>
      <c r="H7283" s="23">
        <v>0</v>
      </c>
      <c r="I7283" s="23">
        <v>0</v>
      </c>
      <c r="J7283" s="23">
        <v>0</v>
      </c>
      <c r="K7283" s="23">
        <v>0</v>
      </c>
    </row>
    <row r="7284" spans="1:11" x14ac:dyDescent="0.25">
      <c r="A7284">
        <v>7283</v>
      </c>
      <c r="B7284" s="23">
        <v>1460.9438720000001</v>
      </c>
      <c r="C7284" s="23">
        <v>632.80999999999995</v>
      </c>
      <c r="D7284" s="23">
        <v>2403.9949999999999</v>
      </c>
      <c r="E7284" s="23">
        <v>1460.944</v>
      </c>
      <c r="F7284" s="23">
        <v>-943.05100000000004</v>
      </c>
      <c r="G7284" s="23">
        <v>0</v>
      </c>
      <c r="H7284" s="23">
        <v>0</v>
      </c>
      <c r="I7284" s="23">
        <v>0</v>
      </c>
      <c r="J7284" s="23">
        <v>0</v>
      </c>
      <c r="K7284" s="23">
        <v>0</v>
      </c>
    </row>
    <row r="7285" spans="1:11" x14ac:dyDescent="0.25">
      <c r="A7285">
        <v>7284</v>
      </c>
      <c r="B7285" s="23">
        <v>1561.3106889999999</v>
      </c>
      <c r="C7285" s="23">
        <v>586.59</v>
      </c>
      <c r="D7285" s="23">
        <v>2220.2800000000002</v>
      </c>
      <c r="E7285" s="23">
        <v>1561.3109999999999</v>
      </c>
      <c r="F7285" s="23">
        <v>-658.96900000000005</v>
      </c>
      <c r="G7285" s="23">
        <v>0</v>
      </c>
      <c r="H7285" s="23">
        <v>0</v>
      </c>
      <c r="I7285" s="23">
        <v>0</v>
      </c>
      <c r="J7285" s="23">
        <v>0</v>
      </c>
      <c r="K7285" s="23">
        <v>0</v>
      </c>
    </row>
    <row r="7286" spans="1:11" x14ac:dyDescent="0.25">
      <c r="A7286">
        <v>7285</v>
      </c>
      <c r="B7286" s="23">
        <v>1658.8698449999999</v>
      </c>
      <c r="C7286" s="23">
        <v>646.63</v>
      </c>
      <c r="D7286" s="23">
        <v>2446.1579999999999</v>
      </c>
      <c r="E7286" s="23">
        <v>1658.87</v>
      </c>
      <c r="F7286" s="23">
        <v>-787.28800000000001</v>
      </c>
      <c r="G7286" s="23">
        <v>0</v>
      </c>
      <c r="H7286" s="23">
        <v>0</v>
      </c>
      <c r="I7286" s="23">
        <v>0</v>
      </c>
      <c r="J7286" s="23">
        <v>0</v>
      </c>
      <c r="K7286" s="23">
        <v>0</v>
      </c>
    </row>
    <row r="7287" spans="1:11" x14ac:dyDescent="0.25">
      <c r="A7287">
        <v>7286</v>
      </c>
      <c r="B7287" s="23">
        <v>1697.236024</v>
      </c>
      <c r="C7287" s="23">
        <v>335.97</v>
      </c>
      <c r="D7287" s="23">
        <v>1287.9480000000001</v>
      </c>
      <c r="E7287" s="23">
        <v>1287.9480000000001</v>
      </c>
      <c r="F7287" s="23">
        <v>0</v>
      </c>
      <c r="G7287" s="23">
        <v>0</v>
      </c>
      <c r="H7287" s="23">
        <v>0</v>
      </c>
      <c r="I7287" s="23">
        <v>409.28800000000001</v>
      </c>
      <c r="J7287" s="23">
        <v>0</v>
      </c>
      <c r="K7287" s="23">
        <v>0</v>
      </c>
    </row>
    <row r="7288" spans="1:11" x14ac:dyDescent="0.25">
      <c r="A7288">
        <v>7287</v>
      </c>
      <c r="B7288" s="23">
        <v>1609.0447999999999</v>
      </c>
      <c r="C7288" s="23">
        <v>522.66</v>
      </c>
      <c r="D7288" s="23">
        <v>2037.8510000000001</v>
      </c>
      <c r="E7288" s="23">
        <v>1609.0450000000001</v>
      </c>
      <c r="F7288" s="23">
        <v>-428.80599999999998</v>
      </c>
      <c r="G7288" s="23">
        <v>0</v>
      </c>
      <c r="H7288" s="23">
        <v>0</v>
      </c>
      <c r="I7288" s="23">
        <v>0</v>
      </c>
      <c r="J7288" s="23">
        <v>0</v>
      </c>
      <c r="K7288" s="23">
        <v>0</v>
      </c>
    </row>
    <row r="7289" spans="1:11" x14ac:dyDescent="0.25">
      <c r="A7289">
        <v>7288</v>
      </c>
      <c r="B7289" s="23">
        <v>1884.7238319999999</v>
      </c>
      <c r="C7289" s="23">
        <v>52.98</v>
      </c>
      <c r="D7289" s="23">
        <v>181.571</v>
      </c>
      <c r="E7289" s="23">
        <v>181.571</v>
      </c>
      <c r="F7289" s="23">
        <v>0</v>
      </c>
      <c r="G7289" s="23">
        <v>0</v>
      </c>
      <c r="H7289" s="23">
        <v>0</v>
      </c>
      <c r="I7289" s="23">
        <v>1703.153</v>
      </c>
      <c r="J7289" s="23">
        <v>0</v>
      </c>
      <c r="K7289" s="23">
        <v>0</v>
      </c>
    </row>
    <row r="7290" spans="1:11" x14ac:dyDescent="0.25">
      <c r="A7290">
        <v>7289</v>
      </c>
      <c r="B7290" s="23">
        <v>1429.3409409999999</v>
      </c>
      <c r="C7290" s="23">
        <v>95.01</v>
      </c>
      <c r="D7290" s="23">
        <v>348.03800000000001</v>
      </c>
      <c r="E7290" s="23">
        <v>348.03800000000001</v>
      </c>
      <c r="F7290" s="23">
        <v>0</v>
      </c>
      <c r="G7290" s="23">
        <v>0</v>
      </c>
      <c r="H7290" s="23">
        <v>0</v>
      </c>
      <c r="I7290" s="23">
        <v>1081.3030000000001</v>
      </c>
      <c r="J7290" s="23">
        <v>0</v>
      </c>
      <c r="K7290" s="23">
        <v>0</v>
      </c>
    </row>
    <row r="7291" spans="1:11" x14ac:dyDescent="0.25">
      <c r="A7291">
        <v>7290</v>
      </c>
      <c r="B7291" s="23">
        <v>1778.5901919999999</v>
      </c>
      <c r="C7291" s="23">
        <v>4.26</v>
      </c>
      <c r="D7291" s="23">
        <v>0</v>
      </c>
      <c r="E7291" s="23">
        <v>0</v>
      </c>
      <c r="F7291" s="23">
        <v>0</v>
      </c>
      <c r="G7291" s="23">
        <v>0</v>
      </c>
      <c r="H7291" s="23">
        <v>0</v>
      </c>
      <c r="I7291" s="23">
        <v>94.031000000000006</v>
      </c>
      <c r="J7291" s="23">
        <v>0</v>
      </c>
      <c r="K7291" s="23">
        <v>1684.559</v>
      </c>
    </row>
    <row r="7292" spans="1:11" x14ac:dyDescent="0.25">
      <c r="A7292">
        <v>7291</v>
      </c>
      <c r="B7292" s="23">
        <v>1691.5158160000001</v>
      </c>
      <c r="C7292" s="23">
        <v>0</v>
      </c>
      <c r="D7292" s="23">
        <v>0</v>
      </c>
      <c r="E7292" s="23">
        <v>0</v>
      </c>
      <c r="F7292" s="23">
        <v>0</v>
      </c>
      <c r="G7292" s="23">
        <v>0</v>
      </c>
      <c r="H7292" s="23">
        <v>0</v>
      </c>
      <c r="I7292" s="23">
        <v>6.9560000000000004</v>
      </c>
      <c r="J7292" s="23">
        <v>0</v>
      </c>
      <c r="K7292" s="23">
        <v>1684.559</v>
      </c>
    </row>
    <row r="7293" spans="1:11" x14ac:dyDescent="0.25">
      <c r="A7293">
        <v>7292</v>
      </c>
      <c r="B7293" s="23">
        <v>1294.379009</v>
      </c>
      <c r="C7293" s="23">
        <v>0</v>
      </c>
      <c r="D7293" s="23">
        <v>0</v>
      </c>
      <c r="E7293" s="23">
        <v>0</v>
      </c>
      <c r="F7293" s="23">
        <v>0</v>
      </c>
      <c r="G7293" s="23">
        <v>0</v>
      </c>
      <c r="H7293" s="23">
        <v>0</v>
      </c>
      <c r="I7293" s="23">
        <v>0</v>
      </c>
      <c r="J7293" s="23">
        <v>0</v>
      </c>
      <c r="K7293" s="23">
        <v>1294.3789999999999</v>
      </c>
    </row>
    <row r="7294" spans="1:11" x14ac:dyDescent="0.25">
      <c r="A7294">
        <v>7293</v>
      </c>
      <c r="B7294" s="23">
        <v>1858.4361289999999</v>
      </c>
      <c r="C7294" s="23">
        <v>0</v>
      </c>
      <c r="D7294" s="23">
        <v>0</v>
      </c>
      <c r="E7294" s="23">
        <v>0</v>
      </c>
      <c r="F7294" s="23">
        <v>0</v>
      </c>
      <c r="G7294" s="23">
        <v>0</v>
      </c>
      <c r="H7294" s="23">
        <v>0</v>
      </c>
      <c r="I7294" s="23">
        <v>1858.4359999999999</v>
      </c>
      <c r="J7294" s="23">
        <v>0</v>
      </c>
      <c r="K7294" s="23">
        <v>0</v>
      </c>
    </row>
    <row r="7295" spans="1:11" x14ac:dyDescent="0.25">
      <c r="A7295">
        <v>7294</v>
      </c>
      <c r="B7295" s="23">
        <v>1860.7669430000001</v>
      </c>
      <c r="C7295" s="23">
        <v>0</v>
      </c>
      <c r="D7295" s="23">
        <v>0</v>
      </c>
      <c r="E7295" s="23">
        <v>0</v>
      </c>
      <c r="F7295" s="23">
        <v>0</v>
      </c>
      <c r="G7295" s="23">
        <v>0</v>
      </c>
      <c r="H7295" s="23">
        <v>0</v>
      </c>
      <c r="I7295" s="23">
        <v>1860.7670000000001</v>
      </c>
      <c r="J7295" s="23">
        <v>0</v>
      </c>
      <c r="K7295" s="23">
        <v>0</v>
      </c>
    </row>
    <row r="7296" spans="1:11" x14ac:dyDescent="0.25">
      <c r="A7296">
        <v>7295</v>
      </c>
      <c r="B7296" s="23">
        <v>1745.780092</v>
      </c>
      <c r="C7296" s="23">
        <v>0</v>
      </c>
      <c r="D7296" s="23">
        <v>0</v>
      </c>
      <c r="E7296" s="23">
        <v>0</v>
      </c>
      <c r="F7296" s="23">
        <v>0</v>
      </c>
      <c r="G7296" s="23">
        <v>0</v>
      </c>
      <c r="H7296" s="23">
        <v>0</v>
      </c>
      <c r="I7296" s="23">
        <v>1745.78</v>
      </c>
      <c r="J7296" s="23">
        <v>0</v>
      </c>
      <c r="K7296" s="23">
        <v>0</v>
      </c>
    </row>
    <row r="7297" spans="1:11" x14ac:dyDescent="0.25">
      <c r="A7297">
        <v>7296</v>
      </c>
      <c r="B7297" s="23">
        <v>1270.2939260000001</v>
      </c>
      <c r="C7297" s="23">
        <v>0</v>
      </c>
      <c r="D7297" s="23">
        <v>0</v>
      </c>
      <c r="E7297" s="23">
        <v>0</v>
      </c>
      <c r="F7297" s="23">
        <v>0</v>
      </c>
      <c r="G7297" s="23">
        <v>0</v>
      </c>
      <c r="H7297" s="23">
        <v>0</v>
      </c>
      <c r="I7297" s="23">
        <v>1270.2940000000001</v>
      </c>
      <c r="J7297" s="23">
        <v>0</v>
      </c>
      <c r="K7297" s="23">
        <v>0</v>
      </c>
    </row>
    <row r="7298" spans="1:11" x14ac:dyDescent="0.25">
      <c r="A7298">
        <v>7297</v>
      </c>
      <c r="B7298" s="23">
        <v>979.2</v>
      </c>
      <c r="C7298" s="23">
        <v>0</v>
      </c>
      <c r="D7298" s="23">
        <v>0</v>
      </c>
      <c r="E7298" s="23">
        <v>0</v>
      </c>
      <c r="F7298" s="23">
        <v>0</v>
      </c>
      <c r="G7298" s="23">
        <v>0</v>
      </c>
      <c r="H7298" s="23">
        <v>0</v>
      </c>
      <c r="I7298" s="23">
        <v>979.2</v>
      </c>
      <c r="J7298" s="23">
        <v>0</v>
      </c>
      <c r="K7298" s="23">
        <v>0</v>
      </c>
    </row>
    <row r="7299" spans="1:11" x14ac:dyDescent="0.25">
      <c r="A7299">
        <v>7298</v>
      </c>
      <c r="B7299" s="23">
        <v>1126.4000000000001</v>
      </c>
      <c r="C7299" s="23">
        <v>0</v>
      </c>
      <c r="D7299" s="23">
        <v>0</v>
      </c>
      <c r="E7299" s="23">
        <v>0</v>
      </c>
      <c r="F7299" s="23">
        <v>0</v>
      </c>
      <c r="G7299" s="23">
        <v>0</v>
      </c>
      <c r="H7299" s="23">
        <v>0</v>
      </c>
      <c r="I7299" s="23">
        <v>1126.4000000000001</v>
      </c>
      <c r="J7299" s="23">
        <v>0</v>
      </c>
      <c r="K7299" s="23">
        <v>0</v>
      </c>
    </row>
    <row r="7300" spans="1:11" x14ac:dyDescent="0.25">
      <c r="A7300">
        <v>7299</v>
      </c>
      <c r="B7300" s="23">
        <v>942.4</v>
      </c>
      <c r="C7300" s="23">
        <v>0</v>
      </c>
      <c r="D7300" s="23">
        <v>0</v>
      </c>
      <c r="E7300" s="23">
        <v>0</v>
      </c>
      <c r="F7300" s="23">
        <v>0</v>
      </c>
      <c r="G7300" s="23">
        <v>0</v>
      </c>
      <c r="H7300" s="23">
        <v>0</v>
      </c>
      <c r="I7300" s="23">
        <v>942.4</v>
      </c>
      <c r="J7300" s="23">
        <v>0</v>
      </c>
      <c r="K7300" s="23">
        <v>0</v>
      </c>
    </row>
    <row r="7301" spans="1:11" x14ac:dyDescent="0.25">
      <c r="A7301">
        <v>7300</v>
      </c>
      <c r="B7301" s="23">
        <v>1153.5999999999999</v>
      </c>
      <c r="C7301" s="23">
        <v>0</v>
      </c>
      <c r="D7301" s="23">
        <v>0</v>
      </c>
      <c r="E7301" s="23">
        <v>0</v>
      </c>
      <c r="F7301" s="23">
        <v>0</v>
      </c>
      <c r="G7301" s="23">
        <v>0</v>
      </c>
      <c r="H7301" s="23">
        <v>0</v>
      </c>
      <c r="I7301" s="23">
        <v>1153.5999999999999</v>
      </c>
      <c r="J7301" s="23">
        <v>0</v>
      </c>
      <c r="K7301" s="23">
        <v>0</v>
      </c>
    </row>
    <row r="7302" spans="1:11" x14ac:dyDescent="0.25">
      <c r="A7302">
        <v>7301</v>
      </c>
      <c r="B7302" s="23">
        <v>813.6</v>
      </c>
      <c r="C7302" s="23">
        <v>0</v>
      </c>
      <c r="D7302" s="23">
        <v>0</v>
      </c>
      <c r="E7302" s="23">
        <v>0</v>
      </c>
      <c r="F7302" s="23">
        <v>0</v>
      </c>
      <c r="G7302" s="23">
        <v>0</v>
      </c>
      <c r="H7302" s="23">
        <v>0</v>
      </c>
      <c r="I7302" s="23">
        <v>813.6</v>
      </c>
      <c r="J7302" s="23">
        <v>0</v>
      </c>
      <c r="K7302" s="23">
        <v>0</v>
      </c>
    </row>
    <row r="7303" spans="1:11" x14ac:dyDescent="0.25">
      <c r="A7303">
        <v>7302</v>
      </c>
      <c r="B7303" s="23">
        <v>752.8</v>
      </c>
      <c r="C7303" s="23">
        <v>0</v>
      </c>
      <c r="D7303" s="23">
        <v>0</v>
      </c>
      <c r="E7303" s="23">
        <v>0</v>
      </c>
      <c r="F7303" s="23">
        <v>0</v>
      </c>
      <c r="G7303" s="23">
        <v>0</v>
      </c>
      <c r="H7303" s="23">
        <v>0</v>
      </c>
      <c r="I7303" s="23">
        <v>752.8</v>
      </c>
      <c r="J7303" s="23">
        <v>0</v>
      </c>
      <c r="K7303" s="23">
        <v>0</v>
      </c>
    </row>
    <row r="7304" spans="1:11" x14ac:dyDescent="0.25">
      <c r="A7304">
        <v>7303</v>
      </c>
      <c r="B7304" s="23">
        <v>972.16499999999996</v>
      </c>
      <c r="C7304" s="23">
        <v>83.85</v>
      </c>
      <c r="D7304" s="23">
        <v>292.63</v>
      </c>
      <c r="E7304" s="23">
        <v>292.63</v>
      </c>
      <c r="F7304" s="23">
        <v>0</v>
      </c>
      <c r="G7304" s="23">
        <v>0</v>
      </c>
      <c r="H7304" s="23">
        <v>0</v>
      </c>
      <c r="I7304" s="23">
        <v>232.608</v>
      </c>
      <c r="J7304" s="23">
        <v>0</v>
      </c>
      <c r="K7304" s="23">
        <v>446.92700000000002</v>
      </c>
    </row>
    <row r="7305" spans="1:11" x14ac:dyDescent="0.25">
      <c r="A7305">
        <v>7304</v>
      </c>
      <c r="B7305" s="23">
        <v>714.13</v>
      </c>
      <c r="C7305" s="23">
        <v>118.74</v>
      </c>
      <c r="D7305" s="23">
        <v>453.01600000000002</v>
      </c>
      <c r="E7305" s="23">
        <v>453.01600000000002</v>
      </c>
      <c r="F7305" s="23">
        <v>0</v>
      </c>
      <c r="G7305" s="23">
        <v>0</v>
      </c>
      <c r="H7305" s="23">
        <v>0</v>
      </c>
      <c r="I7305" s="23">
        <v>0</v>
      </c>
      <c r="J7305" s="23">
        <v>0</v>
      </c>
      <c r="K7305" s="23">
        <v>261.11399999999998</v>
      </c>
    </row>
    <row r="7306" spans="1:11" x14ac:dyDescent="0.25">
      <c r="A7306">
        <v>7305</v>
      </c>
      <c r="B7306" s="23">
        <v>999.303</v>
      </c>
      <c r="C7306" s="23">
        <v>360.31</v>
      </c>
      <c r="D7306" s="23">
        <v>1418.135</v>
      </c>
      <c r="E7306" s="23">
        <v>999.303</v>
      </c>
      <c r="F7306" s="23">
        <v>-418.83199999999999</v>
      </c>
      <c r="G7306" s="23">
        <v>0</v>
      </c>
      <c r="H7306" s="23">
        <v>0</v>
      </c>
      <c r="I7306" s="23">
        <v>0</v>
      </c>
      <c r="J7306" s="23">
        <v>0</v>
      </c>
      <c r="K7306" s="23">
        <v>0</v>
      </c>
    </row>
    <row r="7307" spans="1:11" x14ac:dyDescent="0.25">
      <c r="A7307">
        <v>7306</v>
      </c>
      <c r="B7307" s="23">
        <v>1215.461</v>
      </c>
      <c r="C7307" s="23">
        <v>671.32</v>
      </c>
      <c r="D7307" s="23">
        <v>2576.9029999999998</v>
      </c>
      <c r="E7307" s="23">
        <v>1215.461</v>
      </c>
      <c r="F7307" s="23">
        <v>-1361.442</v>
      </c>
      <c r="G7307" s="23">
        <v>0</v>
      </c>
      <c r="H7307" s="23">
        <v>0</v>
      </c>
      <c r="I7307" s="23">
        <v>0</v>
      </c>
      <c r="J7307" s="23">
        <v>0</v>
      </c>
      <c r="K7307" s="23">
        <v>0</v>
      </c>
    </row>
    <row r="7308" spans="1:11" x14ac:dyDescent="0.25">
      <c r="A7308">
        <v>7307</v>
      </c>
      <c r="B7308" s="23">
        <v>1450.7619999999999</v>
      </c>
      <c r="C7308" s="23">
        <v>927.84</v>
      </c>
      <c r="D7308" s="23">
        <v>3414.8150000000001</v>
      </c>
      <c r="E7308" s="23">
        <v>1450.7619999999999</v>
      </c>
      <c r="F7308" s="23">
        <v>-1684.559</v>
      </c>
      <c r="G7308" s="23">
        <v>0</v>
      </c>
      <c r="H7308" s="23">
        <v>279.49400000000003</v>
      </c>
      <c r="I7308" s="23">
        <v>0</v>
      </c>
      <c r="J7308" s="23">
        <v>0</v>
      </c>
      <c r="K7308" s="23">
        <v>0</v>
      </c>
    </row>
    <row r="7309" spans="1:11" x14ac:dyDescent="0.25">
      <c r="A7309">
        <v>7308</v>
      </c>
      <c r="B7309" s="23">
        <v>1203.0899999999999</v>
      </c>
      <c r="C7309" s="23">
        <v>831.32</v>
      </c>
      <c r="D7309" s="23">
        <v>3035.0340000000001</v>
      </c>
      <c r="E7309" s="23">
        <v>1203.0909999999999</v>
      </c>
      <c r="F7309" s="23">
        <v>-1684.559</v>
      </c>
      <c r="G7309" s="23">
        <v>0</v>
      </c>
      <c r="H7309" s="23">
        <v>147.38399999999999</v>
      </c>
      <c r="I7309" s="23">
        <v>0</v>
      </c>
      <c r="J7309" s="23">
        <v>0</v>
      </c>
      <c r="K7309" s="23">
        <v>0</v>
      </c>
    </row>
    <row r="7310" spans="1:11" x14ac:dyDescent="0.25">
      <c r="A7310">
        <v>7309</v>
      </c>
      <c r="B7310" s="23">
        <v>1458.605</v>
      </c>
      <c r="C7310" s="23">
        <v>662.5</v>
      </c>
      <c r="D7310" s="23">
        <v>2435.268</v>
      </c>
      <c r="E7310" s="23">
        <v>1458.605</v>
      </c>
      <c r="F7310" s="23">
        <v>-976.66300000000001</v>
      </c>
      <c r="G7310" s="23">
        <v>0</v>
      </c>
      <c r="H7310" s="23">
        <v>0</v>
      </c>
      <c r="I7310" s="23">
        <v>0</v>
      </c>
      <c r="J7310" s="23">
        <v>0</v>
      </c>
      <c r="K7310" s="23">
        <v>0</v>
      </c>
    </row>
    <row r="7311" spans="1:11" x14ac:dyDescent="0.25">
      <c r="A7311">
        <v>7310</v>
      </c>
      <c r="B7311" s="23">
        <v>1394.271</v>
      </c>
      <c r="C7311" s="23">
        <v>597.71</v>
      </c>
      <c r="D7311" s="23">
        <v>2206.4299999999998</v>
      </c>
      <c r="E7311" s="23">
        <v>1394.271</v>
      </c>
      <c r="F7311" s="23">
        <v>-812.15899999999999</v>
      </c>
      <c r="G7311" s="23">
        <v>0</v>
      </c>
      <c r="H7311" s="23">
        <v>0</v>
      </c>
      <c r="I7311" s="23">
        <v>0</v>
      </c>
      <c r="J7311" s="23">
        <v>0</v>
      </c>
      <c r="K7311" s="23">
        <v>0</v>
      </c>
    </row>
    <row r="7312" spans="1:11" x14ac:dyDescent="0.25">
      <c r="A7312">
        <v>7311</v>
      </c>
      <c r="B7312" s="23">
        <v>1158.3900000000001</v>
      </c>
      <c r="C7312" s="23">
        <v>477.03</v>
      </c>
      <c r="D7312" s="23">
        <v>1817.1590000000001</v>
      </c>
      <c r="E7312" s="23">
        <v>1158.3900000000001</v>
      </c>
      <c r="F7312" s="23">
        <v>-353.28199999999998</v>
      </c>
      <c r="G7312" s="23">
        <v>0</v>
      </c>
      <c r="H7312" s="23">
        <v>305.48700000000002</v>
      </c>
      <c r="I7312" s="23">
        <v>0</v>
      </c>
      <c r="J7312" s="23">
        <v>0</v>
      </c>
      <c r="K7312" s="23">
        <v>0</v>
      </c>
    </row>
    <row r="7313" spans="1:11" x14ac:dyDescent="0.25">
      <c r="A7313">
        <v>7312</v>
      </c>
      <c r="B7313" s="23">
        <v>1214.1890000000001</v>
      </c>
      <c r="C7313" s="23">
        <v>361.53</v>
      </c>
      <c r="D7313" s="23">
        <v>1415.232</v>
      </c>
      <c r="E7313" s="23">
        <v>1214.1890000000001</v>
      </c>
      <c r="F7313" s="23">
        <v>0</v>
      </c>
      <c r="G7313" s="23">
        <v>0</v>
      </c>
      <c r="H7313" s="23">
        <v>201.04300000000001</v>
      </c>
      <c r="I7313" s="23">
        <v>0</v>
      </c>
      <c r="J7313" s="23">
        <v>0</v>
      </c>
      <c r="K7313" s="23">
        <v>0</v>
      </c>
    </row>
    <row r="7314" spans="1:11" x14ac:dyDescent="0.25">
      <c r="A7314">
        <v>7313</v>
      </c>
      <c r="B7314" s="23">
        <v>1159.9559999999999</v>
      </c>
      <c r="C7314" s="23">
        <v>154.49</v>
      </c>
      <c r="D7314" s="23">
        <v>557.80899999999997</v>
      </c>
      <c r="E7314" s="23">
        <v>557.80899999999997</v>
      </c>
      <c r="F7314" s="23">
        <v>0</v>
      </c>
      <c r="G7314" s="23">
        <v>0</v>
      </c>
      <c r="H7314" s="23">
        <v>0</v>
      </c>
      <c r="I7314" s="23">
        <v>602.14700000000005</v>
      </c>
      <c r="J7314" s="23">
        <v>0</v>
      </c>
      <c r="K7314" s="23">
        <v>0</v>
      </c>
    </row>
    <row r="7315" spans="1:11" x14ac:dyDescent="0.25">
      <c r="A7315">
        <v>7314</v>
      </c>
      <c r="B7315" s="23">
        <v>1375.5229999999999</v>
      </c>
      <c r="C7315" s="23">
        <v>2.94</v>
      </c>
      <c r="D7315" s="23">
        <v>0</v>
      </c>
      <c r="E7315" s="23">
        <v>0</v>
      </c>
      <c r="F7315" s="23">
        <v>0</v>
      </c>
      <c r="G7315" s="23">
        <v>0</v>
      </c>
      <c r="H7315" s="23">
        <v>0</v>
      </c>
      <c r="I7315" s="23">
        <v>0</v>
      </c>
      <c r="J7315" s="23">
        <v>0</v>
      </c>
      <c r="K7315" s="23">
        <v>1375.5229999999999</v>
      </c>
    </row>
    <row r="7316" spans="1:11" x14ac:dyDescent="0.25">
      <c r="A7316">
        <v>7315</v>
      </c>
      <c r="B7316" s="23">
        <v>1310.4000000000001</v>
      </c>
      <c r="C7316" s="23">
        <v>0</v>
      </c>
      <c r="D7316" s="23">
        <v>0</v>
      </c>
      <c r="E7316" s="23">
        <v>0</v>
      </c>
      <c r="F7316" s="23">
        <v>0</v>
      </c>
      <c r="G7316" s="23">
        <v>0</v>
      </c>
      <c r="H7316" s="23">
        <v>0</v>
      </c>
      <c r="I7316" s="23">
        <v>0</v>
      </c>
      <c r="J7316" s="23">
        <v>0</v>
      </c>
      <c r="K7316" s="23">
        <v>1310.4000000000001</v>
      </c>
    </row>
    <row r="7317" spans="1:11" x14ac:dyDescent="0.25">
      <c r="A7317">
        <v>7316</v>
      </c>
      <c r="B7317" s="23">
        <v>1376</v>
      </c>
      <c r="C7317" s="23">
        <v>0</v>
      </c>
      <c r="D7317" s="23">
        <v>0</v>
      </c>
      <c r="E7317" s="23">
        <v>0</v>
      </c>
      <c r="F7317" s="23">
        <v>0</v>
      </c>
      <c r="G7317" s="23">
        <v>0</v>
      </c>
      <c r="H7317" s="23">
        <v>0</v>
      </c>
      <c r="I7317" s="23">
        <v>0</v>
      </c>
      <c r="J7317" s="23">
        <v>0</v>
      </c>
      <c r="K7317" s="23">
        <v>1376</v>
      </c>
    </row>
    <row r="7318" spans="1:11" x14ac:dyDescent="0.25">
      <c r="A7318">
        <v>7317</v>
      </c>
      <c r="B7318" s="23">
        <v>1444</v>
      </c>
      <c r="C7318" s="23">
        <v>0</v>
      </c>
      <c r="D7318" s="23">
        <v>0</v>
      </c>
      <c r="E7318" s="23">
        <v>0</v>
      </c>
      <c r="F7318" s="23">
        <v>0</v>
      </c>
      <c r="G7318" s="23">
        <v>0</v>
      </c>
      <c r="H7318" s="23">
        <v>0</v>
      </c>
      <c r="I7318" s="23">
        <v>1444</v>
      </c>
      <c r="J7318" s="23">
        <v>0</v>
      </c>
      <c r="K7318" s="23">
        <v>0</v>
      </c>
    </row>
    <row r="7319" spans="1:11" x14ac:dyDescent="0.25">
      <c r="A7319">
        <v>7318</v>
      </c>
      <c r="B7319" s="23">
        <v>890.4</v>
      </c>
      <c r="C7319" s="23">
        <v>0</v>
      </c>
      <c r="D7319" s="23">
        <v>0</v>
      </c>
      <c r="E7319" s="23">
        <v>0</v>
      </c>
      <c r="F7319" s="23">
        <v>0</v>
      </c>
      <c r="G7319" s="23">
        <v>0</v>
      </c>
      <c r="H7319" s="23">
        <v>0</v>
      </c>
      <c r="I7319" s="23">
        <v>890.4</v>
      </c>
      <c r="J7319" s="23">
        <v>0</v>
      </c>
      <c r="K7319" s="23">
        <v>0</v>
      </c>
    </row>
    <row r="7320" spans="1:11" x14ac:dyDescent="0.25">
      <c r="A7320">
        <v>7319</v>
      </c>
      <c r="B7320" s="23">
        <v>1152</v>
      </c>
      <c r="C7320" s="23">
        <v>0</v>
      </c>
      <c r="D7320" s="23">
        <v>0</v>
      </c>
      <c r="E7320" s="23">
        <v>0</v>
      </c>
      <c r="F7320" s="23">
        <v>0</v>
      </c>
      <c r="G7320" s="23">
        <v>0</v>
      </c>
      <c r="H7320" s="23">
        <v>0</v>
      </c>
      <c r="I7320" s="23">
        <v>1152</v>
      </c>
      <c r="J7320" s="23">
        <v>0</v>
      </c>
      <c r="K7320" s="23">
        <v>0</v>
      </c>
    </row>
    <row r="7321" spans="1:11" x14ac:dyDescent="0.25">
      <c r="A7321">
        <v>7320</v>
      </c>
      <c r="B7321" s="23">
        <v>1338.4</v>
      </c>
      <c r="C7321" s="23">
        <v>0</v>
      </c>
      <c r="D7321" s="23">
        <v>0</v>
      </c>
      <c r="E7321" s="23">
        <v>0</v>
      </c>
      <c r="F7321" s="23">
        <v>0</v>
      </c>
      <c r="G7321" s="23">
        <v>0</v>
      </c>
      <c r="H7321" s="23">
        <v>0</v>
      </c>
      <c r="I7321" s="23">
        <v>1338.4</v>
      </c>
      <c r="J7321" s="23">
        <v>0</v>
      </c>
      <c r="K7321" s="23">
        <v>0</v>
      </c>
    </row>
    <row r="7322" spans="1:11" x14ac:dyDescent="0.25">
      <c r="A7322">
        <v>7321</v>
      </c>
      <c r="B7322" s="23">
        <v>1149.5999999999999</v>
      </c>
      <c r="C7322" s="23">
        <v>0</v>
      </c>
      <c r="D7322" s="23">
        <v>0</v>
      </c>
      <c r="E7322" s="23">
        <v>0</v>
      </c>
      <c r="F7322" s="23">
        <v>0</v>
      </c>
      <c r="G7322" s="23">
        <v>0</v>
      </c>
      <c r="H7322" s="23">
        <v>0</v>
      </c>
      <c r="I7322" s="23">
        <v>1149.5999999999999</v>
      </c>
      <c r="J7322" s="23">
        <v>0</v>
      </c>
      <c r="K7322" s="23">
        <v>0</v>
      </c>
    </row>
    <row r="7323" spans="1:11" x14ac:dyDescent="0.25">
      <c r="A7323">
        <v>7322</v>
      </c>
      <c r="B7323" s="23">
        <v>1115.2</v>
      </c>
      <c r="C7323" s="23">
        <v>0</v>
      </c>
      <c r="D7323" s="23">
        <v>0</v>
      </c>
      <c r="E7323" s="23">
        <v>0</v>
      </c>
      <c r="F7323" s="23">
        <v>0</v>
      </c>
      <c r="G7323" s="23">
        <v>0</v>
      </c>
      <c r="H7323" s="23">
        <v>0</v>
      </c>
      <c r="I7323" s="23">
        <v>1115.2</v>
      </c>
      <c r="J7323" s="23">
        <v>0</v>
      </c>
      <c r="K7323" s="23">
        <v>0</v>
      </c>
    </row>
    <row r="7324" spans="1:11" x14ac:dyDescent="0.25">
      <c r="A7324">
        <v>7323</v>
      </c>
      <c r="B7324" s="23">
        <v>995.2</v>
      </c>
      <c r="C7324" s="23">
        <v>0</v>
      </c>
      <c r="D7324" s="23">
        <v>0</v>
      </c>
      <c r="E7324" s="23">
        <v>0</v>
      </c>
      <c r="F7324" s="23">
        <v>0</v>
      </c>
      <c r="G7324" s="23">
        <v>0</v>
      </c>
      <c r="H7324" s="23">
        <v>0</v>
      </c>
      <c r="I7324" s="23">
        <v>995.2</v>
      </c>
      <c r="J7324" s="23">
        <v>0</v>
      </c>
      <c r="K7324" s="23">
        <v>0</v>
      </c>
    </row>
    <row r="7325" spans="1:11" x14ac:dyDescent="0.25">
      <c r="A7325">
        <v>7324</v>
      </c>
      <c r="B7325" s="23">
        <v>1403.2</v>
      </c>
      <c r="C7325" s="23">
        <v>0</v>
      </c>
      <c r="D7325" s="23">
        <v>0</v>
      </c>
      <c r="E7325" s="23">
        <v>0</v>
      </c>
      <c r="F7325" s="23">
        <v>0</v>
      </c>
      <c r="G7325" s="23">
        <v>0</v>
      </c>
      <c r="H7325" s="23">
        <v>0</v>
      </c>
      <c r="I7325" s="23">
        <v>1372.1569999999999</v>
      </c>
      <c r="J7325" s="23">
        <v>0</v>
      </c>
      <c r="K7325" s="23">
        <v>31.042999999999999</v>
      </c>
    </row>
    <row r="7326" spans="1:11" x14ac:dyDescent="0.25">
      <c r="A7326">
        <v>7325</v>
      </c>
      <c r="B7326" s="23">
        <v>927.2</v>
      </c>
      <c r="C7326" s="23">
        <v>0</v>
      </c>
      <c r="D7326" s="23">
        <v>0</v>
      </c>
      <c r="E7326" s="23">
        <v>0</v>
      </c>
      <c r="F7326" s="23">
        <v>0</v>
      </c>
      <c r="G7326" s="23">
        <v>0</v>
      </c>
      <c r="H7326" s="23">
        <v>0</v>
      </c>
      <c r="I7326" s="23">
        <v>0</v>
      </c>
      <c r="J7326" s="23">
        <v>0</v>
      </c>
      <c r="K7326" s="23">
        <v>927.2</v>
      </c>
    </row>
    <row r="7327" spans="1:11" x14ac:dyDescent="0.25">
      <c r="A7327">
        <v>7326</v>
      </c>
      <c r="B7327" s="23">
        <v>899.2</v>
      </c>
      <c r="C7327" s="23">
        <v>0</v>
      </c>
      <c r="D7327" s="23">
        <v>0</v>
      </c>
      <c r="E7327" s="23">
        <v>0</v>
      </c>
      <c r="F7327" s="23">
        <v>0</v>
      </c>
      <c r="G7327" s="23">
        <v>0</v>
      </c>
      <c r="H7327" s="23">
        <v>0</v>
      </c>
      <c r="I7327" s="23">
        <v>0</v>
      </c>
      <c r="J7327" s="23">
        <v>0</v>
      </c>
      <c r="K7327" s="23">
        <v>899.2</v>
      </c>
    </row>
    <row r="7328" spans="1:11" x14ac:dyDescent="0.25">
      <c r="A7328">
        <v>7327</v>
      </c>
      <c r="B7328" s="23">
        <v>729.6</v>
      </c>
      <c r="C7328" s="23">
        <v>81.05</v>
      </c>
      <c r="D7328" s="23">
        <v>282.541</v>
      </c>
      <c r="E7328" s="23">
        <v>282.541</v>
      </c>
      <c r="F7328" s="23">
        <v>0</v>
      </c>
      <c r="G7328" s="23">
        <v>0</v>
      </c>
      <c r="H7328" s="23">
        <v>0</v>
      </c>
      <c r="I7328" s="23">
        <v>0</v>
      </c>
      <c r="J7328" s="23">
        <v>0</v>
      </c>
      <c r="K7328" s="23">
        <v>447.05900000000003</v>
      </c>
    </row>
    <row r="7329" spans="1:11" x14ac:dyDescent="0.25">
      <c r="A7329">
        <v>7328</v>
      </c>
      <c r="B7329" s="23">
        <v>1140.5830000000001</v>
      </c>
      <c r="C7329" s="23">
        <v>292.10000000000002</v>
      </c>
      <c r="D7329" s="23">
        <v>1148.472</v>
      </c>
      <c r="E7329" s="23">
        <v>1140.5830000000001</v>
      </c>
      <c r="F7329" s="23">
        <v>-7.8890000000000002</v>
      </c>
      <c r="G7329" s="23">
        <v>0</v>
      </c>
      <c r="H7329" s="23">
        <v>0</v>
      </c>
      <c r="I7329" s="23">
        <v>0</v>
      </c>
      <c r="J7329" s="23">
        <v>0</v>
      </c>
      <c r="K7329" s="23">
        <v>0</v>
      </c>
    </row>
    <row r="7330" spans="1:11" x14ac:dyDescent="0.25">
      <c r="A7330">
        <v>7329</v>
      </c>
      <c r="B7330" s="23">
        <v>1125.2370000000001</v>
      </c>
      <c r="C7330" s="23">
        <v>460.31</v>
      </c>
      <c r="D7330" s="23">
        <v>1776.5820000000001</v>
      </c>
      <c r="E7330" s="23">
        <v>1125.2370000000001</v>
      </c>
      <c r="F7330" s="23">
        <v>-651.34500000000003</v>
      </c>
      <c r="G7330" s="23">
        <v>0</v>
      </c>
      <c r="H7330" s="23">
        <v>0</v>
      </c>
      <c r="I7330" s="23">
        <v>0</v>
      </c>
      <c r="J7330" s="23">
        <v>0</v>
      </c>
      <c r="K7330" s="23">
        <v>0</v>
      </c>
    </row>
    <row r="7331" spans="1:11" x14ac:dyDescent="0.25">
      <c r="A7331">
        <v>7330</v>
      </c>
      <c r="B7331" s="23">
        <v>1053.1679999999999</v>
      </c>
      <c r="C7331" s="23">
        <v>646.62</v>
      </c>
      <c r="D7331" s="23">
        <v>2429.6950000000002</v>
      </c>
      <c r="E7331" s="23">
        <v>1053.1679999999999</v>
      </c>
      <c r="F7331" s="23">
        <v>-1376.527</v>
      </c>
      <c r="G7331" s="23">
        <v>0</v>
      </c>
      <c r="H7331" s="23">
        <v>0</v>
      </c>
      <c r="I7331" s="23">
        <v>0</v>
      </c>
      <c r="J7331" s="23">
        <v>0</v>
      </c>
      <c r="K7331" s="23">
        <v>0</v>
      </c>
    </row>
    <row r="7332" spans="1:11" x14ac:dyDescent="0.25">
      <c r="A7332">
        <v>7331</v>
      </c>
      <c r="B7332" s="23">
        <v>1214.8869999999999</v>
      </c>
      <c r="C7332" s="23">
        <v>736.09</v>
      </c>
      <c r="D7332" s="23">
        <v>2722.9189999999999</v>
      </c>
      <c r="E7332" s="23">
        <v>1214.8869999999999</v>
      </c>
      <c r="F7332" s="23">
        <v>-1508.0319999999999</v>
      </c>
      <c r="G7332" s="23">
        <v>0</v>
      </c>
      <c r="H7332" s="23">
        <v>0</v>
      </c>
      <c r="I7332" s="23">
        <v>0</v>
      </c>
      <c r="J7332" s="23">
        <v>0</v>
      </c>
      <c r="K7332" s="23">
        <v>0</v>
      </c>
    </row>
    <row r="7333" spans="1:11" x14ac:dyDescent="0.25">
      <c r="A7333">
        <v>7332</v>
      </c>
      <c r="B7333" s="23">
        <v>1367.3119999999999</v>
      </c>
      <c r="C7333" s="23">
        <v>821.74</v>
      </c>
      <c r="D7333" s="23">
        <v>3013.152</v>
      </c>
      <c r="E7333" s="23">
        <v>1367.3119999999999</v>
      </c>
      <c r="F7333" s="23">
        <v>-1645.84</v>
      </c>
      <c r="G7333" s="23">
        <v>0</v>
      </c>
      <c r="H7333" s="23">
        <v>0</v>
      </c>
      <c r="I7333" s="23">
        <v>0</v>
      </c>
      <c r="J7333" s="23">
        <v>0</v>
      </c>
      <c r="K7333" s="23">
        <v>0</v>
      </c>
    </row>
    <row r="7334" spans="1:11" x14ac:dyDescent="0.25">
      <c r="A7334">
        <v>7333</v>
      </c>
      <c r="B7334" s="23">
        <v>1412.702</v>
      </c>
      <c r="C7334" s="23">
        <v>629.21</v>
      </c>
      <c r="D7334" s="23">
        <v>2346.366</v>
      </c>
      <c r="E7334" s="23">
        <v>1412.702</v>
      </c>
      <c r="F7334" s="23">
        <v>-933.66399999999999</v>
      </c>
      <c r="G7334" s="23">
        <v>0</v>
      </c>
      <c r="H7334" s="23">
        <v>0</v>
      </c>
      <c r="I7334" s="23">
        <v>0</v>
      </c>
      <c r="J7334" s="23">
        <v>0</v>
      </c>
      <c r="K7334" s="23">
        <v>0</v>
      </c>
    </row>
    <row r="7335" spans="1:11" x14ac:dyDescent="0.25">
      <c r="A7335">
        <v>7334</v>
      </c>
      <c r="B7335" s="23">
        <v>992.14700000000005</v>
      </c>
      <c r="C7335" s="23">
        <v>456.85</v>
      </c>
      <c r="D7335" s="23">
        <v>1734.425</v>
      </c>
      <c r="E7335" s="23">
        <v>992.14700000000005</v>
      </c>
      <c r="F7335" s="23">
        <v>-742.27800000000002</v>
      </c>
      <c r="G7335" s="23">
        <v>0</v>
      </c>
      <c r="H7335" s="23">
        <v>0</v>
      </c>
      <c r="I7335" s="23">
        <v>0</v>
      </c>
      <c r="J7335" s="23">
        <v>0</v>
      </c>
      <c r="K7335" s="23">
        <v>0</v>
      </c>
    </row>
    <row r="7336" spans="1:11" x14ac:dyDescent="0.25">
      <c r="A7336">
        <v>7335</v>
      </c>
      <c r="B7336" s="23">
        <v>979.15200000000004</v>
      </c>
      <c r="C7336" s="23">
        <v>311.56</v>
      </c>
      <c r="D7336" s="23">
        <v>1198.72</v>
      </c>
      <c r="E7336" s="23">
        <v>979.15200000000004</v>
      </c>
      <c r="F7336" s="23">
        <v>-219.56800000000001</v>
      </c>
      <c r="G7336" s="23">
        <v>0</v>
      </c>
      <c r="H7336" s="23">
        <v>0</v>
      </c>
      <c r="I7336" s="23">
        <v>0</v>
      </c>
      <c r="J7336" s="23">
        <v>0</v>
      </c>
      <c r="K7336" s="23">
        <v>0</v>
      </c>
    </row>
    <row r="7337" spans="1:11" x14ac:dyDescent="0.25">
      <c r="A7337">
        <v>7336</v>
      </c>
      <c r="B7337" s="23">
        <v>1263.4749999999999</v>
      </c>
      <c r="C7337" s="23">
        <v>275.25</v>
      </c>
      <c r="D7337" s="23">
        <v>1078.8430000000001</v>
      </c>
      <c r="E7337" s="23">
        <v>1078.8430000000001</v>
      </c>
      <c r="F7337" s="23">
        <v>0</v>
      </c>
      <c r="G7337" s="23">
        <v>0</v>
      </c>
      <c r="H7337" s="23">
        <v>0</v>
      </c>
      <c r="I7337" s="23">
        <v>184.63200000000001</v>
      </c>
      <c r="J7337" s="23">
        <v>0</v>
      </c>
      <c r="K7337" s="23">
        <v>0</v>
      </c>
    </row>
    <row r="7338" spans="1:11" x14ac:dyDescent="0.25">
      <c r="A7338">
        <v>7337</v>
      </c>
      <c r="B7338" s="23">
        <v>1350.183</v>
      </c>
      <c r="C7338" s="23">
        <v>172.84</v>
      </c>
      <c r="D7338" s="23">
        <v>619.63300000000004</v>
      </c>
      <c r="E7338" s="23">
        <v>619.63300000000004</v>
      </c>
      <c r="F7338" s="23">
        <v>0</v>
      </c>
      <c r="G7338" s="23">
        <v>0</v>
      </c>
      <c r="H7338" s="23">
        <v>0</v>
      </c>
      <c r="I7338" s="23">
        <v>730.55</v>
      </c>
      <c r="J7338" s="23">
        <v>0</v>
      </c>
      <c r="K7338" s="23">
        <v>0</v>
      </c>
    </row>
    <row r="7339" spans="1:11" x14ac:dyDescent="0.25">
      <c r="A7339">
        <v>7338</v>
      </c>
      <c r="B7339" s="23">
        <v>1374.7380000000001</v>
      </c>
      <c r="C7339" s="23">
        <v>1.96</v>
      </c>
      <c r="D7339" s="23">
        <v>0</v>
      </c>
      <c r="E7339" s="23">
        <v>0</v>
      </c>
      <c r="F7339" s="23">
        <v>0</v>
      </c>
      <c r="G7339" s="23">
        <v>0</v>
      </c>
      <c r="H7339" s="23">
        <v>0</v>
      </c>
      <c r="I7339" s="23">
        <v>1374.7380000000001</v>
      </c>
      <c r="J7339" s="23">
        <v>0</v>
      </c>
      <c r="K7339" s="23">
        <v>0</v>
      </c>
    </row>
    <row r="7340" spans="1:11" x14ac:dyDescent="0.25">
      <c r="A7340">
        <v>7339</v>
      </c>
      <c r="B7340" s="23">
        <v>1219.2</v>
      </c>
      <c r="C7340" s="23">
        <v>0</v>
      </c>
      <c r="D7340" s="23">
        <v>0</v>
      </c>
      <c r="E7340" s="23">
        <v>0</v>
      </c>
      <c r="F7340" s="23">
        <v>0</v>
      </c>
      <c r="G7340" s="23">
        <v>0</v>
      </c>
      <c r="H7340" s="23">
        <v>0</v>
      </c>
      <c r="I7340" s="23">
        <v>1219.2</v>
      </c>
      <c r="J7340" s="23">
        <v>0</v>
      </c>
      <c r="K7340" s="23">
        <v>0</v>
      </c>
    </row>
    <row r="7341" spans="1:11" x14ac:dyDescent="0.25">
      <c r="A7341">
        <v>7340</v>
      </c>
      <c r="B7341" s="23">
        <v>1216</v>
      </c>
      <c r="C7341" s="23">
        <v>0</v>
      </c>
      <c r="D7341" s="23">
        <v>0</v>
      </c>
      <c r="E7341" s="23">
        <v>0</v>
      </c>
      <c r="F7341" s="23">
        <v>0</v>
      </c>
      <c r="G7341" s="23">
        <v>0</v>
      </c>
      <c r="H7341" s="23">
        <v>0</v>
      </c>
      <c r="I7341" s="23">
        <v>966.66300000000001</v>
      </c>
      <c r="J7341" s="23">
        <v>0</v>
      </c>
      <c r="K7341" s="23">
        <v>249.33699999999999</v>
      </c>
    </row>
    <row r="7342" spans="1:11" x14ac:dyDescent="0.25">
      <c r="A7342">
        <v>7341</v>
      </c>
      <c r="B7342" s="23">
        <v>1084.8</v>
      </c>
      <c r="C7342" s="23">
        <v>0</v>
      </c>
      <c r="D7342" s="23">
        <v>0</v>
      </c>
      <c r="E7342" s="23">
        <v>0</v>
      </c>
      <c r="F7342" s="23">
        <v>0</v>
      </c>
      <c r="G7342" s="23">
        <v>0</v>
      </c>
      <c r="H7342" s="23">
        <v>0</v>
      </c>
      <c r="I7342" s="23">
        <v>0</v>
      </c>
      <c r="J7342" s="23">
        <v>0</v>
      </c>
      <c r="K7342" s="23">
        <v>1084.8</v>
      </c>
    </row>
    <row r="7343" spans="1:11" x14ac:dyDescent="0.25">
      <c r="A7343">
        <v>7342</v>
      </c>
      <c r="B7343" s="23">
        <v>1232</v>
      </c>
      <c r="C7343" s="23">
        <v>0</v>
      </c>
      <c r="D7343" s="23">
        <v>0</v>
      </c>
      <c r="E7343" s="23">
        <v>0</v>
      </c>
      <c r="F7343" s="23">
        <v>0</v>
      </c>
      <c r="G7343" s="23">
        <v>0</v>
      </c>
      <c r="H7343" s="23">
        <v>0</v>
      </c>
      <c r="I7343" s="23">
        <v>0</v>
      </c>
      <c r="J7343" s="23">
        <v>0</v>
      </c>
      <c r="K7343" s="23">
        <v>1232</v>
      </c>
    </row>
    <row r="7344" spans="1:11" x14ac:dyDescent="0.25">
      <c r="A7344">
        <v>7343</v>
      </c>
      <c r="B7344" s="23">
        <v>838.4</v>
      </c>
      <c r="C7344" s="23">
        <v>0</v>
      </c>
      <c r="D7344" s="23">
        <v>0</v>
      </c>
      <c r="E7344" s="23">
        <v>0</v>
      </c>
      <c r="F7344" s="23">
        <v>0</v>
      </c>
      <c r="G7344" s="23">
        <v>0</v>
      </c>
      <c r="H7344" s="23">
        <v>0</v>
      </c>
      <c r="I7344" s="23">
        <v>0</v>
      </c>
      <c r="J7344" s="23">
        <v>0</v>
      </c>
      <c r="K7344" s="23">
        <v>838.4</v>
      </c>
    </row>
    <row r="7345" spans="1:11" x14ac:dyDescent="0.25">
      <c r="A7345">
        <v>7344</v>
      </c>
      <c r="B7345" s="23">
        <v>932</v>
      </c>
      <c r="C7345" s="23">
        <v>0</v>
      </c>
      <c r="D7345" s="23">
        <v>0</v>
      </c>
      <c r="E7345" s="23">
        <v>0</v>
      </c>
      <c r="F7345" s="23">
        <v>0</v>
      </c>
      <c r="G7345" s="23">
        <v>0</v>
      </c>
      <c r="H7345" s="23">
        <v>0</v>
      </c>
      <c r="I7345" s="23">
        <v>0</v>
      </c>
      <c r="J7345" s="23">
        <v>0</v>
      </c>
      <c r="K7345" s="23">
        <v>932</v>
      </c>
    </row>
    <row r="7346" spans="1:11" x14ac:dyDescent="0.25">
      <c r="A7346">
        <v>7345</v>
      </c>
      <c r="B7346" s="23">
        <v>870.54700000000003</v>
      </c>
      <c r="C7346" s="23">
        <v>0</v>
      </c>
      <c r="D7346" s="23">
        <v>0</v>
      </c>
      <c r="E7346" s="23">
        <v>0</v>
      </c>
      <c r="F7346" s="23">
        <v>0</v>
      </c>
      <c r="G7346" s="23">
        <v>0</v>
      </c>
      <c r="H7346" s="23">
        <v>0</v>
      </c>
      <c r="I7346" s="23">
        <v>870.54700000000003</v>
      </c>
      <c r="J7346" s="23">
        <v>0</v>
      </c>
      <c r="K7346" s="23">
        <v>0</v>
      </c>
    </row>
    <row r="7347" spans="1:11" x14ac:dyDescent="0.25">
      <c r="A7347">
        <v>7346</v>
      </c>
      <c r="B7347" s="23">
        <v>870.26819999999998</v>
      </c>
      <c r="C7347" s="23">
        <v>0</v>
      </c>
      <c r="D7347" s="23">
        <v>0</v>
      </c>
      <c r="E7347" s="23">
        <v>0</v>
      </c>
      <c r="F7347" s="23">
        <v>0</v>
      </c>
      <c r="G7347" s="23">
        <v>0</v>
      </c>
      <c r="H7347" s="23">
        <v>0</v>
      </c>
      <c r="I7347" s="23">
        <v>870.26800000000003</v>
      </c>
      <c r="J7347" s="23">
        <v>0</v>
      </c>
      <c r="K7347" s="23">
        <v>0</v>
      </c>
    </row>
    <row r="7348" spans="1:11" x14ac:dyDescent="0.25">
      <c r="A7348">
        <v>7347</v>
      </c>
      <c r="B7348" s="23">
        <v>862.41340000000002</v>
      </c>
      <c r="C7348" s="23">
        <v>0</v>
      </c>
      <c r="D7348" s="23">
        <v>0</v>
      </c>
      <c r="E7348" s="23">
        <v>0</v>
      </c>
      <c r="F7348" s="23">
        <v>0</v>
      </c>
      <c r="G7348" s="23">
        <v>0</v>
      </c>
      <c r="H7348" s="23">
        <v>0</v>
      </c>
      <c r="I7348" s="23">
        <v>862.41300000000001</v>
      </c>
      <c r="J7348" s="23">
        <v>0</v>
      </c>
      <c r="K7348" s="23">
        <v>0</v>
      </c>
    </row>
    <row r="7349" spans="1:11" x14ac:dyDescent="0.25">
      <c r="A7349">
        <v>7348</v>
      </c>
      <c r="B7349" s="23">
        <v>826.58429999999998</v>
      </c>
      <c r="C7349" s="23">
        <v>0</v>
      </c>
      <c r="D7349" s="23">
        <v>0</v>
      </c>
      <c r="E7349" s="23">
        <v>0</v>
      </c>
      <c r="F7349" s="23">
        <v>0</v>
      </c>
      <c r="G7349" s="23">
        <v>0</v>
      </c>
      <c r="H7349" s="23">
        <v>0</v>
      </c>
      <c r="I7349" s="23">
        <v>826.58399999999995</v>
      </c>
      <c r="J7349" s="23">
        <v>0</v>
      </c>
      <c r="K7349" s="23">
        <v>0</v>
      </c>
    </row>
    <row r="7350" spans="1:11" x14ac:dyDescent="0.25">
      <c r="A7350">
        <v>7349</v>
      </c>
      <c r="B7350" s="23">
        <v>819.34559999999999</v>
      </c>
      <c r="C7350" s="23">
        <v>0</v>
      </c>
      <c r="D7350" s="23">
        <v>0</v>
      </c>
      <c r="E7350" s="23">
        <v>0</v>
      </c>
      <c r="F7350" s="23">
        <v>0</v>
      </c>
      <c r="G7350" s="23">
        <v>0</v>
      </c>
      <c r="H7350" s="23">
        <v>0</v>
      </c>
      <c r="I7350" s="23">
        <v>0</v>
      </c>
      <c r="J7350" s="23">
        <v>0</v>
      </c>
      <c r="K7350" s="23">
        <v>819.346</v>
      </c>
    </row>
    <row r="7351" spans="1:11" x14ac:dyDescent="0.25">
      <c r="A7351">
        <v>7350</v>
      </c>
      <c r="B7351" s="23">
        <v>813.60140000000001</v>
      </c>
      <c r="C7351" s="23">
        <v>0</v>
      </c>
      <c r="D7351" s="23">
        <v>0</v>
      </c>
      <c r="E7351" s="23">
        <v>0</v>
      </c>
      <c r="F7351" s="23">
        <v>0</v>
      </c>
      <c r="G7351" s="23">
        <v>0</v>
      </c>
      <c r="H7351" s="23">
        <v>0</v>
      </c>
      <c r="I7351" s="23">
        <v>0</v>
      </c>
      <c r="J7351" s="23">
        <v>0</v>
      </c>
      <c r="K7351" s="23">
        <v>813.601</v>
      </c>
    </row>
    <row r="7352" spans="1:11" x14ac:dyDescent="0.25">
      <c r="A7352">
        <v>7351</v>
      </c>
      <c r="B7352" s="23">
        <v>903.90830000000005</v>
      </c>
      <c r="C7352" s="23">
        <v>92.31</v>
      </c>
      <c r="D7352" s="23">
        <v>321.54300000000001</v>
      </c>
      <c r="E7352" s="23">
        <v>321.54300000000001</v>
      </c>
      <c r="F7352" s="23">
        <v>0</v>
      </c>
      <c r="G7352" s="23">
        <v>0</v>
      </c>
      <c r="H7352" s="23">
        <v>0</v>
      </c>
      <c r="I7352" s="23">
        <v>0</v>
      </c>
      <c r="J7352" s="23">
        <v>0</v>
      </c>
      <c r="K7352" s="23">
        <v>582.36599999999999</v>
      </c>
    </row>
    <row r="7353" spans="1:11" x14ac:dyDescent="0.25">
      <c r="A7353">
        <v>7352</v>
      </c>
      <c r="B7353" s="23">
        <v>791.28369999999995</v>
      </c>
      <c r="C7353" s="23">
        <v>315.48</v>
      </c>
      <c r="D7353" s="23">
        <v>1255.481</v>
      </c>
      <c r="E7353" s="23">
        <v>791.28399999999999</v>
      </c>
      <c r="F7353" s="23">
        <v>-464.197</v>
      </c>
      <c r="G7353" s="23">
        <v>0</v>
      </c>
      <c r="H7353" s="23">
        <v>0</v>
      </c>
      <c r="I7353" s="23">
        <v>0</v>
      </c>
      <c r="J7353" s="23">
        <v>0</v>
      </c>
      <c r="K7353" s="23">
        <v>0</v>
      </c>
    </row>
    <row r="7354" spans="1:11" x14ac:dyDescent="0.25">
      <c r="A7354">
        <v>7353</v>
      </c>
      <c r="B7354" s="23">
        <v>1005.2559</v>
      </c>
      <c r="C7354" s="23">
        <v>518.88</v>
      </c>
      <c r="D7354" s="23">
        <v>2015.287</v>
      </c>
      <c r="E7354" s="23">
        <v>1005.256</v>
      </c>
      <c r="F7354" s="23">
        <v>-1010.0309999999999</v>
      </c>
      <c r="G7354" s="23">
        <v>0</v>
      </c>
      <c r="H7354" s="23">
        <v>0</v>
      </c>
      <c r="I7354" s="23">
        <v>0</v>
      </c>
      <c r="J7354" s="23">
        <v>0</v>
      </c>
      <c r="K7354" s="23">
        <v>0</v>
      </c>
    </row>
    <row r="7355" spans="1:11" x14ac:dyDescent="0.25">
      <c r="A7355">
        <v>7354</v>
      </c>
      <c r="B7355" s="23">
        <v>1195.4363000000001</v>
      </c>
      <c r="C7355" s="23">
        <v>637.77</v>
      </c>
      <c r="D7355" s="23">
        <v>2400.808</v>
      </c>
      <c r="E7355" s="23">
        <v>1195.4369999999999</v>
      </c>
      <c r="F7355" s="23">
        <v>-1205.3710000000001</v>
      </c>
      <c r="G7355" s="23">
        <v>0</v>
      </c>
      <c r="H7355" s="23">
        <v>0</v>
      </c>
      <c r="I7355" s="23">
        <v>0</v>
      </c>
      <c r="J7355" s="23">
        <v>0</v>
      </c>
      <c r="K7355" s="23">
        <v>0</v>
      </c>
    </row>
    <row r="7356" spans="1:11" x14ac:dyDescent="0.25">
      <c r="A7356">
        <v>7355</v>
      </c>
      <c r="B7356" s="23">
        <v>1226.7781</v>
      </c>
      <c r="C7356" s="23">
        <v>933.73</v>
      </c>
      <c r="D7356" s="23">
        <v>3355.6260000000002</v>
      </c>
      <c r="E7356" s="23">
        <v>1226.778</v>
      </c>
      <c r="F7356" s="23">
        <v>-1684.559</v>
      </c>
      <c r="G7356" s="23">
        <v>0</v>
      </c>
      <c r="H7356" s="23">
        <v>444.28899999999999</v>
      </c>
      <c r="I7356" s="23">
        <v>0</v>
      </c>
      <c r="J7356" s="23">
        <v>0</v>
      </c>
      <c r="K7356" s="23">
        <v>0</v>
      </c>
    </row>
    <row r="7357" spans="1:11" x14ac:dyDescent="0.25">
      <c r="A7357">
        <v>7356</v>
      </c>
      <c r="B7357" s="23">
        <v>1217.1597999999999</v>
      </c>
      <c r="C7357" s="23">
        <v>884.58</v>
      </c>
      <c r="D7357" s="23">
        <v>3164.8130000000001</v>
      </c>
      <c r="E7357" s="23">
        <v>1217.1600000000001</v>
      </c>
      <c r="F7357" s="23">
        <v>-1684.559</v>
      </c>
      <c r="G7357" s="23">
        <v>0</v>
      </c>
      <c r="H7357" s="23">
        <v>263.09399999999999</v>
      </c>
      <c r="I7357" s="23">
        <v>0</v>
      </c>
      <c r="J7357" s="23">
        <v>0</v>
      </c>
      <c r="K7357" s="23">
        <v>0</v>
      </c>
    </row>
    <row r="7358" spans="1:11" x14ac:dyDescent="0.25">
      <c r="A7358">
        <v>7357</v>
      </c>
      <c r="B7358" s="23">
        <v>1234.1608000000001</v>
      </c>
      <c r="C7358" s="23">
        <v>775.12</v>
      </c>
      <c r="D7358" s="23">
        <v>2784.4940000000001</v>
      </c>
      <c r="E7358" s="23">
        <v>1234.1600000000001</v>
      </c>
      <c r="F7358" s="23">
        <v>-1242.78</v>
      </c>
      <c r="G7358" s="23">
        <v>0</v>
      </c>
      <c r="H7358" s="23">
        <v>307.55399999999997</v>
      </c>
      <c r="I7358" s="23">
        <v>0</v>
      </c>
      <c r="J7358" s="23">
        <v>0</v>
      </c>
      <c r="K7358" s="23">
        <v>0</v>
      </c>
    </row>
    <row r="7359" spans="1:11" x14ac:dyDescent="0.25">
      <c r="A7359">
        <v>7358</v>
      </c>
      <c r="B7359" s="23">
        <v>1231.0896</v>
      </c>
      <c r="C7359" s="23">
        <v>685.1</v>
      </c>
      <c r="D7359" s="23">
        <v>2507.94</v>
      </c>
      <c r="E7359" s="23">
        <v>1231.0889999999999</v>
      </c>
      <c r="F7359" s="23">
        <v>0</v>
      </c>
      <c r="G7359" s="23">
        <v>0</v>
      </c>
      <c r="H7359" s="23">
        <v>1276.8510000000001</v>
      </c>
      <c r="I7359" s="23">
        <v>0</v>
      </c>
      <c r="J7359" s="23">
        <v>0</v>
      </c>
      <c r="K7359" s="23">
        <v>0</v>
      </c>
    </row>
    <row r="7360" spans="1:11" x14ac:dyDescent="0.25">
      <c r="A7360">
        <v>7359</v>
      </c>
      <c r="B7360" s="23">
        <v>1249.2235000000001</v>
      </c>
      <c r="C7360" s="23">
        <v>479.27</v>
      </c>
      <c r="D7360" s="23">
        <v>1817.9079999999999</v>
      </c>
      <c r="E7360" s="23">
        <v>1249.223</v>
      </c>
      <c r="F7360" s="23">
        <v>0</v>
      </c>
      <c r="G7360" s="23">
        <v>0</v>
      </c>
      <c r="H7360" s="23">
        <v>568.68499999999995</v>
      </c>
      <c r="I7360" s="23">
        <v>0</v>
      </c>
      <c r="J7360" s="23">
        <v>0</v>
      </c>
      <c r="K7360" s="23">
        <v>0</v>
      </c>
    </row>
    <row r="7361" spans="1:11" x14ac:dyDescent="0.25">
      <c r="A7361">
        <v>7360</v>
      </c>
      <c r="B7361" s="23">
        <v>1250.9173000000001</v>
      </c>
      <c r="C7361" s="23">
        <v>352.17</v>
      </c>
      <c r="D7361" s="23">
        <v>1372.7750000000001</v>
      </c>
      <c r="E7361" s="23">
        <v>1250.9169999999999</v>
      </c>
      <c r="F7361" s="23">
        <v>0</v>
      </c>
      <c r="G7361" s="23">
        <v>0</v>
      </c>
      <c r="H7361" s="23">
        <v>121.858</v>
      </c>
      <c r="I7361" s="23">
        <v>0</v>
      </c>
      <c r="J7361" s="23">
        <v>0</v>
      </c>
      <c r="K7361" s="23">
        <v>0</v>
      </c>
    </row>
    <row r="7362" spans="1:11" x14ac:dyDescent="0.25">
      <c r="A7362">
        <v>7361</v>
      </c>
      <c r="B7362" s="23">
        <v>1257.5245</v>
      </c>
      <c r="C7362" s="23">
        <v>146.74</v>
      </c>
      <c r="D7362" s="23">
        <v>524.35599999999999</v>
      </c>
      <c r="E7362" s="23">
        <v>524.35599999999999</v>
      </c>
      <c r="F7362" s="23">
        <v>0</v>
      </c>
      <c r="G7362" s="23">
        <v>0</v>
      </c>
      <c r="H7362" s="23">
        <v>0</v>
      </c>
      <c r="I7362" s="23">
        <v>274.68200000000002</v>
      </c>
      <c r="J7362" s="23">
        <v>0</v>
      </c>
      <c r="K7362" s="23">
        <v>458.48700000000002</v>
      </c>
    </row>
    <row r="7363" spans="1:11" x14ac:dyDescent="0.25">
      <c r="A7363">
        <v>7362</v>
      </c>
      <c r="B7363" s="23">
        <v>1230.4931999999999</v>
      </c>
      <c r="C7363" s="23">
        <v>2.94</v>
      </c>
      <c r="D7363" s="23">
        <v>0</v>
      </c>
      <c r="E7363" s="23">
        <v>0</v>
      </c>
      <c r="F7363" s="23">
        <v>0</v>
      </c>
      <c r="G7363" s="23">
        <v>0</v>
      </c>
      <c r="H7363" s="23">
        <v>0</v>
      </c>
      <c r="I7363" s="23">
        <v>0</v>
      </c>
      <c r="J7363" s="23">
        <v>0</v>
      </c>
      <c r="K7363" s="23">
        <v>1230.4929999999999</v>
      </c>
    </row>
    <row r="7364" spans="1:11" x14ac:dyDescent="0.25">
      <c r="A7364">
        <v>7363</v>
      </c>
      <c r="B7364" s="23">
        <v>1196.9072000000001</v>
      </c>
      <c r="C7364" s="23">
        <v>0</v>
      </c>
      <c r="D7364" s="23">
        <v>0</v>
      </c>
      <c r="E7364" s="23">
        <v>0</v>
      </c>
      <c r="F7364" s="23">
        <v>0</v>
      </c>
      <c r="G7364" s="23">
        <v>0</v>
      </c>
      <c r="H7364" s="23">
        <v>0</v>
      </c>
      <c r="I7364" s="23">
        <v>0</v>
      </c>
      <c r="J7364" s="23">
        <v>0</v>
      </c>
      <c r="K7364" s="23">
        <v>1196.9069999999999</v>
      </c>
    </row>
    <row r="7365" spans="1:11" x14ac:dyDescent="0.25">
      <c r="A7365">
        <v>7364</v>
      </c>
      <c r="B7365" s="23">
        <v>1113.5542</v>
      </c>
      <c r="C7365" s="23">
        <v>0</v>
      </c>
      <c r="D7365" s="23">
        <v>0</v>
      </c>
      <c r="E7365" s="23">
        <v>0</v>
      </c>
      <c r="F7365" s="23">
        <v>0</v>
      </c>
      <c r="G7365" s="23">
        <v>0</v>
      </c>
      <c r="H7365" s="23">
        <v>0</v>
      </c>
      <c r="I7365" s="23">
        <v>0</v>
      </c>
      <c r="J7365" s="23">
        <v>0</v>
      </c>
      <c r="K7365" s="23">
        <v>1113.5540000000001</v>
      </c>
    </row>
    <row r="7366" spans="1:11" x14ac:dyDescent="0.25">
      <c r="A7366">
        <v>7365</v>
      </c>
      <c r="B7366" s="23">
        <v>1185.424</v>
      </c>
      <c r="C7366" s="23">
        <v>0</v>
      </c>
      <c r="D7366" s="23">
        <v>0</v>
      </c>
      <c r="E7366" s="23">
        <v>0</v>
      </c>
      <c r="F7366" s="23">
        <v>0</v>
      </c>
      <c r="G7366" s="23">
        <v>0</v>
      </c>
      <c r="H7366" s="23">
        <v>0</v>
      </c>
      <c r="I7366" s="23">
        <v>0</v>
      </c>
      <c r="J7366" s="23">
        <v>0</v>
      </c>
      <c r="K7366" s="23">
        <v>1185.424</v>
      </c>
    </row>
    <row r="7367" spans="1:11" x14ac:dyDescent="0.25">
      <c r="A7367">
        <v>7366</v>
      </c>
      <c r="B7367" s="23">
        <v>1185.7689</v>
      </c>
      <c r="C7367" s="23">
        <v>0</v>
      </c>
      <c r="D7367" s="23">
        <v>0</v>
      </c>
      <c r="E7367" s="23">
        <v>0</v>
      </c>
      <c r="F7367" s="23">
        <v>0</v>
      </c>
      <c r="G7367" s="23">
        <v>0</v>
      </c>
      <c r="H7367" s="23">
        <v>0</v>
      </c>
      <c r="I7367" s="23">
        <v>0</v>
      </c>
      <c r="J7367" s="23">
        <v>0</v>
      </c>
      <c r="K7367" s="23">
        <v>1185.769</v>
      </c>
    </row>
    <row r="7368" spans="1:11" x14ac:dyDescent="0.25">
      <c r="A7368">
        <v>7367</v>
      </c>
      <c r="B7368" s="23">
        <v>1162.3773000000001</v>
      </c>
      <c r="C7368" s="23">
        <v>0</v>
      </c>
      <c r="D7368" s="23">
        <v>0</v>
      </c>
      <c r="E7368" s="23">
        <v>0</v>
      </c>
      <c r="F7368" s="23">
        <v>0</v>
      </c>
      <c r="G7368" s="23">
        <v>0</v>
      </c>
      <c r="H7368" s="23">
        <v>0</v>
      </c>
      <c r="I7368" s="23">
        <v>1162.377</v>
      </c>
      <c r="J7368" s="23">
        <v>0</v>
      </c>
      <c r="K7368" s="23">
        <v>0</v>
      </c>
    </row>
    <row r="7369" spans="1:11" x14ac:dyDescent="0.25">
      <c r="A7369">
        <v>7368</v>
      </c>
      <c r="B7369" s="23">
        <v>889.26980000000003</v>
      </c>
      <c r="C7369" s="23">
        <v>0</v>
      </c>
      <c r="D7369" s="23">
        <v>0</v>
      </c>
      <c r="E7369" s="23">
        <v>0</v>
      </c>
      <c r="F7369" s="23">
        <v>0</v>
      </c>
      <c r="G7369" s="23">
        <v>0</v>
      </c>
      <c r="H7369" s="23">
        <v>0</v>
      </c>
      <c r="I7369" s="23">
        <v>889.27</v>
      </c>
      <c r="J7369" s="23">
        <v>0</v>
      </c>
      <c r="K7369" s="23">
        <v>0</v>
      </c>
    </row>
    <row r="7370" spans="1:11" x14ac:dyDescent="0.25">
      <c r="A7370">
        <v>7369</v>
      </c>
      <c r="B7370" s="23">
        <v>85.6</v>
      </c>
      <c r="C7370" s="23">
        <v>0</v>
      </c>
      <c r="D7370" s="23">
        <v>0</v>
      </c>
      <c r="E7370" s="23">
        <v>0</v>
      </c>
      <c r="F7370" s="23">
        <v>0</v>
      </c>
      <c r="G7370" s="23">
        <v>0</v>
      </c>
      <c r="H7370" s="23">
        <v>0</v>
      </c>
      <c r="I7370" s="23">
        <v>85.6</v>
      </c>
      <c r="J7370" s="23">
        <v>0</v>
      </c>
      <c r="K7370" s="23">
        <v>0</v>
      </c>
    </row>
    <row r="7371" spans="1:11" x14ac:dyDescent="0.25">
      <c r="A7371">
        <v>7370</v>
      </c>
      <c r="B7371" s="23">
        <v>91.2</v>
      </c>
      <c r="C7371" s="23">
        <v>0</v>
      </c>
      <c r="D7371" s="23">
        <v>0</v>
      </c>
      <c r="E7371" s="23">
        <v>0</v>
      </c>
      <c r="F7371" s="23">
        <v>0</v>
      </c>
      <c r="G7371" s="23">
        <v>0</v>
      </c>
      <c r="H7371" s="23">
        <v>0</v>
      </c>
      <c r="I7371" s="23">
        <v>91.2</v>
      </c>
      <c r="J7371" s="23">
        <v>0</v>
      </c>
      <c r="K7371" s="23">
        <v>0</v>
      </c>
    </row>
    <row r="7372" spans="1:11" x14ac:dyDescent="0.25">
      <c r="A7372">
        <v>7371</v>
      </c>
      <c r="B7372" s="23">
        <v>84</v>
      </c>
      <c r="C7372" s="23">
        <v>0</v>
      </c>
      <c r="D7372" s="23">
        <v>0</v>
      </c>
      <c r="E7372" s="23">
        <v>0</v>
      </c>
      <c r="F7372" s="23">
        <v>0</v>
      </c>
      <c r="G7372" s="23">
        <v>0</v>
      </c>
      <c r="H7372" s="23">
        <v>0</v>
      </c>
      <c r="I7372" s="23">
        <v>84</v>
      </c>
      <c r="J7372" s="23">
        <v>0</v>
      </c>
      <c r="K7372" s="23">
        <v>0</v>
      </c>
    </row>
    <row r="7373" spans="1:11" x14ac:dyDescent="0.25">
      <c r="A7373">
        <v>7372</v>
      </c>
      <c r="B7373" s="23">
        <v>87.2</v>
      </c>
      <c r="C7373" s="23">
        <v>0</v>
      </c>
      <c r="D7373" s="23">
        <v>0</v>
      </c>
      <c r="E7373" s="23">
        <v>0</v>
      </c>
      <c r="F7373" s="23">
        <v>0</v>
      </c>
      <c r="G7373" s="23">
        <v>0</v>
      </c>
      <c r="H7373" s="23">
        <v>0</v>
      </c>
      <c r="I7373" s="23">
        <v>87.2</v>
      </c>
      <c r="J7373" s="23">
        <v>0</v>
      </c>
      <c r="K7373" s="23">
        <v>0</v>
      </c>
    </row>
    <row r="7374" spans="1:11" x14ac:dyDescent="0.25">
      <c r="A7374">
        <v>7373</v>
      </c>
      <c r="B7374" s="23">
        <v>81.599999999999994</v>
      </c>
      <c r="C7374" s="23">
        <v>0</v>
      </c>
      <c r="D7374" s="23">
        <v>0</v>
      </c>
      <c r="E7374" s="23">
        <v>0</v>
      </c>
      <c r="F7374" s="23">
        <v>0</v>
      </c>
      <c r="G7374" s="23">
        <v>0</v>
      </c>
      <c r="H7374" s="23">
        <v>0</v>
      </c>
      <c r="I7374" s="23">
        <v>0</v>
      </c>
      <c r="J7374" s="23">
        <v>0</v>
      </c>
      <c r="K7374" s="23">
        <v>81.599999999999994</v>
      </c>
    </row>
    <row r="7375" spans="1:11" x14ac:dyDescent="0.25">
      <c r="A7375">
        <v>7374</v>
      </c>
      <c r="B7375" s="23">
        <v>85.6</v>
      </c>
      <c r="C7375" s="23">
        <v>0</v>
      </c>
      <c r="D7375" s="23">
        <v>0</v>
      </c>
      <c r="E7375" s="23">
        <v>0</v>
      </c>
      <c r="F7375" s="23">
        <v>0</v>
      </c>
      <c r="G7375" s="23">
        <v>0</v>
      </c>
      <c r="H7375" s="23">
        <v>0</v>
      </c>
      <c r="I7375" s="23">
        <v>0</v>
      </c>
      <c r="J7375" s="23">
        <v>0</v>
      </c>
      <c r="K7375" s="23">
        <v>85.6</v>
      </c>
    </row>
    <row r="7376" spans="1:11" x14ac:dyDescent="0.25">
      <c r="A7376">
        <v>7375</v>
      </c>
      <c r="B7376" s="23">
        <v>65.492000000000004</v>
      </c>
      <c r="C7376" s="23">
        <v>19.59</v>
      </c>
      <c r="D7376" s="23">
        <v>51.476999999999997</v>
      </c>
      <c r="E7376" s="23">
        <v>51.476999999999997</v>
      </c>
      <c r="F7376" s="23">
        <v>0</v>
      </c>
      <c r="G7376" s="23">
        <v>0</v>
      </c>
      <c r="H7376" s="23">
        <v>0</v>
      </c>
      <c r="I7376" s="23">
        <v>0</v>
      </c>
      <c r="J7376" s="23">
        <v>0</v>
      </c>
      <c r="K7376" s="23">
        <v>14.015000000000001</v>
      </c>
    </row>
    <row r="7377" spans="1:11" x14ac:dyDescent="0.25">
      <c r="A7377">
        <v>7376</v>
      </c>
      <c r="B7377" s="23">
        <v>93.277000000000001</v>
      </c>
      <c r="C7377" s="23">
        <v>34.299999999999997</v>
      </c>
      <c r="D7377" s="23">
        <v>109.669</v>
      </c>
      <c r="E7377" s="23">
        <v>93.277000000000001</v>
      </c>
      <c r="F7377" s="23">
        <v>-16.391999999999999</v>
      </c>
      <c r="G7377" s="23">
        <v>0</v>
      </c>
      <c r="H7377" s="23">
        <v>0</v>
      </c>
      <c r="I7377" s="23">
        <v>0</v>
      </c>
      <c r="J7377" s="23">
        <v>0</v>
      </c>
      <c r="K7377" s="23">
        <v>0</v>
      </c>
    </row>
    <row r="7378" spans="1:11" x14ac:dyDescent="0.25">
      <c r="A7378">
        <v>7377</v>
      </c>
      <c r="B7378" s="23">
        <v>618.40599999999995</v>
      </c>
      <c r="C7378" s="23">
        <v>351.42</v>
      </c>
      <c r="D7378" s="23">
        <v>1365.3050000000001</v>
      </c>
      <c r="E7378" s="23">
        <v>618.40599999999995</v>
      </c>
      <c r="F7378" s="23">
        <v>-746.899</v>
      </c>
      <c r="G7378" s="23">
        <v>0</v>
      </c>
      <c r="H7378" s="23">
        <v>0</v>
      </c>
      <c r="I7378" s="23">
        <v>0</v>
      </c>
      <c r="J7378" s="23">
        <v>0</v>
      </c>
      <c r="K7378" s="23">
        <v>0</v>
      </c>
    </row>
    <row r="7379" spans="1:11" x14ac:dyDescent="0.25">
      <c r="A7379">
        <v>7378</v>
      </c>
      <c r="B7379" s="23">
        <v>770.83699999999999</v>
      </c>
      <c r="C7379" s="23">
        <v>545.52</v>
      </c>
      <c r="D7379" s="23">
        <v>2069.5070000000001</v>
      </c>
      <c r="E7379" s="23">
        <v>770.83699999999999</v>
      </c>
      <c r="F7379" s="23">
        <v>-1298.67</v>
      </c>
      <c r="G7379" s="23">
        <v>0</v>
      </c>
      <c r="H7379" s="23">
        <v>0</v>
      </c>
      <c r="I7379" s="23">
        <v>0</v>
      </c>
      <c r="J7379" s="23">
        <v>0</v>
      </c>
      <c r="K7379" s="23">
        <v>0</v>
      </c>
    </row>
    <row r="7380" spans="1:11" x14ac:dyDescent="0.25">
      <c r="A7380">
        <v>7379</v>
      </c>
      <c r="B7380" s="23">
        <v>1352.587</v>
      </c>
      <c r="C7380" s="23">
        <v>685.08</v>
      </c>
      <c r="D7380" s="23">
        <v>2541.0839999999998</v>
      </c>
      <c r="E7380" s="23">
        <v>1352.587</v>
      </c>
      <c r="F7380" s="23">
        <v>-1188.4970000000001</v>
      </c>
      <c r="G7380" s="23">
        <v>0</v>
      </c>
      <c r="H7380" s="23">
        <v>0</v>
      </c>
      <c r="I7380" s="23">
        <v>0</v>
      </c>
      <c r="J7380" s="23">
        <v>0</v>
      </c>
      <c r="K7380" s="23">
        <v>0</v>
      </c>
    </row>
    <row r="7381" spans="1:11" x14ac:dyDescent="0.25">
      <c r="A7381">
        <v>7380</v>
      </c>
      <c r="B7381" s="23">
        <v>1093.259</v>
      </c>
      <c r="C7381" s="23">
        <v>793.87</v>
      </c>
      <c r="D7381" s="23">
        <v>2901.1370000000002</v>
      </c>
      <c r="E7381" s="23">
        <v>1093.259</v>
      </c>
      <c r="F7381" s="23">
        <v>-1684.559</v>
      </c>
      <c r="G7381" s="23">
        <v>0</v>
      </c>
      <c r="H7381" s="23">
        <v>123.319</v>
      </c>
      <c r="I7381" s="23">
        <v>0</v>
      </c>
      <c r="J7381" s="23">
        <v>0</v>
      </c>
      <c r="K7381" s="23">
        <v>0</v>
      </c>
    </row>
    <row r="7382" spans="1:11" x14ac:dyDescent="0.25">
      <c r="A7382">
        <v>7381</v>
      </c>
      <c r="B7382" s="23">
        <v>1179.2550000000001</v>
      </c>
      <c r="C7382" s="23">
        <v>775.79</v>
      </c>
      <c r="D7382" s="23">
        <v>2852.13</v>
      </c>
      <c r="E7382" s="23">
        <v>1179.2550000000001</v>
      </c>
      <c r="F7382" s="23">
        <v>-1672.875</v>
      </c>
      <c r="G7382" s="23">
        <v>0</v>
      </c>
      <c r="H7382" s="23">
        <v>0</v>
      </c>
      <c r="I7382" s="23">
        <v>0</v>
      </c>
      <c r="J7382" s="23">
        <v>0</v>
      </c>
      <c r="K7382" s="23">
        <v>0</v>
      </c>
    </row>
    <row r="7383" spans="1:11" x14ac:dyDescent="0.25">
      <c r="A7383">
        <v>7382</v>
      </c>
      <c r="B7383" s="23">
        <v>1555.2760000000001</v>
      </c>
      <c r="C7383" s="23">
        <v>644.34</v>
      </c>
      <c r="D7383" s="23">
        <v>2422.1889999999999</v>
      </c>
      <c r="E7383" s="23">
        <v>1555.2760000000001</v>
      </c>
      <c r="F7383" s="23">
        <v>-683.60699999999997</v>
      </c>
      <c r="G7383" s="23">
        <v>0</v>
      </c>
      <c r="H7383" s="23">
        <v>183.30600000000001</v>
      </c>
      <c r="I7383" s="23">
        <v>0</v>
      </c>
      <c r="J7383" s="23">
        <v>0</v>
      </c>
      <c r="K7383" s="23">
        <v>0</v>
      </c>
    </row>
    <row r="7384" spans="1:11" x14ac:dyDescent="0.25">
      <c r="A7384">
        <v>7383</v>
      </c>
      <c r="B7384" s="23">
        <v>1278.067</v>
      </c>
      <c r="C7384" s="23">
        <v>559.79</v>
      </c>
      <c r="D7384" s="23">
        <v>2152.9340000000002</v>
      </c>
      <c r="E7384" s="23">
        <v>1278.067</v>
      </c>
      <c r="F7384" s="23">
        <v>0</v>
      </c>
      <c r="G7384" s="23">
        <v>0</v>
      </c>
      <c r="H7384" s="23">
        <v>874.86699999999996</v>
      </c>
      <c r="I7384" s="23">
        <v>0</v>
      </c>
      <c r="J7384" s="23">
        <v>0</v>
      </c>
      <c r="K7384" s="23">
        <v>0</v>
      </c>
    </row>
    <row r="7385" spans="1:11" x14ac:dyDescent="0.25">
      <c r="A7385">
        <v>7384</v>
      </c>
      <c r="B7385" s="23">
        <v>1480.787</v>
      </c>
      <c r="C7385" s="23">
        <v>296.88</v>
      </c>
      <c r="D7385" s="23">
        <v>1166.165</v>
      </c>
      <c r="E7385" s="23">
        <v>1166.165</v>
      </c>
      <c r="F7385" s="23">
        <v>0</v>
      </c>
      <c r="G7385" s="23">
        <v>0</v>
      </c>
      <c r="H7385" s="23">
        <v>0</v>
      </c>
      <c r="I7385" s="23">
        <v>314.62200000000001</v>
      </c>
      <c r="J7385" s="23">
        <v>0</v>
      </c>
      <c r="K7385" s="23">
        <v>0</v>
      </c>
    </row>
    <row r="7386" spans="1:11" x14ac:dyDescent="0.25">
      <c r="A7386">
        <v>7385</v>
      </c>
      <c r="B7386" s="23">
        <v>1756.931</v>
      </c>
      <c r="C7386" s="23">
        <v>152.63999999999999</v>
      </c>
      <c r="D7386" s="23">
        <v>553.38699999999994</v>
      </c>
      <c r="E7386" s="23">
        <v>553.38699999999994</v>
      </c>
      <c r="F7386" s="23">
        <v>0</v>
      </c>
      <c r="G7386" s="23">
        <v>0</v>
      </c>
      <c r="H7386" s="23">
        <v>0</v>
      </c>
      <c r="I7386" s="23">
        <v>1203.5440000000001</v>
      </c>
      <c r="J7386" s="23">
        <v>0</v>
      </c>
      <c r="K7386" s="23">
        <v>0</v>
      </c>
    </row>
    <row r="7387" spans="1:11" x14ac:dyDescent="0.25">
      <c r="A7387">
        <v>7386</v>
      </c>
      <c r="B7387" s="23">
        <v>1617.6569999999999</v>
      </c>
      <c r="C7387" s="23">
        <v>3.15</v>
      </c>
      <c r="D7387" s="23">
        <v>0</v>
      </c>
      <c r="E7387" s="23">
        <v>0</v>
      </c>
      <c r="F7387" s="23">
        <v>0</v>
      </c>
      <c r="G7387" s="23">
        <v>0</v>
      </c>
      <c r="H7387" s="23">
        <v>0</v>
      </c>
      <c r="I7387" s="23">
        <v>0</v>
      </c>
      <c r="J7387" s="23">
        <v>0</v>
      </c>
      <c r="K7387" s="23">
        <v>1617.6569999999999</v>
      </c>
    </row>
    <row r="7388" spans="1:11" x14ac:dyDescent="0.25">
      <c r="A7388">
        <v>7387</v>
      </c>
      <c r="B7388" s="23">
        <v>1474.4</v>
      </c>
      <c r="C7388" s="23">
        <v>0</v>
      </c>
      <c r="D7388" s="23">
        <v>0</v>
      </c>
      <c r="E7388" s="23">
        <v>0</v>
      </c>
      <c r="F7388" s="23">
        <v>0</v>
      </c>
      <c r="G7388" s="23">
        <v>0</v>
      </c>
      <c r="H7388" s="23">
        <v>0</v>
      </c>
      <c r="I7388" s="23">
        <v>0</v>
      </c>
      <c r="J7388" s="23">
        <v>0</v>
      </c>
      <c r="K7388" s="23">
        <v>1474.4</v>
      </c>
    </row>
    <row r="7389" spans="1:11" x14ac:dyDescent="0.25">
      <c r="A7389">
        <v>7388</v>
      </c>
      <c r="B7389" s="23">
        <v>1431.2</v>
      </c>
      <c r="C7389" s="23">
        <v>0</v>
      </c>
      <c r="D7389" s="23">
        <v>0</v>
      </c>
      <c r="E7389" s="23">
        <v>0</v>
      </c>
      <c r="F7389" s="23">
        <v>0</v>
      </c>
      <c r="G7389" s="23">
        <v>0</v>
      </c>
      <c r="H7389" s="23">
        <v>0</v>
      </c>
      <c r="I7389" s="23">
        <v>0</v>
      </c>
      <c r="J7389" s="23">
        <v>0</v>
      </c>
      <c r="K7389" s="23">
        <v>1431.2</v>
      </c>
    </row>
    <row r="7390" spans="1:11" x14ac:dyDescent="0.25">
      <c r="A7390">
        <v>7389</v>
      </c>
      <c r="B7390" s="23">
        <v>1365.6</v>
      </c>
      <c r="C7390" s="23">
        <v>0</v>
      </c>
      <c r="D7390" s="23">
        <v>0</v>
      </c>
      <c r="E7390" s="23">
        <v>0</v>
      </c>
      <c r="F7390" s="23">
        <v>0</v>
      </c>
      <c r="G7390" s="23">
        <v>0</v>
      </c>
      <c r="H7390" s="23">
        <v>0</v>
      </c>
      <c r="I7390" s="23">
        <v>1365.6</v>
      </c>
      <c r="J7390" s="23">
        <v>0</v>
      </c>
      <c r="K7390" s="23">
        <v>0</v>
      </c>
    </row>
    <row r="7391" spans="1:11" x14ac:dyDescent="0.25">
      <c r="A7391">
        <v>7390</v>
      </c>
      <c r="B7391" s="23">
        <v>1100.8</v>
      </c>
      <c r="C7391" s="23">
        <v>0</v>
      </c>
      <c r="D7391" s="23">
        <v>0</v>
      </c>
      <c r="E7391" s="23">
        <v>0</v>
      </c>
      <c r="F7391" s="23">
        <v>0</v>
      </c>
      <c r="G7391" s="23">
        <v>0</v>
      </c>
      <c r="H7391" s="23">
        <v>0</v>
      </c>
      <c r="I7391" s="23">
        <v>1100.8</v>
      </c>
      <c r="J7391" s="23">
        <v>0</v>
      </c>
      <c r="K7391" s="23">
        <v>0</v>
      </c>
    </row>
    <row r="7392" spans="1:11" x14ac:dyDescent="0.25">
      <c r="A7392">
        <v>7391</v>
      </c>
      <c r="B7392" s="23">
        <v>1292.8</v>
      </c>
      <c r="C7392" s="23">
        <v>0</v>
      </c>
      <c r="D7392" s="23">
        <v>0</v>
      </c>
      <c r="E7392" s="23">
        <v>0</v>
      </c>
      <c r="F7392" s="23">
        <v>0</v>
      </c>
      <c r="G7392" s="23">
        <v>0</v>
      </c>
      <c r="H7392" s="23">
        <v>0</v>
      </c>
      <c r="I7392" s="23">
        <v>1292.8</v>
      </c>
      <c r="J7392" s="23">
        <v>0</v>
      </c>
      <c r="K7392" s="23">
        <v>0</v>
      </c>
    </row>
    <row r="7393" spans="1:11" x14ac:dyDescent="0.25">
      <c r="A7393">
        <v>7392</v>
      </c>
      <c r="B7393" s="23">
        <v>1215.2</v>
      </c>
      <c r="C7393" s="23">
        <v>0</v>
      </c>
      <c r="D7393" s="23">
        <v>0</v>
      </c>
      <c r="E7393" s="23">
        <v>0</v>
      </c>
      <c r="F7393" s="23">
        <v>0</v>
      </c>
      <c r="G7393" s="23">
        <v>0</v>
      </c>
      <c r="H7393" s="23">
        <v>0</v>
      </c>
      <c r="I7393" s="23">
        <v>1215.2</v>
      </c>
      <c r="J7393" s="23">
        <v>0</v>
      </c>
      <c r="K7393" s="23">
        <v>0</v>
      </c>
    </row>
    <row r="7394" spans="1:11" x14ac:dyDescent="0.25">
      <c r="A7394">
        <v>7393</v>
      </c>
      <c r="B7394" s="23">
        <v>949.6</v>
      </c>
      <c r="C7394" s="23">
        <v>0</v>
      </c>
      <c r="D7394" s="23">
        <v>0</v>
      </c>
      <c r="E7394" s="23">
        <v>0</v>
      </c>
      <c r="F7394" s="23">
        <v>0</v>
      </c>
      <c r="G7394" s="23">
        <v>0</v>
      </c>
      <c r="H7394" s="23">
        <v>0</v>
      </c>
      <c r="I7394" s="23">
        <v>949.6</v>
      </c>
      <c r="J7394" s="23">
        <v>0</v>
      </c>
      <c r="K7394" s="23">
        <v>0</v>
      </c>
    </row>
    <row r="7395" spans="1:11" x14ac:dyDescent="0.25">
      <c r="A7395">
        <v>7394</v>
      </c>
      <c r="B7395" s="23">
        <v>1412.8</v>
      </c>
      <c r="C7395" s="23">
        <v>0</v>
      </c>
      <c r="D7395" s="23">
        <v>0</v>
      </c>
      <c r="E7395" s="23">
        <v>0</v>
      </c>
      <c r="F7395" s="23">
        <v>0</v>
      </c>
      <c r="G7395" s="23">
        <v>0</v>
      </c>
      <c r="H7395" s="23">
        <v>0</v>
      </c>
      <c r="I7395" s="23">
        <v>1412.8</v>
      </c>
      <c r="J7395" s="23">
        <v>0</v>
      </c>
      <c r="K7395" s="23">
        <v>0</v>
      </c>
    </row>
    <row r="7396" spans="1:11" x14ac:dyDescent="0.25">
      <c r="A7396">
        <v>7395</v>
      </c>
      <c r="B7396" s="23">
        <v>1319.2</v>
      </c>
      <c r="C7396" s="23">
        <v>0</v>
      </c>
      <c r="D7396" s="23">
        <v>0</v>
      </c>
      <c r="E7396" s="23">
        <v>0</v>
      </c>
      <c r="F7396" s="23">
        <v>0</v>
      </c>
      <c r="G7396" s="23">
        <v>0</v>
      </c>
      <c r="H7396" s="23">
        <v>0</v>
      </c>
      <c r="I7396" s="23">
        <v>1319.2</v>
      </c>
      <c r="J7396" s="23">
        <v>0</v>
      </c>
      <c r="K7396" s="23">
        <v>0</v>
      </c>
    </row>
    <row r="7397" spans="1:11" x14ac:dyDescent="0.25">
      <c r="A7397">
        <v>7396</v>
      </c>
      <c r="B7397" s="23">
        <v>1212.8</v>
      </c>
      <c r="C7397" s="23">
        <v>0</v>
      </c>
      <c r="D7397" s="23">
        <v>0</v>
      </c>
      <c r="E7397" s="23">
        <v>0</v>
      </c>
      <c r="F7397" s="23">
        <v>0</v>
      </c>
      <c r="G7397" s="23">
        <v>0</v>
      </c>
      <c r="H7397" s="23">
        <v>0</v>
      </c>
      <c r="I7397" s="23">
        <v>1212.8</v>
      </c>
      <c r="J7397" s="23">
        <v>0</v>
      </c>
      <c r="K7397" s="23">
        <v>0</v>
      </c>
    </row>
    <row r="7398" spans="1:11" x14ac:dyDescent="0.25">
      <c r="A7398">
        <v>7397</v>
      </c>
      <c r="B7398" s="23">
        <v>1012</v>
      </c>
      <c r="C7398" s="23">
        <v>0</v>
      </c>
      <c r="D7398" s="23">
        <v>0</v>
      </c>
      <c r="E7398" s="23">
        <v>0</v>
      </c>
      <c r="F7398" s="23">
        <v>0</v>
      </c>
      <c r="G7398" s="23">
        <v>0</v>
      </c>
      <c r="H7398" s="23">
        <v>0</v>
      </c>
      <c r="I7398" s="23">
        <v>892.43100000000004</v>
      </c>
      <c r="J7398" s="23">
        <v>0</v>
      </c>
      <c r="K7398" s="23">
        <v>119.569</v>
      </c>
    </row>
    <row r="7399" spans="1:11" x14ac:dyDescent="0.25">
      <c r="A7399">
        <v>7398</v>
      </c>
      <c r="B7399" s="23">
        <v>1101.5999999999999</v>
      </c>
      <c r="C7399" s="23">
        <v>0</v>
      </c>
      <c r="D7399" s="23">
        <v>0</v>
      </c>
      <c r="E7399" s="23">
        <v>0</v>
      </c>
      <c r="F7399" s="23">
        <v>0</v>
      </c>
      <c r="G7399" s="23">
        <v>0</v>
      </c>
      <c r="H7399" s="23">
        <v>0</v>
      </c>
      <c r="I7399" s="23">
        <v>0</v>
      </c>
      <c r="J7399" s="23">
        <v>0</v>
      </c>
      <c r="K7399" s="23">
        <v>1101.5999999999999</v>
      </c>
    </row>
    <row r="7400" spans="1:11" x14ac:dyDescent="0.25">
      <c r="A7400">
        <v>7399</v>
      </c>
      <c r="B7400" s="23">
        <v>1240.2049999999999</v>
      </c>
      <c r="C7400" s="23">
        <v>128.12</v>
      </c>
      <c r="D7400" s="23">
        <v>432.78199999999998</v>
      </c>
      <c r="E7400" s="23">
        <v>432.78199999999998</v>
      </c>
      <c r="F7400" s="23">
        <v>0</v>
      </c>
      <c r="G7400" s="23">
        <v>0</v>
      </c>
      <c r="H7400" s="23">
        <v>0</v>
      </c>
      <c r="I7400" s="23">
        <v>0</v>
      </c>
      <c r="J7400" s="23">
        <v>0</v>
      </c>
      <c r="K7400" s="23">
        <v>807.423</v>
      </c>
    </row>
    <row r="7401" spans="1:11" x14ac:dyDescent="0.25">
      <c r="A7401">
        <v>7400</v>
      </c>
      <c r="B7401" s="23">
        <v>972.84100000000001</v>
      </c>
      <c r="C7401" s="23">
        <v>339.25</v>
      </c>
      <c r="D7401" s="23">
        <v>1343.4079999999999</v>
      </c>
      <c r="E7401" s="23">
        <v>972.84100000000001</v>
      </c>
      <c r="F7401" s="23">
        <v>-370.56700000000001</v>
      </c>
      <c r="G7401" s="23">
        <v>0</v>
      </c>
      <c r="H7401" s="23">
        <v>0</v>
      </c>
      <c r="I7401" s="23">
        <v>0</v>
      </c>
      <c r="J7401" s="23">
        <v>0</v>
      </c>
      <c r="K7401" s="23">
        <v>0</v>
      </c>
    </row>
    <row r="7402" spans="1:11" x14ac:dyDescent="0.25">
      <c r="A7402">
        <v>7401</v>
      </c>
      <c r="B7402" s="23">
        <v>1091.2760000000001</v>
      </c>
      <c r="C7402" s="23">
        <v>613.4</v>
      </c>
      <c r="D7402" s="23">
        <v>2380.2939999999999</v>
      </c>
      <c r="E7402" s="23">
        <v>1091.2760000000001</v>
      </c>
      <c r="F7402" s="23">
        <v>-1289.018</v>
      </c>
      <c r="G7402" s="23">
        <v>0</v>
      </c>
      <c r="H7402" s="23">
        <v>0</v>
      </c>
      <c r="I7402" s="23">
        <v>0</v>
      </c>
      <c r="J7402" s="23">
        <v>0</v>
      </c>
      <c r="K7402" s="23">
        <v>0</v>
      </c>
    </row>
    <row r="7403" spans="1:11" x14ac:dyDescent="0.25">
      <c r="A7403">
        <v>7402</v>
      </c>
      <c r="B7403" s="23">
        <v>1317.2460000000001</v>
      </c>
      <c r="C7403" s="23">
        <v>668.43</v>
      </c>
      <c r="D7403" s="23">
        <v>2521.2939999999999</v>
      </c>
      <c r="E7403" s="23">
        <v>1317.2460000000001</v>
      </c>
      <c r="F7403" s="23">
        <v>-1204.048</v>
      </c>
      <c r="G7403" s="23">
        <v>0</v>
      </c>
      <c r="H7403" s="23">
        <v>0</v>
      </c>
      <c r="I7403" s="23">
        <v>0</v>
      </c>
      <c r="J7403" s="23">
        <v>0</v>
      </c>
      <c r="K7403" s="23">
        <v>0</v>
      </c>
    </row>
    <row r="7404" spans="1:11" x14ac:dyDescent="0.25">
      <c r="A7404">
        <v>7403</v>
      </c>
      <c r="B7404" s="23">
        <v>1461.008</v>
      </c>
      <c r="C7404" s="23">
        <v>804.34</v>
      </c>
      <c r="D7404" s="23">
        <v>2948.7910000000002</v>
      </c>
      <c r="E7404" s="23">
        <v>1461.008</v>
      </c>
      <c r="F7404" s="23">
        <v>-1487.7829999999999</v>
      </c>
      <c r="G7404" s="23">
        <v>0</v>
      </c>
      <c r="H7404" s="23">
        <v>0</v>
      </c>
      <c r="I7404" s="23">
        <v>0</v>
      </c>
      <c r="J7404" s="23">
        <v>0</v>
      </c>
      <c r="K7404" s="23">
        <v>0</v>
      </c>
    </row>
    <row r="7405" spans="1:11" x14ac:dyDescent="0.25">
      <c r="A7405">
        <v>7404</v>
      </c>
      <c r="B7405" s="23">
        <v>1485.364</v>
      </c>
      <c r="C7405" s="23">
        <v>800.33</v>
      </c>
      <c r="D7405" s="23">
        <v>2908.183</v>
      </c>
      <c r="E7405" s="23">
        <v>1485.364</v>
      </c>
      <c r="F7405" s="23">
        <v>-1422.819</v>
      </c>
      <c r="G7405" s="23">
        <v>0</v>
      </c>
      <c r="H7405" s="23">
        <v>0</v>
      </c>
      <c r="I7405" s="23">
        <v>0</v>
      </c>
      <c r="J7405" s="23">
        <v>0</v>
      </c>
      <c r="K7405" s="23">
        <v>0</v>
      </c>
    </row>
    <row r="7406" spans="1:11" x14ac:dyDescent="0.25">
      <c r="A7406">
        <v>7405</v>
      </c>
      <c r="B7406" s="23">
        <v>1859.3420000000001</v>
      </c>
      <c r="C7406" s="23">
        <v>742.79</v>
      </c>
      <c r="D7406" s="23">
        <v>2701.6460000000002</v>
      </c>
      <c r="E7406" s="23">
        <v>1859.3420000000001</v>
      </c>
      <c r="F7406" s="23">
        <v>-842.30399999999997</v>
      </c>
      <c r="G7406" s="23">
        <v>0</v>
      </c>
      <c r="H7406" s="23">
        <v>0</v>
      </c>
      <c r="I7406" s="23">
        <v>0</v>
      </c>
      <c r="J7406" s="23">
        <v>0</v>
      </c>
      <c r="K7406" s="23">
        <v>0</v>
      </c>
    </row>
    <row r="7407" spans="1:11" x14ac:dyDescent="0.25">
      <c r="A7407">
        <v>7406</v>
      </c>
      <c r="B7407" s="23">
        <v>1111.595</v>
      </c>
      <c r="C7407" s="23">
        <v>786.91</v>
      </c>
      <c r="D7407" s="23">
        <v>2879.6529999999998</v>
      </c>
      <c r="E7407" s="23">
        <v>1111.595</v>
      </c>
      <c r="F7407" s="23">
        <v>-674.95899999999995</v>
      </c>
      <c r="G7407" s="23">
        <v>0</v>
      </c>
      <c r="H7407" s="23">
        <v>1093.0989999999999</v>
      </c>
      <c r="I7407" s="23">
        <v>0</v>
      </c>
      <c r="J7407" s="23">
        <v>0</v>
      </c>
      <c r="K7407" s="23">
        <v>0</v>
      </c>
    </row>
    <row r="7408" spans="1:11" x14ac:dyDescent="0.25">
      <c r="A7408">
        <v>7407</v>
      </c>
      <c r="B7408" s="23">
        <v>1623.432</v>
      </c>
      <c r="C7408" s="23">
        <v>601.17999999999995</v>
      </c>
      <c r="D7408" s="23">
        <v>2285.88</v>
      </c>
      <c r="E7408" s="23">
        <v>1623.432</v>
      </c>
      <c r="F7408" s="23">
        <v>0</v>
      </c>
      <c r="G7408" s="23">
        <v>0</v>
      </c>
      <c r="H7408" s="23">
        <v>662.44799999999998</v>
      </c>
      <c r="I7408" s="23">
        <v>0</v>
      </c>
      <c r="J7408" s="23">
        <v>0</v>
      </c>
      <c r="K7408" s="23">
        <v>0</v>
      </c>
    </row>
    <row r="7409" spans="1:11" x14ac:dyDescent="0.25">
      <c r="A7409">
        <v>7408</v>
      </c>
      <c r="B7409" s="23">
        <v>1529.712</v>
      </c>
      <c r="C7409" s="23">
        <v>236.96</v>
      </c>
      <c r="D7409" s="23">
        <v>919.41200000000003</v>
      </c>
      <c r="E7409" s="23">
        <v>919.41200000000003</v>
      </c>
      <c r="F7409" s="23">
        <v>0</v>
      </c>
      <c r="G7409" s="23">
        <v>0</v>
      </c>
      <c r="H7409" s="23">
        <v>0</v>
      </c>
      <c r="I7409" s="23">
        <v>610.29999999999995</v>
      </c>
      <c r="J7409" s="23">
        <v>0</v>
      </c>
      <c r="K7409" s="23">
        <v>0</v>
      </c>
    </row>
    <row r="7410" spans="1:11" x14ac:dyDescent="0.25">
      <c r="A7410">
        <v>7409</v>
      </c>
      <c r="B7410" s="23">
        <v>1351.5909999999999</v>
      </c>
      <c r="C7410" s="23">
        <v>114.64</v>
      </c>
      <c r="D7410" s="23">
        <v>416.01400000000001</v>
      </c>
      <c r="E7410" s="23">
        <v>416.01400000000001</v>
      </c>
      <c r="F7410" s="23">
        <v>0</v>
      </c>
      <c r="G7410" s="23">
        <v>0</v>
      </c>
      <c r="H7410" s="23">
        <v>0</v>
      </c>
      <c r="I7410" s="23">
        <v>935.577</v>
      </c>
      <c r="J7410" s="23">
        <v>0</v>
      </c>
      <c r="K7410" s="23">
        <v>0</v>
      </c>
    </row>
    <row r="7411" spans="1:11" x14ac:dyDescent="0.25">
      <c r="A7411">
        <v>7410</v>
      </c>
      <c r="B7411" s="23">
        <v>1119.8599999999999</v>
      </c>
      <c r="C7411" s="23">
        <v>3.15</v>
      </c>
      <c r="D7411" s="23">
        <v>0</v>
      </c>
      <c r="E7411" s="23">
        <v>0</v>
      </c>
      <c r="F7411" s="23">
        <v>0</v>
      </c>
      <c r="G7411" s="23">
        <v>0</v>
      </c>
      <c r="H7411" s="23">
        <v>0</v>
      </c>
      <c r="I7411" s="23">
        <v>0</v>
      </c>
      <c r="J7411" s="23">
        <v>0</v>
      </c>
      <c r="K7411" s="23">
        <v>1119.8599999999999</v>
      </c>
    </row>
    <row r="7412" spans="1:11" x14ac:dyDescent="0.25">
      <c r="A7412">
        <v>7411</v>
      </c>
      <c r="B7412" s="23">
        <v>915.2</v>
      </c>
      <c r="C7412" s="23">
        <v>0</v>
      </c>
      <c r="D7412" s="23">
        <v>0</v>
      </c>
      <c r="E7412" s="23">
        <v>0</v>
      </c>
      <c r="F7412" s="23">
        <v>0</v>
      </c>
      <c r="G7412" s="23">
        <v>0</v>
      </c>
      <c r="H7412" s="23">
        <v>0</v>
      </c>
      <c r="I7412" s="23">
        <v>0</v>
      </c>
      <c r="J7412" s="23">
        <v>0</v>
      </c>
      <c r="K7412" s="23">
        <v>915.2</v>
      </c>
    </row>
    <row r="7413" spans="1:11" x14ac:dyDescent="0.25">
      <c r="A7413">
        <v>7412</v>
      </c>
      <c r="B7413" s="23">
        <v>1072.8</v>
      </c>
      <c r="C7413" s="23">
        <v>0</v>
      </c>
      <c r="D7413" s="23">
        <v>0</v>
      </c>
      <c r="E7413" s="23">
        <v>0</v>
      </c>
      <c r="F7413" s="23">
        <v>0</v>
      </c>
      <c r="G7413" s="23">
        <v>0</v>
      </c>
      <c r="H7413" s="23">
        <v>0</v>
      </c>
      <c r="I7413" s="23">
        <v>0</v>
      </c>
      <c r="J7413" s="23">
        <v>0</v>
      </c>
      <c r="K7413" s="23">
        <v>1072.8</v>
      </c>
    </row>
    <row r="7414" spans="1:11" x14ac:dyDescent="0.25">
      <c r="A7414">
        <v>7413</v>
      </c>
      <c r="B7414" s="23">
        <v>1204</v>
      </c>
      <c r="C7414" s="23">
        <v>0</v>
      </c>
      <c r="D7414" s="23">
        <v>0</v>
      </c>
      <c r="E7414" s="23">
        <v>0</v>
      </c>
      <c r="F7414" s="23">
        <v>0</v>
      </c>
      <c r="G7414" s="23">
        <v>0</v>
      </c>
      <c r="H7414" s="23">
        <v>0</v>
      </c>
      <c r="I7414" s="23">
        <v>1204</v>
      </c>
      <c r="J7414" s="23">
        <v>0</v>
      </c>
      <c r="K7414" s="23">
        <v>0</v>
      </c>
    </row>
    <row r="7415" spans="1:11" x14ac:dyDescent="0.25">
      <c r="A7415">
        <v>7414</v>
      </c>
      <c r="B7415" s="23">
        <v>921.6</v>
      </c>
      <c r="C7415" s="23">
        <v>0</v>
      </c>
      <c r="D7415" s="23">
        <v>0</v>
      </c>
      <c r="E7415" s="23">
        <v>0</v>
      </c>
      <c r="F7415" s="23">
        <v>0</v>
      </c>
      <c r="G7415" s="23">
        <v>0</v>
      </c>
      <c r="H7415" s="23">
        <v>0</v>
      </c>
      <c r="I7415" s="23">
        <v>921.6</v>
      </c>
      <c r="J7415" s="23">
        <v>0</v>
      </c>
      <c r="K7415" s="23">
        <v>0</v>
      </c>
    </row>
    <row r="7416" spans="1:11" x14ac:dyDescent="0.25">
      <c r="A7416">
        <v>7415</v>
      </c>
      <c r="B7416" s="23">
        <v>1499.2</v>
      </c>
      <c r="C7416" s="23">
        <v>0</v>
      </c>
      <c r="D7416" s="23">
        <v>0</v>
      </c>
      <c r="E7416" s="23">
        <v>0</v>
      </c>
      <c r="F7416" s="23">
        <v>0</v>
      </c>
      <c r="G7416" s="23">
        <v>0</v>
      </c>
      <c r="H7416" s="23">
        <v>0</v>
      </c>
      <c r="I7416" s="23">
        <v>1499.2</v>
      </c>
      <c r="J7416" s="23">
        <v>0</v>
      </c>
      <c r="K7416" s="23">
        <v>0</v>
      </c>
    </row>
    <row r="7417" spans="1:11" x14ac:dyDescent="0.25">
      <c r="A7417">
        <v>7416</v>
      </c>
      <c r="B7417" s="23">
        <v>1340</v>
      </c>
      <c r="C7417" s="23">
        <v>0</v>
      </c>
      <c r="D7417" s="23">
        <v>0</v>
      </c>
      <c r="E7417" s="23">
        <v>0</v>
      </c>
      <c r="F7417" s="23">
        <v>0</v>
      </c>
      <c r="G7417" s="23">
        <v>0</v>
      </c>
      <c r="H7417" s="23">
        <v>0</v>
      </c>
      <c r="I7417" s="23">
        <v>1340</v>
      </c>
      <c r="J7417" s="23">
        <v>0</v>
      </c>
      <c r="K7417" s="23">
        <v>0</v>
      </c>
    </row>
    <row r="7418" spans="1:11" x14ac:dyDescent="0.25">
      <c r="A7418">
        <v>7417</v>
      </c>
      <c r="B7418" s="23">
        <v>1268</v>
      </c>
      <c r="C7418" s="23">
        <v>0</v>
      </c>
      <c r="D7418" s="23">
        <v>0</v>
      </c>
      <c r="E7418" s="23">
        <v>0</v>
      </c>
      <c r="F7418" s="23">
        <v>0</v>
      </c>
      <c r="G7418" s="23">
        <v>0</v>
      </c>
      <c r="H7418" s="23">
        <v>0</v>
      </c>
      <c r="I7418" s="23">
        <v>1268</v>
      </c>
      <c r="J7418" s="23">
        <v>0</v>
      </c>
      <c r="K7418" s="23">
        <v>0</v>
      </c>
    </row>
    <row r="7419" spans="1:11" x14ac:dyDescent="0.25">
      <c r="A7419">
        <v>7418</v>
      </c>
      <c r="B7419" s="23">
        <v>1223.2</v>
      </c>
      <c r="C7419" s="23">
        <v>0</v>
      </c>
      <c r="D7419" s="23">
        <v>0</v>
      </c>
      <c r="E7419" s="23">
        <v>0</v>
      </c>
      <c r="F7419" s="23">
        <v>0</v>
      </c>
      <c r="G7419" s="23">
        <v>0</v>
      </c>
      <c r="H7419" s="23">
        <v>0</v>
      </c>
      <c r="I7419" s="23">
        <v>1223.2</v>
      </c>
      <c r="J7419" s="23">
        <v>0</v>
      </c>
      <c r="K7419" s="23">
        <v>0</v>
      </c>
    </row>
    <row r="7420" spans="1:11" x14ac:dyDescent="0.25">
      <c r="A7420">
        <v>7419</v>
      </c>
      <c r="B7420" s="23">
        <v>1244.8</v>
      </c>
      <c r="C7420" s="23">
        <v>0</v>
      </c>
      <c r="D7420" s="23">
        <v>0</v>
      </c>
      <c r="E7420" s="23">
        <v>0</v>
      </c>
      <c r="F7420" s="23">
        <v>0</v>
      </c>
      <c r="G7420" s="23">
        <v>0</v>
      </c>
      <c r="H7420" s="23">
        <v>0</v>
      </c>
      <c r="I7420" s="23">
        <v>1244.8</v>
      </c>
      <c r="J7420" s="23">
        <v>0</v>
      </c>
      <c r="K7420" s="23">
        <v>0</v>
      </c>
    </row>
    <row r="7421" spans="1:11" x14ac:dyDescent="0.25">
      <c r="A7421">
        <v>7420</v>
      </c>
      <c r="B7421" s="23">
        <v>1196</v>
      </c>
      <c r="C7421" s="23">
        <v>0</v>
      </c>
      <c r="D7421" s="23">
        <v>0</v>
      </c>
      <c r="E7421" s="23">
        <v>0</v>
      </c>
      <c r="F7421" s="23">
        <v>0</v>
      </c>
      <c r="G7421" s="23">
        <v>0</v>
      </c>
      <c r="H7421" s="23">
        <v>0</v>
      </c>
      <c r="I7421" s="23">
        <v>1196</v>
      </c>
      <c r="J7421" s="23">
        <v>0</v>
      </c>
      <c r="K7421" s="23">
        <v>0</v>
      </c>
    </row>
    <row r="7422" spans="1:11" x14ac:dyDescent="0.25">
      <c r="A7422">
        <v>7421</v>
      </c>
      <c r="B7422" s="23">
        <v>920</v>
      </c>
      <c r="C7422" s="23">
        <v>0</v>
      </c>
      <c r="D7422" s="23">
        <v>0</v>
      </c>
      <c r="E7422" s="23">
        <v>0</v>
      </c>
      <c r="F7422" s="23">
        <v>0</v>
      </c>
      <c r="G7422" s="23">
        <v>0</v>
      </c>
      <c r="H7422" s="23">
        <v>0</v>
      </c>
      <c r="I7422" s="23">
        <v>920</v>
      </c>
      <c r="J7422" s="23">
        <v>0</v>
      </c>
      <c r="K7422" s="23">
        <v>0</v>
      </c>
    </row>
    <row r="7423" spans="1:11" x14ac:dyDescent="0.25">
      <c r="A7423">
        <v>7422</v>
      </c>
      <c r="B7423" s="23">
        <v>1409.6</v>
      </c>
      <c r="C7423" s="23">
        <v>0</v>
      </c>
      <c r="D7423" s="23">
        <v>0</v>
      </c>
      <c r="E7423" s="23">
        <v>0</v>
      </c>
      <c r="F7423" s="23">
        <v>0</v>
      </c>
      <c r="G7423" s="23">
        <v>0</v>
      </c>
      <c r="H7423" s="23">
        <v>0</v>
      </c>
      <c r="I7423" s="23">
        <v>1409.6</v>
      </c>
      <c r="J7423" s="23">
        <v>0</v>
      </c>
      <c r="K7423" s="23">
        <v>0</v>
      </c>
    </row>
    <row r="7424" spans="1:11" x14ac:dyDescent="0.25">
      <c r="A7424">
        <v>7423</v>
      </c>
      <c r="B7424" s="23">
        <v>1301.174</v>
      </c>
      <c r="C7424" s="23">
        <v>48.48</v>
      </c>
      <c r="D7424" s="23">
        <v>164.643</v>
      </c>
      <c r="E7424" s="23">
        <v>164.643</v>
      </c>
      <c r="F7424" s="23">
        <v>0</v>
      </c>
      <c r="G7424" s="23">
        <v>0</v>
      </c>
      <c r="H7424" s="23">
        <v>0</v>
      </c>
      <c r="I7424" s="23">
        <v>1136.5309999999999</v>
      </c>
      <c r="J7424" s="23">
        <v>0</v>
      </c>
      <c r="K7424" s="23">
        <v>0</v>
      </c>
    </row>
    <row r="7425" spans="1:11" x14ac:dyDescent="0.25">
      <c r="A7425">
        <v>7424</v>
      </c>
      <c r="B7425" s="23">
        <v>900.70399999999995</v>
      </c>
      <c r="C7425" s="23">
        <v>145.41</v>
      </c>
      <c r="D7425" s="23">
        <v>562.63400000000001</v>
      </c>
      <c r="E7425" s="23">
        <v>562.63400000000001</v>
      </c>
      <c r="F7425" s="23">
        <v>0</v>
      </c>
      <c r="G7425" s="23">
        <v>0</v>
      </c>
      <c r="H7425" s="23">
        <v>0</v>
      </c>
      <c r="I7425" s="23">
        <v>338.07</v>
      </c>
      <c r="J7425" s="23">
        <v>0</v>
      </c>
      <c r="K7425" s="23">
        <v>0</v>
      </c>
    </row>
    <row r="7426" spans="1:11" x14ac:dyDescent="0.25">
      <c r="A7426">
        <v>7425</v>
      </c>
      <c r="B7426" s="23">
        <v>1025.232</v>
      </c>
      <c r="C7426" s="23">
        <v>73.260000000000005</v>
      </c>
      <c r="D7426" s="23">
        <v>261.73399999999998</v>
      </c>
      <c r="E7426" s="23">
        <v>261.73399999999998</v>
      </c>
      <c r="F7426" s="23">
        <v>0</v>
      </c>
      <c r="G7426" s="23">
        <v>0</v>
      </c>
      <c r="H7426" s="23">
        <v>0</v>
      </c>
      <c r="I7426" s="23">
        <v>763.49800000000005</v>
      </c>
      <c r="J7426" s="23">
        <v>0</v>
      </c>
      <c r="K7426" s="23">
        <v>0</v>
      </c>
    </row>
    <row r="7427" spans="1:11" x14ac:dyDescent="0.25">
      <c r="A7427">
        <v>7426</v>
      </c>
      <c r="B7427" s="23">
        <v>1161.7339999999999</v>
      </c>
      <c r="C7427" s="23">
        <v>343.28</v>
      </c>
      <c r="D7427" s="23">
        <v>1322.9459999999999</v>
      </c>
      <c r="E7427" s="23">
        <v>1161.7339999999999</v>
      </c>
      <c r="F7427" s="23">
        <v>-161.21199999999999</v>
      </c>
      <c r="G7427" s="23">
        <v>0</v>
      </c>
      <c r="H7427" s="23">
        <v>0</v>
      </c>
      <c r="I7427" s="23">
        <v>0</v>
      </c>
      <c r="J7427" s="23">
        <v>0</v>
      </c>
      <c r="K7427" s="23">
        <v>0</v>
      </c>
    </row>
    <row r="7428" spans="1:11" x14ac:dyDescent="0.25">
      <c r="A7428">
        <v>7427</v>
      </c>
      <c r="B7428" s="23">
        <v>1161.0930000000001</v>
      </c>
      <c r="C7428" s="23">
        <v>510.05</v>
      </c>
      <c r="D7428" s="23">
        <v>1937.857</v>
      </c>
      <c r="E7428" s="23">
        <v>1161.0930000000001</v>
      </c>
      <c r="F7428" s="23">
        <v>-776.76400000000001</v>
      </c>
      <c r="G7428" s="23">
        <v>0</v>
      </c>
      <c r="H7428" s="23">
        <v>0</v>
      </c>
      <c r="I7428" s="23">
        <v>0</v>
      </c>
      <c r="J7428" s="23">
        <v>0</v>
      </c>
      <c r="K7428" s="23">
        <v>0</v>
      </c>
    </row>
    <row r="7429" spans="1:11" x14ac:dyDescent="0.25">
      <c r="A7429">
        <v>7428</v>
      </c>
      <c r="B7429" s="23">
        <v>1382.4059999999999</v>
      </c>
      <c r="C7429" s="23">
        <v>466.93</v>
      </c>
      <c r="D7429" s="23">
        <v>1765.75</v>
      </c>
      <c r="E7429" s="23">
        <v>1382.4059999999999</v>
      </c>
      <c r="F7429" s="23">
        <v>-383.34399999999999</v>
      </c>
      <c r="G7429" s="23">
        <v>0</v>
      </c>
      <c r="H7429" s="23">
        <v>0</v>
      </c>
      <c r="I7429" s="23">
        <v>0</v>
      </c>
      <c r="J7429" s="23">
        <v>0</v>
      </c>
      <c r="K7429" s="23">
        <v>0</v>
      </c>
    </row>
    <row r="7430" spans="1:11" x14ac:dyDescent="0.25">
      <c r="A7430">
        <v>7429</v>
      </c>
      <c r="B7430" s="23">
        <v>1308.3119999999999</v>
      </c>
      <c r="C7430" s="23">
        <v>467.01</v>
      </c>
      <c r="D7430" s="23">
        <v>1763.9259999999999</v>
      </c>
      <c r="E7430" s="23">
        <v>1308.3119999999999</v>
      </c>
      <c r="F7430" s="23">
        <v>-455.61399999999998</v>
      </c>
      <c r="G7430" s="23">
        <v>0</v>
      </c>
      <c r="H7430" s="23">
        <v>0</v>
      </c>
      <c r="I7430" s="23">
        <v>0</v>
      </c>
      <c r="J7430" s="23">
        <v>0</v>
      </c>
      <c r="K7430" s="23">
        <v>0</v>
      </c>
    </row>
    <row r="7431" spans="1:11" x14ac:dyDescent="0.25">
      <c r="A7431">
        <v>7430</v>
      </c>
      <c r="B7431" s="23">
        <v>1078.0450000000001</v>
      </c>
      <c r="C7431" s="23">
        <v>437.25</v>
      </c>
      <c r="D7431" s="23">
        <v>1658.261</v>
      </c>
      <c r="E7431" s="23">
        <v>1078.0450000000001</v>
      </c>
      <c r="F7431" s="23">
        <v>-580.21600000000001</v>
      </c>
      <c r="G7431" s="23">
        <v>0</v>
      </c>
      <c r="H7431" s="23">
        <v>0</v>
      </c>
      <c r="I7431" s="23">
        <v>0</v>
      </c>
      <c r="J7431" s="23">
        <v>0</v>
      </c>
      <c r="K7431" s="23">
        <v>0</v>
      </c>
    </row>
    <row r="7432" spans="1:11" x14ac:dyDescent="0.25">
      <c r="A7432">
        <v>7431</v>
      </c>
      <c r="B7432" s="23">
        <v>1313.3620000000001</v>
      </c>
      <c r="C7432" s="23">
        <v>346.46</v>
      </c>
      <c r="D7432" s="23">
        <v>1330.979</v>
      </c>
      <c r="E7432" s="23">
        <v>1313.3620000000001</v>
      </c>
      <c r="F7432" s="23">
        <v>-17.617000000000001</v>
      </c>
      <c r="G7432" s="23">
        <v>0</v>
      </c>
      <c r="H7432" s="23">
        <v>0</v>
      </c>
      <c r="I7432" s="23">
        <v>0</v>
      </c>
      <c r="J7432" s="23">
        <v>0</v>
      </c>
      <c r="K7432" s="23">
        <v>0</v>
      </c>
    </row>
    <row r="7433" spans="1:11" x14ac:dyDescent="0.25">
      <c r="A7433">
        <v>7432</v>
      </c>
      <c r="B7433" s="23">
        <v>1419.0239999999999</v>
      </c>
      <c r="C7433" s="23">
        <v>140.59</v>
      </c>
      <c r="D7433" s="23">
        <v>532.30600000000004</v>
      </c>
      <c r="E7433" s="23">
        <v>532.30600000000004</v>
      </c>
      <c r="F7433" s="23">
        <v>0</v>
      </c>
      <c r="G7433" s="23">
        <v>0</v>
      </c>
      <c r="H7433" s="23">
        <v>0</v>
      </c>
      <c r="I7433" s="23">
        <v>886.71799999999996</v>
      </c>
      <c r="J7433" s="23">
        <v>0</v>
      </c>
      <c r="K7433" s="23">
        <v>0</v>
      </c>
    </row>
    <row r="7434" spans="1:11" x14ac:dyDescent="0.25">
      <c r="A7434">
        <v>7433</v>
      </c>
      <c r="B7434" s="23">
        <v>1209.1400000000001</v>
      </c>
      <c r="C7434" s="23">
        <v>79.89</v>
      </c>
      <c r="D7434" s="23">
        <v>287.91899999999998</v>
      </c>
      <c r="E7434" s="23">
        <v>287.91899999999998</v>
      </c>
      <c r="F7434" s="23">
        <v>0</v>
      </c>
      <c r="G7434" s="23">
        <v>0</v>
      </c>
      <c r="H7434" s="23">
        <v>0</v>
      </c>
      <c r="I7434" s="23">
        <v>921.221</v>
      </c>
      <c r="J7434" s="23">
        <v>0</v>
      </c>
      <c r="K7434" s="23">
        <v>0</v>
      </c>
    </row>
    <row r="7435" spans="1:11" x14ac:dyDescent="0.25">
      <c r="A7435">
        <v>7434</v>
      </c>
      <c r="B7435" s="23">
        <v>1214.1310000000001</v>
      </c>
      <c r="C7435" s="23">
        <v>0.98</v>
      </c>
      <c r="D7435" s="23">
        <v>0</v>
      </c>
      <c r="E7435" s="23">
        <v>0</v>
      </c>
      <c r="F7435" s="23">
        <v>0</v>
      </c>
      <c r="G7435" s="23">
        <v>0</v>
      </c>
      <c r="H7435" s="23">
        <v>0</v>
      </c>
      <c r="I7435" s="23">
        <v>0</v>
      </c>
      <c r="J7435" s="23">
        <v>0</v>
      </c>
      <c r="K7435" s="23">
        <v>1214.1310000000001</v>
      </c>
    </row>
    <row r="7436" spans="1:11" x14ac:dyDescent="0.25">
      <c r="A7436">
        <v>7435</v>
      </c>
      <c r="B7436" s="23">
        <v>1495.2</v>
      </c>
      <c r="C7436" s="23">
        <v>0</v>
      </c>
      <c r="D7436" s="23">
        <v>0</v>
      </c>
      <c r="E7436" s="23">
        <v>0</v>
      </c>
      <c r="F7436" s="23">
        <v>0</v>
      </c>
      <c r="G7436" s="23">
        <v>0</v>
      </c>
      <c r="H7436" s="23">
        <v>0</v>
      </c>
      <c r="I7436" s="23">
        <v>0</v>
      </c>
      <c r="J7436" s="23">
        <v>0</v>
      </c>
      <c r="K7436" s="23">
        <v>1495.2</v>
      </c>
    </row>
    <row r="7437" spans="1:11" x14ac:dyDescent="0.25">
      <c r="A7437">
        <v>7436</v>
      </c>
      <c r="B7437" s="23">
        <v>1044.8</v>
      </c>
      <c r="C7437" s="23">
        <v>0</v>
      </c>
      <c r="D7437" s="23">
        <v>0</v>
      </c>
      <c r="E7437" s="23">
        <v>0</v>
      </c>
      <c r="F7437" s="23">
        <v>0</v>
      </c>
      <c r="G7437" s="23">
        <v>0</v>
      </c>
      <c r="H7437" s="23">
        <v>0</v>
      </c>
      <c r="I7437" s="23">
        <v>0</v>
      </c>
      <c r="J7437" s="23">
        <v>0</v>
      </c>
      <c r="K7437" s="23">
        <v>1044.8</v>
      </c>
    </row>
    <row r="7438" spans="1:11" x14ac:dyDescent="0.25">
      <c r="A7438">
        <v>7437</v>
      </c>
      <c r="B7438" s="23">
        <v>1540.8</v>
      </c>
      <c r="C7438" s="23">
        <v>0</v>
      </c>
      <c r="D7438" s="23">
        <v>0</v>
      </c>
      <c r="E7438" s="23">
        <v>0</v>
      </c>
      <c r="F7438" s="23">
        <v>0</v>
      </c>
      <c r="G7438" s="23">
        <v>0</v>
      </c>
      <c r="H7438" s="23">
        <v>0</v>
      </c>
      <c r="I7438" s="23">
        <v>1540.8</v>
      </c>
      <c r="J7438" s="23">
        <v>0</v>
      </c>
      <c r="K7438" s="23">
        <v>0</v>
      </c>
    </row>
    <row r="7439" spans="1:11" x14ac:dyDescent="0.25">
      <c r="A7439">
        <v>7438</v>
      </c>
      <c r="B7439" s="23">
        <v>1288</v>
      </c>
      <c r="C7439" s="23">
        <v>0</v>
      </c>
      <c r="D7439" s="23">
        <v>0</v>
      </c>
      <c r="E7439" s="23">
        <v>0</v>
      </c>
      <c r="F7439" s="23">
        <v>0</v>
      </c>
      <c r="G7439" s="23">
        <v>0</v>
      </c>
      <c r="H7439" s="23">
        <v>0</v>
      </c>
      <c r="I7439" s="23">
        <v>1288</v>
      </c>
      <c r="J7439" s="23">
        <v>0</v>
      </c>
      <c r="K7439" s="23">
        <v>0</v>
      </c>
    </row>
    <row r="7440" spans="1:11" x14ac:dyDescent="0.25">
      <c r="A7440">
        <v>7439</v>
      </c>
      <c r="B7440" s="23">
        <v>1128.8</v>
      </c>
      <c r="C7440" s="23">
        <v>0</v>
      </c>
      <c r="D7440" s="23">
        <v>0</v>
      </c>
      <c r="E7440" s="23">
        <v>0</v>
      </c>
      <c r="F7440" s="23">
        <v>0</v>
      </c>
      <c r="G7440" s="23">
        <v>0</v>
      </c>
      <c r="H7440" s="23">
        <v>0</v>
      </c>
      <c r="I7440" s="23">
        <v>1128.8</v>
      </c>
      <c r="J7440" s="23">
        <v>0</v>
      </c>
      <c r="K7440" s="23">
        <v>0</v>
      </c>
    </row>
    <row r="7441" spans="1:11" x14ac:dyDescent="0.25">
      <c r="A7441">
        <v>7440</v>
      </c>
      <c r="B7441" s="23">
        <v>1216</v>
      </c>
      <c r="C7441" s="23">
        <v>0</v>
      </c>
      <c r="D7441" s="23">
        <v>0</v>
      </c>
      <c r="E7441" s="23">
        <v>0</v>
      </c>
      <c r="F7441" s="23">
        <v>0</v>
      </c>
      <c r="G7441" s="23">
        <v>0</v>
      </c>
      <c r="H7441" s="23">
        <v>0</v>
      </c>
      <c r="I7441" s="23">
        <v>1216</v>
      </c>
      <c r="J7441" s="23">
        <v>0</v>
      </c>
      <c r="K7441" s="23">
        <v>0</v>
      </c>
    </row>
    <row r="7442" spans="1:11" x14ac:dyDescent="0.25">
      <c r="A7442">
        <v>7441</v>
      </c>
      <c r="B7442" s="23">
        <v>784.8</v>
      </c>
      <c r="C7442" s="23">
        <v>0</v>
      </c>
      <c r="D7442" s="23">
        <v>0</v>
      </c>
      <c r="E7442" s="23">
        <v>0</v>
      </c>
      <c r="F7442" s="23">
        <v>0</v>
      </c>
      <c r="G7442" s="23">
        <v>0</v>
      </c>
      <c r="H7442" s="23">
        <v>0</v>
      </c>
      <c r="I7442" s="23">
        <v>784.8</v>
      </c>
      <c r="J7442" s="23">
        <v>0</v>
      </c>
      <c r="K7442" s="23">
        <v>0</v>
      </c>
    </row>
    <row r="7443" spans="1:11" x14ac:dyDescent="0.25">
      <c r="A7443">
        <v>7442</v>
      </c>
      <c r="B7443" s="23">
        <v>1167.2</v>
      </c>
      <c r="C7443" s="23">
        <v>0</v>
      </c>
      <c r="D7443" s="23">
        <v>0</v>
      </c>
      <c r="E7443" s="23">
        <v>0</v>
      </c>
      <c r="F7443" s="23">
        <v>0</v>
      </c>
      <c r="G7443" s="23">
        <v>0</v>
      </c>
      <c r="H7443" s="23">
        <v>0</v>
      </c>
      <c r="I7443" s="23">
        <v>1167.2</v>
      </c>
      <c r="J7443" s="23">
        <v>0</v>
      </c>
      <c r="K7443" s="23">
        <v>0</v>
      </c>
    </row>
    <row r="7444" spans="1:11" x14ac:dyDescent="0.25">
      <c r="A7444">
        <v>7443</v>
      </c>
      <c r="B7444" s="23">
        <v>1024</v>
      </c>
      <c r="C7444" s="23">
        <v>0</v>
      </c>
      <c r="D7444" s="23">
        <v>0</v>
      </c>
      <c r="E7444" s="23">
        <v>0</v>
      </c>
      <c r="F7444" s="23">
        <v>0</v>
      </c>
      <c r="G7444" s="23">
        <v>0</v>
      </c>
      <c r="H7444" s="23">
        <v>0</v>
      </c>
      <c r="I7444" s="23">
        <v>1024</v>
      </c>
      <c r="J7444" s="23">
        <v>0</v>
      </c>
      <c r="K7444" s="23">
        <v>0</v>
      </c>
    </row>
    <row r="7445" spans="1:11" x14ac:dyDescent="0.25">
      <c r="A7445">
        <v>7444</v>
      </c>
      <c r="B7445" s="23">
        <v>1230.4000000000001</v>
      </c>
      <c r="C7445" s="23">
        <v>0</v>
      </c>
      <c r="D7445" s="23">
        <v>0</v>
      </c>
      <c r="E7445" s="23">
        <v>0</v>
      </c>
      <c r="F7445" s="23">
        <v>0</v>
      </c>
      <c r="G7445" s="23">
        <v>0</v>
      </c>
      <c r="H7445" s="23">
        <v>0</v>
      </c>
      <c r="I7445" s="23">
        <v>1230.4000000000001</v>
      </c>
      <c r="J7445" s="23">
        <v>0</v>
      </c>
      <c r="K7445" s="23">
        <v>0</v>
      </c>
    </row>
    <row r="7446" spans="1:11" x14ac:dyDescent="0.25">
      <c r="A7446">
        <v>7445</v>
      </c>
      <c r="B7446" s="23">
        <v>1207.2</v>
      </c>
      <c r="C7446" s="23">
        <v>0</v>
      </c>
      <c r="D7446" s="23">
        <v>0</v>
      </c>
      <c r="E7446" s="23">
        <v>0</v>
      </c>
      <c r="F7446" s="23">
        <v>0</v>
      </c>
      <c r="G7446" s="23">
        <v>0</v>
      </c>
      <c r="H7446" s="23">
        <v>0</v>
      </c>
      <c r="I7446" s="23">
        <v>1088.644</v>
      </c>
      <c r="J7446" s="23">
        <v>0</v>
      </c>
      <c r="K7446" s="23">
        <v>118.556</v>
      </c>
    </row>
    <row r="7447" spans="1:11" x14ac:dyDescent="0.25">
      <c r="A7447">
        <v>7446</v>
      </c>
      <c r="B7447" s="23">
        <v>961.6</v>
      </c>
      <c r="C7447" s="23">
        <v>0</v>
      </c>
      <c r="D7447" s="23">
        <v>0</v>
      </c>
      <c r="E7447" s="23">
        <v>0</v>
      </c>
      <c r="F7447" s="23">
        <v>0</v>
      </c>
      <c r="G7447" s="23">
        <v>0</v>
      </c>
      <c r="H7447" s="23">
        <v>0</v>
      </c>
      <c r="I7447" s="23">
        <v>0</v>
      </c>
      <c r="J7447" s="23">
        <v>0</v>
      </c>
      <c r="K7447" s="23">
        <v>961.6</v>
      </c>
    </row>
    <row r="7448" spans="1:11" x14ac:dyDescent="0.25">
      <c r="A7448">
        <v>7447</v>
      </c>
      <c r="B7448" s="23">
        <v>1106.751</v>
      </c>
      <c r="C7448" s="23">
        <v>104.12</v>
      </c>
      <c r="D7448" s="23">
        <v>363.17899999999997</v>
      </c>
      <c r="E7448" s="23">
        <v>363.17899999999997</v>
      </c>
      <c r="F7448" s="23">
        <v>0</v>
      </c>
      <c r="G7448" s="23">
        <v>0</v>
      </c>
      <c r="H7448" s="23">
        <v>0</v>
      </c>
      <c r="I7448" s="23">
        <v>0</v>
      </c>
      <c r="J7448" s="23">
        <v>0</v>
      </c>
      <c r="K7448" s="23">
        <v>743.572</v>
      </c>
    </row>
    <row r="7449" spans="1:11" x14ac:dyDescent="0.25">
      <c r="A7449">
        <v>7448</v>
      </c>
      <c r="B7449" s="23">
        <v>981.30399999999997</v>
      </c>
      <c r="C7449" s="23">
        <v>347.9</v>
      </c>
      <c r="D7449" s="23">
        <v>1395.8710000000001</v>
      </c>
      <c r="E7449" s="23">
        <v>981.30399999999997</v>
      </c>
      <c r="F7449" s="23">
        <v>-414.56700000000001</v>
      </c>
      <c r="G7449" s="23">
        <v>0</v>
      </c>
      <c r="H7449" s="23">
        <v>0</v>
      </c>
      <c r="I7449" s="23">
        <v>0</v>
      </c>
      <c r="J7449" s="23">
        <v>0</v>
      </c>
      <c r="K7449" s="23">
        <v>0</v>
      </c>
    </row>
    <row r="7450" spans="1:11" x14ac:dyDescent="0.25">
      <c r="A7450">
        <v>7449</v>
      </c>
      <c r="B7450" s="23">
        <v>1087.115</v>
      </c>
      <c r="C7450" s="23">
        <v>588.28</v>
      </c>
      <c r="D7450" s="23">
        <v>2340.1930000000002</v>
      </c>
      <c r="E7450" s="23">
        <v>1087.115</v>
      </c>
      <c r="F7450" s="23">
        <v>-1253.078</v>
      </c>
      <c r="G7450" s="23">
        <v>0</v>
      </c>
      <c r="H7450" s="23">
        <v>0</v>
      </c>
      <c r="I7450" s="23">
        <v>0</v>
      </c>
      <c r="J7450" s="23">
        <v>0</v>
      </c>
      <c r="K7450" s="23">
        <v>0</v>
      </c>
    </row>
    <row r="7451" spans="1:11" x14ac:dyDescent="0.25">
      <c r="A7451">
        <v>7450</v>
      </c>
      <c r="B7451" s="23">
        <v>1162.0940000000001</v>
      </c>
      <c r="C7451" s="23">
        <v>780.12</v>
      </c>
      <c r="D7451" s="23">
        <v>3015.0010000000002</v>
      </c>
      <c r="E7451" s="23">
        <v>1162.0940000000001</v>
      </c>
      <c r="F7451" s="23">
        <v>-1684.559</v>
      </c>
      <c r="G7451" s="23">
        <v>0</v>
      </c>
      <c r="H7451" s="23">
        <v>168.34800000000001</v>
      </c>
      <c r="I7451" s="23">
        <v>0</v>
      </c>
      <c r="J7451" s="23">
        <v>0</v>
      </c>
      <c r="K7451" s="23">
        <v>0</v>
      </c>
    </row>
    <row r="7452" spans="1:11" x14ac:dyDescent="0.25">
      <c r="A7452">
        <v>7451</v>
      </c>
      <c r="B7452" s="23">
        <v>1710.0309999999999</v>
      </c>
      <c r="C7452" s="23">
        <v>734.77</v>
      </c>
      <c r="D7452" s="23">
        <v>2817.953</v>
      </c>
      <c r="E7452" s="23">
        <v>1710.0309999999999</v>
      </c>
      <c r="F7452" s="23">
        <v>-1107.922</v>
      </c>
      <c r="G7452" s="23">
        <v>0</v>
      </c>
      <c r="H7452" s="23">
        <v>0</v>
      </c>
      <c r="I7452" s="23">
        <v>0</v>
      </c>
      <c r="J7452" s="23">
        <v>0</v>
      </c>
      <c r="K7452" s="23">
        <v>0</v>
      </c>
    </row>
    <row r="7453" spans="1:11" x14ac:dyDescent="0.25">
      <c r="A7453">
        <v>7452</v>
      </c>
      <c r="B7453" s="23">
        <v>1447.547</v>
      </c>
      <c r="C7453" s="23">
        <v>765.88</v>
      </c>
      <c r="D7453" s="23">
        <v>2919.357</v>
      </c>
      <c r="E7453" s="23">
        <v>1447.547</v>
      </c>
      <c r="F7453" s="23">
        <v>-1471.81</v>
      </c>
      <c r="G7453" s="23">
        <v>0</v>
      </c>
      <c r="H7453" s="23">
        <v>0</v>
      </c>
      <c r="I7453" s="23">
        <v>0</v>
      </c>
      <c r="J7453" s="23">
        <v>0</v>
      </c>
      <c r="K7453" s="23">
        <v>0</v>
      </c>
    </row>
    <row r="7454" spans="1:11" x14ac:dyDescent="0.25">
      <c r="A7454">
        <v>7453</v>
      </c>
      <c r="B7454" s="23">
        <v>1355.19</v>
      </c>
      <c r="C7454" s="23">
        <v>563.09</v>
      </c>
      <c r="D7454" s="23">
        <v>2155.9920000000002</v>
      </c>
      <c r="E7454" s="23">
        <v>1355.19</v>
      </c>
      <c r="F7454" s="23">
        <v>-800.80200000000002</v>
      </c>
      <c r="G7454" s="23">
        <v>0</v>
      </c>
      <c r="H7454" s="23">
        <v>0</v>
      </c>
      <c r="I7454" s="23">
        <v>0</v>
      </c>
      <c r="J7454" s="23">
        <v>0</v>
      </c>
      <c r="K7454" s="23">
        <v>0</v>
      </c>
    </row>
    <row r="7455" spans="1:11" x14ac:dyDescent="0.25">
      <c r="A7455">
        <v>7454</v>
      </c>
      <c r="B7455" s="23">
        <v>1224.5440000000001</v>
      </c>
      <c r="C7455" s="23">
        <v>610.74</v>
      </c>
      <c r="D7455" s="23">
        <v>2360.06</v>
      </c>
      <c r="E7455" s="23">
        <v>1224.5429999999999</v>
      </c>
      <c r="F7455" s="23">
        <v>-558.76099999999997</v>
      </c>
      <c r="G7455" s="23">
        <v>0</v>
      </c>
      <c r="H7455" s="23">
        <v>576.75599999999997</v>
      </c>
      <c r="I7455" s="23">
        <v>0</v>
      </c>
      <c r="J7455" s="23">
        <v>0</v>
      </c>
      <c r="K7455" s="23">
        <v>0</v>
      </c>
    </row>
    <row r="7456" spans="1:11" x14ac:dyDescent="0.25">
      <c r="A7456">
        <v>7455</v>
      </c>
      <c r="B7456" s="23">
        <v>1435.9960000000001</v>
      </c>
      <c r="C7456" s="23">
        <v>359.68</v>
      </c>
      <c r="D7456" s="23">
        <v>1408.4860000000001</v>
      </c>
      <c r="E7456" s="23">
        <v>1408.4860000000001</v>
      </c>
      <c r="F7456" s="23">
        <v>0</v>
      </c>
      <c r="G7456" s="23">
        <v>0</v>
      </c>
      <c r="H7456" s="23">
        <v>0</v>
      </c>
      <c r="I7456" s="23">
        <v>27.51</v>
      </c>
      <c r="J7456" s="23">
        <v>0</v>
      </c>
      <c r="K7456" s="23">
        <v>0</v>
      </c>
    </row>
    <row r="7457" spans="1:11" x14ac:dyDescent="0.25">
      <c r="A7457">
        <v>7456</v>
      </c>
      <c r="B7457" s="23">
        <v>1576.816</v>
      </c>
      <c r="C7457" s="23">
        <v>336.78</v>
      </c>
      <c r="D7457" s="23">
        <v>1345.567</v>
      </c>
      <c r="E7457" s="23">
        <v>1345.567</v>
      </c>
      <c r="F7457" s="23">
        <v>0</v>
      </c>
      <c r="G7457" s="23">
        <v>0</v>
      </c>
      <c r="H7457" s="23">
        <v>0</v>
      </c>
      <c r="I7457" s="23">
        <v>231.249</v>
      </c>
      <c r="J7457" s="23">
        <v>0</v>
      </c>
      <c r="K7457" s="23">
        <v>0</v>
      </c>
    </row>
    <row r="7458" spans="1:11" x14ac:dyDescent="0.25">
      <c r="A7458">
        <v>7457</v>
      </c>
      <c r="B7458" s="23">
        <v>1545.3430000000001</v>
      </c>
      <c r="C7458" s="23">
        <v>161.88</v>
      </c>
      <c r="D7458" s="23">
        <v>588.88099999999997</v>
      </c>
      <c r="E7458" s="23">
        <v>588.88099999999997</v>
      </c>
      <c r="F7458" s="23">
        <v>0</v>
      </c>
      <c r="G7458" s="23">
        <v>0</v>
      </c>
      <c r="H7458" s="23">
        <v>0</v>
      </c>
      <c r="I7458" s="23">
        <v>956.46199999999999</v>
      </c>
      <c r="J7458" s="23">
        <v>0</v>
      </c>
      <c r="K7458" s="23">
        <v>0</v>
      </c>
    </row>
    <row r="7459" spans="1:11" x14ac:dyDescent="0.25">
      <c r="A7459">
        <v>7458</v>
      </c>
      <c r="B7459" s="23">
        <v>1644.7619999999999</v>
      </c>
      <c r="C7459" s="23">
        <v>1.96</v>
      </c>
      <c r="D7459" s="23">
        <v>0</v>
      </c>
      <c r="E7459" s="23">
        <v>0</v>
      </c>
      <c r="F7459" s="23">
        <v>0</v>
      </c>
      <c r="G7459" s="23">
        <v>0</v>
      </c>
      <c r="H7459" s="23">
        <v>0</v>
      </c>
      <c r="I7459" s="23">
        <v>0</v>
      </c>
      <c r="J7459" s="23">
        <v>0</v>
      </c>
      <c r="K7459" s="23">
        <v>1644.7619999999999</v>
      </c>
    </row>
    <row r="7460" spans="1:11" x14ac:dyDescent="0.25">
      <c r="A7460">
        <v>7459</v>
      </c>
      <c r="B7460" s="23">
        <v>1521.6</v>
      </c>
      <c r="C7460" s="23">
        <v>0</v>
      </c>
      <c r="D7460" s="23">
        <v>0</v>
      </c>
      <c r="E7460" s="23">
        <v>0</v>
      </c>
      <c r="F7460" s="23">
        <v>0</v>
      </c>
      <c r="G7460" s="23">
        <v>0</v>
      </c>
      <c r="H7460" s="23">
        <v>0</v>
      </c>
      <c r="I7460" s="23">
        <v>0</v>
      </c>
      <c r="J7460" s="23">
        <v>0</v>
      </c>
      <c r="K7460" s="23">
        <v>1521.6</v>
      </c>
    </row>
    <row r="7461" spans="1:11" x14ac:dyDescent="0.25">
      <c r="A7461">
        <v>7460</v>
      </c>
      <c r="B7461" s="23">
        <v>1470.4</v>
      </c>
      <c r="C7461" s="23">
        <v>0</v>
      </c>
      <c r="D7461" s="23">
        <v>0</v>
      </c>
      <c r="E7461" s="23">
        <v>0</v>
      </c>
      <c r="F7461" s="23">
        <v>0</v>
      </c>
      <c r="G7461" s="23">
        <v>0</v>
      </c>
      <c r="H7461" s="23">
        <v>0</v>
      </c>
      <c r="I7461" s="23">
        <v>0</v>
      </c>
      <c r="J7461" s="23">
        <v>0</v>
      </c>
      <c r="K7461" s="23">
        <v>1470.4</v>
      </c>
    </row>
    <row r="7462" spans="1:11" x14ac:dyDescent="0.25">
      <c r="A7462">
        <v>7461</v>
      </c>
      <c r="B7462" s="23">
        <v>1567.2</v>
      </c>
      <c r="C7462" s="23">
        <v>0</v>
      </c>
      <c r="D7462" s="23">
        <v>0</v>
      </c>
      <c r="E7462" s="23">
        <v>0</v>
      </c>
      <c r="F7462" s="23">
        <v>0</v>
      </c>
      <c r="G7462" s="23">
        <v>0</v>
      </c>
      <c r="H7462" s="23">
        <v>0</v>
      </c>
      <c r="I7462" s="23">
        <v>1567.2</v>
      </c>
      <c r="J7462" s="23">
        <v>0</v>
      </c>
      <c r="K7462" s="23">
        <v>0</v>
      </c>
    </row>
    <row r="7463" spans="1:11" x14ac:dyDescent="0.25">
      <c r="A7463">
        <v>7462</v>
      </c>
      <c r="B7463" s="23">
        <v>1155.2</v>
      </c>
      <c r="C7463" s="23">
        <v>0</v>
      </c>
      <c r="D7463" s="23">
        <v>0</v>
      </c>
      <c r="E7463" s="23">
        <v>0</v>
      </c>
      <c r="F7463" s="23">
        <v>0</v>
      </c>
      <c r="G7463" s="23">
        <v>0</v>
      </c>
      <c r="H7463" s="23">
        <v>0</v>
      </c>
      <c r="I7463" s="23">
        <v>1155.2</v>
      </c>
      <c r="J7463" s="23">
        <v>0</v>
      </c>
      <c r="K7463" s="23">
        <v>0</v>
      </c>
    </row>
    <row r="7464" spans="1:11" x14ac:dyDescent="0.25">
      <c r="A7464">
        <v>7463</v>
      </c>
      <c r="B7464" s="23">
        <v>1411.2</v>
      </c>
      <c r="C7464" s="23">
        <v>0</v>
      </c>
      <c r="D7464" s="23">
        <v>0</v>
      </c>
      <c r="E7464" s="23">
        <v>0</v>
      </c>
      <c r="F7464" s="23">
        <v>0</v>
      </c>
      <c r="G7464" s="23">
        <v>0</v>
      </c>
      <c r="H7464" s="23">
        <v>0</v>
      </c>
      <c r="I7464" s="23">
        <v>1411.2</v>
      </c>
      <c r="J7464" s="23">
        <v>0</v>
      </c>
      <c r="K7464" s="23">
        <v>0</v>
      </c>
    </row>
    <row r="7465" spans="1:11" x14ac:dyDescent="0.25">
      <c r="A7465">
        <v>7464</v>
      </c>
      <c r="B7465" s="23">
        <v>1588.8</v>
      </c>
      <c r="C7465" s="23">
        <v>0</v>
      </c>
      <c r="D7465" s="23">
        <v>0</v>
      </c>
      <c r="E7465" s="23">
        <v>0</v>
      </c>
      <c r="F7465" s="23">
        <v>0</v>
      </c>
      <c r="G7465" s="23">
        <v>0</v>
      </c>
      <c r="H7465" s="23">
        <v>0</v>
      </c>
      <c r="I7465" s="23">
        <v>1588.8</v>
      </c>
      <c r="J7465" s="23">
        <v>0</v>
      </c>
      <c r="K7465" s="23">
        <v>0</v>
      </c>
    </row>
    <row r="7466" spans="1:11" x14ac:dyDescent="0.25">
      <c r="A7466">
        <v>7465</v>
      </c>
      <c r="B7466" s="23">
        <v>1478.4</v>
      </c>
      <c r="C7466" s="23">
        <v>0</v>
      </c>
      <c r="D7466" s="23">
        <v>0</v>
      </c>
      <c r="E7466" s="23">
        <v>0</v>
      </c>
      <c r="F7466" s="23">
        <v>0</v>
      </c>
      <c r="G7466" s="23">
        <v>0</v>
      </c>
      <c r="H7466" s="23">
        <v>0</v>
      </c>
      <c r="I7466" s="23">
        <v>1478.4</v>
      </c>
      <c r="J7466" s="23">
        <v>0</v>
      </c>
      <c r="K7466" s="23">
        <v>0</v>
      </c>
    </row>
    <row r="7467" spans="1:11" x14ac:dyDescent="0.25">
      <c r="A7467">
        <v>7466</v>
      </c>
      <c r="B7467" s="23">
        <v>1609.6</v>
      </c>
      <c r="C7467" s="23">
        <v>0</v>
      </c>
      <c r="D7467" s="23">
        <v>0</v>
      </c>
      <c r="E7467" s="23">
        <v>0</v>
      </c>
      <c r="F7467" s="23">
        <v>0</v>
      </c>
      <c r="G7467" s="23">
        <v>0</v>
      </c>
      <c r="H7467" s="23">
        <v>0</v>
      </c>
      <c r="I7467" s="23">
        <v>1609.6</v>
      </c>
      <c r="J7467" s="23">
        <v>0</v>
      </c>
      <c r="K7467" s="23">
        <v>0</v>
      </c>
    </row>
    <row r="7468" spans="1:11" x14ac:dyDescent="0.25">
      <c r="A7468">
        <v>7467</v>
      </c>
      <c r="B7468" s="23">
        <v>1016</v>
      </c>
      <c r="C7468" s="23">
        <v>0</v>
      </c>
      <c r="D7468" s="23">
        <v>0</v>
      </c>
      <c r="E7468" s="23">
        <v>0</v>
      </c>
      <c r="F7468" s="23">
        <v>0</v>
      </c>
      <c r="G7468" s="23">
        <v>0</v>
      </c>
      <c r="H7468" s="23">
        <v>0</v>
      </c>
      <c r="I7468" s="23">
        <v>1016</v>
      </c>
      <c r="J7468" s="23">
        <v>0</v>
      </c>
      <c r="K7468" s="23">
        <v>0</v>
      </c>
    </row>
    <row r="7469" spans="1:11" x14ac:dyDescent="0.25">
      <c r="A7469">
        <v>7468</v>
      </c>
      <c r="B7469" s="23">
        <v>1200</v>
      </c>
      <c r="C7469" s="23">
        <v>0</v>
      </c>
      <c r="D7469" s="23">
        <v>0</v>
      </c>
      <c r="E7469" s="23">
        <v>0</v>
      </c>
      <c r="F7469" s="23">
        <v>0</v>
      </c>
      <c r="G7469" s="23">
        <v>0</v>
      </c>
      <c r="H7469" s="23">
        <v>0</v>
      </c>
      <c r="I7469" s="23">
        <v>1200</v>
      </c>
      <c r="J7469" s="23">
        <v>0</v>
      </c>
      <c r="K7469" s="23">
        <v>0</v>
      </c>
    </row>
    <row r="7470" spans="1:11" x14ac:dyDescent="0.25">
      <c r="A7470">
        <v>7469</v>
      </c>
      <c r="B7470" s="23">
        <v>1240</v>
      </c>
      <c r="C7470" s="23">
        <v>0</v>
      </c>
      <c r="D7470" s="23">
        <v>0</v>
      </c>
      <c r="E7470" s="23">
        <v>0</v>
      </c>
      <c r="F7470" s="23">
        <v>0</v>
      </c>
      <c r="G7470" s="23">
        <v>0</v>
      </c>
      <c r="H7470" s="23">
        <v>0</v>
      </c>
      <c r="I7470" s="23">
        <v>1240</v>
      </c>
      <c r="J7470" s="23">
        <v>0</v>
      </c>
      <c r="K7470" s="23">
        <v>0</v>
      </c>
    </row>
    <row r="7471" spans="1:11" x14ac:dyDescent="0.25">
      <c r="A7471">
        <v>7470</v>
      </c>
      <c r="B7471" s="23">
        <v>1102.4000000000001</v>
      </c>
      <c r="C7471" s="23">
        <v>0</v>
      </c>
      <c r="D7471" s="23">
        <v>0</v>
      </c>
      <c r="E7471" s="23">
        <v>0</v>
      </c>
      <c r="F7471" s="23">
        <v>0</v>
      </c>
      <c r="G7471" s="23">
        <v>0</v>
      </c>
      <c r="H7471" s="23">
        <v>0</v>
      </c>
      <c r="I7471" s="23">
        <v>1102.4000000000001</v>
      </c>
      <c r="J7471" s="23">
        <v>0</v>
      </c>
      <c r="K7471" s="23">
        <v>0</v>
      </c>
    </row>
    <row r="7472" spans="1:11" x14ac:dyDescent="0.25">
      <c r="A7472">
        <v>7471</v>
      </c>
      <c r="B7472" s="23">
        <v>1127.4929999999999</v>
      </c>
      <c r="C7472" s="23">
        <v>55.02</v>
      </c>
      <c r="D7472" s="23">
        <v>189.99700000000001</v>
      </c>
      <c r="E7472" s="23">
        <v>189.99700000000001</v>
      </c>
      <c r="F7472" s="23">
        <v>0</v>
      </c>
      <c r="G7472" s="23">
        <v>0</v>
      </c>
      <c r="H7472" s="23">
        <v>0</v>
      </c>
      <c r="I7472" s="23">
        <v>937.49599999999998</v>
      </c>
      <c r="J7472" s="23">
        <v>0</v>
      </c>
      <c r="K7472" s="23">
        <v>0</v>
      </c>
    </row>
    <row r="7473" spans="1:11" x14ac:dyDescent="0.25">
      <c r="A7473">
        <v>7472</v>
      </c>
      <c r="B7473" s="23">
        <v>1108.431</v>
      </c>
      <c r="C7473" s="23">
        <v>91.14</v>
      </c>
      <c r="D7473" s="23">
        <v>340.22199999999998</v>
      </c>
      <c r="E7473" s="23">
        <v>340.22199999999998</v>
      </c>
      <c r="F7473" s="23">
        <v>0</v>
      </c>
      <c r="G7473" s="23">
        <v>0</v>
      </c>
      <c r="H7473" s="23">
        <v>0</v>
      </c>
      <c r="I7473" s="23">
        <v>768.20899999999995</v>
      </c>
      <c r="J7473" s="23">
        <v>0</v>
      </c>
      <c r="K7473" s="23">
        <v>0</v>
      </c>
    </row>
    <row r="7474" spans="1:11" x14ac:dyDescent="0.25">
      <c r="A7474">
        <v>7473</v>
      </c>
      <c r="B7474" s="23">
        <v>1506.8789999999999</v>
      </c>
      <c r="C7474" s="23">
        <v>227.17</v>
      </c>
      <c r="D7474" s="23">
        <v>876.97</v>
      </c>
      <c r="E7474" s="23">
        <v>876.97</v>
      </c>
      <c r="F7474" s="23">
        <v>0</v>
      </c>
      <c r="G7474" s="23">
        <v>0</v>
      </c>
      <c r="H7474" s="23">
        <v>0</v>
      </c>
      <c r="I7474" s="23">
        <v>629.90899999999999</v>
      </c>
      <c r="J7474" s="23">
        <v>0</v>
      </c>
      <c r="K7474" s="23">
        <v>0</v>
      </c>
    </row>
    <row r="7475" spans="1:11" x14ac:dyDescent="0.25">
      <c r="A7475">
        <v>7474</v>
      </c>
      <c r="B7475" s="23">
        <v>1545.1010000000001</v>
      </c>
      <c r="C7475" s="23">
        <v>316.88</v>
      </c>
      <c r="D7475" s="23">
        <v>1206.6130000000001</v>
      </c>
      <c r="E7475" s="23">
        <v>1206.6130000000001</v>
      </c>
      <c r="F7475" s="23">
        <v>0</v>
      </c>
      <c r="G7475" s="23">
        <v>0</v>
      </c>
      <c r="H7475" s="23">
        <v>0</v>
      </c>
      <c r="I7475" s="23">
        <v>145.76499999999999</v>
      </c>
      <c r="J7475" s="23">
        <v>0</v>
      </c>
      <c r="K7475" s="23">
        <v>192.72300000000001</v>
      </c>
    </row>
    <row r="7476" spans="1:11" x14ac:dyDescent="0.25">
      <c r="A7476">
        <v>7475</v>
      </c>
      <c r="B7476" s="23">
        <v>1717.5360000000001</v>
      </c>
      <c r="C7476" s="23">
        <v>757.06</v>
      </c>
      <c r="D7476" s="23">
        <v>2764.3789999999999</v>
      </c>
      <c r="E7476" s="23">
        <v>1717.5360000000001</v>
      </c>
      <c r="F7476" s="23">
        <v>-1046.8430000000001</v>
      </c>
      <c r="G7476" s="23">
        <v>0</v>
      </c>
      <c r="H7476" s="23">
        <v>0</v>
      </c>
      <c r="I7476" s="23">
        <v>0</v>
      </c>
      <c r="J7476" s="23">
        <v>0</v>
      </c>
      <c r="K7476" s="23">
        <v>0</v>
      </c>
    </row>
    <row r="7477" spans="1:11" x14ac:dyDescent="0.25">
      <c r="A7477">
        <v>7476</v>
      </c>
      <c r="B7477" s="23">
        <v>1743.337</v>
      </c>
      <c r="C7477" s="23">
        <v>897.05</v>
      </c>
      <c r="D7477" s="23">
        <v>3207.5239999999999</v>
      </c>
      <c r="E7477" s="23">
        <v>1743.337</v>
      </c>
      <c r="F7477" s="23">
        <v>-1464.1869999999999</v>
      </c>
      <c r="G7477" s="23">
        <v>0</v>
      </c>
      <c r="H7477" s="23">
        <v>0</v>
      </c>
      <c r="I7477" s="23">
        <v>0</v>
      </c>
      <c r="J7477" s="23">
        <v>0</v>
      </c>
      <c r="K7477" s="23">
        <v>0</v>
      </c>
    </row>
    <row r="7478" spans="1:11" x14ac:dyDescent="0.25">
      <c r="A7478">
        <v>7477</v>
      </c>
      <c r="B7478" s="23">
        <v>1659.288</v>
      </c>
      <c r="C7478" s="23">
        <v>881.42</v>
      </c>
      <c r="D7478" s="23">
        <v>3189.48</v>
      </c>
      <c r="E7478" s="23">
        <v>1659.288</v>
      </c>
      <c r="F7478" s="23">
        <v>-1530.192</v>
      </c>
      <c r="G7478" s="23">
        <v>0</v>
      </c>
      <c r="H7478" s="23">
        <v>0</v>
      </c>
      <c r="I7478" s="23">
        <v>0</v>
      </c>
      <c r="J7478" s="23">
        <v>0</v>
      </c>
      <c r="K7478" s="23">
        <v>0</v>
      </c>
    </row>
    <row r="7479" spans="1:11" x14ac:dyDescent="0.25">
      <c r="A7479">
        <v>7478</v>
      </c>
      <c r="B7479" s="23">
        <v>1711.846</v>
      </c>
      <c r="C7479" s="23">
        <v>824.31</v>
      </c>
      <c r="D7479" s="23">
        <v>3045.319</v>
      </c>
      <c r="E7479" s="23">
        <v>1711.846</v>
      </c>
      <c r="F7479" s="23">
        <v>-1333.473</v>
      </c>
      <c r="G7479" s="23">
        <v>0</v>
      </c>
      <c r="H7479" s="23">
        <v>0</v>
      </c>
      <c r="I7479" s="23">
        <v>0</v>
      </c>
      <c r="J7479" s="23">
        <v>0</v>
      </c>
      <c r="K7479" s="23">
        <v>0</v>
      </c>
    </row>
    <row r="7480" spans="1:11" x14ac:dyDescent="0.25">
      <c r="A7480">
        <v>7479</v>
      </c>
      <c r="B7480" s="23">
        <v>1778.711</v>
      </c>
      <c r="C7480" s="23">
        <v>300.73</v>
      </c>
      <c r="D7480" s="23">
        <v>1154.1079999999999</v>
      </c>
      <c r="E7480" s="23">
        <v>1154.1079999999999</v>
      </c>
      <c r="F7480" s="23">
        <v>0</v>
      </c>
      <c r="G7480" s="23">
        <v>0</v>
      </c>
      <c r="H7480" s="23">
        <v>0</v>
      </c>
      <c r="I7480" s="23">
        <v>624.60299999999995</v>
      </c>
      <c r="J7480" s="23">
        <v>0</v>
      </c>
      <c r="K7480" s="23">
        <v>0</v>
      </c>
    </row>
    <row r="7481" spans="1:11" x14ac:dyDescent="0.25">
      <c r="A7481">
        <v>7480</v>
      </c>
      <c r="B7481" s="23">
        <v>1671.9639999999999</v>
      </c>
      <c r="C7481" s="23">
        <v>311.63</v>
      </c>
      <c r="D7481" s="23">
        <v>1222.2239999999999</v>
      </c>
      <c r="E7481" s="23">
        <v>1222.2239999999999</v>
      </c>
      <c r="F7481" s="23">
        <v>0</v>
      </c>
      <c r="G7481" s="23">
        <v>0</v>
      </c>
      <c r="H7481" s="23">
        <v>0</v>
      </c>
      <c r="I7481" s="23">
        <v>449.74</v>
      </c>
      <c r="J7481" s="23">
        <v>0</v>
      </c>
      <c r="K7481" s="23">
        <v>0</v>
      </c>
    </row>
    <row r="7482" spans="1:11" x14ac:dyDescent="0.25">
      <c r="A7482">
        <v>7481</v>
      </c>
      <c r="B7482" s="23">
        <v>1740.3989999999999</v>
      </c>
      <c r="C7482" s="23">
        <v>7.83</v>
      </c>
      <c r="D7482" s="23">
        <v>6.7930000000000001</v>
      </c>
      <c r="E7482" s="23">
        <v>6.7930000000000001</v>
      </c>
      <c r="F7482" s="23">
        <v>0</v>
      </c>
      <c r="G7482" s="23">
        <v>0</v>
      </c>
      <c r="H7482" s="23">
        <v>0</v>
      </c>
      <c r="I7482" s="23">
        <v>1733.606</v>
      </c>
      <c r="J7482" s="23">
        <v>0</v>
      </c>
      <c r="K7482" s="23">
        <v>0</v>
      </c>
    </row>
    <row r="7483" spans="1:11" x14ac:dyDescent="0.25">
      <c r="A7483">
        <v>7482</v>
      </c>
      <c r="B7483" s="23">
        <v>1561.8230000000001</v>
      </c>
      <c r="C7483" s="23">
        <v>0</v>
      </c>
      <c r="D7483" s="23">
        <v>0</v>
      </c>
      <c r="E7483" s="23">
        <v>0</v>
      </c>
      <c r="F7483" s="23">
        <v>0</v>
      </c>
      <c r="G7483" s="23">
        <v>0</v>
      </c>
      <c r="H7483" s="23">
        <v>0</v>
      </c>
      <c r="I7483" s="23">
        <v>0</v>
      </c>
      <c r="J7483" s="23">
        <v>0</v>
      </c>
      <c r="K7483" s="23">
        <v>1561.8230000000001</v>
      </c>
    </row>
    <row r="7484" spans="1:11" x14ac:dyDescent="0.25">
      <c r="A7484">
        <v>7483</v>
      </c>
      <c r="B7484" s="23">
        <v>1636</v>
      </c>
      <c r="C7484" s="23">
        <v>0</v>
      </c>
      <c r="D7484" s="23">
        <v>0</v>
      </c>
      <c r="E7484" s="23">
        <v>0</v>
      </c>
      <c r="F7484" s="23">
        <v>0</v>
      </c>
      <c r="G7484" s="23">
        <v>0</v>
      </c>
      <c r="H7484" s="23">
        <v>0</v>
      </c>
      <c r="I7484" s="23">
        <v>0</v>
      </c>
      <c r="J7484" s="23">
        <v>0</v>
      </c>
      <c r="K7484" s="23">
        <v>1636</v>
      </c>
    </row>
    <row r="7485" spans="1:11" x14ac:dyDescent="0.25">
      <c r="A7485">
        <v>7484</v>
      </c>
      <c r="B7485" s="23">
        <v>1423.2</v>
      </c>
      <c r="C7485" s="23">
        <v>0</v>
      </c>
      <c r="D7485" s="23">
        <v>0</v>
      </c>
      <c r="E7485" s="23">
        <v>0</v>
      </c>
      <c r="F7485" s="23">
        <v>0</v>
      </c>
      <c r="G7485" s="23">
        <v>0</v>
      </c>
      <c r="H7485" s="23">
        <v>0</v>
      </c>
      <c r="I7485" s="23">
        <v>0</v>
      </c>
      <c r="J7485" s="23">
        <v>0</v>
      </c>
      <c r="K7485" s="23">
        <v>1423.2</v>
      </c>
    </row>
    <row r="7486" spans="1:11" x14ac:dyDescent="0.25">
      <c r="A7486">
        <v>7485</v>
      </c>
      <c r="B7486" s="23">
        <v>1198.4000000000001</v>
      </c>
      <c r="C7486" s="23">
        <v>0</v>
      </c>
      <c r="D7486" s="23">
        <v>0</v>
      </c>
      <c r="E7486" s="23">
        <v>0</v>
      </c>
      <c r="F7486" s="23">
        <v>0</v>
      </c>
      <c r="G7486" s="23">
        <v>0</v>
      </c>
      <c r="H7486" s="23">
        <v>0</v>
      </c>
      <c r="I7486" s="23">
        <v>1198.4000000000001</v>
      </c>
      <c r="J7486" s="23">
        <v>0</v>
      </c>
      <c r="K7486" s="23">
        <v>0</v>
      </c>
    </row>
    <row r="7487" spans="1:11" x14ac:dyDescent="0.25">
      <c r="A7487">
        <v>7486</v>
      </c>
      <c r="B7487" s="23">
        <v>1556.8</v>
      </c>
      <c r="C7487" s="23">
        <v>0</v>
      </c>
      <c r="D7487" s="23">
        <v>0</v>
      </c>
      <c r="E7487" s="23">
        <v>0</v>
      </c>
      <c r="F7487" s="23">
        <v>0</v>
      </c>
      <c r="G7487" s="23">
        <v>0</v>
      </c>
      <c r="H7487" s="23">
        <v>0</v>
      </c>
      <c r="I7487" s="23">
        <v>1556.8</v>
      </c>
      <c r="J7487" s="23">
        <v>0</v>
      </c>
      <c r="K7487" s="23">
        <v>0</v>
      </c>
    </row>
    <row r="7488" spans="1:11" x14ac:dyDescent="0.25">
      <c r="A7488">
        <v>7487</v>
      </c>
      <c r="B7488" s="23">
        <v>1191.2</v>
      </c>
      <c r="C7488" s="23">
        <v>0</v>
      </c>
      <c r="D7488" s="23">
        <v>0</v>
      </c>
      <c r="E7488" s="23">
        <v>0</v>
      </c>
      <c r="F7488" s="23">
        <v>0</v>
      </c>
      <c r="G7488" s="23">
        <v>0</v>
      </c>
      <c r="H7488" s="23">
        <v>0</v>
      </c>
      <c r="I7488" s="23">
        <v>1191.2</v>
      </c>
      <c r="J7488" s="23">
        <v>0</v>
      </c>
      <c r="K7488" s="23">
        <v>0</v>
      </c>
    </row>
    <row r="7489" spans="1:11" x14ac:dyDescent="0.25">
      <c r="A7489">
        <v>7488</v>
      </c>
      <c r="B7489" s="23">
        <v>1529.6</v>
      </c>
      <c r="C7489" s="23">
        <v>0</v>
      </c>
      <c r="D7489" s="23">
        <v>0</v>
      </c>
      <c r="E7489" s="23">
        <v>0</v>
      </c>
      <c r="F7489" s="23">
        <v>0</v>
      </c>
      <c r="G7489" s="23">
        <v>0</v>
      </c>
      <c r="H7489" s="23">
        <v>0</v>
      </c>
      <c r="I7489" s="23">
        <v>1529.6</v>
      </c>
      <c r="J7489" s="23">
        <v>0</v>
      </c>
      <c r="K7489" s="23">
        <v>0</v>
      </c>
    </row>
    <row r="7490" spans="1:11" x14ac:dyDescent="0.25">
      <c r="A7490">
        <v>7489</v>
      </c>
      <c r="B7490" s="23">
        <v>1598.4</v>
      </c>
      <c r="C7490" s="23">
        <v>0</v>
      </c>
      <c r="D7490" s="23">
        <v>0</v>
      </c>
      <c r="E7490" s="23">
        <v>0</v>
      </c>
      <c r="F7490" s="23">
        <v>0</v>
      </c>
      <c r="G7490" s="23">
        <v>0</v>
      </c>
      <c r="H7490" s="23">
        <v>0</v>
      </c>
      <c r="I7490" s="23">
        <v>1598.4</v>
      </c>
      <c r="J7490" s="23">
        <v>0</v>
      </c>
      <c r="K7490" s="23">
        <v>0</v>
      </c>
    </row>
    <row r="7491" spans="1:11" x14ac:dyDescent="0.25">
      <c r="A7491">
        <v>7490</v>
      </c>
      <c r="B7491" s="23">
        <v>1415.2</v>
      </c>
      <c r="C7491" s="23">
        <v>0</v>
      </c>
      <c r="D7491" s="23">
        <v>0</v>
      </c>
      <c r="E7491" s="23">
        <v>0</v>
      </c>
      <c r="F7491" s="23">
        <v>0</v>
      </c>
      <c r="G7491" s="23">
        <v>0</v>
      </c>
      <c r="H7491" s="23">
        <v>0</v>
      </c>
      <c r="I7491" s="23">
        <v>1415.2</v>
      </c>
      <c r="J7491" s="23">
        <v>0</v>
      </c>
      <c r="K7491" s="23">
        <v>0</v>
      </c>
    </row>
    <row r="7492" spans="1:11" x14ac:dyDescent="0.25">
      <c r="A7492">
        <v>7491</v>
      </c>
      <c r="B7492" s="23">
        <v>1582.4</v>
      </c>
      <c r="C7492" s="23">
        <v>0</v>
      </c>
      <c r="D7492" s="23">
        <v>0</v>
      </c>
      <c r="E7492" s="23">
        <v>0</v>
      </c>
      <c r="F7492" s="23">
        <v>0</v>
      </c>
      <c r="G7492" s="23">
        <v>0</v>
      </c>
      <c r="H7492" s="23">
        <v>0</v>
      </c>
      <c r="I7492" s="23">
        <v>1582.4</v>
      </c>
      <c r="J7492" s="23">
        <v>0</v>
      </c>
      <c r="K7492" s="23">
        <v>0</v>
      </c>
    </row>
    <row r="7493" spans="1:11" x14ac:dyDescent="0.25">
      <c r="A7493">
        <v>7492</v>
      </c>
      <c r="B7493" s="23">
        <v>1364.8</v>
      </c>
      <c r="C7493" s="23">
        <v>0</v>
      </c>
      <c r="D7493" s="23">
        <v>0</v>
      </c>
      <c r="E7493" s="23">
        <v>0</v>
      </c>
      <c r="F7493" s="23">
        <v>0</v>
      </c>
      <c r="G7493" s="23">
        <v>0</v>
      </c>
      <c r="H7493" s="23">
        <v>0</v>
      </c>
      <c r="I7493" s="23">
        <v>1364.8</v>
      </c>
      <c r="J7493" s="23">
        <v>0</v>
      </c>
      <c r="K7493" s="23">
        <v>0</v>
      </c>
    </row>
    <row r="7494" spans="1:11" x14ac:dyDescent="0.25">
      <c r="A7494">
        <v>7493</v>
      </c>
      <c r="B7494" s="23">
        <v>1329.6</v>
      </c>
      <c r="C7494" s="23">
        <v>0</v>
      </c>
      <c r="D7494" s="23">
        <v>0</v>
      </c>
      <c r="E7494" s="23">
        <v>0</v>
      </c>
      <c r="F7494" s="23">
        <v>0</v>
      </c>
      <c r="G7494" s="23">
        <v>0</v>
      </c>
      <c r="H7494" s="23">
        <v>0</v>
      </c>
      <c r="I7494" s="23">
        <v>1329.6</v>
      </c>
      <c r="J7494" s="23">
        <v>0</v>
      </c>
      <c r="K7494" s="23">
        <v>0</v>
      </c>
    </row>
    <row r="7495" spans="1:11" x14ac:dyDescent="0.25">
      <c r="A7495">
        <v>7494</v>
      </c>
      <c r="B7495" s="23">
        <v>1695.2</v>
      </c>
      <c r="C7495" s="23">
        <v>0</v>
      </c>
      <c r="D7495" s="23">
        <v>0</v>
      </c>
      <c r="E7495" s="23">
        <v>0</v>
      </c>
      <c r="F7495" s="23">
        <v>0</v>
      </c>
      <c r="G7495" s="23">
        <v>0</v>
      </c>
      <c r="H7495" s="23">
        <v>0</v>
      </c>
      <c r="I7495" s="23">
        <v>1695.2</v>
      </c>
      <c r="J7495" s="23">
        <v>0</v>
      </c>
      <c r="K7495" s="23">
        <v>0</v>
      </c>
    </row>
    <row r="7496" spans="1:11" x14ac:dyDescent="0.25">
      <c r="A7496">
        <v>7495</v>
      </c>
      <c r="B7496" s="23">
        <v>1435.98</v>
      </c>
      <c r="C7496" s="23">
        <v>55.23</v>
      </c>
      <c r="D7496" s="23">
        <v>182.29499999999999</v>
      </c>
      <c r="E7496" s="23">
        <v>182.29499999999999</v>
      </c>
      <c r="F7496" s="23">
        <v>0</v>
      </c>
      <c r="G7496" s="23">
        <v>0</v>
      </c>
      <c r="H7496" s="23">
        <v>0</v>
      </c>
      <c r="I7496" s="23">
        <v>1253.6849999999999</v>
      </c>
      <c r="J7496" s="23">
        <v>0</v>
      </c>
      <c r="K7496" s="23">
        <v>0</v>
      </c>
    </row>
    <row r="7497" spans="1:11" x14ac:dyDescent="0.25">
      <c r="A7497">
        <v>7496</v>
      </c>
      <c r="B7497" s="23">
        <v>1870.0809999999999</v>
      </c>
      <c r="C7497" s="23">
        <v>281.17</v>
      </c>
      <c r="D7497" s="23">
        <v>1129.4829999999999</v>
      </c>
      <c r="E7497" s="23">
        <v>1129.4829999999999</v>
      </c>
      <c r="F7497" s="23">
        <v>0</v>
      </c>
      <c r="G7497" s="23">
        <v>0</v>
      </c>
      <c r="H7497" s="23">
        <v>0</v>
      </c>
      <c r="I7497" s="23">
        <v>740.59799999999996</v>
      </c>
      <c r="J7497" s="23">
        <v>0</v>
      </c>
      <c r="K7497" s="23">
        <v>0</v>
      </c>
    </row>
    <row r="7498" spans="1:11" x14ac:dyDescent="0.25">
      <c r="A7498">
        <v>7497</v>
      </c>
      <c r="B7498" s="23">
        <v>1222.75</v>
      </c>
      <c r="C7498" s="23">
        <v>476.72</v>
      </c>
      <c r="D7498" s="23">
        <v>1890.6420000000001</v>
      </c>
      <c r="E7498" s="23">
        <v>1222.75</v>
      </c>
      <c r="F7498" s="23">
        <v>-667.89200000000005</v>
      </c>
      <c r="G7498" s="23">
        <v>0</v>
      </c>
      <c r="H7498" s="23">
        <v>0</v>
      </c>
      <c r="I7498" s="23">
        <v>0</v>
      </c>
      <c r="J7498" s="23">
        <v>0</v>
      </c>
      <c r="K7498" s="23">
        <v>0</v>
      </c>
    </row>
    <row r="7499" spans="1:11" x14ac:dyDescent="0.25">
      <c r="A7499">
        <v>7498</v>
      </c>
      <c r="B7499" s="23">
        <v>1723.893</v>
      </c>
      <c r="C7499" s="23">
        <v>679.54</v>
      </c>
      <c r="D7499" s="23">
        <v>2607.8870000000002</v>
      </c>
      <c r="E7499" s="23">
        <v>1723.893</v>
      </c>
      <c r="F7499" s="23">
        <v>-883.99400000000003</v>
      </c>
      <c r="G7499" s="23">
        <v>0</v>
      </c>
      <c r="H7499" s="23">
        <v>0</v>
      </c>
      <c r="I7499" s="23">
        <v>0</v>
      </c>
      <c r="J7499" s="23">
        <v>0</v>
      </c>
      <c r="K7499" s="23">
        <v>0</v>
      </c>
    </row>
    <row r="7500" spans="1:11" x14ac:dyDescent="0.25">
      <c r="A7500">
        <v>7499</v>
      </c>
      <c r="B7500" s="23">
        <v>1512.1189999999999</v>
      </c>
      <c r="C7500" s="23">
        <v>625.15</v>
      </c>
      <c r="D7500" s="23">
        <v>2365.5459999999998</v>
      </c>
      <c r="E7500" s="23">
        <v>1512.1189999999999</v>
      </c>
      <c r="F7500" s="23">
        <v>-853.42700000000002</v>
      </c>
      <c r="G7500" s="23">
        <v>0</v>
      </c>
      <c r="H7500" s="23">
        <v>0</v>
      </c>
      <c r="I7500" s="23">
        <v>0</v>
      </c>
      <c r="J7500" s="23">
        <v>0</v>
      </c>
      <c r="K7500" s="23">
        <v>0</v>
      </c>
    </row>
    <row r="7501" spans="1:11" x14ac:dyDescent="0.25">
      <c r="A7501">
        <v>7500</v>
      </c>
      <c r="B7501" s="23">
        <v>1701.586</v>
      </c>
      <c r="C7501" s="23">
        <v>783.23</v>
      </c>
      <c r="D7501" s="23">
        <v>2908.607</v>
      </c>
      <c r="E7501" s="23">
        <v>1701.586</v>
      </c>
      <c r="F7501" s="23">
        <v>-1207.021</v>
      </c>
      <c r="G7501" s="23">
        <v>0</v>
      </c>
      <c r="H7501" s="23">
        <v>0</v>
      </c>
      <c r="I7501" s="23">
        <v>0</v>
      </c>
      <c r="J7501" s="23">
        <v>0</v>
      </c>
      <c r="K7501" s="23">
        <v>0</v>
      </c>
    </row>
    <row r="7502" spans="1:11" x14ac:dyDescent="0.25">
      <c r="A7502">
        <v>7501</v>
      </c>
      <c r="B7502" s="23">
        <v>1506.384</v>
      </c>
      <c r="C7502" s="23">
        <v>628.5</v>
      </c>
      <c r="D7502" s="23">
        <v>2353.8200000000002</v>
      </c>
      <c r="E7502" s="23">
        <v>1506.384</v>
      </c>
      <c r="F7502" s="23">
        <v>-847.43600000000004</v>
      </c>
      <c r="G7502" s="23">
        <v>0</v>
      </c>
      <c r="H7502" s="23">
        <v>0</v>
      </c>
      <c r="I7502" s="23">
        <v>0</v>
      </c>
      <c r="J7502" s="23">
        <v>0</v>
      </c>
      <c r="K7502" s="23">
        <v>0</v>
      </c>
    </row>
    <row r="7503" spans="1:11" x14ac:dyDescent="0.25">
      <c r="A7503">
        <v>7502</v>
      </c>
      <c r="B7503" s="23">
        <v>1400.9860000000001</v>
      </c>
      <c r="C7503" s="23">
        <v>425.31</v>
      </c>
      <c r="D7503" s="23">
        <v>1617.932</v>
      </c>
      <c r="E7503" s="23">
        <v>1400.9860000000001</v>
      </c>
      <c r="F7503" s="23">
        <v>-216.946</v>
      </c>
      <c r="G7503" s="23">
        <v>0</v>
      </c>
      <c r="H7503" s="23">
        <v>0</v>
      </c>
      <c r="I7503" s="23">
        <v>0</v>
      </c>
      <c r="J7503" s="23">
        <v>0</v>
      </c>
      <c r="K7503" s="23">
        <v>0</v>
      </c>
    </row>
    <row r="7504" spans="1:11" x14ac:dyDescent="0.25">
      <c r="A7504">
        <v>7503</v>
      </c>
      <c r="B7504" s="23">
        <v>1718.665</v>
      </c>
      <c r="C7504" s="23">
        <v>451.34</v>
      </c>
      <c r="D7504" s="23">
        <v>1743.7539999999999</v>
      </c>
      <c r="E7504" s="23">
        <v>1718.665</v>
      </c>
      <c r="F7504" s="23">
        <v>-25.088999999999999</v>
      </c>
      <c r="G7504" s="23">
        <v>0</v>
      </c>
      <c r="H7504" s="23">
        <v>0</v>
      </c>
      <c r="I7504" s="23">
        <v>0</v>
      </c>
      <c r="J7504" s="23">
        <v>0</v>
      </c>
      <c r="K7504" s="23">
        <v>0</v>
      </c>
    </row>
    <row r="7505" spans="1:11" x14ac:dyDescent="0.25">
      <c r="A7505">
        <v>7504</v>
      </c>
      <c r="B7505" s="23">
        <v>1537.6079999999999</v>
      </c>
      <c r="C7505" s="23">
        <v>46.07</v>
      </c>
      <c r="D7505" s="23">
        <v>154.518</v>
      </c>
      <c r="E7505" s="23">
        <v>154.518</v>
      </c>
      <c r="F7505" s="23">
        <v>0</v>
      </c>
      <c r="G7505" s="23">
        <v>0</v>
      </c>
      <c r="H7505" s="23">
        <v>0</v>
      </c>
      <c r="I7505" s="23">
        <v>1383.09</v>
      </c>
      <c r="J7505" s="23">
        <v>0</v>
      </c>
      <c r="K7505" s="23">
        <v>0</v>
      </c>
    </row>
    <row r="7506" spans="1:11" x14ac:dyDescent="0.25">
      <c r="A7506">
        <v>7505</v>
      </c>
      <c r="B7506" s="23">
        <v>1343.34</v>
      </c>
      <c r="C7506" s="23">
        <v>39.200000000000003</v>
      </c>
      <c r="D7506" s="23">
        <v>127.997</v>
      </c>
      <c r="E7506" s="23">
        <v>127.997</v>
      </c>
      <c r="F7506" s="23">
        <v>0</v>
      </c>
      <c r="G7506" s="23">
        <v>0</v>
      </c>
      <c r="H7506" s="23">
        <v>0</v>
      </c>
      <c r="I7506" s="23">
        <v>1215.3430000000001</v>
      </c>
      <c r="J7506" s="23">
        <v>0</v>
      </c>
      <c r="K7506" s="23">
        <v>0</v>
      </c>
    </row>
    <row r="7507" spans="1:11" x14ac:dyDescent="0.25">
      <c r="A7507">
        <v>7506</v>
      </c>
      <c r="B7507" s="23">
        <v>1522.828</v>
      </c>
      <c r="C7507" s="23">
        <v>0.98</v>
      </c>
      <c r="D7507" s="23">
        <v>0</v>
      </c>
      <c r="E7507" s="23">
        <v>0</v>
      </c>
      <c r="F7507" s="23">
        <v>0</v>
      </c>
      <c r="G7507" s="23">
        <v>0</v>
      </c>
      <c r="H7507" s="23">
        <v>0</v>
      </c>
      <c r="I7507" s="23">
        <v>1522.828</v>
      </c>
      <c r="J7507" s="23">
        <v>0</v>
      </c>
      <c r="K7507" s="23">
        <v>0</v>
      </c>
    </row>
    <row r="7508" spans="1:11" x14ac:dyDescent="0.25">
      <c r="A7508">
        <v>7507</v>
      </c>
      <c r="B7508" s="23">
        <v>1356.8</v>
      </c>
      <c r="C7508" s="23">
        <v>0</v>
      </c>
      <c r="D7508" s="23">
        <v>0</v>
      </c>
      <c r="E7508" s="23">
        <v>0</v>
      </c>
      <c r="F7508" s="23">
        <v>0</v>
      </c>
      <c r="G7508" s="23">
        <v>0</v>
      </c>
      <c r="H7508" s="23">
        <v>0</v>
      </c>
      <c r="I7508" s="23">
        <v>1356.8</v>
      </c>
      <c r="J7508" s="23">
        <v>0</v>
      </c>
      <c r="K7508" s="23">
        <v>0</v>
      </c>
    </row>
    <row r="7509" spans="1:11" x14ac:dyDescent="0.25">
      <c r="A7509">
        <v>7508</v>
      </c>
      <c r="B7509" s="23">
        <v>1599.2</v>
      </c>
      <c r="C7509" s="23">
        <v>0</v>
      </c>
      <c r="D7509" s="23">
        <v>0</v>
      </c>
      <c r="E7509" s="23">
        <v>0</v>
      </c>
      <c r="F7509" s="23">
        <v>0</v>
      </c>
      <c r="G7509" s="23">
        <v>0</v>
      </c>
      <c r="H7509" s="23">
        <v>0</v>
      </c>
      <c r="I7509" s="23">
        <v>1599.2</v>
      </c>
      <c r="J7509" s="23">
        <v>0</v>
      </c>
      <c r="K7509" s="23">
        <v>0</v>
      </c>
    </row>
    <row r="7510" spans="1:11" x14ac:dyDescent="0.25">
      <c r="A7510">
        <v>7509</v>
      </c>
      <c r="B7510" s="23">
        <v>1412.8</v>
      </c>
      <c r="C7510" s="23">
        <v>0</v>
      </c>
      <c r="D7510" s="23">
        <v>0</v>
      </c>
      <c r="E7510" s="23">
        <v>0</v>
      </c>
      <c r="F7510" s="23">
        <v>0</v>
      </c>
      <c r="G7510" s="23">
        <v>0</v>
      </c>
      <c r="H7510" s="23">
        <v>0</v>
      </c>
      <c r="I7510" s="23">
        <v>1412.8</v>
      </c>
      <c r="J7510" s="23">
        <v>0</v>
      </c>
      <c r="K7510" s="23">
        <v>0</v>
      </c>
    </row>
    <row r="7511" spans="1:11" x14ac:dyDescent="0.25">
      <c r="A7511">
        <v>7510</v>
      </c>
      <c r="B7511" s="23">
        <v>1264.8</v>
      </c>
      <c r="C7511" s="23">
        <v>0</v>
      </c>
      <c r="D7511" s="23">
        <v>0</v>
      </c>
      <c r="E7511" s="23">
        <v>0</v>
      </c>
      <c r="F7511" s="23">
        <v>0</v>
      </c>
      <c r="G7511" s="23">
        <v>0</v>
      </c>
      <c r="H7511" s="23">
        <v>0</v>
      </c>
      <c r="I7511" s="23">
        <v>1168.6199999999999</v>
      </c>
      <c r="J7511" s="23">
        <v>0</v>
      </c>
      <c r="K7511" s="23">
        <v>96.18</v>
      </c>
    </row>
    <row r="7512" spans="1:11" x14ac:dyDescent="0.25">
      <c r="A7512">
        <v>7511</v>
      </c>
      <c r="B7512" s="23">
        <v>1524</v>
      </c>
      <c r="C7512" s="23">
        <v>0</v>
      </c>
      <c r="D7512" s="23">
        <v>0</v>
      </c>
      <c r="E7512" s="23">
        <v>0</v>
      </c>
      <c r="F7512" s="23">
        <v>0</v>
      </c>
      <c r="G7512" s="23">
        <v>0</v>
      </c>
      <c r="H7512" s="23">
        <v>0</v>
      </c>
      <c r="I7512" s="23">
        <v>0</v>
      </c>
      <c r="J7512" s="23">
        <v>0</v>
      </c>
      <c r="K7512" s="23">
        <v>1524</v>
      </c>
    </row>
    <row r="7513" spans="1:11" x14ac:dyDescent="0.25">
      <c r="A7513">
        <v>7512</v>
      </c>
      <c r="B7513" s="23">
        <v>828.8</v>
      </c>
      <c r="C7513" s="23">
        <v>0</v>
      </c>
      <c r="D7513" s="23">
        <v>0</v>
      </c>
      <c r="E7513" s="23">
        <v>0</v>
      </c>
      <c r="F7513" s="23">
        <v>0</v>
      </c>
      <c r="G7513" s="23">
        <v>0</v>
      </c>
      <c r="H7513" s="23">
        <v>0</v>
      </c>
      <c r="I7513" s="23">
        <v>0</v>
      </c>
      <c r="J7513" s="23">
        <v>0</v>
      </c>
      <c r="K7513" s="23">
        <v>828.8</v>
      </c>
    </row>
    <row r="7514" spans="1:11" x14ac:dyDescent="0.25">
      <c r="A7514">
        <v>7513</v>
      </c>
      <c r="B7514" s="23">
        <v>1140</v>
      </c>
      <c r="C7514" s="23">
        <v>0</v>
      </c>
      <c r="D7514" s="23">
        <v>0</v>
      </c>
      <c r="E7514" s="23">
        <v>0</v>
      </c>
      <c r="F7514" s="23">
        <v>0</v>
      </c>
      <c r="G7514" s="23">
        <v>0</v>
      </c>
      <c r="H7514" s="23">
        <v>0</v>
      </c>
      <c r="I7514" s="23">
        <v>1140</v>
      </c>
      <c r="J7514" s="23">
        <v>0</v>
      </c>
      <c r="K7514" s="23">
        <v>0</v>
      </c>
    </row>
    <row r="7515" spans="1:11" x14ac:dyDescent="0.25">
      <c r="A7515">
        <v>7514</v>
      </c>
      <c r="B7515" s="23">
        <v>1248.8</v>
      </c>
      <c r="C7515" s="23">
        <v>0</v>
      </c>
      <c r="D7515" s="23">
        <v>0</v>
      </c>
      <c r="E7515" s="23">
        <v>0</v>
      </c>
      <c r="F7515" s="23">
        <v>0</v>
      </c>
      <c r="G7515" s="23">
        <v>0</v>
      </c>
      <c r="H7515" s="23">
        <v>0</v>
      </c>
      <c r="I7515" s="23">
        <v>1248.8</v>
      </c>
      <c r="J7515" s="23">
        <v>0</v>
      </c>
      <c r="K7515" s="23">
        <v>0</v>
      </c>
    </row>
    <row r="7516" spans="1:11" x14ac:dyDescent="0.25">
      <c r="A7516">
        <v>7515</v>
      </c>
      <c r="B7516" s="23">
        <v>1267.2</v>
      </c>
      <c r="C7516" s="23">
        <v>0</v>
      </c>
      <c r="D7516" s="23">
        <v>0</v>
      </c>
      <c r="E7516" s="23">
        <v>0</v>
      </c>
      <c r="F7516" s="23">
        <v>0</v>
      </c>
      <c r="G7516" s="23">
        <v>0</v>
      </c>
      <c r="H7516" s="23">
        <v>0</v>
      </c>
      <c r="I7516" s="23">
        <v>1267.2</v>
      </c>
      <c r="J7516" s="23">
        <v>0</v>
      </c>
      <c r="K7516" s="23">
        <v>0</v>
      </c>
    </row>
    <row r="7517" spans="1:11" x14ac:dyDescent="0.25">
      <c r="A7517">
        <v>7516</v>
      </c>
      <c r="B7517" s="23">
        <v>1367.2</v>
      </c>
      <c r="C7517" s="23">
        <v>0</v>
      </c>
      <c r="D7517" s="23">
        <v>0</v>
      </c>
      <c r="E7517" s="23">
        <v>0</v>
      </c>
      <c r="F7517" s="23">
        <v>0</v>
      </c>
      <c r="G7517" s="23">
        <v>0</v>
      </c>
      <c r="H7517" s="23">
        <v>0</v>
      </c>
      <c r="I7517" s="23">
        <v>1367.2</v>
      </c>
      <c r="J7517" s="23">
        <v>0</v>
      </c>
      <c r="K7517" s="23">
        <v>0</v>
      </c>
    </row>
    <row r="7518" spans="1:11" x14ac:dyDescent="0.25">
      <c r="A7518">
        <v>7517</v>
      </c>
      <c r="B7518" s="23">
        <v>1266.4000000000001</v>
      </c>
      <c r="C7518" s="23">
        <v>0</v>
      </c>
      <c r="D7518" s="23">
        <v>0</v>
      </c>
      <c r="E7518" s="23">
        <v>0</v>
      </c>
      <c r="F7518" s="23">
        <v>0</v>
      </c>
      <c r="G7518" s="23">
        <v>0</v>
      </c>
      <c r="H7518" s="23">
        <v>0</v>
      </c>
      <c r="I7518" s="23">
        <v>0</v>
      </c>
      <c r="J7518" s="23">
        <v>0</v>
      </c>
      <c r="K7518" s="23">
        <v>1266.4000000000001</v>
      </c>
    </row>
    <row r="7519" spans="1:11" x14ac:dyDescent="0.25">
      <c r="A7519">
        <v>7518</v>
      </c>
      <c r="B7519" s="23">
        <v>1180</v>
      </c>
      <c r="C7519" s="23">
        <v>0</v>
      </c>
      <c r="D7519" s="23">
        <v>0</v>
      </c>
      <c r="E7519" s="23">
        <v>0</v>
      </c>
      <c r="F7519" s="23">
        <v>0</v>
      </c>
      <c r="G7519" s="23">
        <v>0</v>
      </c>
      <c r="H7519" s="23">
        <v>0</v>
      </c>
      <c r="I7519" s="23">
        <v>0</v>
      </c>
      <c r="J7519" s="23">
        <v>0</v>
      </c>
      <c r="K7519" s="23">
        <v>1180</v>
      </c>
    </row>
    <row r="7520" spans="1:11" x14ac:dyDescent="0.25">
      <c r="A7520">
        <v>7519</v>
      </c>
      <c r="B7520" s="23">
        <v>1235.7380000000001</v>
      </c>
      <c r="C7520" s="23">
        <v>95.7</v>
      </c>
      <c r="D7520" s="23">
        <v>328.06700000000001</v>
      </c>
      <c r="E7520" s="23">
        <v>328.06700000000001</v>
      </c>
      <c r="F7520" s="23">
        <v>0</v>
      </c>
      <c r="G7520" s="23">
        <v>0</v>
      </c>
      <c r="H7520" s="23">
        <v>0</v>
      </c>
      <c r="I7520" s="23">
        <v>0</v>
      </c>
      <c r="J7520" s="23">
        <v>0</v>
      </c>
      <c r="K7520" s="23">
        <v>907.67100000000005</v>
      </c>
    </row>
    <row r="7521" spans="1:11" x14ac:dyDescent="0.25">
      <c r="A7521">
        <v>7520</v>
      </c>
      <c r="B7521" s="23">
        <v>932.41499999999996</v>
      </c>
      <c r="C7521" s="23">
        <v>276.36</v>
      </c>
      <c r="D7521" s="23">
        <v>1119.787</v>
      </c>
      <c r="E7521" s="23">
        <v>932.41499999999996</v>
      </c>
      <c r="F7521" s="23">
        <v>-187.37200000000001</v>
      </c>
      <c r="G7521" s="23">
        <v>0</v>
      </c>
      <c r="H7521" s="23">
        <v>0</v>
      </c>
      <c r="I7521" s="23">
        <v>0</v>
      </c>
      <c r="J7521" s="23">
        <v>0</v>
      </c>
      <c r="K7521" s="23">
        <v>0</v>
      </c>
    </row>
    <row r="7522" spans="1:11" x14ac:dyDescent="0.25">
      <c r="A7522">
        <v>7521</v>
      </c>
      <c r="B7522" s="23">
        <v>1225.7739999999999</v>
      </c>
      <c r="C7522" s="23">
        <v>470.92</v>
      </c>
      <c r="D7522" s="23">
        <v>1906.8320000000001</v>
      </c>
      <c r="E7522" s="23">
        <v>1225.7739999999999</v>
      </c>
      <c r="F7522" s="23">
        <v>-681.05799999999999</v>
      </c>
      <c r="G7522" s="23">
        <v>0</v>
      </c>
      <c r="H7522" s="23">
        <v>0</v>
      </c>
      <c r="I7522" s="23">
        <v>0</v>
      </c>
      <c r="J7522" s="23">
        <v>0</v>
      </c>
      <c r="K7522" s="23">
        <v>0</v>
      </c>
    </row>
    <row r="7523" spans="1:11" x14ac:dyDescent="0.25">
      <c r="A7523">
        <v>7522</v>
      </c>
      <c r="B7523" s="23">
        <v>1183.5940000000001</v>
      </c>
      <c r="C7523" s="23">
        <v>623.96</v>
      </c>
      <c r="D7523" s="23">
        <v>2475.8510000000001</v>
      </c>
      <c r="E7523" s="23">
        <v>1183.5940000000001</v>
      </c>
      <c r="F7523" s="23">
        <v>-1292.2570000000001</v>
      </c>
      <c r="G7523" s="23">
        <v>0</v>
      </c>
      <c r="H7523" s="23">
        <v>0</v>
      </c>
      <c r="I7523" s="23">
        <v>0</v>
      </c>
      <c r="J7523" s="23">
        <v>0</v>
      </c>
      <c r="K7523" s="23">
        <v>0</v>
      </c>
    </row>
    <row r="7524" spans="1:11" x14ac:dyDescent="0.25">
      <c r="A7524">
        <v>7523</v>
      </c>
      <c r="B7524" s="23">
        <v>1167.7750000000001</v>
      </c>
      <c r="C7524" s="23">
        <v>747.37</v>
      </c>
      <c r="D7524" s="23">
        <v>2917.9569999999999</v>
      </c>
      <c r="E7524" s="23">
        <v>1167.7750000000001</v>
      </c>
      <c r="F7524" s="23">
        <v>-1684.559</v>
      </c>
      <c r="G7524" s="23">
        <v>0</v>
      </c>
      <c r="H7524" s="23">
        <v>65.623000000000005</v>
      </c>
      <c r="I7524" s="23">
        <v>0</v>
      </c>
      <c r="J7524" s="23">
        <v>0</v>
      </c>
      <c r="K7524" s="23">
        <v>0</v>
      </c>
    </row>
    <row r="7525" spans="1:11" x14ac:dyDescent="0.25">
      <c r="A7525">
        <v>7524</v>
      </c>
      <c r="B7525" s="23">
        <v>1149.1010000000001</v>
      </c>
      <c r="C7525" s="23">
        <v>613.69000000000005</v>
      </c>
      <c r="D7525" s="23">
        <v>2389.799</v>
      </c>
      <c r="E7525" s="23">
        <v>1149.1010000000001</v>
      </c>
      <c r="F7525" s="23">
        <v>-1240.6980000000001</v>
      </c>
      <c r="G7525" s="23">
        <v>0</v>
      </c>
      <c r="H7525" s="23">
        <v>0</v>
      </c>
      <c r="I7525" s="23">
        <v>0</v>
      </c>
      <c r="J7525" s="23">
        <v>0</v>
      </c>
      <c r="K7525" s="23">
        <v>0</v>
      </c>
    </row>
    <row r="7526" spans="1:11" x14ac:dyDescent="0.25">
      <c r="A7526">
        <v>7525</v>
      </c>
      <c r="B7526" s="23">
        <v>1061.5640000000001</v>
      </c>
      <c r="C7526" s="23">
        <v>581.27</v>
      </c>
      <c r="D7526" s="23">
        <v>2264.623</v>
      </c>
      <c r="E7526" s="23">
        <v>1061.5640000000001</v>
      </c>
      <c r="F7526" s="23">
        <v>-1203.059</v>
      </c>
      <c r="G7526" s="23">
        <v>0</v>
      </c>
      <c r="H7526" s="23">
        <v>0</v>
      </c>
      <c r="I7526" s="23">
        <v>0</v>
      </c>
      <c r="J7526" s="23">
        <v>0</v>
      </c>
      <c r="K7526" s="23">
        <v>0</v>
      </c>
    </row>
    <row r="7527" spans="1:11" x14ac:dyDescent="0.25">
      <c r="A7527">
        <v>7526</v>
      </c>
      <c r="B7527" s="23">
        <v>1207.0350000000001</v>
      </c>
      <c r="C7527" s="23">
        <v>462.95</v>
      </c>
      <c r="D7527" s="23">
        <v>1817.0920000000001</v>
      </c>
      <c r="E7527" s="23">
        <v>1207.0350000000001</v>
      </c>
      <c r="F7527" s="23">
        <v>-610.05700000000002</v>
      </c>
      <c r="G7527" s="23">
        <v>0</v>
      </c>
      <c r="H7527" s="23">
        <v>0</v>
      </c>
      <c r="I7527" s="23">
        <v>0</v>
      </c>
      <c r="J7527" s="23">
        <v>0</v>
      </c>
      <c r="K7527" s="23">
        <v>0</v>
      </c>
    </row>
    <row r="7528" spans="1:11" x14ac:dyDescent="0.25">
      <c r="A7528">
        <v>7527</v>
      </c>
      <c r="B7528" s="23">
        <v>1229.373</v>
      </c>
      <c r="C7528" s="23">
        <v>258.06</v>
      </c>
      <c r="D7528" s="23">
        <v>1012.6849999999999</v>
      </c>
      <c r="E7528" s="23">
        <v>1012.6849999999999</v>
      </c>
      <c r="F7528" s="23">
        <v>0</v>
      </c>
      <c r="G7528" s="23">
        <v>0</v>
      </c>
      <c r="H7528" s="23">
        <v>0</v>
      </c>
      <c r="I7528" s="23">
        <v>216.68799999999999</v>
      </c>
      <c r="J7528" s="23">
        <v>0</v>
      </c>
      <c r="K7528" s="23">
        <v>0</v>
      </c>
    </row>
    <row r="7529" spans="1:11" x14ac:dyDescent="0.25">
      <c r="A7529">
        <v>7528</v>
      </c>
      <c r="B7529" s="23">
        <v>1219.569</v>
      </c>
      <c r="C7529" s="23">
        <v>159.94</v>
      </c>
      <c r="D7529" s="23">
        <v>623.72900000000004</v>
      </c>
      <c r="E7529" s="23">
        <v>623.72900000000004</v>
      </c>
      <c r="F7529" s="23">
        <v>0</v>
      </c>
      <c r="G7529" s="23">
        <v>0</v>
      </c>
      <c r="H7529" s="23">
        <v>0</v>
      </c>
      <c r="I7529" s="23">
        <v>595.84</v>
      </c>
      <c r="J7529" s="23">
        <v>0</v>
      </c>
      <c r="K7529" s="23">
        <v>0</v>
      </c>
    </row>
    <row r="7530" spans="1:11" x14ac:dyDescent="0.25">
      <c r="A7530">
        <v>7529</v>
      </c>
      <c r="B7530" s="23">
        <v>850.34100000000001</v>
      </c>
      <c r="C7530" s="23">
        <v>60.24</v>
      </c>
      <c r="D7530" s="23">
        <v>214.90600000000001</v>
      </c>
      <c r="E7530" s="23">
        <v>214.90600000000001</v>
      </c>
      <c r="F7530" s="23">
        <v>0</v>
      </c>
      <c r="G7530" s="23">
        <v>0</v>
      </c>
      <c r="H7530" s="23">
        <v>0</v>
      </c>
      <c r="I7530" s="23">
        <v>635.43499999999995</v>
      </c>
      <c r="J7530" s="23">
        <v>0</v>
      </c>
      <c r="K7530" s="23">
        <v>0</v>
      </c>
    </row>
    <row r="7531" spans="1:11" x14ac:dyDescent="0.25">
      <c r="A7531">
        <v>7530</v>
      </c>
      <c r="B7531" s="23">
        <v>1029.9639999999999</v>
      </c>
      <c r="C7531" s="23">
        <v>0.98</v>
      </c>
      <c r="D7531" s="23">
        <v>0</v>
      </c>
      <c r="E7531" s="23">
        <v>0</v>
      </c>
      <c r="F7531" s="23">
        <v>0</v>
      </c>
      <c r="G7531" s="23">
        <v>0</v>
      </c>
      <c r="H7531" s="23">
        <v>0</v>
      </c>
      <c r="I7531" s="23">
        <v>0</v>
      </c>
      <c r="J7531" s="23">
        <v>0</v>
      </c>
      <c r="K7531" s="23">
        <v>1029.9639999999999</v>
      </c>
    </row>
    <row r="7532" spans="1:11" x14ac:dyDescent="0.25">
      <c r="A7532">
        <v>7531</v>
      </c>
      <c r="B7532" s="23">
        <v>1183.2</v>
      </c>
      <c r="C7532" s="23">
        <v>0</v>
      </c>
      <c r="D7532" s="23">
        <v>0</v>
      </c>
      <c r="E7532" s="23">
        <v>0</v>
      </c>
      <c r="F7532" s="23">
        <v>0</v>
      </c>
      <c r="G7532" s="23">
        <v>0</v>
      </c>
      <c r="H7532" s="23">
        <v>0</v>
      </c>
      <c r="I7532" s="23">
        <v>0</v>
      </c>
      <c r="J7532" s="23">
        <v>0</v>
      </c>
      <c r="K7532" s="23">
        <v>1183.2</v>
      </c>
    </row>
    <row r="7533" spans="1:11" x14ac:dyDescent="0.25">
      <c r="A7533">
        <v>7532</v>
      </c>
      <c r="B7533" s="23">
        <v>1294.4000000000001</v>
      </c>
      <c r="C7533" s="23">
        <v>0</v>
      </c>
      <c r="D7533" s="23">
        <v>0</v>
      </c>
      <c r="E7533" s="23">
        <v>0</v>
      </c>
      <c r="F7533" s="23">
        <v>0</v>
      </c>
      <c r="G7533" s="23">
        <v>0</v>
      </c>
      <c r="H7533" s="23">
        <v>0</v>
      </c>
      <c r="I7533" s="23">
        <v>0</v>
      </c>
      <c r="J7533" s="23">
        <v>0</v>
      </c>
      <c r="K7533" s="23">
        <v>1294.4000000000001</v>
      </c>
    </row>
    <row r="7534" spans="1:11" x14ac:dyDescent="0.25">
      <c r="A7534">
        <v>7533</v>
      </c>
      <c r="B7534" s="23">
        <v>1021.6</v>
      </c>
      <c r="C7534" s="23">
        <v>0</v>
      </c>
      <c r="D7534" s="23">
        <v>0</v>
      </c>
      <c r="E7534" s="23">
        <v>0</v>
      </c>
      <c r="F7534" s="23">
        <v>0</v>
      </c>
      <c r="G7534" s="23">
        <v>0</v>
      </c>
      <c r="H7534" s="23">
        <v>0</v>
      </c>
      <c r="I7534" s="23">
        <v>1021.6</v>
      </c>
      <c r="J7534" s="23">
        <v>0</v>
      </c>
      <c r="K7534" s="23">
        <v>0</v>
      </c>
    </row>
    <row r="7535" spans="1:11" x14ac:dyDescent="0.25">
      <c r="A7535">
        <v>7534</v>
      </c>
      <c r="B7535" s="23">
        <v>1191.2</v>
      </c>
      <c r="C7535" s="23">
        <v>0</v>
      </c>
      <c r="D7535" s="23">
        <v>0</v>
      </c>
      <c r="E7535" s="23">
        <v>0</v>
      </c>
      <c r="F7535" s="23">
        <v>0</v>
      </c>
      <c r="G7535" s="23">
        <v>0</v>
      </c>
      <c r="H7535" s="23">
        <v>0</v>
      </c>
      <c r="I7535" s="23">
        <v>1191.2</v>
      </c>
      <c r="J7535" s="23">
        <v>0</v>
      </c>
      <c r="K7535" s="23">
        <v>0</v>
      </c>
    </row>
    <row r="7536" spans="1:11" x14ac:dyDescent="0.25">
      <c r="A7536">
        <v>7535</v>
      </c>
      <c r="B7536" s="23">
        <v>1176</v>
      </c>
      <c r="C7536" s="23">
        <v>0</v>
      </c>
      <c r="D7536" s="23">
        <v>0</v>
      </c>
      <c r="E7536" s="23">
        <v>0</v>
      </c>
      <c r="F7536" s="23">
        <v>0</v>
      </c>
      <c r="G7536" s="23">
        <v>0</v>
      </c>
      <c r="H7536" s="23">
        <v>0</v>
      </c>
      <c r="I7536" s="23">
        <v>1176</v>
      </c>
      <c r="J7536" s="23">
        <v>0</v>
      </c>
      <c r="K7536" s="23">
        <v>0</v>
      </c>
    </row>
    <row r="7537" spans="1:11" x14ac:dyDescent="0.25">
      <c r="A7537">
        <v>7536</v>
      </c>
      <c r="B7537" s="23">
        <v>173.6</v>
      </c>
      <c r="C7537" s="23">
        <v>0</v>
      </c>
      <c r="D7537" s="23">
        <v>0</v>
      </c>
      <c r="E7537" s="23">
        <v>0</v>
      </c>
      <c r="F7537" s="23">
        <v>0</v>
      </c>
      <c r="G7537" s="23">
        <v>0</v>
      </c>
      <c r="H7537" s="23">
        <v>0</v>
      </c>
      <c r="I7537" s="23">
        <v>173.6</v>
      </c>
      <c r="J7537" s="23">
        <v>0</v>
      </c>
      <c r="K7537" s="23">
        <v>0</v>
      </c>
    </row>
    <row r="7538" spans="1:11" x14ac:dyDescent="0.25">
      <c r="A7538">
        <v>7537</v>
      </c>
      <c r="B7538" s="23">
        <v>89.6</v>
      </c>
      <c r="C7538" s="23">
        <v>0</v>
      </c>
      <c r="D7538" s="23">
        <v>0</v>
      </c>
      <c r="E7538" s="23">
        <v>0</v>
      </c>
      <c r="F7538" s="23">
        <v>0</v>
      </c>
      <c r="G7538" s="23">
        <v>0</v>
      </c>
      <c r="H7538" s="23">
        <v>0</v>
      </c>
      <c r="I7538" s="23">
        <v>89.6</v>
      </c>
      <c r="J7538" s="23">
        <v>0</v>
      </c>
      <c r="K7538" s="23">
        <v>0</v>
      </c>
    </row>
    <row r="7539" spans="1:11" x14ac:dyDescent="0.25">
      <c r="A7539">
        <v>7538</v>
      </c>
      <c r="B7539" s="23">
        <v>171.2</v>
      </c>
      <c r="C7539" s="23">
        <v>0</v>
      </c>
      <c r="D7539" s="23">
        <v>0</v>
      </c>
      <c r="E7539" s="23">
        <v>0</v>
      </c>
      <c r="F7539" s="23">
        <v>0</v>
      </c>
      <c r="G7539" s="23">
        <v>0</v>
      </c>
      <c r="H7539" s="23">
        <v>0</v>
      </c>
      <c r="I7539" s="23">
        <v>171.2</v>
      </c>
      <c r="J7539" s="23">
        <v>0</v>
      </c>
      <c r="K7539" s="23">
        <v>0</v>
      </c>
    </row>
    <row r="7540" spans="1:11" x14ac:dyDescent="0.25">
      <c r="A7540">
        <v>7539</v>
      </c>
      <c r="B7540" s="23">
        <v>109.6</v>
      </c>
      <c r="C7540" s="23">
        <v>0</v>
      </c>
      <c r="D7540" s="23">
        <v>0</v>
      </c>
      <c r="E7540" s="23">
        <v>0</v>
      </c>
      <c r="F7540" s="23">
        <v>0</v>
      </c>
      <c r="G7540" s="23">
        <v>0</v>
      </c>
      <c r="H7540" s="23">
        <v>0</v>
      </c>
      <c r="I7540" s="23">
        <v>109.6</v>
      </c>
      <c r="J7540" s="23">
        <v>0</v>
      </c>
      <c r="K7540" s="23">
        <v>0</v>
      </c>
    </row>
    <row r="7541" spans="1:11" x14ac:dyDescent="0.25">
      <c r="A7541">
        <v>7540</v>
      </c>
      <c r="B7541" s="23">
        <v>114.4</v>
      </c>
      <c r="C7541" s="23">
        <v>0</v>
      </c>
      <c r="D7541" s="23">
        <v>0</v>
      </c>
      <c r="E7541" s="23">
        <v>0</v>
      </c>
      <c r="F7541" s="23">
        <v>0</v>
      </c>
      <c r="G7541" s="23">
        <v>0</v>
      </c>
      <c r="H7541" s="23">
        <v>0</v>
      </c>
      <c r="I7541" s="23">
        <v>114.4</v>
      </c>
      <c r="J7541" s="23">
        <v>0</v>
      </c>
      <c r="K7541" s="23">
        <v>0</v>
      </c>
    </row>
    <row r="7542" spans="1:11" x14ac:dyDescent="0.25">
      <c r="A7542">
        <v>7541</v>
      </c>
      <c r="B7542" s="23">
        <v>85.6</v>
      </c>
      <c r="C7542" s="23">
        <v>0</v>
      </c>
      <c r="D7542" s="23">
        <v>0</v>
      </c>
      <c r="E7542" s="23">
        <v>0</v>
      </c>
      <c r="F7542" s="23">
        <v>0</v>
      </c>
      <c r="G7542" s="23">
        <v>0</v>
      </c>
      <c r="H7542" s="23">
        <v>0</v>
      </c>
      <c r="I7542" s="23">
        <v>85.6</v>
      </c>
      <c r="J7542" s="23">
        <v>0</v>
      </c>
      <c r="K7542" s="23">
        <v>0</v>
      </c>
    </row>
    <row r="7543" spans="1:11" x14ac:dyDescent="0.25">
      <c r="A7543">
        <v>7542</v>
      </c>
      <c r="B7543" s="23">
        <v>88.8</v>
      </c>
      <c r="C7543" s="23">
        <v>0</v>
      </c>
      <c r="D7543" s="23">
        <v>0</v>
      </c>
      <c r="E7543" s="23">
        <v>0</v>
      </c>
      <c r="F7543" s="23">
        <v>0</v>
      </c>
      <c r="G7543" s="23">
        <v>0</v>
      </c>
      <c r="H7543" s="23">
        <v>0</v>
      </c>
      <c r="I7543" s="23">
        <v>88.8</v>
      </c>
      <c r="J7543" s="23">
        <v>0</v>
      </c>
      <c r="K7543" s="23">
        <v>0</v>
      </c>
    </row>
    <row r="7544" spans="1:11" x14ac:dyDescent="0.25">
      <c r="A7544">
        <v>7543</v>
      </c>
      <c r="B7544" s="23">
        <v>85.748999999999995</v>
      </c>
      <c r="C7544" s="23">
        <v>54.76</v>
      </c>
      <c r="D7544" s="23">
        <v>181.566</v>
      </c>
      <c r="E7544" s="23">
        <v>85.748999999999995</v>
      </c>
      <c r="F7544" s="23">
        <v>-95.816999999999993</v>
      </c>
      <c r="G7544" s="23">
        <v>0</v>
      </c>
      <c r="H7544" s="23">
        <v>0</v>
      </c>
      <c r="I7544" s="23">
        <v>0</v>
      </c>
      <c r="J7544" s="23">
        <v>0</v>
      </c>
      <c r="K7544" s="23">
        <v>0</v>
      </c>
    </row>
    <row r="7545" spans="1:11" x14ac:dyDescent="0.25">
      <c r="A7545">
        <v>7544</v>
      </c>
      <c r="B7545" s="23">
        <v>209.928</v>
      </c>
      <c r="C7545" s="23">
        <v>43.12</v>
      </c>
      <c r="D7545" s="23">
        <v>147.03299999999999</v>
      </c>
      <c r="E7545" s="23">
        <v>147.03299999999999</v>
      </c>
      <c r="F7545" s="23">
        <v>0</v>
      </c>
      <c r="G7545" s="23">
        <v>0</v>
      </c>
      <c r="H7545" s="23">
        <v>0</v>
      </c>
      <c r="I7545" s="23">
        <v>62.895000000000003</v>
      </c>
      <c r="J7545" s="23">
        <v>0</v>
      </c>
      <c r="K7545" s="23">
        <v>0</v>
      </c>
    </row>
    <row r="7546" spans="1:11" x14ac:dyDescent="0.25">
      <c r="A7546">
        <v>7545</v>
      </c>
      <c r="B7546" s="23">
        <v>856.95100000000002</v>
      </c>
      <c r="C7546" s="23">
        <v>130.08000000000001</v>
      </c>
      <c r="D7546" s="23">
        <v>494.92599999999999</v>
      </c>
      <c r="E7546" s="23">
        <v>494.92599999999999</v>
      </c>
      <c r="F7546" s="23">
        <v>0</v>
      </c>
      <c r="G7546" s="23">
        <v>0</v>
      </c>
      <c r="H7546" s="23">
        <v>0</v>
      </c>
      <c r="I7546" s="23">
        <v>362.02499999999998</v>
      </c>
      <c r="J7546" s="23">
        <v>0</v>
      </c>
      <c r="K7546" s="23">
        <v>0</v>
      </c>
    </row>
    <row r="7547" spans="1:11" x14ac:dyDescent="0.25">
      <c r="A7547">
        <v>7546</v>
      </c>
      <c r="B7547" s="23">
        <v>1343.9870000000001</v>
      </c>
      <c r="C7547" s="23">
        <v>159.44999999999999</v>
      </c>
      <c r="D7547" s="23">
        <v>605.68499999999995</v>
      </c>
      <c r="E7547" s="23">
        <v>605.68499999999995</v>
      </c>
      <c r="F7547" s="23">
        <v>0</v>
      </c>
      <c r="G7547" s="23">
        <v>0</v>
      </c>
      <c r="H7547" s="23">
        <v>0</v>
      </c>
      <c r="I7547" s="23">
        <v>738.30200000000002</v>
      </c>
      <c r="J7547" s="23">
        <v>0</v>
      </c>
      <c r="K7547" s="23">
        <v>0</v>
      </c>
    </row>
    <row r="7548" spans="1:11" x14ac:dyDescent="0.25">
      <c r="A7548">
        <v>7547</v>
      </c>
      <c r="B7548" s="23">
        <v>1233.607</v>
      </c>
      <c r="C7548" s="23">
        <v>253.77</v>
      </c>
      <c r="D7548" s="23">
        <v>975.13499999999999</v>
      </c>
      <c r="E7548" s="23">
        <v>975.13499999999999</v>
      </c>
      <c r="F7548" s="23">
        <v>0</v>
      </c>
      <c r="G7548" s="23">
        <v>0</v>
      </c>
      <c r="H7548" s="23">
        <v>0</v>
      </c>
      <c r="I7548" s="23">
        <v>0</v>
      </c>
      <c r="J7548" s="23">
        <v>0</v>
      </c>
      <c r="K7548" s="23">
        <v>258.47199999999998</v>
      </c>
    </row>
    <row r="7549" spans="1:11" x14ac:dyDescent="0.25">
      <c r="A7549">
        <v>7548</v>
      </c>
      <c r="B7549" s="23">
        <v>1009.939</v>
      </c>
      <c r="C7549" s="23">
        <v>423.35</v>
      </c>
      <c r="D7549" s="23">
        <v>1633.088</v>
      </c>
      <c r="E7549" s="23">
        <v>1009.939</v>
      </c>
      <c r="F7549" s="23">
        <v>-623.149</v>
      </c>
      <c r="G7549" s="23">
        <v>0</v>
      </c>
      <c r="H7549" s="23">
        <v>0</v>
      </c>
      <c r="I7549" s="23">
        <v>0</v>
      </c>
      <c r="J7549" s="23">
        <v>0</v>
      </c>
      <c r="K7549" s="23">
        <v>0</v>
      </c>
    </row>
    <row r="7550" spans="1:11" x14ac:dyDescent="0.25">
      <c r="A7550">
        <v>7549</v>
      </c>
      <c r="B7550" s="23">
        <v>1251.7639999999999</v>
      </c>
      <c r="C7550" s="23">
        <v>353.01</v>
      </c>
      <c r="D7550" s="23">
        <v>1360.01</v>
      </c>
      <c r="E7550" s="23">
        <v>1251.7639999999999</v>
      </c>
      <c r="F7550" s="23">
        <v>-108.246</v>
      </c>
      <c r="G7550" s="23">
        <v>0</v>
      </c>
      <c r="H7550" s="23">
        <v>0</v>
      </c>
      <c r="I7550" s="23">
        <v>0</v>
      </c>
      <c r="J7550" s="23">
        <v>0</v>
      </c>
      <c r="K7550" s="23">
        <v>0</v>
      </c>
    </row>
    <row r="7551" spans="1:11" x14ac:dyDescent="0.25">
      <c r="A7551">
        <v>7550</v>
      </c>
      <c r="B7551" s="23">
        <v>1114.0820000000001</v>
      </c>
      <c r="C7551" s="23">
        <v>529.04999999999995</v>
      </c>
      <c r="D7551" s="23">
        <v>2057.0520000000001</v>
      </c>
      <c r="E7551" s="23">
        <v>1114.0820000000001</v>
      </c>
      <c r="F7551" s="23">
        <v>-942.97</v>
      </c>
      <c r="G7551" s="23">
        <v>0</v>
      </c>
      <c r="H7551" s="23">
        <v>0</v>
      </c>
      <c r="I7551" s="23">
        <v>0</v>
      </c>
      <c r="J7551" s="23">
        <v>0</v>
      </c>
      <c r="K7551" s="23">
        <v>0</v>
      </c>
    </row>
    <row r="7552" spans="1:11" x14ac:dyDescent="0.25">
      <c r="A7552">
        <v>7551</v>
      </c>
      <c r="B7552" s="23">
        <v>1131.027</v>
      </c>
      <c r="C7552" s="23">
        <v>617.02</v>
      </c>
      <c r="D7552" s="23">
        <v>2449.17</v>
      </c>
      <c r="E7552" s="23">
        <v>1131.027</v>
      </c>
      <c r="F7552" s="23">
        <v>-1318.143</v>
      </c>
      <c r="G7552" s="23">
        <v>0</v>
      </c>
      <c r="H7552" s="23">
        <v>0</v>
      </c>
      <c r="I7552" s="23">
        <v>0</v>
      </c>
      <c r="J7552" s="23">
        <v>0</v>
      </c>
      <c r="K7552" s="23">
        <v>0</v>
      </c>
    </row>
    <row r="7553" spans="1:11" x14ac:dyDescent="0.25">
      <c r="A7553">
        <v>7552</v>
      </c>
      <c r="B7553" s="23">
        <v>1306.039</v>
      </c>
      <c r="C7553" s="23">
        <v>424.41</v>
      </c>
      <c r="D7553" s="23">
        <v>1718.1780000000001</v>
      </c>
      <c r="E7553" s="23">
        <v>1306.039</v>
      </c>
      <c r="F7553" s="23">
        <v>-412.13900000000001</v>
      </c>
      <c r="G7553" s="23">
        <v>0</v>
      </c>
      <c r="H7553" s="23">
        <v>0</v>
      </c>
      <c r="I7553" s="23">
        <v>0</v>
      </c>
      <c r="J7553" s="23">
        <v>0</v>
      </c>
      <c r="K7553" s="23">
        <v>0</v>
      </c>
    </row>
    <row r="7554" spans="1:11" x14ac:dyDescent="0.25">
      <c r="A7554">
        <v>7553</v>
      </c>
      <c r="B7554" s="23">
        <v>1317.8869999999999</v>
      </c>
      <c r="C7554" s="23">
        <v>190.12</v>
      </c>
      <c r="D7554" s="23">
        <v>685.44500000000005</v>
      </c>
      <c r="E7554" s="23">
        <v>685.44500000000005</v>
      </c>
      <c r="F7554" s="23">
        <v>0</v>
      </c>
      <c r="G7554" s="23">
        <v>0</v>
      </c>
      <c r="H7554" s="23">
        <v>0</v>
      </c>
      <c r="I7554" s="23">
        <v>632.44200000000001</v>
      </c>
      <c r="J7554" s="23">
        <v>0</v>
      </c>
      <c r="K7554" s="23">
        <v>0</v>
      </c>
    </row>
    <row r="7555" spans="1:11" x14ac:dyDescent="0.25">
      <c r="A7555">
        <v>7554</v>
      </c>
      <c r="B7555" s="23">
        <v>1482.1510000000001</v>
      </c>
      <c r="C7555" s="23">
        <v>5.56</v>
      </c>
      <c r="D7555" s="23">
        <v>0</v>
      </c>
      <c r="E7555" s="23">
        <v>0</v>
      </c>
      <c r="F7555" s="23">
        <v>0</v>
      </c>
      <c r="G7555" s="23">
        <v>0</v>
      </c>
      <c r="H7555" s="23">
        <v>0</v>
      </c>
      <c r="I7555" s="23">
        <v>0</v>
      </c>
      <c r="J7555" s="23">
        <v>0</v>
      </c>
      <c r="K7555" s="23">
        <v>1482.1510000000001</v>
      </c>
    </row>
    <row r="7556" spans="1:11" x14ac:dyDescent="0.25">
      <c r="A7556">
        <v>7555</v>
      </c>
      <c r="B7556" s="23">
        <v>1344.8</v>
      </c>
      <c r="C7556" s="23">
        <v>0</v>
      </c>
      <c r="D7556" s="23">
        <v>0</v>
      </c>
      <c r="E7556" s="23">
        <v>0</v>
      </c>
      <c r="F7556" s="23">
        <v>0</v>
      </c>
      <c r="G7556" s="23">
        <v>0</v>
      </c>
      <c r="H7556" s="23">
        <v>0</v>
      </c>
      <c r="I7556" s="23">
        <v>0</v>
      </c>
      <c r="J7556" s="23">
        <v>0</v>
      </c>
      <c r="K7556" s="23">
        <v>1344.8</v>
      </c>
    </row>
    <row r="7557" spans="1:11" x14ac:dyDescent="0.25">
      <c r="A7557">
        <v>7556</v>
      </c>
      <c r="B7557" s="23">
        <v>1447.2</v>
      </c>
      <c r="C7557" s="23">
        <v>0</v>
      </c>
      <c r="D7557" s="23">
        <v>0</v>
      </c>
      <c r="E7557" s="23">
        <v>0</v>
      </c>
      <c r="F7557" s="23">
        <v>0</v>
      </c>
      <c r="G7557" s="23">
        <v>0</v>
      </c>
      <c r="H7557" s="23">
        <v>0</v>
      </c>
      <c r="I7557" s="23">
        <v>0</v>
      </c>
      <c r="J7557" s="23">
        <v>0</v>
      </c>
      <c r="K7557" s="23">
        <v>1447.2</v>
      </c>
    </row>
    <row r="7558" spans="1:11" x14ac:dyDescent="0.25">
      <c r="A7558">
        <v>7557</v>
      </c>
      <c r="B7558" s="23">
        <v>1483.2</v>
      </c>
      <c r="C7558" s="23">
        <v>0</v>
      </c>
      <c r="D7558" s="23">
        <v>0</v>
      </c>
      <c r="E7558" s="23">
        <v>0</v>
      </c>
      <c r="F7558" s="23">
        <v>0</v>
      </c>
      <c r="G7558" s="23">
        <v>0</v>
      </c>
      <c r="H7558" s="23">
        <v>0</v>
      </c>
      <c r="I7558" s="23">
        <v>1483.2</v>
      </c>
      <c r="J7558" s="23">
        <v>0</v>
      </c>
      <c r="K7558" s="23">
        <v>0</v>
      </c>
    </row>
    <row r="7559" spans="1:11" x14ac:dyDescent="0.25">
      <c r="A7559">
        <v>7558</v>
      </c>
      <c r="B7559" s="23">
        <v>1075.2</v>
      </c>
      <c r="C7559" s="23">
        <v>0</v>
      </c>
      <c r="D7559" s="23">
        <v>0</v>
      </c>
      <c r="E7559" s="23">
        <v>0</v>
      </c>
      <c r="F7559" s="23">
        <v>0</v>
      </c>
      <c r="G7559" s="23">
        <v>0</v>
      </c>
      <c r="H7559" s="23">
        <v>0</v>
      </c>
      <c r="I7559" s="23">
        <v>1075.2</v>
      </c>
      <c r="J7559" s="23">
        <v>0</v>
      </c>
      <c r="K7559" s="23">
        <v>0</v>
      </c>
    </row>
    <row r="7560" spans="1:11" x14ac:dyDescent="0.25">
      <c r="A7560">
        <v>7559</v>
      </c>
      <c r="B7560" s="23">
        <v>1232.8</v>
      </c>
      <c r="C7560" s="23">
        <v>0</v>
      </c>
      <c r="D7560" s="23">
        <v>0</v>
      </c>
      <c r="E7560" s="23">
        <v>0</v>
      </c>
      <c r="F7560" s="23">
        <v>0</v>
      </c>
      <c r="G7560" s="23">
        <v>0</v>
      </c>
      <c r="H7560" s="23">
        <v>0</v>
      </c>
      <c r="I7560" s="23">
        <v>1232.8</v>
      </c>
      <c r="J7560" s="23">
        <v>0</v>
      </c>
      <c r="K7560" s="23">
        <v>0</v>
      </c>
    </row>
    <row r="7561" spans="1:11" x14ac:dyDescent="0.25">
      <c r="A7561">
        <v>7560</v>
      </c>
      <c r="B7561" s="23">
        <v>1115.2</v>
      </c>
      <c r="C7561" s="23">
        <v>0</v>
      </c>
      <c r="D7561" s="23">
        <v>0</v>
      </c>
      <c r="E7561" s="23">
        <v>0</v>
      </c>
      <c r="F7561" s="23">
        <v>0</v>
      </c>
      <c r="G7561" s="23">
        <v>0</v>
      </c>
      <c r="H7561" s="23">
        <v>0</v>
      </c>
      <c r="I7561" s="23">
        <v>1115.2</v>
      </c>
      <c r="J7561" s="23">
        <v>0</v>
      </c>
      <c r="K7561" s="23">
        <v>0</v>
      </c>
    </row>
    <row r="7562" spans="1:11" x14ac:dyDescent="0.25">
      <c r="A7562">
        <v>7561</v>
      </c>
      <c r="B7562" s="23">
        <v>1131.2</v>
      </c>
      <c r="C7562" s="23">
        <v>0</v>
      </c>
      <c r="D7562" s="23">
        <v>0</v>
      </c>
      <c r="E7562" s="23">
        <v>0</v>
      </c>
      <c r="F7562" s="23">
        <v>0</v>
      </c>
      <c r="G7562" s="23">
        <v>0</v>
      </c>
      <c r="H7562" s="23">
        <v>0</v>
      </c>
      <c r="I7562" s="23">
        <v>1131.2</v>
      </c>
      <c r="J7562" s="23">
        <v>0</v>
      </c>
      <c r="K7562" s="23">
        <v>0</v>
      </c>
    </row>
    <row r="7563" spans="1:11" x14ac:dyDescent="0.25">
      <c r="A7563">
        <v>7562</v>
      </c>
      <c r="B7563" s="23">
        <v>1402.4</v>
      </c>
      <c r="C7563" s="23">
        <v>0</v>
      </c>
      <c r="D7563" s="23">
        <v>0</v>
      </c>
      <c r="E7563" s="23">
        <v>0</v>
      </c>
      <c r="F7563" s="23">
        <v>0</v>
      </c>
      <c r="G7563" s="23">
        <v>0</v>
      </c>
      <c r="H7563" s="23">
        <v>0</v>
      </c>
      <c r="I7563" s="23">
        <v>1402.4</v>
      </c>
      <c r="J7563" s="23">
        <v>0</v>
      </c>
      <c r="K7563" s="23">
        <v>0</v>
      </c>
    </row>
    <row r="7564" spans="1:11" x14ac:dyDescent="0.25">
      <c r="A7564">
        <v>7563</v>
      </c>
      <c r="B7564" s="23">
        <v>878.4</v>
      </c>
      <c r="C7564" s="23">
        <v>0</v>
      </c>
      <c r="D7564" s="23">
        <v>0</v>
      </c>
      <c r="E7564" s="23">
        <v>0</v>
      </c>
      <c r="F7564" s="23">
        <v>0</v>
      </c>
      <c r="G7564" s="23">
        <v>0</v>
      </c>
      <c r="H7564" s="23">
        <v>0</v>
      </c>
      <c r="I7564" s="23">
        <v>878.4</v>
      </c>
      <c r="J7564" s="23">
        <v>0</v>
      </c>
      <c r="K7564" s="23">
        <v>0</v>
      </c>
    </row>
    <row r="7565" spans="1:11" x14ac:dyDescent="0.25">
      <c r="A7565">
        <v>7564</v>
      </c>
      <c r="B7565" s="23">
        <v>985.6</v>
      </c>
      <c r="C7565" s="23">
        <v>0</v>
      </c>
      <c r="D7565" s="23">
        <v>0</v>
      </c>
      <c r="E7565" s="23">
        <v>0</v>
      </c>
      <c r="F7565" s="23">
        <v>0</v>
      </c>
      <c r="G7565" s="23">
        <v>0</v>
      </c>
      <c r="H7565" s="23">
        <v>0</v>
      </c>
      <c r="I7565" s="23">
        <v>985.6</v>
      </c>
      <c r="J7565" s="23">
        <v>0</v>
      </c>
      <c r="K7565" s="23">
        <v>0</v>
      </c>
    </row>
    <row r="7566" spans="1:11" x14ac:dyDescent="0.25">
      <c r="A7566">
        <v>7565</v>
      </c>
      <c r="B7566" s="23">
        <v>1147.2</v>
      </c>
      <c r="C7566" s="23">
        <v>0</v>
      </c>
      <c r="D7566" s="23">
        <v>0</v>
      </c>
      <c r="E7566" s="23">
        <v>0</v>
      </c>
      <c r="F7566" s="23">
        <v>0</v>
      </c>
      <c r="G7566" s="23">
        <v>0</v>
      </c>
      <c r="H7566" s="23">
        <v>0</v>
      </c>
      <c r="I7566" s="23">
        <v>1147.2</v>
      </c>
      <c r="J7566" s="23">
        <v>0</v>
      </c>
      <c r="K7566" s="23">
        <v>0</v>
      </c>
    </row>
    <row r="7567" spans="1:11" x14ac:dyDescent="0.25">
      <c r="A7567">
        <v>7566</v>
      </c>
      <c r="B7567" s="23">
        <v>1303.2</v>
      </c>
      <c r="C7567" s="23">
        <v>0</v>
      </c>
      <c r="D7567" s="23">
        <v>0</v>
      </c>
      <c r="E7567" s="23">
        <v>0</v>
      </c>
      <c r="F7567" s="23">
        <v>0</v>
      </c>
      <c r="G7567" s="23">
        <v>0</v>
      </c>
      <c r="H7567" s="23">
        <v>0</v>
      </c>
      <c r="I7567" s="23">
        <v>390.29300000000001</v>
      </c>
      <c r="J7567" s="23">
        <v>0</v>
      </c>
      <c r="K7567" s="23">
        <v>912.90700000000004</v>
      </c>
    </row>
    <row r="7568" spans="1:11" x14ac:dyDescent="0.25">
      <c r="A7568">
        <v>7567</v>
      </c>
      <c r="B7568" s="23">
        <v>1182.365</v>
      </c>
      <c r="C7568" s="23">
        <v>133.03</v>
      </c>
      <c r="D7568" s="23">
        <v>438.23200000000003</v>
      </c>
      <c r="E7568" s="23">
        <v>438.23200000000003</v>
      </c>
      <c r="F7568" s="23">
        <v>0</v>
      </c>
      <c r="G7568" s="23">
        <v>0</v>
      </c>
      <c r="H7568" s="23">
        <v>0</v>
      </c>
      <c r="I7568" s="23">
        <v>0</v>
      </c>
      <c r="J7568" s="23">
        <v>0</v>
      </c>
      <c r="K7568" s="23">
        <v>744.13300000000004</v>
      </c>
    </row>
    <row r="7569" spans="1:11" x14ac:dyDescent="0.25">
      <c r="A7569">
        <v>7568</v>
      </c>
      <c r="B7569" s="23">
        <v>1335.808</v>
      </c>
      <c r="C7569" s="23">
        <v>384.58</v>
      </c>
      <c r="D7569" s="23">
        <v>1542.8420000000001</v>
      </c>
      <c r="E7569" s="23">
        <v>1335.808</v>
      </c>
      <c r="F7569" s="23">
        <v>-207.03399999999999</v>
      </c>
      <c r="G7569" s="23">
        <v>0</v>
      </c>
      <c r="H7569" s="23">
        <v>0</v>
      </c>
      <c r="I7569" s="23">
        <v>0</v>
      </c>
      <c r="J7569" s="23">
        <v>0</v>
      </c>
      <c r="K7569" s="23">
        <v>0</v>
      </c>
    </row>
    <row r="7570" spans="1:11" x14ac:dyDescent="0.25">
      <c r="A7570">
        <v>7569</v>
      </c>
      <c r="B7570" s="23">
        <v>1230.58</v>
      </c>
      <c r="C7570" s="23">
        <v>620.64</v>
      </c>
      <c r="D7570" s="23">
        <v>2468.2829999999999</v>
      </c>
      <c r="E7570" s="23">
        <v>1230.58</v>
      </c>
      <c r="F7570" s="23">
        <v>-1237.703</v>
      </c>
      <c r="G7570" s="23">
        <v>0</v>
      </c>
      <c r="H7570" s="23">
        <v>0</v>
      </c>
      <c r="I7570" s="23">
        <v>0</v>
      </c>
      <c r="J7570" s="23">
        <v>0</v>
      </c>
      <c r="K7570" s="23">
        <v>0</v>
      </c>
    </row>
    <row r="7571" spans="1:11" x14ac:dyDescent="0.25">
      <c r="A7571">
        <v>7570</v>
      </c>
      <c r="B7571" s="23">
        <v>1363.817</v>
      </c>
      <c r="C7571" s="23">
        <v>805.14</v>
      </c>
      <c r="D7571" s="23">
        <v>3110.134</v>
      </c>
      <c r="E7571" s="23">
        <v>1363.818</v>
      </c>
      <c r="F7571" s="23">
        <v>-1684.559</v>
      </c>
      <c r="G7571" s="23">
        <v>0</v>
      </c>
      <c r="H7571" s="23">
        <v>61.756999999999998</v>
      </c>
      <c r="I7571" s="23">
        <v>0</v>
      </c>
      <c r="J7571" s="23">
        <v>0</v>
      </c>
      <c r="K7571" s="23">
        <v>0</v>
      </c>
    </row>
    <row r="7572" spans="1:11" x14ac:dyDescent="0.25">
      <c r="A7572">
        <v>7571</v>
      </c>
      <c r="B7572" s="23">
        <v>1384.068</v>
      </c>
      <c r="C7572" s="23">
        <v>923.8</v>
      </c>
      <c r="D7572" s="23">
        <v>3494.6010000000001</v>
      </c>
      <c r="E7572" s="23">
        <v>1384.069</v>
      </c>
      <c r="F7572" s="23">
        <v>-1684.559</v>
      </c>
      <c r="G7572" s="23">
        <v>0</v>
      </c>
      <c r="H7572" s="23">
        <v>425.97300000000001</v>
      </c>
      <c r="I7572" s="23">
        <v>0</v>
      </c>
      <c r="J7572" s="23">
        <v>0</v>
      </c>
      <c r="K7572" s="23">
        <v>0</v>
      </c>
    </row>
    <row r="7573" spans="1:11" x14ac:dyDescent="0.25">
      <c r="A7573">
        <v>7572</v>
      </c>
      <c r="B7573" s="23">
        <v>1456.248</v>
      </c>
      <c r="C7573" s="23">
        <v>971.75</v>
      </c>
      <c r="D7573" s="23">
        <v>3633.9830000000002</v>
      </c>
      <c r="E7573" s="23">
        <v>1456.248</v>
      </c>
      <c r="F7573" s="23">
        <v>-1684.559</v>
      </c>
      <c r="G7573" s="23">
        <v>0</v>
      </c>
      <c r="H7573" s="23">
        <v>493.17599999999999</v>
      </c>
      <c r="I7573" s="23">
        <v>0</v>
      </c>
      <c r="J7573" s="23">
        <v>0</v>
      </c>
      <c r="K7573" s="23">
        <v>0</v>
      </c>
    </row>
    <row r="7574" spans="1:11" x14ac:dyDescent="0.25">
      <c r="A7574">
        <v>7573</v>
      </c>
      <c r="B7574" s="23">
        <v>1474.1469999999999</v>
      </c>
      <c r="C7574" s="23">
        <v>892.81</v>
      </c>
      <c r="D7574" s="23">
        <v>3363.8809999999999</v>
      </c>
      <c r="E7574" s="23">
        <v>1474.1469999999999</v>
      </c>
      <c r="F7574" s="23">
        <v>-793.08399999999995</v>
      </c>
      <c r="G7574" s="23">
        <v>0</v>
      </c>
      <c r="H7574" s="23">
        <v>1096.6500000000001</v>
      </c>
      <c r="I7574" s="23">
        <v>0</v>
      </c>
      <c r="J7574" s="23">
        <v>0</v>
      </c>
      <c r="K7574" s="23">
        <v>0</v>
      </c>
    </row>
    <row r="7575" spans="1:11" x14ac:dyDescent="0.25">
      <c r="A7575">
        <v>7574</v>
      </c>
      <c r="B7575" s="23">
        <v>1408.8030000000001</v>
      </c>
      <c r="C7575" s="23">
        <v>329.96</v>
      </c>
      <c r="D7575" s="23">
        <v>1271.33</v>
      </c>
      <c r="E7575" s="23">
        <v>1271.33</v>
      </c>
      <c r="F7575" s="23">
        <v>0</v>
      </c>
      <c r="G7575" s="23">
        <v>0</v>
      </c>
      <c r="H7575" s="23">
        <v>0</v>
      </c>
      <c r="I7575" s="23">
        <v>137.47300000000001</v>
      </c>
      <c r="J7575" s="23">
        <v>0</v>
      </c>
      <c r="K7575" s="23">
        <v>0</v>
      </c>
    </row>
    <row r="7576" spans="1:11" x14ac:dyDescent="0.25">
      <c r="A7576">
        <v>7575</v>
      </c>
      <c r="B7576" s="23">
        <v>1416.2149999999999</v>
      </c>
      <c r="C7576" s="23">
        <v>79.489999999999995</v>
      </c>
      <c r="D7576" s="23">
        <v>282.40199999999999</v>
      </c>
      <c r="E7576" s="23">
        <v>282.40199999999999</v>
      </c>
      <c r="F7576" s="23">
        <v>0</v>
      </c>
      <c r="G7576" s="23">
        <v>0</v>
      </c>
      <c r="H7576" s="23">
        <v>0</v>
      </c>
      <c r="I7576" s="23">
        <v>1133.8130000000001</v>
      </c>
      <c r="J7576" s="23">
        <v>0</v>
      </c>
      <c r="K7576" s="23">
        <v>0</v>
      </c>
    </row>
    <row r="7577" spans="1:11" x14ac:dyDescent="0.25">
      <c r="A7577">
        <v>7576</v>
      </c>
      <c r="B7577" s="23">
        <v>1598.239</v>
      </c>
      <c r="C7577" s="23">
        <v>172.02</v>
      </c>
      <c r="D7577" s="23">
        <v>663.45399999999995</v>
      </c>
      <c r="E7577" s="23">
        <v>663.45399999999995</v>
      </c>
      <c r="F7577" s="23">
        <v>0</v>
      </c>
      <c r="G7577" s="23">
        <v>0</v>
      </c>
      <c r="H7577" s="23">
        <v>0</v>
      </c>
      <c r="I7577" s="23">
        <v>934.78499999999997</v>
      </c>
      <c r="J7577" s="23">
        <v>0</v>
      </c>
      <c r="K7577" s="23">
        <v>0</v>
      </c>
    </row>
    <row r="7578" spans="1:11" x14ac:dyDescent="0.25">
      <c r="A7578">
        <v>7577</v>
      </c>
      <c r="B7578" s="23">
        <v>1617.779</v>
      </c>
      <c r="C7578" s="23">
        <v>134.19</v>
      </c>
      <c r="D7578" s="23">
        <v>485.56599999999997</v>
      </c>
      <c r="E7578" s="23">
        <v>485.56599999999997</v>
      </c>
      <c r="F7578" s="23">
        <v>0</v>
      </c>
      <c r="G7578" s="23">
        <v>0</v>
      </c>
      <c r="H7578" s="23">
        <v>0</v>
      </c>
      <c r="I7578" s="23">
        <v>1132.213</v>
      </c>
      <c r="J7578" s="23">
        <v>0</v>
      </c>
      <c r="K7578" s="23">
        <v>0</v>
      </c>
    </row>
    <row r="7579" spans="1:11" x14ac:dyDescent="0.25">
      <c r="A7579">
        <v>7578</v>
      </c>
      <c r="B7579" s="23">
        <v>1347.5260000000001</v>
      </c>
      <c r="C7579" s="23">
        <v>1.96</v>
      </c>
      <c r="D7579" s="23">
        <v>0</v>
      </c>
      <c r="E7579" s="23">
        <v>0</v>
      </c>
      <c r="F7579" s="23">
        <v>0</v>
      </c>
      <c r="G7579" s="23">
        <v>0</v>
      </c>
      <c r="H7579" s="23">
        <v>0</v>
      </c>
      <c r="I7579" s="23">
        <v>0</v>
      </c>
      <c r="J7579" s="23">
        <v>0</v>
      </c>
      <c r="K7579" s="23">
        <v>1347.5260000000001</v>
      </c>
    </row>
    <row r="7580" spans="1:11" x14ac:dyDescent="0.25">
      <c r="A7580">
        <v>7579</v>
      </c>
      <c r="B7580" s="23">
        <v>1315.2</v>
      </c>
      <c r="C7580" s="23">
        <v>0</v>
      </c>
      <c r="D7580" s="23">
        <v>0</v>
      </c>
      <c r="E7580" s="23">
        <v>0</v>
      </c>
      <c r="F7580" s="23">
        <v>0</v>
      </c>
      <c r="G7580" s="23">
        <v>0</v>
      </c>
      <c r="H7580" s="23">
        <v>0</v>
      </c>
      <c r="I7580" s="23">
        <v>0</v>
      </c>
      <c r="J7580" s="23">
        <v>0</v>
      </c>
      <c r="K7580" s="23">
        <v>1315.2</v>
      </c>
    </row>
    <row r="7581" spans="1:11" x14ac:dyDescent="0.25">
      <c r="A7581">
        <v>7580</v>
      </c>
      <c r="B7581" s="23">
        <v>1236.8</v>
      </c>
      <c r="C7581" s="23">
        <v>0</v>
      </c>
      <c r="D7581" s="23">
        <v>0</v>
      </c>
      <c r="E7581" s="23">
        <v>0</v>
      </c>
      <c r="F7581" s="23">
        <v>0</v>
      </c>
      <c r="G7581" s="23">
        <v>0</v>
      </c>
      <c r="H7581" s="23">
        <v>0</v>
      </c>
      <c r="I7581" s="23">
        <v>0</v>
      </c>
      <c r="J7581" s="23">
        <v>0</v>
      </c>
      <c r="K7581" s="23">
        <v>1236.8</v>
      </c>
    </row>
    <row r="7582" spans="1:11" x14ac:dyDescent="0.25">
      <c r="A7582">
        <v>7581</v>
      </c>
      <c r="B7582" s="23">
        <v>1147.2</v>
      </c>
      <c r="C7582" s="23">
        <v>0</v>
      </c>
      <c r="D7582" s="23">
        <v>0</v>
      </c>
      <c r="E7582" s="23">
        <v>0</v>
      </c>
      <c r="F7582" s="23">
        <v>0</v>
      </c>
      <c r="G7582" s="23">
        <v>0</v>
      </c>
      <c r="H7582" s="23">
        <v>0</v>
      </c>
      <c r="I7582" s="23">
        <v>1147.2</v>
      </c>
      <c r="J7582" s="23">
        <v>0</v>
      </c>
      <c r="K7582" s="23">
        <v>0</v>
      </c>
    </row>
    <row r="7583" spans="1:11" x14ac:dyDescent="0.25">
      <c r="A7583">
        <v>7582</v>
      </c>
      <c r="B7583" s="23">
        <v>1199.2</v>
      </c>
      <c r="C7583" s="23">
        <v>0</v>
      </c>
      <c r="D7583" s="23">
        <v>0</v>
      </c>
      <c r="E7583" s="23">
        <v>0</v>
      </c>
      <c r="F7583" s="23">
        <v>0</v>
      </c>
      <c r="G7583" s="23">
        <v>0</v>
      </c>
      <c r="H7583" s="23">
        <v>0</v>
      </c>
      <c r="I7583" s="23">
        <v>1199.2</v>
      </c>
      <c r="J7583" s="23">
        <v>0</v>
      </c>
      <c r="K7583" s="23">
        <v>0</v>
      </c>
    </row>
    <row r="7584" spans="1:11" x14ac:dyDescent="0.25">
      <c r="A7584">
        <v>7583</v>
      </c>
      <c r="B7584" s="23">
        <v>1183.2</v>
      </c>
      <c r="C7584" s="23">
        <v>0</v>
      </c>
      <c r="D7584" s="23">
        <v>0</v>
      </c>
      <c r="E7584" s="23">
        <v>0</v>
      </c>
      <c r="F7584" s="23">
        <v>0</v>
      </c>
      <c r="G7584" s="23">
        <v>0</v>
      </c>
      <c r="H7584" s="23">
        <v>0</v>
      </c>
      <c r="I7584" s="23">
        <v>1183.2</v>
      </c>
      <c r="J7584" s="23">
        <v>0</v>
      </c>
      <c r="K7584" s="23">
        <v>0</v>
      </c>
    </row>
    <row r="7585" spans="1:11" x14ac:dyDescent="0.25">
      <c r="A7585">
        <v>7584</v>
      </c>
      <c r="B7585" s="23">
        <v>1420</v>
      </c>
      <c r="C7585" s="23">
        <v>0</v>
      </c>
      <c r="D7585" s="23">
        <v>0</v>
      </c>
      <c r="E7585" s="23">
        <v>0</v>
      </c>
      <c r="F7585" s="23">
        <v>0</v>
      </c>
      <c r="G7585" s="23">
        <v>0</v>
      </c>
      <c r="H7585" s="23">
        <v>0</v>
      </c>
      <c r="I7585" s="23">
        <v>1420</v>
      </c>
      <c r="J7585" s="23">
        <v>0</v>
      </c>
      <c r="K7585" s="23">
        <v>0</v>
      </c>
    </row>
    <row r="7586" spans="1:11" x14ac:dyDescent="0.25">
      <c r="A7586">
        <v>7585</v>
      </c>
      <c r="B7586" s="23">
        <v>1430.4</v>
      </c>
      <c r="C7586" s="23">
        <v>0</v>
      </c>
      <c r="D7586" s="23">
        <v>0</v>
      </c>
      <c r="E7586" s="23">
        <v>0</v>
      </c>
      <c r="F7586" s="23">
        <v>0</v>
      </c>
      <c r="G7586" s="23">
        <v>0</v>
      </c>
      <c r="H7586" s="23">
        <v>0</v>
      </c>
      <c r="I7586" s="23">
        <v>1430.4</v>
      </c>
      <c r="J7586" s="23">
        <v>0</v>
      </c>
      <c r="K7586" s="23">
        <v>0</v>
      </c>
    </row>
    <row r="7587" spans="1:11" x14ac:dyDescent="0.25">
      <c r="A7587">
        <v>7586</v>
      </c>
      <c r="B7587" s="23">
        <v>1165.5999999999999</v>
      </c>
      <c r="C7587" s="23">
        <v>0</v>
      </c>
      <c r="D7587" s="23">
        <v>0</v>
      </c>
      <c r="E7587" s="23">
        <v>0</v>
      </c>
      <c r="F7587" s="23">
        <v>0</v>
      </c>
      <c r="G7587" s="23">
        <v>0</v>
      </c>
      <c r="H7587" s="23">
        <v>0</v>
      </c>
      <c r="I7587" s="23">
        <v>1165.5999999999999</v>
      </c>
      <c r="J7587" s="23">
        <v>0</v>
      </c>
      <c r="K7587" s="23">
        <v>0</v>
      </c>
    </row>
    <row r="7588" spans="1:11" x14ac:dyDescent="0.25">
      <c r="A7588">
        <v>7587</v>
      </c>
      <c r="B7588" s="23">
        <v>1365.6</v>
      </c>
      <c r="C7588" s="23">
        <v>0</v>
      </c>
      <c r="D7588" s="23">
        <v>0</v>
      </c>
      <c r="E7588" s="23">
        <v>0</v>
      </c>
      <c r="F7588" s="23">
        <v>0</v>
      </c>
      <c r="G7588" s="23">
        <v>0</v>
      </c>
      <c r="H7588" s="23">
        <v>0</v>
      </c>
      <c r="I7588" s="23">
        <v>1365.6</v>
      </c>
      <c r="J7588" s="23">
        <v>0</v>
      </c>
      <c r="K7588" s="23">
        <v>0</v>
      </c>
    </row>
    <row r="7589" spans="1:11" x14ac:dyDescent="0.25">
      <c r="A7589">
        <v>7588</v>
      </c>
      <c r="B7589" s="23">
        <v>876.8</v>
      </c>
      <c r="C7589" s="23">
        <v>0</v>
      </c>
      <c r="D7589" s="23">
        <v>0</v>
      </c>
      <c r="E7589" s="23">
        <v>0</v>
      </c>
      <c r="F7589" s="23">
        <v>0</v>
      </c>
      <c r="G7589" s="23">
        <v>0</v>
      </c>
      <c r="H7589" s="23">
        <v>0</v>
      </c>
      <c r="I7589" s="23">
        <v>876.8</v>
      </c>
      <c r="J7589" s="23">
        <v>0</v>
      </c>
      <c r="K7589" s="23">
        <v>0</v>
      </c>
    </row>
    <row r="7590" spans="1:11" x14ac:dyDescent="0.25">
      <c r="A7590">
        <v>7589</v>
      </c>
      <c r="B7590" s="23">
        <v>816</v>
      </c>
      <c r="C7590" s="23">
        <v>0</v>
      </c>
      <c r="D7590" s="23">
        <v>0</v>
      </c>
      <c r="E7590" s="23">
        <v>0</v>
      </c>
      <c r="F7590" s="23">
        <v>0</v>
      </c>
      <c r="G7590" s="23">
        <v>0</v>
      </c>
      <c r="H7590" s="23">
        <v>0</v>
      </c>
      <c r="I7590" s="23">
        <v>816</v>
      </c>
      <c r="J7590" s="23">
        <v>0</v>
      </c>
      <c r="K7590" s="23">
        <v>0</v>
      </c>
    </row>
    <row r="7591" spans="1:11" x14ac:dyDescent="0.25">
      <c r="A7591">
        <v>7590</v>
      </c>
      <c r="B7591" s="23">
        <v>768</v>
      </c>
      <c r="C7591" s="23">
        <v>0</v>
      </c>
      <c r="D7591" s="23">
        <v>0</v>
      </c>
      <c r="E7591" s="23">
        <v>0</v>
      </c>
      <c r="F7591" s="23">
        <v>0</v>
      </c>
      <c r="G7591" s="23">
        <v>0</v>
      </c>
      <c r="H7591" s="23">
        <v>0</v>
      </c>
      <c r="I7591" s="23">
        <v>768</v>
      </c>
      <c r="J7591" s="23">
        <v>0</v>
      </c>
      <c r="K7591" s="23">
        <v>0</v>
      </c>
    </row>
    <row r="7592" spans="1:11" x14ac:dyDescent="0.25">
      <c r="A7592">
        <v>7591</v>
      </c>
      <c r="B7592" s="23">
        <v>1244.499</v>
      </c>
      <c r="C7592" s="23">
        <v>110.44</v>
      </c>
      <c r="D7592" s="23">
        <v>367.76600000000002</v>
      </c>
      <c r="E7592" s="23">
        <v>367.76600000000002</v>
      </c>
      <c r="F7592" s="23">
        <v>0</v>
      </c>
      <c r="G7592" s="23">
        <v>0</v>
      </c>
      <c r="H7592" s="23">
        <v>0</v>
      </c>
      <c r="I7592" s="23">
        <v>876.73299999999995</v>
      </c>
      <c r="J7592" s="23">
        <v>0</v>
      </c>
      <c r="K7592" s="23">
        <v>0</v>
      </c>
    </row>
    <row r="7593" spans="1:11" x14ac:dyDescent="0.25">
      <c r="A7593">
        <v>7592</v>
      </c>
      <c r="B7593" s="23">
        <v>1277.595</v>
      </c>
      <c r="C7593" s="23">
        <v>387.72</v>
      </c>
      <c r="D7593" s="23">
        <v>1546.98</v>
      </c>
      <c r="E7593" s="23">
        <v>1277.595</v>
      </c>
      <c r="F7593" s="23">
        <v>-269.38499999999999</v>
      </c>
      <c r="G7593" s="23">
        <v>0</v>
      </c>
      <c r="H7593" s="23">
        <v>0</v>
      </c>
      <c r="I7593" s="23">
        <v>0</v>
      </c>
      <c r="J7593" s="23">
        <v>0</v>
      </c>
      <c r="K7593" s="23">
        <v>0</v>
      </c>
    </row>
    <row r="7594" spans="1:11" x14ac:dyDescent="0.25">
      <c r="A7594">
        <v>7593</v>
      </c>
      <c r="B7594" s="23">
        <v>1546.546</v>
      </c>
      <c r="C7594" s="23">
        <v>525.91999999999996</v>
      </c>
      <c r="D7594" s="23">
        <v>2057.7550000000001</v>
      </c>
      <c r="E7594" s="23">
        <v>1546.546</v>
      </c>
      <c r="F7594" s="23">
        <v>-511.209</v>
      </c>
      <c r="G7594" s="23">
        <v>0</v>
      </c>
      <c r="H7594" s="23">
        <v>0</v>
      </c>
      <c r="I7594" s="23">
        <v>0</v>
      </c>
      <c r="J7594" s="23">
        <v>0</v>
      </c>
      <c r="K7594" s="23">
        <v>0</v>
      </c>
    </row>
    <row r="7595" spans="1:11" x14ac:dyDescent="0.25">
      <c r="A7595">
        <v>7594</v>
      </c>
      <c r="B7595" s="23">
        <v>1572.2080000000001</v>
      </c>
      <c r="C7595" s="23">
        <v>802.49</v>
      </c>
      <c r="D7595" s="23">
        <v>2986.9250000000002</v>
      </c>
      <c r="E7595" s="23">
        <v>1572.2080000000001</v>
      </c>
      <c r="F7595" s="23">
        <v>-1414.7170000000001</v>
      </c>
      <c r="G7595" s="23">
        <v>0</v>
      </c>
      <c r="H7595" s="23">
        <v>0</v>
      </c>
      <c r="I7595" s="23">
        <v>0</v>
      </c>
      <c r="J7595" s="23">
        <v>0</v>
      </c>
      <c r="K7595" s="23">
        <v>0</v>
      </c>
    </row>
    <row r="7596" spans="1:11" x14ac:dyDescent="0.25">
      <c r="A7596">
        <v>7595</v>
      </c>
      <c r="B7596" s="23">
        <v>1429.627</v>
      </c>
      <c r="C7596" s="23">
        <v>917.02</v>
      </c>
      <c r="D7596" s="23">
        <v>3289.9740000000002</v>
      </c>
      <c r="E7596" s="23">
        <v>1429.627</v>
      </c>
      <c r="F7596" s="23">
        <v>-1684.559</v>
      </c>
      <c r="G7596" s="23">
        <v>0</v>
      </c>
      <c r="H7596" s="23">
        <v>175.78800000000001</v>
      </c>
      <c r="I7596" s="23">
        <v>0</v>
      </c>
      <c r="J7596" s="23">
        <v>0</v>
      </c>
      <c r="K7596" s="23">
        <v>0</v>
      </c>
    </row>
    <row r="7597" spans="1:11" x14ac:dyDescent="0.25">
      <c r="A7597">
        <v>7596</v>
      </c>
      <c r="B7597" s="23">
        <v>1773.5239999999999</v>
      </c>
      <c r="C7597" s="23">
        <v>430.94</v>
      </c>
      <c r="D7597" s="23">
        <v>1612.58</v>
      </c>
      <c r="E7597" s="23">
        <v>1612.58</v>
      </c>
      <c r="F7597" s="23">
        <v>0</v>
      </c>
      <c r="G7597" s="23">
        <v>0</v>
      </c>
      <c r="H7597" s="23">
        <v>0</v>
      </c>
      <c r="I7597" s="23">
        <v>0</v>
      </c>
      <c r="J7597" s="23">
        <v>0</v>
      </c>
      <c r="K7597" s="23">
        <v>160.94399999999999</v>
      </c>
    </row>
    <row r="7598" spans="1:11" x14ac:dyDescent="0.25">
      <c r="A7598">
        <v>7597</v>
      </c>
      <c r="B7598" s="23">
        <v>1456.5940000000001</v>
      </c>
      <c r="C7598" s="23">
        <v>237.98</v>
      </c>
      <c r="D7598" s="23">
        <v>888.13400000000001</v>
      </c>
      <c r="E7598" s="23">
        <v>888.13400000000001</v>
      </c>
      <c r="F7598" s="23">
        <v>0</v>
      </c>
      <c r="G7598" s="23">
        <v>0</v>
      </c>
      <c r="H7598" s="23">
        <v>0</v>
      </c>
      <c r="I7598" s="23">
        <v>568.46</v>
      </c>
      <c r="J7598" s="23">
        <v>0</v>
      </c>
      <c r="K7598" s="23">
        <v>0</v>
      </c>
    </row>
    <row r="7599" spans="1:11" x14ac:dyDescent="0.25">
      <c r="A7599">
        <v>7598</v>
      </c>
      <c r="B7599" s="23">
        <v>1568.38</v>
      </c>
      <c r="C7599" s="23">
        <v>365.39</v>
      </c>
      <c r="D7599" s="23">
        <v>1380.73</v>
      </c>
      <c r="E7599" s="23">
        <v>1380.73</v>
      </c>
      <c r="F7599" s="23">
        <v>0</v>
      </c>
      <c r="G7599" s="23">
        <v>0</v>
      </c>
      <c r="H7599" s="23">
        <v>0</v>
      </c>
      <c r="I7599" s="23">
        <v>187.65</v>
      </c>
      <c r="J7599" s="23">
        <v>0</v>
      </c>
      <c r="K7599" s="23">
        <v>0</v>
      </c>
    </row>
    <row r="7600" spans="1:11" x14ac:dyDescent="0.25">
      <c r="A7600">
        <v>7599</v>
      </c>
      <c r="B7600" s="23">
        <v>1614.354</v>
      </c>
      <c r="C7600" s="23">
        <v>556.63</v>
      </c>
      <c r="D7600" s="23">
        <v>2127.7660000000001</v>
      </c>
      <c r="E7600" s="23">
        <v>1614.354</v>
      </c>
      <c r="F7600" s="23">
        <v>-513.41200000000003</v>
      </c>
      <c r="G7600" s="23">
        <v>0</v>
      </c>
      <c r="H7600" s="23">
        <v>0</v>
      </c>
      <c r="I7600" s="23">
        <v>0</v>
      </c>
      <c r="J7600" s="23">
        <v>0</v>
      </c>
      <c r="K7600" s="23">
        <v>0</v>
      </c>
    </row>
    <row r="7601" spans="1:11" x14ac:dyDescent="0.25">
      <c r="A7601">
        <v>7600</v>
      </c>
      <c r="B7601" s="23">
        <v>1835.7670000000001</v>
      </c>
      <c r="C7601" s="23">
        <v>378.08</v>
      </c>
      <c r="D7601" s="23">
        <v>1486.07</v>
      </c>
      <c r="E7601" s="23">
        <v>1486.07</v>
      </c>
      <c r="F7601" s="23">
        <v>0</v>
      </c>
      <c r="G7601" s="23">
        <v>0</v>
      </c>
      <c r="H7601" s="23">
        <v>0</v>
      </c>
      <c r="I7601" s="23">
        <v>349.697</v>
      </c>
      <c r="J7601" s="23">
        <v>0</v>
      </c>
      <c r="K7601" s="23">
        <v>0</v>
      </c>
    </row>
    <row r="7602" spans="1:11" x14ac:dyDescent="0.25">
      <c r="A7602">
        <v>7601</v>
      </c>
      <c r="B7602" s="23">
        <v>1488.288</v>
      </c>
      <c r="C7602" s="23">
        <v>74.2</v>
      </c>
      <c r="D7602" s="23">
        <v>257.30700000000002</v>
      </c>
      <c r="E7602" s="23">
        <v>257.30700000000002</v>
      </c>
      <c r="F7602" s="23">
        <v>0</v>
      </c>
      <c r="G7602" s="23">
        <v>0</v>
      </c>
      <c r="H7602" s="23">
        <v>0</v>
      </c>
      <c r="I7602" s="23">
        <v>1230.981</v>
      </c>
      <c r="J7602" s="23">
        <v>0</v>
      </c>
      <c r="K7602" s="23">
        <v>0</v>
      </c>
    </row>
    <row r="7603" spans="1:11" x14ac:dyDescent="0.25">
      <c r="A7603">
        <v>7602</v>
      </c>
      <c r="B7603" s="23">
        <v>1561.2840000000001</v>
      </c>
      <c r="C7603" s="23">
        <v>3.61</v>
      </c>
      <c r="D7603" s="23">
        <v>0</v>
      </c>
      <c r="E7603" s="23">
        <v>0</v>
      </c>
      <c r="F7603" s="23">
        <v>0</v>
      </c>
      <c r="G7603" s="23">
        <v>0</v>
      </c>
      <c r="H7603" s="23">
        <v>0</v>
      </c>
      <c r="I7603" s="23">
        <v>0</v>
      </c>
      <c r="J7603" s="23">
        <v>0</v>
      </c>
      <c r="K7603" s="23">
        <v>1561.2840000000001</v>
      </c>
    </row>
    <row r="7604" spans="1:11" x14ac:dyDescent="0.25">
      <c r="A7604">
        <v>7603</v>
      </c>
      <c r="B7604" s="23">
        <v>1532</v>
      </c>
      <c r="C7604" s="23">
        <v>0</v>
      </c>
      <c r="D7604" s="23">
        <v>0</v>
      </c>
      <c r="E7604" s="23">
        <v>0</v>
      </c>
      <c r="F7604" s="23">
        <v>0</v>
      </c>
      <c r="G7604" s="23">
        <v>0</v>
      </c>
      <c r="H7604" s="23">
        <v>0</v>
      </c>
      <c r="I7604" s="23">
        <v>0</v>
      </c>
      <c r="J7604" s="23">
        <v>0</v>
      </c>
      <c r="K7604" s="23">
        <v>1532</v>
      </c>
    </row>
    <row r="7605" spans="1:11" x14ac:dyDescent="0.25">
      <c r="A7605">
        <v>7604</v>
      </c>
      <c r="B7605" s="23">
        <v>1440.8</v>
      </c>
      <c r="C7605" s="23">
        <v>0</v>
      </c>
      <c r="D7605" s="23">
        <v>0</v>
      </c>
      <c r="E7605" s="23">
        <v>0</v>
      </c>
      <c r="F7605" s="23">
        <v>0</v>
      </c>
      <c r="G7605" s="23">
        <v>0</v>
      </c>
      <c r="H7605" s="23">
        <v>0</v>
      </c>
      <c r="I7605" s="23">
        <v>0</v>
      </c>
      <c r="J7605" s="23">
        <v>0</v>
      </c>
      <c r="K7605" s="23">
        <v>1440.8</v>
      </c>
    </row>
    <row r="7606" spans="1:11" x14ac:dyDescent="0.25">
      <c r="A7606">
        <v>7605</v>
      </c>
      <c r="B7606" s="23">
        <v>1496.8</v>
      </c>
      <c r="C7606" s="23">
        <v>0</v>
      </c>
      <c r="D7606" s="23">
        <v>0</v>
      </c>
      <c r="E7606" s="23">
        <v>0</v>
      </c>
      <c r="F7606" s="23">
        <v>0</v>
      </c>
      <c r="G7606" s="23">
        <v>0</v>
      </c>
      <c r="H7606" s="23">
        <v>0</v>
      </c>
      <c r="I7606" s="23">
        <v>1496.8</v>
      </c>
      <c r="J7606" s="23">
        <v>0</v>
      </c>
      <c r="K7606" s="23">
        <v>0</v>
      </c>
    </row>
    <row r="7607" spans="1:11" x14ac:dyDescent="0.25">
      <c r="A7607">
        <v>7606</v>
      </c>
      <c r="B7607" s="23">
        <v>967.2</v>
      </c>
      <c r="C7607" s="23">
        <v>0</v>
      </c>
      <c r="D7607" s="23">
        <v>0</v>
      </c>
      <c r="E7607" s="23">
        <v>0</v>
      </c>
      <c r="F7607" s="23">
        <v>0</v>
      </c>
      <c r="G7607" s="23">
        <v>0</v>
      </c>
      <c r="H7607" s="23">
        <v>0</v>
      </c>
      <c r="I7607" s="23">
        <v>967.2</v>
      </c>
      <c r="J7607" s="23">
        <v>0</v>
      </c>
      <c r="K7607" s="23">
        <v>0</v>
      </c>
    </row>
    <row r="7608" spans="1:11" x14ac:dyDescent="0.25">
      <c r="A7608">
        <v>7607</v>
      </c>
      <c r="B7608" s="23">
        <v>1389.6</v>
      </c>
      <c r="C7608" s="23">
        <v>0</v>
      </c>
      <c r="D7608" s="23">
        <v>0</v>
      </c>
      <c r="E7608" s="23">
        <v>0</v>
      </c>
      <c r="F7608" s="23">
        <v>0</v>
      </c>
      <c r="G7608" s="23">
        <v>0</v>
      </c>
      <c r="H7608" s="23">
        <v>0</v>
      </c>
      <c r="I7608" s="23">
        <v>1389.6</v>
      </c>
      <c r="J7608" s="23">
        <v>0</v>
      </c>
      <c r="K7608" s="23">
        <v>0</v>
      </c>
    </row>
    <row r="7609" spans="1:11" x14ac:dyDescent="0.25">
      <c r="A7609">
        <v>7608</v>
      </c>
      <c r="B7609" s="23">
        <v>994.4</v>
      </c>
      <c r="C7609" s="23">
        <v>0</v>
      </c>
      <c r="D7609" s="23">
        <v>0</v>
      </c>
      <c r="E7609" s="23">
        <v>0</v>
      </c>
      <c r="F7609" s="23">
        <v>0</v>
      </c>
      <c r="G7609" s="23">
        <v>0</v>
      </c>
      <c r="H7609" s="23">
        <v>0</v>
      </c>
      <c r="I7609" s="23">
        <v>994.4</v>
      </c>
      <c r="J7609" s="23">
        <v>0</v>
      </c>
      <c r="K7609" s="23">
        <v>0</v>
      </c>
    </row>
    <row r="7610" spans="1:11" x14ac:dyDescent="0.25">
      <c r="A7610">
        <v>7609</v>
      </c>
      <c r="B7610" s="23">
        <v>1131.2</v>
      </c>
      <c r="C7610" s="23">
        <v>0</v>
      </c>
      <c r="D7610" s="23">
        <v>0</v>
      </c>
      <c r="E7610" s="23">
        <v>0</v>
      </c>
      <c r="F7610" s="23">
        <v>0</v>
      </c>
      <c r="G7610" s="23">
        <v>0</v>
      </c>
      <c r="H7610" s="23">
        <v>0</v>
      </c>
      <c r="I7610" s="23">
        <v>1131.2</v>
      </c>
      <c r="J7610" s="23">
        <v>0</v>
      </c>
      <c r="K7610" s="23">
        <v>0</v>
      </c>
    </row>
    <row r="7611" spans="1:11" x14ac:dyDescent="0.25">
      <c r="A7611">
        <v>7610</v>
      </c>
      <c r="B7611" s="23">
        <v>1332.8</v>
      </c>
      <c r="C7611" s="23">
        <v>0</v>
      </c>
      <c r="D7611" s="23">
        <v>0</v>
      </c>
      <c r="E7611" s="23">
        <v>0</v>
      </c>
      <c r="F7611" s="23">
        <v>0</v>
      </c>
      <c r="G7611" s="23">
        <v>0</v>
      </c>
      <c r="H7611" s="23">
        <v>0</v>
      </c>
      <c r="I7611" s="23">
        <v>1332.8</v>
      </c>
      <c r="J7611" s="23">
        <v>0</v>
      </c>
      <c r="K7611" s="23">
        <v>0</v>
      </c>
    </row>
    <row r="7612" spans="1:11" x14ac:dyDescent="0.25">
      <c r="A7612">
        <v>7611</v>
      </c>
      <c r="B7612" s="23">
        <v>1132.8</v>
      </c>
      <c r="C7612" s="23">
        <v>0</v>
      </c>
      <c r="D7612" s="23">
        <v>0</v>
      </c>
      <c r="E7612" s="23">
        <v>0</v>
      </c>
      <c r="F7612" s="23">
        <v>0</v>
      </c>
      <c r="G7612" s="23">
        <v>0</v>
      </c>
      <c r="H7612" s="23">
        <v>0</v>
      </c>
      <c r="I7612" s="23">
        <v>1132.8</v>
      </c>
      <c r="J7612" s="23">
        <v>0</v>
      </c>
      <c r="K7612" s="23">
        <v>0</v>
      </c>
    </row>
    <row r="7613" spans="1:11" x14ac:dyDescent="0.25">
      <c r="A7613">
        <v>7612</v>
      </c>
      <c r="B7613" s="23">
        <v>1163.2</v>
      </c>
      <c r="C7613" s="23">
        <v>0</v>
      </c>
      <c r="D7613" s="23">
        <v>0</v>
      </c>
      <c r="E7613" s="23">
        <v>0</v>
      </c>
      <c r="F7613" s="23">
        <v>0</v>
      </c>
      <c r="G7613" s="23">
        <v>0</v>
      </c>
      <c r="H7613" s="23">
        <v>0</v>
      </c>
      <c r="I7613" s="23">
        <v>1163.2</v>
      </c>
      <c r="J7613" s="23">
        <v>0</v>
      </c>
      <c r="K7613" s="23">
        <v>0</v>
      </c>
    </row>
    <row r="7614" spans="1:11" x14ac:dyDescent="0.25">
      <c r="A7614">
        <v>7613</v>
      </c>
      <c r="B7614" s="23">
        <v>1312.8</v>
      </c>
      <c r="C7614" s="23">
        <v>0</v>
      </c>
      <c r="D7614" s="23">
        <v>0</v>
      </c>
      <c r="E7614" s="23">
        <v>0</v>
      </c>
      <c r="F7614" s="23">
        <v>0</v>
      </c>
      <c r="G7614" s="23">
        <v>0</v>
      </c>
      <c r="H7614" s="23">
        <v>0</v>
      </c>
      <c r="I7614" s="23">
        <v>1312.8</v>
      </c>
      <c r="J7614" s="23">
        <v>0</v>
      </c>
      <c r="K7614" s="23">
        <v>0</v>
      </c>
    </row>
    <row r="7615" spans="1:11" x14ac:dyDescent="0.25">
      <c r="A7615">
        <v>7614</v>
      </c>
      <c r="B7615" s="23">
        <v>1239.2</v>
      </c>
      <c r="C7615" s="23">
        <v>0</v>
      </c>
      <c r="D7615" s="23">
        <v>0</v>
      </c>
      <c r="E7615" s="23">
        <v>0</v>
      </c>
      <c r="F7615" s="23">
        <v>0</v>
      </c>
      <c r="G7615" s="23">
        <v>0</v>
      </c>
      <c r="H7615" s="23">
        <v>0</v>
      </c>
      <c r="I7615" s="23">
        <v>198.571</v>
      </c>
      <c r="J7615" s="23">
        <v>0</v>
      </c>
      <c r="K7615" s="23">
        <v>1040.6289999999999</v>
      </c>
    </row>
    <row r="7616" spans="1:11" x14ac:dyDescent="0.25">
      <c r="A7616">
        <v>7615</v>
      </c>
      <c r="B7616" s="23">
        <v>1053.2670000000001</v>
      </c>
      <c r="C7616" s="23">
        <v>98.81</v>
      </c>
      <c r="D7616" s="23">
        <v>332.608</v>
      </c>
      <c r="E7616" s="23">
        <v>332.608</v>
      </c>
      <c r="F7616" s="23">
        <v>0</v>
      </c>
      <c r="G7616" s="23">
        <v>0</v>
      </c>
      <c r="H7616" s="23">
        <v>0</v>
      </c>
      <c r="I7616" s="23">
        <v>0</v>
      </c>
      <c r="J7616" s="23">
        <v>0</v>
      </c>
      <c r="K7616" s="23">
        <v>720.65899999999999</v>
      </c>
    </row>
    <row r="7617" spans="1:11" x14ac:dyDescent="0.25">
      <c r="A7617">
        <v>7616</v>
      </c>
      <c r="B7617" s="23">
        <v>1323.5150000000001</v>
      </c>
      <c r="C7617" s="23">
        <v>296.05</v>
      </c>
      <c r="D7617" s="23">
        <v>1179.8800000000001</v>
      </c>
      <c r="E7617" s="23">
        <v>1179.8800000000001</v>
      </c>
      <c r="F7617" s="23">
        <v>0</v>
      </c>
      <c r="G7617" s="23">
        <v>0</v>
      </c>
      <c r="H7617" s="23">
        <v>0</v>
      </c>
      <c r="I7617" s="23">
        <v>0</v>
      </c>
      <c r="J7617" s="23">
        <v>0</v>
      </c>
      <c r="K7617" s="23">
        <v>143.63499999999999</v>
      </c>
    </row>
    <row r="7618" spans="1:11" x14ac:dyDescent="0.25">
      <c r="A7618">
        <v>7617</v>
      </c>
      <c r="B7618" s="23">
        <v>1381.943</v>
      </c>
      <c r="C7618" s="23">
        <v>538.46</v>
      </c>
      <c r="D7618" s="23">
        <v>2107.5889999999999</v>
      </c>
      <c r="E7618" s="23">
        <v>1381.943</v>
      </c>
      <c r="F7618" s="23">
        <v>-725.64599999999996</v>
      </c>
      <c r="G7618" s="23">
        <v>0</v>
      </c>
      <c r="H7618" s="23">
        <v>0</v>
      </c>
      <c r="I7618" s="23">
        <v>0</v>
      </c>
      <c r="J7618" s="23">
        <v>0</v>
      </c>
      <c r="K7618" s="23">
        <v>0</v>
      </c>
    </row>
    <row r="7619" spans="1:11" x14ac:dyDescent="0.25">
      <c r="A7619">
        <v>7618</v>
      </c>
      <c r="B7619" s="23">
        <v>1401.6759999999999</v>
      </c>
      <c r="C7619" s="23">
        <v>810.9</v>
      </c>
      <c r="D7619" s="23">
        <v>3026.681</v>
      </c>
      <c r="E7619" s="23">
        <v>1401.6759999999999</v>
      </c>
      <c r="F7619" s="23">
        <v>-1625.0050000000001</v>
      </c>
      <c r="G7619" s="23">
        <v>0</v>
      </c>
      <c r="H7619" s="23">
        <v>0</v>
      </c>
      <c r="I7619" s="23">
        <v>0</v>
      </c>
      <c r="J7619" s="23">
        <v>0</v>
      </c>
      <c r="K7619" s="23">
        <v>0</v>
      </c>
    </row>
    <row r="7620" spans="1:11" x14ac:dyDescent="0.25">
      <c r="A7620">
        <v>7619</v>
      </c>
      <c r="B7620" s="23">
        <v>1376.5319999999999</v>
      </c>
      <c r="C7620" s="23">
        <v>931.89</v>
      </c>
      <c r="D7620" s="23">
        <v>3382.163</v>
      </c>
      <c r="E7620" s="23">
        <v>1376.5329999999999</v>
      </c>
      <c r="F7620" s="23">
        <v>-1684.559</v>
      </c>
      <c r="G7620" s="23">
        <v>0</v>
      </c>
      <c r="H7620" s="23">
        <v>321.07100000000003</v>
      </c>
      <c r="I7620" s="23">
        <v>0</v>
      </c>
      <c r="J7620" s="23">
        <v>0</v>
      </c>
      <c r="K7620" s="23">
        <v>0</v>
      </c>
    </row>
    <row r="7621" spans="1:11" x14ac:dyDescent="0.25">
      <c r="A7621">
        <v>7620</v>
      </c>
      <c r="B7621" s="23">
        <v>1661.105</v>
      </c>
      <c r="C7621" s="23">
        <v>980.4</v>
      </c>
      <c r="D7621" s="23">
        <v>3514.4270000000001</v>
      </c>
      <c r="E7621" s="23">
        <v>1661.106</v>
      </c>
      <c r="F7621" s="23">
        <v>-1684.559</v>
      </c>
      <c r="G7621" s="23">
        <v>0</v>
      </c>
      <c r="H7621" s="23">
        <v>168.762</v>
      </c>
      <c r="I7621" s="23">
        <v>0</v>
      </c>
      <c r="J7621" s="23">
        <v>0</v>
      </c>
      <c r="K7621" s="23">
        <v>0</v>
      </c>
    </row>
    <row r="7622" spans="1:11" x14ac:dyDescent="0.25">
      <c r="A7622">
        <v>7621</v>
      </c>
      <c r="B7622" s="23">
        <v>1751.0239999999999</v>
      </c>
      <c r="C7622" s="23">
        <v>949.99</v>
      </c>
      <c r="D7622" s="23">
        <v>3432.6790000000001</v>
      </c>
      <c r="E7622" s="23">
        <v>1751.0250000000001</v>
      </c>
      <c r="F7622" s="23">
        <v>-1571.729</v>
      </c>
      <c r="G7622" s="23">
        <v>0</v>
      </c>
      <c r="H7622" s="23">
        <v>109.925</v>
      </c>
      <c r="I7622" s="23">
        <v>0</v>
      </c>
      <c r="J7622" s="23">
        <v>0</v>
      </c>
      <c r="K7622" s="23">
        <v>0</v>
      </c>
    </row>
    <row r="7623" spans="1:11" x14ac:dyDescent="0.25">
      <c r="A7623">
        <v>7622</v>
      </c>
      <c r="B7623" s="23">
        <v>1832.5229999999999</v>
      </c>
      <c r="C7623" s="23">
        <v>845.61</v>
      </c>
      <c r="D7623" s="23">
        <v>3115.7489999999998</v>
      </c>
      <c r="E7623" s="23">
        <v>1832.5229999999999</v>
      </c>
      <c r="F7623" s="23">
        <v>0</v>
      </c>
      <c r="G7623" s="23">
        <v>0</v>
      </c>
      <c r="H7623" s="23">
        <v>1283.2260000000001</v>
      </c>
      <c r="I7623" s="23">
        <v>0</v>
      </c>
      <c r="J7623" s="23">
        <v>0</v>
      </c>
      <c r="K7623" s="23">
        <v>0</v>
      </c>
    </row>
    <row r="7624" spans="1:11" x14ac:dyDescent="0.25">
      <c r="A7624">
        <v>7623</v>
      </c>
      <c r="B7624" s="23">
        <v>1589.617</v>
      </c>
      <c r="C7624" s="23">
        <v>532.77</v>
      </c>
      <c r="D7624" s="23">
        <v>2036.73</v>
      </c>
      <c r="E7624" s="23">
        <v>1589.617</v>
      </c>
      <c r="F7624" s="23">
        <v>0</v>
      </c>
      <c r="G7624" s="23">
        <v>0</v>
      </c>
      <c r="H7624" s="23">
        <v>447.113</v>
      </c>
      <c r="I7624" s="23">
        <v>0</v>
      </c>
      <c r="J7624" s="23">
        <v>0</v>
      </c>
      <c r="K7624" s="23">
        <v>0</v>
      </c>
    </row>
    <row r="7625" spans="1:11" x14ac:dyDescent="0.25">
      <c r="A7625">
        <v>7624</v>
      </c>
      <c r="B7625" s="23">
        <v>1620.8810000000001</v>
      </c>
      <c r="C7625" s="23">
        <v>346.91</v>
      </c>
      <c r="D7625" s="23">
        <v>1356.6220000000001</v>
      </c>
      <c r="E7625" s="23">
        <v>1356.6220000000001</v>
      </c>
      <c r="F7625" s="23">
        <v>0</v>
      </c>
      <c r="G7625" s="23">
        <v>0</v>
      </c>
      <c r="H7625" s="23">
        <v>0</v>
      </c>
      <c r="I7625" s="23">
        <v>264.25900000000001</v>
      </c>
      <c r="J7625" s="23">
        <v>0</v>
      </c>
      <c r="K7625" s="23">
        <v>0</v>
      </c>
    </row>
    <row r="7626" spans="1:11" x14ac:dyDescent="0.25">
      <c r="A7626">
        <v>7625</v>
      </c>
      <c r="B7626" s="23">
        <v>1347.9110000000001</v>
      </c>
      <c r="C7626" s="23">
        <v>134.05000000000001</v>
      </c>
      <c r="D7626" s="23">
        <v>481.149</v>
      </c>
      <c r="E7626" s="23">
        <v>481.149</v>
      </c>
      <c r="F7626" s="23">
        <v>0</v>
      </c>
      <c r="G7626" s="23">
        <v>0</v>
      </c>
      <c r="H7626" s="23">
        <v>0</v>
      </c>
      <c r="I7626" s="23">
        <v>866.76199999999994</v>
      </c>
      <c r="J7626" s="23">
        <v>0</v>
      </c>
      <c r="K7626" s="23">
        <v>0</v>
      </c>
    </row>
    <row r="7627" spans="1:11" x14ac:dyDescent="0.25">
      <c r="A7627">
        <v>7626</v>
      </c>
      <c r="B7627" s="23">
        <v>1547.415</v>
      </c>
      <c r="C7627" s="23">
        <v>1.96</v>
      </c>
      <c r="D7627" s="23">
        <v>0</v>
      </c>
      <c r="E7627" s="23">
        <v>0</v>
      </c>
      <c r="F7627" s="23">
        <v>0</v>
      </c>
      <c r="G7627" s="23">
        <v>0</v>
      </c>
      <c r="H7627" s="23">
        <v>0</v>
      </c>
      <c r="I7627" s="23">
        <v>0</v>
      </c>
      <c r="J7627" s="23">
        <v>0</v>
      </c>
      <c r="K7627" s="23">
        <v>1547.415</v>
      </c>
    </row>
    <row r="7628" spans="1:11" x14ac:dyDescent="0.25">
      <c r="A7628">
        <v>7627</v>
      </c>
      <c r="B7628" s="23">
        <v>1665.6</v>
      </c>
      <c r="C7628" s="23">
        <v>0</v>
      </c>
      <c r="D7628" s="23">
        <v>0</v>
      </c>
      <c r="E7628" s="23">
        <v>0</v>
      </c>
      <c r="F7628" s="23">
        <v>0</v>
      </c>
      <c r="G7628" s="23">
        <v>0</v>
      </c>
      <c r="H7628" s="23">
        <v>0</v>
      </c>
      <c r="I7628" s="23">
        <v>0</v>
      </c>
      <c r="J7628" s="23">
        <v>0</v>
      </c>
      <c r="K7628" s="23">
        <v>1665.6</v>
      </c>
    </row>
    <row r="7629" spans="1:11" x14ac:dyDescent="0.25">
      <c r="A7629">
        <v>7628</v>
      </c>
      <c r="B7629" s="23">
        <v>1189.5999999999999</v>
      </c>
      <c r="C7629" s="23">
        <v>0</v>
      </c>
      <c r="D7629" s="23">
        <v>0</v>
      </c>
      <c r="E7629" s="23">
        <v>0</v>
      </c>
      <c r="F7629" s="23">
        <v>0</v>
      </c>
      <c r="G7629" s="23">
        <v>0</v>
      </c>
      <c r="H7629" s="23">
        <v>0</v>
      </c>
      <c r="I7629" s="23">
        <v>0</v>
      </c>
      <c r="J7629" s="23">
        <v>0</v>
      </c>
      <c r="K7629" s="23">
        <v>1189.5999999999999</v>
      </c>
    </row>
    <row r="7630" spans="1:11" x14ac:dyDescent="0.25">
      <c r="A7630">
        <v>7629</v>
      </c>
      <c r="B7630" s="23">
        <v>890.4</v>
      </c>
      <c r="C7630" s="23">
        <v>0</v>
      </c>
      <c r="D7630" s="23">
        <v>0</v>
      </c>
      <c r="E7630" s="23">
        <v>0</v>
      </c>
      <c r="F7630" s="23">
        <v>0</v>
      </c>
      <c r="G7630" s="23">
        <v>0</v>
      </c>
      <c r="H7630" s="23">
        <v>0</v>
      </c>
      <c r="I7630" s="23">
        <v>890.4</v>
      </c>
      <c r="J7630" s="23">
        <v>0</v>
      </c>
      <c r="K7630" s="23">
        <v>0</v>
      </c>
    </row>
    <row r="7631" spans="1:11" x14ac:dyDescent="0.25">
      <c r="A7631">
        <v>7630</v>
      </c>
      <c r="B7631" s="23">
        <v>993.6</v>
      </c>
      <c r="C7631" s="23">
        <v>0</v>
      </c>
      <c r="D7631" s="23">
        <v>0</v>
      </c>
      <c r="E7631" s="23">
        <v>0</v>
      </c>
      <c r="F7631" s="23">
        <v>0</v>
      </c>
      <c r="G7631" s="23">
        <v>0</v>
      </c>
      <c r="H7631" s="23">
        <v>0</v>
      </c>
      <c r="I7631" s="23">
        <v>993.6</v>
      </c>
      <c r="J7631" s="23">
        <v>0</v>
      </c>
      <c r="K7631" s="23">
        <v>0</v>
      </c>
    </row>
    <row r="7632" spans="1:11" x14ac:dyDescent="0.25">
      <c r="A7632">
        <v>7631</v>
      </c>
      <c r="B7632" s="23">
        <v>1250.4000000000001</v>
      </c>
      <c r="C7632" s="23">
        <v>0</v>
      </c>
      <c r="D7632" s="23">
        <v>0</v>
      </c>
      <c r="E7632" s="23">
        <v>0</v>
      </c>
      <c r="F7632" s="23">
        <v>0</v>
      </c>
      <c r="G7632" s="23">
        <v>0</v>
      </c>
      <c r="H7632" s="23">
        <v>0</v>
      </c>
      <c r="I7632" s="23">
        <v>1250.4000000000001</v>
      </c>
      <c r="J7632" s="23">
        <v>0</v>
      </c>
      <c r="K7632" s="23">
        <v>0</v>
      </c>
    </row>
    <row r="7633" spans="1:11" x14ac:dyDescent="0.25">
      <c r="A7633">
        <v>7632</v>
      </c>
      <c r="B7633" s="23">
        <v>1127.2</v>
      </c>
      <c r="C7633" s="23">
        <v>0</v>
      </c>
      <c r="D7633" s="23">
        <v>0</v>
      </c>
      <c r="E7633" s="23">
        <v>0</v>
      </c>
      <c r="F7633" s="23">
        <v>0</v>
      </c>
      <c r="G7633" s="23">
        <v>0</v>
      </c>
      <c r="H7633" s="23">
        <v>0</v>
      </c>
      <c r="I7633" s="23">
        <v>1127.2</v>
      </c>
      <c r="J7633" s="23">
        <v>0</v>
      </c>
      <c r="K7633" s="23">
        <v>0</v>
      </c>
    </row>
    <row r="7634" spans="1:11" x14ac:dyDescent="0.25">
      <c r="A7634">
        <v>7633</v>
      </c>
      <c r="B7634" s="23">
        <v>1052</v>
      </c>
      <c r="C7634" s="23">
        <v>0</v>
      </c>
      <c r="D7634" s="23">
        <v>0</v>
      </c>
      <c r="E7634" s="23">
        <v>0</v>
      </c>
      <c r="F7634" s="23">
        <v>0</v>
      </c>
      <c r="G7634" s="23">
        <v>0</v>
      </c>
      <c r="H7634" s="23">
        <v>0</v>
      </c>
      <c r="I7634" s="23">
        <v>1052</v>
      </c>
      <c r="J7634" s="23">
        <v>0</v>
      </c>
      <c r="K7634" s="23">
        <v>0</v>
      </c>
    </row>
    <row r="7635" spans="1:11" x14ac:dyDescent="0.25">
      <c r="A7635">
        <v>7634</v>
      </c>
      <c r="B7635" s="23">
        <v>1386.4</v>
      </c>
      <c r="C7635" s="23">
        <v>0</v>
      </c>
      <c r="D7635" s="23">
        <v>0</v>
      </c>
      <c r="E7635" s="23">
        <v>0</v>
      </c>
      <c r="F7635" s="23">
        <v>0</v>
      </c>
      <c r="G7635" s="23">
        <v>0</v>
      </c>
      <c r="H7635" s="23">
        <v>0</v>
      </c>
      <c r="I7635" s="23">
        <v>1386.4</v>
      </c>
      <c r="J7635" s="23">
        <v>0</v>
      </c>
      <c r="K7635" s="23">
        <v>0</v>
      </c>
    </row>
    <row r="7636" spans="1:11" x14ac:dyDescent="0.25">
      <c r="A7636">
        <v>7635</v>
      </c>
      <c r="B7636" s="23">
        <v>1046.4000000000001</v>
      </c>
      <c r="C7636" s="23">
        <v>0</v>
      </c>
      <c r="D7636" s="23">
        <v>0</v>
      </c>
      <c r="E7636" s="23">
        <v>0</v>
      </c>
      <c r="F7636" s="23">
        <v>0</v>
      </c>
      <c r="G7636" s="23">
        <v>0</v>
      </c>
      <c r="H7636" s="23">
        <v>0</v>
      </c>
      <c r="I7636" s="23">
        <v>1046.4000000000001</v>
      </c>
      <c r="J7636" s="23">
        <v>0</v>
      </c>
      <c r="K7636" s="23">
        <v>0</v>
      </c>
    </row>
    <row r="7637" spans="1:11" x14ac:dyDescent="0.25">
      <c r="A7637">
        <v>7636</v>
      </c>
      <c r="B7637" s="23">
        <v>1260</v>
      </c>
      <c r="C7637" s="23">
        <v>0</v>
      </c>
      <c r="D7637" s="23">
        <v>0</v>
      </c>
      <c r="E7637" s="23">
        <v>0</v>
      </c>
      <c r="F7637" s="23">
        <v>0</v>
      </c>
      <c r="G7637" s="23">
        <v>0</v>
      </c>
      <c r="H7637" s="23">
        <v>0</v>
      </c>
      <c r="I7637" s="23">
        <v>1260</v>
      </c>
      <c r="J7637" s="23">
        <v>0</v>
      </c>
      <c r="K7637" s="23">
        <v>0</v>
      </c>
    </row>
    <row r="7638" spans="1:11" x14ac:dyDescent="0.25">
      <c r="A7638">
        <v>7637</v>
      </c>
      <c r="B7638" s="23">
        <v>1321.6</v>
      </c>
      <c r="C7638" s="23">
        <v>0</v>
      </c>
      <c r="D7638" s="23">
        <v>0</v>
      </c>
      <c r="E7638" s="23">
        <v>0</v>
      </c>
      <c r="F7638" s="23">
        <v>0</v>
      </c>
      <c r="G7638" s="23">
        <v>0</v>
      </c>
      <c r="H7638" s="23">
        <v>0</v>
      </c>
      <c r="I7638" s="23">
        <v>1321.6</v>
      </c>
      <c r="J7638" s="23">
        <v>0</v>
      </c>
      <c r="K7638" s="23">
        <v>0</v>
      </c>
    </row>
    <row r="7639" spans="1:11" x14ac:dyDescent="0.25">
      <c r="A7639">
        <v>7638</v>
      </c>
      <c r="B7639" s="23">
        <v>721.6</v>
      </c>
      <c r="C7639" s="23">
        <v>0</v>
      </c>
      <c r="D7639" s="23">
        <v>0</v>
      </c>
      <c r="E7639" s="23">
        <v>0</v>
      </c>
      <c r="F7639" s="23">
        <v>0</v>
      </c>
      <c r="G7639" s="23">
        <v>0</v>
      </c>
      <c r="H7639" s="23">
        <v>0</v>
      </c>
      <c r="I7639" s="23">
        <v>496.27600000000001</v>
      </c>
      <c r="J7639" s="23">
        <v>0</v>
      </c>
      <c r="K7639" s="23">
        <v>225.32400000000001</v>
      </c>
    </row>
    <row r="7640" spans="1:11" x14ac:dyDescent="0.25">
      <c r="A7640">
        <v>7639</v>
      </c>
      <c r="B7640" s="23">
        <v>904.05700000000002</v>
      </c>
      <c r="C7640" s="23">
        <v>63.03</v>
      </c>
      <c r="D7640" s="23">
        <v>213.91399999999999</v>
      </c>
      <c r="E7640" s="23">
        <v>213.91399999999999</v>
      </c>
      <c r="F7640" s="23">
        <v>0</v>
      </c>
      <c r="G7640" s="23">
        <v>0</v>
      </c>
      <c r="H7640" s="23">
        <v>0</v>
      </c>
      <c r="I7640" s="23">
        <v>0</v>
      </c>
      <c r="J7640" s="23">
        <v>0</v>
      </c>
      <c r="K7640" s="23">
        <v>690.14300000000003</v>
      </c>
    </row>
    <row r="7641" spans="1:11" x14ac:dyDescent="0.25">
      <c r="A7641">
        <v>7640</v>
      </c>
      <c r="B7641" s="23">
        <v>979.12</v>
      </c>
      <c r="C7641" s="23">
        <v>370.98</v>
      </c>
      <c r="D7641" s="23">
        <v>1459.89</v>
      </c>
      <c r="E7641" s="23">
        <v>979.12</v>
      </c>
      <c r="F7641" s="23">
        <v>-480.77</v>
      </c>
      <c r="G7641" s="23">
        <v>0</v>
      </c>
      <c r="H7641" s="23">
        <v>0</v>
      </c>
      <c r="I7641" s="23">
        <v>0</v>
      </c>
      <c r="J7641" s="23">
        <v>0</v>
      </c>
      <c r="K7641" s="23">
        <v>0</v>
      </c>
    </row>
    <row r="7642" spans="1:11" x14ac:dyDescent="0.25">
      <c r="A7642">
        <v>7641</v>
      </c>
      <c r="B7642" s="23">
        <v>1105.2750000000001</v>
      </c>
      <c r="C7642" s="23">
        <v>502.81</v>
      </c>
      <c r="D7642" s="23">
        <v>1956.3510000000001</v>
      </c>
      <c r="E7642" s="23">
        <v>1105.2750000000001</v>
      </c>
      <c r="F7642" s="23">
        <v>-851.07600000000002</v>
      </c>
      <c r="G7642" s="23">
        <v>0</v>
      </c>
      <c r="H7642" s="23">
        <v>0</v>
      </c>
      <c r="I7642" s="23">
        <v>0</v>
      </c>
      <c r="J7642" s="23">
        <v>0</v>
      </c>
      <c r="K7642" s="23">
        <v>0</v>
      </c>
    </row>
    <row r="7643" spans="1:11" x14ac:dyDescent="0.25">
      <c r="A7643">
        <v>7642</v>
      </c>
      <c r="B7643" s="23">
        <v>1633.5440000000001</v>
      </c>
      <c r="C7643" s="23">
        <v>464.19</v>
      </c>
      <c r="D7643" s="23">
        <v>1774.0050000000001</v>
      </c>
      <c r="E7643" s="23">
        <v>1633.5440000000001</v>
      </c>
      <c r="F7643" s="23">
        <v>-140.46100000000001</v>
      </c>
      <c r="G7643" s="23">
        <v>0</v>
      </c>
      <c r="H7643" s="23">
        <v>0</v>
      </c>
      <c r="I7643" s="23">
        <v>0</v>
      </c>
      <c r="J7643" s="23">
        <v>0</v>
      </c>
      <c r="K7643" s="23">
        <v>0</v>
      </c>
    </row>
    <row r="7644" spans="1:11" x14ac:dyDescent="0.25">
      <c r="A7644">
        <v>7643</v>
      </c>
      <c r="B7644" s="23">
        <v>1559.029</v>
      </c>
      <c r="C7644" s="23">
        <v>854.61</v>
      </c>
      <c r="D7644" s="23">
        <v>3181.1469999999999</v>
      </c>
      <c r="E7644" s="23">
        <v>1559.029</v>
      </c>
      <c r="F7644" s="23">
        <v>-1622.1179999999999</v>
      </c>
      <c r="G7644" s="23">
        <v>0</v>
      </c>
      <c r="H7644" s="23">
        <v>0</v>
      </c>
      <c r="I7644" s="23">
        <v>0</v>
      </c>
      <c r="J7644" s="23">
        <v>0</v>
      </c>
      <c r="K7644" s="23">
        <v>0</v>
      </c>
    </row>
    <row r="7645" spans="1:11" x14ac:dyDescent="0.25">
      <c r="A7645">
        <v>7644</v>
      </c>
      <c r="B7645" s="23">
        <v>1491.9849999999999</v>
      </c>
      <c r="C7645" s="23">
        <v>602.12</v>
      </c>
      <c r="D7645" s="23">
        <v>2274.9029999999998</v>
      </c>
      <c r="E7645" s="23">
        <v>1491.9849999999999</v>
      </c>
      <c r="F7645" s="23">
        <v>-782.91800000000001</v>
      </c>
      <c r="G7645" s="23">
        <v>0</v>
      </c>
      <c r="H7645" s="23">
        <v>0</v>
      </c>
      <c r="I7645" s="23">
        <v>0</v>
      </c>
      <c r="J7645" s="23">
        <v>0</v>
      </c>
      <c r="K7645" s="23">
        <v>0</v>
      </c>
    </row>
    <row r="7646" spans="1:11" x14ac:dyDescent="0.25">
      <c r="A7646">
        <v>7645</v>
      </c>
      <c r="B7646" s="23">
        <v>1664.0250000000001</v>
      </c>
      <c r="C7646" s="23">
        <v>566.29999999999995</v>
      </c>
      <c r="D7646" s="23">
        <v>2143.3000000000002</v>
      </c>
      <c r="E7646" s="23">
        <v>1664.0250000000001</v>
      </c>
      <c r="F7646" s="23">
        <v>-479.27499999999998</v>
      </c>
      <c r="G7646" s="23">
        <v>0</v>
      </c>
      <c r="H7646" s="23">
        <v>0</v>
      </c>
      <c r="I7646" s="23">
        <v>0</v>
      </c>
      <c r="J7646" s="23">
        <v>0</v>
      </c>
      <c r="K7646" s="23">
        <v>0</v>
      </c>
    </row>
    <row r="7647" spans="1:11" x14ac:dyDescent="0.25">
      <c r="A7647">
        <v>7646</v>
      </c>
      <c r="B7647" s="23">
        <v>1509.4159999999999</v>
      </c>
      <c r="C7647" s="23">
        <v>529.96</v>
      </c>
      <c r="D7647" s="23">
        <v>2028.4749999999999</v>
      </c>
      <c r="E7647" s="23">
        <v>1509.4159999999999</v>
      </c>
      <c r="F7647" s="23">
        <v>-519.05899999999997</v>
      </c>
      <c r="G7647" s="23">
        <v>0</v>
      </c>
      <c r="H7647" s="23">
        <v>0</v>
      </c>
      <c r="I7647" s="23">
        <v>0</v>
      </c>
      <c r="J7647" s="23">
        <v>0</v>
      </c>
      <c r="K7647" s="23">
        <v>0</v>
      </c>
    </row>
    <row r="7648" spans="1:11" x14ac:dyDescent="0.25">
      <c r="A7648">
        <v>7647</v>
      </c>
      <c r="B7648" s="23">
        <v>1181.19</v>
      </c>
      <c r="C7648" s="23">
        <v>552.72</v>
      </c>
      <c r="D7648" s="23">
        <v>2153.817</v>
      </c>
      <c r="E7648" s="23">
        <v>1181.19</v>
      </c>
      <c r="F7648" s="23">
        <v>-972.62699999999995</v>
      </c>
      <c r="G7648" s="23">
        <v>0</v>
      </c>
      <c r="H7648" s="23">
        <v>0</v>
      </c>
      <c r="I7648" s="23">
        <v>0</v>
      </c>
      <c r="J7648" s="23">
        <v>0</v>
      </c>
      <c r="K7648" s="23">
        <v>0</v>
      </c>
    </row>
    <row r="7649" spans="1:11" x14ac:dyDescent="0.25">
      <c r="A7649">
        <v>7648</v>
      </c>
      <c r="B7649" s="23">
        <v>1646.173</v>
      </c>
      <c r="C7649" s="23">
        <v>430.77</v>
      </c>
      <c r="D7649" s="23">
        <v>1716.319</v>
      </c>
      <c r="E7649" s="23">
        <v>1646.173</v>
      </c>
      <c r="F7649" s="23">
        <v>-70.146000000000001</v>
      </c>
      <c r="G7649" s="23">
        <v>0</v>
      </c>
      <c r="H7649" s="23">
        <v>0</v>
      </c>
      <c r="I7649" s="23">
        <v>0</v>
      </c>
      <c r="J7649" s="23">
        <v>0</v>
      </c>
      <c r="K7649" s="23">
        <v>0</v>
      </c>
    </row>
    <row r="7650" spans="1:11" x14ac:dyDescent="0.25">
      <c r="A7650">
        <v>7649</v>
      </c>
      <c r="B7650" s="23">
        <v>1321.6110000000001</v>
      </c>
      <c r="C7650" s="23">
        <v>184.74</v>
      </c>
      <c r="D7650" s="23">
        <v>661.37699999999995</v>
      </c>
      <c r="E7650" s="23">
        <v>661.37699999999995</v>
      </c>
      <c r="F7650" s="23">
        <v>0</v>
      </c>
      <c r="G7650" s="23">
        <v>0</v>
      </c>
      <c r="H7650" s="23">
        <v>0</v>
      </c>
      <c r="I7650" s="23">
        <v>660.23400000000004</v>
      </c>
      <c r="J7650" s="23">
        <v>0</v>
      </c>
      <c r="K7650" s="23">
        <v>0</v>
      </c>
    </row>
    <row r="7651" spans="1:11" x14ac:dyDescent="0.25">
      <c r="A7651">
        <v>7650</v>
      </c>
      <c r="B7651" s="23">
        <v>1456.3979999999999</v>
      </c>
      <c r="C7651" s="23">
        <v>4.24</v>
      </c>
      <c r="D7651" s="23">
        <v>0</v>
      </c>
      <c r="E7651" s="23">
        <v>0</v>
      </c>
      <c r="F7651" s="23">
        <v>0</v>
      </c>
      <c r="G7651" s="23">
        <v>0</v>
      </c>
      <c r="H7651" s="23">
        <v>0</v>
      </c>
      <c r="I7651" s="23">
        <v>0</v>
      </c>
      <c r="J7651" s="23">
        <v>0</v>
      </c>
      <c r="K7651" s="23">
        <v>1456.3979999999999</v>
      </c>
    </row>
    <row r="7652" spans="1:11" x14ac:dyDescent="0.25">
      <c r="A7652">
        <v>7651</v>
      </c>
      <c r="B7652" s="23">
        <v>1341.6</v>
      </c>
      <c r="C7652" s="23">
        <v>0</v>
      </c>
      <c r="D7652" s="23">
        <v>0</v>
      </c>
      <c r="E7652" s="23">
        <v>0</v>
      </c>
      <c r="F7652" s="23">
        <v>0</v>
      </c>
      <c r="G7652" s="23">
        <v>0</v>
      </c>
      <c r="H7652" s="23">
        <v>0</v>
      </c>
      <c r="I7652" s="23">
        <v>0</v>
      </c>
      <c r="J7652" s="23">
        <v>0</v>
      </c>
      <c r="K7652" s="23">
        <v>1341.6</v>
      </c>
    </row>
    <row r="7653" spans="1:11" x14ac:dyDescent="0.25">
      <c r="A7653">
        <v>7652</v>
      </c>
      <c r="B7653" s="23">
        <v>1266.4000000000001</v>
      </c>
      <c r="C7653" s="23">
        <v>0</v>
      </c>
      <c r="D7653" s="23">
        <v>0</v>
      </c>
      <c r="E7653" s="23">
        <v>0</v>
      </c>
      <c r="F7653" s="23">
        <v>0</v>
      </c>
      <c r="G7653" s="23">
        <v>0</v>
      </c>
      <c r="H7653" s="23">
        <v>0</v>
      </c>
      <c r="I7653" s="23">
        <v>0</v>
      </c>
      <c r="J7653" s="23">
        <v>0</v>
      </c>
      <c r="K7653" s="23">
        <v>1266.4000000000001</v>
      </c>
    </row>
    <row r="7654" spans="1:11" x14ac:dyDescent="0.25">
      <c r="A7654">
        <v>7653</v>
      </c>
      <c r="B7654" s="23">
        <v>1124.8</v>
      </c>
      <c r="C7654" s="23">
        <v>0</v>
      </c>
      <c r="D7654" s="23">
        <v>0</v>
      </c>
      <c r="E7654" s="23">
        <v>0</v>
      </c>
      <c r="F7654" s="23">
        <v>0</v>
      </c>
      <c r="G7654" s="23">
        <v>0</v>
      </c>
      <c r="H7654" s="23">
        <v>0</v>
      </c>
      <c r="I7654" s="23">
        <v>1124.8</v>
      </c>
      <c r="J7654" s="23">
        <v>0</v>
      </c>
      <c r="K7654" s="23">
        <v>0</v>
      </c>
    </row>
    <row r="7655" spans="1:11" x14ac:dyDescent="0.25">
      <c r="A7655">
        <v>7654</v>
      </c>
      <c r="B7655" s="23">
        <v>1446.4</v>
      </c>
      <c r="C7655" s="23">
        <v>0</v>
      </c>
      <c r="D7655" s="23">
        <v>0</v>
      </c>
      <c r="E7655" s="23">
        <v>0</v>
      </c>
      <c r="F7655" s="23">
        <v>0</v>
      </c>
      <c r="G7655" s="23">
        <v>0</v>
      </c>
      <c r="H7655" s="23">
        <v>0</v>
      </c>
      <c r="I7655" s="23">
        <v>1446.4</v>
      </c>
      <c r="J7655" s="23">
        <v>0</v>
      </c>
      <c r="K7655" s="23">
        <v>0</v>
      </c>
    </row>
    <row r="7656" spans="1:11" x14ac:dyDescent="0.25">
      <c r="A7656">
        <v>7655</v>
      </c>
      <c r="B7656" s="23">
        <v>1150.4000000000001</v>
      </c>
      <c r="C7656" s="23">
        <v>0</v>
      </c>
      <c r="D7656" s="23">
        <v>0</v>
      </c>
      <c r="E7656" s="23">
        <v>0</v>
      </c>
      <c r="F7656" s="23">
        <v>0</v>
      </c>
      <c r="G7656" s="23">
        <v>0</v>
      </c>
      <c r="H7656" s="23">
        <v>0</v>
      </c>
      <c r="I7656" s="23">
        <v>1150.4000000000001</v>
      </c>
      <c r="J7656" s="23">
        <v>0</v>
      </c>
      <c r="K7656" s="23">
        <v>0</v>
      </c>
    </row>
    <row r="7657" spans="1:11" x14ac:dyDescent="0.25">
      <c r="A7657">
        <v>7656</v>
      </c>
      <c r="B7657" s="23">
        <v>1467.2</v>
      </c>
      <c r="C7657" s="23">
        <v>0</v>
      </c>
      <c r="D7657" s="23">
        <v>0</v>
      </c>
      <c r="E7657" s="23">
        <v>0</v>
      </c>
      <c r="F7657" s="23">
        <v>0</v>
      </c>
      <c r="G7657" s="23">
        <v>0</v>
      </c>
      <c r="H7657" s="23">
        <v>0</v>
      </c>
      <c r="I7657" s="23">
        <v>1467.2</v>
      </c>
      <c r="J7657" s="23">
        <v>0</v>
      </c>
      <c r="K7657" s="23">
        <v>0</v>
      </c>
    </row>
    <row r="7658" spans="1:11" x14ac:dyDescent="0.25">
      <c r="A7658">
        <v>7657</v>
      </c>
      <c r="B7658" s="23">
        <v>1057.5999999999999</v>
      </c>
      <c r="C7658" s="23">
        <v>0</v>
      </c>
      <c r="D7658" s="23">
        <v>0</v>
      </c>
      <c r="E7658" s="23">
        <v>0</v>
      </c>
      <c r="F7658" s="23">
        <v>0</v>
      </c>
      <c r="G7658" s="23">
        <v>0</v>
      </c>
      <c r="H7658" s="23">
        <v>0</v>
      </c>
      <c r="I7658" s="23">
        <v>1057.5999999999999</v>
      </c>
      <c r="J7658" s="23">
        <v>0</v>
      </c>
      <c r="K7658" s="23">
        <v>0</v>
      </c>
    </row>
    <row r="7659" spans="1:11" x14ac:dyDescent="0.25">
      <c r="A7659">
        <v>7658</v>
      </c>
      <c r="B7659" s="23">
        <v>1108</v>
      </c>
      <c r="C7659" s="23">
        <v>0</v>
      </c>
      <c r="D7659" s="23">
        <v>0</v>
      </c>
      <c r="E7659" s="23">
        <v>0</v>
      </c>
      <c r="F7659" s="23">
        <v>0</v>
      </c>
      <c r="G7659" s="23">
        <v>0</v>
      </c>
      <c r="H7659" s="23">
        <v>0</v>
      </c>
      <c r="I7659" s="23">
        <v>1108</v>
      </c>
      <c r="J7659" s="23">
        <v>0</v>
      </c>
      <c r="K7659" s="23">
        <v>0</v>
      </c>
    </row>
    <row r="7660" spans="1:11" x14ac:dyDescent="0.25">
      <c r="A7660">
        <v>7659</v>
      </c>
      <c r="B7660" s="23">
        <v>1446.4</v>
      </c>
      <c r="C7660" s="23">
        <v>0</v>
      </c>
      <c r="D7660" s="23">
        <v>0</v>
      </c>
      <c r="E7660" s="23">
        <v>0</v>
      </c>
      <c r="F7660" s="23">
        <v>0</v>
      </c>
      <c r="G7660" s="23">
        <v>0</v>
      </c>
      <c r="H7660" s="23">
        <v>0</v>
      </c>
      <c r="I7660" s="23">
        <v>1446.4</v>
      </c>
      <c r="J7660" s="23">
        <v>0</v>
      </c>
      <c r="K7660" s="23">
        <v>0</v>
      </c>
    </row>
    <row r="7661" spans="1:11" x14ac:dyDescent="0.25">
      <c r="A7661">
        <v>7660</v>
      </c>
      <c r="B7661" s="23">
        <v>1334.4</v>
      </c>
      <c r="C7661" s="23">
        <v>0</v>
      </c>
      <c r="D7661" s="23">
        <v>0</v>
      </c>
      <c r="E7661" s="23">
        <v>0</v>
      </c>
      <c r="F7661" s="23">
        <v>0</v>
      </c>
      <c r="G7661" s="23">
        <v>0</v>
      </c>
      <c r="H7661" s="23">
        <v>0</v>
      </c>
      <c r="I7661" s="23">
        <v>1244.01</v>
      </c>
      <c r="J7661" s="23">
        <v>0</v>
      </c>
      <c r="K7661" s="23">
        <v>90.39</v>
      </c>
    </row>
    <row r="7662" spans="1:11" x14ac:dyDescent="0.25">
      <c r="A7662">
        <v>7661</v>
      </c>
      <c r="B7662" s="23">
        <v>826.4</v>
      </c>
      <c r="C7662" s="23">
        <v>0</v>
      </c>
      <c r="D7662" s="23">
        <v>0</v>
      </c>
      <c r="E7662" s="23">
        <v>0</v>
      </c>
      <c r="F7662" s="23">
        <v>0</v>
      </c>
      <c r="G7662" s="23">
        <v>0</v>
      </c>
      <c r="H7662" s="23">
        <v>0</v>
      </c>
      <c r="I7662" s="23">
        <v>0</v>
      </c>
      <c r="J7662" s="23">
        <v>0</v>
      </c>
      <c r="K7662" s="23">
        <v>826.4</v>
      </c>
    </row>
    <row r="7663" spans="1:11" x14ac:dyDescent="0.25">
      <c r="A7663">
        <v>7662</v>
      </c>
      <c r="B7663" s="23">
        <v>1045.5999999999999</v>
      </c>
      <c r="C7663" s="23">
        <v>0</v>
      </c>
      <c r="D7663" s="23">
        <v>0</v>
      </c>
      <c r="E7663" s="23">
        <v>0</v>
      </c>
      <c r="F7663" s="23">
        <v>0</v>
      </c>
      <c r="G7663" s="23">
        <v>0</v>
      </c>
      <c r="H7663" s="23">
        <v>0</v>
      </c>
      <c r="I7663" s="23">
        <v>0</v>
      </c>
      <c r="J7663" s="23">
        <v>0</v>
      </c>
      <c r="K7663" s="23">
        <v>1045.5999999999999</v>
      </c>
    </row>
    <row r="7664" spans="1:11" x14ac:dyDescent="0.25">
      <c r="A7664">
        <v>7663</v>
      </c>
      <c r="B7664" s="23">
        <v>960.75199999999995</v>
      </c>
      <c r="C7664" s="23">
        <v>134.63999999999999</v>
      </c>
      <c r="D7664" s="23">
        <v>435.69099999999997</v>
      </c>
      <c r="E7664" s="23">
        <v>435.69099999999997</v>
      </c>
      <c r="F7664" s="23">
        <v>0</v>
      </c>
      <c r="G7664" s="23">
        <v>0</v>
      </c>
      <c r="H7664" s="23">
        <v>0</v>
      </c>
      <c r="I7664" s="23">
        <v>0</v>
      </c>
      <c r="J7664" s="23">
        <v>0</v>
      </c>
      <c r="K7664" s="23">
        <v>525.06100000000004</v>
      </c>
    </row>
    <row r="7665" spans="1:11" x14ac:dyDescent="0.25">
      <c r="A7665">
        <v>7664</v>
      </c>
      <c r="B7665" s="23">
        <v>891.26700000000005</v>
      </c>
      <c r="C7665" s="23">
        <v>385.89</v>
      </c>
      <c r="D7665" s="23">
        <v>1539.758</v>
      </c>
      <c r="E7665" s="23">
        <v>891.26700000000005</v>
      </c>
      <c r="F7665" s="23">
        <v>-648.49099999999999</v>
      </c>
      <c r="G7665" s="23">
        <v>0</v>
      </c>
      <c r="H7665" s="23">
        <v>0</v>
      </c>
      <c r="I7665" s="23">
        <v>0</v>
      </c>
      <c r="J7665" s="23">
        <v>0</v>
      </c>
      <c r="K7665" s="23">
        <v>0</v>
      </c>
    </row>
    <row r="7666" spans="1:11" x14ac:dyDescent="0.25">
      <c r="A7666">
        <v>7665</v>
      </c>
      <c r="B7666" s="23">
        <v>1021.024</v>
      </c>
      <c r="C7666" s="23">
        <v>623</v>
      </c>
      <c r="D7666" s="23">
        <v>2460.1419999999998</v>
      </c>
      <c r="E7666" s="23">
        <v>1021.024</v>
      </c>
      <c r="F7666" s="23">
        <v>-1439.1179999999999</v>
      </c>
      <c r="G7666" s="23">
        <v>0</v>
      </c>
      <c r="H7666" s="23">
        <v>0</v>
      </c>
      <c r="I7666" s="23">
        <v>0</v>
      </c>
      <c r="J7666" s="23">
        <v>0</v>
      </c>
      <c r="K7666" s="23">
        <v>0</v>
      </c>
    </row>
    <row r="7667" spans="1:11" x14ac:dyDescent="0.25">
      <c r="A7667">
        <v>7666</v>
      </c>
      <c r="B7667" s="23">
        <v>1278.0219999999999</v>
      </c>
      <c r="C7667" s="23">
        <v>809.37</v>
      </c>
      <c r="D7667" s="23">
        <v>3103.9450000000002</v>
      </c>
      <c r="E7667" s="23">
        <v>1278.0219999999999</v>
      </c>
      <c r="F7667" s="23">
        <v>-1684.559</v>
      </c>
      <c r="G7667" s="23">
        <v>0</v>
      </c>
      <c r="H7667" s="23">
        <v>141.364</v>
      </c>
      <c r="I7667" s="23">
        <v>0</v>
      </c>
      <c r="J7667" s="23">
        <v>0</v>
      </c>
      <c r="K7667" s="23">
        <v>0</v>
      </c>
    </row>
    <row r="7668" spans="1:11" x14ac:dyDescent="0.25">
      <c r="A7668">
        <v>7667</v>
      </c>
      <c r="B7668" s="23">
        <v>1410.682</v>
      </c>
      <c r="C7668" s="23">
        <v>935.24</v>
      </c>
      <c r="D7668" s="23">
        <v>3527.46</v>
      </c>
      <c r="E7668" s="23">
        <v>1410.683</v>
      </c>
      <c r="F7668" s="23">
        <v>-1684.559</v>
      </c>
      <c r="G7668" s="23">
        <v>0</v>
      </c>
      <c r="H7668" s="23">
        <v>432.21800000000002</v>
      </c>
      <c r="I7668" s="23">
        <v>0</v>
      </c>
      <c r="J7668" s="23">
        <v>0</v>
      </c>
      <c r="K7668" s="23">
        <v>0</v>
      </c>
    </row>
    <row r="7669" spans="1:11" x14ac:dyDescent="0.25">
      <c r="A7669">
        <v>7668</v>
      </c>
      <c r="B7669" s="23">
        <v>1375.3150000000001</v>
      </c>
      <c r="C7669" s="23">
        <v>847.32</v>
      </c>
      <c r="D7669" s="23">
        <v>3209.7710000000002</v>
      </c>
      <c r="E7669" s="23">
        <v>1375.316</v>
      </c>
      <c r="F7669" s="23">
        <v>-1684.559</v>
      </c>
      <c r="G7669" s="23">
        <v>0</v>
      </c>
      <c r="H7669" s="23">
        <v>149.89599999999999</v>
      </c>
      <c r="I7669" s="23">
        <v>0</v>
      </c>
      <c r="J7669" s="23">
        <v>0</v>
      </c>
      <c r="K7669" s="23">
        <v>0</v>
      </c>
    </row>
    <row r="7670" spans="1:11" x14ac:dyDescent="0.25">
      <c r="A7670">
        <v>7669</v>
      </c>
      <c r="B7670" s="23">
        <v>1500.0640000000001</v>
      </c>
      <c r="C7670" s="23">
        <v>853.11</v>
      </c>
      <c r="D7670" s="23">
        <v>3232.9189999999999</v>
      </c>
      <c r="E7670" s="23">
        <v>1500.0640000000001</v>
      </c>
      <c r="F7670" s="23">
        <v>-150.21199999999999</v>
      </c>
      <c r="G7670" s="23">
        <v>0</v>
      </c>
      <c r="H7670" s="23">
        <v>1582.643</v>
      </c>
      <c r="I7670" s="23">
        <v>0</v>
      </c>
      <c r="J7670" s="23">
        <v>0</v>
      </c>
      <c r="K7670" s="23">
        <v>0</v>
      </c>
    </row>
    <row r="7671" spans="1:11" x14ac:dyDescent="0.25">
      <c r="A7671">
        <v>7670</v>
      </c>
      <c r="B7671" s="23">
        <v>1347.201</v>
      </c>
      <c r="C7671" s="23">
        <v>524.91999999999996</v>
      </c>
      <c r="D7671" s="23">
        <v>2032.789</v>
      </c>
      <c r="E7671" s="23">
        <v>1347.201</v>
      </c>
      <c r="F7671" s="23">
        <v>0</v>
      </c>
      <c r="G7671" s="23">
        <v>0</v>
      </c>
      <c r="H7671" s="23">
        <v>685.58799999999997</v>
      </c>
      <c r="I7671" s="23">
        <v>0</v>
      </c>
      <c r="J7671" s="23">
        <v>0</v>
      </c>
      <c r="K7671" s="23">
        <v>0</v>
      </c>
    </row>
    <row r="7672" spans="1:11" x14ac:dyDescent="0.25">
      <c r="A7672">
        <v>7671</v>
      </c>
      <c r="B7672" s="23">
        <v>1165.374</v>
      </c>
      <c r="C7672" s="23">
        <v>647.39</v>
      </c>
      <c r="D7672" s="23">
        <v>2531.5070000000001</v>
      </c>
      <c r="E7672" s="23">
        <v>1165.374</v>
      </c>
      <c r="F7672" s="23">
        <v>0</v>
      </c>
      <c r="G7672" s="23">
        <v>0</v>
      </c>
      <c r="H7672" s="23">
        <v>1366.133</v>
      </c>
      <c r="I7672" s="23">
        <v>0</v>
      </c>
      <c r="J7672" s="23">
        <v>0</v>
      </c>
      <c r="K7672" s="23">
        <v>0</v>
      </c>
    </row>
    <row r="7673" spans="1:11" x14ac:dyDescent="0.25">
      <c r="A7673">
        <v>7672</v>
      </c>
      <c r="B7673" s="23">
        <v>1265.5719999999999</v>
      </c>
      <c r="C7673" s="23">
        <v>374.17</v>
      </c>
      <c r="D7673" s="23">
        <v>1493.1110000000001</v>
      </c>
      <c r="E7673" s="23">
        <v>1265.5719999999999</v>
      </c>
      <c r="F7673" s="23">
        <v>0</v>
      </c>
      <c r="G7673" s="23">
        <v>0</v>
      </c>
      <c r="H7673" s="23">
        <v>227.53899999999999</v>
      </c>
      <c r="I7673" s="23">
        <v>0</v>
      </c>
      <c r="J7673" s="23">
        <v>0</v>
      </c>
      <c r="K7673" s="23">
        <v>0</v>
      </c>
    </row>
    <row r="7674" spans="1:11" x14ac:dyDescent="0.25">
      <c r="A7674">
        <v>7673</v>
      </c>
      <c r="B7674" s="23">
        <v>1012.197</v>
      </c>
      <c r="C7674" s="23">
        <v>60.47</v>
      </c>
      <c r="D7674" s="23">
        <v>204.828</v>
      </c>
      <c r="E7674" s="23">
        <v>204.828</v>
      </c>
      <c r="F7674" s="23">
        <v>0</v>
      </c>
      <c r="G7674" s="23">
        <v>0</v>
      </c>
      <c r="H7674" s="23">
        <v>0</v>
      </c>
      <c r="I7674" s="23">
        <v>807.36900000000003</v>
      </c>
      <c r="J7674" s="23">
        <v>0</v>
      </c>
      <c r="K7674" s="23">
        <v>0</v>
      </c>
    </row>
    <row r="7675" spans="1:11" x14ac:dyDescent="0.25">
      <c r="A7675">
        <v>7674</v>
      </c>
      <c r="B7675" s="23">
        <v>1011.616</v>
      </c>
      <c r="C7675" s="23">
        <v>0.98</v>
      </c>
      <c r="D7675" s="23">
        <v>0</v>
      </c>
      <c r="E7675" s="23">
        <v>0</v>
      </c>
      <c r="F7675" s="23">
        <v>0</v>
      </c>
      <c r="G7675" s="23">
        <v>0</v>
      </c>
      <c r="H7675" s="23">
        <v>0</v>
      </c>
      <c r="I7675" s="23">
        <v>1011.616</v>
      </c>
      <c r="J7675" s="23">
        <v>0</v>
      </c>
      <c r="K7675" s="23">
        <v>0</v>
      </c>
    </row>
    <row r="7676" spans="1:11" x14ac:dyDescent="0.25">
      <c r="A7676">
        <v>7675</v>
      </c>
      <c r="B7676" s="23">
        <v>971.2</v>
      </c>
      <c r="C7676" s="23">
        <v>0</v>
      </c>
      <c r="D7676" s="23">
        <v>0</v>
      </c>
      <c r="E7676" s="23">
        <v>0</v>
      </c>
      <c r="F7676" s="23">
        <v>0</v>
      </c>
      <c r="G7676" s="23">
        <v>0</v>
      </c>
      <c r="H7676" s="23">
        <v>0</v>
      </c>
      <c r="I7676" s="23">
        <v>971.2</v>
      </c>
      <c r="J7676" s="23">
        <v>0</v>
      </c>
      <c r="K7676" s="23">
        <v>0</v>
      </c>
    </row>
    <row r="7677" spans="1:11" x14ac:dyDescent="0.25">
      <c r="A7677">
        <v>7676</v>
      </c>
      <c r="B7677" s="23">
        <v>1312</v>
      </c>
      <c r="C7677" s="23">
        <v>0</v>
      </c>
      <c r="D7677" s="23">
        <v>0</v>
      </c>
      <c r="E7677" s="23">
        <v>0</v>
      </c>
      <c r="F7677" s="23">
        <v>0</v>
      </c>
      <c r="G7677" s="23">
        <v>0</v>
      </c>
      <c r="H7677" s="23">
        <v>0</v>
      </c>
      <c r="I7677" s="23">
        <v>1312</v>
      </c>
      <c r="J7677" s="23">
        <v>0</v>
      </c>
      <c r="K7677" s="23">
        <v>0</v>
      </c>
    </row>
    <row r="7678" spans="1:11" x14ac:dyDescent="0.25">
      <c r="A7678">
        <v>7677</v>
      </c>
      <c r="B7678" s="23">
        <v>1095.2</v>
      </c>
      <c r="C7678" s="23">
        <v>0</v>
      </c>
      <c r="D7678" s="23">
        <v>0</v>
      </c>
      <c r="E7678" s="23">
        <v>0</v>
      </c>
      <c r="F7678" s="23">
        <v>0</v>
      </c>
      <c r="G7678" s="23">
        <v>0</v>
      </c>
      <c r="H7678" s="23">
        <v>0</v>
      </c>
      <c r="I7678" s="23">
        <v>399.18200000000002</v>
      </c>
      <c r="J7678" s="23">
        <v>0</v>
      </c>
      <c r="K7678" s="23">
        <v>696.01800000000003</v>
      </c>
    </row>
    <row r="7679" spans="1:11" x14ac:dyDescent="0.25">
      <c r="A7679">
        <v>7678</v>
      </c>
      <c r="B7679" s="23">
        <v>1071.2</v>
      </c>
      <c r="C7679" s="23">
        <v>0</v>
      </c>
      <c r="D7679" s="23">
        <v>0</v>
      </c>
      <c r="E7679" s="23">
        <v>0</v>
      </c>
      <c r="F7679" s="23">
        <v>0</v>
      </c>
      <c r="G7679" s="23">
        <v>0</v>
      </c>
      <c r="H7679" s="23">
        <v>0</v>
      </c>
      <c r="I7679" s="23">
        <v>0</v>
      </c>
      <c r="J7679" s="23">
        <v>0</v>
      </c>
      <c r="K7679" s="23">
        <v>1071.2</v>
      </c>
    </row>
    <row r="7680" spans="1:11" x14ac:dyDescent="0.25">
      <c r="A7680">
        <v>7679</v>
      </c>
      <c r="B7680" s="23">
        <v>1172</v>
      </c>
      <c r="C7680" s="23">
        <v>0</v>
      </c>
      <c r="D7680" s="23">
        <v>0</v>
      </c>
      <c r="E7680" s="23">
        <v>0</v>
      </c>
      <c r="F7680" s="23">
        <v>0</v>
      </c>
      <c r="G7680" s="23">
        <v>0</v>
      </c>
      <c r="H7680" s="23">
        <v>0</v>
      </c>
      <c r="I7680" s="23">
        <v>0</v>
      </c>
      <c r="J7680" s="23">
        <v>0</v>
      </c>
      <c r="K7680" s="23">
        <v>1172</v>
      </c>
    </row>
    <row r="7681" spans="1:11" x14ac:dyDescent="0.25">
      <c r="A7681">
        <v>7680</v>
      </c>
      <c r="B7681" s="23">
        <v>1040</v>
      </c>
      <c r="C7681" s="23">
        <v>0</v>
      </c>
      <c r="D7681" s="23">
        <v>0</v>
      </c>
      <c r="E7681" s="23">
        <v>0</v>
      </c>
      <c r="F7681" s="23">
        <v>0</v>
      </c>
      <c r="G7681" s="23">
        <v>0</v>
      </c>
      <c r="H7681" s="23">
        <v>0</v>
      </c>
      <c r="I7681" s="23">
        <v>0</v>
      </c>
      <c r="J7681" s="23">
        <v>0</v>
      </c>
      <c r="K7681" s="23">
        <v>1040</v>
      </c>
    </row>
    <row r="7682" spans="1:11" x14ac:dyDescent="0.25">
      <c r="A7682">
        <v>7681</v>
      </c>
      <c r="B7682" s="23">
        <v>1044</v>
      </c>
      <c r="C7682" s="23">
        <v>0</v>
      </c>
      <c r="D7682" s="23">
        <v>0</v>
      </c>
      <c r="E7682" s="23">
        <v>0</v>
      </c>
      <c r="F7682" s="23">
        <v>0</v>
      </c>
      <c r="G7682" s="23">
        <v>0</v>
      </c>
      <c r="H7682" s="23">
        <v>0</v>
      </c>
      <c r="I7682" s="23">
        <v>1044</v>
      </c>
      <c r="J7682" s="23">
        <v>0</v>
      </c>
      <c r="K7682" s="23">
        <v>0</v>
      </c>
    </row>
    <row r="7683" spans="1:11" x14ac:dyDescent="0.25">
      <c r="A7683">
        <v>7682</v>
      </c>
      <c r="B7683" s="23">
        <v>1136.8</v>
      </c>
      <c r="C7683" s="23">
        <v>0</v>
      </c>
      <c r="D7683" s="23">
        <v>0</v>
      </c>
      <c r="E7683" s="23">
        <v>0</v>
      </c>
      <c r="F7683" s="23">
        <v>0</v>
      </c>
      <c r="G7683" s="23">
        <v>0</v>
      </c>
      <c r="H7683" s="23">
        <v>0</v>
      </c>
      <c r="I7683" s="23">
        <v>1136.8</v>
      </c>
      <c r="J7683" s="23">
        <v>0</v>
      </c>
      <c r="K7683" s="23">
        <v>0</v>
      </c>
    </row>
    <row r="7684" spans="1:11" x14ac:dyDescent="0.25">
      <c r="A7684">
        <v>7683</v>
      </c>
      <c r="B7684" s="23">
        <v>1080.8</v>
      </c>
      <c r="C7684" s="23">
        <v>0</v>
      </c>
      <c r="D7684" s="23">
        <v>0</v>
      </c>
      <c r="E7684" s="23">
        <v>0</v>
      </c>
      <c r="F7684" s="23">
        <v>0</v>
      </c>
      <c r="G7684" s="23">
        <v>0</v>
      </c>
      <c r="H7684" s="23">
        <v>0</v>
      </c>
      <c r="I7684" s="23">
        <v>1080.8</v>
      </c>
      <c r="J7684" s="23">
        <v>0</v>
      </c>
      <c r="K7684" s="23">
        <v>0</v>
      </c>
    </row>
    <row r="7685" spans="1:11" x14ac:dyDescent="0.25">
      <c r="A7685">
        <v>7684</v>
      </c>
      <c r="B7685" s="23">
        <v>1034.4000000000001</v>
      </c>
      <c r="C7685" s="23">
        <v>0</v>
      </c>
      <c r="D7685" s="23">
        <v>0</v>
      </c>
      <c r="E7685" s="23">
        <v>0</v>
      </c>
      <c r="F7685" s="23">
        <v>0</v>
      </c>
      <c r="G7685" s="23">
        <v>0</v>
      </c>
      <c r="H7685" s="23">
        <v>0</v>
      </c>
      <c r="I7685" s="23">
        <v>1034.4000000000001</v>
      </c>
      <c r="J7685" s="23">
        <v>0</v>
      </c>
      <c r="K7685" s="23">
        <v>0</v>
      </c>
    </row>
    <row r="7686" spans="1:11" x14ac:dyDescent="0.25">
      <c r="A7686">
        <v>7685</v>
      </c>
      <c r="B7686" s="23">
        <v>1055.2</v>
      </c>
      <c r="C7686" s="23">
        <v>0</v>
      </c>
      <c r="D7686" s="23">
        <v>0</v>
      </c>
      <c r="E7686" s="23">
        <v>0</v>
      </c>
      <c r="F7686" s="23">
        <v>0</v>
      </c>
      <c r="G7686" s="23">
        <v>0</v>
      </c>
      <c r="H7686" s="23">
        <v>0</v>
      </c>
      <c r="I7686" s="23">
        <v>0</v>
      </c>
      <c r="J7686" s="23">
        <v>0</v>
      </c>
      <c r="K7686" s="23">
        <v>1055.2</v>
      </c>
    </row>
    <row r="7687" spans="1:11" x14ac:dyDescent="0.25">
      <c r="A7687">
        <v>7686</v>
      </c>
      <c r="B7687" s="23">
        <v>1076</v>
      </c>
      <c r="C7687" s="23">
        <v>0</v>
      </c>
      <c r="D7687" s="23">
        <v>0</v>
      </c>
      <c r="E7687" s="23">
        <v>0</v>
      </c>
      <c r="F7687" s="23">
        <v>0</v>
      </c>
      <c r="G7687" s="23">
        <v>0</v>
      </c>
      <c r="H7687" s="23">
        <v>0</v>
      </c>
      <c r="I7687" s="23">
        <v>0</v>
      </c>
      <c r="J7687" s="23">
        <v>0</v>
      </c>
      <c r="K7687" s="23">
        <v>1076</v>
      </c>
    </row>
    <row r="7688" spans="1:11" x14ac:dyDescent="0.25">
      <c r="A7688">
        <v>7687</v>
      </c>
      <c r="B7688" s="23">
        <v>886.19299999999998</v>
      </c>
      <c r="C7688" s="23">
        <v>139.28</v>
      </c>
      <c r="D7688" s="23">
        <v>444.762</v>
      </c>
      <c r="E7688" s="23">
        <v>444.762</v>
      </c>
      <c r="F7688" s="23">
        <v>0</v>
      </c>
      <c r="G7688" s="23">
        <v>0</v>
      </c>
      <c r="H7688" s="23">
        <v>0</v>
      </c>
      <c r="I7688" s="23">
        <v>0</v>
      </c>
      <c r="J7688" s="23">
        <v>0</v>
      </c>
      <c r="K7688" s="23">
        <v>441.43099999999998</v>
      </c>
    </row>
    <row r="7689" spans="1:11" x14ac:dyDescent="0.25">
      <c r="A7689">
        <v>7688</v>
      </c>
      <c r="B7689" s="23">
        <v>293.45800000000003</v>
      </c>
      <c r="C7689" s="23">
        <v>392</v>
      </c>
      <c r="D7689" s="23">
        <v>1553.36</v>
      </c>
      <c r="E7689" s="23">
        <v>293.45800000000003</v>
      </c>
      <c r="F7689" s="23">
        <v>-1259.902</v>
      </c>
      <c r="G7689" s="23">
        <v>0</v>
      </c>
      <c r="H7689" s="23">
        <v>0</v>
      </c>
      <c r="I7689" s="23">
        <v>0</v>
      </c>
      <c r="J7689" s="23">
        <v>0</v>
      </c>
      <c r="K7689" s="23">
        <v>0</v>
      </c>
    </row>
    <row r="7690" spans="1:11" x14ac:dyDescent="0.25">
      <c r="A7690">
        <v>7689</v>
      </c>
      <c r="B7690" s="23">
        <v>141.38200000000001</v>
      </c>
      <c r="C7690" s="23">
        <v>624.29999999999995</v>
      </c>
      <c r="D7690" s="23">
        <v>2433.0210000000002</v>
      </c>
      <c r="E7690" s="23">
        <v>141.38200000000001</v>
      </c>
      <c r="F7690" s="23">
        <v>-1684.559</v>
      </c>
      <c r="G7690" s="23">
        <v>0</v>
      </c>
      <c r="H7690" s="23">
        <v>607.08000000000004</v>
      </c>
      <c r="I7690" s="23">
        <v>0</v>
      </c>
      <c r="J7690" s="23">
        <v>0</v>
      </c>
      <c r="K7690" s="23">
        <v>0</v>
      </c>
    </row>
    <row r="7691" spans="1:11" x14ac:dyDescent="0.25">
      <c r="A7691">
        <v>7690</v>
      </c>
      <c r="B7691" s="23">
        <v>225.95699999999999</v>
      </c>
      <c r="C7691" s="23">
        <v>810.13</v>
      </c>
      <c r="D7691" s="23">
        <v>3025.0540000000001</v>
      </c>
      <c r="E7691" s="23">
        <v>225.958</v>
      </c>
      <c r="F7691" s="23">
        <v>-1684.559</v>
      </c>
      <c r="G7691" s="23">
        <v>0</v>
      </c>
      <c r="H7691" s="23">
        <v>1114.537</v>
      </c>
      <c r="I7691" s="23">
        <v>0</v>
      </c>
      <c r="J7691" s="23">
        <v>0</v>
      </c>
      <c r="K7691" s="23">
        <v>0</v>
      </c>
    </row>
    <row r="7692" spans="1:11" x14ac:dyDescent="0.25">
      <c r="A7692">
        <v>7691</v>
      </c>
      <c r="B7692" s="23">
        <v>173.99</v>
      </c>
      <c r="C7692" s="23">
        <v>929.74</v>
      </c>
      <c r="D7692" s="23">
        <v>3385.3339999999998</v>
      </c>
      <c r="E7692" s="23">
        <v>173.99</v>
      </c>
      <c r="F7692" s="23">
        <v>-1684.559</v>
      </c>
      <c r="G7692" s="23">
        <v>0</v>
      </c>
      <c r="H7692" s="23">
        <v>1526.7850000000001</v>
      </c>
      <c r="I7692" s="23">
        <v>0</v>
      </c>
      <c r="J7692" s="23">
        <v>0</v>
      </c>
      <c r="K7692" s="23">
        <v>0</v>
      </c>
    </row>
    <row r="7693" spans="1:11" x14ac:dyDescent="0.25">
      <c r="A7693">
        <v>7692</v>
      </c>
      <c r="B7693" s="23">
        <v>186.91399999999999</v>
      </c>
      <c r="C7693" s="23">
        <v>623.61</v>
      </c>
      <c r="D7693" s="23">
        <v>2336.1219999999998</v>
      </c>
      <c r="E7693" s="23">
        <v>186.91399999999999</v>
      </c>
      <c r="F7693" s="23">
        <v>-977.91899999999998</v>
      </c>
      <c r="G7693" s="23">
        <v>0</v>
      </c>
      <c r="H7693" s="23">
        <v>1171.289</v>
      </c>
      <c r="I7693" s="23">
        <v>0</v>
      </c>
      <c r="J7693" s="23">
        <v>0</v>
      </c>
      <c r="K7693" s="23">
        <v>0</v>
      </c>
    </row>
    <row r="7694" spans="1:11" x14ac:dyDescent="0.25">
      <c r="A7694">
        <v>7693</v>
      </c>
      <c r="B7694" s="23">
        <v>144.11000000000001</v>
      </c>
      <c r="C7694" s="23">
        <v>809.19</v>
      </c>
      <c r="D7694" s="23">
        <v>2998.3209999999999</v>
      </c>
      <c r="E7694" s="23">
        <v>144.11000000000001</v>
      </c>
      <c r="F7694" s="23">
        <v>0</v>
      </c>
      <c r="G7694" s="23">
        <v>0</v>
      </c>
      <c r="H7694" s="23">
        <v>2854.2109999999998</v>
      </c>
      <c r="I7694" s="23">
        <v>0</v>
      </c>
      <c r="J7694" s="23">
        <v>0</v>
      </c>
      <c r="K7694" s="23">
        <v>0</v>
      </c>
    </row>
    <row r="7695" spans="1:11" x14ac:dyDescent="0.25">
      <c r="A7695">
        <v>7694</v>
      </c>
      <c r="B7695" s="23">
        <v>135.505</v>
      </c>
      <c r="C7695" s="23">
        <v>755.01</v>
      </c>
      <c r="D7695" s="23">
        <v>2844.2779999999998</v>
      </c>
      <c r="E7695" s="23">
        <v>135.505</v>
      </c>
      <c r="F7695" s="23">
        <v>0</v>
      </c>
      <c r="G7695" s="23">
        <v>0</v>
      </c>
      <c r="H7695" s="23">
        <v>2708.7730000000001</v>
      </c>
      <c r="I7695" s="23">
        <v>0</v>
      </c>
      <c r="J7695" s="23">
        <v>0</v>
      </c>
      <c r="K7695" s="23">
        <v>0</v>
      </c>
    </row>
    <row r="7696" spans="1:11" x14ac:dyDescent="0.25">
      <c r="A7696">
        <v>7695</v>
      </c>
      <c r="B7696" s="23">
        <v>194.577</v>
      </c>
      <c r="C7696" s="23">
        <v>667.13</v>
      </c>
      <c r="D7696" s="23">
        <v>2570.694</v>
      </c>
      <c r="E7696" s="23">
        <v>194.577</v>
      </c>
      <c r="F7696" s="23">
        <v>0</v>
      </c>
      <c r="G7696" s="23">
        <v>0</v>
      </c>
      <c r="H7696" s="23">
        <v>2376.1170000000002</v>
      </c>
      <c r="I7696" s="23">
        <v>0</v>
      </c>
      <c r="J7696" s="23">
        <v>0</v>
      </c>
      <c r="K7696" s="23">
        <v>0</v>
      </c>
    </row>
    <row r="7697" spans="1:11" x14ac:dyDescent="0.25">
      <c r="A7697">
        <v>7696</v>
      </c>
      <c r="B7697" s="23">
        <v>215.28800000000001</v>
      </c>
      <c r="C7697" s="23">
        <v>293.06</v>
      </c>
      <c r="D7697" s="23">
        <v>1154.816</v>
      </c>
      <c r="E7697" s="23">
        <v>215.28800000000001</v>
      </c>
      <c r="F7697" s="23">
        <v>0</v>
      </c>
      <c r="G7697" s="23">
        <v>0</v>
      </c>
      <c r="H7697" s="23">
        <v>939.52800000000002</v>
      </c>
      <c r="I7697" s="23">
        <v>0</v>
      </c>
      <c r="J7697" s="23">
        <v>0</v>
      </c>
      <c r="K7697" s="23">
        <v>0</v>
      </c>
    </row>
    <row r="7698" spans="1:11" x14ac:dyDescent="0.25">
      <c r="A7698">
        <v>7697</v>
      </c>
      <c r="B7698" s="23">
        <v>184.12200000000001</v>
      </c>
      <c r="C7698" s="23">
        <v>193.22</v>
      </c>
      <c r="D7698" s="23">
        <v>685.56899999999996</v>
      </c>
      <c r="E7698" s="23">
        <v>184.12200000000001</v>
      </c>
      <c r="F7698" s="23">
        <v>0</v>
      </c>
      <c r="G7698" s="23">
        <v>0</v>
      </c>
      <c r="H7698" s="23">
        <v>501.447</v>
      </c>
      <c r="I7698" s="23">
        <v>0</v>
      </c>
      <c r="J7698" s="23">
        <v>0</v>
      </c>
      <c r="K7698" s="23">
        <v>0</v>
      </c>
    </row>
    <row r="7699" spans="1:11" x14ac:dyDescent="0.25">
      <c r="A7699">
        <v>7698</v>
      </c>
      <c r="B7699" s="23">
        <v>203.03</v>
      </c>
      <c r="C7699" s="23">
        <v>5.61</v>
      </c>
      <c r="D7699" s="23">
        <v>0</v>
      </c>
      <c r="E7699" s="23">
        <v>0</v>
      </c>
      <c r="F7699" s="23">
        <v>0</v>
      </c>
      <c r="G7699" s="23">
        <v>0</v>
      </c>
      <c r="H7699" s="23">
        <v>0</v>
      </c>
      <c r="I7699" s="23">
        <v>0</v>
      </c>
      <c r="J7699" s="23">
        <v>0</v>
      </c>
      <c r="K7699" s="23">
        <v>203.03</v>
      </c>
    </row>
    <row r="7700" spans="1:11" x14ac:dyDescent="0.25">
      <c r="A7700">
        <v>7699</v>
      </c>
      <c r="B7700" s="23">
        <v>140</v>
      </c>
      <c r="C7700" s="23">
        <v>0</v>
      </c>
      <c r="D7700" s="23">
        <v>0</v>
      </c>
      <c r="E7700" s="23">
        <v>0</v>
      </c>
      <c r="F7700" s="23">
        <v>0</v>
      </c>
      <c r="G7700" s="23">
        <v>0</v>
      </c>
      <c r="H7700" s="23">
        <v>0</v>
      </c>
      <c r="I7700" s="23">
        <v>0</v>
      </c>
      <c r="J7700" s="23">
        <v>0</v>
      </c>
      <c r="K7700" s="23">
        <v>140</v>
      </c>
    </row>
    <row r="7701" spans="1:11" x14ac:dyDescent="0.25">
      <c r="A7701">
        <v>7700</v>
      </c>
      <c r="B7701" s="23">
        <v>197.6</v>
      </c>
      <c r="C7701" s="23">
        <v>0</v>
      </c>
      <c r="D7701" s="23">
        <v>0</v>
      </c>
      <c r="E7701" s="23">
        <v>0</v>
      </c>
      <c r="F7701" s="23">
        <v>0</v>
      </c>
      <c r="G7701" s="23">
        <v>0</v>
      </c>
      <c r="H7701" s="23">
        <v>0</v>
      </c>
      <c r="I7701" s="23">
        <v>0</v>
      </c>
      <c r="J7701" s="23">
        <v>0</v>
      </c>
      <c r="K7701" s="23">
        <v>197.6</v>
      </c>
    </row>
    <row r="7702" spans="1:11" x14ac:dyDescent="0.25">
      <c r="A7702">
        <v>7701</v>
      </c>
      <c r="B7702" s="23">
        <v>199.2</v>
      </c>
      <c r="C7702" s="23">
        <v>0</v>
      </c>
      <c r="D7702" s="23">
        <v>0</v>
      </c>
      <c r="E7702" s="23">
        <v>0</v>
      </c>
      <c r="F7702" s="23">
        <v>0</v>
      </c>
      <c r="G7702" s="23">
        <v>0</v>
      </c>
      <c r="H7702" s="23">
        <v>0</v>
      </c>
      <c r="I7702" s="23">
        <v>0</v>
      </c>
      <c r="J7702" s="23">
        <v>0</v>
      </c>
      <c r="K7702" s="23">
        <v>199.2</v>
      </c>
    </row>
    <row r="7703" spans="1:11" x14ac:dyDescent="0.25">
      <c r="A7703">
        <v>7702</v>
      </c>
      <c r="B7703" s="23">
        <v>108.8</v>
      </c>
      <c r="C7703" s="23">
        <v>0</v>
      </c>
      <c r="D7703" s="23">
        <v>0</v>
      </c>
      <c r="E7703" s="23">
        <v>0</v>
      </c>
      <c r="F7703" s="23">
        <v>0</v>
      </c>
      <c r="G7703" s="23">
        <v>0</v>
      </c>
      <c r="H7703" s="23">
        <v>0</v>
      </c>
      <c r="I7703" s="23">
        <v>0</v>
      </c>
      <c r="J7703" s="23">
        <v>0</v>
      </c>
      <c r="K7703" s="23">
        <v>108.8</v>
      </c>
    </row>
    <row r="7704" spans="1:11" x14ac:dyDescent="0.25">
      <c r="A7704">
        <v>7703</v>
      </c>
      <c r="B7704" s="23">
        <v>98.4</v>
      </c>
      <c r="C7704" s="23">
        <v>0</v>
      </c>
      <c r="D7704" s="23">
        <v>0</v>
      </c>
      <c r="E7704" s="23">
        <v>0</v>
      </c>
      <c r="F7704" s="23">
        <v>0</v>
      </c>
      <c r="G7704" s="23">
        <v>0</v>
      </c>
      <c r="H7704" s="23">
        <v>0</v>
      </c>
      <c r="I7704" s="23">
        <v>0</v>
      </c>
      <c r="J7704" s="23">
        <v>0</v>
      </c>
      <c r="K7704" s="23">
        <v>98.4</v>
      </c>
    </row>
    <row r="7705" spans="1:11" x14ac:dyDescent="0.25">
      <c r="A7705">
        <v>7704</v>
      </c>
      <c r="B7705" s="23">
        <v>102.4</v>
      </c>
      <c r="C7705" s="23">
        <v>0</v>
      </c>
      <c r="D7705" s="23">
        <v>0</v>
      </c>
      <c r="E7705" s="23">
        <v>0</v>
      </c>
      <c r="F7705" s="23">
        <v>0</v>
      </c>
      <c r="G7705" s="23">
        <v>0</v>
      </c>
      <c r="H7705" s="23">
        <v>0</v>
      </c>
      <c r="I7705" s="23">
        <v>0</v>
      </c>
      <c r="J7705" s="23">
        <v>0</v>
      </c>
      <c r="K7705" s="23">
        <v>102.4</v>
      </c>
    </row>
    <row r="7706" spans="1:11" x14ac:dyDescent="0.25">
      <c r="A7706">
        <v>7705</v>
      </c>
      <c r="B7706" s="23">
        <v>92.8</v>
      </c>
      <c r="C7706" s="23">
        <v>0</v>
      </c>
      <c r="D7706" s="23">
        <v>0</v>
      </c>
      <c r="E7706" s="23">
        <v>0</v>
      </c>
      <c r="F7706" s="23">
        <v>0</v>
      </c>
      <c r="G7706" s="23">
        <v>0</v>
      </c>
      <c r="H7706" s="23">
        <v>0</v>
      </c>
      <c r="I7706" s="23">
        <v>0</v>
      </c>
      <c r="J7706" s="23">
        <v>0</v>
      </c>
      <c r="K7706" s="23">
        <v>92.8</v>
      </c>
    </row>
    <row r="7707" spans="1:11" x14ac:dyDescent="0.25">
      <c r="A7707">
        <v>7706</v>
      </c>
      <c r="B7707" s="23">
        <v>99.2</v>
      </c>
      <c r="C7707" s="23">
        <v>0</v>
      </c>
      <c r="D7707" s="23">
        <v>0</v>
      </c>
      <c r="E7707" s="23">
        <v>0</v>
      </c>
      <c r="F7707" s="23">
        <v>0</v>
      </c>
      <c r="G7707" s="23">
        <v>0</v>
      </c>
      <c r="H7707" s="23">
        <v>0</v>
      </c>
      <c r="I7707" s="23">
        <v>0</v>
      </c>
      <c r="J7707" s="23">
        <v>0</v>
      </c>
      <c r="K7707" s="23">
        <v>99.2</v>
      </c>
    </row>
    <row r="7708" spans="1:11" x14ac:dyDescent="0.25">
      <c r="A7708">
        <v>7707</v>
      </c>
      <c r="B7708" s="23">
        <v>94.4</v>
      </c>
      <c r="C7708" s="23">
        <v>0</v>
      </c>
      <c r="D7708" s="23">
        <v>0</v>
      </c>
      <c r="E7708" s="23">
        <v>0</v>
      </c>
      <c r="F7708" s="23">
        <v>0</v>
      </c>
      <c r="G7708" s="23">
        <v>0</v>
      </c>
      <c r="H7708" s="23">
        <v>0</v>
      </c>
      <c r="I7708" s="23">
        <v>0</v>
      </c>
      <c r="J7708" s="23">
        <v>0</v>
      </c>
      <c r="K7708" s="23">
        <v>94.4</v>
      </c>
    </row>
    <row r="7709" spans="1:11" x14ac:dyDescent="0.25">
      <c r="A7709">
        <v>7708</v>
      </c>
      <c r="B7709" s="23">
        <v>98.4</v>
      </c>
      <c r="C7709" s="23">
        <v>0</v>
      </c>
      <c r="D7709" s="23">
        <v>0</v>
      </c>
      <c r="E7709" s="23">
        <v>0</v>
      </c>
      <c r="F7709" s="23">
        <v>0</v>
      </c>
      <c r="G7709" s="23">
        <v>0</v>
      </c>
      <c r="H7709" s="23">
        <v>0</v>
      </c>
      <c r="I7709" s="23">
        <v>0</v>
      </c>
      <c r="J7709" s="23">
        <v>0</v>
      </c>
      <c r="K7709" s="23">
        <v>98.4</v>
      </c>
    </row>
    <row r="7710" spans="1:11" x14ac:dyDescent="0.25">
      <c r="A7710">
        <v>7709</v>
      </c>
      <c r="B7710" s="23">
        <v>92.8</v>
      </c>
      <c r="C7710" s="23">
        <v>0</v>
      </c>
      <c r="D7710" s="23">
        <v>0</v>
      </c>
      <c r="E7710" s="23">
        <v>0</v>
      </c>
      <c r="F7710" s="23">
        <v>0</v>
      </c>
      <c r="G7710" s="23">
        <v>0</v>
      </c>
      <c r="H7710" s="23">
        <v>0</v>
      </c>
      <c r="I7710" s="23">
        <v>0</v>
      </c>
      <c r="J7710" s="23">
        <v>0</v>
      </c>
      <c r="K7710" s="23">
        <v>92.8</v>
      </c>
    </row>
    <row r="7711" spans="1:11" x14ac:dyDescent="0.25">
      <c r="A7711">
        <v>7710</v>
      </c>
      <c r="B7711" s="23">
        <v>93.6</v>
      </c>
      <c r="C7711" s="23">
        <v>0</v>
      </c>
      <c r="D7711" s="23">
        <v>0</v>
      </c>
      <c r="E7711" s="23">
        <v>0</v>
      </c>
      <c r="F7711" s="23">
        <v>0</v>
      </c>
      <c r="G7711" s="23">
        <v>0</v>
      </c>
      <c r="H7711" s="23">
        <v>0</v>
      </c>
      <c r="I7711" s="23">
        <v>0</v>
      </c>
      <c r="J7711" s="23">
        <v>0</v>
      </c>
      <c r="K7711" s="23">
        <v>93.6</v>
      </c>
    </row>
    <row r="7712" spans="1:11" x14ac:dyDescent="0.25">
      <c r="A7712">
        <v>7711</v>
      </c>
      <c r="B7712" s="23">
        <v>80.484999999999999</v>
      </c>
      <c r="C7712" s="23">
        <v>126.51</v>
      </c>
      <c r="D7712" s="23">
        <v>407.976</v>
      </c>
      <c r="E7712" s="23">
        <v>80.484999999999999</v>
      </c>
      <c r="F7712" s="23">
        <v>-327.49099999999999</v>
      </c>
      <c r="G7712" s="23">
        <v>0</v>
      </c>
      <c r="H7712" s="23">
        <v>0</v>
      </c>
      <c r="I7712" s="23">
        <v>0</v>
      </c>
      <c r="J7712" s="23">
        <v>0</v>
      </c>
      <c r="K7712" s="23">
        <v>0</v>
      </c>
    </row>
    <row r="7713" spans="1:11" x14ac:dyDescent="0.25">
      <c r="A7713">
        <v>7712</v>
      </c>
      <c r="B7713" s="23">
        <v>100.98399999999999</v>
      </c>
      <c r="C7713" s="23">
        <v>376.18</v>
      </c>
      <c r="D7713" s="23">
        <v>1491.1790000000001</v>
      </c>
      <c r="E7713" s="23">
        <v>100.98399999999999</v>
      </c>
      <c r="F7713" s="23">
        <v>-1390.1949999999999</v>
      </c>
      <c r="G7713" s="23">
        <v>0</v>
      </c>
      <c r="H7713" s="23">
        <v>0</v>
      </c>
      <c r="I7713" s="23">
        <v>0</v>
      </c>
      <c r="J7713" s="23">
        <v>0</v>
      </c>
      <c r="K7713" s="23">
        <v>0</v>
      </c>
    </row>
    <row r="7714" spans="1:11" x14ac:dyDescent="0.25">
      <c r="A7714">
        <v>7713</v>
      </c>
      <c r="B7714" s="23">
        <v>679.25099999999998</v>
      </c>
      <c r="C7714" s="23">
        <v>610.67999999999995</v>
      </c>
      <c r="D7714" s="23">
        <v>2385.3000000000002</v>
      </c>
      <c r="E7714" s="23">
        <v>679.25099999999998</v>
      </c>
      <c r="F7714" s="23">
        <v>-85.899000000000001</v>
      </c>
      <c r="G7714" s="23">
        <v>0</v>
      </c>
      <c r="H7714" s="23">
        <v>1620.15</v>
      </c>
      <c r="I7714" s="23">
        <v>0</v>
      </c>
      <c r="J7714" s="23">
        <v>0</v>
      </c>
      <c r="K7714" s="23">
        <v>0</v>
      </c>
    </row>
    <row r="7715" spans="1:11" x14ac:dyDescent="0.25">
      <c r="A7715">
        <v>7714</v>
      </c>
      <c r="B7715" s="23">
        <v>1271.683</v>
      </c>
      <c r="C7715" s="23">
        <v>795.57</v>
      </c>
      <c r="D7715" s="23">
        <v>2989.73</v>
      </c>
      <c r="E7715" s="23">
        <v>1271.683</v>
      </c>
      <c r="F7715" s="23">
        <v>0</v>
      </c>
      <c r="G7715" s="23">
        <v>0</v>
      </c>
      <c r="H7715" s="23">
        <v>1718.047</v>
      </c>
      <c r="I7715" s="23">
        <v>0</v>
      </c>
      <c r="J7715" s="23">
        <v>0</v>
      </c>
      <c r="K7715" s="23">
        <v>0</v>
      </c>
    </row>
    <row r="7716" spans="1:11" x14ac:dyDescent="0.25">
      <c r="A7716">
        <v>7715</v>
      </c>
      <c r="B7716" s="23">
        <v>1286.4290000000001</v>
      </c>
      <c r="C7716" s="23">
        <v>881.81</v>
      </c>
      <c r="D7716" s="23">
        <v>3243.3429999999998</v>
      </c>
      <c r="E7716" s="23">
        <v>1286.4290000000001</v>
      </c>
      <c r="F7716" s="23">
        <v>0</v>
      </c>
      <c r="G7716" s="23">
        <v>0</v>
      </c>
      <c r="H7716" s="23">
        <v>1956.914</v>
      </c>
      <c r="I7716" s="23">
        <v>0</v>
      </c>
      <c r="J7716" s="23">
        <v>0</v>
      </c>
      <c r="K7716" s="23">
        <v>0</v>
      </c>
    </row>
    <row r="7717" spans="1:11" x14ac:dyDescent="0.25">
      <c r="A7717">
        <v>7716</v>
      </c>
      <c r="B7717" s="23">
        <v>1324.9259999999999</v>
      </c>
      <c r="C7717" s="23">
        <v>623.57000000000005</v>
      </c>
      <c r="D7717" s="23">
        <v>2322.4430000000002</v>
      </c>
      <c r="E7717" s="23">
        <v>1324.9259999999999</v>
      </c>
      <c r="F7717" s="23">
        <v>0</v>
      </c>
      <c r="G7717" s="23">
        <v>0</v>
      </c>
      <c r="H7717" s="23">
        <v>997.51700000000005</v>
      </c>
      <c r="I7717" s="23">
        <v>0</v>
      </c>
      <c r="J7717" s="23">
        <v>0</v>
      </c>
      <c r="K7717" s="23">
        <v>0</v>
      </c>
    </row>
    <row r="7718" spans="1:11" x14ac:dyDescent="0.25">
      <c r="A7718">
        <v>7717</v>
      </c>
      <c r="B7718" s="23">
        <v>1133.191</v>
      </c>
      <c r="C7718" s="23">
        <v>389.92</v>
      </c>
      <c r="D7718" s="23">
        <v>1468.383</v>
      </c>
      <c r="E7718" s="23">
        <v>1133.191</v>
      </c>
      <c r="F7718" s="23">
        <v>0</v>
      </c>
      <c r="G7718" s="23">
        <v>0</v>
      </c>
      <c r="H7718" s="23">
        <v>335.19200000000001</v>
      </c>
      <c r="I7718" s="23">
        <v>0</v>
      </c>
      <c r="J7718" s="23">
        <v>0</v>
      </c>
      <c r="K7718" s="23">
        <v>0</v>
      </c>
    </row>
    <row r="7719" spans="1:11" x14ac:dyDescent="0.25">
      <c r="A7719">
        <v>7718</v>
      </c>
      <c r="B7719" s="23">
        <v>1217.422</v>
      </c>
      <c r="C7719" s="23">
        <v>419.19</v>
      </c>
      <c r="D7719" s="23">
        <v>1589.2249999999999</v>
      </c>
      <c r="E7719" s="23">
        <v>1217.422</v>
      </c>
      <c r="F7719" s="23">
        <v>0</v>
      </c>
      <c r="G7719" s="23">
        <v>0</v>
      </c>
      <c r="H7719" s="23">
        <v>371.803</v>
      </c>
      <c r="I7719" s="23">
        <v>0</v>
      </c>
      <c r="J7719" s="23">
        <v>0</v>
      </c>
      <c r="K7719" s="23">
        <v>0</v>
      </c>
    </row>
    <row r="7720" spans="1:11" x14ac:dyDescent="0.25">
      <c r="A7720">
        <v>7719</v>
      </c>
      <c r="B7720" s="23">
        <v>1214.924</v>
      </c>
      <c r="C7720" s="23">
        <v>125.91</v>
      </c>
      <c r="D7720" s="23">
        <v>464.56700000000001</v>
      </c>
      <c r="E7720" s="23">
        <v>464.56700000000001</v>
      </c>
      <c r="F7720" s="23">
        <v>0</v>
      </c>
      <c r="G7720" s="23">
        <v>0</v>
      </c>
      <c r="H7720" s="23">
        <v>0</v>
      </c>
      <c r="I7720" s="23">
        <v>750.35699999999997</v>
      </c>
      <c r="J7720" s="23">
        <v>0</v>
      </c>
      <c r="K7720" s="23">
        <v>0</v>
      </c>
    </row>
    <row r="7721" spans="1:11" x14ac:dyDescent="0.25">
      <c r="A7721">
        <v>7720</v>
      </c>
      <c r="B7721" s="23">
        <v>1286.664</v>
      </c>
      <c r="C7721" s="23">
        <v>55.89</v>
      </c>
      <c r="D7721" s="23">
        <v>192.14599999999999</v>
      </c>
      <c r="E7721" s="23">
        <v>192.14599999999999</v>
      </c>
      <c r="F7721" s="23">
        <v>0</v>
      </c>
      <c r="G7721" s="23">
        <v>0</v>
      </c>
      <c r="H7721" s="23">
        <v>0</v>
      </c>
      <c r="I7721" s="23">
        <v>1094.518</v>
      </c>
      <c r="J7721" s="23">
        <v>0</v>
      </c>
      <c r="K7721" s="23">
        <v>0</v>
      </c>
    </row>
    <row r="7722" spans="1:11" x14ac:dyDescent="0.25">
      <c r="A7722">
        <v>7721</v>
      </c>
      <c r="B7722" s="23">
        <v>1421.989</v>
      </c>
      <c r="C7722" s="23">
        <v>7.83</v>
      </c>
      <c r="D7722" s="23">
        <v>6.6589999999999998</v>
      </c>
      <c r="E7722" s="23">
        <v>6.6589999999999998</v>
      </c>
      <c r="F7722" s="23">
        <v>0</v>
      </c>
      <c r="G7722" s="23">
        <v>0</v>
      </c>
      <c r="H7722" s="23">
        <v>0</v>
      </c>
      <c r="I7722" s="23">
        <v>1415.33</v>
      </c>
      <c r="J7722" s="23">
        <v>0</v>
      </c>
      <c r="K7722" s="23">
        <v>0</v>
      </c>
    </row>
    <row r="7723" spans="1:11" x14ac:dyDescent="0.25">
      <c r="A7723">
        <v>7722</v>
      </c>
      <c r="B7723" s="23">
        <v>1335.9659999999999</v>
      </c>
      <c r="C7723" s="23">
        <v>0</v>
      </c>
      <c r="D7723" s="23">
        <v>0</v>
      </c>
      <c r="E7723" s="23">
        <v>0</v>
      </c>
      <c r="F7723" s="23">
        <v>0</v>
      </c>
      <c r="G7723" s="23">
        <v>0</v>
      </c>
      <c r="H7723" s="23">
        <v>0</v>
      </c>
      <c r="I7723" s="23">
        <v>0</v>
      </c>
      <c r="J7723" s="23">
        <v>0</v>
      </c>
      <c r="K7723" s="23">
        <v>1335.9659999999999</v>
      </c>
    </row>
    <row r="7724" spans="1:11" x14ac:dyDescent="0.25">
      <c r="A7724">
        <v>7723</v>
      </c>
      <c r="B7724" s="23">
        <v>1252.8</v>
      </c>
      <c r="C7724" s="23">
        <v>0</v>
      </c>
      <c r="D7724" s="23">
        <v>0</v>
      </c>
      <c r="E7724" s="23">
        <v>0</v>
      </c>
      <c r="F7724" s="23">
        <v>0</v>
      </c>
      <c r="G7724" s="23">
        <v>0</v>
      </c>
      <c r="H7724" s="23">
        <v>0</v>
      </c>
      <c r="I7724" s="23">
        <v>0</v>
      </c>
      <c r="J7724" s="23">
        <v>0</v>
      </c>
      <c r="K7724" s="23">
        <v>1252.8</v>
      </c>
    </row>
    <row r="7725" spans="1:11" x14ac:dyDescent="0.25">
      <c r="A7725">
        <v>7724</v>
      </c>
      <c r="B7725" s="23">
        <v>1186.4000000000001</v>
      </c>
      <c r="C7725" s="23">
        <v>0</v>
      </c>
      <c r="D7725" s="23">
        <v>0</v>
      </c>
      <c r="E7725" s="23">
        <v>0</v>
      </c>
      <c r="F7725" s="23">
        <v>0</v>
      </c>
      <c r="G7725" s="23">
        <v>0</v>
      </c>
      <c r="H7725" s="23">
        <v>0</v>
      </c>
      <c r="I7725" s="23">
        <v>0</v>
      </c>
      <c r="J7725" s="23">
        <v>0</v>
      </c>
      <c r="K7725" s="23">
        <v>1186.4000000000001</v>
      </c>
    </row>
    <row r="7726" spans="1:11" x14ac:dyDescent="0.25">
      <c r="A7726">
        <v>7725</v>
      </c>
      <c r="B7726" s="23">
        <v>1470.4</v>
      </c>
      <c r="C7726" s="23">
        <v>0</v>
      </c>
      <c r="D7726" s="23">
        <v>0</v>
      </c>
      <c r="E7726" s="23">
        <v>0</v>
      </c>
      <c r="F7726" s="23">
        <v>0</v>
      </c>
      <c r="G7726" s="23">
        <v>0</v>
      </c>
      <c r="H7726" s="23">
        <v>0</v>
      </c>
      <c r="I7726" s="23">
        <v>1470.4</v>
      </c>
      <c r="J7726" s="23">
        <v>0</v>
      </c>
      <c r="K7726" s="23">
        <v>0</v>
      </c>
    </row>
    <row r="7727" spans="1:11" x14ac:dyDescent="0.25">
      <c r="A7727">
        <v>7726</v>
      </c>
      <c r="B7727" s="23">
        <v>1188.8</v>
      </c>
      <c r="C7727" s="23">
        <v>0</v>
      </c>
      <c r="D7727" s="23">
        <v>0</v>
      </c>
      <c r="E7727" s="23">
        <v>0</v>
      </c>
      <c r="F7727" s="23">
        <v>0</v>
      </c>
      <c r="G7727" s="23">
        <v>0</v>
      </c>
      <c r="H7727" s="23">
        <v>0</v>
      </c>
      <c r="I7727" s="23">
        <v>1067.681</v>
      </c>
      <c r="J7727" s="23">
        <v>0</v>
      </c>
      <c r="K7727" s="23">
        <v>121.119</v>
      </c>
    </row>
    <row r="7728" spans="1:11" x14ac:dyDescent="0.25">
      <c r="A7728">
        <v>7727</v>
      </c>
      <c r="B7728" s="23">
        <v>779.2</v>
      </c>
      <c r="C7728" s="23">
        <v>0</v>
      </c>
      <c r="D7728" s="23">
        <v>0</v>
      </c>
      <c r="E7728" s="23">
        <v>0</v>
      </c>
      <c r="F7728" s="23">
        <v>0</v>
      </c>
      <c r="G7728" s="23">
        <v>0</v>
      </c>
      <c r="H7728" s="23">
        <v>0</v>
      </c>
      <c r="I7728" s="23">
        <v>779.2</v>
      </c>
      <c r="J7728" s="23">
        <v>0</v>
      </c>
      <c r="K7728" s="23">
        <v>0</v>
      </c>
    </row>
    <row r="7729" spans="1:11" x14ac:dyDescent="0.25">
      <c r="A7729">
        <v>7728</v>
      </c>
      <c r="B7729" s="23">
        <v>1133.5999999999999</v>
      </c>
      <c r="C7729" s="23">
        <v>0</v>
      </c>
      <c r="D7729" s="23">
        <v>0</v>
      </c>
      <c r="E7729" s="23">
        <v>0</v>
      </c>
      <c r="F7729" s="23">
        <v>0</v>
      </c>
      <c r="G7729" s="23">
        <v>0</v>
      </c>
      <c r="H7729" s="23">
        <v>0</v>
      </c>
      <c r="I7729" s="23">
        <v>1133.5999999999999</v>
      </c>
      <c r="J7729" s="23">
        <v>0</v>
      </c>
      <c r="K7729" s="23">
        <v>0</v>
      </c>
    </row>
    <row r="7730" spans="1:11" x14ac:dyDescent="0.25">
      <c r="A7730">
        <v>7729</v>
      </c>
      <c r="B7730" s="23">
        <v>877.6</v>
      </c>
      <c r="C7730" s="23">
        <v>0</v>
      </c>
      <c r="D7730" s="23">
        <v>0</v>
      </c>
      <c r="E7730" s="23">
        <v>0</v>
      </c>
      <c r="F7730" s="23">
        <v>0</v>
      </c>
      <c r="G7730" s="23">
        <v>0</v>
      </c>
      <c r="H7730" s="23">
        <v>0</v>
      </c>
      <c r="I7730" s="23">
        <v>877.6</v>
      </c>
      <c r="J7730" s="23">
        <v>0</v>
      </c>
      <c r="K7730" s="23">
        <v>0</v>
      </c>
    </row>
    <row r="7731" spans="1:11" x14ac:dyDescent="0.25">
      <c r="A7731">
        <v>7730</v>
      </c>
      <c r="B7731" s="23">
        <v>888</v>
      </c>
      <c r="C7731" s="23">
        <v>0</v>
      </c>
      <c r="D7731" s="23">
        <v>0</v>
      </c>
      <c r="E7731" s="23">
        <v>0</v>
      </c>
      <c r="F7731" s="23">
        <v>0</v>
      </c>
      <c r="G7731" s="23">
        <v>0</v>
      </c>
      <c r="H7731" s="23">
        <v>0</v>
      </c>
      <c r="I7731" s="23">
        <v>888</v>
      </c>
      <c r="J7731" s="23">
        <v>0</v>
      </c>
      <c r="K7731" s="23">
        <v>0</v>
      </c>
    </row>
    <row r="7732" spans="1:11" x14ac:dyDescent="0.25">
      <c r="A7732">
        <v>7731</v>
      </c>
      <c r="B7732" s="23">
        <v>992</v>
      </c>
      <c r="C7732" s="23">
        <v>0</v>
      </c>
      <c r="D7732" s="23">
        <v>0</v>
      </c>
      <c r="E7732" s="23">
        <v>0</v>
      </c>
      <c r="F7732" s="23">
        <v>0</v>
      </c>
      <c r="G7732" s="23">
        <v>0</v>
      </c>
      <c r="H7732" s="23">
        <v>0</v>
      </c>
      <c r="I7732" s="23">
        <v>992</v>
      </c>
      <c r="J7732" s="23">
        <v>0</v>
      </c>
      <c r="K7732" s="23">
        <v>0</v>
      </c>
    </row>
    <row r="7733" spans="1:11" x14ac:dyDescent="0.25">
      <c r="A7733">
        <v>7732</v>
      </c>
      <c r="B7733" s="23">
        <v>1028</v>
      </c>
      <c r="C7733" s="23">
        <v>0</v>
      </c>
      <c r="D7733" s="23">
        <v>0</v>
      </c>
      <c r="E7733" s="23">
        <v>0</v>
      </c>
      <c r="F7733" s="23">
        <v>0</v>
      </c>
      <c r="G7733" s="23">
        <v>0</v>
      </c>
      <c r="H7733" s="23">
        <v>0</v>
      </c>
      <c r="I7733" s="23">
        <v>1028</v>
      </c>
      <c r="J7733" s="23">
        <v>0</v>
      </c>
      <c r="K7733" s="23">
        <v>0</v>
      </c>
    </row>
    <row r="7734" spans="1:11" x14ac:dyDescent="0.25">
      <c r="A7734">
        <v>7733</v>
      </c>
      <c r="B7734" s="23">
        <v>1020</v>
      </c>
      <c r="C7734" s="23">
        <v>0</v>
      </c>
      <c r="D7734" s="23">
        <v>0</v>
      </c>
      <c r="E7734" s="23">
        <v>0</v>
      </c>
      <c r="F7734" s="23">
        <v>0</v>
      </c>
      <c r="G7734" s="23">
        <v>0</v>
      </c>
      <c r="H7734" s="23">
        <v>0</v>
      </c>
      <c r="I7734" s="23">
        <v>0</v>
      </c>
      <c r="J7734" s="23">
        <v>0</v>
      </c>
      <c r="K7734" s="23">
        <v>1020</v>
      </c>
    </row>
    <row r="7735" spans="1:11" x14ac:dyDescent="0.25">
      <c r="A7735">
        <v>7734</v>
      </c>
      <c r="B7735" s="23">
        <v>988.8</v>
      </c>
      <c r="C7735" s="23">
        <v>0</v>
      </c>
      <c r="D7735" s="23">
        <v>0</v>
      </c>
      <c r="E7735" s="23">
        <v>0</v>
      </c>
      <c r="F7735" s="23">
        <v>0</v>
      </c>
      <c r="G7735" s="23">
        <v>0</v>
      </c>
      <c r="H7735" s="23">
        <v>0</v>
      </c>
      <c r="I7735" s="23">
        <v>0</v>
      </c>
      <c r="J7735" s="23">
        <v>0</v>
      </c>
      <c r="K7735" s="23">
        <v>988.8</v>
      </c>
    </row>
    <row r="7736" spans="1:11" x14ac:dyDescent="0.25">
      <c r="A7736">
        <v>7735</v>
      </c>
      <c r="B7736" s="23">
        <v>1027.1289999999999</v>
      </c>
      <c r="C7736" s="23">
        <v>117.48</v>
      </c>
      <c r="D7736" s="23">
        <v>380.36500000000001</v>
      </c>
      <c r="E7736" s="23">
        <v>380.36500000000001</v>
      </c>
      <c r="F7736" s="23">
        <v>0</v>
      </c>
      <c r="G7736" s="23">
        <v>0</v>
      </c>
      <c r="H7736" s="23">
        <v>0</v>
      </c>
      <c r="I7736" s="23">
        <v>0</v>
      </c>
      <c r="J7736" s="23">
        <v>0</v>
      </c>
      <c r="K7736" s="23">
        <v>646.76400000000001</v>
      </c>
    </row>
    <row r="7737" spans="1:11" x14ac:dyDescent="0.25">
      <c r="A7737">
        <v>7736</v>
      </c>
      <c r="B7737" s="23">
        <v>958.726</v>
      </c>
      <c r="C7737" s="23">
        <v>364.69</v>
      </c>
      <c r="D7737" s="23">
        <v>1429.232</v>
      </c>
      <c r="E7737" s="23">
        <v>958.726</v>
      </c>
      <c r="F7737" s="23">
        <v>-470.50599999999997</v>
      </c>
      <c r="G7737" s="23">
        <v>0</v>
      </c>
      <c r="H7737" s="23">
        <v>0</v>
      </c>
      <c r="I7737" s="23">
        <v>0</v>
      </c>
      <c r="J7737" s="23">
        <v>0</v>
      </c>
      <c r="K7737" s="23">
        <v>0</v>
      </c>
    </row>
    <row r="7738" spans="1:11" x14ac:dyDescent="0.25">
      <c r="A7738">
        <v>7737</v>
      </c>
      <c r="B7738" s="23">
        <v>1015.72</v>
      </c>
      <c r="C7738" s="23">
        <v>596.79</v>
      </c>
      <c r="D7738" s="23">
        <v>2297.1570000000002</v>
      </c>
      <c r="E7738" s="23">
        <v>1015.72</v>
      </c>
      <c r="F7738" s="23">
        <v>-1281.4369999999999</v>
      </c>
      <c r="G7738" s="23">
        <v>0</v>
      </c>
      <c r="H7738" s="23">
        <v>0</v>
      </c>
      <c r="I7738" s="23">
        <v>0</v>
      </c>
      <c r="J7738" s="23">
        <v>0</v>
      </c>
      <c r="K7738" s="23">
        <v>0</v>
      </c>
    </row>
    <row r="7739" spans="1:11" x14ac:dyDescent="0.25">
      <c r="A7739">
        <v>7738</v>
      </c>
      <c r="B7739" s="23">
        <v>1081.252</v>
      </c>
      <c r="C7739" s="23">
        <v>779.99</v>
      </c>
      <c r="D7739" s="23">
        <v>2861.3560000000002</v>
      </c>
      <c r="E7739" s="23">
        <v>1081.2529999999999</v>
      </c>
      <c r="F7739" s="23">
        <v>-1684.559</v>
      </c>
      <c r="G7739" s="23">
        <v>0</v>
      </c>
      <c r="H7739" s="23">
        <v>95.543999999999997</v>
      </c>
      <c r="I7739" s="23">
        <v>0</v>
      </c>
      <c r="J7739" s="23">
        <v>0</v>
      </c>
      <c r="K7739" s="23">
        <v>0</v>
      </c>
    </row>
    <row r="7740" spans="1:11" x14ac:dyDescent="0.25">
      <c r="A7740">
        <v>7739</v>
      </c>
      <c r="B7740" s="23">
        <v>1456.6469999999999</v>
      </c>
      <c r="C7740" s="23">
        <v>894.58</v>
      </c>
      <c r="D7740" s="23">
        <v>3199.14</v>
      </c>
      <c r="E7740" s="23">
        <v>1456.6479999999999</v>
      </c>
      <c r="F7740" s="23">
        <v>-1684.559</v>
      </c>
      <c r="G7740" s="23">
        <v>0</v>
      </c>
      <c r="H7740" s="23">
        <v>57.933</v>
      </c>
      <c r="I7740" s="23">
        <v>0</v>
      </c>
      <c r="J7740" s="23">
        <v>0</v>
      </c>
      <c r="K7740" s="23">
        <v>0</v>
      </c>
    </row>
    <row r="7741" spans="1:11" x14ac:dyDescent="0.25">
      <c r="A7741">
        <v>7740</v>
      </c>
      <c r="B7741" s="23">
        <v>1355.634</v>
      </c>
      <c r="C7741" s="23">
        <v>554.75</v>
      </c>
      <c r="D7741" s="23">
        <v>2071.614</v>
      </c>
      <c r="E7741" s="23">
        <v>1355.634</v>
      </c>
      <c r="F7741" s="23">
        <v>-715.98</v>
      </c>
      <c r="G7741" s="23">
        <v>0</v>
      </c>
      <c r="H7741" s="23">
        <v>0</v>
      </c>
      <c r="I7741" s="23">
        <v>0</v>
      </c>
      <c r="J7741" s="23">
        <v>0</v>
      </c>
      <c r="K7741" s="23">
        <v>0</v>
      </c>
    </row>
    <row r="7742" spans="1:11" x14ac:dyDescent="0.25">
      <c r="A7742">
        <v>7741</v>
      </c>
      <c r="B7742" s="23">
        <v>1091.508</v>
      </c>
      <c r="C7742" s="23">
        <v>604.52</v>
      </c>
      <c r="D7742" s="23">
        <v>2249.1410000000001</v>
      </c>
      <c r="E7742" s="23">
        <v>1091.508</v>
      </c>
      <c r="F7742" s="23">
        <v>-1157.633</v>
      </c>
      <c r="G7742" s="23">
        <v>0</v>
      </c>
      <c r="H7742" s="23">
        <v>0</v>
      </c>
      <c r="I7742" s="23">
        <v>0</v>
      </c>
      <c r="J7742" s="23">
        <v>0</v>
      </c>
      <c r="K7742" s="23">
        <v>0</v>
      </c>
    </row>
    <row r="7743" spans="1:11" x14ac:dyDescent="0.25">
      <c r="A7743">
        <v>7742</v>
      </c>
      <c r="B7743" s="23">
        <v>1198.058</v>
      </c>
      <c r="C7743" s="23">
        <v>435.42</v>
      </c>
      <c r="D7743" s="23">
        <v>1655.239</v>
      </c>
      <c r="E7743" s="23">
        <v>1198.059</v>
      </c>
      <c r="F7743" s="23">
        <v>-296.82400000000001</v>
      </c>
      <c r="G7743" s="23">
        <v>0</v>
      </c>
      <c r="H7743" s="23">
        <v>160.35599999999999</v>
      </c>
      <c r="I7743" s="23">
        <v>0</v>
      </c>
      <c r="J7743" s="23">
        <v>0</v>
      </c>
      <c r="K7743" s="23">
        <v>0</v>
      </c>
    </row>
    <row r="7744" spans="1:11" x14ac:dyDescent="0.25">
      <c r="A7744">
        <v>7743</v>
      </c>
      <c r="B7744" s="23">
        <v>1592.2819999999999</v>
      </c>
      <c r="C7744" s="23">
        <v>120.78</v>
      </c>
      <c r="D7744" s="23">
        <v>445.40699999999998</v>
      </c>
      <c r="E7744" s="23">
        <v>445.40699999999998</v>
      </c>
      <c r="F7744" s="23">
        <v>0</v>
      </c>
      <c r="G7744" s="23">
        <v>0</v>
      </c>
      <c r="H7744" s="23">
        <v>0</v>
      </c>
      <c r="I7744" s="23">
        <v>1146.875</v>
      </c>
      <c r="J7744" s="23">
        <v>0</v>
      </c>
      <c r="K7744" s="23">
        <v>0</v>
      </c>
    </row>
    <row r="7745" spans="1:11" x14ac:dyDescent="0.25">
      <c r="A7745">
        <v>7744</v>
      </c>
      <c r="B7745" s="23">
        <v>1106.4549999999999</v>
      </c>
      <c r="C7745" s="23">
        <v>40.19</v>
      </c>
      <c r="D7745" s="23">
        <v>130.84899999999999</v>
      </c>
      <c r="E7745" s="23">
        <v>130.84899999999999</v>
      </c>
      <c r="F7745" s="23">
        <v>0</v>
      </c>
      <c r="G7745" s="23">
        <v>0</v>
      </c>
      <c r="H7745" s="23">
        <v>0</v>
      </c>
      <c r="I7745" s="23">
        <v>975.60599999999999</v>
      </c>
      <c r="J7745" s="23">
        <v>0</v>
      </c>
      <c r="K7745" s="23">
        <v>0</v>
      </c>
    </row>
    <row r="7746" spans="1:11" x14ac:dyDescent="0.25">
      <c r="A7746">
        <v>7745</v>
      </c>
      <c r="B7746" s="23">
        <v>1246.3869999999999</v>
      </c>
      <c r="C7746" s="23">
        <v>10.77</v>
      </c>
      <c r="D7746" s="23">
        <v>17.651</v>
      </c>
      <c r="E7746" s="23">
        <v>17.651</v>
      </c>
      <c r="F7746" s="23">
        <v>0</v>
      </c>
      <c r="G7746" s="23">
        <v>0</v>
      </c>
      <c r="H7746" s="23">
        <v>0</v>
      </c>
      <c r="I7746" s="23">
        <v>1228.7360000000001</v>
      </c>
      <c r="J7746" s="23">
        <v>0</v>
      </c>
      <c r="K7746" s="23">
        <v>0</v>
      </c>
    </row>
    <row r="7747" spans="1:11" x14ac:dyDescent="0.25">
      <c r="A7747">
        <v>7746</v>
      </c>
      <c r="B7747" s="23">
        <v>1322.5029999999999</v>
      </c>
      <c r="C7747" s="23">
        <v>0</v>
      </c>
      <c r="D7747" s="23">
        <v>0</v>
      </c>
      <c r="E7747" s="23">
        <v>0</v>
      </c>
      <c r="F7747" s="23">
        <v>0</v>
      </c>
      <c r="G7747" s="23">
        <v>0</v>
      </c>
      <c r="H7747" s="23">
        <v>0</v>
      </c>
      <c r="I7747" s="23">
        <v>0</v>
      </c>
      <c r="J7747" s="23">
        <v>0</v>
      </c>
      <c r="K7747" s="23">
        <v>1322.5029999999999</v>
      </c>
    </row>
    <row r="7748" spans="1:11" x14ac:dyDescent="0.25">
      <c r="A7748">
        <v>7747</v>
      </c>
      <c r="B7748" s="23">
        <v>1121.5999999999999</v>
      </c>
      <c r="C7748" s="23">
        <v>0</v>
      </c>
      <c r="D7748" s="23">
        <v>0</v>
      </c>
      <c r="E7748" s="23">
        <v>0</v>
      </c>
      <c r="F7748" s="23">
        <v>0</v>
      </c>
      <c r="G7748" s="23">
        <v>0</v>
      </c>
      <c r="H7748" s="23">
        <v>0</v>
      </c>
      <c r="I7748" s="23">
        <v>0</v>
      </c>
      <c r="J7748" s="23">
        <v>0</v>
      </c>
      <c r="K7748" s="23">
        <v>1121.5999999999999</v>
      </c>
    </row>
    <row r="7749" spans="1:11" x14ac:dyDescent="0.25">
      <c r="A7749">
        <v>7748</v>
      </c>
      <c r="B7749" s="23">
        <v>1195.2</v>
      </c>
      <c r="C7749" s="23">
        <v>0</v>
      </c>
      <c r="D7749" s="23">
        <v>0</v>
      </c>
      <c r="E7749" s="23">
        <v>0</v>
      </c>
      <c r="F7749" s="23">
        <v>0</v>
      </c>
      <c r="G7749" s="23">
        <v>0</v>
      </c>
      <c r="H7749" s="23">
        <v>0</v>
      </c>
      <c r="I7749" s="23">
        <v>0</v>
      </c>
      <c r="J7749" s="23">
        <v>0</v>
      </c>
      <c r="K7749" s="23">
        <v>1195.2</v>
      </c>
    </row>
    <row r="7750" spans="1:11" x14ac:dyDescent="0.25">
      <c r="A7750">
        <v>7749</v>
      </c>
      <c r="B7750" s="23">
        <v>1380</v>
      </c>
      <c r="C7750" s="23">
        <v>0</v>
      </c>
      <c r="D7750" s="23">
        <v>0</v>
      </c>
      <c r="E7750" s="23">
        <v>0</v>
      </c>
      <c r="F7750" s="23">
        <v>0</v>
      </c>
      <c r="G7750" s="23">
        <v>0</v>
      </c>
      <c r="H7750" s="23">
        <v>0</v>
      </c>
      <c r="I7750" s="23">
        <v>1380</v>
      </c>
      <c r="J7750" s="23">
        <v>0</v>
      </c>
      <c r="K7750" s="23">
        <v>0</v>
      </c>
    </row>
    <row r="7751" spans="1:11" x14ac:dyDescent="0.25">
      <c r="A7751">
        <v>7750</v>
      </c>
      <c r="B7751" s="23">
        <v>1388</v>
      </c>
      <c r="C7751" s="23">
        <v>0</v>
      </c>
      <c r="D7751" s="23">
        <v>0</v>
      </c>
      <c r="E7751" s="23">
        <v>0</v>
      </c>
      <c r="F7751" s="23">
        <v>0</v>
      </c>
      <c r="G7751" s="23">
        <v>0</v>
      </c>
      <c r="H7751" s="23">
        <v>0</v>
      </c>
      <c r="I7751" s="23">
        <v>1388</v>
      </c>
      <c r="J7751" s="23">
        <v>0</v>
      </c>
      <c r="K7751" s="23">
        <v>0</v>
      </c>
    </row>
    <row r="7752" spans="1:11" x14ac:dyDescent="0.25">
      <c r="A7752">
        <v>7751</v>
      </c>
      <c r="B7752" s="23">
        <v>1431.2</v>
      </c>
      <c r="C7752" s="23">
        <v>0</v>
      </c>
      <c r="D7752" s="23">
        <v>0</v>
      </c>
      <c r="E7752" s="23">
        <v>0</v>
      </c>
      <c r="F7752" s="23">
        <v>0</v>
      </c>
      <c r="G7752" s="23">
        <v>0</v>
      </c>
      <c r="H7752" s="23">
        <v>0</v>
      </c>
      <c r="I7752" s="23">
        <v>1431.2</v>
      </c>
      <c r="J7752" s="23">
        <v>0</v>
      </c>
      <c r="K7752" s="23">
        <v>0</v>
      </c>
    </row>
    <row r="7753" spans="1:11" x14ac:dyDescent="0.25">
      <c r="A7753">
        <v>7752</v>
      </c>
      <c r="B7753" s="23">
        <v>1104</v>
      </c>
      <c r="C7753" s="23">
        <v>0</v>
      </c>
      <c r="D7753" s="23">
        <v>0</v>
      </c>
      <c r="E7753" s="23">
        <v>0</v>
      </c>
      <c r="F7753" s="23">
        <v>0</v>
      </c>
      <c r="G7753" s="23">
        <v>0</v>
      </c>
      <c r="H7753" s="23">
        <v>0</v>
      </c>
      <c r="I7753" s="23">
        <v>1104</v>
      </c>
      <c r="J7753" s="23">
        <v>0</v>
      </c>
      <c r="K7753" s="23">
        <v>0</v>
      </c>
    </row>
    <row r="7754" spans="1:11" x14ac:dyDescent="0.25">
      <c r="A7754">
        <v>7753</v>
      </c>
      <c r="B7754" s="23">
        <v>1285.5999999999999</v>
      </c>
      <c r="C7754" s="23">
        <v>0</v>
      </c>
      <c r="D7754" s="23">
        <v>0</v>
      </c>
      <c r="E7754" s="23">
        <v>0</v>
      </c>
      <c r="F7754" s="23">
        <v>0</v>
      </c>
      <c r="G7754" s="23">
        <v>0</v>
      </c>
      <c r="H7754" s="23">
        <v>0</v>
      </c>
      <c r="I7754" s="23">
        <v>1285.5999999999999</v>
      </c>
      <c r="J7754" s="23">
        <v>0</v>
      </c>
      <c r="K7754" s="23">
        <v>0</v>
      </c>
    </row>
    <row r="7755" spans="1:11" x14ac:dyDescent="0.25">
      <c r="A7755">
        <v>7754</v>
      </c>
      <c r="B7755" s="23">
        <v>1016</v>
      </c>
      <c r="C7755" s="23">
        <v>0</v>
      </c>
      <c r="D7755" s="23">
        <v>0</v>
      </c>
      <c r="E7755" s="23">
        <v>0</v>
      </c>
      <c r="F7755" s="23">
        <v>0</v>
      </c>
      <c r="G7755" s="23">
        <v>0</v>
      </c>
      <c r="H7755" s="23">
        <v>0</v>
      </c>
      <c r="I7755" s="23">
        <v>1016</v>
      </c>
      <c r="J7755" s="23">
        <v>0</v>
      </c>
      <c r="K7755" s="23">
        <v>0</v>
      </c>
    </row>
    <row r="7756" spans="1:11" x14ac:dyDescent="0.25">
      <c r="A7756">
        <v>7755</v>
      </c>
      <c r="B7756" s="23">
        <v>1193.5999999999999</v>
      </c>
      <c r="C7756" s="23">
        <v>0</v>
      </c>
      <c r="D7756" s="23">
        <v>0</v>
      </c>
      <c r="E7756" s="23">
        <v>0</v>
      </c>
      <c r="F7756" s="23">
        <v>0</v>
      </c>
      <c r="G7756" s="23">
        <v>0</v>
      </c>
      <c r="H7756" s="23">
        <v>0</v>
      </c>
      <c r="I7756" s="23">
        <v>1193.5999999999999</v>
      </c>
      <c r="J7756" s="23">
        <v>0</v>
      </c>
      <c r="K7756" s="23">
        <v>0</v>
      </c>
    </row>
    <row r="7757" spans="1:11" x14ac:dyDescent="0.25">
      <c r="A7757">
        <v>7756</v>
      </c>
      <c r="B7757" s="23">
        <v>1489.6</v>
      </c>
      <c r="C7757" s="23">
        <v>0</v>
      </c>
      <c r="D7757" s="23">
        <v>0</v>
      </c>
      <c r="E7757" s="23">
        <v>0</v>
      </c>
      <c r="F7757" s="23">
        <v>0</v>
      </c>
      <c r="G7757" s="23">
        <v>0</v>
      </c>
      <c r="H7757" s="23">
        <v>0</v>
      </c>
      <c r="I7757" s="23">
        <v>1489.6</v>
      </c>
      <c r="J7757" s="23">
        <v>0</v>
      </c>
      <c r="K7757" s="23">
        <v>0</v>
      </c>
    </row>
    <row r="7758" spans="1:11" x14ac:dyDescent="0.25">
      <c r="A7758">
        <v>7757</v>
      </c>
      <c r="B7758" s="23">
        <v>1088.8</v>
      </c>
      <c r="C7758" s="23">
        <v>0</v>
      </c>
      <c r="D7758" s="23">
        <v>0</v>
      </c>
      <c r="E7758" s="23">
        <v>0</v>
      </c>
      <c r="F7758" s="23">
        <v>0</v>
      </c>
      <c r="G7758" s="23">
        <v>0</v>
      </c>
      <c r="H7758" s="23">
        <v>0</v>
      </c>
      <c r="I7758" s="23">
        <v>1088.8</v>
      </c>
      <c r="J7758" s="23">
        <v>0</v>
      </c>
      <c r="K7758" s="23">
        <v>0</v>
      </c>
    </row>
    <row r="7759" spans="1:11" x14ac:dyDescent="0.25">
      <c r="A7759">
        <v>7758</v>
      </c>
      <c r="B7759" s="23">
        <v>1126.4000000000001</v>
      </c>
      <c r="C7759" s="23">
        <v>0</v>
      </c>
      <c r="D7759" s="23">
        <v>0</v>
      </c>
      <c r="E7759" s="23">
        <v>0</v>
      </c>
      <c r="F7759" s="23">
        <v>0</v>
      </c>
      <c r="G7759" s="23">
        <v>0</v>
      </c>
      <c r="H7759" s="23">
        <v>0</v>
      </c>
      <c r="I7759" s="23">
        <v>458.911</v>
      </c>
      <c r="J7759" s="23">
        <v>0</v>
      </c>
      <c r="K7759" s="23">
        <v>667.48900000000003</v>
      </c>
    </row>
    <row r="7760" spans="1:11" x14ac:dyDescent="0.25">
      <c r="A7760">
        <v>7759</v>
      </c>
      <c r="B7760" s="23">
        <v>799.08699999999999</v>
      </c>
      <c r="C7760" s="23">
        <v>64.69</v>
      </c>
      <c r="D7760" s="23">
        <v>208.24700000000001</v>
      </c>
      <c r="E7760" s="23">
        <v>208.24700000000001</v>
      </c>
      <c r="F7760" s="23">
        <v>0</v>
      </c>
      <c r="G7760" s="23">
        <v>0</v>
      </c>
      <c r="H7760" s="23">
        <v>0</v>
      </c>
      <c r="I7760" s="23">
        <v>0</v>
      </c>
      <c r="J7760" s="23">
        <v>0</v>
      </c>
      <c r="K7760" s="23">
        <v>590.84</v>
      </c>
    </row>
    <row r="7761" spans="1:11" x14ac:dyDescent="0.25">
      <c r="A7761">
        <v>7760</v>
      </c>
      <c r="B7761" s="23">
        <v>933.69899999999996</v>
      </c>
      <c r="C7761" s="23">
        <v>308.85000000000002</v>
      </c>
      <c r="D7761" s="23">
        <v>1230.789</v>
      </c>
      <c r="E7761" s="23">
        <v>933.69899999999996</v>
      </c>
      <c r="F7761" s="23">
        <v>-297.08999999999997</v>
      </c>
      <c r="G7761" s="23">
        <v>0</v>
      </c>
      <c r="H7761" s="23">
        <v>0</v>
      </c>
      <c r="I7761" s="23">
        <v>0</v>
      </c>
      <c r="J7761" s="23">
        <v>0</v>
      </c>
      <c r="K7761" s="23">
        <v>0</v>
      </c>
    </row>
    <row r="7762" spans="1:11" x14ac:dyDescent="0.25">
      <c r="A7762">
        <v>7761</v>
      </c>
      <c r="B7762" s="23">
        <v>1028.874</v>
      </c>
      <c r="C7762" s="23">
        <v>602.87</v>
      </c>
      <c r="D7762" s="23">
        <v>2387.2890000000002</v>
      </c>
      <c r="E7762" s="23">
        <v>1028.874</v>
      </c>
      <c r="F7762" s="23">
        <v>-1358.415</v>
      </c>
      <c r="G7762" s="23">
        <v>0</v>
      </c>
      <c r="H7762" s="23">
        <v>0</v>
      </c>
      <c r="I7762" s="23">
        <v>0</v>
      </c>
      <c r="J7762" s="23">
        <v>0</v>
      </c>
      <c r="K7762" s="23">
        <v>0</v>
      </c>
    </row>
    <row r="7763" spans="1:11" x14ac:dyDescent="0.25">
      <c r="A7763">
        <v>7762</v>
      </c>
      <c r="B7763" s="23">
        <v>1429.183</v>
      </c>
      <c r="C7763" s="23">
        <v>472.01</v>
      </c>
      <c r="D7763" s="23">
        <v>1822.33</v>
      </c>
      <c r="E7763" s="23">
        <v>1429.183</v>
      </c>
      <c r="F7763" s="23">
        <v>-393.14699999999999</v>
      </c>
      <c r="G7763" s="23">
        <v>0</v>
      </c>
      <c r="H7763" s="23">
        <v>0</v>
      </c>
      <c r="I7763" s="23">
        <v>0</v>
      </c>
      <c r="J7763" s="23">
        <v>0</v>
      </c>
      <c r="K7763" s="23">
        <v>0</v>
      </c>
    </row>
    <row r="7764" spans="1:11" x14ac:dyDescent="0.25">
      <c r="A7764">
        <v>7763</v>
      </c>
      <c r="B7764" s="23">
        <v>1309.3610000000001</v>
      </c>
      <c r="C7764" s="23">
        <v>513.96</v>
      </c>
      <c r="D7764" s="23">
        <v>1956.5260000000001</v>
      </c>
      <c r="E7764" s="23">
        <v>1309.3610000000001</v>
      </c>
      <c r="F7764" s="23">
        <v>-647.16499999999996</v>
      </c>
      <c r="G7764" s="23">
        <v>0</v>
      </c>
      <c r="H7764" s="23">
        <v>0</v>
      </c>
      <c r="I7764" s="23">
        <v>0</v>
      </c>
      <c r="J7764" s="23">
        <v>0</v>
      </c>
      <c r="K7764" s="23">
        <v>0</v>
      </c>
    </row>
    <row r="7765" spans="1:11" x14ac:dyDescent="0.25">
      <c r="A7765">
        <v>7764</v>
      </c>
      <c r="B7765" s="23">
        <v>1273.22</v>
      </c>
      <c r="C7765" s="23">
        <v>350.39</v>
      </c>
      <c r="D7765" s="23">
        <v>1329.6410000000001</v>
      </c>
      <c r="E7765" s="23">
        <v>1273.22</v>
      </c>
      <c r="F7765" s="23">
        <v>-56.420999999999999</v>
      </c>
      <c r="G7765" s="23">
        <v>0</v>
      </c>
      <c r="H7765" s="23">
        <v>0</v>
      </c>
      <c r="I7765" s="23">
        <v>0</v>
      </c>
      <c r="J7765" s="23">
        <v>0</v>
      </c>
      <c r="K7765" s="23">
        <v>0</v>
      </c>
    </row>
    <row r="7766" spans="1:11" x14ac:dyDescent="0.25">
      <c r="A7766">
        <v>7765</v>
      </c>
      <c r="B7766" s="23">
        <v>1283.758</v>
      </c>
      <c r="C7766" s="23">
        <v>733.54</v>
      </c>
      <c r="D7766" s="23">
        <v>2755.2820000000002</v>
      </c>
      <c r="E7766" s="23">
        <v>1283.758</v>
      </c>
      <c r="F7766" s="23">
        <v>-1471.5239999999999</v>
      </c>
      <c r="G7766" s="23">
        <v>0</v>
      </c>
      <c r="H7766" s="23">
        <v>0</v>
      </c>
      <c r="I7766" s="23">
        <v>0</v>
      </c>
      <c r="J7766" s="23">
        <v>0</v>
      </c>
      <c r="K7766" s="23">
        <v>0</v>
      </c>
    </row>
    <row r="7767" spans="1:11" x14ac:dyDescent="0.25">
      <c r="A7767">
        <v>7766</v>
      </c>
      <c r="B7767" s="23">
        <v>1017.049</v>
      </c>
      <c r="C7767" s="23">
        <v>585.26</v>
      </c>
      <c r="D7767" s="23">
        <v>2243.8200000000002</v>
      </c>
      <c r="E7767" s="23">
        <v>1017.049</v>
      </c>
      <c r="F7767" s="23">
        <v>-1226.771</v>
      </c>
      <c r="G7767" s="23">
        <v>0</v>
      </c>
      <c r="H7767" s="23">
        <v>0</v>
      </c>
      <c r="I7767" s="23">
        <v>0</v>
      </c>
      <c r="J7767" s="23">
        <v>0</v>
      </c>
      <c r="K7767" s="23">
        <v>0</v>
      </c>
    </row>
    <row r="7768" spans="1:11" x14ac:dyDescent="0.25">
      <c r="A7768">
        <v>7767</v>
      </c>
      <c r="B7768" s="23">
        <v>1569.8620000000001</v>
      </c>
      <c r="C7768" s="23">
        <v>353.69</v>
      </c>
      <c r="D7768" s="23">
        <v>1374.759</v>
      </c>
      <c r="E7768" s="23">
        <v>1374.759</v>
      </c>
      <c r="F7768" s="23">
        <v>0</v>
      </c>
      <c r="G7768" s="23">
        <v>0</v>
      </c>
      <c r="H7768" s="23">
        <v>0</v>
      </c>
      <c r="I7768" s="23">
        <v>195.10300000000001</v>
      </c>
      <c r="J7768" s="23">
        <v>0</v>
      </c>
      <c r="K7768" s="23">
        <v>0</v>
      </c>
    </row>
    <row r="7769" spans="1:11" x14ac:dyDescent="0.25">
      <c r="A7769">
        <v>7768</v>
      </c>
      <c r="B7769" s="23">
        <v>1212.9090000000001</v>
      </c>
      <c r="C7769" s="23">
        <v>32.340000000000003</v>
      </c>
      <c r="D7769" s="23">
        <v>100.31399999999999</v>
      </c>
      <c r="E7769" s="23">
        <v>100.31399999999999</v>
      </c>
      <c r="F7769" s="23">
        <v>0</v>
      </c>
      <c r="G7769" s="23">
        <v>0</v>
      </c>
      <c r="H7769" s="23">
        <v>0</v>
      </c>
      <c r="I7769" s="23">
        <v>1112.595</v>
      </c>
      <c r="J7769" s="23">
        <v>0</v>
      </c>
      <c r="K7769" s="23">
        <v>0</v>
      </c>
    </row>
    <row r="7770" spans="1:11" x14ac:dyDescent="0.25">
      <c r="A7770">
        <v>7769</v>
      </c>
      <c r="B7770" s="23">
        <v>1407.8130000000001</v>
      </c>
      <c r="C7770" s="23">
        <v>94.44</v>
      </c>
      <c r="D7770" s="23">
        <v>340.47500000000002</v>
      </c>
      <c r="E7770" s="23">
        <v>340.47500000000002</v>
      </c>
      <c r="F7770" s="23">
        <v>0</v>
      </c>
      <c r="G7770" s="23">
        <v>0</v>
      </c>
      <c r="H7770" s="23">
        <v>0</v>
      </c>
      <c r="I7770" s="23">
        <v>1067.338</v>
      </c>
      <c r="J7770" s="23">
        <v>0</v>
      </c>
      <c r="K7770" s="23">
        <v>0</v>
      </c>
    </row>
    <row r="7771" spans="1:11" x14ac:dyDescent="0.25">
      <c r="A7771">
        <v>7770</v>
      </c>
      <c r="B7771" s="23">
        <v>1339.1880000000001</v>
      </c>
      <c r="C7771" s="23">
        <v>1.96</v>
      </c>
      <c r="D7771" s="23">
        <v>0</v>
      </c>
      <c r="E7771" s="23">
        <v>0</v>
      </c>
      <c r="F7771" s="23">
        <v>0</v>
      </c>
      <c r="G7771" s="23">
        <v>0</v>
      </c>
      <c r="H7771" s="23">
        <v>0</v>
      </c>
      <c r="I7771" s="23">
        <v>0</v>
      </c>
      <c r="J7771" s="23">
        <v>0</v>
      </c>
      <c r="K7771" s="23">
        <v>1339.1880000000001</v>
      </c>
    </row>
    <row r="7772" spans="1:11" x14ac:dyDescent="0.25">
      <c r="A7772">
        <v>7771</v>
      </c>
      <c r="B7772" s="23">
        <v>1444</v>
      </c>
      <c r="C7772" s="23">
        <v>0</v>
      </c>
      <c r="D7772" s="23">
        <v>0</v>
      </c>
      <c r="E7772" s="23">
        <v>0</v>
      </c>
      <c r="F7772" s="23">
        <v>0</v>
      </c>
      <c r="G7772" s="23">
        <v>0</v>
      </c>
      <c r="H7772" s="23">
        <v>0</v>
      </c>
      <c r="I7772" s="23">
        <v>0</v>
      </c>
      <c r="J7772" s="23">
        <v>0</v>
      </c>
      <c r="K7772" s="23">
        <v>1444</v>
      </c>
    </row>
    <row r="7773" spans="1:11" x14ac:dyDescent="0.25">
      <c r="A7773">
        <v>7772</v>
      </c>
      <c r="B7773" s="23">
        <v>1498.4</v>
      </c>
      <c r="C7773" s="23">
        <v>0</v>
      </c>
      <c r="D7773" s="23">
        <v>0</v>
      </c>
      <c r="E7773" s="23">
        <v>0</v>
      </c>
      <c r="F7773" s="23">
        <v>0</v>
      </c>
      <c r="G7773" s="23">
        <v>0</v>
      </c>
      <c r="H7773" s="23">
        <v>0</v>
      </c>
      <c r="I7773" s="23">
        <v>0</v>
      </c>
      <c r="J7773" s="23">
        <v>0</v>
      </c>
      <c r="K7773" s="23">
        <v>1498.4</v>
      </c>
    </row>
    <row r="7774" spans="1:11" x14ac:dyDescent="0.25">
      <c r="A7774">
        <v>7773</v>
      </c>
      <c r="B7774" s="23">
        <v>1683.2</v>
      </c>
      <c r="C7774" s="23">
        <v>0</v>
      </c>
      <c r="D7774" s="23">
        <v>0</v>
      </c>
      <c r="E7774" s="23">
        <v>0</v>
      </c>
      <c r="F7774" s="23">
        <v>0</v>
      </c>
      <c r="G7774" s="23">
        <v>0</v>
      </c>
      <c r="H7774" s="23">
        <v>0</v>
      </c>
      <c r="I7774" s="23">
        <v>1683.2</v>
      </c>
      <c r="J7774" s="23">
        <v>0</v>
      </c>
      <c r="K7774" s="23">
        <v>0</v>
      </c>
    </row>
    <row r="7775" spans="1:11" x14ac:dyDescent="0.25">
      <c r="A7775">
        <v>7774</v>
      </c>
      <c r="B7775" s="23">
        <v>1572</v>
      </c>
      <c r="C7775" s="23">
        <v>0</v>
      </c>
      <c r="D7775" s="23">
        <v>0</v>
      </c>
      <c r="E7775" s="23">
        <v>0</v>
      </c>
      <c r="F7775" s="23">
        <v>0</v>
      </c>
      <c r="G7775" s="23">
        <v>0</v>
      </c>
      <c r="H7775" s="23">
        <v>0</v>
      </c>
      <c r="I7775" s="23">
        <v>1572</v>
      </c>
      <c r="J7775" s="23">
        <v>0</v>
      </c>
      <c r="K7775" s="23">
        <v>0</v>
      </c>
    </row>
    <row r="7776" spans="1:11" x14ac:dyDescent="0.25">
      <c r="A7776">
        <v>7775</v>
      </c>
      <c r="B7776" s="23">
        <v>1266.4000000000001</v>
      </c>
      <c r="C7776" s="23">
        <v>0</v>
      </c>
      <c r="D7776" s="23">
        <v>0</v>
      </c>
      <c r="E7776" s="23">
        <v>0</v>
      </c>
      <c r="F7776" s="23">
        <v>0</v>
      </c>
      <c r="G7776" s="23">
        <v>0</v>
      </c>
      <c r="H7776" s="23">
        <v>0</v>
      </c>
      <c r="I7776" s="23">
        <v>1266.4000000000001</v>
      </c>
      <c r="J7776" s="23">
        <v>0</v>
      </c>
      <c r="K7776" s="23">
        <v>0</v>
      </c>
    </row>
    <row r="7777" spans="1:11" x14ac:dyDescent="0.25">
      <c r="A7777">
        <v>7776</v>
      </c>
      <c r="B7777" s="23">
        <v>1252.8</v>
      </c>
      <c r="C7777" s="23">
        <v>0</v>
      </c>
      <c r="D7777" s="23">
        <v>0</v>
      </c>
      <c r="E7777" s="23">
        <v>0</v>
      </c>
      <c r="F7777" s="23">
        <v>0</v>
      </c>
      <c r="G7777" s="23">
        <v>0</v>
      </c>
      <c r="H7777" s="23">
        <v>0</v>
      </c>
      <c r="I7777" s="23">
        <v>1252.8</v>
      </c>
      <c r="J7777" s="23">
        <v>0</v>
      </c>
      <c r="K7777" s="23">
        <v>0</v>
      </c>
    </row>
    <row r="7778" spans="1:11" x14ac:dyDescent="0.25">
      <c r="A7778">
        <v>7777</v>
      </c>
      <c r="B7778" s="23">
        <v>1118.4000000000001</v>
      </c>
      <c r="C7778" s="23">
        <v>0</v>
      </c>
      <c r="D7778" s="23">
        <v>0</v>
      </c>
      <c r="E7778" s="23">
        <v>0</v>
      </c>
      <c r="F7778" s="23">
        <v>0</v>
      </c>
      <c r="G7778" s="23">
        <v>0</v>
      </c>
      <c r="H7778" s="23">
        <v>0</v>
      </c>
      <c r="I7778" s="23">
        <v>1118.4000000000001</v>
      </c>
      <c r="J7778" s="23">
        <v>0</v>
      </c>
      <c r="K7778" s="23">
        <v>0</v>
      </c>
    </row>
    <row r="7779" spans="1:11" x14ac:dyDescent="0.25">
      <c r="A7779">
        <v>7778</v>
      </c>
      <c r="B7779" s="23">
        <v>1283.2</v>
      </c>
      <c r="C7779" s="23">
        <v>0</v>
      </c>
      <c r="D7779" s="23">
        <v>0</v>
      </c>
      <c r="E7779" s="23">
        <v>0</v>
      </c>
      <c r="F7779" s="23">
        <v>0</v>
      </c>
      <c r="G7779" s="23">
        <v>0</v>
      </c>
      <c r="H7779" s="23">
        <v>0</v>
      </c>
      <c r="I7779" s="23">
        <v>1283.2</v>
      </c>
      <c r="J7779" s="23">
        <v>0</v>
      </c>
      <c r="K7779" s="23">
        <v>0</v>
      </c>
    </row>
    <row r="7780" spans="1:11" x14ac:dyDescent="0.25">
      <c r="A7780">
        <v>7779</v>
      </c>
      <c r="B7780" s="23">
        <v>1369.6</v>
      </c>
      <c r="C7780" s="23">
        <v>0</v>
      </c>
      <c r="D7780" s="23">
        <v>0</v>
      </c>
      <c r="E7780" s="23">
        <v>0</v>
      </c>
      <c r="F7780" s="23">
        <v>0</v>
      </c>
      <c r="G7780" s="23">
        <v>0</v>
      </c>
      <c r="H7780" s="23">
        <v>0</v>
      </c>
      <c r="I7780" s="23">
        <v>1369.6</v>
      </c>
      <c r="J7780" s="23">
        <v>0</v>
      </c>
      <c r="K7780" s="23">
        <v>0</v>
      </c>
    </row>
    <row r="7781" spans="1:11" x14ac:dyDescent="0.25">
      <c r="A7781">
        <v>7780</v>
      </c>
      <c r="B7781" s="23">
        <v>1394.4</v>
      </c>
      <c r="C7781" s="23">
        <v>0</v>
      </c>
      <c r="D7781" s="23">
        <v>0</v>
      </c>
      <c r="E7781" s="23">
        <v>0</v>
      </c>
      <c r="F7781" s="23">
        <v>0</v>
      </c>
      <c r="G7781" s="23">
        <v>0</v>
      </c>
      <c r="H7781" s="23">
        <v>0</v>
      </c>
      <c r="I7781" s="23">
        <v>1394.4</v>
      </c>
      <c r="J7781" s="23">
        <v>0</v>
      </c>
      <c r="K7781" s="23">
        <v>0</v>
      </c>
    </row>
    <row r="7782" spans="1:11" x14ac:dyDescent="0.25">
      <c r="A7782">
        <v>7781</v>
      </c>
      <c r="B7782" s="23">
        <v>1285.5999999999999</v>
      </c>
      <c r="C7782" s="23">
        <v>0</v>
      </c>
      <c r="D7782" s="23">
        <v>0</v>
      </c>
      <c r="E7782" s="23">
        <v>0</v>
      </c>
      <c r="F7782" s="23">
        <v>0</v>
      </c>
      <c r="G7782" s="23">
        <v>0</v>
      </c>
      <c r="H7782" s="23">
        <v>0</v>
      </c>
      <c r="I7782" s="23">
        <v>904.85199999999998</v>
      </c>
      <c r="J7782" s="23">
        <v>0</v>
      </c>
      <c r="K7782" s="23">
        <v>380.74799999999999</v>
      </c>
    </row>
    <row r="7783" spans="1:11" x14ac:dyDescent="0.25">
      <c r="A7783">
        <v>7782</v>
      </c>
      <c r="B7783" s="23">
        <v>1056</v>
      </c>
      <c r="C7783" s="23">
        <v>0</v>
      </c>
      <c r="D7783" s="23">
        <v>0</v>
      </c>
      <c r="E7783" s="23">
        <v>0</v>
      </c>
      <c r="F7783" s="23">
        <v>0</v>
      </c>
      <c r="G7783" s="23">
        <v>0</v>
      </c>
      <c r="H7783" s="23">
        <v>0</v>
      </c>
      <c r="I7783" s="23">
        <v>0</v>
      </c>
      <c r="J7783" s="23">
        <v>0</v>
      </c>
      <c r="K7783" s="23">
        <v>1056</v>
      </c>
    </row>
    <row r="7784" spans="1:11" x14ac:dyDescent="0.25">
      <c r="A7784">
        <v>7783</v>
      </c>
      <c r="B7784" s="23">
        <v>1040.3240000000001</v>
      </c>
      <c r="C7784" s="23">
        <v>63.84</v>
      </c>
      <c r="D7784" s="23">
        <v>206.81100000000001</v>
      </c>
      <c r="E7784" s="23">
        <v>206.81100000000001</v>
      </c>
      <c r="F7784" s="23">
        <v>0</v>
      </c>
      <c r="G7784" s="23">
        <v>0</v>
      </c>
      <c r="H7784" s="23">
        <v>0</v>
      </c>
      <c r="I7784" s="23">
        <v>0</v>
      </c>
      <c r="J7784" s="23">
        <v>0</v>
      </c>
      <c r="K7784" s="23">
        <v>833.51300000000003</v>
      </c>
    </row>
    <row r="7785" spans="1:11" x14ac:dyDescent="0.25">
      <c r="A7785">
        <v>7784</v>
      </c>
      <c r="B7785" s="23">
        <v>869.63300000000004</v>
      </c>
      <c r="C7785" s="23">
        <v>359.38</v>
      </c>
      <c r="D7785" s="23">
        <v>1414.116</v>
      </c>
      <c r="E7785" s="23">
        <v>869.63300000000004</v>
      </c>
      <c r="F7785" s="23">
        <v>-544.48299999999995</v>
      </c>
      <c r="G7785" s="23">
        <v>0</v>
      </c>
      <c r="H7785" s="23">
        <v>0</v>
      </c>
      <c r="I7785" s="23">
        <v>0</v>
      </c>
      <c r="J7785" s="23">
        <v>0</v>
      </c>
      <c r="K7785" s="23">
        <v>0</v>
      </c>
    </row>
    <row r="7786" spans="1:11" x14ac:dyDescent="0.25">
      <c r="A7786">
        <v>7785</v>
      </c>
      <c r="B7786" s="23">
        <v>1098.2270000000001</v>
      </c>
      <c r="C7786" s="23">
        <v>594.32000000000005</v>
      </c>
      <c r="D7786" s="23">
        <v>2313.0880000000002</v>
      </c>
      <c r="E7786" s="23">
        <v>1098.2270000000001</v>
      </c>
      <c r="F7786" s="23">
        <v>-1214.8610000000001</v>
      </c>
      <c r="G7786" s="23">
        <v>0</v>
      </c>
      <c r="H7786" s="23">
        <v>0</v>
      </c>
      <c r="I7786" s="23">
        <v>0</v>
      </c>
      <c r="J7786" s="23">
        <v>0</v>
      </c>
      <c r="K7786" s="23">
        <v>0</v>
      </c>
    </row>
    <row r="7787" spans="1:11" x14ac:dyDescent="0.25">
      <c r="A7787">
        <v>7786</v>
      </c>
      <c r="B7787" s="23">
        <v>1314.6220000000001</v>
      </c>
      <c r="C7787" s="23">
        <v>782.4</v>
      </c>
      <c r="D7787" s="23">
        <v>2955.5529999999999</v>
      </c>
      <c r="E7787" s="23">
        <v>1314.6220000000001</v>
      </c>
      <c r="F7787" s="23">
        <v>-1640.931</v>
      </c>
      <c r="G7787" s="23">
        <v>0</v>
      </c>
      <c r="H7787" s="23">
        <v>0</v>
      </c>
      <c r="I7787" s="23">
        <v>0</v>
      </c>
      <c r="J7787" s="23">
        <v>0</v>
      </c>
      <c r="K7787" s="23">
        <v>0</v>
      </c>
    </row>
    <row r="7788" spans="1:11" x14ac:dyDescent="0.25">
      <c r="A7788">
        <v>7787</v>
      </c>
      <c r="B7788" s="23">
        <v>1099.1769999999999</v>
      </c>
      <c r="C7788" s="23">
        <v>803.6</v>
      </c>
      <c r="D7788" s="23">
        <v>3011.1840000000002</v>
      </c>
      <c r="E7788" s="23">
        <v>1099.1780000000001</v>
      </c>
      <c r="F7788" s="23">
        <v>-1684.559</v>
      </c>
      <c r="G7788" s="23">
        <v>0</v>
      </c>
      <c r="H7788" s="23">
        <v>227.447</v>
      </c>
      <c r="I7788" s="23">
        <v>0</v>
      </c>
      <c r="J7788" s="23">
        <v>0</v>
      </c>
      <c r="K7788" s="23">
        <v>0</v>
      </c>
    </row>
    <row r="7789" spans="1:11" x14ac:dyDescent="0.25">
      <c r="A7789">
        <v>7788</v>
      </c>
      <c r="B7789" s="23">
        <v>1346.221</v>
      </c>
      <c r="C7789" s="23">
        <v>536.55999999999995</v>
      </c>
      <c r="D7789" s="23">
        <v>2024.415</v>
      </c>
      <c r="E7789" s="23">
        <v>1346.221</v>
      </c>
      <c r="F7789" s="23">
        <v>-678.19399999999996</v>
      </c>
      <c r="G7789" s="23">
        <v>0</v>
      </c>
      <c r="H7789" s="23">
        <v>0</v>
      </c>
      <c r="I7789" s="23">
        <v>0</v>
      </c>
      <c r="J7789" s="23">
        <v>0</v>
      </c>
      <c r="K7789" s="23">
        <v>0</v>
      </c>
    </row>
    <row r="7790" spans="1:11" x14ac:dyDescent="0.25">
      <c r="A7790">
        <v>7789</v>
      </c>
      <c r="B7790" s="23">
        <v>1404.829</v>
      </c>
      <c r="C7790" s="23">
        <v>373.71</v>
      </c>
      <c r="D7790" s="23">
        <v>1421.9010000000001</v>
      </c>
      <c r="E7790" s="23">
        <v>1404.829</v>
      </c>
      <c r="F7790" s="23">
        <v>-17.071999999999999</v>
      </c>
      <c r="G7790" s="23">
        <v>0</v>
      </c>
      <c r="H7790" s="23">
        <v>0</v>
      </c>
      <c r="I7790" s="23">
        <v>0</v>
      </c>
      <c r="J7790" s="23">
        <v>0</v>
      </c>
      <c r="K7790" s="23">
        <v>0</v>
      </c>
    </row>
    <row r="7791" spans="1:11" x14ac:dyDescent="0.25">
      <c r="A7791">
        <v>7790</v>
      </c>
      <c r="B7791" s="23">
        <v>1166.1959999999999</v>
      </c>
      <c r="C7791" s="23">
        <v>610.85</v>
      </c>
      <c r="D7791" s="23">
        <v>2332.0619999999999</v>
      </c>
      <c r="E7791" s="23">
        <v>1166.1959999999999</v>
      </c>
      <c r="F7791" s="23">
        <v>-1165.866</v>
      </c>
      <c r="G7791" s="23">
        <v>0</v>
      </c>
      <c r="H7791" s="23">
        <v>0</v>
      </c>
      <c r="I7791" s="23">
        <v>0</v>
      </c>
      <c r="J7791" s="23">
        <v>0</v>
      </c>
      <c r="K7791" s="23">
        <v>0</v>
      </c>
    </row>
    <row r="7792" spans="1:11" x14ac:dyDescent="0.25">
      <c r="A7792">
        <v>7791</v>
      </c>
      <c r="B7792" s="23">
        <v>1431.1559999999999</v>
      </c>
      <c r="C7792" s="23">
        <v>537.16</v>
      </c>
      <c r="D7792" s="23">
        <v>2089.1370000000002</v>
      </c>
      <c r="E7792" s="23">
        <v>1431.1559999999999</v>
      </c>
      <c r="F7792" s="23">
        <v>-345.53199999999998</v>
      </c>
      <c r="G7792" s="23">
        <v>0</v>
      </c>
      <c r="H7792" s="23">
        <v>312.44900000000001</v>
      </c>
      <c r="I7792" s="23">
        <v>0</v>
      </c>
      <c r="J7792" s="23">
        <v>0</v>
      </c>
      <c r="K7792" s="23">
        <v>0</v>
      </c>
    </row>
    <row r="7793" spans="1:11" x14ac:dyDescent="0.25">
      <c r="A7793">
        <v>7792</v>
      </c>
      <c r="B7793" s="23">
        <v>1408.691</v>
      </c>
      <c r="C7793" s="23">
        <v>120.59</v>
      </c>
      <c r="D7793" s="23">
        <v>453.64699999999999</v>
      </c>
      <c r="E7793" s="23">
        <v>453.64699999999999</v>
      </c>
      <c r="F7793" s="23">
        <v>0</v>
      </c>
      <c r="G7793" s="23">
        <v>0</v>
      </c>
      <c r="H7793" s="23">
        <v>0</v>
      </c>
      <c r="I7793" s="23">
        <v>955.04399999999998</v>
      </c>
      <c r="J7793" s="23">
        <v>0</v>
      </c>
      <c r="K7793" s="23">
        <v>0</v>
      </c>
    </row>
    <row r="7794" spans="1:11" x14ac:dyDescent="0.25">
      <c r="A7794">
        <v>7793</v>
      </c>
      <c r="B7794" s="23">
        <v>1490.4359999999999</v>
      </c>
      <c r="C7794" s="23">
        <v>51.15</v>
      </c>
      <c r="D7794" s="23">
        <v>174.94399999999999</v>
      </c>
      <c r="E7794" s="23">
        <v>174.94399999999999</v>
      </c>
      <c r="F7794" s="23">
        <v>0</v>
      </c>
      <c r="G7794" s="23">
        <v>0</v>
      </c>
      <c r="H7794" s="23">
        <v>0</v>
      </c>
      <c r="I7794" s="23">
        <v>1315.492</v>
      </c>
      <c r="J7794" s="23">
        <v>0</v>
      </c>
      <c r="K7794" s="23">
        <v>0</v>
      </c>
    </row>
    <row r="7795" spans="1:11" x14ac:dyDescent="0.25">
      <c r="A7795">
        <v>7794</v>
      </c>
      <c r="B7795" s="23">
        <v>1393.933</v>
      </c>
      <c r="C7795" s="23">
        <v>0.98</v>
      </c>
      <c r="D7795" s="23">
        <v>0</v>
      </c>
      <c r="E7795" s="23">
        <v>0</v>
      </c>
      <c r="F7795" s="23">
        <v>0</v>
      </c>
      <c r="G7795" s="23">
        <v>0</v>
      </c>
      <c r="H7795" s="23">
        <v>0</v>
      </c>
      <c r="I7795" s="23">
        <v>0</v>
      </c>
      <c r="J7795" s="23">
        <v>0</v>
      </c>
      <c r="K7795" s="23">
        <v>1393.933</v>
      </c>
    </row>
    <row r="7796" spans="1:11" x14ac:dyDescent="0.25">
      <c r="A7796">
        <v>7795</v>
      </c>
      <c r="B7796" s="23">
        <v>1680.8</v>
      </c>
      <c r="C7796" s="23">
        <v>0</v>
      </c>
      <c r="D7796" s="23">
        <v>0</v>
      </c>
      <c r="E7796" s="23">
        <v>0</v>
      </c>
      <c r="F7796" s="23">
        <v>0</v>
      </c>
      <c r="G7796" s="23">
        <v>0</v>
      </c>
      <c r="H7796" s="23">
        <v>0</v>
      </c>
      <c r="I7796" s="23">
        <v>0</v>
      </c>
      <c r="J7796" s="23">
        <v>0</v>
      </c>
      <c r="K7796" s="23">
        <v>1680.8</v>
      </c>
    </row>
    <row r="7797" spans="1:11" x14ac:dyDescent="0.25">
      <c r="A7797">
        <v>7796</v>
      </c>
      <c r="B7797" s="23">
        <v>1324.8</v>
      </c>
      <c r="C7797" s="23">
        <v>0</v>
      </c>
      <c r="D7797" s="23">
        <v>0</v>
      </c>
      <c r="E7797" s="23">
        <v>0</v>
      </c>
      <c r="F7797" s="23">
        <v>0</v>
      </c>
      <c r="G7797" s="23">
        <v>0</v>
      </c>
      <c r="H7797" s="23">
        <v>0</v>
      </c>
      <c r="I7797" s="23">
        <v>0</v>
      </c>
      <c r="J7797" s="23">
        <v>0</v>
      </c>
      <c r="K7797" s="23">
        <v>1324.8</v>
      </c>
    </row>
    <row r="7798" spans="1:11" x14ac:dyDescent="0.25">
      <c r="A7798">
        <v>7797</v>
      </c>
      <c r="B7798" s="23">
        <v>1534.4</v>
      </c>
      <c r="C7798" s="23">
        <v>0</v>
      </c>
      <c r="D7798" s="23">
        <v>0</v>
      </c>
      <c r="E7798" s="23">
        <v>0</v>
      </c>
      <c r="F7798" s="23">
        <v>0</v>
      </c>
      <c r="G7798" s="23">
        <v>0</v>
      </c>
      <c r="H7798" s="23">
        <v>0</v>
      </c>
      <c r="I7798" s="23">
        <v>1534.4</v>
      </c>
      <c r="J7798" s="23">
        <v>0</v>
      </c>
      <c r="K7798" s="23">
        <v>0</v>
      </c>
    </row>
    <row r="7799" spans="1:11" x14ac:dyDescent="0.25">
      <c r="A7799">
        <v>7798</v>
      </c>
      <c r="B7799" s="23">
        <v>1571.2</v>
      </c>
      <c r="C7799" s="23">
        <v>0</v>
      </c>
      <c r="D7799" s="23">
        <v>0</v>
      </c>
      <c r="E7799" s="23">
        <v>0</v>
      </c>
      <c r="F7799" s="23">
        <v>0</v>
      </c>
      <c r="G7799" s="23">
        <v>0</v>
      </c>
      <c r="H7799" s="23">
        <v>0</v>
      </c>
      <c r="I7799" s="23">
        <v>1571.2</v>
      </c>
      <c r="J7799" s="23">
        <v>0</v>
      </c>
      <c r="K7799" s="23">
        <v>0</v>
      </c>
    </row>
    <row r="7800" spans="1:11" x14ac:dyDescent="0.25">
      <c r="A7800">
        <v>7799</v>
      </c>
      <c r="B7800" s="23">
        <v>1176.8</v>
      </c>
      <c r="C7800" s="23">
        <v>0</v>
      </c>
      <c r="D7800" s="23">
        <v>0</v>
      </c>
      <c r="E7800" s="23">
        <v>0</v>
      </c>
      <c r="F7800" s="23">
        <v>0</v>
      </c>
      <c r="G7800" s="23">
        <v>0</v>
      </c>
      <c r="H7800" s="23">
        <v>0</v>
      </c>
      <c r="I7800" s="23">
        <v>1176.8</v>
      </c>
      <c r="J7800" s="23">
        <v>0</v>
      </c>
      <c r="K7800" s="23">
        <v>0</v>
      </c>
    </row>
    <row r="7801" spans="1:11" x14ac:dyDescent="0.25">
      <c r="A7801">
        <v>7800</v>
      </c>
      <c r="B7801" s="23">
        <v>1416.8</v>
      </c>
      <c r="C7801" s="23">
        <v>0</v>
      </c>
      <c r="D7801" s="23">
        <v>0</v>
      </c>
      <c r="E7801" s="23">
        <v>0</v>
      </c>
      <c r="F7801" s="23">
        <v>0</v>
      </c>
      <c r="G7801" s="23">
        <v>0</v>
      </c>
      <c r="H7801" s="23">
        <v>0</v>
      </c>
      <c r="I7801" s="23">
        <v>1416.8</v>
      </c>
      <c r="J7801" s="23">
        <v>0</v>
      </c>
      <c r="K7801" s="23">
        <v>0</v>
      </c>
    </row>
    <row r="7802" spans="1:11" x14ac:dyDescent="0.25">
      <c r="A7802">
        <v>7801</v>
      </c>
      <c r="B7802" s="23">
        <v>1240</v>
      </c>
      <c r="C7802" s="23">
        <v>0</v>
      </c>
      <c r="D7802" s="23">
        <v>0</v>
      </c>
      <c r="E7802" s="23">
        <v>0</v>
      </c>
      <c r="F7802" s="23">
        <v>0</v>
      </c>
      <c r="G7802" s="23">
        <v>0</v>
      </c>
      <c r="H7802" s="23">
        <v>0</v>
      </c>
      <c r="I7802" s="23">
        <v>1240</v>
      </c>
      <c r="J7802" s="23">
        <v>0</v>
      </c>
      <c r="K7802" s="23">
        <v>0</v>
      </c>
    </row>
    <row r="7803" spans="1:11" x14ac:dyDescent="0.25">
      <c r="A7803">
        <v>7802</v>
      </c>
      <c r="B7803" s="23">
        <v>1348.8</v>
      </c>
      <c r="C7803" s="23">
        <v>0</v>
      </c>
      <c r="D7803" s="23">
        <v>0</v>
      </c>
      <c r="E7803" s="23">
        <v>0</v>
      </c>
      <c r="F7803" s="23">
        <v>0</v>
      </c>
      <c r="G7803" s="23">
        <v>0</v>
      </c>
      <c r="H7803" s="23">
        <v>0</v>
      </c>
      <c r="I7803" s="23">
        <v>1348.8</v>
      </c>
      <c r="J7803" s="23">
        <v>0</v>
      </c>
      <c r="K7803" s="23">
        <v>0</v>
      </c>
    </row>
    <row r="7804" spans="1:11" x14ac:dyDescent="0.25">
      <c r="A7804">
        <v>7803</v>
      </c>
      <c r="B7804" s="23">
        <v>1515.2</v>
      </c>
      <c r="C7804" s="23">
        <v>0</v>
      </c>
      <c r="D7804" s="23">
        <v>0</v>
      </c>
      <c r="E7804" s="23">
        <v>0</v>
      </c>
      <c r="F7804" s="23">
        <v>0</v>
      </c>
      <c r="G7804" s="23">
        <v>0</v>
      </c>
      <c r="H7804" s="23">
        <v>0</v>
      </c>
      <c r="I7804" s="23">
        <v>1515.2</v>
      </c>
      <c r="J7804" s="23">
        <v>0</v>
      </c>
      <c r="K7804" s="23">
        <v>0</v>
      </c>
    </row>
    <row r="7805" spans="1:11" x14ac:dyDescent="0.25">
      <c r="A7805">
        <v>7804</v>
      </c>
      <c r="B7805" s="23">
        <v>1366.4</v>
      </c>
      <c r="C7805" s="23">
        <v>0</v>
      </c>
      <c r="D7805" s="23">
        <v>0</v>
      </c>
      <c r="E7805" s="23">
        <v>0</v>
      </c>
      <c r="F7805" s="23">
        <v>0</v>
      </c>
      <c r="G7805" s="23">
        <v>0</v>
      </c>
      <c r="H7805" s="23">
        <v>0</v>
      </c>
      <c r="I7805" s="23">
        <v>1366.4</v>
      </c>
      <c r="J7805" s="23">
        <v>0</v>
      </c>
      <c r="K7805" s="23">
        <v>0</v>
      </c>
    </row>
    <row r="7806" spans="1:11" x14ac:dyDescent="0.25">
      <c r="A7806">
        <v>7805</v>
      </c>
      <c r="B7806" s="23">
        <v>1381.6</v>
      </c>
      <c r="C7806" s="23">
        <v>0</v>
      </c>
      <c r="D7806" s="23">
        <v>0</v>
      </c>
      <c r="E7806" s="23">
        <v>0</v>
      </c>
      <c r="F7806" s="23">
        <v>0</v>
      </c>
      <c r="G7806" s="23">
        <v>0</v>
      </c>
      <c r="H7806" s="23">
        <v>0</v>
      </c>
      <c r="I7806" s="23">
        <v>1037.9559999999999</v>
      </c>
      <c r="J7806" s="23">
        <v>0</v>
      </c>
      <c r="K7806" s="23">
        <v>343.64400000000001</v>
      </c>
    </row>
    <row r="7807" spans="1:11" x14ac:dyDescent="0.25">
      <c r="A7807">
        <v>7806</v>
      </c>
      <c r="B7807" s="23">
        <v>1362.4</v>
      </c>
      <c r="C7807" s="23">
        <v>0</v>
      </c>
      <c r="D7807" s="23">
        <v>0</v>
      </c>
      <c r="E7807" s="23">
        <v>0</v>
      </c>
      <c r="F7807" s="23">
        <v>0</v>
      </c>
      <c r="G7807" s="23">
        <v>0</v>
      </c>
      <c r="H7807" s="23">
        <v>0</v>
      </c>
      <c r="I7807" s="23">
        <v>0</v>
      </c>
      <c r="J7807" s="23">
        <v>0</v>
      </c>
      <c r="K7807" s="23">
        <v>1362.4</v>
      </c>
    </row>
    <row r="7808" spans="1:11" x14ac:dyDescent="0.25">
      <c r="A7808">
        <v>7807</v>
      </c>
      <c r="B7808" s="23">
        <v>679.43899999999996</v>
      </c>
      <c r="C7808" s="23">
        <v>71.28</v>
      </c>
      <c r="D7808" s="23">
        <v>233.167</v>
      </c>
      <c r="E7808" s="23">
        <v>233.167</v>
      </c>
      <c r="F7808" s="23">
        <v>0</v>
      </c>
      <c r="G7808" s="23">
        <v>0</v>
      </c>
      <c r="H7808" s="23">
        <v>0</v>
      </c>
      <c r="I7808" s="23">
        <v>0</v>
      </c>
      <c r="J7808" s="23">
        <v>0</v>
      </c>
      <c r="K7808" s="23">
        <v>446.27199999999999</v>
      </c>
    </row>
    <row r="7809" spans="1:11" x14ac:dyDescent="0.25">
      <c r="A7809">
        <v>7808</v>
      </c>
      <c r="B7809" s="23">
        <v>1137.376</v>
      </c>
      <c r="C7809" s="23">
        <v>376.76</v>
      </c>
      <c r="D7809" s="23">
        <v>1501.7429999999999</v>
      </c>
      <c r="E7809" s="23">
        <v>1137.376</v>
      </c>
      <c r="F7809" s="23">
        <v>-364.36700000000002</v>
      </c>
      <c r="G7809" s="23">
        <v>0</v>
      </c>
      <c r="H7809" s="23">
        <v>0</v>
      </c>
      <c r="I7809" s="23">
        <v>0</v>
      </c>
      <c r="J7809" s="23">
        <v>0</v>
      </c>
      <c r="K7809" s="23">
        <v>0</v>
      </c>
    </row>
    <row r="7810" spans="1:11" x14ac:dyDescent="0.25">
      <c r="A7810">
        <v>7809</v>
      </c>
      <c r="B7810" s="23">
        <v>882.65099999999995</v>
      </c>
      <c r="C7810" s="23">
        <v>612.48</v>
      </c>
      <c r="D7810" s="23">
        <v>2419.5439999999999</v>
      </c>
      <c r="E7810" s="23">
        <v>882.65099999999995</v>
      </c>
      <c r="F7810" s="23">
        <v>-1536.893</v>
      </c>
      <c r="G7810" s="23">
        <v>0</v>
      </c>
      <c r="H7810" s="23">
        <v>0</v>
      </c>
      <c r="I7810" s="23">
        <v>0</v>
      </c>
      <c r="J7810" s="23">
        <v>0</v>
      </c>
      <c r="K7810" s="23">
        <v>0</v>
      </c>
    </row>
    <row r="7811" spans="1:11" x14ac:dyDescent="0.25">
      <c r="A7811">
        <v>7810</v>
      </c>
      <c r="B7811" s="23">
        <v>432.66199999999998</v>
      </c>
      <c r="C7811" s="23">
        <v>631.13</v>
      </c>
      <c r="D7811" s="23">
        <v>2422.9270000000001</v>
      </c>
      <c r="E7811" s="23">
        <v>432.66199999999998</v>
      </c>
      <c r="F7811" s="23">
        <v>-1684.559</v>
      </c>
      <c r="G7811" s="23">
        <v>0</v>
      </c>
      <c r="H7811" s="23">
        <v>305.70600000000002</v>
      </c>
      <c r="I7811" s="23">
        <v>0</v>
      </c>
      <c r="J7811" s="23">
        <v>0</v>
      </c>
      <c r="K7811" s="23">
        <v>0</v>
      </c>
    </row>
    <row r="7812" spans="1:11" x14ac:dyDescent="0.25">
      <c r="A7812">
        <v>7811</v>
      </c>
      <c r="B7812" s="23">
        <v>389.32799999999997</v>
      </c>
      <c r="C7812" s="23">
        <v>804.02</v>
      </c>
      <c r="D7812" s="23">
        <v>2989.3789999999999</v>
      </c>
      <c r="E7812" s="23">
        <v>389.32900000000001</v>
      </c>
      <c r="F7812" s="23">
        <v>-1684.559</v>
      </c>
      <c r="G7812" s="23">
        <v>0</v>
      </c>
      <c r="H7812" s="23">
        <v>915.49099999999999</v>
      </c>
      <c r="I7812" s="23">
        <v>0</v>
      </c>
      <c r="J7812" s="23">
        <v>0</v>
      </c>
      <c r="K7812" s="23">
        <v>0</v>
      </c>
    </row>
    <row r="7813" spans="1:11" x14ac:dyDescent="0.25">
      <c r="A7813">
        <v>7812</v>
      </c>
      <c r="B7813" s="23">
        <v>396.46</v>
      </c>
      <c r="C7813" s="23">
        <v>966.5</v>
      </c>
      <c r="D7813" s="23">
        <v>3491.971</v>
      </c>
      <c r="E7813" s="23">
        <v>396.46</v>
      </c>
      <c r="F7813" s="23">
        <v>-1684.559</v>
      </c>
      <c r="G7813" s="23">
        <v>0</v>
      </c>
      <c r="H7813" s="23">
        <v>1410.952</v>
      </c>
      <c r="I7813" s="23">
        <v>0</v>
      </c>
      <c r="J7813" s="23">
        <v>0</v>
      </c>
      <c r="K7813" s="23">
        <v>0</v>
      </c>
    </row>
    <row r="7814" spans="1:11" x14ac:dyDescent="0.25">
      <c r="A7814">
        <v>7813</v>
      </c>
      <c r="B7814" s="23">
        <v>851.21500000000003</v>
      </c>
      <c r="C7814" s="23">
        <v>627.74</v>
      </c>
      <c r="D7814" s="23">
        <v>2333.2289999999998</v>
      </c>
      <c r="E7814" s="23">
        <v>851.21500000000003</v>
      </c>
      <c r="F7814" s="23">
        <v>-336.56</v>
      </c>
      <c r="G7814" s="23">
        <v>0</v>
      </c>
      <c r="H7814" s="23">
        <v>1145.454</v>
      </c>
      <c r="I7814" s="23">
        <v>0</v>
      </c>
      <c r="J7814" s="23">
        <v>0</v>
      </c>
      <c r="K7814" s="23">
        <v>0</v>
      </c>
    </row>
    <row r="7815" spans="1:11" x14ac:dyDescent="0.25">
      <c r="A7815">
        <v>7814</v>
      </c>
      <c r="B7815" s="23">
        <v>1358.2840000000001</v>
      </c>
      <c r="C7815" s="23">
        <v>715.37</v>
      </c>
      <c r="D7815" s="23">
        <v>2660.7539999999999</v>
      </c>
      <c r="E7815" s="23">
        <v>1358.2840000000001</v>
      </c>
      <c r="F7815" s="23">
        <v>0</v>
      </c>
      <c r="G7815" s="23">
        <v>0</v>
      </c>
      <c r="H7815" s="23">
        <v>1302.47</v>
      </c>
      <c r="I7815" s="23">
        <v>0</v>
      </c>
      <c r="J7815" s="23">
        <v>0</v>
      </c>
      <c r="K7815" s="23">
        <v>0</v>
      </c>
    </row>
    <row r="7816" spans="1:11" x14ac:dyDescent="0.25">
      <c r="A7816">
        <v>7815</v>
      </c>
      <c r="B7816" s="23">
        <v>1653.136</v>
      </c>
      <c r="C7816" s="23">
        <v>569.12</v>
      </c>
      <c r="D7816" s="23">
        <v>2166.7109999999998</v>
      </c>
      <c r="E7816" s="23">
        <v>1653.136</v>
      </c>
      <c r="F7816" s="23">
        <v>0</v>
      </c>
      <c r="G7816" s="23">
        <v>0</v>
      </c>
      <c r="H7816" s="23">
        <v>513.57500000000005</v>
      </c>
      <c r="I7816" s="23">
        <v>0</v>
      </c>
      <c r="J7816" s="23">
        <v>0</v>
      </c>
      <c r="K7816" s="23">
        <v>0</v>
      </c>
    </row>
    <row r="7817" spans="1:11" x14ac:dyDescent="0.25">
      <c r="A7817">
        <v>7816</v>
      </c>
      <c r="B7817" s="23">
        <v>1480.7750000000001</v>
      </c>
      <c r="C7817" s="23">
        <v>340.36</v>
      </c>
      <c r="D7817" s="23">
        <v>1327.693</v>
      </c>
      <c r="E7817" s="23">
        <v>1327.693</v>
      </c>
      <c r="F7817" s="23">
        <v>0</v>
      </c>
      <c r="G7817" s="23">
        <v>0</v>
      </c>
      <c r="H7817" s="23">
        <v>0</v>
      </c>
      <c r="I7817" s="23">
        <v>153.08199999999999</v>
      </c>
      <c r="J7817" s="23">
        <v>0</v>
      </c>
      <c r="K7817" s="23">
        <v>0</v>
      </c>
    </row>
    <row r="7818" spans="1:11" x14ac:dyDescent="0.25">
      <c r="A7818">
        <v>7817</v>
      </c>
      <c r="B7818" s="23">
        <v>1522.4280000000001</v>
      </c>
      <c r="C7818" s="23">
        <v>169.07</v>
      </c>
      <c r="D7818" s="23">
        <v>599.95699999999999</v>
      </c>
      <c r="E7818" s="23">
        <v>599.95699999999999</v>
      </c>
      <c r="F7818" s="23">
        <v>0</v>
      </c>
      <c r="G7818" s="23">
        <v>0</v>
      </c>
      <c r="H7818" s="23">
        <v>0</v>
      </c>
      <c r="I7818" s="23">
        <v>922.471</v>
      </c>
      <c r="J7818" s="23">
        <v>0</v>
      </c>
      <c r="K7818" s="23">
        <v>0</v>
      </c>
    </row>
    <row r="7819" spans="1:11" x14ac:dyDescent="0.25">
      <c r="A7819">
        <v>7818</v>
      </c>
      <c r="B7819" s="23">
        <v>1682.404</v>
      </c>
      <c r="C7819" s="23">
        <v>1.96</v>
      </c>
      <c r="D7819" s="23">
        <v>0</v>
      </c>
      <c r="E7819" s="23">
        <v>0</v>
      </c>
      <c r="F7819" s="23">
        <v>0</v>
      </c>
      <c r="G7819" s="23">
        <v>0</v>
      </c>
      <c r="H7819" s="23">
        <v>0</v>
      </c>
      <c r="I7819" s="23">
        <v>0</v>
      </c>
      <c r="J7819" s="23">
        <v>0</v>
      </c>
      <c r="K7819" s="23">
        <v>1682.404</v>
      </c>
    </row>
    <row r="7820" spans="1:11" x14ac:dyDescent="0.25">
      <c r="A7820">
        <v>7819</v>
      </c>
      <c r="B7820" s="23">
        <v>1758.4</v>
      </c>
      <c r="C7820" s="23">
        <v>0</v>
      </c>
      <c r="D7820" s="23">
        <v>0</v>
      </c>
      <c r="E7820" s="23">
        <v>0</v>
      </c>
      <c r="F7820" s="23">
        <v>0</v>
      </c>
      <c r="G7820" s="23">
        <v>0</v>
      </c>
      <c r="H7820" s="23">
        <v>0</v>
      </c>
      <c r="I7820" s="23">
        <v>73.840999999999994</v>
      </c>
      <c r="J7820" s="23">
        <v>0</v>
      </c>
      <c r="K7820" s="23">
        <v>1684.559</v>
      </c>
    </row>
    <row r="7821" spans="1:11" x14ac:dyDescent="0.25">
      <c r="A7821">
        <v>7820</v>
      </c>
      <c r="B7821" s="23">
        <v>1597.6</v>
      </c>
      <c r="C7821" s="23">
        <v>0</v>
      </c>
      <c r="D7821" s="23">
        <v>0</v>
      </c>
      <c r="E7821" s="23">
        <v>0</v>
      </c>
      <c r="F7821" s="23">
        <v>0</v>
      </c>
      <c r="G7821" s="23">
        <v>0</v>
      </c>
      <c r="H7821" s="23">
        <v>0</v>
      </c>
      <c r="I7821" s="23">
        <v>0</v>
      </c>
      <c r="J7821" s="23">
        <v>0</v>
      </c>
      <c r="K7821" s="23">
        <v>1597.6</v>
      </c>
    </row>
    <row r="7822" spans="1:11" x14ac:dyDescent="0.25">
      <c r="A7822">
        <v>7821</v>
      </c>
      <c r="B7822" s="23">
        <v>1777.6</v>
      </c>
      <c r="C7822" s="23">
        <v>0</v>
      </c>
      <c r="D7822" s="23">
        <v>0</v>
      </c>
      <c r="E7822" s="23">
        <v>0</v>
      </c>
      <c r="F7822" s="23">
        <v>0</v>
      </c>
      <c r="G7822" s="23">
        <v>0</v>
      </c>
      <c r="H7822" s="23">
        <v>0</v>
      </c>
      <c r="I7822" s="23">
        <v>1777.6</v>
      </c>
      <c r="J7822" s="23">
        <v>0</v>
      </c>
      <c r="K7822" s="23">
        <v>0</v>
      </c>
    </row>
    <row r="7823" spans="1:11" x14ac:dyDescent="0.25">
      <c r="A7823">
        <v>7822</v>
      </c>
      <c r="B7823" s="23">
        <v>1849.6</v>
      </c>
      <c r="C7823" s="23">
        <v>0</v>
      </c>
      <c r="D7823" s="23">
        <v>0</v>
      </c>
      <c r="E7823" s="23">
        <v>0</v>
      </c>
      <c r="F7823" s="23">
        <v>0</v>
      </c>
      <c r="G7823" s="23">
        <v>0</v>
      </c>
      <c r="H7823" s="23">
        <v>0</v>
      </c>
      <c r="I7823" s="23">
        <v>1849.6</v>
      </c>
      <c r="J7823" s="23">
        <v>0</v>
      </c>
      <c r="K7823" s="23">
        <v>0</v>
      </c>
    </row>
    <row r="7824" spans="1:11" x14ac:dyDescent="0.25">
      <c r="A7824">
        <v>7823</v>
      </c>
      <c r="B7824" s="23">
        <v>1356</v>
      </c>
      <c r="C7824" s="23">
        <v>0</v>
      </c>
      <c r="D7824" s="23">
        <v>0</v>
      </c>
      <c r="E7824" s="23">
        <v>0</v>
      </c>
      <c r="F7824" s="23">
        <v>0</v>
      </c>
      <c r="G7824" s="23">
        <v>0</v>
      </c>
      <c r="H7824" s="23">
        <v>0</v>
      </c>
      <c r="I7824" s="23">
        <v>1356</v>
      </c>
      <c r="J7824" s="23">
        <v>0</v>
      </c>
      <c r="K7824" s="23">
        <v>0</v>
      </c>
    </row>
    <row r="7825" spans="1:11" x14ac:dyDescent="0.25">
      <c r="A7825">
        <v>7824</v>
      </c>
      <c r="B7825" s="23">
        <v>1280.8</v>
      </c>
      <c r="C7825" s="23">
        <v>0</v>
      </c>
      <c r="D7825" s="23">
        <v>0</v>
      </c>
      <c r="E7825" s="23">
        <v>0</v>
      </c>
      <c r="F7825" s="23">
        <v>0</v>
      </c>
      <c r="G7825" s="23">
        <v>0</v>
      </c>
      <c r="H7825" s="23">
        <v>0</v>
      </c>
      <c r="I7825" s="23">
        <v>1280.8</v>
      </c>
      <c r="J7825" s="23">
        <v>0</v>
      </c>
      <c r="K7825" s="23">
        <v>0</v>
      </c>
    </row>
    <row r="7826" spans="1:11" x14ac:dyDescent="0.25">
      <c r="A7826">
        <v>7825</v>
      </c>
      <c r="B7826" s="23">
        <v>1248.8</v>
      </c>
      <c r="C7826" s="23">
        <v>0</v>
      </c>
      <c r="D7826" s="23">
        <v>0</v>
      </c>
      <c r="E7826" s="23">
        <v>0</v>
      </c>
      <c r="F7826" s="23">
        <v>0</v>
      </c>
      <c r="G7826" s="23">
        <v>0</v>
      </c>
      <c r="H7826" s="23">
        <v>0</v>
      </c>
      <c r="I7826" s="23">
        <v>1248.8</v>
      </c>
      <c r="J7826" s="23">
        <v>0</v>
      </c>
      <c r="K7826" s="23">
        <v>0</v>
      </c>
    </row>
    <row r="7827" spans="1:11" x14ac:dyDescent="0.25">
      <c r="A7827">
        <v>7826</v>
      </c>
      <c r="B7827" s="23">
        <v>1583.2</v>
      </c>
      <c r="C7827" s="23">
        <v>0</v>
      </c>
      <c r="D7827" s="23">
        <v>0</v>
      </c>
      <c r="E7827" s="23">
        <v>0</v>
      </c>
      <c r="F7827" s="23">
        <v>0</v>
      </c>
      <c r="G7827" s="23">
        <v>0</v>
      </c>
      <c r="H7827" s="23">
        <v>0</v>
      </c>
      <c r="I7827" s="23">
        <v>1583.2</v>
      </c>
      <c r="J7827" s="23">
        <v>0</v>
      </c>
      <c r="K7827" s="23">
        <v>0</v>
      </c>
    </row>
    <row r="7828" spans="1:11" x14ac:dyDescent="0.25">
      <c r="A7828">
        <v>7827</v>
      </c>
      <c r="B7828" s="23">
        <v>1660</v>
      </c>
      <c r="C7828" s="23">
        <v>0</v>
      </c>
      <c r="D7828" s="23">
        <v>0</v>
      </c>
      <c r="E7828" s="23">
        <v>0</v>
      </c>
      <c r="F7828" s="23">
        <v>0</v>
      </c>
      <c r="G7828" s="23">
        <v>0</v>
      </c>
      <c r="H7828" s="23">
        <v>0</v>
      </c>
      <c r="I7828" s="23">
        <v>1660</v>
      </c>
      <c r="J7828" s="23">
        <v>0</v>
      </c>
      <c r="K7828" s="23">
        <v>0</v>
      </c>
    </row>
    <row r="7829" spans="1:11" x14ac:dyDescent="0.25">
      <c r="A7829">
        <v>7828</v>
      </c>
      <c r="B7829" s="23">
        <v>981.6</v>
      </c>
      <c r="C7829" s="23">
        <v>0</v>
      </c>
      <c r="D7829" s="23">
        <v>0</v>
      </c>
      <c r="E7829" s="23">
        <v>0</v>
      </c>
      <c r="F7829" s="23">
        <v>0</v>
      </c>
      <c r="G7829" s="23">
        <v>0</v>
      </c>
      <c r="H7829" s="23">
        <v>0</v>
      </c>
      <c r="I7829" s="23">
        <v>981.6</v>
      </c>
      <c r="J7829" s="23">
        <v>0</v>
      </c>
      <c r="K7829" s="23">
        <v>0</v>
      </c>
    </row>
    <row r="7830" spans="1:11" x14ac:dyDescent="0.25">
      <c r="A7830">
        <v>7829</v>
      </c>
      <c r="B7830" s="23">
        <v>1345.6</v>
      </c>
      <c r="C7830" s="23">
        <v>0</v>
      </c>
      <c r="D7830" s="23">
        <v>0</v>
      </c>
      <c r="E7830" s="23">
        <v>0</v>
      </c>
      <c r="F7830" s="23">
        <v>0</v>
      </c>
      <c r="G7830" s="23">
        <v>0</v>
      </c>
      <c r="H7830" s="23">
        <v>0</v>
      </c>
      <c r="I7830" s="23">
        <v>1345.6</v>
      </c>
      <c r="J7830" s="23">
        <v>0</v>
      </c>
      <c r="K7830" s="23">
        <v>0</v>
      </c>
    </row>
    <row r="7831" spans="1:11" x14ac:dyDescent="0.25">
      <c r="A7831">
        <v>7830</v>
      </c>
      <c r="B7831" s="23">
        <v>1347.2</v>
      </c>
      <c r="C7831" s="23">
        <v>0</v>
      </c>
      <c r="D7831" s="23">
        <v>0</v>
      </c>
      <c r="E7831" s="23">
        <v>0</v>
      </c>
      <c r="F7831" s="23">
        <v>0</v>
      </c>
      <c r="G7831" s="23">
        <v>0</v>
      </c>
      <c r="H7831" s="23">
        <v>0</v>
      </c>
      <c r="I7831" s="23">
        <v>1230.3389999999999</v>
      </c>
      <c r="J7831" s="23">
        <v>0</v>
      </c>
      <c r="K7831" s="23">
        <v>116.861</v>
      </c>
    </row>
    <row r="7832" spans="1:11" x14ac:dyDescent="0.25">
      <c r="A7832">
        <v>7831</v>
      </c>
      <c r="B7832" s="23">
        <v>1080.9570000000001</v>
      </c>
      <c r="C7832" s="23">
        <v>108.86</v>
      </c>
      <c r="D7832" s="23">
        <v>349.66500000000002</v>
      </c>
      <c r="E7832" s="23">
        <v>349.66500000000002</v>
      </c>
      <c r="F7832" s="23">
        <v>0</v>
      </c>
      <c r="G7832" s="23">
        <v>0</v>
      </c>
      <c r="H7832" s="23">
        <v>0</v>
      </c>
      <c r="I7832" s="23">
        <v>0</v>
      </c>
      <c r="J7832" s="23">
        <v>0</v>
      </c>
      <c r="K7832" s="23">
        <v>731.29200000000003</v>
      </c>
    </row>
    <row r="7833" spans="1:11" x14ac:dyDescent="0.25">
      <c r="A7833">
        <v>7832</v>
      </c>
      <c r="B7833" s="23">
        <v>1190.482</v>
      </c>
      <c r="C7833" s="23">
        <v>356.7</v>
      </c>
      <c r="D7833" s="23">
        <v>1407.7260000000001</v>
      </c>
      <c r="E7833" s="23">
        <v>1190.482</v>
      </c>
      <c r="F7833" s="23">
        <v>-217.244</v>
      </c>
      <c r="G7833" s="23">
        <v>0</v>
      </c>
      <c r="H7833" s="23">
        <v>0</v>
      </c>
      <c r="I7833" s="23">
        <v>0</v>
      </c>
      <c r="J7833" s="23">
        <v>0</v>
      </c>
      <c r="K7833" s="23">
        <v>0</v>
      </c>
    </row>
    <row r="7834" spans="1:11" x14ac:dyDescent="0.25">
      <c r="A7834">
        <v>7833</v>
      </c>
      <c r="B7834" s="23">
        <v>1061.0940000000001</v>
      </c>
      <c r="C7834" s="23">
        <v>591.64</v>
      </c>
      <c r="D7834" s="23">
        <v>2309.6170000000002</v>
      </c>
      <c r="E7834" s="23">
        <v>1061.0940000000001</v>
      </c>
      <c r="F7834" s="23">
        <v>-1248.5229999999999</v>
      </c>
      <c r="G7834" s="23">
        <v>0</v>
      </c>
      <c r="H7834" s="23">
        <v>0</v>
      </c>
      <c r="I7834" s="23">
        <v>0</v>
      </c>
      <c r="J7834" s="23">
        <v>0</v>
      </c>
      <c r="K7834" s="23">
        <v>0</v>
      </c>
    </row>
    <row r="7835" spans="1:11" x14ac:dyDescent="0.25">
      <c r="A7835">
        <v>7834</v>
      </c>
      <c r="B7835" s="23">
        <v>1659.7049999999999</v>
      </c>
      <c r="C7835" s="23">
        <v>785.14</v>
      </c>
      <c r="D7835" s="23">
        <v>2941.172</v>
      </c>
      <c r="E7835" s="23">
        <v>1659.7049999999999</v>
      </c>
      <c r="F7835" s="23">
        <v>-1281.4670000000001</v>
      </c>
      <c r="G7835" s="23">
        <v>0</v>
      </c>
      <c r="H7835" s="23">
        <v>0</v>
      </c>
      <c r="I7835" s="23">
        <v>0</v>
      </c>
      <c r="J7835" s="23">
        <v>0</v>
      </c>
      <c r="K7835" s="23">
        <v>0</v>
      </c>
    </row>
    <row r="7836" spans="1:11" x14ac:dyDescent="0.25">
      <c r="A7836">
        <v>7835</v>
      </c>
      <c r="B7836" s="23">
        <v>1735.038</v>
      </c>
      <c r="C7836" s="23">
        <v>912.36</v>
      </c>
      <c r="D7836" s="23">
        <v>3321.6410000000001</v>
      </c>
      <c r="E7836" s="23">
        <v>1735.038</v>
      </c>
      <c r="F7836" s="23">
        <v>-1586.6030000000001</v>
      </c>
      <c r="G7836" s="23">
        <v>0</v>
      </c>
      <c r="H7836" s="23">
        <v>0</v>
      </c>
      <c r="I7836" s="23">
        <v>0</v>
      </c>
      <c r="J7836" s="23">
        <v>0</v>
      </c>
      <c r="K7836" s="23">
        <v>0</v>
      </c>
    </row>
    <row r="7837" spans="1:11" x14ac:dyDescent="0.25">
      <c r="A7837">
        <v>7836</v>
      </c>
      <c r="B7837" s="23">
        <v>1837.2929999999999</v>
      </c>
      <c r="C7837" s="23">
        <v>919.47</v>
      </c>
      <c r="D7837" s="23">
        <v>3330.8359999999998</v>
      </c>
      <c r="E7837" s="23">
        <v>1837.2929999999999</v>
      </c>
      <c r="F7837" s="23">
        <v>-1493.5429999999999</v>
      </c>
      <c r="G7837" s="23">
        <v>0</v>
      </c>
      <c r="H7837" s="23">
        <v>0</v>
      </c>
      <c r="I7837" s="23">
        <v>0</v>
      </c>
      <c r="J7837" s="23">
        <v>0</v>
      </c>
      <c r="K7837" s="23">
        <v>0</v>
      </c>
    </row>
    <row r="7838" spans="1:11" x14ac:dyDescent="0.25">
      <c r="A7838">
        <v>7837</v>
      </c>
      <c r="B7838" s="23">
        <v>1536.8040000000001</v>
      </c>
      <c r="C7838" s="23">
        <v>581.86</v>
      </c>
      <c r="D7838" s="23">
        <v>2178.3490000000002</v>
      </c>
      <c r="E7838" s="23">
        <v>1536.8040000000001</v>
      </c>
      <c r="F7838" s="23">
        <v>-641.54499999999996</v>
      </c>
      <c r="G7838" s="23">
        <v>0</v>
      </c>
      <c r="H7838" s="23">
        <v>0</v>
      </c>
      <c r="I7838" s="23">
        <v>0</v>
      </c>
      <c r="J7838" s="23">
        <v>0</v>
      </c>
      <c r="K7838" s="23">
        <v>0</v>
      </c>
    </row>
    <row r="7839" spans="1:11" x14ac:dyDescent="0.25">
      <c r="A7839">
        <v>7838</v>
      </c>
      <c r="B7839" s="23">
        <v>1437.913</v>
      </c>
      <c r="C7839" s="23">
        <v>239.86</v>
      </c>
      <c r="D7839" s="23">
        <v>903.50699999999995</v>
      </c>
      <c r="E7839" s="23">
        <v>903.50699999999995</v>
      </c>
      <c r="F7839" s="23">
        <v>0</v>
      </c>
      <c r="G7839" s="23">
        <v>0</v>
      </c>
      <c r="H7839" s="23">
        <v>0</v>
      </c>
      <c r="I7839" s="23">
        <v>534.40599999999995</v>
      </c>
      <c r="J7839" s="23">
        <v>0</v>
      </c>
      <c r="K7839" s="23">
        <v>0</v>
      </c>
    </row>
    <row r="7840" spans="1:11" x14ac:dyDescent="0.25">
      <c r="A7840">
        <v>7839</v>
      </c>
      <c r="B7840" s="23">
        <v>1704.9690000000001</v>
      </c>
      <c r="C7840" s="23">
        <v>391.2</v>
      </c>
      <c r="D7840" s="23">
        <v>1505.194</v>
      </c>
      <c r="E7840" s="23">
        <v>1505.194</v>
      </c>
      <c r="F7840" s="23">
        <v>0</v>
      </c>
      <c r="G7840" s="23">
        <v>0</v>
      </c>
      <c r="H7840" s="23">
        <v>0</v>
      </c>
      <c r="I7840" s="23">
        <v>199.77500000000001</v>
      </c>
      <c r="J7840" s="23">
        <v>0</v>
      </c>
      <c r="K7840" s="23">
        <v>0</v>
      </c>
    </row>
    <row r="7841" spans="1:11" x14ac:dyDescent="0.25">
      <c r="A7841">
        <v>7840</v>
      </c>
      <c r="B7841" s="23">
        <v>1445.7529999999999</v>
      </c>
      <c r="C7841" s="23">
        <v>176.08</v>
      </c>
      <c r="D7841" s="23">
        <v>676.07399999999996</v>
      </c>
      <c r="E7841" s="23">
        <v>676.07399999999996</v>
      </c>
      <c r="F7841" s="23">
        <v>0</v>
      </c>
      <c r="G7841" s="23">
        <v>0</v>
      </c>
      <c r="H7841" s="23">
        <v>0</v>
      </c>
      <c r="I7841" s="23">
        <v>769.67899999999997</v>
      </c>
      <c r="J7841" s="23">
        <v>0</v>
      </c>
      <c r="K7841" s="23">
        <v>0</v>
      </c>
    </row>
    <row r="7842" spans="1:11" x14ac:dyDescent="0.25">
      <c r="A7842">
        <v>7841</v>
      </c>
      <c r="B7842" s="23">
        <v>1513.3230000000001</v>
      </c>
      <c r="C7842" s="23">
        <v>98.64</v>
      </c>
      <c r="D7842" s="23">
        <v>348.40499999999997</v>
      </c>
      <c r="E7842" s="23">
        <v>348.40499999999997</v>
      </c>
      <c r="F7842" s="23">
        <v>0</v>
      </c>
      <c r="G7842" s="23">
        <v>0</v>
      </c>
      <c r="H7842" s="23">
        <v>0</v>
      </c>
      <c r="I7842" s="23">
        <v>1164.9179999999999</v>
      </c>
      <c r="J7842" s="23">
        <v>0</v>
      </c>
      <c r="K7842" s="23">
        <v>0</v>
      </c>
    </row>
    <row r="7843" spans="1:11" x14ac:dyDescent="0.25">
      <c r="A7843">
        <v>7842</v>
      </c>
      <c r="B7843" s="23">
        <v>1805.6980000000001</v>
      </c>
      <c r="C7843" s="23">
        <v>0.98</v>
      </c>
      <c r="D7843" s="23">
        <v>0</v>
      </c>
      <c r="E7843" s="23">
        <v>0</v>
      </c>
      <c r="F7843" s="23">
        <v>0</v>
      </c>
      <c r="G7843" s="23">
        <v>0</v>
      </c>
      <c r="H7843" s="23">
        <v>0</v>
      </c>
      <c r="I7843" s="23">
        <v>1805.6980000000001</v>
      </c>
      <c r="J7843" s="23">
        <v>0</v>
      </c>
      <c r="K7843" s="23">
        <v>0</v>
      </c>
    </row>
    <row r="7844" spans="1:11" x14ac:dyDescent="0.25">
      <c r="A7844">
        <v>7843</v>
      </c>
      <c r="B7844" s="23">
        <v>1423.2</v>
      </c>
      <c r="C7844" s="23">
        <v>0</v>
      </c>
      <c r="D7844" s="23">
        <v>0</v>
      </c>
      <c r="E7844" s="23">
        <v>0</v>
      </c>
      <c r="F7844" s="23">
        <v>0</v>
      </c>
      <c r="G7844" s="23">
        <v>0</v>
      </c>
      <c r="H7844" s="23">
        <v>0</v>
      </c>
      <c r="I7844" s="23">
        <v>1423.2</v>
      </c>
      <c r="J7844" s="23">
        <v>0</v>
      </c>
      <c r="K7844" s="23">
        <v>0</v>
      </c>
    </row>
    <row r="7845" spans="1:11" x14ac:dyDescent="0.25">
      <c r="A7845">
        <v>7844</v>
      </c>
      <c r="B7845" s="23">
        <v>1600</v>
      </c>
      <c r="C7845" s="23">
        <v>0</v>
      </c>
      <c r="D7845" s="23">
        <v>0</v>
      </c>
      <c r="E7845" s="23">
        <v>0</v>
      </c>
      <c r="F7845" s="23">
        <v>0</v>
      </c>
      <c r="G7845" s="23">
        <v>0</v>
      </c>
      <c r="H7845" s="23">
        <v>0</v>
      </c>
      <c r="I7845" s="23">
        <v>1600</v>
      </c>
      <c r="J7845" s="23">
        <v>0</v>
      </c>
      <c r="K7845" s="23">
        <v>0</v>
      </c>
    </row>
    <row r="7846" spans="1:11" x14ac:dyDescent="0.25">
      <c r="A7846">
        <v>7845</v>
      </c>
      <c r="B7846" s="23">
        <v>1737.6</v>
      </c>
      <c r="C7846" s="23">
        <v>0</v>
      </c>
      <c r="D7846" s="23">
        <v>0</v>
      </c>
      <c r="E7846" s="23">
        <v>0</v>
      </c>
      <c r="F7846" s="23">
        <v>0</v>
      </c>
      <c r="G7846" s="23">
        <v>0</v>
      </c>
      <c r="H7846" s="23">
        <v>0</v>
      </c>
      <c r="I7846" s="23">
        <v>1737.6</v>
      </c>
      <c r="J7846" s="23">
        <v>0</v>
      </c>
      <c r="K7846" s="23">
        <v>0</v>
      </c>
    </row>
    <row r="7847" spans="1:11" x14ac:dyDescent="0.25">
      <c r="A7847">
        <v>7846</v>
      </c>
      <c r="B7847" s="23">
        <v>1408</v>
      </c>
      <c r="C7847" s="23">
        <v>0</v>
      </c>
      <c r="D7847" s="23">
        <v>0</v>
      </c>
      <c r="E7847" s="23">
        <v>0</v>
      </c>
      <c r="F7847" s="23">
        <v>0</v>
      </c>
      <c r="G7847" s="23">
        <v>0</v>
      </c>
      <c r="H7847" s="23">
        <v>0</v>
      </c>
      <c r="I7847" s="23">
        <v>50.97</v>
      </c>
      <c r="J7847" s="23">
        <v>0</v>
      </c>
      <c r="K7847" s="23">
        <v>1357.03</v>
      </c>
    </row>
    <row r="7848" spans="1:11" x14ac:dyDescent="0.25">
      <c r="A7848">
        <v>7847</v>
      </c>
      <c r="B7848" s="23">
        <v>1577.6</v>
      </c>
      <c r="C7848" s="23">
        <v>0</v>
      </c>
      <c r="D7848" s="23">
        <v>0</v>
      </c>
      <c r="E7848" s="23">
        <v>0</v>
      </c>
      <c r="F7848" s="23">
        <v>0</v>
      </c>
      <c r="G7848" s="23">
        <v>0</v>
      </c>
      <c r="H7848" s="23">
        <v>0</v>
      </c>
      <c r="I7848" s="23">
        <v>0</v>
      </c>
      <c r="J7848" s="23">
        <v>0</v>
      </c>
      <c r="K7848" s="23">
        <v>1577.6</v>
      </c>
    </row>
    <row r="7849" spans="1:11" x14ac:dyDescent="0.25">
      <c r="A7849">
        <v>7848</v>
      </c>
      <c r="B7849" s="23">
        <v>1420.8</v>
      </c>
      <c r="C7849" s="23">
        <v>0</v>
      </c>
      <c r="D7849" s="23">
        <v>0</v>
      </c>
      <c r="E7849" s="23">
        <v>0</v>
      </c>
      <c r="F7849" s="23">
        <v>0</v>
      </c>
      <c r="G7849" s="23">
        <v>0</v>
      </c>
      <c r="H7849" s="23">
        <v>0</v>
      </c>
      <c r="I7849" s="23">
        <v>0</v>
      </c>
      <c r="J7849" s="23">
        <v>0</v>
      </c>
      <c r="K7849" s="23">
        <v>1420.8</v>
      </c>
    </row>
    <row r="7850" spans="1:11" x14ac:dyDescent="0.25">
      <c r="A7850">
        <v>7849</v>
      </c>
      <c r="B7850" s="23">
        <v>1040</v>
      </c>
      <c r="C7850" s="23">
        <v>0</v>
      </c>
      <c r="D7850" s="23">
        <v>0</v>
      </c>
      <c r="E7850" s="23">
        <v>0</v>
      </c>
      <c r="F7850" s="23">
        <v>0</v>
      </c>
      <c r="G7850" s="23">
        <v>0</v>
      </c>
      <c r="H7850" s="23">
        <v>0</v>
      </c>
      <c r="I7850" s="23">
        <v>1040</v>
      </c>
      <c r="J7850" s="23">
        <v>0</v>
      </c>
      <c r="K7850" s="23">
        <v>0</v>
      </c>
    </row>
    <row r="7851" spans="1:11" x14ac:dyDescent="0.25">
      <c r="A7851">
        <v>7850</v>
      </c>
      <c r="B7851" s="23">
        <v>1061.5999999999999</v>
      </c>
      <c r="C7851" s="23">
        <v>0</v>
      </c>
      <c r="D7851" s="23">
        <v>0</v>
      </c>
      <c r="E7851" s="23">
        <v>0</v>
      </c>
      <c r="F7851" s="23">
        <v>0</v>
      </c>
      <c r="G7851" s="23">
        <v>0</v>
      </c>
      <c r="H7851" s="23">
        <v>0</v>
      </c>
      <c r="I7851" s="23">
        <v>1061.5999999999999</v>
      </c>
      <c r="J7851" s="23">
        <v>0</v>
      </c>
      <c r="K7851" s="23">
        <v>0</v>
      </c>
    </row>
    <row r="7852" spans="1:11" x14ac:dyDescent="0.25">
      <c r="A7852">
        <v>7851</v>
      </c>
      <c r="B7852" s="23">
        <v>848</v>
      </c>
      <c r="C7852" s="23">
        <v>0</v>
      </c>
      <c r="D7852" s="23">
        <v>0</v>
      </c>
      <c r="E7852" s="23">
        <v>0</v>
      </c>
      <c r="F7852" s="23">
        <v>0</v>
      </c>
      <c r="G7852" s="23">
        <v>0</v>
      </c>
      <c r="H7852" s="23">
        <v>0</v>
      </c>
      <c r="I7852" s="23">
        <v>848</v>
      </c>
      <c r="J7852" s="23">
        <v>0</v>
      </c>
      <c r="K7852" s="23">
        <v>0</v>
      </c>
    </row>
    <row r="7853" spans="1:11" x14ac:dyDescent="0.25">
      <c r="A7853">
        <v>7852</v>
      </c>
      <c r="B7853" s="23">
        <v>1101.5999999999999</v>
      </c>
      <c r="C7853" s="23">
        <v>0</v>
      </c>
      <c r="D7853" s="23">
        <v>0</v>
      </c>
      <c r="E7853" s="23">
        <v>0</v>
      </c>
      <c r="F7853" s="23">
        <v>0</v>
      </c>
      <c r="G7853" s="23">
        <v>0</v>
      </c>
      <c r="H7853" s="23">
        <v>0</v>
      </c>
      <c r="I7853" s="23">
        <v>1101.5999999999999</v>
      </c>
      <c r="J7853" s="23">
        <v>0</v>
      </c>
      <c r="K7853" s="23">
        <v>0</v>
      </c>
    </row>
    <row r="7854" spans="1:11" x14ac:dyDescent="0.25">
      <c r="A7854">
        <v>7853</v>
      </c>
      <c r="B7854" s="23">
        <v>727.2</v>
      </c>
      <c r="C7854" s="23">
        <v>0</v>
      </c>
      <c r="D7854" s="23">
        <v>0</v>
      </c>
      <c r="E7854" s="23">
        <v>0</v>
      </c>
      <c r="F7854" s="23">
        <v>0</v>
      </c>
      <c r="G7854" s="23">
        <v>0</v>
      </c>
      <c r="H7854" s="23">
        <v>0</v>
      </c>
      <c r="I7854" s="23">
        <v>0</v>
      </c>
      <c r="J7854" s="23">
        <v>0</v>
      </c>
      <c r="K7854" s="23">
        <v>727.2</v>
      </c>
    </row>
    <row r="7855" spans="1:11" x14ac:dyDescent="0.25">
      <c r="A7855">
        <v>7854</v>
      </c>
      <c r="B7855" s="23">
        <v>904</v>
      </c>
      <c r="C7855" s="23">
        <v>0</v>
      </c>
      <c r="D7855" s="23">
        <v>0</v>
      </c>
      <c r="E7855" s="23">
        <v>0</v>
      </c>
      <c r="F7855" s="23">
        <v>0</v>
      </c>
      <c r="G7855" s="23">
        <v>0</v>
      </c>
      <c r="H7855" s="23">
        <v>0</v>
      </c>
      <c r="I7855" s="23">
        <v>0</v>
      </c>
      <c r="J7855" s="23">
        <v>0</v>
      </c>
      <c r="K7855" s="23">
        <v>904</v>
      </c>
    </row>
    <row r="7856" spans="1:11" x14ac:dyDescent="0.25">
      <c r="A7856">
        <v>7855</v>
      </c>
      <c r="B7856" s="23">
        <v>917.90099999999995</v>
      </c>
      <c r="C7856" s="23">
        <v>110.21</v>
      </c>
      <c r="D7856" s="23">
        <v>352.68200000000002</v>
      </c>
      <c r="E7856" s="23">
        <v>352.68200000000002</v>
      </c>
      <c r="F7856" s="23">
        <v>0</v>
      </c>
      <c r="G7856" s="23">
        <v>0</v>
      </c>
      <c r="H7856" s="23">
        <v>0</v>
      </c>
      <c r="I7856" s="23">
        <v>0</v>
      </c>
      <c r="J7856" s="23">
        <v>0</v>
      </c>
      <c r="K7856" s="23">
        <v>565.21900000000005</v>
      </c>
    </row>
    <row r="7857" spans="1:11" x14ac:dyDescent="0.25">
      <c r="A7857">
        <v>7856</v>
      </c>
      <c r="B7857" s="23">
        <v>910.899</v>
      </c>
      <c r="C7857" s="23">
        <v>277.58</v>
      </c>
      <c r="D7857" s="23">
        <v>1109.3</v>
      </c>
      <c r="E7857" s="23">
        <v>910.899</v>
      </c>
      <c r="F7857" s="23">
        <v>-198.40100000000001</v>
      </c>
      <c r="G7857" s="23">
        <v>0</v>
      </c>
      <c r="H7857" s="23">
        <v>0</v>
      </c>
      <c r="I7857" s="23">
        <v>0</v>
      </c>
      <c r="J7857" s="23">
        <v>0</v>
      </c>
      <c r="K7857" s="23">
        <v>0</v>
      </c>
    </row>
    <row r="7858" spans="1:11" x14ac:dyDescent="0.25">
      <c r="A7858">
        <v>7857</v>
      </c>
      <c r="B7858" s="23">
        <v>920.17</v>
      </c>
      <c r="C7858" s="23">
        <v>488.17</v>
      </c>
      <c r="D7858" s="23">
        <v>1947.2439999999999</v>
      </c>
      <c r="E7858" s="23">
        <v>920.17</v>
      </c>
      <c r="F7858" s="23">
        <v>-1027.0740000000001</v>
      </c>
      <c r="G7858" s="23">
        <v>0</v>
      </c>
      <c r="H7858" s="23">
        <v>0</v>
      </c>
      <c r="I7858" s="23">
        <v>0</v>
      </c>
      <c r="J7858" s="23">
        <v>0</v>
      </c>
      <c r="K7858" s="23">
        <v>0</v>
      </c>
    </row>
    <row r="7859" spans="1:11" x14ac:dyDescent="0.25">
      <c r="A7859">
        <v>7858</v>
      </c>
      <c r="B7859" s="23">
        <v>1061.386</v>
      </c>
      <c r="C7859" s="23">
        <v>662.69</v>
      </c>
      <c r="D7859" s="23">
        <v>2574.0929999999998</v>
      </c>
      <c r="E7859" s="23">
        <v>1061.386</v>
      </c>
      <c r="F7859" s="23">
        <v>-1512.7070000000001</v>
      </c>
      <c r="G7859" s="23">
        <v>0</v>
      </c>
      <c r="H7859" s="23">
        <v>0</v>
      </c>
      <c r="I7859" s="23">
        <v>0</v>
      </c>
      <c r="J7859" s="23">
        <v>0</v>
      </c>
      <c r="K7859" s="23">
        <v>0</v>
      </c>
    </row>
    <row r="7860" spans="1:11" x14ac:dyDescent="0.25">
      <c r="A7860">
        <v>7859</v>
      </c>
      <c r="B7860" s="23">
        <v>1019.092</v>
      </c>
      <c r="C7860" s="23">
        <v>795.05</v>
      </c>
      <c r="D7860" s="23">
        <v>3026.944</v>
      </c>
      <c r="E7860" s="23">
        <v>1019.092</v>
      </c>
      <c r="F7860" s="23">
        <v>-1684.559</v>
      </c>
      <c r="G7860" s="23">
        <v>0</v>
      </c>
      <c r="H7860" s="23">
        <v>323.29300000000001</v>
      </c>
      <c r="I7860" s="23">
        <v>0</v>
      </c>
      <c r="J7860" s="23">
        <v>0</v>
      </c>
      <c r="K7860" s="23">
        <v>0</v>
      </c>
    </row>
    <row r="7861" spans="1:11" x14ac:dyDescent="0.25">
      <c r="A7861">
        <v>7860</v>
      </c>
      <c r="B7861" s="23">
        <v>991.06799999999998</v>
      </c>
      <c r="C7861" s="23">
        <v>526.17999999999995</v>
      </c>
      <c r="D7861" s="23">
        <v>2012.6469999999999</v>
      </c>
      <c r="E7861" s="23">
        <v>991.06799999999998</v>
      </c>
      <c r="F7861" s="23">
        <v>-1021.579</v>
      </c>
      <c r="G7861" s="23">
        <v>0</v>
      </c>
      <c r="H7861" s="23">
        <v>0</v>
      </c>
      <c r="I7861" s="23">
        <v>0</v>
      </c>
      <c r="J7861" s="23">
        <v>0</v>
      </c>
      <c r="K7861" s="23">
        <v>0</v>
      </c>
    </row>
    <row r="7862" spans="1:11" x14ac:dyDescent="0.25">
      <c r="A7862">
        <v>7861</v>
      </c>
      <c r="B7862" s="23">
        <v>1143.278</v>
      </c>
      <c r="C7862" s="23">
        <v>568.94000000000005</v>
      </c>
      <c r="D7862" s="23">
        <v>2170.4459999999999</v>
      </c>
      <c r="E7862" s="23">
        <v>1143.278</v>
      </c>
      <c r="F7862" s="23">
        <v>-1027.1679999999999</v>
      </c>
      <c r="G7862" s="23">
        <v>0</v>
      </c>
      <c r="H7862" s="23">
        <v>0</v>
      </c>
      <c r="I7862" s="23">
        <v>0</v>
      </c>
      <c r="J7862" s="23">
        <v>0</v>
      </c>
      <c r="K7862" s="23">
        <v>0</v>
      </c>
    </row>
    <row r="7863" spans="1:11" x14ac:dyDescent="0.25">
      <c r="A7863">
        <v>7862</v>
      </c>
      <c r="B7863" s="23">
        <v>1101.732</v>
      </c>
      <c r="C7863" s="23">
        <v>603.96</v>
      </c>
      <c r="D7863" s="23">
        <v>2320.248</v>
      </c>
      <c r="E7863" s="23">
        <v>1101.7329999999999</v>
      </c>
      <c r="F7863" s="23">
        <v>-820.01</v>
      </c>
      <c r="G7863" s="23">
        <v>0</v>
      </c>
      <c r="H7863" s="23">
        <v>398.505</v>
      </c>
      <c r="I7863" s="23">
        <v>0</v>
      </c>
      <c r="J7863" s="23">
        <v>0</v>
      </c>
      <c r="K7863" s="23">
        <v>0</v>
      </c>
    </row>
    <row r="7864" spans="1:11" x14ac:dyDescent="0.25">
      <c r="A7864">
        <v>7863</v>
      </c>
      <c r="B7864" s="23">
        <v>1117.1320000000001</v>
      </c>
      <c r="C7864" s="23">
        <v>348.72</v>
      </c>
      <c r="D7864" s="23">
        <v>1352.8140000000001</v>
      </c>
      <c r="E7864" s="23">
        <v>1117.1320000000001</v>
      </c>
      <c r="F7864" s="23">
        <v>0</v>
      </c>
      <c r="G7864" s="23">
        <v>0</v>
      </c>
      <c r="H7864" s="23">
        <v>235.68199999999999</v>
      </c>
      <c r="I7864" s="23">
        <v>0</v>
      </c>
      <c r="J7864" s="23">
        <v>0</v>
      </c>
      <c r="K7864" s="23">
        <v>0</v>
      </c>
    </row>
    <row r="7865" spans="1:11" x14ac:dyDescent="0.25">
      <c r="A7865">
        <v>7864</v>
      </c>
      <c r="B7865" s="23">
        <v>520.63199999999995</v>
      </c>
      <c r="C7865" s="23">
        <v>232.91</v>
      </c>
      <c r="D7865" s="23">
        <v>908.57499999999993</v>
      </c>
      <c r="E7865" s="23">
        <v>520.63199999999995</v>
      </c>
      <c r="F7865" s="23">
        <v>0</v>
      </c>
      <c r="G7865" s="23">
        <v>0</v>
      </c>
      <c r="H7865" s="23">
        <v>387.94299999999998</v>
      </c>
      <c r="I7865" s="23">
        <v>0</v>
      </c>
      <c r="J7865" s="23">
        <v>0</v>
      </c>
      <c r="K7865" s="23">
        <v>0</v>
      </c>
    </row>
    <row r="7866" spans="1:11" x14ac:dyDescent="0.25">
      <c r="A7866">
        <v>7865</v>
      </c>
      <c r="B7866" s="23">
        <v>192.29599999999999</v>
      </c>
      <c r="C7866" s="23">
        <v>119.16</v>
      </c>
      <c r="D7866" s="23">
        <v>428.45299999999997</v>
      </c>
      <c r="E7866" s="23">
        <v>192.29599999999999</v>
      </c>
      <c r="F7866" s="23">
        <v>0</v>
      </c>
      <c r="G7866" s="23">
        <v>0</v>
      </c>
      <c r="H7866" s="23">
        <v>236.15700000000001</v>
      </c>
      <c r="I7866" s="23">
        <v>0</v>
      </c>
      <c r="J7866" s="23">
        <v>0</v>
      </c>
      <c r="K7866" s="23">
        <v>0</v>
      </c>
    </row>
    <row r="7867" spans="1:11" x14ac:dyDescent="0.25">
      <c r="A7867">
        <v>7866</v>
      </c>
      <c r="B7867" s="23">
        <v>257.18700000000001</v>
      </c>
      <c r="C7867" s="23">
        <v>1.96</v>
      </c>
      <c r="D7867" s="23">
        <v>0</v>
      </c>
      <c r="E7867" s="23">
        <v>0</v>
      </c>
      <c r="F7867" s="23">
        <v>0</v>
      </c>
      <c r="G7867" s="23">
        <v>0</v>
      </c>
      <c r="H7867" s="23">
        <v>0</v>
      </c>
      <c r="I7867" s="23">
        <v>0</v>
      </c>
      <c r="J7867" s="23">
        <v>0</v>
      </c>
      <c r="K7867" s="23">
        <v>257.18700000000001</v>
      </c>
    </row>
    <row r="7868" spans="1:11" x14ac:dyDescent="0.25">
      <c r="A7868">
        <v>7867</v>
      </c>
      <c r="B7868" s="23">
        <v>150.4</v>
      </c>
      <c r="C7868" s="23">
        <v>0</v>
      </c>
      <c r="D7868" s="23">
        <v>0</v>
      </c>
      <c r="E7868" s="23">
        <v>0</v>
      </c>
      <c r="F7868" s="23">
        <v>0</v>
      </c>
      <c r="G7868" s="23">
        <v>0</v>
      </c>
      <c r="H7868" s="23">
        <v>0</v>
      </c>
      <c r="I7868" s="23">
        <v>0</v>
      </c>
      <c r="J7868" s="23">
        <v>0</v>
      </c>
      <c r="K7868" s="23">
        <v>150.4</v>
      </c>
    </row>
    <row r="7869" spans="1:11" x14ac:dyDescent="0.25">
      <c r="A7869">
        <v>7868</v>
      </c>
      <c r="B7869" s="23">
        <v>158.4</v>
      </c>
      <c r="C7869" s="23">
        <v>0</v>
      </c>
      <c r="D7869" s="23">
        <v>0</v>
      </c>
      <c r="E7869" s="23">
        <v>0</v>
      </c>
      <c r="F7869" s="23">
        <v>0</v>
      </c>
      <c r="G7869" s="23">
        <v>0</v>
      </c>
      <c r="H7869" s="23">
        <v>0</v>
      </c>
      <c r="I7869" s="23">
        <v>0</v>
      </c>
      <c r="J7869" s="23">
        <v>0</v>
      </c>
      <c r="K7869" s="23">
        <v>158.4</v>
      </c>
    </row>
    <row r="7870" spans="1:11" x14ac:dyDescent="0.25">
      <c r="A7870">
        <v>7869</v>
      </c>
      <c r="B7870" s="23">
        <v>125.6</v>
      </c>
      <c r="C7870" s="23">
        <v>0</v>
      </c>
      <c r="D7870" s="23">
        <v>0</v>
      </c>
      <c r="E7870" s="23">
        <v>0</v>
      </c>
      <c r="F7870" s="23">
        <v>0</v>
      </c>
      <c r="G7870" s="23">
        <v>0</v>
      </c>
      <c r="H7870" s="23">
        <v>0</v>
      </c>
      <c r="I7870" s="23">
        <v>0</v>
      </c>
      <c r="J7870" s="23">
        <v>0</v>
      </c>
      <c r="K7870" s="23">
        <v>125.6</v>
      </c>
    </row>
    <row r="7871" spans="1:11" x14ac:dyDescent="0.25">
      <c r="A7871">
        <v>7870</v>
      </c>
      <c r="B7871" s="23">
        <v>120</v>
      </c>
      <c r="C7871" s="23">
        <v>0</v>
      </c>
      <c r="D7871" s="23">
        <v>0</v>
      </c>
      <c r="E7871" s="23">
        <v>0</v>
      </c>
      <c r="F7871" s="23">
        <v>0</v>
      </c>
      <c r="G7871" s="23">
        <v>0</v>
      </c>
      <c r="H7871" s="23">
        <v>0</v>
      </c>
      <c r="I7871" s="23">
        <v>0</v>
      </c>
      <c r="J7871" s="23">
        <v>0</v>
      </c>
      <c r="K7871" s="23">
        <v>120</v>
      </c>
    </row>
    <row r="7872" spans="1:11" x14ac:dyDescent="0.25">
      <c r="A7872">
        <v>7871</v>
      </c>
      <c r="B7872" s="23">
        <v>115.2</v>
      </c>
      <c r="C7872" s="23">
        <v>0</v>
      </c>
      <c r="D7872" s="23">
        <v>0</v>
      </c>
      <c r="E7872" s="23">
        <v>0</v>
      </c>
      <c r="F7872" s="23">
        <v>0</v>
      </c>
      <c r="G7872" s="23">
        <v>0</v>
      </c>
      <c r="H7872" s="23">
        <v>0</v>
      </c>
      <c r="I7872" s="23">
        <v>0</v>
      </c>
      <c r="J7872" s="23">
        <v>0</v>
      </c>
      <c r="K7872" s="23">
        <v>115.2</v>
      </c>
    </row>
    <row r="7873" spans="1:11" x14ac:dyDescent="0.25">
      <c r="A7873">
        <v>7872</v>
      </c>
      <c r="B7873" s="23">
        <v>116</v>
      </c>
      <c r="C7873" s="23">
        <v>0</v>
      </c>
      <c r="D7873" s="23">
        <v>0</v>
      </c>
      <c r="E7873" s="23">
        <v>0</v>
      </c>
      <c r="F7873" s="23">
        <v>0</v>
      </c>
      <c r="G7873" s="23">
        <v>0</v>
      </c>
      <c r="H7873" s="23">
        <v>0</v>
      </c>
      <c r="I7873" s="23">
        <v>0</v>
      </c>
      <c r="J7873" s="23">
        <v>0</v>
      </c>
      <c r="K7873" s="23">
        <v>116</v>
      </c>
    </row>
    <row r="7874" spans="1:11" x14ac:dyDescent="0.25">
      <c r="A7874">
        <v>7873</v>
      </c>
      <c r="B7874" s="23">
        <v>107.2</v>
      </c>
      <c r="C7874" s="23">
        <v>0</v>
      </c>
      <c r="D7874" s="23">
        <v>0</v>
      </c>
      <c r="E7874" s="23">
        <v>0</v>
      </c>
      <c r="F7874" s="23">
        <v>0</v>
      </c>
      <c r="G7874" s="23">
        <v>0</v>
      </c>
      <c r="H7874" s="23">
        <v>0</v>
      </c>
      <c r="I7874" s="23">
        <v>0</v>
      </c>
      <c r="J7874" s="23">
        <v>0</v>
      </c>
      <c r="K7874" s="23">
        <v>107.2</v>
      </c>
    </row>
    <row r="7875" spans="1:11" x14ac:dyDescent="0.25">
      <c r="A7875">
        <v>7874</v>
      </c>
      <c r="B7875" s="23">
        <v>117.6</v>
      </c>
      <c r="C7875" s="23">
        <v>0</v>
      </c>
      <c r="D7875" s="23">
        <v>0</v>
      </c>
      <c r="E7875" s="23">
        <v>0</v>
      </c>
      <c r="F7875" s="23">
        <v>0</v>
      </c>
      <c r="G7875" s="23">
        <v>0</v>
      </c>
      <c r="H7875" s="23">
        <v>0</v>
      </c>
      <c r="I7875" s="23">
        <v>0</v>
      </c>
      <c r="J7875" s="23">
        <v>0</v>
      </c>
      <c r="K7875" s="23">
        <v>117.6</v>
      </c>
    </row>
    <row r="7876" spans="1:11" x14ac:dyDescent="0.25">
      <c r="A7876">
        <v>7875</v>
      </c>
      <c r="B7876" s="23">
        <v>96.8</v>
      </c>
      <c r="C7876" s="23">
        <v>0</v>
      </c>
      <c r="D7876" s="23">
        <v>0</v>
      </c>
      <c r="E7876" s="23">
        <v>0</v>
      </c>
      <c r="F7876" s="23">
        <v>0</v>
      </c>
      <c r="G7876" s="23">
        <v>0</v>
      </c>
      <c r="H7876" s="23">
        <v>0</v>
      </c>
      <c r="I7876" s="23">
        <v>0</v>
      </c>
      <c r="J7876" s="23">
        <v>0</v>
      </c>
      <c r="K7876" s="23">
        <v>96.8</v>
      </c>
    </row>
    <row r="7877" spans="1:11" x14ac:dyDescent="0.25">
      <c r="A7877">
        <v>7876</v>
      </c>
      <c r="B7877" s="23">
        <v>103.2</v>
      </c>
      <c r="C7877" s="23">
        <v>0</v>
      </c>
      <c r="D7877" s="23">
        <v>0</v>
      </c>
      <c r="E7877" s="23">
        <v>0</v>
      </c>
      <c r="F7877" s="23">
        <v>0</v>
      </c>
      <c r="G7877" s="23">
        <v>0</v>
      </c>
      <c r="H7877" s="23">
        <v>0</v>
      </c>
      <c r="I7877" s="23">
        <v>0</v>
      </c>
      <c r="J7877" s="23">
        <v>0</v>
      </c>
      <c r="K7877" s="23">
        <v>103.2</v>
      </c>
    </row>
    <row r="7878" spans="1:11" x14ac:dyDescent="0.25">
      <c r="A7878">
        <v>7877</v>
      </c>
      <c r="B7878" s="23">
        <v>96.8</v>
      </c>
      <c r="C7878" s="23">
        <v>0</v>
      </c>
      <c r="D7878" s="23">
        <v>0</v>
      </c>
      <c r="E7878" s="23">
        <v>0</v>
      </c>
      <c r="F7878" s="23">
        <v>0</v>
      </c>
      <c r="G7878" s="23">
        <v>0</v>
      </c>
      <c r="H7878" s="23">
        <v>0</v>
      </c>
      <c r="I7878" s="23">
        <v>0</v>
      </c>
      <c r="J7878" s="23">
        <v>0</v>
      </c>
      <c r="K7878" s="23">
        <v>96.8</v>
      </c>
    </row>
    <row r="7879" spans="1:11" x14ac:dyDescent="0.25">
      <c r="A7879">
        <v>7878</v>
      </c>
      <c r="B7879" s="23">
        <v>101.6</v>
      </c>
      <c r="C7879" s="23">
        <v>0</v>
      </c>
      <c r="D7879" s="23">
        <v>0</v>
      </c>
      <c r="E7879" s="23">
        <v>0</v>
      </c>
      <c r="F7879" s="23">
        <v>0</v>
      </c>
      <c r="G7879" s="23">
        <v>0</v>
      </c>
      <c r="H7879" s="23">
        <v>0</v>
      </c>
      <c r="I7879" s="23">
        <v>0</v>
      </c>
      <c r="J7879" s="23">
        <v>0</v>
      </c>
      <c r="K7879" s="23">
        <v>101.6</v>
      </c>
    </row>
    <row r="7880" spans="1:11" x14ac:dyDescent="0.25">
      <c r="A7880">
        <v>7879</v>
      </c>
      <c r="B7880" s="23">
        <v>87.682000000000002</v>
      </c>
      <c r="C7880" s="23">
        <v>65.930000000000007</v>
      </c>
      <c r="D7880" s="23">
        <v>217.70099999999999</v>
      </c>
      <c r="E7880" s="23">
        <v>87.682000000000002</v>
      </c>
      <c r="F7880" s="23">
        <v>-130.01900000000001</v>
      </c>
      <c r="G7880" s="23">
        <v>0</v>
      </c>
      <c r="H7880" s="23">
        <v>0</v>
      </c>
      <c r="I7880" s="23">
        <v>0</v>
      </c>
      <c r="J7880" s="23">
        <v>0</v>
      </c>
      <c r="K7880" s="23">
        <v>0</v>
      </c>
    </row>
    <row r="7881" spans="1:11" x14ac:dyDescent="0.25">
      <c r="A7881">
        <v>7880</v>
      </c>
      <c r="B7881" s="23">
        <v>158.37200000000001</v>
      </c>
      <c r="C7881" s="23">
        <v>268.55</v>
      </c>
      <c r="D7881" s="23">
        <v>1070.914</v>
      </c>
      <c r="E7881" s="23">
        <v>158.37200000000001</v>
      </c>
      <c r="F7881" s="23">
        <v>-912.54200000000003</v>
      </c>
      <c r="G7881" s="23">
        <v>0</v>
      </c>
      <c r="H7881" s="23">
        <v>0</v>
      </c>
      <c r="I7881" s="23">
        <v>0</v>
      </c>
      <c r="J7881" s="23">
        <v>0</v>
      </c>
      <c r="K7881" s="23">
        <v>0</v>
      </c>
    </row>
    <row r="7882" spans="1:11" x14ac:dyDescent="0.25">
      <c r="A7882">
        <v>7881</v>
      </c>
      <c r="B7882" s="23">
        <v>720.37599999999998</v>
      </c>
      <c r="C7882" s="23">
        <v>495.91</v>
      </c>
      <c r="D7882" s="23">
        <v>1967.85</v>
      </c>
      <c r="E7882" s="23">
        <v>720.37599999999998</v>
      </c>
      <c r="F7882" s="23">
        <v>-811.50300000000004</v>
      </c>
      <c r="G7882" s="23">
        <v>0</v>
      </c>
      <c r="H7882" s="23">
        <v>435.971</v>
      </c>
      <c r="I7882" s="23">
        <v>0</v>
      </c>
      <c r="J7882" s="23">
        <v>0</v>
      </c>
      <c r="K7882" s="23">
        <v>0</v>
      </c>
    </row>
    <row r="7883" spans="1:11" x14ac:dyDescent="0.25">
      <c r="A7883">
        <v>7882</v>
      </c>
      <c r="B7883" s="23">
        <v>958.60900000000004</v>
      </c>
      <c r="C7883" s="23">
        <v>763.61</v>
      </c>
      <c r="D7883" s="23">
        <v>2947.107</v>
      </c>
      <c r="E7883" s="23">
        <v>958.60900000000004</v>
      </c>
      <c r="F7883" s="23">
        <v>0</v>
      </c>
      <c r="G7883" s="23">
        <v>0</v>
      </c>
      <c r="H7883" s="23">
        <v>1988.498</v>
      </c>
      <c r="I7883" s="23">
        <v>0</v>
      </c>
      <c r="J7883" s="23">
        <v>0</v>
      </c>
      <c r="K7883" s="23">
        <v>0</v>
      </c>
    </row>
    <row r="7884" spans="1:11" x14ac:dyDescent="0.25">
      <c r="A7884">
        <v>7883</v>
      </c>
      <c r="B7884" s="23">
        <v>1110.7080000000001</v>
      </c>
      <c r="C7884" s="23">
        <v>835.07</v>
      </c>
      <c r="D7884" s="23">
        <v>3165.598</v>
      </c>
      <c r="E7884" s="23">
        <v>1110.7080000000001</v>
      </c>
      <c r="F7884" s="23">
        <v>0</v>
      </c>
      <c r="G7884" s="23">
        <v>0</v>
      </c>
      <c r="H7884" s="23">
        <v>2054.89</v>
      </c>
      <c r="I7884" s="23">
        <v>0</v>
      </c>
      <c r="J7884" s="23">
        <v>0</v>
      </c>
      <c r="K7884" s="23">
        <v>0</v>
      </c>
    </row>
    <row r="7885" spans="1:11" x14ac:dyDescent="0.25">
      <c r="A7885">
        <v>7884</v>
      </c>
      <c r="B7885" s="23">
        <v>1168.124</v>
      </c>
      <c r="C7885" s="23">
        <v>777.04</v>
      </c>
      <c r="D7885" s="23">
        <v>2938.2640000000001</v>
      </c>
      <c r="E7885" s="23">
        <v>1168.124</v>
      </c>
      <c r="F7885" s="23">
        <v>0</v>
      </c>
      <c r="G7885" s="23">
        <v>0</v>
      </c>
      <c r="H7885" s="23">
        <v>1770.14</v>
      </c>
      <c r="I7885" s="23">
        <v>0</v>
      </c>
      <c r="J7885" s="23">
        <v>0</v>
      </c>
      <c r="K7885" s="23">
        <v>0</v>
      </c>
    </row>
    <row r="7886" spans="1:11" x14ac:dyDescent="0.25">
      <c r="A7886">
        <v>7885</v>
      </c>
      <c r="B7886" s="23">
        <v>1171.326</v>
      </c>
      <c r="C7886" s="23">
        <v>739.34</v>
      </c>
      <c r="D7886" s="23">
        <v>2801.8980000000001</v>
      </c>
      <c r="E7886" s="23">
        <v>1171.326</v>
      </c>
      <c r="F7886" s="23">
        <v>0</v>
      </c>
      <c r="G7886" s="23">
        <v>0</v>
      </c>
      <c r="H7886" s="23">
        <v>1630.5719999999999</v>
      </c>
      <c r="I7886" s="23">
        <v>0</v>
      </c>
      <c r="J7886" s="23">
        <v>0</v>
      </c>
      <c r="K7886" s="23">
        <v>0</v>
      </c>
    </row>
    <row r="7887" spans="1:11" x14ac:dyDescent="0.25">
      <c r="A7887">
        <v>7886</v>
      </c>
      <c r="B7887" s="23">
        <v>1171.3489999999999</v>
      </c>
      <c r="C7887" s="23">
        <v>656.01</v>
      </c>
      <c r="D7887" s="23">
        <v>2515.6790000000001</v>
      </c>
      <c r="E7887" s="23">
        <v>1171.3489999999999</v>
      </c>
      <c r="F7887" s="23">
        <v>0</v>
      </c>
      <c r="G7887" s="23">
        <v>0</v>
      </c>
      <c r="H7887" s="23">
        <v>1344.33</v>
      </c>
      <c r="I7887" s="23">
        <v>0</v>
      </c>
      <c r="J7887" s="23">
        <v>0</v>
      </c>
      <c r="K7887" s="23">
        <v>0</v>
      </c>
    </row>
    <row r="7888" spans="1:11" x14ac:dyDescent="0.25">
      <c r="A7888">
        <v>7887</v>
      </c>
      <c r="B7888" s="23">
        <v>1266.4649999999999</v>
      </c>
      <c r="C7888" s="23">
        <v>542.99</v>
      </c>
      <c r="D7888" s="23">
        <v>2116.712</v>
      </c>
      <c r="E7888" s="23">
        <v>1266.4649999999999</v>
      </c>
      <c r="F7888" s="23">
        <v>0</v>
      </c>
      <c r="G7888" s="23">
        <v>0</v>
      </c>
      <c r="H7888" s="23">
        <v>850.24699999999996</v>
      </c>
      <c r="I7888" s="23">
        <v>0</v>
      </c>
      <c r="J7888" s="23">
        <v>0</v>
      </c>
      <c r="K7888" s="23">
        <v>0</v>
      </c>
    </row>
    <row r="7889" spans="1:11" x14ac:dyDescent="0.25">
      <c r="A7889">
        <v>7888</v>
      </c>
      <c r="B7889" s="23">
        <v>1231.431</v>
      </c>
      <c r="C7889" s="23">
        <v>392.08</v>
      </c>
      <c r="D7889" s="23">
        <v>1556.2270000000001</v>
      </c>
      <c r="E7889" s="23">
        <v>1231.431</v>
      </c>
      <c r="F7889" s="23">
        <v>0</v>
      </c>
      <c r="G7889" s="23">
        <v>0</v>
      </c>
      <c r="H7889" s="23">
        <v>324.79599999999999</v>
      </c>
      <c r="I7889" s="23">
        <v>0</v>
      </c>
      <c r="J7889" s="23">
        <v>0</v>
      </c>
      <c r="K7889" s="23">
        <v>0</v>
      </c>
    </row>
    <row r="7890" spans="1:11" x14ac:dyDescent="0.25">
      <c r="A7890">
        <v>7889</v>
      </c>
      <c r="B7890" s="23">
        <v>1227.8969999999999</v>
      </c>
      <c r="C7890" s="23">
        <v>143.34</v>
      </c>
      <c r="D7890" s="23">
        <v>515.42899999999997</v>
      </c>
      <c r="E7890" s="23">
        <v>515.42899999999997</v>
      </c>
      <c r="F7890" s="23">
        <v>0</v>
      </c>
      <c r="G7890" s="23">
        <v>0</v>
      </c>
      <c r="H7890" s="23">
        <v>0</v>
      </c>
      <c r="I7890" s="23">
        <v>712.46799999999996</v>
      </c>
      <c r="J7890" s="23">
        <v>0</v>
      </c>
      <c r="K7890" s="23">
        <v>0</v>
      </c>
    </row>
    <row r="7891" spans="1:11" x14ac:dyDescent="0.25">
      <c r="A7891">
        <v>7890</v>
      </c>
      <c r="B7891" s="23">
        <v>1118.58</v>
      </c>
      <c r="C7891" s="23">
        <v>1.96</v>
      </c>
      <c r="D7891" s="23">
        <v>0</v>
      </c>
      <c r="E7891" s="23">
        <v>0</v>
      </c>
      <c r="F7891" s="23">
        <v>0</v>
      </c>
      <c r="G7891" s="23">
        <v>0</v>
      </c>
      <c r="H7891" s="23">
        <v>0</v>
      </c>
      <c r="I7891" s="23">
        <v>0</v>
      </c>
      <c r="J7891" s="23">
        <v>0</v>
      </c>
      <c r="K7891" s="23">
        <v>1118.58</v>
      </c>
    </row>
    <row r="7892" spans="1:11" x14ac:dyDescent="0.25">
      <c r="A7892">
        <v>7891</v>
      </c>
      <c r="B7892" s="23">
        <v>1358.4</v>
      </c>
      <c r="C7892" s="23">
        <v>0</v>
      </c>
      <c r="D7892" s="23">
        <v>0</v>
      </c>
      <c r="E7892" s="23">
        <v>0</v>
      </c>
      <c r="F7892" s="23">
        <v>0</v>
      </c>
      <c r="G7892" s="23">
        <v>0</v>
      </c>
      <c r="H7892" s="23">
        <v>0</v>
      </c>
      <c r="I7892" s="23">
        <v>0</v>
      </c>
      <c r="J7892" s="23">
        <v>0</v>
      </c>
      <c r="K7892" s="23">
        <v>1358.4</v>
      </c>
    </row>
    <row r="7893" spans="1:11" x14ac:dyDescent="0.25">
      <c r="A7893">
        <v>7892</v>
      </c>
      <c r="B7893" s="23">
        <v>1066.4000000000001</v>
      </c>
      <c r="C7893" s="23">
        <v>0</v>
      </c>
      <c r="D7893" s="23">
        <v>0</v>
      </c>
      <c r="E7893" s="23">
        <v>0</v>
      </c>
      <c r="F7893" s="23">
        <v>0</v>
      </c>
      <c r="G7893" s="23">
        <v>0</v>
      </c>
      <c r="H7893" s="23">
        <v>0</v>
      </c>
      <c r="I7893" s="23">
        <v>0</v>
      </c>
      <c r="J7893" s="23">
        <v>0</v>
      </c>
      <c r="K7893" s="23">
        <v>1066.4000000000001</v>
      </c>
    </row>
    <row r="7894" spans="1:11" x14ac:dyDescent="0.25">
      <c r="A7894">
        <v>7893</v>
      </c>
      <c r="B7894" s="23">
        <v>1076</v>
      </c>
      <c r="C7894" s="23">
        <v>0</v>
      </c>
      <c r="D7894" s="23">
        <v>0</v>
      </c>
      <c r="E7894" s="23">
        <v>0</v>
      </c>
      <c r="F7894" s="23">
        <v>0</v>
      </c>
      <c r="G7894" s="23">
        <v>0</v>
      </c>
      <c r="H7894" s="23">
        <v>0</v>
      </c>
      <c r="I7894" s="23">
        <v>1076</v>
      </c>
      <c r="J7894" s="23">
        <v>0</v>
      </c>
      <c r="K7894" s="23">
        <v>0</v>
      </c>
    </row>
    <row r="7895" spans="1:11" x14ac:dyDescent="0.25">
      <c r="A7895">
        <v>7894</v>
      </c>
      <c r="B7895" s="23">
        <v>1006.4</v>
      </c>
      <c r="C7895" s="23">
        <v>0</v>
      </c>
      <c r="D7895" s="23">
        <v>0</v>
      </c>
      <c r="E7895" s="23">
        <v>0</v>
      </c>
      <c r="F7895" s="23">
        <v>0</v>
      </c>
      <c r="G7895" s="23">
        <v>0</v>
      </c>
      <c r="H7895" s="23">
        <v>0</v>
      </c>
      <c r="I7895" s="23">
        <v>1006.4</v>
      </c>
      <c r="J7895" s="23">
        <v>0</v>
      </c>
      <c r="K7895" s="23">
        <v>0</v>
      </c>
    </row>
    <row r="7896" spans="1:11" x14ac:dyDescent="0.25">
      <c r="A7896">
        <v>7895</v>
      </c>
      <c r="B7896" s="23">
        <v>1079.2</v>
      </c>
      <c r="C7896" s="23">
        <v>0</v>
      </c>
      <c r="D7896" s="23">
        <v>0</v>
      </c>
      <c r="E7896" s="23">
        <v>0</v>
      </c>
      <c r="F7896" s="23">
        <v>0</v>
      </c>
      <c r="G7896" s="23">
        <v>0</v>
      </c>
      <c r="H7896" s="23">
        <v>0</v>
      </c>
      <c r="I7896" s="23">
        <v>1079.2</v>
      </c>
      <c r="J7896" s="23">
        <v>0</v>
      </c>
      <c r="K7896" s="23">
        <v>0</v>
      </c>
    </row>
    <row r="7897" spans="1:11" x14ac:dyDescent="0.25">
      <c r="A7897">
        <v>7896</v>
      </c>
      <c r="B7897" s="23">
        <v>1528</v>
      </c>
      <c r="C7897" s="23">
        <v>0</v>
      </c>
      <c r="D7897" s="23">
        <v>0</v>
      </c>
      <c r="E7897" s="23">
        <v>0</v>
      </c>
      <c r="F7897" s="23">
        <v>0</v>
      </c>
      <c r="G7897" s="23">
        <v>0</v>
      </c>
      <c r="H7897" s="23">
        <v>0</v>
      </c>
      <c r="I7897" s="23">
        <v>1528</v>
      </c>
      <c r="J7897" s="23">
        <v>0</v>
      </c>
      <c r="K7897" s="23">
        <v>0</v>
      </c>
    </row>
    <row r="7898" spans="1:11" x14ac:dyDescent="0.25">
      <c r="A7898">
        <v>7897</v>
      </c>
      <c r="B7898" s="23">
        <v>1220.8</v>
      </c>
      <c r="C7898" s="23">
        <v>0</v>
      </c>
      <c r="D7898" s="23">
        <v>0</v>
      </c>
      <c r="E7898" s="23">
        <v>0</v>
      </c>
      <c r="F7898" s="23">
        <v>0</v>
      </c>
      <c r="G7898" s="23">
        <v>0</v>
      </c>
      <c r="H7898" s="23">
        <v>0</v>
      </c>
      <c r="I7898" s="23">
        <v>1220.8</v>
      </c>
      <c r="J7898" s="23">
        <v>0</v>
      </c>
      <c r="K7898" s="23">
        <v>0</v>
      </c>
    </row>
    <row r="7899" spans="1:11" x14ac:dyDescent="0.25">
      <c r="A7899">
        <v>7898</v>
      </c>
      <c r="B7899" s="23">
        <v>923.2</v>
      </c>
      <c r="C7899" s="23">
        <v>0</v>
      </c>
      <c r="D7899" s="23">
        <v>0</v>
      </c>
      <c r="E7899" s="23">
        <v>0</v>
      </c>
      <c r="F7899" s="23">
        <v>0</v>
      </c>
      <c r="G7899" s="23">
        <v>0</v>
      </c>
      <c r="H7899" s="23">
        <v>0</v>
      </c>
      <c r="I7899" s="23">
        <v>923.2</v>
      </c>
      <c r="J7899" s="23">
        <v>0</v>
      </c>
      <c r="K7899" s="23">
        <v>0</v>
      </c>
    </row>
    <row r="7900" spans="1:11" x14ac:dyDescent="0.25">
      <c r="A7900">
        <v>7899</v>
      </c>
      <c r="B7900" s="23">
        <v>1218.4000000000001</v>
      </c>
      <c r="C7900" s="23">
        <v>0</v>
      </c>
      <c r="D7900" s="23">
        <v>0</v>
      </c>
      <c r="E7900" s="23">
        <v>0</v>
      </c>
      <c r="F7900" s="23">
        <v>0</v>
      </c>
      <c r="G7900" s="23">
        <v>0</v>
      </c>
      <c r="H7900" s="23">
        <v>0</v>
      </c>
      <c r="I7900" s="23">
        <v>1218.4000000000001</v>
      </c>
      <c r="J7900" s="23">
        <v>0</v>
      </c>
      <c r="K7900" s="23">
        <v>0</v>
      </c>
    </row>
    <row r="7901" spans="1:11" x14ac:dyDescent="0.25">
      <c r="A7901">
        <v>7900</v>
      </c>
      <c r="B7901" s="23">
        <v>1200.8</v>
      </c>
      <c r="C7901" s="23">
        <v>0</v>
      </c>
      <c r="D7901" s="23">
        <v>0</v>
      </c>
      <c r="E7901" s="23">
        <v>0</v>
      </c>
      <c r="F7901" s="23">
        <v>0</v>
      </c>
      <c r="G7901" s="23">
        <v>0</v>
      </c>
      <c r="H7901" s="23">
        <v>0</v>
      </c>
      <c r="I7901" s="23">
        <v>1200.8</v>
      </c>
      <c r="J7901" s="23">
        <v>0</v>
      </c>
      <c r="K7901" s="23">
        <v>0</v>
      </c>
    </row>
    <row r="7902" spans="1:11" x14ac:dyDescent="0.25">
      <c r="A7902">
        <v>7901</v>
      </c>
      <c r="B7902" s="23">
        <v>896</v>
      </c>
      <c r="C7902" s="23">
        <v>0</v>
      </c>
      <c r="D7902" s="23">
        <v>0</v>
      </c>
      <c r="E7902" s="23">
        <v>0</v>
      </c>
      <c r="F7902" s="23">
        <v>0</v>
      </c>
      <c r="G7902" s="23">
        <v>0</v>
      </c>
      <c r="H7902" s="23">
        <v>0</v>
      </c>
      <c r="I7902" s="23">
        <v>896</v>
      </c>
      <c r="J7902" s="23">
        <v>0</v>
      </c>
      <c r="K7902" s="23">
        <v>0</v>
      </c>
    </row>
    <row r="7903" spans="1:11" x14ac:dyDescent="0.25">
      <c r="A7903">
        <v>7902</v>
      </c>
      <c r="B7903" s="23">
        <v>1284</v>
      </c>
      <c r="C7903" s="23">
        <v>0</v>
      </c>
      <c r="D7903" s="23">
        <v>0</v>
      </c>
      <c r="E7903" s="23">
        <v>0</v>
      </c>
      <c r="F7903" s="23">
        <v>0</v>
      </c>
      <c r="G7903" s="23">
        <v>0</v>
      </c>
      <c r="H7903" s="23">
        <v>0</v>
      </c>
      <c r="I7903" s="23">
        <v>475.22699999999998</v>
      </c>
      <c r="J7903" s="23">
        <v>0</v>
      </c>
      <c r="K7903" s="23">
        <v>808.77300000000002</v>
      </c>
    </row>
    <row r="7904" spans="1:11" x14ac:dyDescent="0.25">
      <c r="A7904">
        <v>7903</v>
      </c>
      <c r="B7904" s="23">
        <v>1092.491</v>
      </c>
      <c r="C7904" s="23">
        <v>85.42</v>
      </c>
      <c r="D7904" s="23">
        <v>277.82499999999999</v>
      </c>
      <c r="E7904" s="23">
        <v>277.82499999999999</v>
      </c>
      <c r="F7904" s="23">
        <v>0</v>
      </c>
      <c r="G7904" s="23">
        <v>0</v>
      </c>
      <c r="H7904" s="23">
        <v>0</v>
      </c>
      <c r="I7904" s="23">
        <v>0</v>
      </c>
      <c r="J7904" s="23">
        <v>0</v>
      </c>
      <c r="K7904" s="23">
        <v>814.66600000000005</v>
      </c>
    </row>
    <row r="7905" spans="1:11" x14ac:dyDescent="0.25">
      <c r="A7905">
        <v>7904</v>
      </c>
      <c r="B7905" s="23">
        <v>1306.162</v>
      </c>
      <c r="C7905" s="23">
        <v>326.51</v>
      </c>
      <c r="D7905" s="23">
        <v>1308.5540000000001</v>
      </c>
      <c r="E7905" s="23">
        <v>1306.162</v>
      </c>
      <c r="F7905" s="23">
        <v>-2.3919999999999999</v>
      </c>
      <c r="G7905" s="23">
        <v>0</v>
      </c>
      <c r="H7905" s="23">
        <v>0</v>
      </c>
      <c r="I7905" s="23">
        <v>0</v>
      </c>
      <c r="J7905" s="23">
        <v>0</v>
      </c>
      <c r="K7905" s="23">
        <v>0</v>
      </c>
    </row>
    <row r="7906" spans="1:11" x14ac:dyDescent="0.25">
      <c r="A7906">
        <v>7905</v>
      </c>
      <c r="B7906" s="23">
        <v>1409.71</v>
      </c>
      <c r="C7906" s="23">
        <v>476.59</v>
      </c>
      <c r="D7906" s="23">
        <v>1900.106</v>
      </c>
      <c r="E7906" s="23">
        <v>1409.71</v>
      </c>
      <c r="F7906" s="23">
        <v>-490.39600000000002</v>
      </c>
      <c r="G7906" s="23">
        <v>0</v>
      </c>
      <c r="H7906" s="23">
        <v>0</v>
      </c>
      <c r="I7906" s="23">
        <v>0</v>
      </c>
      <c r="J7906" s="23">
        <v>0</v>
      </c>
      <c r="K7906" s="23">
        <v>0</v>
      </c>
    </row>
    <row r="7907" spans="1:11" x14ac:dyDescent="0.25">
      <c r="A7907">
        <v>7906</v>
      </c>
      <c r="B7907" s="23">
        <v>984.96100000000001</v>
      </c>
      <c r="C7907" s="23">
        <v>437.73</v>
      </c>
      <c r="D7907" s="23">
        <v>1703.3630000000001</v>
      </c>
      <c r="E7907" s="23">
        <v>984.96100000000001</v>
      </c>
      <c r="F7907" s="23">
        <v>-718.40200000000004</v>
      </c>
      <c r="G7907" s="23">
        <v>0</v>
      </c>
      <c r="H7907" s="23">
        <v>0</v>
      </c>
      <c r="I7907" s="23">
        <v>0</v>
      </c>
      <c r="J7907" s="23">
        <v>0</v>
      </c>
      <c r="K7907" s="23">
        <v>0</v>
      </c>
    </row>
    <row r="7908" spans="1:11" x14ac:dyDescent="0.25">
      <c r="A7908">
        <v>7907</v>
      </c>
      <c r="B7908" s="23">
        <v>1372.328</v>
      </c>
      <c r="C7908" s="23">
        <v>625.86</v>
      </c>
      <c r="D7908" s="23">
        <v>2394.0819999999999</v>
      </c>
      <c r="E7908" s="23">
        <v>1372.328</v>
      </c>
      <c r="F7908" s="23">
        <v>-1021.754</v>
      </c>
      <c r="G7908" s="23">
        <v>0</v>
      </c>
      <c r="H7908" s="23">
        <v>0</v>
      </c>
      <c r="I7908" s="23">
        <v>0</v>
      </c>
      <c r="J7908" s="23">
        <v>0</v>
      </c>
      <c r="K7908" s="23">
        <v>0</v>
      </c>
    </row>
    <row r="7909" spans="1:11" x14ac:dyDescent="0.25">
      <c r="A7909">
        <v>7908</v>
      </c>
      <c r="B7909" s="23">
        <v>1453.6320000000001</v>
      </c>
      <c r="C7909" s="23">
        <v>681.93</v>
      </c>
      <c r="D7909" s="23">
        <v>2582.136</v>
      </c>
      <c r="E7909" s="23">
        <v>1453.6320000000001</v>
      </c>
      <c r="F7909" s="23">
        <v>-1128.5039999999999</v>
      </c>
      <c r="G7909" s="23">
        <v>0</v>
      </c>
      <c r="H7909" s="23">
        <v>0</v>
      </c>
      <c r="I7909" s="23">
        <v>0</v>
      </c>
      <c r="J7909" s="23">
        <v>0</v>
      </c>
      <c r="K7909" s="23">
        <v>0</v>
      </c>
    </row>
    <row r="7910" spans="1:11" x14ac:dyDescent="0.25">
      <c r="A7910">
        <v>7909</v>
      </c>
      <c r="B7910" s="23">
        <v>1182.818</v>
      </c>
      <c r="C7910" s="23">
        <v>696.11</v>
      </c>
      <c r="D7910" s="23">
        <v>2634.7750000000001</v>
      </c>
      <c r="E7910" s="23">
        <v>1182.818</v>
      </c>
      <c r="F7910" s="23">
        <v>-1451.9570000000001</v>
      </c>
      <c r="G7910" s="23">
        <v>0</v>
      </c>
      <c r="H7910" s="23">
        <v>0</v>
      </c>
      <c r="I7910" s="23">
        <v>0</v>
      </c>
      <c r="J7910" s="23">
        <v>0</v>
      </c>
      <c r="K7910" s="23">
        <v>0</v>
      </c>
    </row>
    <row r="7911" spans="1:11" x14ac:dyDescent="0.25">
      <c r="A7911">
        <v>7910</v>
      </c>
      <c r="B7911" s="23">
        <v>1278.412</v>
      </c>
      <c r="C7911" s="23">
        <v>513.5</v>
      </c>
      <c r="D7911" s="23">
        <v>1968.3510000000001</v>
      </c>
      <c r="E7911" s="23">
        <v>1278.412</v>
      </c>
      <c r="F7911" s="23">
        <v>-689.93899999999996</v>
      </c>
      <c r="G7911" s="23">
        <v>0</v>
      </c>
      <c r="H7911" s="23">
        <v>0</v>
      </c>
      <c r="I7911" s="23">
        <v>0</v>
      </c>
      <c r="J7911" s="23">
        <v>0</v>
      </c>
      <c r="K7911" s="23">
        <v>0</v>
      </c>
    </row>
    <row r="7912" spans="1:11" x14ac:dyDescent="0.25">
      <c r="A7912">
        <v>7911</v>
      </c>
      <c r="B7912" s="23">
        <v>1247.998</v>
      </c>
      <c r="C7912" s="23">
        <v>385.39</v>
      </c>
      <c r="D7912" s="23">
        <v>1494.7639999999999</v>
      </c>
      <c r="E7912" s="23">
        <v>1247.998</v>
      </c>
      <c r="F7912" s="23">
        <v>-246.76599999999999</v>
      </c>
      <c r="G7912" s="23">
        <v>0</v>
      </c>
      <c r="H7912" s="23">
        <v>0</v>
      </c>
      <c r="I7912" s="23">
        <v>0</v>
      </c>
      <c r="J7912" s="23">
        <v>0</v>
      </c>
      <c r="K7912" s="23">
        <v>0</v>
      </c>
    </row>
    <row r="7913" spans="1:11" x14ac:dyDescent="0.25">
      <c r="A7913">
        <v>7912</v>
      </c>
      <c r="B7913" s="23">
        <v>1086.354</v>
      </c>
      <c r="C7913" s="23">
        <v>96.5</v>
      </c>
      <c r="D7913" s="23">
        <v>355.43</v>
      </c>
      <c r="E7913" s="23">
        <v>355.43</v>
      </c>
      <c r="F7913" s="23">
        <v>0</v>
      </c>
      <c r="G7913" s="23">
        <v>0</v>
      </c>
      <c r="H7913" s="23">
        <v>0</v>
      </c>
      <c r="I7913" s="23">
        <v>730.92399999999998</v>
      </c>
      <c r="J7913" s="23">
        <v>0</v>
      </c>
      <c r="K7913" s="23">
        <v>0</v>
      </c>
    </row>
    <row r="7914" spans="1:11" x14ac:dyDescent="0.25">
      <c r="A7914">
        <v>7913</v>
      </c>
      <c r="B7914" s="23">
        <v>1467.39</v>
      </c>
      <c r="C7914" s="23">
        <v>100.6</v>
      </c>
      <c r="D7914" s="23">
        <v>363.60199999999998</v>
      </c>
      <c r="E7914" s="23">
        <v>363.60199999999998</v>
      </c>
      <c r="F7914" s="23">
        <v>0</v>
      </c>
      <c r="G7914" s="23">
        <v>0</v>
      </c>
      <c r="H7914" s="23">
        <v>0</v>
      </c>
      <c r="I7914" s="23">
        <v>1103.788</v>
      </c>
      <c r="J7914" s="23">
        <v>0</v>
      </c>
      <c r="K7914" s="23">
        <v>0</v>
      </c>
    </row>
    <row r="7915" spans="1:11" x14ac:dyDescent="0.25">
      <c r="A7915">
        <v>7914</v>
      </c>
      <c r="B7915" s="23">
        <v>1410.4880000000001</v>
      </c>
      <c r="C7915" s="23">
        <v>1.96</v>
      </c>
      <c r="D7915" s="23">
        <v>0</v>
      </c>
      <c r="E7915" s="23">
        <v>0</v>
      </c>
      <c r="F7915" s="23">
        <v>0</v>
      </c>
      <c r="G7915" s="23">
        <v>0</v>
      </c>
      <c r="H7915" s="23">
        <v>0</v>
      </c>
      <c r="I7915" s="23">
        <v>0</v>
      </c>
      <c r="J7915" s="23">
        <v>0</v>
      </c>
      <c r="K7915" s="23">
        <v>1410.4880000000001</v>
      </c>
    </row>
    <row r="7916" spans="1:11" x14ac:dyDescent="0.25">
      <c r="A7916">
        <v>7915</v>
      </c>
      <c r="B7916" s="23">
        <v>1142.4000000000001</v>
      </c>
      <c r="C7916" s="23">
        <v>0</v>
      </c>
      <c r="D7916" s="23">
        <v>0</v>
      </c>
      <c r="E7916" s="23">
        <v>0</v>
      </c>
      <c r="F7916" s="23">
        <v>0</v>
      </c>
      <c r="G7916" s="23">
        <v>0</v>
      </c>
      <c r="H7916" s="23">
        <v>0</v>
      </c>
      <c r="I7916" s="23">
        <v>0</v>
      </c>
      <c r="J7916" s="23">
        <v>0</v>
      </c>
      <c r="K7916" s="23">
        <v>1142.4000000000001</v>
      </c>
    </row>
    <row r="7917" spans="1:11" x14ac:dyDescent="0.25">
      <c r="A7917">
        <v>7916</v>
      </c>
      <c r="B7917" s="23">
        <v>984.8</v>
      </c>
      <c r="C7917" s="23">
        <v>0</v>
      </c>
      <c r="D7917" s="23">
        <v>0</v>
      </c>
      <c r="E7917" s="23">
        <v>0</v>
      </c>
      <c r="F7917" s="23">
        <v>0</v>
      </c>
      <c r="G7917" s="23">
        <v>0</v>
      </c>
      <c r="H7917" s="23">
        <v>0</v>
      </c>
      <c r="I7917" s="23">
        <v>0</v>
      </c>
      <c r="J7917" s="23">
        <v>0</v>
      </c>
      <c r="K7917" s="23">
        <v>984.8</v>
      </c>
    </row>
    <row r="7918" spans="1:11" x14ac:dyDescent="0.25">
      <c r="A7918">
        <v>7917</v>
      </c>
      <c r="B7918" s="23">
        <v>1211.2</v>
      </c>
      <c r="C7918" s="23">
        <v>0</v>
      </c>
      <c r="D7918" s="23">
        <v>0</v>
      </c>
      <c r="E7918" s="23">
        <v>0</v>
      </c>
      <c r="F7918" s="23">
        <v>0</v>
      </c>
      <c r="G7918" s="23">
        <v>0</v>
      </c>
      <c r="H7918" s="23">
        <v>0</v>
      </c>
      <c r="I7918" s="23">
        <v>1211.2</v>
      </c>
      <c r="J7918" s="23">
        <v>0</v>
      </c>
      <c r="K7918" s="23">
        <v>0</v>
      </c>
    </row>
    <row r="7919" spans="1:11" x14ac:dyDescent="0.25">
      <c r="A7919">
        <v>7918</v>
      </c>
      <c r="B7919" s="23">
        <v>1125.5999999999999</v>
      </c>
      <c r="C7919" s="23">
        <v>0</v>
      </c>
      <c r="D7919" s="23">
        <v>0</v>
      </c>
      <c r="E7919" s="23">
        <v>0</v>
      </c>
      <c r="F7919" s="23">
        <v>0</v>
      </c>
      <c r="G7919" s="23">
        <v>0</v>
      </c>
      <c r="H7919" s="23">
        <v>0</v>
      </c>
      <c r="I7919" s="23">
        <v>459.02600000000001</v>
      </c>
      <c r="J7919" s="23">
        <v>0</v>
      </c>
      <c r="K7919" s="23">
        <v>666.57399999999996</v>
      </c>
    </row>
    <row r="7920" spans="1:11" x14ac:dyDescent="0.25">
      <c r="A7920">
        <v>7919</v>
      </c>
      <c r="B7920" s="23">
        <v>1388.8</v>
      </c>
      <c r="C7920" s="23">
        <v>0</v>
      </c>
      <c r="D7920" s="23">
        <v>0</v>
      </c>
      <c r="E7920" s="23">
        <v>0</v>
      </c>
      <c r="F7920" s="23">
        <v>0</v>
      </c>
      <c r="G7920" s="23">
        <v>0</v>
      </c>
      <c r="H7920" s="23">
        <v>0</v>
      </c>
      <c r="I7920" s="23">
        <v>1388.8</v>
      </c>
      <c r="J7920" s="23">
        <v>0</v>
      </c>
      <c r="K7920" s="23">
        <v>0</v>
      </c>
    </row>
    <row r="7921" spans="1:11" x14ac:dyDescent="0.25">
      <c r="A7921">
        <v>7920</v>
      </c>
      <c r="B7921" s="23">
        <v>985.6</v>
      </c>
      <c r="C7921" s="23">
        <v>0</v>
      </c>
      <c r="D7921" s="23">
        <v>0</v>
      </c>
      <c r="E7921" s="23">
        <v>0</v>
      </c>
      <c r="F7921" s="23">
        <v>0</v>
      </c>
      <c r="G7921" s="23">
        <v>0</v>
      </c>
      <c r="H7921" s="23">
        <v>0</v>
      </c>
      <c r="I7921" s="23">
        <v>985.6</v>
      </c>
      <c r="J7921" s="23">
        <v>0</v>
      </c>
      <c r="K7921" s="23">
        <v>0</v>
      </c>
    </row>
    <row r="7922" spans="1:11" x14ac:dyDescent="0.25">
      <c r="A7922">
        <v>7921</v>
      </c>
      <c r="B7922" s="23">
        <v>1293.5999999999999</v>
      </c>
      <c r="C7922" s="23">
        <v>0</v>
      </c>
      <c r="D7922" s="23">
        <v>0</v>
      </c>
      <c r="E7922" s="23">
        <v>0</v>
      </c>
      <c r="F7922" s="23">
        <v>0</v>
      </c>
      <c r="G7922" s="23">
        <v>0</v>
      </c>
      <c r="H7922" s="23">
        <v>0</v>
      </c>
      <c r="I7922" s="23">
        <v>1293.5999999999999</v>
      </c>
      <c r="J7922" s="23">
        <v>0</v>
      </c>
      <c r="K7922" s="23">
        <v>0</v>
      </c>
    </row>
    <row r="7923" spans="1:11" x14ac:dyDescent="0.25">
      <c r="A7923">
        <v>7922</v>
      </c>
      <c r="B7923" s="23">
        <v>1131.2</v>
      </c>
      <c r="C7923" s="23">
        <v>0</v>
      </c>
      <c r="D7923" s="23">
        <v>0</v>
      </c>
      <c r="E7923" s="23">
        <v>0</v>
      </c>
      <c r="F7923" s="23">
        <v>0</v>
      </c>
      <c r="G7923" s="23">
        <v>0</v>
      </c>
      <c r="H7923" s="23">
        <v>0</v>
      </c>
      <c r="I7923" s="23">
        <v>1131.2</v>
      </c>
      <c r="J7923" s="23">
        <v>0</v>
      </c>
      <c r="K7923" s="23">
        <v>0</v>
      </c>
    </row>
    <row r="7924" spans="1:11" x14ac:dyDescent="0.25">
      <c r="A7924">
        <v>7923</v>
      </c>
      <c r="B7924" s="23">
        <v>1264.8</v>
      </c>
      <c r="C7924" s="23">
        <v>0</v>
      </c>
      <c r="D7924" s="23">
        <v>0</v>
      </c>
      <c r="E7924" s="23">
        <v>0</v>
      </c>
      <c r="F7924" s="23">
        <v>0</v>
      </c>
      <c r="G7924" s="23">
        <v>0</v>
      </c>
      <c r="H7924" s="23">
        <v>0</v>
      </c>
      <c r="I7924" s="23">
        <v>1264.8</v>
      </c>
      <c r="J7924" s="23">
        <v>0</v>
      </c>
      <c r="K7924" s="23">
        <v>0</v>
      </c>
    </row>
    <row r="7925" spans="1:11" x14ac:dyDescent="0.25">
      <c r="A7925">
        <v>7924</v>
      </c>
      <c r="B7925" s="23">
        <v>774.4</v>
      </c>
      <c r="C7925" s="23">
        <v>0</v>
      </c>
      <c r="D7925" s="23">
        <v>0</v>
      </c>
      <c r="E7925" s="23">
        <v>0</v>
      </c>
      <c r="F7925" s="23">
        <v>0</v>
      </c>
      <c r="G7925" s="23">
        <v>0</v>
      </c>
      <c r="H7925" s="23">
        <v>0</v>
      </c>
      <c r="I7925" s="23">
        <v>774.4</v>
      </c>
      <c r="J7925" s="23">
        <v>0</v>
      </c>
      <c r="K7925" s="23">
        <v>0</v>
      </c>
    </row>
    <row r="7926" spans="1:11" x14ac:dyDescent="0.25">
      <c r="A7926">
        <v>7925</v>
      </c>
      <c r="B7926" s="23">
        <v>1108.8</v>
      </c>
      <c r="C7926" s="23">
        <v>0</v>
      </c>
      <c r="D7926" s="23">
        <v>0</v>
      </c>
      <c r="E7926" s="23">
        <v>0</v>
      </c>
      <c r="F7926" s="23">
        <v>0</v>
      </c>
      <c r="G7926" s="23">
        <v>0</v>
      </c>
      <c r="H7926" s="23">
        <v>0</v>
      </c>
      <c r="I7926" s="23">
        <v>0</v>
      </c>
      <c r="J7926" s="23">
        <v>0</v>
      </c>
      <c r="K7926" s="23">
        <v>1108.8</v>
      </c>
    </row>
    <row r="7927" spans="1:11" x14ac:dyDescent="0.25">
      <c r="A7927">
        <v>7926</v>
      </c>
      <c r="B7927" s="23">
        <v>734.4</v>
      </c>
      <c r="C7927" s="23">
        <v>0</v>
      </c>
      <c r="D7927" s="23">
        <v>0</v>
      </c>
      <c r="E7927" s="23">
        <v>0</v>
      </c>
      <c r="F7927" s="23">
        <v>0</v>
      </c>
      <c r="G7927" s="23">
        <v>0</v>
      </c>
      <c r="H7927" s="23">
        <v>0</v>
      </c>
      <c r="I7927" s="23">
        <v>0</v>
      </c>
      <c r="J7927" s="23">
        <v>0</v>
      </c>
      <c r="K7927" s="23">
        <v>734.4</v>
      </c>
    </row>
    <row r="7928" spans="1:11" x14ac:dyDescent="0.25">
      <c r="A7928">
        <v>7927</v>
      </c>
      <c r="B7928" s="23">
        <v>812.64400000000001</v>
      </c>
      <c r="C7928" s="23">
        <v>96.12</v>
      </c>
      <c r="D7928" s="23">
        <v>308.25599999999997</v>
      </c>
      <c r="E7928" s="23">
        <v>308.25599999999997</v>
      </c>
      <c r="F7928" s="23">
        <v>0</v>
      </c>
      <c r="G7928" s="23">
        <v>0</v>
      </c>
      <c r="H7928" s="23">
        <v>0</v>
      </c>
      <c r="I7928" s="23">
        <v>0</v>
      </c>
      <c r="J7928" s="23">
        <v>0</v>
      </c>
      <c r="K7928" s="23">
        <v>504.38799999999998</v>
      </c>
    </row>
    <row r="7929" spans="1:11" x14ac:dyDescent="0.25">
      <c r="A7929">
        <v>7928</v>
      </c>
      <c r="B7929" s="23">
        <v>1161.248</v>
      </c>
      <c r="C7929" s="23">
        <v>291.99</v>
      </c>
      <c r="D7929" s="23">
        <v>1164.6569999999999</v>
      </c>
      <c r="E7929" s="23">
        <v>1161.248</v>
      </c>
      <c r="F7929" s="23">
        <v>-3.4089999999999998</v>
      </c>
      <c r="G7929" s="23">
        <v>0</v>
      </c>
      <c r="H7929" s="23">
        <v>0</v>
      </c>
      <c r="I7929" s="23">
        <v>0</v>
      </c>
      <c r="J7929" s="23">
        <v>0</v>
      </c>
      <c r="K7929" s="23">
        <v>0</v>
      </c>
    </row>
    <row r="7930" spans="1:11" x14ac:dyDescent="0.25">
      <c r="A7930">
        <v>7929</v>
      </c>
      <c r="B7930" s="23">
        <v>1243.412</v>
      </c>
      <c r="C7930" s="23">
        <v>497.21</v>
      </c>
      <c r="D7930" s="23">
        <v>1973.434</v>
      </c>
      <c r="E7930" s="23">
        <v>1243.412</v>
      </c>
      <c r="F7930" s="23">
        <v>-730.02200000000005</v>
      </c>
      <c r="G7930" s="23">
        <v>0</v>
      </c>
      <c r="H7930" s="23">
        <v>0</v>
      </c>
      <c r="I7930" s="23">
        <v>0</v>
      </c>
      <c r="J7930" s="23">
        <v>0</v>
      </c>
      <c r="K7930" s="23">
        <v>0</v>
      </c>
    </row>
    <row r="7931" spans="1:11" x14ac:dyDescent="0.25">
      <c r="A7931">
        <v>7930</v>
      </c>
      <c r="B7931" s="23">
        <v>1326.7750000000001</v>
      </c>
      <c r="C7931" s="23">
        <v>660.35</v>
      </c>
      <c r="D7931" s="23">
        <v>2554.1219999999998</v>
      </c>
      <c r="E7931" s="23">
        <v>1326.7750000000001</v>
      </c>
      <c r="F7931" s="23">
        <v>-1227.347</v>
      </c>
      <c r="G7931" s="23">
        <v>0</v>
      </c>
      <c r="H7931" s="23">
        <v>0</v>
      </c>
      <c r="I7931" s="23">
        <v>0</v>
      </c>
      <c r="J7931" s="23">
        <v>0</v>
      </c>
      <c r="K7931" s="23">
        <v>0</v>
      </c>
    </row>
    <row r="7932" spans="1:11" x14ac:dyDescent="0.25">
      <c r="A7932">
        <v>7931</v>
      </c>
      <c r="B7932" s="23">
        <v>1621.135</v>
      </c>
      <c r="C7932" s="23">
        <v>674.42</v>
      </c>
      <c r="D7932" s="23">
        <v>2573.6489999999999</v>
      </c>
      <c r="E7932" s="23">
        <v>1621.135</v>
      </c>
      <c r="F7932" s="23">
        <v>-952.51400000000001</v>
      </c>
      <c r="G7932" s="23">
        <v>0</v>
      </c>
      <c r="H7932" s="23">
        <v>0</v>
      </c>
      <c r="I7932" s="23">
        <v>0</v>
      </c>
      <c r="J7932" s="23">
        <v>0</v>
      </c>
      <c r="K7932" s="23">
        <v>0</v>
      </c>
    </row>
    <row r="7933" spans="1:11" x14ac:dyDescent="0.25">
      <c r="A7933">
        <v>7932</v>
      </c>
      <c r="B7933" s="23">
        <v>1251.306</v>
      </c>
      <c r="C7933" s="23">
        <v>746.52</v>
      </c>
      <c r="D7933" s="23">
        <v>2822.576</v>
      </c>
      <c r="E7933" s="23">
        <v>1251.306</v>
      </c>
      <c r="F7933" s="23">
        <v>-1571.27</v>
      </c>
      <c r="G7933" s="23">
        <v>0</v>
      </c>
      <c r="H7933" s="23">
        <v>0</v>
      </c>
      <c r="I7933" s="23">
        <v>0</v>
      </c>
      <c r="J7933" s="23">
        <v>0</v>
      </c>
      <c r="K7933" s="23">
        <v>0</v>
      </c>
    </row>
    <row r="7934" spans="1:11" x14ac:dyDescent="0.25">
      <c r="A7934">
        <v>7933</v>
      </c>
      <c r="B7934" s="23">
        <v>1349.2180000000001</v>
      </c>
      <c r="C7934" s="23">
        <v>744.64</v>
      </c>
      <c r="D7934" s="23">
        <v>2807.8440000000001</v>
      </c>
      <c r="E7934" s="23">
        <v>1349.2180000000001</v>
      </c>
      <c r="F7934" s="23">
        <v>-1458.626</v>
      </c>
      <c r="G7934" s="23">
        <v>0</v>
      </c>
      <c r="H7934" s="23">
        <v>0</v>
      </c>
      <c r="I7934" s="23">
        <v>0</v>
      </c>
      <c r="J7934" s="23">
        <v>0</v>
      </c>
      <c r="K7934" s="23">
        <v>0</v>
      </c>
    </row>
    <row r="7935" spans="1:11" x14ac:dyDescent="0.25">
      <c r="A7935">
        <v>7934</v>
      </c>
      <c r="B7935" s="23">
        <v>1331.2729999999999</v>
      </c>
      <c r="C7935" s="23">
        <v>572.41</v>
      </c>
      <c r="D7935" s="23">
        <v>2188.355</v>
      </c>
      <c r="E7935" s="23">
        <v>1331.2729999999999</v>
      </c>
      <c r="F7935" s="23">
        <v>-857.08199999999999</v>
      </c>
      <c r="G7935" s="23">
        <v>0</v>
      </c>
      <c r="H7935" s="23">
        <v>0</v>
      </c>
      <c r="I7935" s="23">
        <v>0</v>
      </c>
      <c r="J7935" s="23">
        <v>0</v>
      </c>
      <c r="K7935" s="23">
        <v>0</v>
      </c>
    </row>
    <row r="7936" spans="1:11" x14ac:dyDescent="0.25">
      <c r="A7936">
        <v>7935</v>
      </c>
      <c r="B7936" s="23">
        <v>1282.7349999999999</v>
      </c>
      <c r="C7936" s="23">
        <v>456.68</v>
      </c>
      <c r="D7936" s="23">
        <v>1773.963</v>
      </c>
      <c r="E7936" s="23">
        <v>1282.7349999999999</v>
      </c>
      <c r="F7936" s="23">
        <v>-491.22800000000001</v>
      </c>
      <c r="G7936" s="23">
        <v>0</v>
      </c>
      <c r="H7936" s="23">
        <v>0</v>
      </c>
      <c r="I7936" s="23">
        <v>0</v>
      </c>
      <c r="J7936" s="23">
        <v>0</v>
      </c>
      <c r="K7936" s="23">
        <v>0</v>
      </c>
    </row>
    <row r="7937" spans="1:11" x14ac:dyDescent="0.25">
      <c r="A7937">
        <v>7936</v>
      </c>
      <c r="B7937" s="23">
        <v>1437.172</v>
      </c>
      <c r="C7937" s="23">
        <v>163.38999999999999</v>
      </c>
      <c r="D7937" s="23">
        <v>624.85</v>
      </c>
      <c r="E7937" s="23">
        <v>624.85</v>
      </c>
      <c r="F7937" s="23">
        <v>0</v>
      </c>
      <c r="G7937" s="23">
        <v>0</v>
      </c>
      <c r="H7937" s="23">
        <v>0</v>
      </c>
      <c r="I7937" s="23">
        <v>812.322</v>
      </c>
      <c r="J7937" s="23">
        <v>0</v>
      </c>
      <c r="K7937" s="23">
        <v>0</v>
      </c>
    </row>
    <row r="7938" spans="1:11" x14ac:dyDescent="0.25">
      <c r="A7938">
        <v>7937</v>
      </c>
      <c r="B7938" s="23">
        <v>1620.088</v>
      </c>
      <c r="C7938" s="23">
        <v>34.299999999999997</v>
      </c>
      <c r="D7938" s="23">
        <v>107.89700000000001</v>
      </c>
      <c r="E7938" s="23">
        <v>107.89700000000001</v>
      </c>
      <c r="F7938" s="23">
        <v>0</v>
      </c>
      <c r="G7938" s="23">
        <v>0</v>
      </c>
      <c r="H7938" s="23">
        <v>0</v>
      </c>
      <c r="I7938" s="23">
        <v>1512.191</v>
      </c>
      <c r="J7938" s="23">
        <v>0</v>
      </c>
      <c r="K7938" s="23">
        <v>0</v>
      </c>
    </row>
    <row r="7939" spans="1:11" x14ac:dyDescent="0.25">
      <c r="A7939">
        <v>7938</v>
      </c>
      <c r="B7939" s="23">
        <v>1488.6510000000001</v>
      </c>
      <c r="C7939" s="23">
        <v>0.98</v>
      </c>
      <c r="D7939" s="23">
        <v>0</v>
      </c>
      <c r="E7939" s="23">
        <v>0</v>
      </c>
      <c r="F7939" s="23">
        <v>0</v>
      </c>
      <c r="G7939" s="23">
        <v>0</v>
      </c>
      <c r="H7939" s="23">
        <v>0</v>
      </c>
      <c r="I7939" s="23">
        <v>0</v>
      </c>
      <c r="J7939" s="23">
        <v>0</v>
      </c>
      <c r="K7939" s="23">
        <v>1488.6510000000001</v>
      </c>
    </row>
    <row r="7940" spans="1:11" x14ac:dyDescent="0.25">
      <c r="A7940">
        <v>7939</v>
      </c>
      <c r="B7940" s="23">
        <v>1304.8</v>
      </c>
      <c r="C7940" s="23">
        <v>0</v>
      </c>
      <c r="D7940" s="23">
        <v>0</v>
      </c>
      <c r="E7940" s="23">
        <v>0</v>
      </c>
      <c r="F7940" s="23">
        <v>0</v>
      </c>
      <c r="G7940" s="23">
        <v>0</v>
      </c>
      <c r="H7940" s="23">
        <v>0</v>
      </c>
      <c r="I7940" s="23">
        <v>0</v>
      </c>
      <c r="J7940" s="23">
        <v>0</v>
      </c>
      <c r="K7940" s="23">
        <v>1304.8</v>
      </c>
    </row>
    <row r="7941" spans="1:11" x14ac:dyDescent="0.25">
      <c r="A7941">
        <v>7940</v>
      </c>
      <c r="B7941" s="23">
        <v>1217.5999999999999</v>
      </c>
      <c r="C7941" s="23">
        <v>0</v>
      </c>
      <c r="D7941" s="23">
        <v>0</v>
      </c>
      <c r="E7941" s="23">
        <v>0</v>
      </c>
      <c r="F7941" s="23">
        <v>0</v>
      </c>
      <c r="G7941" s="23">
        <v>0</v>
      </c>
      <c r="H7941" s="23">
        <v>0</v>
      </c>
      <c r="I7941" s="23">
        <v>0</v>
      </c>
      <c r="J7941" s="23">
        <v>0</v>
      </c>
      <c r="K7941" s="23">
        <v>1217.5999999999999</v>
      </c>
    </row>
    <row r="7942" spans="1:11" x14ac:dyDescent="0.25">
      <c r="A7942">
        <v>7941</v>
      </c>
      <c r="B7942" s="23">
        <v>1169.5999999999999</v>
      </c>
      <c r="C7942" s="23">
        <v>0</v>
      </c>
      <c r="D7942" s="23">
        <v>0</v>
      </c>
      <c r="E7942" s="23">
        <v>0</v>
      </c>
      <c r="F7942" s="23">
        <v>0</v>
      </c>
      <c r="G7942" s="23">
        <v>0</v>
      </c>
      <c r="H7942" s="23">
        <v>0</v>
      </c>
      <c r="I7942" s="23">
        <v>1169.5999999999999</v>
      </c>
      <c r="J7942" s="23">
        <v>0</v>
      </c>
      <c r="K7942" s="23">
        <v>0</v>
      </c>
    </row>
    <row r="7943" spans="1:11" x14ac:dyDescent="0.25">
      <c r="A7943">
        <v>7942</v>
      </c>
      <c r="B7943" s="23">
        <v>1280</v>
      </c>
      <c r="C7943" s="23">
        <v>0</v>
      </c>
      <c r="D7943" s="23">
        <v>0</v>
      </c>
      <c r="E7943" s="23">
        <v>0</v>
      </c>
      <c r="F7943" s="23">
        <v>0</v>
      </c>
      <c r="G7943" s="23">
        <v>0</v>
      </c>
      <c r="H7943" s="23">
        <v>0</v>
      </c>
      <c r="I7943" s="23">
        <v>1280</v>
      </c>
      <c r="J7943" s="23">
        <v>0</v>
      </c>
      <c r="K7943" s="23">
        <v>0</v>
      </c>
    </row>
    <row r="7944" spans="1:11" x14ac:dyDescent="0.25">
      <c r="A7944">
        <v>7943</v>
      </c>
      <c r="B7944" s="23">
        <v>1238.4000000000001</v>
      </c>
      <c r="C7944" s="23">
        <v>0</v>
      </c>
      <c r="D7944" s="23">
        <v>0</v>
      </c>
      <c r="E7944" s="23">
        <v>0</v>
      </c>
      <c r="F7944" s="23">
        <v>0</v>
      </c>
      <c r="G7944" s="23">
        <v>0</v>
      </c>
      <c r="H7944" s="23">
        <v>0</v>
      </c>
      <c r="I7944" s="23">
        <v>1238.4000000000001</v>
      </c>
      <c r="J7944" s="23">
        <v>0</v>
      </c>
      <c r="K7944" s="23">
        <v>0</v>
      </c>
    </row>
    <row r="7945" spans="1:11" x14ac:dyDescent="0.25">
      <c r="A7945">
        <v>7944</v>
      </c>
      <c r="B7945" s="23">
        <v>1456</v>
      </c>
      <c r="C7945" s="23">
        <v>0</v>
      </c>
      <c r="D7945" s="23">
        <v>0</v>
      </c>
      <c r="E7945" s="23">
        <v>0</v>
      </c>
      <c r="F7945" s="23">
        <v>0</v>
      </c>
      <c r="G7945" s="23">
        <v>0</v>
      </c>
      <c r="H7945" s="23">
        <v>0</v>
      </c>
      <c r="I7945" s="23">
        <v>1456</v>
      </c>
      <c r="J7945" s="23">
        <v>0</v>
      </c>
      <c r="K7945" s="23">
        <v>0</v>
      </c>
    </row>
    <row r="7946" spans="1:11" x14ac:dyDescent="0.25">
      <c r="A7946">
        <v>7945</v>
      </c>
      <c r="B7946" s="23">
        <v>1352</v>
      </c>
      <c r="C7946" s="23">
        <v>0</v>
      </c>
      <c r="D7946" s="23">
        <v>0</v>
      </c>
      <c r="E7946" s="23">
        <v>0</v>
      </c>
      <c r="F7946" s="23">
        <v>0</v>
      </c>
      <c r="G7946" s="23">
        <v>0</v>
      </c>
      <c r="H7946" s="23">
        <v>0</v>
      </c>
      <c r="I7946" s="23">
        <v>1352</v>
      </c>
      <c r="J7946" s="23">
        <v>0</v>
      </c>
      <c r="K7946" s="23">
        <v>0</v>
      </c>
    </row>
    <row r="7947" spans="1:11" x14ac:dyDescent="0.25">
      <c r="A7947">
        <v>7946</v>
      </c>
      <c r="B7947" s="23">
        <v>1226.4000000000001</v>
      </c>
      <c r="C7947" s="23">
        <v>0</v>
      </c>
      <c r="D7947" s="23">
        <v>0</v>
      </c>
      <c r="E7947" s="23">
        <v>0</v>
      </c>
      <c r="F7947" s="23">
        <v>0</v>
      </c>
      <c r="G7947" s="23">
        <v>0</v>
      </c>
      <c r="H7947" s="23">
        <v>0</v>
      </c>
      <c r="I7947" s="23">
        <v>1226.4000000000001</v>
      </c>
      <c r="J7947" s="23">
        <v>0</v>
      </c>
      <c r="K7947" s="23">
        <v>0</v>
      </c>
    </row>
    <row r="7948" spans="1:11" x14ac:dyDescent="0.25">
      <c r="A7948">
        <v>7947</v>
      </c>
      <c r="B7948" s="23">
        <v>1184</v>
      </c>
      <c r="C7948" s="23">
        <v>0</v>
      </c>
      <c r="D7948" s="23">
        <v>0</v>
      </c>
      <c r="E7948" s="23">
        <v>0</v>
      </c>
      <c r="F7948" s="23">
        <v>0</v>
      </c>
      <c r="G7948" s="23">
        <v>0</v>
      </c>
      <c r="H7948" s="23">
        <v>0</v>
      </c>
      <c r="I7948" s="23">
        <v>1184</v>
      </c>
      <c r="J7948" s="23">
        <v>0</v>
      </c>
      <c r="K7948" s="23">
        <v>0</v>
      </c>
    </row>
    <row r="7949" spans="1:11" x14ac:dyDescent="0.25">
      <c r="A7949">
        <v>7948</v>
      </c>
      <c r="B7949" s="23">
        <v>1292</v>
      </c>
      <c r="C7949" s="23">
        <v>0</v>
      </c>
      <c r="D7949" s="23">
        <v>0</v>
      </c>
      <c r="E7949" s="23">
        <v>0</v>
      </c>
      <c r="F7949" s="23">
        <v>0</v>
      </c>
      <c r="G7949" s="23">
        <v>0</v>
      </c>
      <c r="H7949" s="23">
        <v>0</v>
      </c>
      <c r="I7949" s="23">
        <v>1292</v>
      </c>
      <c r="J7949" s="23">
        <v>0</v>
      </c>
      <c r="K7949" s="23">
        <v>0</v>
      </c>
    </row>
    <row r="7950" spans="1:11" x14ac:dyDescent="0.25">
      <c r="A7950">
        <v>7949</v>
      </c>
      <c r="B7950" s="23">
        <v>1500</v>
      </c>
      <c r="C7950" s="23">
        <v>0</v>
      </c>
      <c r="D7950" s="23">
        <v>0</v>
      </c>
      <c r="E7950" s="23">
        <v>0</v>
      </c>
      <c r="F7950" s="23">
        <v>0</v>
      </c>
      <c r="G7950" s="23">
        <v>0</v>
      </c>
      <c r="H7950" s="23">
        <v>0</v>
      </c>
      <c r="I7950" s="23">
        <v>1500</v>
      </c>
      <c r="J7950" s="23">
        <v>0</v>
      </c>
      <c r="K7950" s="23">
        <v>0</v>
      </c>
    </row>
    <row r="7951" spans="1:11" x14ac:dyDescent="0.25">
      <c r="A7951">
        <v>7950</v>
      </c>
      <c r="B7951" s="23">
        <v>1428.8</v>
      </c>
      <c r="C7951" s="23">
        <v>0</v>
      </c>
      <c r="D7951" s="23">
        <v>0</v>
      </c>
      <c r="E7951" s="23">
        <v>0</v>
      </c>
      <c r="F7951" s="23">
        <v>0</v>
      </c>
      <c r="G7951" s="23">
        <v>0</v>
      </c>
      <c r="H7951" s="23">
        <v>0</v>
      </c>
      <c r="I7951" s="23">
        <v>778.57799999999997</v>
      </c>
      <c r="J7951" s="23">
        <v>0</v>
      </c>
      <c r="K7951" s="23">
        <v>650.22199999999998</v>
      </c>
    </row>
    <row r="7952" spans="1:11" x14ac:dyDescent="0.25">
      <c r="A7952">
        <v>7951</v>
      </c>
      <c r="B7952" s="23">
        <v>1297.3389999999999</v>
      </c>
      <c r="C7952" s="23">
        <v>100.63</v>
      </c>
      <c r="D7952" s="23">
        <v>315.55</v>
      </c>
      <c r="E7952" s="23">
        <v>315.55</v>
      </c>
      <c r="F7952" s="23">
        <v>0</v>
      </c>
      <c r="G7952" s="23">
        <v>0</v>
      </c>
      <c r="H7952" s="23">
        <v>0</v>
      </c>
      <c r="I7952" s="23">
        <v>0</v>
      </c>
      <c r="J7952" s="23">
        <v>0</v>
      </c>
      <c r="K7952" s="23">
        <v>981.78899999999999</v>
      </c>
    </row>
    <row r="7953" spans="1:11" x14ac:dyDescent="0.25">
      <c r="A7953">
        <v>7952</v>
      </c>
      <c r="B7953" s="23">
        <v>1310.0329999999999</v>
      </c>
      <c r="C7953" s="23">
        <v>290.99</v>
      </c>
      <c r="D7953" s="23">
        <v>1162.761</v>
      </c>
      <c r="E7953" s="23">
        <v>1162.761</v>
      </c>
      <c r="F7953" s="23">
        <v>0</v>
      </c>
      <c r="G7953" s="23">
        <v>0</v>
      </c>
      <c r="H7953" s="23">
        <v>0</v>
      </c>
      <c r="I7953" s="23">
        <v>0</v>
      </c>
      <c r="J7953" s="23">
        <v>0</v>
      </c>
      <c r="K7953" s="23">
        <v>147.27199999999999</v>
      </c>
    </row>
    <row r="7954" spans="1:11" x14ac:dyDescent="0.25">
      <c r="A7954">
        <v>7953</v>
      </c>
      <c r="B7954" s="23">
        <v>994.13400000000001</v>
      </c>
      <c r="C7954" s="23">
        <v>485.44</v>
      </c>
      <c r="D7954" s="23">
        <v>1930.0930000000001</v>
      </c>
      <c r="E7954" s="23">
        <v>994.13400000000001</v>
      </c>
      <c r="F7954" s="23">
        <v>-935.95899999999995</v>
      </c>
      <c r="G7954" s="23">
        <v>0</v>
      </c>
      <c r="H7954" s="23">
        <v>0</v>
      </c>
      <c r="I7954" s="23">
        <v>0</v>
      </c>
      <c r="J7954" s="23">
        <v>0</v>
      </c>
      <c r="K7954" s="23">
        <v>0</v>
      </c>
    </row>
    <row r="7955" spans="1:11" x14ac:dyDescent="0.25">
      <c r="A7955">
        <v>7954</v>
      </c>
      <c r="B7955" s="23">
        <v>1147.17</v>
      </c>
      <c r="C7955" s="23">
        <v>589.71</v>
      </c>
      <c r="D7955" s="23">
        <v>2283.2759999999998</v>
      </c>
      <c r="E7955" s="23">
        <v>1147.17</v>
      </c>
      <c r="F7955" s="23">
        <v>-1136.106</v>
      </c>
      <c r="G7955" s="23">
        <v>0</v>
      </c>
      <c r="H7955" s="23">
        <v>0</v>
      </c>
      <c r="I7955" s="23">
        <v>0</v>
      </c>
      <c r="J7955" s="23">
        <v>0</v>
      </c>
      <c r="K7955" s="23">
        <v>0</v>
      </c>
    </row>
    <row r="7956" spans="1:11" x14ac:dyDescent="0.25">
      <c r="A7956">
        <v>7955</v>
      </c>
      <c r="B7956" s="23">
        <v>1266.559</v>
      </c>
      <c r="C7956" s="23">
        <v>668.44</v>
      </c>
      <c r="D7956" s="23">
        <v>2532.4360000000001</v>
      </c>
      <c r="E7956" s="23">
        <v>1266.559</v>
      </c>
      <c r="F7956" s="23">
        <v>-1265.877</v>
      </c>
      <c r="G7956" s="23">
        <v>0</v>
      </c>
      <c r="H7956" s="23">
        <v>0</v>
      </c>
      <c r="I7956" s="23">
        <v>0</v>
      </c>
      <c r="J7956" s="23">
        <v>0</v>
      </c>
      <c r="K7956" s="23">
        <v>0</v>
      </c>
    </row>
    <row r="7957" spans="1:11" x14ac:dyDescent="0.25">
      <c r="A7957">
        <v>7956</v>
      </c>
      <c r="B7957" s="23">
        <v>1524.5</v>
      </c>
      <c r="C7957" s="23">
        <v>787.11</v>
      </c>
      <c r="D7957" s="23">
        <v>2941.3530000000001</v>
      </c>
      <c r="E7957" s="23">
        <v>1524.5</v>
      </c>
      <c r="F7957" s="23">
        <v>-1416.8530000000001</v>
      </c>
      <c r="G7957" s="23">
        <v>0</v>
      </c>
      <c r="H7957" s="23">
        <v>0</v>
      </c>
      <c r="I7957" s="23">
        <v>0</v>
      </c>
      <c r="J7957" s="23">
        <v>0</v>
      </c>
      <c r="K7957" s="23">
        <v>0</v>
      </c>
    </row>
    <row r="7958" spans="1:11" x14ac:dyDescent="0.25">
      <c r="A7958">
        <v>7957</v>
      </c>
      <c r="B7958" s="23">
        <v>1553.979</v>
      </c>
      <c r="C7958" s="23">
        <v>698.75</v>
      </c>
      <c r="D7958" s="23">
        <v>2622.8009999999999</v>
      </c>
      <c r="E7958" s="23">
        <v>1553.979</v>
      </c>
      <c r="F7958" s="23">
        <v>-1068.8219999999999</v>
      </c>
      <c r="G7958" s="23">
        <v>0</v>
      </c>
      <c r="H7958" s="23">
        <v>0</v>
      </c>
      <c r="I7958" s="23">
        <v>0</v>
      </c>
      <c r="J7958" s="23">
        <v>0</v>
      </c>
      <c r="K7958" s="23">
        <v>0</v>
      </c>
    </row>
    <row r="7959" spans="1:11" x14ac:dyDescent="0.25">
      <c r="A7959">
        <v>7958</v>
      </c>
      <c r="B7959" s="23">
        <v>1388.914</v>
      </c>
      <c r="C7959" s="23">
        <v>527.29</v>
      </c>
      <c r="D7959" s="23">
        <v>2009.31</v>
      </c>
      <c r="E7959" s="23">
        <v>1388.914</v>
      </c>
      <c r="F7959" s="23">
        <v>-620.39599999999996</v>
      </c>
      <c r="G7959" s="23">
        <v>0</v>
      </c>
      <c r="H7959" s="23">
        <v>0</v>
      </c>
      <c r="I7959" s="23">
        <v>0</v>
      </c>
      <c r="J7959" s="23">
        <v>0</v>
      </c>
      <c r="K7959" s="23">
        <v>0</v>
      </c>
    </row>
    <row r="7960" spans="1:11" x14ac:dyDescent="0.25">
      <c r="A7960">
        <v>7959</v>
      </c>
      <c r="B7960" s="23">
        <v>1652.723</v>
      </c>
      <c r="C7960" s="23">
        <v>276.02999999999997</v>
      </c>
      <c r="D7960" s="23">
        <v>1061.8119999999999</v>
      </c>
      <c r="E7960" s="23">
        <v>1061.8119999999999</v>
      </c>
      <c r="F7960" s="23">
        <v>0</v>
      </c>
      <c r="G7960" s="23">
        <v>0</v>
      </c>
      <c r="H7960" s="23">
        <v>0</v>
      </c>
      <c r="I7960" s="23">
        <v>590.91099999999994</v>
      </c>
      <c r="J7960" s="23">
        <v>0</v>
      </c>
      <c r="K7960" s="23">
        <v>0</v>
      </c>
    </row>
    <row r="7961" spans="1:11" x14ac:dyDescent="0.25">
      <c r="A7961">
        <v>7960</v>
      </c>
      <c r="B7961" s="23">
        <v>1570.2739999999999</v>
      </c>
      <c r="C7961" s="23">
        <v>285.47000000000003</v>
      </c>
      <c r="D7961" s="23">
        <v>1123.1859999999999</v>
      </c>
      <c r="E7961" s="23">
        <v>1123.1859999999999</v>
      </c>
      <c r="F7961" s="23">
        <v>0</v>
      </c>
      <c r="G7961" s="23">
        <v>0</v>
      </c>
      <c r="H7961" s="23">
        <v>0</v>
      </c>
      <c r="I7961" s="23">
        <v>447.08800000000002</v>
      </c>
      <c r="J7961" s="23">
        <v>0</v>
      </c>
      <c r="K7961" s="23">
        <v>0</v>
      </c>
    </row>
    <row r="7962" spans="1:11" x14ac:dyDescent="0.25">
      <c r="A7962">
        <v>7961</v>
      </c>
      <c r="B7962" s="23">
        <v>1459.662</v>
      </c>
      <c r="C7962" s="23">
        <v>166.4</v>
      </c>
      <c r="D7962" s="23">
        <v>600.73099999999999</v>
      </c>
      <c r="E7962" s="23">
        <v>600.73099999999999</v>
      </c>
      <c r="F7962" s="23">
        <v>0</v>
      </c>
      <c r="G7962" s="23">
        <v>0</v>
      </c>
      <c r="H7962" s="23">
        <v>0</v>
      </c>
      <c r="I7962" s="23">
        <v>858.93100000000004</v>
      </c>
      <c r="J7962" s="23">
        <v>0</v>
      </c>
      <c r="K7962" s="23">
        <v>0</v>
      </c>
    </row>
    <row r="7963" spans="1:11" x14ac:dyDescent="0.25">
      <c r="A7963">
        <v>7962</v>
      </c>
      <c r="B7963" s="23">
        <v>1449.5830000000001</v>
      </c>
      <c r="C7963" s="23">
        <v>1.96</v>
      </c>
      <c r="D7963" s="23">
        <v>0</v>
      </c>
      <c r="E7963" s="23">
        <v>0</v>
      </c>
      <c r="F7963" s="23">
        <v>0</v>
      </c>
      <c r="G7963" s="23">
        <v>0</v>
      </c>
      <c r="H7963" s="23">
        <v>0</v>
      </c>
      <c r="I7963" s="23">
        <v>0</v>
      </c>
      <c r="J7963" s="23">
        <v>0</v>
      </c>
      <c r="K7963" s="23">
        <v>1449.5830000000001</v>
      </c>
    </row>
    <row r="7964" spans="1:11" x14ac:dyDescent="0.25">
      <c r="A7964">
        <v>7963</v>
      </c>
      <c r="B7964" s="23">
        <v>1372.8</v>
      </c>
      <c r="C7964" s="23">
        <v>0</v>
      </c>
      <c r="D7964" s="23">
        <v>0</v>
      </c>
      <c r="E7964" s="23">
        <v>0</v>
      </c>
      <c r="F7964" s="23">
        <v>0</v>
      </c>
      <c r="G7964" s="23">
        <v>0</v>
      </c>
      <c r="H7964" s="23">
        <v>0</v>
      </c>
      <c r="I7964" s="23">
        <v>0</v>
      </c>
      <c r="J7964" s="23">
        <v>0</v>
      </c>
      <c r="K7964" s="23">
        <v>1372.8</v>
      </c>
    </row>
    <row r="7965" spans="1:11" x14ac:dyDescent="0.25">
      <c r="A7965">
        <v>7964</v>
      </c>
      <c r="B7965" s="23">
        <v>1579.2</v>
      </c>
      <c r="C7965" s="23">
        <v>0</v>
      </c>
      <c r="D7965" s="23">
        <v>0</v>
      </c>
      <c r="E7965" s="23">
        <v>0</v>
      </c>
      <c r="F7965" s="23">
        <v>0</v>
      </c>
      <c r="G7965" s="23">
        <v>0</v>
      </c>
      <c r="H7965" s="23">
        <v>0</v>
      </c>
      <c r="I7965" s="23">
        <v>0</v>
      </c>
      <c r="J7965" s="23">
        <v>0</v>
      </c>
      <c r="K7965" s="23">
        <v>1579.2</v>
      </c>
    </row>
    <row r="7966" spans="1:11" x14ac:dyDescent="0.25">
      <c r="A7966">
        <v>7965</v>
      </c>
      <c r="B7966" s="23">
        <v>1569.6</v>
      </c>
      <c r="C7966" s="23">
        <v>0</v>
      </c>
      <c r="D7966" s="23">
        <v>0</v>
      </c>
      <c r="E7966" s="23">
        <v>0</v>
      </c>
      <c r="F7966" s="23">
        <v>0</v>
      </c>
      <c r="G7966" s="23">
        <v>0</v>
      </c>
      <c r="H7966" s="23">
        <v>0</v>
      </c>
      <c r="I7966" s="23">
        <v>1569.6</v>
      </c>
      <c r="J7966" s="23">
        <v>0</v>
      </c>
      <c r="K7966" s="23">
        <v>0</v>
      </c>
    </row>
    <row r="7967" spans="1:11" x14ac:dyDescent="0.25">
      <c r="A7967">
        <v>7966</v>
      </c>
      <c r="B7967" s="23">
        <v>1548.8</v>
      </c>
      <c r="C7967" s="23">
        <v>0</v>
      </c>
      <c r="D7967" s="23">
        <v>0</v>
      </c>
      <c r="E7967" s="23">
        <v>0</v>
      </c>
      <c r="F7967" s="23">
        <v>0</v>
      </c>
      <c r="G7967" s="23">
        <v>0</v>
      </c>
      <c r="H7967" s="23">
        <v>0</v>
      </c>
      <c r="I7967" s="23">
        <v>1548.8</v>
      </c>
      <c r="J7967" s="23">
        <v>0</v>
      </c>
      <c r="K7967" s="23">
        <v>0</v>
      </c>
    </row>
    <row r="7968" spans="1:11" x14ac:dyDescent="0.25">
      <c r="A7968">
        <v>7967</v>
      </c>
      <c r="B7968" s="23">
        <v>1433.6</v>
      </c>
      <c r="C7968" s="23">
        <v>0</v>
      </c>
      <c r="D7968" s="23">
        <v>0</v>
      </c>
      <c r="E7968" s="23">
        <v>0</v>
      </c>
      <c r="F7968" s="23">
        <v>0</v>
      </c>
      <c r="G7968" s="23">
        <v>0</v>
      </c>
      <c r="H7968" s="23">
        <v>0</v>
      </c>
      <c r="I7968" s="23">
        <v>1433.6</v>
      </c>
      <c r="J7968" s="23">
        <v>0</v>
      </c>
      <c r="K7968" s="23">
        <v>0</v>
      </c>
    </row>
    <row r="7969" spans="1:11" x14ac:dyDescent="0.25">
      <c r="A7969">
        <v>7968</v>
      </c>
      <c r="B7969" s="23">
        <v>1310.4000000000001</v>
      </c>
      <c r="C7969" s="23">
        <v>0</v>
      </c>
      <c r="D7969" s="23">
        <v>0</v>
      </c>
      <c r="E7969" s="23">
        <v>0</v>
      </c>
      <c r="F7969" s="23">
        <v>0</v>
      </c>
      <c r="G7969" s="23">
        <v>0</v>
      </c>
      <c r="H7969" s="23">
        <v>0</v>
      </c>
      <c r="I7969" s="23">
        <v>1310.4000000000001</v>
      </c>
      <c r="J7969" s="23">
        <v>0</v>
      </c>
      <c r="K7969" s="23">
        <v>0</v>
      </c>
    </row>
    <row r="7970" spans="1:11" x14ac:dyDescent="0.25">
      <c r="A7970">
        <v>7969</v>
      </c>
      <c r="B7970" s="23">
        <v>1088</v>
      </c>
      <c r="C7970" s="23">
        <v>0</v>
      </c>
      <c r="D7970" s="23">
        <v>0</v>
      </c>
      <c r="E7970" s="23">
        <v>0</v>
      </c>
      <c r="F7970" s="23">
        <v>0</v>
      </c>
      <c r="G7970" s="23">
        <v>0</v>
      </c>
      <c r="H7970" s="23">
        <v>0</v>
      </c>
      <c r="I7970" s="23">
        <v>1088</v>
      </c>
      <c r="J7970" s="23">
        <v>0</v>
      </c>
      <c r="K7970" s="23">
        <v>0</v>
      </c>
    </row>
    <row r="7971" spans="1:11" x14ac:dyDescent="0.25">
      <c r="A7971">
        <v>7970</v>
      </c>
      <c r="B7971" s="23">
        <v>1392</v>
      </c>
      <c r="C7971" s="23">
        <v>0</v>
      </c>
      <c r="D7971" s="23">
        <v>0</v>
      </c>
      <c r="E7971" s="23">
        <v>0</v>
      </c>
      <c r="F7971" s="23">
        <v>0</v>
      </c>
      <c r="G7971" s="23">
        <v>0</v>
      </c>
      <c r="H7971" s="23">
        <v>0</v>
      </c>
      <c r="I7971" s="23">
        <v>1392</v>
      </c>
      <c r="J7971" s="23">
        <v>0</v>
      </c>
      <c r="K7971" s="23">
        <v>0</v>
      </c>
    </row>
    <row r="7972" spans="1:11" x14ac:dyDescent="0.25">
      <c r="A7972">
        <v>7971</v>
      </c>
      <c r="B7972" s="23">
        <v>1436.8</v>
      </c>
      <c r="C7972" s="23">
        <v>0</v>
      </c>
      <c r="D7972" s="23">
        <v>0</v>
      </c>
      <c r="E7972" s="23">
        <v>0</v>
      </c>
      <c r="F7972" s="23">
        <v>0</v>
      </c>
      <c r="G7972" s="23">
        <v>0</v>
      </c>
      <c r="H7972" s="23">
        <v>0</v>
      </c>
      <c r="I7972" s="23">
        <v>1436.8</v>
      </c>
      <c r="J7972" s="23">
        <v>0</v>
      </c>
      <c r="K7972" s="23">
        <v>0</v>
      </c>
    </row>
    <row r="7973" spans="1:11" x14ac:dyDescent="0.25">
      <c r="A7973">
        <v>7972</v>
      </c>
      <c r="B7973" s="23">
        <v>1538.4</v>
      </c>
      <c r="C7973" s="23">
        <v>0</v>
      </c>
      <c r="D7973" s="23">
        <v>0</v>
      </c>
      <c r="E7973" s="23">
        <v>0</v>
      </c>
      <c r="F7973" s="23">
        <v>0</v>
      </c>
      <c r="G7973" s="23">
        <v>0</v>
      </c>
      <c r="H7973" s="23">
        <v>0</v>
      </c>
      <c r="I7973" s="23">
        <v>1538.4</v>
      </c>
      <c r="J7973" s="23">
        <v>0</v>
      </c>
      <c r="K7973" s="23">
        <v>0</v>
      </c>
    </row>
    <row r="7974" spans="1:11" x14ac:dyDescent="0.25">
      <c r="A7974">
        <v>7973</v>
      </c>
      <c r="B7974" s="23">
        <v>1468</v>
      </c>
      <c r="C7974" s="23">
        <v>0</v>
      </c>
      <c r="D7974" s="23">
        <v>0</v>
      </c>
      <c r="E7974" s="23">
        <v>0</v>
      </c>
      <c r="F7974" s="23">
        <v>0</v>
      </c>
      <c r="G7974" s="23">
        <v>0</v>
      </c>
      <c r="H7974" s="23">
        <v>0</v>
      </c>
      <c r="I7974" s="23">
        <v>1468</v>
      </c>
      <c r="J7974" s="23">
        <v>0</v>
      </c>
      <c r="K7974" s="23">
        <v>0</v>
      </c>
    </row>
    <row r="7975" spans="1:11" x14ac:dyDescent="0.25">
      <c r="A7975">
        <v>7974</v>
      </c>
      <c r="B7975" s="23">
        <v>1324</v>
      </c>
      <c r="C7975" s="23">
        <v>0</v>
      </c>
      <c r="D7975" s="23">
        <v>0</v>
      </c>
      <c r="E7975" s="23">
        <v>0</v>
      </c>
      <c r="F7975" s="23">
        <v>0</v>
      </c>
      <c r="G7975" s="23">
        <v>0</v>
      </c>
      <c r="H7975" s="23">
        <v>0</v>
      </c>
      <c r="I7975" s="23">
        <v>1324</v>
      </c>
      <c r="J7975" s="23">
        <v>0</v>
      </c>
      <c r="K7975" s="23">
        <v>0</v>
      </c>
    </row>
    <row r="7976" spans="1:11" x14ac:dyDescent="0.25">
      <c r="A7976">
        <v>7975</v>
      </c>
      <c r="B7976" s="23">
        <v>916</v>
      </c>
      <c r="C7976" s="23">
        <v>11.75</v>
      </c>
      <c r="D7976" s="23">
        <v>20.734999999999999</v>
      </c>
      <c r="E7976" s="23">
        <v>0</v>
      </c>
      <c r="F7976" s="23">
        <v>-20.734999999999999</v>
      </c>
      <c r="G7976" s="23">
        <v>0</v>
      </c>
      <c r="H7976" s="23">
        <v>0</v>
      </c>
      <c r="I7976" s="23">
        <v>916</v>
      </c>
      <c r="J7976" s="23">
        <v>0</v>
      </c>
      <c r="K7976" s="23">
        <v>0</v>
      </c>
    </row>
    <row r="7977" spans="1:11" x14ac:dyDescent="0.25">
      <c r="A7977">
        <v>7976</v>
      </c>
      <c r="B7977" s="23">
        <v>1538.8330000000001</v>
      </c>
      <c r="C7977" s="23">
        <v>91.68</v>
      </c>
      <c r="D7977" s="23">
        <v>345.20699999999999</v>
      </c>
      <c r="E7977" s="23">
        <v>0</v>
      </c>
      <c r="F7977" s="23">
        <v>-345.20699999999999</v>
      </c>
      <c r="G7977" s="23">
        <v>0</v>
      </c>
      <c r="H7977" s="23">
        <v>0</v>
      </c>
      <c r="I7977" s="23">
        <v>1538.8330000000001</v>
      </c>
      <c r="J7977" s="23">
        <v>0</v>
      </c>
      <c r="K7977" s="23">
        <v>0</v>
      </c>
    </row>
    <row r="7978" spans="1:11" x14ac:dyDescent="0.25">
      <c r="A7978">
        <v>7977</v>
      </c>
      <c r="B7978" s="23">
        <v>1337.0619999999999</v>
      </c>
      <c r="C7978" s="23">
        <v>222.19</v>
      </c>
      <c r="D7978" s="23">
        <v>870.47199999999998</v>
      </c>
      <c r="E7978" s="23">
        <v>0</v>
      </c>
      <c r="F7978" s="23">
        <v>-870.47199999999998</v>
      </c>
      <c r="G7978" s="23">
        <v>0</v>
      </c>
      <c r="H7978" s="23">
        <v>0</v>
      </c>
      <c r="I7978" s="23">
        <v>1337.0619999999999</v>
      </c>
      <c r="J7978" s="23">
        <v>0</v>
      </c>
      <c r="K7978" s="23">
        <v>0</v>
      </c>
    </row>
    <row r="7979" spans="1:11" x14ac:dyDescent="0.25">
      <c r="A7979">
        <v>7978</v>
      </c>
      <c r="B7979" s="23">
        <v>1341.153</v>
      </c>
      <c r="C7979" s="23">
        <v>392.25</v>
      </c>
      <c r="D7979" s="23">
        <v>1533.0840000000001</v>
      </c>
      <c r="E7979" s="23">
        <v>1264.213</v>
      </c>
      <c r="F7979" s="23">
        <v>-268.87099999999998</v>
      </c>
      <c r="G7979" s="23">
        <v>0</v>
      </c>
      <c r="H7979" s="23">
        <v>0</v>
      </c>
      <c r="I7979" s="23">
        <v>76.94</v>
      </c>
      <c r="J7979" s="23">
        <v>0</v>
      </c>
      <c r="K7979" s="23">
        <v>0</v>
      </c>
    </row>
    <row r="7980" spans="1:11" x14ac:dyDescent="0.25">
      <c r="A7980">
        <v>7979</v>
      </c>
      <c r="B7980" s="23">
        <v>1403.1969999999999</v>
      </c>
      <c r="C7980" s="23">
        <v>419.54</v>
      </c>
      <c r="D7980" s="23">
        <v>1624.048</v>
      </c>
      <c r="E7980" s="23">
        <v>1403.1969999999999</v>
      </c>
      <c r="F7980" s="23">
        <v>-220.851</v>
      </c>
      <c r="G7980" s="23">
        <v>0</v>
      </c>
      <c r="H7980" s="23">
        <v>0</v>
      </c>
      <c r="I7980" s="23">
        <v>0</v>
      </c>
      <c r="J7980" s="23">
        <v>0</v>
      </c>
      <c r="K7980" s="23">
        <v>0</v>
      </c>
    </row>
    <row r="7981" spans="1:11" x14ac:dyDescent="0.25">
      <c r="A7981">
        <v>7980</v>
      </c>
      <c r="B7981" s="23">
        <v>1495.0219999999999</v>
      </c>
      <c r="C7981" s="23">
        <v>546.54</v>
      </c>
      <c r="D7981" s="23">
        <v>2100.2739999999999</v>
      </c>
      <c r="E7981" s="23">
        <v>1495.0219999999999</v>
      </c>
      <c r="F7981" s="23">
        <v>-605.25199999999995</v>
      </c>
      <c r="G7981" s="23">
        <v>0</v>
      </c>
      <c r="H7981" s="23">
        <v>0</v>
      </c>
      <c r="I7981" s="23">
        <v>0</v>
      </c>
      <c r="J7981" s="23">
        <v>0</v>
      </c>
      <c r="K7981" s="23">
        <v>0</v>
      </c>
    </row>
    <row r="7982" spans="1:11" x14ac:dyDescent="0.25">
      <c r="A7982">
        <v>7981</v>
      </c>
      <c r="B7982" s="23">
        <v>1415.7909999999999</v>
      </c>
      <c r="C7982" s="23">
        <v>412.68</v>
      </c>
      <c r="D7982" s="23">
        <v>1594.143</v>
      </c>
      <c r="E7982" s="23">
        <v>1415.7909999999999</v>
      </c>
      <c r="F7982" s="23">
        <v>-178.352</v>
      </c>
      <c r="G7982" s="23">
        <v>0</v>
      </c>
      <c r="H7982" s="23">
        <v>0</v>
      </c>
      <c r="I7982" s="23">
        <v>0</v>
      </c>
      <c r="J7982" s="23">
        <v>0</v>
      </c>
      <c r="K7982" s="23">
        <v>0</v>
      </c>
    </row>
    <row r="7983" spans="1:11" x14ac:dyDescent="0.25">
      <c r="A7983">
        <v>7982</v>
      </c>
      <c r="B7983" s="23">
        <v>1603.039</v>
      </c>
      <c r="C7983" s="23">
        <v>402.26</v>
      </c>
      <c r="D7983" s="23">
        <v>1563.546</v>
      </c>
      <c r="E7983" s="23">
        <v>1563.546</v>
      </c>
      <c r="F7983" s="23">
        <v>0</v>
      </c>
      <c r="G7983" s="23">
        <v>0</v>
      </c>
      <c r="H7983" s="23">
        <v>0</v>
      </c>
      <c r="I7983" s="23">
        <v>39.493000000000002</v>
      </c>
      <c r="J7983" s="23">
        <v>0</v>
      </c>
      <c r="K7983" s="23">
        <v>0</v>
      </c>
    </row>
    <row r="7984" spans="1:11" x14ac:dyDescent="0.25">
      <c r="A7984">
        <v>7983</v>
      </c>
      <c r="B7984" s="23">
        <v>1305.4770000000001</v>
      </c>
      <c r="C7984" s="23">
        <v>384.97</v>
      </c>
      <c r="D7984" s="23">
        <v>1512.586</v>
      </c>
      <c r="E7984" s="23">
        <v>1305.4770000000001</v>
      </c>
      <c r="F7984" s="23">
        <v>-207.10900000000001</v>
      </c>
      <c r="G7984" s="23">
        <v>0</v>
      </c>
      <c r="H7984" s="23">
        <v>0</v>
      </c>
      <c r="I7984" s="23">
        <v>0</v>
      </c>
      <c r="J7984" s="23">
        <v>0</v>
      </c>
      <c r="K7984" s="23">
        <v>0</v>
      </c>
    </row>
    <row r="7985" spans="1:11" x14ac:dyDescent="0.25">
      <c r="A7985">
        <v>7984</v>
      </c>
      <c r="B7985" s="23">
        <v>1797.5</v>
      </c>
      <c r="C7985" s="23">
        <v>105.05</v>
      </c>
      <c r="D7985" s="23">
        <v>394.91699999999997</v>
      </c>
      <c r="E7985" s="23">
        <v>394.91699999999997</v>
      </c>
      <c r="F7985" s="23">
        <v>0</v>
      </c>
      <c r="G7985" s="23">
        <v>0</v>
      </c>
      <c r="H7985" s="23">
        <v>0</v>
      </c>
      <c r="I7985" s="23">
        <v>1402.5830000000001</v>
      </c>
      <c r="J7985" s="23">
        <v>0</v>
      </c>
      <c r="K7985" s="23">
        <v>0</v>
      </c>
    </row>
    <row r="7986" spans="1:11" x14ac:dyDescent="0.25">
      <c r="A7986">
        <v>7985</v>
      </c>
      <c r="B7986" s="23">
        <v>1690.3989999999999</v>
      </c>
      <c r="C7986" s="23">
        <v>8.81</v>
      </c>
      <c r="D7986" s="23">
        <v>10.771000000000001</v>
      </c>
      <c r="E7986" s="23">
        <v>10.771000000000001</v>
      </c>
      <c r="F7986" s="23">
        <v>0</v>
      </c>
      <c r="G7986" s="23">
        <v>0</v>
      </c>
      <c r="H7986" s="23">
        <v>0</v>
      </c>
      <c r="I7986" s="23">
        <v>1679.6279999999999</v>
      </c>
      <c r="J7986" s="23">
        <v>0</v>
      </c>
      <c r="K7986" s="23">
        <v>0</v>
      </c>
    </row>
    <row r="7987" spans="1:11" x14ac:dyDescent="0.25">
      <c r="A7987">
        <v>7986</v>
      </c>
      <c r="B7987" s="23">
        <v>1741.499</v>
      </c>
      <c r="C7987" s="23">
        <v>0.98</v>
      </c>
      <c r="D7987" s="23">
        <v>0</v>
      </c>
      <c r="E7987" s="23">
        <v>0</v>
      </c>
      <c r="F7987" s="23">
        <v>0</v>
      </c>
      <c r="G7987" s="23">
        <v>0</v>
      </c>
      <c r="H7987" s="23">
        <v>0</v>
      </c>
      <c r="I7987" s="23">
        <v>56.94</v>
      </c>
      <c r="J7987" s="23">
        <v>0</v>
      </c>
      <c r="K7987" s="23">
        <v>1684.559</v>
      </c>
    </row>
    <row r="7988" spans="1:11" x14ac:dyDescent="0.25">
      <c r="A7988">
        <v>7987</v>
      </c>
      <c r="B7988" s="23">
        <v>1718.4</v>
      </c>
      <c r="C7988" s="23">
        <v>0</v>
      </c>
      <c r="D7988" s="23">
        <v>0</v>
      </c>
      <c r="E7988" s="23">
        <v>0</v>
      </c>
      <c r="F7988" s="23">
        <v>0</v>
      </c>
      <c r="G7988" s="23">
        <v>0</v>
      </c>
      <c r="H7988" s="23">
        <v>0</v>
      </c>
      <c r="I7988" s="23">
        <v>33.841000000000001</v>
      </c>
      <c r="J7988" s="23">
        <v>0</v>
      </c>
      <c r="K7988" s="23">
        <v>1684.559</v>
      </c>
    </row>
    <row r="7989" spans="1:11" x14ac:dyDescent="0.25">
      <c r="A7989">
        <v>7988</v>
      </c>
      <c r="B7989" s="23">
        <v>1222.4000000000001</v>
      </c>
      <c r="C7989" s="23">
        <v>0</v>
      </c>
      <c r="D7989" s="23">
        <v>0</v>
      </c>
      <c r="E7989" s="23">
        <v>0</v>
      </c>
      <c r="F7989" s="23">
        <v>0</v>
      </c>
      <c r="G7989" s="23">
        <v>0</v>
      </c>
      <c r="H7989" s="23">
        <v>0</v>
      </c>
      <c r="I7989" s="23">
        <v>0</v>
      </c>
      <c r="J7989" s="23">
        <v>0</v>
      </c>
      <c r="K7989" s="23">
        <v>1222.4000000000001</v>
      </c>
    </row>
    <row r="7990" spans="1:11" x14ac:dyDescent="0.25">
      <c r="A7990">
        <v>7989</v>
      </c>
      <c r="B7990" s="23">
        <v>1288</v>
      </c>
      <c r="C7990" s="23">
        <v>0</v>
      </c>
      <c r="D7990" s="23">
        <v>0</v>
      </c>
      <c r="E7990" s="23">
        <v>0</v>
      </c>
      <c r="F7990" s="23">
        <v>0</v>
      </c>
      <c r="G7990" s="23">
        <v>0</v>
      </c>
      <c r="H7990" s="23">
        <v>0</v>
      </c>
      <c r="I7990" s="23">
        <v>1288</v>
      </c>
      <c r="J7990" s="23">
        <v>0</v>
      </c>
      <c r="K7990" s="23">
        <v>0</v>
      </c>
    </row>
    <row r="7991" spans="1:11" x14ac:dyDescent="0.25">
      <c r="A7991">
        <v>7990</v>
      </c>
      <c r="B7991" s="23">
        <v>1320.8</v>
      </c>
      <c r="C7991" s="23">
        <v>0</v>
      </c>
      <c r="D7991" s="23">
        <v>0</v>
      </c>
      <c r="E7991" s="23">
        <v>0</v>
      </c>
      <c r="F7991" s="23">
        <v>0</v>
      </c>
      <c r="G7991" s="23">
        <v>0</v>
      </c>
      <c r="H7991" s="23">
        <v>0</v>
      </c>
      <c r="I7991" s="23">
        <v>1320.8</v>
      </c>
      <c r="J7991" s="23">
        <v>0</v>
      </c>
      <c r="K7991" s="23">
        <v>0</v>
      </c>
    </row>
    <row r="7992" spans="1:11" x14ac:dyDescent="0.25">
      <c r="A7992">
        <v>7991</v>
      </c>
      <c r="B7992" s="23">
        <v>1376</v>
      </c>
      <c r="C7992" s="23">
        <v>0</v>
      </c>
      <c r="D7992" s="23">
        <v>0</v>
      </c>
      <c r="E7992" s="23">
        <v>0</v>
      </c>
      <c r="F7992" s="23">
        <v>0</v>
      </c>
      <c r="G7992" s="23">
        <v>0</v>
      </c>
      <c r="H7992" s="23">
        <v>0</v>
      </c>
      <c r="I7992" s="23">
        <v>1376</v>
      </c>
      <c r="J7992" s="23">
        <v>0</v>
      </c>
      <c r="K7992" s="23">
        <v>0</v>
      </c>
    </row>
    <row r="7993" spans="1:11" x14ac:dyDescent="0.25">
      <c r="A7993">
        <v>7992</v>
      </c>
      <c r="B7993" s="23">
        <v>1328.8</v>
      </c>
      <c r="C7993" s="23">
        <v>0</v>
      </c>
      <c r="D7993" s="23">
        <v>0</v>
      </c>
      <c r="E7993" s="23">
        <v>0</v>
      </c>
      <c r="F7993" s="23">
        <v>0</v>
      </c>
      <c r="G7993" s="23">
        <v>0</v>
      </c>
      <c r="H7993" s="23">
        <v>0</v>
      </c>
      <c r="I7993" s="23">
        <v>1328.8</v>
      </c>
      <c r="J7993" s="23">
        <v>0</v>
      </c>
      <c r="K7993" s="23">
        <v>0</v>
      </c>
    </row>
    <row r="7994" spans="1:11" x14ac:dyDescent="0.25">
      <c r="A7994">
        <v>7993</v>
      </c>
      <c r="B7994" s="23">
        <v>1398.4</v>
      </c>
      <c r="C7994" s="23">
        <v>0</v>
      </c>
      <c r="D7994" s="23">
        <v>0</v>
      </c>
      <c r="E7994" s="23">
        <v>0</v>
      </c>
      <c r="F7994" s="23">
        <v>0</v>
      </c>
      <c r="G7994" s="23">
        <v>0</v>
      </c>
      <c r="H7994" s="23">
        <v>0</v>
      </c>
      <c r="I7994" s="23">
        <v>1398.4</v>
      </c>
      <c r="J7994" s="23">
        <v>0</v>
      </c>
      <c r="K7994" s="23">
        <v>0</v>
      </c>
    </row>
    <row r="7995" spans="1:11" x14ac:dyDescent="0.25">
      <c r="A7995">
        <v>7994</v>
      </c>
      <c r="B7995" s="23">
        <v>1504</v>
      </c>
      <c r="C7995" s="23">
        <v>0</v>
      </c>
      <c r="D7995" s="23">
        <v>0</v>
      </c>
      <c r="E7995" s="23">
        <v>0</v>
      </c>
      <c r="F7995" s="23">
        <v>0</v>
      </c>
      <c r="G7995" s="23">
        <v>0</v>
      </c>
      <c r="H7995" s="23">
        <v>0</v>
      </c>
      <c r="I7995" s="23">
        <v>1504</v>
      </c>
      <c r="J7995" s="23">
        <v>0</v>
      </c>
      <c r="K7995" s="23">
        <v>0</v>
      </c>
    </row>
    <row r="7996" spans="1:11" x14ac:dyDescent="0.25">
      <c r="A7996">
        <v>7995</v>
      </c>
      <c r="B7996" s="23">
        <v>1284</v>
      </c>
      <c r="C7996" s="23">
        <v>0</v>
      </c>
      <c r="D7996" s="23">
        <v>0</v>
      </c>
      <c r="E7996" s="23">
        <v>0</v>
      </c>
      <c r="F7996" s="23">
        <v>0</v>
      </c>
      <c r="G7996" s="23">
        <v>0</v>
      </c>
      <c r="H7996" s="23">
        <v>0</v>
      </c>
      <c r="I7996" s="23">
        <v>1284</v>
      </c>
      <c r="J7996" s="23">
        <v>0</v>
      </c>
      <c r="K7996" s="23">
        <v>0</v>
      </c>
    </row>
    <row r="7997" spans="1:11" x14ac:dyDescent="0.25">
      <c r="A7997">
        <v>7996</v>
      </c>
      <c r="B7997" s="23">
        <v>1360.8</v>
      </c>
      <c r="C7997" s="23">
        <v>0</v>
      </c>
      <c r="D7997" s="23">
        <v>0</v>
      </c>
      <c r="E7997" s="23">
        <v>0</v>
      </c>
      <c r="F7997" s="23">
        <v>0</v>
      </c>
      <c r="G7997" s="23">
        <v>0</v>
      </c>
      <c r="H7997" s="23">
        <v>0</v>
      </c>
      <c r="I7997" s="23">
        <v>1360.8</v>
      </c>
      <c r="J7997" s="23">
        <v>0</v>
      </c>
      <c r="K7997" s="23">
        <v>0</v>
      </c>
    </row>
    <row r="7998" spans="1:11" x14ac:dyDescent="0.25">
      <c r="A7998">
        <v>7997</v>
      </c>
      <c r="B7998" s="23">
        <v>1429.6</v>
      </c>
      <c r="C7998" s="23">
        <v>0</v>
      </c>
      <c r="D7998" s="23">
        <v>0</v>
      </c>
      <c r="E7998" s="23">
        <v>0</v>
      </c>
      <c r="F7998" s="23">
        <v>0</v>
      </c>
      <c r="G7998" s="23">
        <v>0</v>
      </c>
      <c r="H7998" s="23">
        <v>0</v>
      </c>
      <c r="I7998" s="23">
        <v>1429.6</v>
      </c>
      <c r="J7998" s="23">
        <v>0</v>
      </c>
      <c r="K7998" s="23">
        <v>0</v>
      </c>
    </row>
    <row r="7999" spans="1:11" x14ac:dyDescent="0.25">
      <c r="A7999">
        <v>7998</v>
      </c>
      <c r="B7999" s="23">
        <v>1222.4000000000001</v>
      </c>
      <c r="C7999" s="23">
        <v>0</v>
      </c>
      <c r="D7999" s="23">
        <v>0</v>
      </c>
      <c r="E7999" s="23">
        <v>0</v>
      </c>
      <c r="F7999" s="23">
        <v>0</v>
      </c>
      <c r="G7999" s="23">
        <v>0</v>
      </c>
      <c r="H7999" s="23">
        <v>0</v>
      </c>
      <c r="I7999" s="23">
        <v>1222.4000000000001</v>
      </c>
      <c r="J7999" s="23">
        <v>0</v>
      </c>
      <c r="K7999" s="23">
        <v>0</v>
      </c>
    </row>
    <row r="8000" spans="1:11" x14ac:dyDescent="0.25">
      <c r="A8000">
        <v>7999</v>
      </c>
      <c r="B8000" s="23">
        <v>1190.56</v>
      </c>
      <c r="C8000" s="23">
        <v>41.64</v>
      </c>
      <c r="D8000" s="23">
        <v>128.46199999999999</v>
      </c>
      <c r="E8000" s="23">
        <v>128.46199999999999</v>
      </c>
      <c r="F8000" s="23">
        <v>0</v>
      </c>
      <c r="G8000" s="23">
        <v>0</v>
      </c>
      <c r="H8000" s="23">
        <v>0</v>
      </c>
      <c r="I8000" s="23">
        <v>1062.098</v>
      </c>
      <c r="J8000" s="23">
        <v>0</v>
      </c>
      <c r="K8000" s="23">
        <v>0</v>
      </c>
    </row>
    <row r="8001" spans="1:11" x14ac:dyDescent="0.25">
      <c r="A8001">
        <v>8000</v>
      </c>
      <c r="B8001" s="23">
        <v>1232.152</v>
      </c>
      <c r="C8001" s="23">
        <v>232.13</v>
      </c>
      <c r="D8001" s="23">
        <v>926.80499999999995</v>
      </c>
      <c r="E8001" s="23">
        <v>926.80499999999995</v>
      </c>
      <c r="F8001" s="23">
        <v>0</v>
      </c>
      <c r="G8001" s="23">
        <v>0</v>
      </c>
      <c r="H8001" s="23">
        <v>0</v>
      </c>
      <c r="I8001" s="23">
        <v>305.34699999999998</v>
      </c>
      <c r="J8001" s="23">
        <v>0</v>
      </c>
      <c r="K8001" s="23">
        <v>0</v>
      </c>
    </row>
    <row r="8002" spans="1:11" x14ac:dyDescent="0.25">
      <c r="A8002">
        <v>8001</v>
      </c>
      <c r="B8002" s="23">
        <v>1245.954</v>
      </c>
      <c r="C8002" s="23">
        <v>374.31</v>
      </c>
      <c r="D8002" s="23">
        <v>1496.097</v>
      </c>
      <c r="E8002" s="23">
        <v>1245.954</v>
      </c>
      <c r="F8002" s="23">
        <v>-250.143</v>
      </c>
      <c r="G8002" s="23">
        <v>0</v>
      </c>
      <c r="H8002" s="23">
        <v>0</v>
      </c>
      <c r="I8002" s="23">
        <v>0</v>
      </c>
      <c r="J8002" s="23">
        <v>0</v>
      </c>
      <c r="K8002" s="23">
        <v>0</v>
      </c>
    </row>
    <row r="8003" spans="1:11" x14ac:dyDescent="0.25">
      <c r="A8003">
        <v>8002</v>
      </c>
      <c r="B8003" s="23">
        <v>1352.375</v>
      </c>
      <c r="C8003" s="23">
        <v>574.57000000000005</v>
      </c>
      <c r="D8003" s="23">
        <v>2253.1750000000002</v>
      </c>
      <c r="E8003" s="23">
        <v>1352.375</v>
      </c>
      <c r="F8003" s="23">
        <v>-900.8</v>
      </c>
      <c r="G8003" s="23">
        <v>0</v>
      </c>
      <c r="H8003" s="23">
        <v>0</v>
      </c>
      <c r="I8003" s="23">
        <v>0</v>
      </c>
      <c r="J8003" s="23">
        <v>0</v>
      </c>
      <c r="K8003" s="23">
        <v>0</v>
      </c>
    </row>
    <row r="8004" spans="1:11" x14ac:dyDescent="0.25">
      <c r="A8004">
        <v>8003</v>
      </c>
      <c r="B8004" s="23">
        <v>1036.347</v>
      </c>
      <c r="C8004" s="23">
        <v>716.75</v>
      </c>
      <c r="D8004" s="23">
        <v>2771.518</v>
      </c>
      <c r="E8004" s="23">
        <v>1036.347</v>
      </c>
      <c r="F8004" s="23">
        <v>-1684.559</v>
      </c>
      <c r="G8004" s="23">
        <v>0</v>
      </c>
      <c r="H8004" s="23">
        <v>50.612000000000002</v>
      </c>
      <c r="I8004" s="23">
        <v>0</v>
      </c>
      <c r="J8004" s="23">
        <v>0</v>
      </c>
      <c r="K8004" s="23">
        <v>0</v>
      </c>
    </row>
    <row r="8005" spans="1:11" x14ac:dyDescent="0.25">
      <c r="A8005">
        <v>8004</v>
      </c>
      <c r="B8005" s="23">
        <v>1453.973</v>
      </c>
      <c r="C8005" s="23">
        <v>658.75</v>
      </c>
      <c r="D8005" s="23">
        <v>2546.6109999999999</v>
      </c>
      <c r="E8005" s="23">
        <v>1453.973</v>
      </c>
      <c r="F8005" s="23">
        <v>-1092.6379999999999</v>
      </c>
      <c r="G8005" s="23">
        <v>0</v>
      </c>
      <c r="H8005" s="23">
        <v>0</v>
      </c>
      <c r="I8005" s="23">
        <v>0</v>
      </c>
      <c r="J8005" s="23">
        <v>0</v>
      </c>
      <c r="K8005" s="23">
        <v>0</v>
      </c>
    </row>
    <row r="8006" spans="1:11" x14ac:dyDescent="0.25">
      <c r="A8006">
        <v>8005</v>
      </c>
      <c r="B8006" s="23">
        <v>1380.768</v>
      </c>
      <c r="C8006" s="23">
        <v>679.22</v>
      </c>
      <c r="D8006" s="23">
        <v>2630.002</v>
      </c>
      <c r="E8006" s="23">
        <v>1380.768</v>
      </c>
      <c r="F8006" s="23">
        <v>-1249.2339999999999</v>
      </c>
      <c r="G8006" s="23">
        <v>0</v>
      </c>
      <c r="H8006" s="23">
        <v>0</v>
      </c>
      <c r="I8006" s="23">
        <v>0</v>
      </c>
      <c r="J8006" s="23">
        <v>0</v>
      </c>
      <c r="K8006" s="23">
        <v>0</v>
      </c>
    </row>
    <row r="8007" spans="1:11" x14ac:dyDescent="0.25">
      <c r="A8007">
        <v>8006</v>
      </c>
      <c r="B8007" s="23">
        <v>1648.1569999999999</v>
      </c>
      <c r="C8007" s="23">
        <v>536.4</v>
      </c>
      <c r="D8007" s="23">
        <v>2096.364</v>
      </c>
      <c r="E8007" s="23">
        <v>1648.1569999999999</v>
      </c>
      <c r="F8007" s="23">
        <v>-448.20699999999999</v>
      </c>
      <c r="G8007" s="23">
        <v>0</v>
      </c>
      <c r="H8007" s="23">
        <v>0</v>
      </c>
      <c r="I8007" s="23">
        <v>0</v>
      </c>
      <c r="J8007" s="23">
        <v>0</v>
      </c>
      <c r="K8007" s="23">
        <v>0</v>
      </c>
    </row>
    <row r="8008" spans="1:11" x14ac:dyDescent="0.25">
      <c r="A8008">
        <v>8007</v>
      </c>
      <c r="B8008" s="23">
        <v>1281.2940000000001</v>
      </c>
      <c r="C8008" s="23">
        <v>408.96</v>
      </c>
      <c r="D8008" s="23">
        <v>1613.556</v>
      </c>
      <c r="E8008" s="23">
        <v>1281.2940000000001</v>
      </c>
      <c r="F8008" s="23">
        <v>-332.262</v>
      </c>
      <c r="G8008" s="23">
        <v>0</v>
      </c>
      <c r="H8008" s="23">
        <v>0</v>
      </c>
      <c r="I8008" s="23">
        <v>0</v>
      </c>
      <c r="J8008" s="23">
        <v>0</v>
      </c>
      <c r="K8008" s="23">
        <v>0</v>
      </c>
    </row>
    <row r="8009" spans="1:11" x14ac:dyDescent="0.25">
      <c r="A8009">
        <v>8008</v>
      </c>
      <c r="B8009" s="23">
        <v>1404.316</v>
      </c>
      <c r="C8009" s="23">
        <v>146.09</v>
      </c>
      <c r="D8009" s="23">
        <v>563.14</v>
      </c>
      <c r="E8009" s="23">
        <v>563.14</v>
      </c>
      <c r="F8009" s="23">
        <v>0</v>
      </c>
      <c r="G8009" s="23">
        <v>0</v>
      </c>
      <c r="H8009" s="23">
        <v>0</v>
      </c>
      <c r="I8009" s="23">
        <v>841.17600000000004</v>
      </c>
      <c r="J8009" s="23">
        <v>0</v>
      </c>
      <c r="K8009" s="23">
        <v>0</v>
      </c>
    </row>
    <row r="8010" spans="1:11" x14ac:dyDescent="0.25">
      <c r="A8010">
        <v>8009</v>
      </c>
      <c r="B8010" s="23">
        <v>1308.2249999999999</v>
      </c>
      <c r="C8010" s="23">
        <v>63.76</v>
      </c>
      <c r="D8010" s="23">
        <v>227.31899999999999</v>
      </c>
      <c r="E8010" s="23">
        <v>227.31899999999999</v>
      </c>
      <c r="F8010" s="23">
        <v>0</v>
      </c>
      <c r="G8010" s="23">
        <v>0</v>
      </c>
      <c r="H8010" s="23">
        <v>0</v>
      </c>
      <c r="I8010" s="23">
        <v>1080.9059999999999</v>
      </c>
      <c r="J8010" s="23">
        <v>0</v>
      </c>
      <c r="K8010" s="23">
        <v>0</v>
      </c>
    </row>
    <row r="8011" spans="1:11" x14ac:dyDescent="0.25">
      <c r="A8011">
        <v>8010</v>
      </c>
      <c r="B8011" s="23">
        <v>1254.2909999999999</v>
      </c>
      <c r="C8011" s="23">
        <v>1.96</v>
      </c>
      <c r="D8011" s="23">
        <v>0</v>
      </c>
      <c r="E8011" s="23">
        <v>0</v>
      </c>
      <c r="F8011" s="23">
        <v>0</v>
      </c>
      <c r="G8011" s="23">
        <v>0</v>
      </c>
      <c r="H8011" s="23">
        <v>0</v>
      </c>
      <c r="I8011" s="23">
        <v>1254.2909999999999</v>
      </c>
      <c r="J8011" s="23">
        <v>0</v>
      </c>
      <c r="K8011" s="23">
        <v>0</v>
      </c>
    </row>
    <row r="8012" spans="1:11" x14ac:dyDescent="0.25">
      <c r="A8012">
        <v>8011</v>
      </c>
      <c r="B8012" s="23">
        <v>1336</v>
      </c>
      <c r="C8012" s="23">
        <v>0</v>
      </c>
      <c r="D8012" s="23">
        <v>0</v>
      </c>
      <c r="E8012" s="23">
        <v>0</v>
      </c>
      <c r="F8012" s="23">
        <v>0</v>
      </c>
      <c r="G8012" s="23">
        <v>0</v>
      </c>
      <c r="H8012" s="23">
        <v>0</v>
      </c>
      <c r="I8012" s="23">
        <v>1336</v>
      </c>
      <c r="J8012" s="23">
        <v>0</v>
      </c>
      <c r="K8012" s="23">
        <v>0</v>
      </c>
    </row>
    <row r="8013" spans="1:11" x14ac:dyDescent="0.25">
      <c r="A8013">
        <v>8012</v>
      </c>
      <c r="B8013" s="23">
        <v>854.4</v>
      </c>
      <c r="C8013" s="23">
        <v>0</v>
      </c>
      <c r="D8013" s="23">
        <v>0</v>
      </c>
      <c r="E8013" s="23">
        <v>0</v>
      </c>
      <c r="F8013" s="23">
        <v>0</v>
      </c>
      <c r="G8013" s="23">
        <v>0</v>
      </c>
      <c r="H8013" s="23">
        <v>0</v>
      </c>
      <c r="I8013" s="23">
        <v>854.4</v>
      </c>
      <c r="J8013" s="23">
        <v>0</v>
      </c>
      <c r="K8013" s="23">
        <v>0</v>
      </c>
    </row>
    <row r="8014" spans="1:11" x14ac:dyDescent="0.25">
      <c r="A8014">
        <v>8013</v>
      </c>
      <c r="B8014" s="23">
        <v>1313.6</v>
      </c>
      <c r="C8014" s="23">
        <v>0</v>
      </c>
      <c r="D8014" s="23">
        <v>0</v>
      </c>
      <c r="E8014" s="23">
        <v>0</v>
      </c>
      <c r="F8014" s="23">
        <v>0</v>
      </c>
      <c r="G8014" s="23">
        <v>0</v>
      </c>
      <c r="H8014" s="23">
        <v>0</v>
      </c>
      <c r="I8014" s="23">
        <v>1313.6</v>
      </c>
      <c r="J8014" s="23">
        <v>0</v>
      </c>
      <c r="K8014" s="23">
        <v>0</v>
      </c>
    </row>
    <row r="8015" spans="1:11" x14ac:dyDescent="0.25">
      <c r="A8015">
        <v>8014</v>
      </c>
      <c r="B8015" s="23">
        <v>1232</v>
      </c>
      <c r="C8015" s="23">
        <v>0</v>
      </c>
      <c r="D8015" s="23">
        <v>0</v>
      </c>
      <c r="E8015" s="23">
        <v>0</v>
      </c>
      <c r="F8015" s="23">
        <v>0</v>
      </c>
      <c r="G8015" s="23">
        <v>0</v>
      </c>
      <c r="H8015" s="23">
        <v>0</v>
      </c>
      <c r="I8015" s="23">
        <v>1232</v>
      </c>
      <c r="J8015" s="23">
        <v>0</v>
      </c>
      <c r="K8015" s="23">
        <v>0</v>
      </c>
    </row>
    <row r="8016" spans="1:11" x14ac:dyDescent="0.25">
      <c r="A8016">
        <v>8015</v>
      </c>
      <c r="B8016" s="23">
        <v>1172.8</v>
      </c>
      <c r="C8016" s="23">
        <v>0</v>
      </c>
      <c r="D8016" s="23">
        <v>0</v>
      </c>
      <c r="E8016" s="23">
        <v>0</v>
      </c>
      <c r="F8016" s="23">
        <v>0</v>
      </c>
      <c r="G8016" s="23">
        <v>0</v>
      </c>
      <c r="H8016" s="23">
        <v>0</v>
      </c>
      <c r="I8016" s="23">
        <v>1067.5429999999999</v>
      </c>
      <c r="J8016" s="23">
        <v>0</v>
      </c>
      <c r="K8016" s="23">
        <v>105.25700000000001</v>
      </c>
    </row>
    <row r="8017" spans="1:11" x14ac:dyDescent="0.25">
      <c r="A8017">
        <v>8016</v>
      </c>
      <c r="B8017" s="23">
        <v>1341.6</v>
      </c>
      <c r="C8017" s="23">
        <v>0</v>
      </c>
      <c r="D8017" s="23">
        <v>0</v>
      </c>
      <c r="E8017" s="23">
        <v>0</v>
      </c>
      <c r="F8017" s="23">
        <v>0</v>
      </c>
      <c r="G8017" s="23">
        <v>0</v>
      </c>
      <c r="H8017" s="23">
        <v>0</v>
      </c>
      <c r="I8017" s="23">
        <v>0</v>
      </c>
      <c r="J8017" s="23">
        <v>0</v>
      </c>
      <c r="K8017" s="23">
        <v>1341.6</v>
      </c>
    </row>
    <row r="8018" spans="1:11" x14ac:dyDescent="0.25">
      <c r="A8018">
        <v>8017</v>
      </c>
      <c r="B8018" s="23">
        <v>1092</v>
      </c>
      <c r="C8018" s="23">
        <v>0</v>
      </c>
      <c r="D8018" s="23">
        <v>0</v>
      </c>
      <c r="E8018" s="23">
        <v>0</v>
      </c>
      <c r="F8018" s="23">
        <v>0</v>
      </c>
      <c r="G8018" s="23">
        <v>0</v>
      </c>
      <c r="H8018" s="23">
        <v>0</v>
      </c>
      <c r="I8018" s="23">
        <v>1092</v>
      </c>
      <c r="J8018" s="23">
        <v>0</v>
      </c>
      <c r="K8018" s="23">
        <v>0</v>
      </c>
    </row>
    <row r="8019" spans="1:11" x14ac:dyDescent="0.25">
      <c r="A8019">
        <v>8018</v>
      </c>
      <c r="B8019" s="23">
        <v>1248</v>
      </c>
      <c r="C8019" s="23">
        <v>0</v>
      </c>
      <c r="D8019" s="23">
        <v>0</v>
      </c>
      <c r="E8019" s="23">
        <v>0</v>
      </c>
      <c r="F8019" s="23">
        <v>0</v>
      </c>
      <c r="G8019" s="23">
        <v>0</v>
      </c>
      <c r="H8019" s="23">
        <v>0</v>
      </c>
      <c r="I8019" s="23">
        <v>1248</v>
      </c>
      <c r="J8019" s="23">
        <v>0</v>
      </c>
      <c r="K8019" s="23">
        <v>0</v>
      </c>
    </row>
    <row r="8020" spans="1:11" x14ac:dyDescent="0.25">
      <c r="A8020">
        <v>8019</v>
      </c>
      <c r="B8020" s="23">
        <v>1142.4000000000001</v>
      </c>
      <c r="C8020" s="23">
        <v>0</v>
      </c>
      <c r="D8020" s="23">
        <v>0</v>
      </c>
      <c r="E8020" s="23">
        <v>0</v>
      </c>
      <c r="F8020" s="23">
        <v>0</v>
      </c>
      <c r="G8020" s="23">
        <v>0</v>
      </c>
      <c r="H8020" s="23">
        <v>0</v>
      </c>
      <c r="I8020" s="23">
        <v>1142.4000000000001</v>
      </c>
      <c r="J8020" s="23">
        <v>0</v>
      </c>
      <c r="K8020" s="23">
        <v>0</v>
      </c>
    </row>
    <row r="8021" spans="1:11" x14ac:dyDescent="0.25">
      <c r="A8021">
        <v>8020</v>
      </c>
      <c r="B8021" s="23">
        <v>1088.8</v>
      </c>
      <c r="C8021" s="23">
        <v>0</v>
      </c>
      <c r="D8021" s="23">
        <v>0</v>
      </c>
      <c r="E8021" s="23">
        <v>0</v>
      </c>
      <c r="F8021" s="23">
        <v>0</v>
      </c>
      <c r="G8021" s="23">
        <v>0</v>
      </c>
      <c r="H8021" s="23">
        <v>0</v>
      </c>
      <c r="I8021" s="23">
        <v>1088.8</v>
      </c>
      <c r="J8021" s="23">
        <v>0</v>
      </c>
      <c r="K8021" s="23">
        <v>0</v>
      </c>
    </row>
    <row r="8022" spans="1:11" x14ac:dyDescent="0.25">
      <c r="A8022">
        <v>8021</v>
      </c>
      <c r="B8022" s="23">
        <v>978.4</v>
      </c>
      <c r="C8022" s="23">
        <v>0</v>
      </c>
      <c r="D8022" s="23">
        <v>0</v>
      </c>
      <c r="E8022" s="23">
        <v>0</v>
      </c>
      <c r="F8022" s="23">
        <v>0</v>
      </c>
      <c r="G8022" s="23">
        <v>0</v>
      </c>
      <c r="H8022" s="23">
        <v>0</v>
      </c>
      <c r="I8022" s="23">
        <v>0</v>
      </c>
      <c r="J8022" s="23">
        <v>0</v>
      </c>
      <c r="K8022" s="23">
        <v>978.4</v>
      </c>
    </row>
    <row r="8023" spans="1:11" x14ac:dyDescent="0.25">
      <c r="A8023">
        <v>8022</v>
      </c>
      <c r="B8023" s="23">
        <v>1040.8</v>
      </c>
      <c r="C8023" s="23">
        <v>0</v>
      </c>
      <c r="D8023" s="23">
        <v>0</v>
      </c>
      <c r="E8023" s="23">
        <v>0</v>
      </c>
      <c r="F8023" s="23">
        <v>0</v>
      </c>
      <c r="G8023" s="23">
        <v>0</v>
      </c>
      <c r="H8023" s="23">
        <v>0</v>
      </c>
      <c r="I8023" s="23">
        <v>0</v>
      </c>
      <c r="J8023" s="23">
        <v>0</v>
      </c>
      <c r="K8023" s="23">
        <v>1040.8</v>
      </c>
    </row>
    <row r="8024" spans="1:11" x14ac:dyDescent="0.25">
      <c r="A8024">
        <v>8023</v>
      </c>
      <c r="B8024" s="23">
        <v>858.4</v>
      </c>
      <c r="C8024" s="23">
        <v>32.659999999999997</v>
      </c>
      <c r="D8024" s="23">
        <v>98.097999999999999</v>
      </c>
      <c r="E8024" s="23">
        <v>98.097999999999999</v>
      </c>
      <c r="F8024" s="23">
        <v>0</v>
      </c>
      <c r="G8024" s="23">
        <v>0</v>
      </c>
      <c r="H8024" s="23">
        <v>0</v>
      </c>
      <c r="I8024" s="23">
        <v>0</v>
      </c>
      <c r="J8024" s="23">
        <v>0</v>
      </c>
      <c r="K8024" s="23">
        <v>760.30200000000002</v>
      </c>
    </row>
    <row r="8025" spans="1:11" x14ac:dyDescent="0.25">
      <c r="A8025">
        <v>8024</v>
      </c>
      <c r="B8025" s="23">
        <v>1146.1780000000001</v>
      </c>
      <c r="C8025" s="23">
        <v>117.95</v>
      </c>
      <c r="D8025" s="23">
        <v>452.61900000000003</v>
      </c>
      <c r="E8025" s="23">
        <v>452.61900000000003</v>
      </c>
      <c r="F8025" s="23">
        <v>0</v>
      </c>
      <c r="G8025" s="23">
        <v>0</v>
      </c>
      <c r="H8025" s="23">
        <v>0</v>
      </c>
      <c r="I8025" s="23">
        <v>0</v>
      </c>
      <c r="J8025" s="23">
        <v>0</v>
      </c>
      <c r="K8025" s="23">
        <v>693.55899999999997</v>
      </c>
    </row>
    <row r="8026" spans="1:11" x14ac:dyDescent="0.25">
      <c r="A8026">
        <v>8025</v>
      </c>
      <c r="B8026" s="23">
        <v>1191.895</v>
      </c>
      <c r="C8026" s="23">
        <v>194.12</v>
      </c>
      <c r="D8026" s="23">
        <v>758.33399999999995</v>
      </c>
      <c r="E8026" s="23">
        <v>758.33399999999995</v>
      </c>
      <c r="F8026" s="23">
        <v>0</v>
      </c>
      <c r="G8026" s="23">
        <v>0</v>
      </c>
      <c r="H8026" s="23">
        <v>0</v>
      </c>
      <c r="I8026" s="23">
        <v>0</v>
      </c>
      <c r="J8026" s="23">
        <v>0</v>
      </c>
      <c r="K8026" s="23">
        <v>433.56099999999998</v>
      </c>
    </row>
    <row r="8027" spans="1:11" x14ac:dyDescent="0.25">
      <c r="A8027">
        <v>8026</v>
      </c>
      <c r="B8027" s="23">
        <v>1166.9010000000001</v>
      </c>
      <c r="C8027" s="23">
        <v>400.97</v>
      </c>
      <c r="D8027" s="23">
        <v>1571.047</v>
      </c>
      <c r="E8027" s="23">
        <v>1166.9010000000001</v>
      </c>
      <c r="F8027" s="23">
        <v>-404.14600000000002</v>
      </c>
      <c r="G8027" s="23">
        <v>0</v>
      </c>
      <c r="H8027" s="23">
        <v>0</v>
      </c>
      <c r="I8027" s="23">
        <v>0</v>
      </c>
      <c r="J8027" s="23">
        <v>0</v>
      </c>
      <c r="K8027" s="23">
        <v>0</v>
      </c>
    </row>
    <row r="8028" spans="1:11" x14ac:dyDescent="0.25">
      <c r="A8028">
        <v>8027</v>
      </c>
      <c r="B8028" s="23">
        <v>1126.2660000000001</v>
      </c>
      <c r="C8028" s="23">
        <v>571.69000000000005</v>
      </c>
      <c r="D8028" s="23">
        <v>2221.0239999999999</v>
      </c>
      <c r="E8028" s="23">
        <v>1126.2660000000001</v>
      </c>
      <c r="F8028" s="23">
        <v>-1094.758</v>
      </c>
      <c r="G8028" s="23">
        <v>0</v>
      </c>
      <c r="H8028" s="23">
        <v>0</v>
      </c>
      <c r="I8028" s="23">
        <v>0</v>
      </c>
      <c r="J8028" s="23">
        <v>0</v>
      </c>
      <c r="K8028" s="23">
        <v>0</v>
      </c>
    </row>
    <row r="8029" spans="1:11" x14ac:dyDescent="0.25">
      <c r="A8029">
        <v>8028</v>
      </c>
      <c r="B8029" s="23">
        <v>1448.14</v>
      </c>
      <c r="C8029" s="23">
        <v>612.78</v>
      </c>
      <c r="D8029" s="23">
        <v>2369.9110000000001</v>
      </c>
      <c r="E8029" s="23">
        <v>1448.14</v>
      </c>
      <c r="F8029" s="23">
        <v>-921.77099999999996</v>
      </c>
      <c r="G8029" s="23">
        <v>0</v>
      </c>
      <c r="H8029" s="23">
        <v>0</v>
      </c>
      <c r="I8029" s="23">
        <v>0</v>
      </c>
      <c r="J8029" s="23">
        <v>0</v>
      </c>
      <c r="K8029" s="23">
        <v>0</v>
      </c>
    </row>
    <row r="8030" spans="1:11" x14ac:dyDescent="0.25">
      <c r="A8030">
        <v>8029</v>
      </c>
      <c r="B8030" s="23">
        <v>920.54200000000003</v>
      </c>
      <c r="C8030" s="23">
        <v>591.4</v>
      </c>
      <c r="D8030" s="23">
        <v>2291.0039999999999</v>
      </c>
      <c r="E8030" s="23">
        <v>920.54200000000003</v>
      </c>
      <c r="F8030" s="23">
        <v>-1370.462</v>
      </c>
      <c r="G8030" s="23">
        <v>0</v>
      </c>
      <c r="H8030" s="23">
        <v>0</v>
      </c>
      <c r="I8030" s="23">
        <v>0</v>
      </c>
      <c r="J8030" s="23">
        <v>0</v>
      </c>
      <c r="K8030" s="23">
        <v>0</v>
      </c>
    </row>
    <row r="8031" spans="1:11" x14ac:dyDescent="0.25">
      <c r="A8031">
        <v>8030</v>
      </c>
      <c r="B8031" s="23">
        <v>997.38699999999994</v>
      </c>
      <c r="C8031" s="23">
        <v>513.27</v>
      </c>
      <c r="D8031" s="23">
        <v>2004.78</v>
      </c>
      <c r="E8031" s="23">
        <v>997.38699999999994</v>
      </c>
      <c r="F8031" s="23">
        <v>-1007.393</v>
      </c>
      <c r="G8031" s="23">
        <v>0</v>
      </c>
      <c r="H8031" s="23">
        <v>0</v>
      </c>
      <c r="I8031" s="23">
        <v>0</v>
      </c>
      <c r="J8031" s="23">
        <v>0</v>
      </c>
      <c r="K8031" s="23">
        <v>0</v>
      </c>
    </row>
    <row r="8032" spans="1:11" x14ac:dyDescent="0.25">
      <c r="A8032">
        <v>8031</v>
      </c>
      <c r="B8032" s="23">
        <v>860.71299999999997</v>
      </c>
      <c r="C8032" s="23">
        <v>410.99</v>
      </c>
      <c r="D8032" s="23">
        <v>1623.511</v>
      </c>
      <c r="E8032" s="23">
        <v>860.71299999999997</v>
      </c>
      <c r="F8032" s="23">
        <v>-762.798</v>
      </c>
      <c r="G8032" s="23">
        <v>0</v>
      </c>
      <c r="H8032" s="23">
        <v>0</v>
      </c>
      <c r="I8032" s="23">
        <v>0</v>
      </c>
      <c r="J8032" s="23">
        <v>0</v>
      </c>
      <c r="K8032" s="23">
        <v>0</v>
      </c>
    </row>
    <row r="8033" spans="1:11" x14ac:dyDescent="0.25">
      <c r="A8033">
        <v>8032</v>
      </c>
      <c r="B8033" s="23">
        <v>234.947</v>
      </c>
      <c r="C8033" s="23">
        <v>192.64</v>
      </c>
      <c r="D8033" s="23">
        <v>754.98099999999999</v>
      </c>
      <c r="E8033" s="23">
        <v>234.947</v>
      </c>
      <c r="F8033" s="23">
        <v>-520.03399999999999</v>
      </c>
      <c r="G8033" s="23">
        <v>0</v>
      </c>
      <c r="H8033" s="23">
        <v>0</v>
      </c>
      <c r="I8033" s="23">
        <v>0</v>
      </c>
      <c r="J8033" s="23">
        <v>0</v>
      </c>
      <c r="K8033" s="23">
        <v>0</v>
      </c>
    </row>
    <row r="8034" spans="1:11" x14ac:dyDescent="0.25">
      <c r="A8034">
        <v>8033</v>
      </c>
      <c r="B8034" s="23">
        <v>183.06299999999999</v>
      </c>
      <c r="C8034" s="23">
        <v>154.71</v>
      </c>
      <c r="D8034" s="23">
        <v>565.38200000000006</v>
      </c>
      <c r="E8034" s="23">
        <v>183.06299999999999</v>
      </c>
      <c r="F8034" s="23">
        <v>-382.31900000000002</v>
      </c>
      <c r="G8034" s="23">
        <v>0</v>
      </c>
      <c r="H8034" s="23">
        <v>0</v>
      </c>
      <c r="I8034" s="23">
        <v>0</v>
      </c>
      <c r="J8034" s="23">
        <v>0</v>
      </c>
      <c r="K8034" s="23">
        <v>0</v>
      </c>
    </row>
    <row r="8035" spans="1:11" x14ac:dyDescent="0.25">
      <c r="A8035">
        <v>8034</v>
      </c>
      <c r="B8035" s="23">
        <v>137.55199999999999</v>
      </c>
      <c r="C8035" s="23">
        <v>2.94</v>
      </c>
      <c r="D8035" s="23">
        <v>0</v>
      </c>
      <c r="E8035" s="23">
        <v>0</v>
      </c>
      <c r="F8035" s="23">
        <v>0</v>
      </c>
      <c r="G8035" s="23">
        <v>0</v>
      </c>
      <c r="H8035" s="23">
        <v>0</v>
      </c>
      <c r="I8035" s="23">
        <v>0</v>
      </c>
      <c r="J8035" s="23">
        <v>0</v>
      </c>
      <c r="K8035" s="23">
        <v>137.55199999999999</v>
      </c>
    </row>
    <row r="8036" spans="1:11" x14ac:dyDescent="0.25">
      <c r="A8036">
        <v>8035</v>
      </c>
      <c r="B8036" s="23">
        <v>148</v>
      </c>
      <c r="C8036" s="23">
        <v>0</v>
      </c>
      <c r="D8036" s="23">
        <v>0</v>
      </c>
      <c r="E8036" s="23">
        <v>0</v>
      </c>
      <c r="F8036" s="23">
        <v>0</v>
      </c>
      <c r="G8036" s="23">
        <v>0</v>
      </c>
      <c r="H8036" s="23">
        <v>0</v>
      </c>
      <c r="I8036" s="23">
        <v>0</v>
      </c>
      <c r="J8036" s="23">
        <v>0</v>
      </c>
      <c r="K8036" s="23">
        <v>148</v>
      </c>
    </row>
    <row r="8037" spans="1:11" x14ac:dyDescent="0.25">
      <c r="A8037">
        <v>8036</v>
      </c>
      <c r="B8037" s="23">
        <v>100.8</v>
      </c>
      <c r="C8037" s="23">
        <v>0</v>
      </c>
      <c r="D8037" s="23">
        <v>0</v>
      </c>
      <c r="E8037" s="23">
        <v>0</v>
      </c>
      <c r="F8037" s="23">
        <v>0</v>
      </c>
      <c r="G8037" s="23">
        <v>0</v>
      </c>
      <c r="H8037" s="23">
        <v>0</v>
      </c>
      <c r="I8037" s="23">
        <v>0</v>
      </c>
      <c r="J8037" s="23">
        <v>0</v>
      </c>
      <c r="K8037" s="23">
        <v>100.8</v>
      </c>
    </row>
    <row r="8038" spans="1:11" x14ac:dyDescent="0.25">
      <c r="A8038">
        <v>8037</v>
      </c>
      <c r="B8038" s="23">
        <v>96</v>
      </c>
      <c r="C8038" s="23">
        <v>0</v>
      </c>
      <c r="D8038" s="23">
        <v>0</v>
      </c>
      <c r="E8038" s="23">
        <v>0</v>
      </c>
      <c r="F8038" s="23">
        <v>0</v>
      </c>
      <c r="G8038" s="23">
        <v>0</v>
      </c>
      <c r="H8038" s="23">
        <v>0</v>
      </c>
      <c r="I8038" s="23">
        <v>0</v>
      </c>
      <c r="J8038" s="23">
        <v>0</v>
      </c>
      <c r="K8038" s="23">
        <v>96</v>
      </c>
    </row>
    <row r="8039" spans="1:11" x14ac:dyDescent="0.25">
      <c r="A8039">
        <v>8038</v>
      </c>
      <c r="B8039" s="23">
        <v>102.4</v>
      </c>
      <c r="C8039" s="23">
        <v>0</v>
      </c>
      <c r="D8039" s="23">
        <v>0</v>
      </c>
      <c r="E8039" s="23">
        <v>0</v>
      </c>
      <c r="F8039" s="23">
        <v>0</v>
      </c>
      <c r="G8039" s="23">
        <v>0</v>
      </c>
      <c r="H8039" s="23">
        <v>0</v>
      </c>
      <c r="I8039" s="23">
        <v>0</v>
      </c>
      <c r="J8039" s="23">
        <v>0</v>
      </c>
      <c r="K8039" s="23">
        <v>102.4</v>
      </c>
    </row>
    <row r="8040" spans="1:11" x14ac:dyDescent="0.25">
      <c r="A8040">
        <v>8039</v>
      </c>
      <c r="B8040" s="23">
        <v>91.2</v>
      </c>
      <c r="C8040" s="23">
        <v>0</v>
      </c>
      <c r="D8040" s="23">
        <v>0</v>
      </c>
      <c r="E8040" s="23">
        <v>0</v>
      </c>
      <c r="F8040" s="23">
        <v>0</v>
      </c>
      <c r="G8040" s="23">
        <v>0</v>
      </c>
      <c r="H8040" s="23">
        <v>0</v>
      </c>
      <c r="I8040" s="23">
        <v>0</v>
      </c>
      <c r="J8040" s="23">
        <v>0</v>
      </c>
      <c r="K8040" s="23">
        <v>91.2</v>
      </c>
    </row>
    <row r="8041" spans="1:11" x14ac:dyDescent="0.25">
      <c r="A8041">
        <v>8040</v>
      </c>
      <c r="B8041" s="23">
        <v>100</v>
      </c>
      <c r="C8041" s="23">
        <v>0</v>
      </c>
      <c r="D8041" s="23">
        <v>0</v>
      </c>
      <c r="E8041" s="23">
        <v>0</v>
      </c>
      <c r="F8041" s="23">
        <v>0</v>
      </c>
      <c r="G8041" s="23">
        <v>0</v>
      </c>
      <c r="H8041" s="23">
        <v>0</v>
      </c>
      <c r="I8041" s="23">
        <v>0</v>
      </c>
      <c r="J8041" s="23">
        <v>0</v>
      </c>
      <c r="K8041" s="23">
        <v>100</v>
      </c>
    </row>
    <row r="8042" spans="1:11" x14ac:dyDescent="0.25">
      <c r="A8042">
        <v>8041</v>
      </c>
      <c r="B8042" s="23">
        <v>89.6</v>
      </c>
      <c r="C8042" s="23">
        <v>0</v>
      </c>
      <c r="D8042" s="23">
        <v>0</v>
      </c>
      <c r="E8042" s="23">
        <v>0</v>
      </c>
      <c r="F8042" s="23">
        <v>0</v>
      </c>
      <c r="G8042" s="23">
        <v>0</v>
      </c>
      <c r="H8042" s="23">
        <v>0</v>
      </c>
      <c r="I8042" s="23">
        <v>0</v>
      </c>
      <c r="J8042" s="23">
        <v>0</v>
      </c>
      <c r="K8042" s="23">
        <v>89.6</v>
      </c>
    </row>
    <row r="8043" spans="1:11" x14ac:dyDescent="0.25">
      <c r="A8043">
        <v>8042</v>
      </c>
      <c r="B8043" s="23">
        <v>96</v>
      </c>
      <c r="C8043" s="23">
        <v>0</v>
      </c>
      <c r="D8043" s="23">
        <v>0</v>
      </c>
      <c r="E8043" s="23">
        <v>0</v>
      </c>
      <c r="F8043" s="23">
        <v>0</v>
      </c>
      <c r="G8043" s="23">
        <v>0</v>
      </c>
      <c r="H8043" s="23">
        <v>0</v>
      </c>
      <c r="I8043" s="23">
        <v>0</v>
      </c>
      <c r="J8043" s="23">
        <v>0</v>
      </c>
      <c r="K8043" s="23">
        <v>96</v>
      </c>
    </row>
    <row r="8044" spans="1:11" x14ac:dyDescent="0.25">
      <c r="A8044">
        <v>8043</v>
      </c>
      <c r="B8044" s="23">
        <v>89.6</v>
      </c>
      <c r="C8044" s="23">
        <v>0</v>
      </c>
      <c r="D8044" s="23">
        <v>0</v>
      </c>
      <c r="E8044" s="23">
        <v>0</v>
      </c>
      <c r="F8044" s="23">
        <v>0</v>
      </c>
      <c r="G8044" s="23">
        <v>0</v>
      </c>
      <c r="H8044" s="23">
        <v>0</v>
      </c>
      <c r="I8044" s="23">
        <v>0</v>
      </c>
      <c r="J8044" s="23">
        <v>0</v>
      </c>
      <c r="K8044" s="23">
        <v>89.6</v>
      </c>
    </row>
    <row r="8045" spans="1:11" x14ac:dyDescent="0.25">
      <c r="A8045">
        <v>8044</v>
      </c>
      <c r="B8045" s="23">
        <v>89.6</v>
      </c>
      <c r="C8045" s="23">
        <v>0</v>
      </c>
      <c r="D8045" s="23">
        <v>0</v>
      </c>
      <c r="E8045" s="23">
        <v>0</v>
      </c>
      <c r="F8045" s="23">
        <v>0</v>
      </c>
      <c r="G8045" s="23">
        <v>0</v>
      </c>
      <c r="H8045" s="23">
        <v>0</v>
      </c>
      <c r="I8045" s="23">
        <v>0</v>
      </c>
      <c r="J8045" s="23">
        <v>0</v>
      </c>
      <c r="K8045" s="23">
        <v>89.6</v>
      </c>
    </row>
    <row r="8046" spans="1:11" x14ac:dyDescent="0.25">
      <c r="A8046">
        <v>8045</v>
      </c>
      <c r="B8046" s="23">
        <v>91.2</v>
      </c>
      <c r="C8046" s="23">
        <v>0</v>
      </c>
      <c r="D8046" s="23">
        <v>0</v>
      </c>
      <c r="E8046" s="23">
        <v>0</v>
      </c>
      <c r="F8046" s="23">
        <v>0</v>
      </c>
      <c r="G8046" s="23">
        <v>0</v>
      </c>
      <c r="H8046" s="23">
        <v>0</v>
      </c>
      <c r="I8046" s="23">
        <v>0</v>
      </c>
      <c r="J8046" s="23">
        <v>0</v>
      </c>
      <c r="K8046" s="23">
        <v>91.2</v>
      </c>
    </row>
    <row r="8047" spans="1:11" x14ac:dyDescent="0.25">
      <c r="A8047">
        <v>8046</v>
      </c>
      <c r="B8047" s="23">
        <v>92</v>
      </c>
      <c r="C8047" s="23">
        <v>0</v>
      </c>
      <c r="D8047" s="23">
        <v>0</v>
      </c>
      <c r="E8047" s="23">
        <v>0</v>
      </c>
      <c r="F8047" s="23">
        <v>0</v>
      </c>
      <c r="G8047" s="23">
        <v>0</v>
      </c>
      <c r="H8047" s="23">
        <v>0</v>
      </c>
      <c r="I8047" s="23">
        <v>0</v>
      </c>
      <c r="J8047" s="23">
        <v>0</v>
      </c>
      <c r="K8047" s="23">
        <v>92</v>
      </c>
    </row>
    <row r="8048" spans="1:11" x14ac:dyDescent="0.25">
      <c r="A8048">
        <v>8047</v>
      </c>
      <c r="B8048" s="23">
        <v>72.8</v>
      </c>
      <c r="C8048" s="23">
        <v>51.18</v>
      </c>
      <c r="D8048" s="23">
        <v>161.833</v>
      </c>
      <c r="E8048" s="23">
        <v>72.8</v>
      </c>
      <c r="F8048" s="23">
        <v>-89.033000000000001</v>
      </c>
      <c r="G8048" s="23">
        <v>0</v>
      </c>
      <c r="H8048" s="23">
        <v>0</v>
      </c>
      <c r="I8048" s="23">
        <v>0</v>
      </c>
      <c r="J8048" s="23">
        <v>0</v>
      </c>
      <c r="K8048" s="23">
        <v>0</v>
      </c>
    </row>
    <row r="8049" spans="1:11" x14ac:dyDescent="0.25">
      <c r="A8049">
        <v>8048</v>
      </c>
      <c r="B8049" s="23">
        <v>89.61</v>
      </c>
      <c r="C8049" s="23">
        <v>235.03</v>
      </c>
      <c r="D8049" s="23">
        <v>931.91300000000001</v>
      </c>
      <c r="E8049" s="23">
        <v>89.61</v>
      </c>
      <c r="F8049" s="23">
        <v>-842.303</v>
      </c>
      <c r="G8049" s="23">
        <v>0</v>
      </c>
      <c r="H8049" s="23">
        <v>0</v>
      </c>
      <c r="I8049" s="23">
        <v>0</v>
      </c>
      <c r="J8049" s="23">
        <v>0</v>
      </c>
      <c r="K8049" s="23">
        <v>0</v>
      </c>
    </row>
    <row r="8050" spans="1:11" x14ac:dyDescent="0.25">
      <c r="A8050">
        <v>8049</v>
      </c>
      <c r="B8050" s="23">
        <v>636.197</v>
      </c>
      <c r="C8050" s="23">
        <v>483.61</v>
      </c>
      <c r="D8050" s="23">
        <v>1935.4449999999999</v>
      </c>
      <c r="E8050" s="23">
        <v>636.197</v>
      </c>
      <c r="F8050" s="23">
        <v>-1299.248</v>
      </c>
      <c r="G8050" s="23">
        <v>0</v>
      </c>
      <c r="H8050" s="23">
        <v>0</v>
      </c>
      <c r="I8050" s="23">
        <v>0</v>
      </c>
      <c r="J8050" s="23">
        <v>0</v>
      </c>
      <c r="K8050" s="23">
        <v>0</v>
      </c>
    </row>
    <row r="8051" spans="1:11" x14ac:dyDescent="0.25">
      <c r="A8051">
        <v>8050</v>
      </c>
      <c r="B8051" s="23">
        <v>1258.6479999999999</v>
      </c>
      <c r="C8051" s="23">
        <v>772.15</v>
      </c>
      <c r="D8051" s="23">
        <v>3013.9270000000001</v>
      </c>
      <c r="E8051" s="23">
        <v>1258.6479999999999</v>
      </c>
      <c r="F8051" s="23">
        <v>-70.649000000000001</v>
      </c>
      <c r="G8051" s="23">
        <v>0</v>
      </c>
      <c r="H8051" s="23">
        <v>1684.63</v>
      </c>
      <c r="I8051" s="23">
        <v>0</v>
      </c>
      <c r="J8051" s="23">
        <v>0</v>
      </c>
      <c r="K8051" s="23">
        <v>0</v>
      </c>
    </row>
    <row r="8052" spans="1:11" x14ac:dyDescent="0.25">
      <c r="A8052">
        <v>8051</v>
      </c>
      <c r="B8052" s="23">
        <v>1251.3610000000001</v>
      </c>
      <c r="C8052" s="23">
        <v>895.29</v>
      </c>
      <c r="D8052" s="23">
        <v>3430.3850000000002</v>
      </c>
      <c r="E8052" s="23">
        <v>1251.3610000000001</v>
      </c>
      <c r="F8052" s="23">
        <v>0</v>
      </c>
      <c r="G8052" s="23">
        <v>0</v>
      </c>
      <c r="H8052" s="23">
        <v>2179.0239999999999</v>
      </c>
      <c r="I8052" s="23">
        <v>0</v>
      </c>
      <c r="J8052" s="23">
        <v>0</v>
      </c>
      <c r="K8052" s="23">
        <v>0</v>
      </c>
    </row>
    <row r="8053" spans="1:11" x14ac:dyDescent="0.25">
      <c r="A8053">
        <v>8052</v>
      </c>
      <c r="B8053" s="23">
        <v>1077.2909999999999</v>
      </c>
      <c r="C8053" s="23">
        <v>947.58</v>
      </c>
      <c r="D8053" s="23">
        <v>3591.7269999999999</v>
      </c>
      <c r="E8053" s="23">
        <v>1077.2909999999999</v>
      </c>
      <c r="F8053" s="23">
        <v>0</v>
      </c>
      <c r="G8053" s="23">
        <v>0</v>
      </c>
      <c r="H8053" s="23">
        <v>2514.4360000000001</v>
      </c>
      <c r="I8053" s="23">
        <v>0</v>
      </c>
      <c r="J8053" s="23">
        <v>0</v>
      </c>
      <c r="K8053" s="23">
        <v>0</v>
      </c>
    </row>
    <row r="8054" spans="1:11" x14ac:dyDescent="0.25">
      <c r="A8054">
        <v>8053</v>
      </c>
      <c r="B8054" s="23">
        <v>1356.354</v>
      </c>
      <c r="C8054" s="23">
        <v>780.71</v>
      </c>
      <c r="D8054" s="23">
        <v>2991.404</v>
      </c>
      <c r="E8054" s="23">
        <v>1356.354</v>
      </c>
      <c r="F8054" s="23">
        <v>0</v>
      </c>
      <c r="G8054" s="23">
        <v>0</v>
      </c>
      <c r="H8054" s="23">
        <v>1635.05</v>
      </c>
      <c r="I8054" s="23">
        <v>0</v>
      </c>
      <c r="J8054" s="23">
        <v>0</v>
      </c>
      <c r="K8054" s="23">
        <v>0</v>
      </c>
    </row>
    <row r="8055" spans="1:11" x14ac:dyDescent="0.25">
      <c r="A8055">
        <v>8054</v>
      </c>
      <c r="B8055" s="23">
        <v>1104.0630000000001</v>
      </c>
      <c r="C8055" s="23">
        <v>792.86</v>
      </c>
      <c r="D8055" s="23">
        <v>3052.38</v>
      </c>
      <c r="E8055" s="23">
        <v>1104.0630000000001</v>
      </c>
      <c r="F8055" s="23">
        <v>0</v>
      </c>
      <c r="G8055" s="23">
        <v>0</v>
      </c>
      <c r="H8055" s="23">
        <v>1948.317</v>
      </c>
      <c r="I8055" s="23">
        <v>0</v>
      </c>
      <c r="J8055" s="23">
        <v>0</v>
      </c>
      <c r="K8055" s="23">
        <v>0</v>
      </c>
    </row>
    <row r="8056" spans="1:11" x14ac:dyDescent="0.25">
      <c r="A8056">
        <v>8055</v>
      </c>
      <c r="B8056" s="23">
        <v>1125.992</v>
      </c>
      <c r="C8056" s="23">
        <v>546.94000000000005</v>
      </c>
      <c r="D8056" s="23">
        <v>2151.1460000000002</v>
      </c>
      <c r="E8056" s="23">
        <v>1125.992</v>
      </c>
      <c r="F8056" s="23">
        <v>0</v>
      </c>
      <c r="G8056" s="23">
        <v>0</v>
      </c>
      <c r="H8056" s="23">
        <v>1025.154</v>
      </c>
      <c r="I8056" s="23">
        <v>0</v>
      </c>
      <c r="J8056" s="23">
        <v>0</v>
      </c>
      <c r="K8056" s="23">
        <v>0</v>
      </c>
    </row>
    <row r="8057" spans="1:11" x14ac:dyDescent="0.25">
      <c r="A8057">
        <v>8056</v>
      </c>
      <c r="B8057" s="23">
        <v>1050.1130000000001</v>
      </c>
      <c r="C8057" s="23">
        <v>137.56</v>
      </c>
      <c r="D8057" s="23">
        <v>525.35799999999995</v>
      </c>
      <c r="E8057" s="23">
        <v>525.35799999999995</v>
      </c>
      <c r="F8057" s="23">
        <v>0</v>
      </c>
      <c r="G8057" s="23">
        <v>0</v>
      </c>
      <c r="H8057" s="23">
        <v>0</v>
      </c>
      <c r="I8057" s="23">
        <v>524.755</v>
      </c>
      <c r="J8057" s="23">
        <v>0</v>
      </c>
      <c r="K8057" s="23">
        <v>0</v>
      </c>
    </row>
    <row r="8058" spans="1:11" x14ac:dyDescent="0.25">
      <c r="A8058">
        <v>8057</v>
      </c>
      <c r="B8058" s="23">
        <v>951.40800000000002</v>
      </c>
      <c r="C8058" s="23">
        <v>90.75</v>
      </c>
      <c r="D8058" s="23">
        <v>318.68599999999998</v>
      </c>
      <c r="E8058" s="23">
        <v>318.68599999999998</v>
      </c>
      <c r="F8058" s="23">
        <v>0</v>
      </c>
      <c r="G8058" s="23">
        <v>0</v>
      </c>
      <c r="H8058" s="23">
        <v>0</v>
      </c>
      <c r="I8058" s="23">
        <v>632.72199999999998</v>
      </c>
      <c r="J8058" s="23">
        <v>0</v>
      </c>
      <c r="K8058" s="23">
        <v>0</v>
      </c>
    </row>
    <row r="8059" spans="1:11" x14ac:dyDescent="0.25">
      <c r="A8059">
        <v>8058</v>
      </c>
      <c r="B8059" s="23">
        <v>1136.6099999999999</v>
      </c>
      <c r="C8059" s="23">
        <v>1.96</v>
      </c>
      <c r="D8059" s="23">
        <v>0</v>
      </c>
      <c r="E8059" s="23">
        <v>0</v>
      </c>
      <c r="F8059" s="23">
        <v>0</v>
      </c>
      <c r="G8059" s="23">
        <v>0</v>
      </c>
      <c r="H8059" s="23">
        <v>0</v>
      </c>
      <c r="I8059" s="23">
        <v>0</v>
      </c>
      <c r="J8059" s="23">
        <v>0</v>
      </c>
      <c r="K8059" s="23">
        <v>1136.6099999999999</v>
      </c>
    </row>
    <row r="8060" spans="1:11" x14ac:dyDescent="0.25">
      <c r="A8060">
        <v>8059</v>
      </c>
      <c r="B8060" s="23">
        <v>1047.2</v>
      </c>
      <c r="C8060" s="23">
        <v>0</v>
      </c>
      <c r="D8060" s="23">
        <v>0</v>
      </c>
      <c r="E8060" s="23">
        <v>0</v>
      </c>
      <c r="F8060" s="23">
        <v>0</v>
      </c>
      <c r="G8060" s="23">
        <v>0</v>
      </c>
      <c r="H8060" s="23">
        <v>0</v>
      </c>
      <c r="I8060" s="23">
        <v>0</v>
      </c>
      <c r="J8060" s="23">
        <v>0</v>
      </c>
      <c r="K8060" s="23">
        <v>1047.2</v>
      </c>
    </row>
    <row r="8061" spans="1:11" x14ac:dyDescent="0.25">
      <c r="A8061">
        <v>8060</v>
      </c>
      <c r="B8061" s="23">
        <v>1128.8</v>
      </c>
      <c r="C8061" s="23">
        <v>0</v>
      </c>
      <c r="D8061" s="23">
        <v>0</v>
      </c>
      <c r="E8061" s="23">
        <v>0</v>
      </c>
      <c r="F8061" s="23">
        <v>0</v>
      </c>
      <c r="G8061" s="23">
        <v>0</v>
      </c>
      <c r="H8061" s="23">
        <v>0</v>
      </c>
      <c r="I8061" s="23">
        <v>0</v>
      </c>
      <c r="J8061" s="23">
        <v>0</v>
      </c>
      <c r="K8061" s="23">
        <v>1128.8</v>
      </c>
    </row>
    <row r="8062" spans="1:11" x14ac:dyDescent="0.25">
      <c r="A8062">
        <v>8061</v>
      </c>
      <c r="B8062" s="23">
        <v>778.4</v>
      </c>
      <c r="C8062" s="23">
        <v>0</v>
      </c>
      <c r="D8062" s="23">
        <v>0</v>
      </c>
      <c r="E8062" s="23">
        <v>0</v>
      </c>
      <c r="F8062" s="23">
        <v>0</v>
      </c>
      <c r="G8062" s="23">
        <v>0</v>
      </c>
      <c r="H8062" s="23">
        <v>0</v>
      </c>
      <c r="I8062" s="23">
        <v>778.4</v>
      </c>
      <c r="J8062" s="23">
        <v>0</v>
      </c>
      <c r="K8062" s="23">
        <v>0</v>
      </c>
    </row>
    <row r="8063" spans="1:11" x14ac:dyDescent="0.25">
      <c r="A8063">
        <v>8062</v>
      </c>
      <c r="B8063" s="23">
        <v>1089.5999999999999</v>
      </c>
      <c r="C8063" s="23">
        <v>0</v>
      </c>
      <c r="D8063" s="23">
        <v>0</v>
      </c>
      <c r="E8063" s="23">
        <v>0</v>
      </c>
      <c r="F8063" s="23">
        <v>0</v>
      </c>
      <c r="G8063" s="23">
        <v>0</v>
      </c>
      <c r="H8063" s="23">
        <v>0</v>
      </c>
      <c r="I8063" s="23">
        <v>995.64200000000005</v>
      </c>
      <c r="J8063" s="23">
        <v>0</v>
      </c>
      <c r="K8063" s="23">
        <v>93.957999999999998</v>
      </c>
    </row>
    <row r="8064" spans="1:11" x14ac:dyDescent="0.25">
      <c r="A8064">
        <v>8063</v>
      </c>
      <c r="B8064" s="23">
        <v>952.8</v>
      </c>
      <c r="C8064" s="23">
        <v>0</v>
      </c>
      <c r="D8064" s="23">
        <v>0</v>
      </c>
      <c r="E8064" s="23">
        <v>0</v>
      </c>
      <c r="F8064" s="23">
        <v>0</v>
      </c>
      <c r="G8064" s="23">
        <v>0</v>
      </c>
      <c r="H8064" s="23">
        <v>0</v>
      </c>
      <c r="I8064" s="23">
        <v>952.8</v>
      </c>
      <c r="J8064" s="23">
        <v>0</v>
      </c>
      <c r="K8064" s="23">
        <v>0</v>
      </c>
    </row>
    <row r="8065" spans="1:11" x14ac:dyDescent="0.25">
      <c r="A8065">
        <v>8064</v>
      </c>
      <c r="B8065" s="23">
        <v>999.2</v>
      </c>
      <c r="C8065" s="23">
        <v>0</v>
      </c>
      <c r="D8065" s="23">
        <v>0</v>
      </c>
      <c r="E8065" s="23">
        <v>0</v>
      </c>
      <c r="F8065" s="23">
        <v>0</v>
      </c>
      <c r="G8065" s="23">
        <v>0</v>
      </c>
      <c r="H8065" s="23">
        <v>0</v>
      </c>
      <c r="I8065" s="23">
        <v>999.2</v>
      </c>
      <c r="J8065" s="23">
        <v>0</v>
      </c>
      <c r="K8065" s="23">
        <v>0</v>
      </c>
    </row>
    <row r="8066" spans="1:11" x14ac:dyDescent="0.25">
      <c r="A8066">
        <v>8065</v>
      </c>
      <c r="B8066" s="23">
        <v>960</v>
      </c>
      <c r="C8066" s="23">
        <v>0</v>
      </c>
      <c r="D8066" s="23">
        <v>0</v>
      </c>
      <c r="E8066" s="23">
        <v>0</v>
      </c>
      <c r="F8066" s="23">
        <v>0</v>
      </c>
      <c r="G8066" s="23">
        <v>0</v>
      </c>
      <c r="H8066" s="23">
        <v>0</v>
      </c>
      <c r="I8066" s="23">
        <v>960</v>
      </c>
      <c r="J8066" s="23">
        <v>0</v>
      </c>
      <c r="K8066" s="23">
        <v>0</v>
      </c>
    </row>
    <row r="8067" spans="1:11" x14ac:dyDescent="0.25">
      <c r="A8067">
        <v>8066</v>
      </c>
      <c r="B8067" s="23">
        <v>1305.5999999999999</v>
      </c>
      <c r="C8067" s="23">
        <v>0</v>
      </c>
      <c r="D8067" s="23">
        <v>0</v>
      </c>
      <c r="E8067" s="23">
        <v>0</v>
      </c>
      <c r="F8067" s="23">
        <v>0</v>
      </c>
      <c r="G8067" s="23">
        <v>0</v>
      </c>
      <c r="H8067" s="23">
        <v>0</v>
      </c>
      <c r="I8067" s="23">
        <v>1305.5999999999999</v>
      </c>
      <c r="J8067" s="23">
        <v>0</v>
      </c>
      <c r="K8067" s="23">
        <v>0</v>
      </c>
    </row>
    <row r="8068" spans="1:11" x14ac:dyDescent="0.25">
      <c r="A8068">
        <v>8067</v>
      </c>
      <c r="B8068" s="23">
        <v>1168.8</v>
      </c>
      <c r="C8068" s="23">
        <v>0</v>
      </c>
      <c r="D8068" s="23">
        <v>0</v>
      </c>
      <c r="E8068" s="23">
        <v>0</v>
      </c>
      <c r="F8068" s="23">
        <v>0</v>
      </c>
      <c r="G8068" s="23">
        <v>0</v>
      </c>
      <c r="H8068" s="23">
        <v>0</v>
      </c>
      <c r="I8068" s="23">
        <v>1168.8</v>
      </c>
      <c r="J8068" s="23">
        <v>0</v>
      </c>
      <c r="K8068" s="23">
        <v>0</v>
      </c>
    </row>
    <row r="8069" spans="1:11" x14ac:dyDescent="0.25">
      <c r="A8069">
        <v>8068</v>
      </c>
      <c r="B8069" s="23">
        <v>1358.4</v>
      </c>
      <c r="C8069" s="23">
        <v>0</v>
      </c>
      <c r="D8069" s="23">
        <v>0</v>
      </c>
      <c r="E8069" s="23">
        <v>0</v>
      </c>
      <c r="F8069" s="23">
        <v>0</v>
      </c>
      <c r="G8069" s="23">
        <v>0</v>
      </c>
      <c r="H8069" s="23">
        <v>0</v>
      </c>
      <c r="I8069" s="23">
        <v>1358.4</v>
      </c>
      <c r="J8069" s="23">
        <v>0</v>
      </c>
      <c r="K8069" s="23">
        <v>0</v>
      </c>
    </row>
    <row r="8070" spans="1:11" x14ac:dyDescent="0.25">
      <c r="A8070">
        <v>8069</v>
      </c>
      <c r="B8070" s="23">
        <v>1282.4000000000001</v>
      </c>
      <c r="C8070" s="23">
        <v>0</v>
      </c>
      <c r="D8070" s="23">
        <v>0</v>
      </c>
      <c r="E8070" s="23">
        <v>0</v>
      </c>
      <c r="F8070" s="23">
        <v>0</v>
      </c>
      <c r="G8070" s="23">
        <v>0</v>
      </c>
      <c r="H8070" s="23">
        <v>0</v>
      </c>
      <c r="I8070" s="23">
        <v>0</v>
      </c>
      <c r="J8070" s="23">
        <v>0</v>
      </c>
      <c r="K8070" s="23">
        <v>1282.4000000000001</v>
      </c>
    </row>
    <row r="8071" spans="1:11" x14ac:dyDescent="0.25">
      <c r="A8071">
        <v>8070</v>
      </c>
      <c r="B8071" s="23">
        <v>1162.4000000000001</v>
      </c>
      <c r="C8071" s="23">
        <v>0</v>
      </c>
      <c r="D8071" s="23">
        <v>0</v>
      </c>
      <c r="E8071" s="23">
        <v>0</v>
      </c>
      <c r="F8071" s="23">
        <v>0</v>
      </c>
      <c r="G8071" s="23">
        <v>0</v>
      </c>
      <c r="H8071" s="23">
        <v>0</v>
      </c>
      <c r="I8071" s="23">
        <v>0</v>
      </c>
      <c r="J8071" s="23">
        <v>0</v>
      </c>
      <c r="K8071" s="23">
        <v>1162.4000000000001</v>
      </c>
    </row>
    <row r="8072" spans="1:11" x14ac:dyDescent="0.25">
      <c r="A8072">
        <v>8071</v>
      </c>
      <c r="B8072" s="23">
        <v>1039.2</v>
      </c>
      <c r="C8072" s="23">
        <v>112.19</v>
      </c>
      <c r="D8072" s="23">
        <v>338.71899999999999</v>
      </c>
      <c r="E8072" s="23">
        <v>338.71899999999999</v>
      </c>
      <c r="F8072" s="23">
        <v>0</v>
      </c>
      <c r="G8072" s="23">
        <v>0</v>
      </c>
      <c r="H8072" s="23">
        <v>0</v>
      </c>
      <c r="I8072" s="23">
        <v>0</v>
      </c>
      <c r="J8072" s="23">
        <v>0</v>
      </c>
      <c r="K8072" s="23">
        <v>700.48099999999999</v>
      </c>
    </row>
    <row r="8073" spans="1:11" x14ac:dyDescent="0.25">
      <c r="A8073">
        <v>8072</v>
      </c>
      <c r="B8073" s="23">
        <v>1081.05</v>
      </c>
      <c r="C8073" s="23">
        <v>362.36</v>
      </c>
      <c r="D8073" s="23">
        <v>1448.67</v>
      </c>
      <c r="E8073" s="23">
        <v>1081.05</v>
      </c>
      <c r="F8073" s="23">
        <v>-367.62</v>
      </c>
      <c r="G8073" s="23">
        <v>0</v>
      </c>
      <c r="H8073" s="23">
        <v>0</v>
      </c>
      <c r="I8073" s="23">
        <v>0</v>
      </c>
      <c r="J8073" s="23">
        <v>0</v>
      </c>
      <c r="K8073" s="23">
        <v>0</v>
      </c>
    </row>
    <row r="8074" spans="1:11" x14ac:dyDescent="0.25">
      <c r="A8074">
        <v>8073</v>
      </c>
      <c r="B8074" s="23">
        <v>811.98099999999999</v>
      </c>
      <c r="C8074" s="23">
        <v>597.57000000000005</v>
      </c>
      <c r="D8074" s="23">
        <v>2387.1550000000002</v>
      </c>
      <c r="E8074" s="23">
        <v>811.98099999999999</v>
      </c>
      <c r="F8074" s="23">
        <v>-1575.174</v>
      </c>
      <c r="G8074" s="23">
        <v>0</v>
      </c>
      <c r="H8074" s="23">
        <v>0</v>
      </c>
      <c r="I8074" s="23">
        <v>0</v>
      </c>
      <c r="J8074" s="23">
        <v>0</v>
      </c>
      <c r="K8074" s="23">
        <v>0</v>
      </c>
    </row>
    <row r="8075" spans="1:11" x14ac:dyDescent="0.25">
      <c r="A8075">
        <v>8074</v>
      </c>
      <c r="B8075" s="23">
        <v>1146.6690000000001</v>
      </c>
      <c r="C8075" s="23">
        <v>786.7</v>
      </c>
      <c r="D8075" s="23">
        <v>3023.4470000000001</v>
      </c>
      <c r="E8075" s="23">
        <v>1146.6690000000001</v>
      </c>
      <c r="F8075" s="23">
        <v>-1684.559</v>
      </c>
      <c r="G8075" s="23">
        <v>0</v>
      </c>
      <c r="H8075" s="23">
        <v>192.21899999999999</v>
      </c>
      <c r="I8075" s="23">
        <v>0</v>
      </c>
      <c r="J8075" s="23">
        <v>0</v>
      </c>
      <c r="K8075" s="23">
        <v>0</v>
      </c>
    </row>
    <row r="8076" spans="1:11" x14ac:dyDescent="0.25">
      <c r="A8076">
        <v>8075</v>
      </c>
      <c r="B8076" s="23">
        <v>1380.393</v>
      </c>
      <c r="C8076" s="23">
        <v>913.49</v>
      </c>
      <c r="D8076" s="23">
        <v>3425.7249999999999</v>
      </c>
      <c r="E8076" s="23">
        <v>1380.393</v>
      </c>
      <c r="F8076" s="23">
        <v>-1684.559</v>
      </c>
      <c r="G8076" s="23">
        <v>0</v>
      </c>
      <c r="H8076" s="23">
        <v>360.77300000000002</v>
      </c>
      <c r="I8076" s="23">
        <v>0</v>
      </c>
      <c r="J8076" s="23">
        <v>0</v>
      </c>
      <c r="K8076" s="23">
        <v>0</v>
      </c>
    </row>
    <row r="8077" spans="1:11" x14ac:dyDescent="0.25">
      <c r="A8077">
        <v>8076</v>
      </c>
      <c r="B8077" s="23">
        <v>1173.817</v>
      </c>
      <c r="C8077" s="23">
        <v>968.94</v>
      </c>
      <c r="D8077" s="23">
        <v>3585.59</v>
      </c>
      <c r="E8077" s="23">
        <v>1173.817</v>
      </c>
      <c r="F8077" s="23">
        <v>-1684.559</v>
      </c>
      <c r="G8077" s="23">
        <v>0</v>
      </c>
      <c r="H8077" s="23">
        <v>727.21400000000006</v>
      </c>
      <c r="I8077" s="23">
        <v>0</v>
      </c>
      <c r="J8077" s="23">
        <v>0</v>
      </c>
      <c r="K8077" s="23">
        <v>0</v>
      </c>
    </row>
    <row r="8078" spans="1:11" x14ac:dyDescent="0.25">
      <c r="A8078">
        <v>8077</v>
      </c>
      <c r="B8078" s="23">
        <v>1141.587</v>
      </c>
      <c r="C8078" s="23">
        <v>944.63</v>
      </c>
      <c r="D8078" s="23">
        <v>3502.587</v>
      </c>
      <c r="E8078" s="23">
        <v>1141.587</v>
      </c>
      <c r="F8078" s="23">
        <v>-295.02699999999999</v>
      </c>
      <c r="G8078" s="23">
        <v>0</v>
      </c>
      <c r="H8078" s="23">
        <v>2065.973</v>
      </c>
      <c r="I8078" s="23">
        <v>0</v>
      </c>
      <c r="J8078" s="23">
        <v>0</v>
      </c>
      <c r="K8078" s="23">
        <v>0</v>
      </c>
    </row>
    <row r="8079" spans="1:11" x14ac:dyDescent="0.25">
      <c r="A8079">
        <v>8078</v>
      </c>
      <c r="B8079" s="23">
        <v>1217.1189999999999</v>
      </c>
      <c r="C8079" s="23">
        <v>844.32</v>
      </c>
      <c r="D8079" s="23">
        <v>3181.1469999999999</v>
      </c>
      <c r="E8079" s="23">
        <v>1217.1189999999999</v>
      </c>
      <c r="F8079" s="23">
        <v>0</v>
      </c>
      <c r="G8079" s="23">
        <v>0</v>
      </c>
      <c r="H8079" s="23">
        <v>1964.028</v>
      </c>
      <c r="I8079" s="23">
        <v>0</v>
      </c>
      <c r="J8079" s="23">
        <v>0</v>
      </c>
      <c r="K8079" s="23">
        <v>0</v>
      </c>
    </row>
    <row r="8080" spans="1:11" x14ac:dyDescent="0.25">
      <c r="A8080">
        <v>8079</v>
      </c>
      <c r="B8080" s="23">
        <v>1621.6659999999999</v>
      </c>
      <c r="C8080" s="23">
        <v>678.3</v>
      </c>
      <c r="D8080" s="23">
        <v>2623.7719999999999</v>
      </c>
      <c r="E8080" s="23">
        <v>1621.6659999999999</v>
      </c>
      <c r="F8080" s="23">
        <v>0</v>
      </c>
      <c r="G8080" s="23">
        <v>0</v>
      </c>
      <c r="H8080" s="23">
        <v>1002.106</v>
      </c>
      <c r="I8080" s="23">
        <v>0</v>
      </c>
      <c r="J8080" s="23">
        <v>0</v>
      </c>
      <c r="K8080" s="23">
        <v>0</v>
      </c>
    </row>
    <row r="8081" spans="1:11" x14ac:dyDescent="0.25">
      <c r="A8081">
        <v>8080</v>
      </c>
      <c r="B8081" s="23">
        <v>617.57899999999995</v>
      </c>
      <c r="C8081" s="23">
        <v>458.62</v>
      </c>
      <c r="D8081" s="23">
        <v>1824.123</v>
      </c>
      <c r="E8081" s="23">
        <v>617.57899999999995</v>
      </c>
      <c r="F8081" s="23">
        <v>0</v>
      </c>
      <c r="G8081" s="23">
        <v>0</v>
      </c>
      <c r="H8081" s="23">
        <v>1206.5440000000001</v>
      </c>
      <c r="I8081" s="23">
        <v>0</v>
      </c>
      <c r="J8081" s="23">
        <v>0</v>
      </c>
      <c r="K8081" s="23">
        <v>0</v>
      </c>
    </row>
    <row r="8082" spans="1:11" x14ac:dyDescent="0.25">
      <c r="A8082">
        <v>8081</v>
      </c>
      <c r="B8082" s="23">
        <v>1446.5650000000001</v>
      </c>
      <c r="C8082" s="23">
        <v>209.28</v>
      </c>
      <c r="D8082" s="23">
        <v>752.61</v>
      </c>
      <c r="E8082" s="23">
        <v>752.61</v>
      </c>
      <c r="F8082" s="23">
        <v>0</v>
      </c>
      <c r="G8082" s="23">
        <v>0</v>
      </c>
      <c r="H8082" s="23">
        <v>0</v>
      </c>
      <c r="I8082" s="23">
        <v>693.95500000000004</v>
      </c>
      <c r="J8082" s="23">
        <v>0</v>
      </c>
      <c r="K8082" s="23">
        <v>0</v>
      </c>
    </row>
    <row r="8083" spans="1:11" x14ac:dyDescent="0.25">
      <c r="A8083">
        <v>8082</v>
      </c>
      <c r="B8083" s="23">
        <v>1314.2329999999999</v>
      </c>
      <c r="C8083" s="23">
        <v>5.5</v>
      </c>
      <c r="D8083" s="23">
        <v>0</v>
      </c>
      <c r="E8083" s="23">
        <v>0</v>
      </c>
      <c r="F8083" s="23">
        <v>0</v>
      </c>
      <c r="G8083" s="23">
        <v>0</v>
      </c>
      <c r="H8083" s="23">
        <v>0</v>
      </c>
      <c r="I8083" s="23">
        <v>0</v>
      </c>
      <c r="J8083" s="23">
        <v>0</v>
      </c>
      <c r="K8083" s="23">
        <v>1314.2329999999999</v>
      </c>
    </row>
    <row r="8084" spans="1:11" x14ac:dyDescent="0.25">
      <c r="A8084">
        <v>8083</v>
      </c>
      <c r="B8084" s="23">
        <v>1122.4000000000001</v>
      </c>
      <c r="C8084" s="23">
        <v>0</v>
      </c>
      <c r="D8084" s="23">
        <v>0</v>
      </c>
      <c r="E8084" s="23">
        <v>0</v>
      </c>
      <c r="F8084" s="23">
        <v>0</v>
      </c>
      <c r="G8084" s="23">
        <v>0</v>
      </c>
      <c r="H8084" s="23">
        <v>0</v>
      </c>
      <c r="I8084" s="23">
        <v>0</v>
      </c>
      <c r="J8084" s="23">
        <v>0</v>
      </c>
      <c r="K8084" s="23">
        <v>1122.4000000000001</v>
      </c>
    </row>
    <row r="8085" spans="1:11" x14ac:dyDescent="0.25">
      <c r="A8085">
        <v>8084</v>
      </c>
      <c r="B8085" s="23">
        <v>976.8</v>
      </c>
      <c r="C8085" s="23">
        <v>0</v>
      </c>
      <c r="D8085" s="23">
        <v>0</v>
      </c>
      <c r="E8085" s="23">
        <v>0</v>
      </c>
      <c r="F8085" s="23">
        <v>0</v>
      </c>
      <c r="G8085" s="23">
        <v>0</v>
      </c>
      <c r="H8085" s="23">
        <v>0</v>
      </c>
      <c r="I8085" s="23">
        <v>0</v>
      </c>
      <c r="J8085" s="23">
        <v>0</v>
      </c>
      <c r="K8085" s="23">
        <v>976.8</v>
      </c>
    </row>
    <row r="8086" spans="1:11" x14ac:dyDescent="0.25">
      <c r="A8086">
        <v>8085</v>
      </c>
      <c r="B8086" s="23">
        <v>1206.4000000000001</v>
      </c>
      <c r="C8086" s="23">
        <v>0</v>
      </c>
      <c r="D8086" s="23">
        <v>0</v>
      </c>
      <c r="E8086" s="23">
        <v>0</v>
      </c>
      <c r="F8086" s="23">
        <v>0</v>
      </c>
      <c r="G8086" s="23">
        <v>0</v>
      </c>
      <c r="H8086" s="23">
        <v>0</v>
      </c>
      <c r="I8086" s="23">
        <v>1206.4000000000001</v>
      </c>
      <c r="J8086" s="23">
        <v>0</v>
      </c>
      <c r="K8086" s="23">
        <v>0</v>
      </c>
    </row>
    <row r="8087" spans="1:11" x14ac:dyDescent="0.25">
      <c r="A8087">
        <v>8086</v>
      </c>
      <c r="B8087" s="23">
        <v>1304</v>
      </c>
      <c r="C8087" s="23">
        <v>0</v>
      </c>
      <c r="D8087" s="23">
        <v>0</v>
      </c>
      <c r="E8087" s="23">
        <v>0</v>
      </c>
      <c r="F8087" s="23">
        <v>0</v>
      </c>
      <c r="G8087" s="23">
        <v>0</v>
      </c>
      <c r="H8087" s="23">
        <v>0</v>
      </c>
      <c r="I8087" s="23">
        <v>1304</v>
      </c>
      <c r="J8087" s="23">
        <v>0</v>
      </c>
      <c r="K8087" s="23">
        <v>0</v>
      </c>
    </row>
    <row r="8088" spans="1:11" x14ac:dyDescent="0.25">
      <c r="A8088">
        <v>8087</v>
      </c>
      <c r="B8088" s="23">
        <v>1134.4000000000001</v>
      </c>
      <c r="C8088" s="23">
        <v>0</v>
      </c>
      <c r="D8088" s="23">
        <v>0</v>
      </c>
      <c r="E8088" s="23">
        <v>0</v>
      </c>
      <c r="F8088" s="23">
        <v>0</v>
      </c>
      <c r="G8088" s="23">
        <v>0</v>
      </c>
      <c r="H8088" s="23">
        <v>0</v>
      </c>
      <c r="I8088" s="23">
        <v>1134.4000000000001</v>
      </c>
      <c r="J8088" s="23">
        <v>0</v>
      </c>
      <c r="K8088" s="23">
        <v>0</v>
      </c>
    </row>
    <row r="8089" spans="1:11" x14ac:dyDescent="0.25">
      <c r="A8089">
        <v>8088</v>
      </c>
      <c r="B8089" s="23">
        <v>949.6</v>
      </c>
      <c r="C8089" s="23">
        <v>0</v>
      </c>
      <c r="D8089" s="23">
        <v>0</v>
      </c>
      <c r="E8089" s="23">
        <v>0</v>
      </c>
      <c r="F8089" s="23">
        <v>0</v>
      </c>
      <c r="G8089" s="23">
        <v>0</v>
      </c>
      <c r="H8089" s="23">
        <v>0</v>
      </c>
      <c r="I8089" s="23">
        <v>949.6</v>
      </c>
      <c r="J8089" s="23">
        <v>0</v>
      </c>
      <c r="K8089" s="23">
        <v>0</v>
      </c>
    </row>
    <row r="8090" spans="1:11" x14ac:dyDescent="0.25">
      <c r="A8090">
        <v>8089</v>
      </c>
      <c r="B8090" s="23">
        <v>1222.4000000000001</v>
      </c>
      <c r="C8090" s="23">
        <v>0</v>
      </c>
      <c r="D8090" s="23">
        <v>0</v>
      </c>
      <c r="E8090" s="23">
        <v>0</v>
      </c>
      <c r="F8090" s="23">
        <v>0</v>
      </c>
      <c r="G8090" s="23">
        <v>0</v>
      </c>
      <c r="H8090" s="23">
        <v>0</v>
      </c>
      <c r="I8090" s="23">
        <v>1222.4000000000001</v>
      </c>
      <c r="J8090" s="23">
        <v>0</v>
      </c>
      <c r="K8090" s="23">
        <v>0</v>
      </c>
    </row>
    <row r="8091" spans="1:11" x14ac:dyDescent="0.25">
      <c r="A8091">
        <v>8090</v>
      </c>
      <c r="B8091" s="23">
        <v>851.2</v>
      </c>
      <c r="C8091" s="23">
        <v>0</v>
      </c>
      <c r="D8091" s="23">
        <v>0</v>
      </c>
      <c r="E8091" s="23">
        <v>0</v>
      </c>
      <c r="F8091" s="23">
        <v>0</v>
      </c>
      <c r="G8091" s="23">
        <v>0</v>
      </c>
      <c r="H8091" s="23">
        <v>0</v>
      </c>
      <c r="I8091" s="23">
        <v>851.2</v>
      </c>
      <c r="J8091" s="23">
        <v>0</v>
      </c>
      <c r="K8091" s="23">
        <v>0</v>
      </c>
    </row>
    <row r="8092" spans="1:11" x14ac:dyDescent="0.25">
      <c r="A8092">
        <v>8091</v>
      </c>
      <c r="B8092" s="23">
        <v>1256.8</v>
      </c>
      <c r="C8092" s="23">
        <v>0</v>
      </c>
      <c r="D8092" s="23">
        <v>0</v>
      </c>
      <c r="E8092" s="23">
        <v>0</v>
      </c>
      <c r="F8092" s="23">
        <v>0</v>
      </c>
      <c r="G8092" s="23">
        <v>0</v>
      </c>
      <c r="H8092" s="23">
        <v>0</v>
      </c>
      <c r="I8092" s="23">
        <v>1256.8</v>
      </c>
      <c r="J8092" s="23">
        <v>0</v>
      </c>
      <c r="K8092" s="23">
        <v>0</v>
      </c>
    </row>
    <row r="8093" spans="1:11" x14ac:dyDescent="0.25">
      <c r="A8093">
        <v>8092</v>
      </c>
      <c r="B8093" s="23">
        <v>1092.8</v>
      </c>
      <c r="C8093" s="23">
        <v>0</v>
      </c>
      <c r="D8093" s="23">
        <v>0</v>
      </c>
      <c r="E8093" s="23">
        <v>0</v>
      </c>
      <c r="F8093" s="23">
        <v>0</v>
      </c>
      <c r="G8093" s="23">
        <v>0</v>
      </c>
      <c r="H8093" s="23">
        <v>0</v>
      </c>
      <c r="I8093" s="23">
        <v>1092.8</v>
      </c>
      <c r="J8093" s="23">
        <v>0</v>
      </c>
      <c r="K8093" s="23">
        <v>0</v>
      </c>
    </row>
    <row r="8094" spans="1:11" x14ac:dyDescent="0.25">
      <c r="A8094">
        <v>8093</v>
      </c>
      <c r="B8094" s="23">
        <v>1028.8</v>
      </c>
      <c r="C8094" s="23">
        <v>0</v>
      </c>
      <c r="D8094" s="23">
        <v>0</v>
      </c>
      <c r="E8094" s="23">
        <v>0</v>
      </c>
      <c r="F8094" s="23">
        <v>0</v>
      </c>
      <c r="G8094" s="23">
        <v>0</v>
      </c>
      <c r="H8094" s="23">
        <v>0</v>
      </c>
      <c r="I8094" s="23">
        <v>8.6120000000000001</v>
      </c>
      <c r="J8094" s="23">
        <v>0</v>
      </c>
      <c r="K8094" s="23">
        <v>1020.188</v>
      </c>
    </row>
    <row r="8095" spans="1:11" x14ac:dyDescent="0.25">
      <c r="A8095">
        <v>8094</v>
      </c>
      <c r="B8095" s="23">
        <v>1088.8</v>
      </c>
      <c r="C8095" s="23">
        <v>0</v>
      </c>
      <c r="D8095" s="23">
        <v>0</v>
      </c>
      <c r="E8095" s="23">
        <v>0</v>
      </c>
      <c r="F8095" s="23">
        <v>0</v>
      </c>
      <c r="G8095" s="23">
        <v>0</v>
      </c>
      <c r="H8095" s="23">
        <v>0</v>
      </c>
      <c r="I8095" s="23">
        <v>0</v>
      </c>
      <c r="J8095" s="23">
        <v>0</v>
      </c>
      <c r="K8095" s="23">
        <v>1088.8</v>
      </c>
    </row>
    <row r="8096" spans="1:11" x14ac:dyDescent="0.25">
      <c r="A8096">
        <v>8095</v>
      </c>
      <c r="B8096" s="23">
        <v>1353.6</v>
      </c>
      <c r="C8096" s="23">
        <v>105.13</v>
      </c>
      <c r="D8096" s="23">
        <v>324.17200000000003</v>
      </c>
      <c r="E8096" s="23">
        <v>324.17200000000003</v>
      </c>
      <c r="F8096" s="23">
        <v>0</v>
      </c>
      <c r="G8096" s="23">
        <v>0</v>
      </c>
      <c r="H8096" s="23">
        <v>0</v>
      </c>
      <c r="I8096" s="23">
        <v>0</v>
      </c>
      <c r="J8096" s="23">
        <v>0</v>
      </c>
      <c r="K8096" s="23">
        <v>1029.4280000000001</v>
      </c>
    </row>
    <row r="8097" spans="1:11" x14ac:dyDescent="0.25">
      <c r="A8097">
        <v>8096</v>
      </c>
      <c r="B8097" s="23">
        <v>697.26</v>
      </c>
      <c r="C8097" s="23">
        <v>300.52999999999997</v>
      </c>
      <c r="D8097" s="23">
        <v>1212.2180000000001</v>
      </c>
      <c r="E8097" s="23">
        <v>697.26</v>
      </c>
      <c r="F8097" s="23">
        <v>-514.95799999999997</v>
      </c>
      <c r="G8097" s="23">
        <v>0</v>
      </c>
      <c r="H8097" s="23">
        <v>0</v>
      </c>
      <c r="I8097" s="23">
        <v>0</v>
      </c>
      <c r="J8097" s="23">
        <v>0</v>
      </c>
      <c r="K8097" s="23">
        <v>0</v>
      </c>
    </row>
    <row r="8098" spans="1:11" x14ac:dyDescent="0.25">
      <c r="A8098">
        <v>8097</v>
      </c>
      <c r="B8098" s="23">
        <v>894.81299999999999</v>
      </c>
      <c r="C8098" s="23">
        <v>593.80999999999995</v>
      </c>
      <c r="D8098" s="23">
        <v>2390.5169999999998</v>
      </c>
      <c r="E8098" s="23">
        <v>894.81299999999999</v>
      </c>
      <c r="F8098" s="23">
        <v>-1495.704</v>
      </c>
      <c r="G8098" s="23">
        <v>0</v>
      </c>
      <c r="H8098" s="23">
        <v>0</v>
      </c>
      <c r="I8098" s="23">
        <v>0</v>
      </c>
      <c r="J8098" s="23">
        <v>0</v>
      </c>
      <c r="K8098" s="23">
        <v>0</v>
      </c>
    </row>
    <row r="8099" spans="1:11" x14ac:dyDescent="0.25">
      <c r="A8099">
        <v>8098</v>
      </c>
      <c r="B8099" s="23">
        <v>1264.732</v>
      </c>
      <c r="C8099" s="23">
        <v>788.49</v>
      </c>
      <c r="D8099" s="23">
        <v>3044.2959999999998</v>
      </c>
      <c r="E8099" s="23">
        <v>1264.732</v>
      </c>
      <c r="F8099" s="23">
        <v>-1684.559</v>
      </c>
      <c r="G8099" s="23">
        <v>0</v>
      </c>
      <c r="H8099" s="23">
        <v>95.004999999999995</v>
      </c>
      <c r="I8099" s="23">
        <v>0</v>
      </c>
      <c r="J8099" s="23">
        <v>0</v>
      </c>
      <c r="K8099" s="23">
        <v>0</v>
      </c>
    </row>
    <row r="8100" spans="1:11" x14ac:dyDescent="0.25">
      <c r="A8100">
        <v>8099</v>
      </c>
      <c r="B8100" s="23">
        <v>1241.914</v>
      </c>
      <c r="C8100" s="23">
        <v>915.74</v>
      </c>
      <c r="D8100" s="23">
        <v>3410.45</v>
      </c>
      <c r="E8100" s="23">
        <v>1241.914</v>
      </c>
      <c r="F8100" s="23">
        <v>-1684.559</v>
      </c>
      <c r="G8100" s="23">
        <v>0</v>
      </c>
      <c r="H8100" s="23">
        <v>483.97699999999998</v>
      </c>
      <c r="I8100" s="23">
        <v>0</v>
      </c>
      <c r="J8100" s="23">
        <v>0</v>
      </c>
      <c r="K8100" s="23">
        <v>0</v>
      </c>
    </row>
    <row r="8101" spans="1:11" x14ac:dyDescent="0.25">
      <c r="A8101">
        <v>8100</v>
      </c>
      <c r="B8101" s="23">
        <v>1308.586</v>
      </c>
      <c r="C8101" s="23">
        <v>972.72</v>
      </c>
      <c r="D8101" s="23">
        <v>3530.4720000000002</v>
      </c>
      <c r="E8101" s="23">
        <v>1308.587</v>
      </c>
      <c r="F8101" s="23">
        <v>-1684.559</v>
      </c>
      <c r="G8101" s="23">
        <v>0</v>
      </c>
      <c r="H8101" s="23">
        <v>537.32600000000002</v>
      </c>
      <c r="I8101" s="23">
        <v>0</v>
      </c>
      <c r="J8101" s="23">
        <v>0</v>
      </c>
      <c r="K8101" s="23">
        <v>0</v>
      </c>
    </row>
    <row r="8102" spans="1:11" x14ac:dyDescent="0.25">
      <c r="A8102">
        <v>8101</v>
      </c>
      <c r="B8102" s="23">
        <v>1086.6179999999999</v>
      </c>
      <c r="C8102" s="23">
        <v>947.83</v>
      </c>
      <c r="D8102" s="23">
        <v>3420.105</v>
      </c>
      <c r="E8102" s="23">
        <v>1086.6179999999999</v>
      </c>
      <c r="F8102" s="23">
        <v>-227.15799999999999</v>
      </c>
      <c r="G8102" s="23">
        <v>0</v>
      </c>
      <c r="H8102" s="23">
        <v>2106.3290000000002</v>
      </c>
      <c r="I8102" s="23">
        <v>0</v>
      </c>
      <c r="J8102" s="23">
        <v>0</v>
      </c>
      <c r="K8102" s="23">
        <v>0</v>
      </c>
    </row>
    <row r="8103" spans="1:11" x14ac:dyDescent="0.25">
      <c r="A8103">
        <v>8102</v>
      </c>
      <c r="B8103" s="23">
        <v>1312.4559999999999</v>
      </c>
      <c r="C8103" s="23">
        <v>846.4</v>
      </c>
      <c r="D8103" s="23">
        <v>3114.1579999999999</v>
      </c>
      <c r="E8103" s="23">
        <v>1312.4559999999999</v>
      </c>
      <c r="F8103" s="23">
        <v>0</v>
      </c>
      <c r="G8103" s="23">
        <v>0</v>
      </c>
      <c r="H8103" s="23">
        <v>1801.702</v>
      </c>
      <c r="I8103" s="23">
        <v>0</v>
      </c>
      <c r="J8103" s="23">
        <v>0</v>
      </c>
      <c r="K8103" s="23">
        <v>0</v>
      </c>
    </row>
    <row r="8104" spans="1:11" x14ac:dyDescent="0.25">
      <c r="A8104">
        <v>8103</v>
      </c>
      <c r="B8104" s="23">
        <v>1471.8330000000001</v>
      </c>
      <c r="C8104" s="23">
        <v>681.53</v>
      </c>
      <c r="D8104" s="23">
        <v>2599.3330000000001</v>
      </c>
      <c r="E8104" s="23">
        <v>1471.8330000000001</v>
      </c>
      <c r="F8104" s="23">
        <v>0</v>
      </c>
      <c r="G8104" s="23">
        <v>0</v>
      </c>
      <c r="H8104" s="23">
        <v>1127.5</v>
      </c>
      <c r="I8104" s="23">
        <v>0</v>
      </c>
      <c r="J8104" s="23">
        <v>0</v>
      </c>
      <c r="K8104" s="23">
        <v>0</v>
      </c>
    </row>
    <row r="8105" spans="1:11" x14ac:dyDescent="0.25">
      <c r="A8105">
        <v>8104</v>
      </c>
      <c r="B8105" s="23">
        <v>1659.0840000000001</v>
      </c>
      <c r="C8105" s="23">
        <v>444.82</v>
      </c>
      <c r="D8105" s="23">
        <v>1756.2190000000001</v>
      </c>
      <c r="E8105" s="23">
        <v>1659.0840000000001</v>
      </c>
      <c r="F8105" s="23">
        <v>0</v>
      </c>
      <c r="G8105" s="23">
        <v>0</v>
      </c>
      <c r="H8105" s="23">
        <v>97.135000000000005</v>
      </c>
      <c r="I8105" s="23">
        <v>0</v>
      </c>
      <c r="J8105" s="23">
        <v>0</v>
      </c>
      <c r="K8105" s="23">
        <v>0</v>
      </c>
    </row>
    <row r="8106" spans="1:11" x14ac:dyDescent="0.25">
      <c r="A8106">
        <v>8105</v>
      </c>
      <c r="B8106" s="23">
        <v>1382.135</v>
      </c>
      <c r="C8106" s="23">
        <v>174</v>
      </c>
      <c r="D8106" s="23">
        <v>630.20699999999999</v>
      </c>
      <c r="E8106" s="23">
        <v>630.20699999999999</v>
      </c>
      <c r="F8106" s="23">
        <v>0</v>
      </c>
      <c r="G8106" s="23">
        <v>0</v>
      </c>
      <c r="H8106" s="23">
        <v>0</v>
      </c>
      <c r="I8106" s="23">
        <v>751.928</v>
      </c>
      <c r="J8106" s="23">
        <v>0</v>
      </c>
      <c r="K8106" s="23">
        <v>0</v>
      </c>
    </row>
    <row r="8107" spans="1:11" x14ac:dyDescent="0.25">
      <c r="A8107">
        <v>8106</v>
      </c>
      <c r="B8107" s="23">
        <v>1357.739</v>
      </c>
      <c r="C8107" s="23">
        <v>3.91</v>
      </c>
      <c r="D8107" s="23">
        <v>0</v>
      </c>
      <c r="E8107" s="23">
        <v>0</v>
      </c>
      <c r="F8107" s="23">
        <v>0</v>
      </c>
      <c r="G8107" s="23">
        <v>0</v>
      </c>
      <c r="H8107" s="23">
        <v>0</v>
      </c>
      <c r="I8107" s="23">
        <v>0</v>
      </c>
      <c r="J8107" s="23">
        <v>0</v>
      </c>
      <c r="K8107" s="23">
        <v>1357.739</v>
      </c>
    </row>
    <row r="8108" spans="1:11" x14ac:dyDescent="0.25">
      <c r="A8108">
        <v>8107</v>
      </c>
      <c r="B8108" s="23">
        <v>1292</v>
      </c>
      <c r="C8108" s="23">
        <v>0</v>
      </c>
      <c r="D8108" s="23">
        <v>0</v>
      </c>
      <c r="E8108" s="23">
        <v>0</v>
      </c>
      <c r="F8108" s="23">
        <v>0</v>
      </c>
      <c r="G8108" s="23">
        <v>0</v>
      </c>
      <c r="H8108" s="23">
        <v>0</v>
      </c>
      <c r="I8108" s="23">
        <v>0</v>
      </c>
      <c r="J8108" s="23">
        <v>0</v>
      </c>
      <c r="K8108" s="23">
        <v>1292</v>
      </c>
    </row>
    <row r="8109" spans="1:11" x14ac:dyDescent="0.25">
      <c r="A8109">
        <v>8108</v>
      </c>
      <c r="B8109" s="23">
        <v>1217.5999999999999</v>
      </c>
      <c r="C8109" s="23">
        <v>0</v>
      </c>
      <c r="D8109" s="23">
        <v>0</v>
      </c>
      <c r="E8109" s="23">
        <v>0</v>
      </c>
      <c r="F8109" s="23">
        <v>0</v>
      </c>
      <c r="G8109" s="23">
        <v>0</v>
      </c>
      <c r="H8109" s="23">
        <v>0</v>
      </c>
      <c r="I8109" s="23">
        <v>0</v>
      </c>
      <c r="J8109" s="23">
        <v>0</v>
      </c>
      <c r="K8109" s="23">
        <v>1217.5999999999999</v>
      </c>
    </row>
    <row r="8110" spans="1:11" x14ac:dyDescent="0.25">
      <c r="A8110">
        <v>8109</v>
      </c>
      <c r="B8110" s="23">
        <v>1288</v>
      </c>
      <c r="C8110" s="23">
        <v>0</v>
      </c>
      <c r="D8110" s="23">
        <v>0</v>
      </c>
      <c r="E8110" s="23">
        <v>0</v>
      </c>
      <c r="F8110" s="23">
        <v>0</v>
      </c>
      <c r="G8110" s="23">
        <v>0</v>
      </c>
      <c r="H8110" s="23">
        <v>0</v>
      </c>
      <c r="I8110" s="23">
        <v>1288</v>
      </c>
      <c r="J8110" s="23">
        <v>0</v>
      </c>
      <c r="K8110" s="23">
        <v>0</v>
      </c>
    </row>
    <row r="8111" spans="1:11" x14ac:dyDescent="0.25">
      <c r="A8111">
        <v>8110</v>
      </c>
      <c r="B8111" s="23">
        <v>1356</v>
      </c>
      <c r="C8111" s="23">
        <v>0</v>
      </c>
      <c r="D8111" s="23">
        <v>0</v>
      </c>
      <c r="E8111" s="23">
        <v>0</v>
      </c>
      <c r="F8111" s="23">
        <v>0</v>
      </c>
      <c r="G8111" s="23">
        <v>0</v>
      </c>
      <c r="H8111" s="23">
        <v>0</v>
      </c>
      <c r="I8111" s="23">
        <v>1065.192</v>
      </c>
      <c r="J8111" s="23">
        <v>0</v>
      </c>
      <c r="K8111" s="23">
        <v>290.80799999999999</v>
      </c>
    </row>
    <row r="8112" spans="1:11" x14ac:dyDescent="0.25">
      <c r="A8112">
        <v>8111</v>
      </c>
      <c r="B8112" s="23">
        <v>968.8</v>
      </c>
      <c r="C8112" s="23">
        <v>0</v>
      </c>
      <c r="D8112" s="23">
        <v>0</v>
      </c>
      <c r="E8112" s="23">
        <v>0</v>
      </c>
      <c r="F8112" s="23">
        <v>0</v>
      </c>
      <c r="G8112" s="23">
        <v>0</v>
      </c>
      <c r="H8112" s="23">
        <v>0</v>
      </c>
      <c r="I8112" s="23">
        <v>968.8</v>
      </c>
      <c r="J8112" s="23">
        <v>0</v>
      </c>
      <c r="K8112" s="23">
        <v>0</v>
      </c>
    </row>
    <row r="8113" spans="1:11" x14ac:dyDescent="0.25">
      <c r="A8113">
        <v>8112</v>
      </c>
      <c r="B8113" s="23">
        <v>1264</v>
      </c>
      <c r="C8113" s="23">
        <v>0</v>
      </c>
      <c r="D8113" s="23">
        <v>0</v>
      </c>
      <c r="E8113" s="23">
        <v>0</v>
      </c>
      <c r="F8113" s="23">
        <v>0</v>
      </c>
      <c r="G8113" s="23">
        <v>0</v>
      </c>
      <c r="H8113" s="23">
        <v>0</v>
      </c>
      <c r="I8113" s="23">
        <v>1264</v>
      </c>
      <c r="J8113" s="23">
        <v>0</v>
      </c>
      <c r="K8113" s="23">
        <v>0</v>
      </c>
    </row>
    <row r="8114" spans="1:11" x14ac:dyDescent="0.25">
      <c r="A8114">
        <v>8113</v>
      </c>
      <c r="B8114" s="23">
        <v>1316.8</v>
      </c>
      <c r="C8114" s="23">
        <v>0</v>
      </c>
      <c r="D8114" s="23">
        <v>0</v>
      </c>
      <c r="E8114" s="23">
        <v>0</v>
      </c>
      <c r="F8114" s="23">
        <v>0</v>
      </c>
      <c r="G8114" s="23">
        <v>0</v>
      </c>
      <c r="H8114" s="23">
        <v>0</v>
      </c>
      <c r="I8114" s="23">
        <v>1316.8</v>
      </c>
      <c r="J8114" s="23">
        <v>0</v>
      </c>
      <c r="K8114" s="23">
        <v>0</v>
      </c>
    </row>
    <row r="8115" spans="1:11" x14ac:dyDescent="0.25">
      <c r="A8115">
        <v>8114</v>
      </c>
      <c r="B8115" s="23">
        <v>1169.5999999999999</v>
      </c>
      <c r="C8115" s="23">
        <v>0</v>
      </c>
      <c r="D8115" s="23">
        <v>0</v>
      </c>
      <c r="E8115" s="23">
        <v>0</v>
      </c>
      <c r="F8115" s="23">
        <v>0</v>
      </c>
      <c r="G8115" s="23">
        <v>0</v>
      </c>
      <c r="H8115" s="23">
        <v>0</v>
      </c>
      <c r="I8115" s="23">
        <v>1169.5999999999999</v>
      </c>
      <c r="J8115" s="23">
        <v>0</v>
      </c>
      <c r="K8115" s="23">
        <v>0</v>
      </c>
    </row>
    <row r="8116" spans="1:11" x14ac:dyDescent="0.25">
      <c r="A8116">
        <v>8115</v>
      </c>
      <c r="B8116" s="23">
        <v>1160.8</v>
      </c>
      <c r="C8116" s="23">
        <v>0</v>
      </c>
      <c r="D8116" s="23">
        <v>0</v>
      </c>
      <c r="E8116" s="23">
        <v>0</v>
      </c>
      <c r="F8116" s="23">
        <v>0</v>
      </c>
      <c r="G8116" s="23">
        <v>0</v>
      </c>
      <c r="H8116" s="23">
        <v>0</v>
      </c>
      <c r="I8116" s="23">
        <v>1160.8</v>
      </c>
      <c r="J8116" s="23">
        <v>0</v>
      </c>
      <c r="K8116" s="23">
        <v>0</v>
      </c>
    </row>
    <row r="8117" spans="1:11" x14ac:dyDescent="0.25">
      <c r="A8117">
        <v>8116</v>
      </c>
      <c r="B8117" s="23">
        <v>1196</v>
      </c>
      <c r="C8117" s="23">
        <v>0</v>
      </c>
      <c r="D8117" s="23">
        <v>0</v>
      </c>
      <c r="E8117" s="23">
        <v>0</v>
      </c>
      <c r="F8117" s="23">
        <v>0</v>
      </c>
      <c r="G8117" s="23">
        <v>0</v>
      </c>
      <c r="H8117" s="23">
        <v>0</v>
      </c>
      <c r="I8117" s="23">
        <v>1196</v>
      </c>
      <c r="J8117" s="23">
        <v>0</v>
      </c>
      <c r="K8117" s="23">
        <v>0</v>
      </c>
    </row>
    <row r="8118" spans="1:11" x14ac:dyDescent="0.25">
      <c r="A8118">
        <v>8117</v>
      </c>
      <c r="B8118" s="23">
        <v>840</v>
      </c>
      <c r="C8118" s="23">
        <v>0</v>
      </c>
      <c r="D8118" s="23">
        <v>0</v>
      </c>
      <c r="E8118" s="23">
        <v>0</v>
      </c>
      <c r="F8118" s="23">
        <v>0</v>
      </c>
      <c r="G8118" s="23">
        <v>0</v>
      </c>
      <c r="H8118" s="23">
        <v>0</v>
      </c>
      <c r="I8118" s="23">
        <v>0</v>
      </c>
      <c r="J8118" s="23">
        <v>0</v>
      </c>
      <c r="K8118" s="23">
        <v>840</v>
      </c>
    </row>
    <row r="8119" spans="1:11" x14ac:dyDescent="0.25">
      <c r="A8119">
        <v>8118</v>
      </c>
      <c r="B8119" s="23">
        <v>1152.8</v>
      </c>
      <c r="C8119" s="23">
        <v>0</v>
      </c>
      <c r="D8119" s="23">
        <v>0</v>
      </c>
      <c r="E8119" s="23">
        <v>0</v>
      </c>
      <c r="F8119" s="23">
        <v>0</v>
      </c>
      <c r="G8119" s="23">
        <v>0</v>
      </c>
      <c r="H8119" s="23">
        <v>0</v>
      </c>
      <c r="I8119" s="23">
        <v>0</v>
      </c>
      <c r="J8119" s="23">
        <v>0</v>
      </c>
      <c r="K8119" s="23">
        <v>1152.8</v>
      </c>
    </row>
    <row r="8120" spans="1:11" x14ac:dyDescent="0.25">
      <c r="A8120">
        <v>8119</v>
      </c>
      <c r="B8120" s="23">
        <v>706.4</v>
      </c>
      <c r="C8120" s="23">
        <v>100.89</v>
      </c>
      <c r="D8120" s="23">
        <v>305.49799999999999</v>
      </c>
      <c r="E8120" s="23">
        <v>305.49799999999999</v>
      </c>
      <c r="F8120" s="23">
        <v>0</v>
      </c>
      <c r="G8120" s="23">
        <v>0</v>
      </c>
      <c r="H8120" s="23">
        <v>0</v>
      </c>
      <c r="I8120" s="23">
        <v>0</v>
      </c>
      <c r="J8120" s="23">
        <v>0</v>
      </c>
      <c r="K8120" s="23">
        <v>400.90199999999999</v>
      </c>
    </row>
    <row r="8121" spans="1:11" x14ac:dyDescent="0.25">
      <c r="A8121">
        <v>8120</v>
      </c>
      <c r="B8121" s="23">
        <v>959.43700000000001</v>
      </c>
      <c r="C8121" s="23">
        <v>346.95</v>
      </c>
      <c r="D8121" s="23">
        <v>1398.6089999999999</v>
      </c>
      <c r="E8121" s="23">
        <v>959.43700000000001</v>
      </c>
      <c r="F8121" s="23">
        <v>-439.17200000000003</v>
      </c>
      <c r="G8121" s="23">
        <v>0</v>
      </c>
      <c r="H8121" s="23">
        <v>0</v>
      </c>
      <c r="I8121" s="23">
        <v>0</v>
      </c>
      <c r="J8121" s="23">
        <v>0</v>
      </c>
      <c r="K8121" s="23">
        <v>0</v>
      </c>
    </row>
    <row r="8122" spans="1:11" x14ac:dyDescent="0.25">
      <c r="A8122">
        <v>8121</v>
      </c>
      <c r="B8122" s="23">
        <v>900.07899999999995</v>
      </c>
      <c r="C8122" s="23">
        <v>581.47</v>
      </c>
      <c r="D8122" s="23">
        <v>2345.8440000000001</v>
      </c>
      <c r="E8122" s="23">
        <v>900.07899999999995</v>
      </c>
      <c r="F8122" s="23">
        <v>-1445.7650000000001</v>
      </c>
      <c r="G8122" s="23">
        <v>0</v>
      </c>
      <c r="H8122" s="23">
        <v>0</v>
      </c>
      <c r="I8122" s="23">
        <v>0</v>
      </c>
      <c r="J8122" s="23">
        <v>0</v>
      </c>
      <c r="K8122" s="23">
        <v>0</v>
      </c>
    </row>
    <row r="8123" spans="1:11" x14ac:dyDescent="0.25">
      <c r="A8123">
        <v>8122</v>
      </c>
      <c r="B8123" s="23">
        <v>1146.42</v>
      </c>
      <c r="C8123" s="23">
        <v>766.82</v>
      </c>
      <c r="D8123" s="23">
        <v>2961.7370000000001</v>
      </c>
      <c r="E8123" s="23">
        <v>1146.421</v>
      </c>
      <c r="F8123" s="23">
        <v>-1684.559</v>
      </c>
      <c r="G8123" s="23">
        <v>0</v>
      </c>
      <c r="H8123" s="23">
        <v>130.75700000000001</v>
      </c>
      <c r="I8123" s="23">
        <v>0</v>
      </c>
      <c r="J8123" s="23">
        <v>0</v>
      </c>
      <c r="K8123" s="23">
        <v>0</v>
      </c>
    </row>
    <row r="8124" spans="1:11" x14ac:dyDescent="0.25">
      <c r="A8124">
        <v>8123</v>
      </c>
      <c r="B8124" s="23">
        <v>1422.5930000000001</v>
      </c>
      <c r="C8124" s="23">
        <v>892.33</v>
      </c>
      <c r="D8124" s="23">
        <v>3335.9960000000001</v>
      </c>
      <c r="E8124" s="23">
        <v>1422.5930000000001</v>
      </c>
      <c r="F8124" s="23">
        <v>-1684.559</v>
      </c>
      <c r="G8124" s="23">
        <v>0</v>
      </c>
      <c r="H8124" s="23">
        <v>228.84399999999999</v>
      </c>
      <c r="I8124" s="23">
        <v>0</v>
      </c>
      <c r="J8124" s="23">
        <v>0</v>
      </c>
      <c r="K8124" s="23">
        <v>0</v>
      </c>
    </row>
    <row r="8125" spans="1:11" x14ac:dyDescent="0.25">
      <c r="A8125">
        <v>8124</v>
      </c>
      <c r="B8125" s="23">
        <v>1547.461</v>
      </c>
      <c r="C8125" s="23">
        <v>949.31</v>
      </c>
      <c r="D8125" s="23">
        <v>3500.288</v>
      </c>
      <c r="E8125" s="23">
        <v>1547.461</v>
      </c>
      <c r="F8125" s="23">
        <v>-1684.559</v>
      </c>
      <c r="G8125" s="23">
        <v>0</v>
      </c>
      <c r="H8125" s="23">
        <v>268.26799999999997</v>
      </c>
      <c r="I8125" s="23">
        <v>0</v>
      </c>
      <c r="J8125" s="23">
        <v>0</v>
      </c>
      <c r="K8125" s="23">
        <v>0</v>
      </c>
    </row>
    <row r="8126" spans="1:11" x14ac:dyDescent="0.25">
      <c r="A8126">
        <v>8125</v>
      </c>
      <c r="B8126" s="23">
        <v>1494.729</v>
      </c>
      <c r="C8126" s="23">
        <v>893.54</v>
      </c>
      <c r="D8126" s="23">
        <v>3318.35</v>
      </c>
      <c r="E8126" s="23">
        <v>1494.729</v>
      </c>
      <c r="F8126" s="23">
        <v>-352.88400000000001</v>
      </c>
      <c r="G8126" s="23">
        <v>0</v>
      </c>
      <c r="H8126" s="23">
        <v>1470.7370000000001</v>
      </c>
      <c r="I8126" s="23">
        <v>0</v>
      </c>
      <c r="J8126" s="23">
        <v>0</v>
      </c>
      <c r="K8126" s="23">
        <v>0</v>
      </c>
    </row>
    <row r="8127" spans="1:11" x14ac:dyDescent="0.25">
      <c r="A8127">
        <v>8126</v>
      </c>
      <c r="B8127" s="23">
        <v>1257.6959999999999</v>
      </c>
      <c r="C8127" s="23">
        <v>828.67</v>
      </c>
      <c r="D8127" s="23">
        <v>3126.68</v>
      </c>
      <c r="E8127" s="23">
        <v>1257.6959999999999</v>
      </c>
      <c r="F8127" s="23">
        <v>0</v>
      </c>
      <c r="G8127" s="23">
        <v>0</v>
      </c>
      <c r="H8127" s="23">
        <v>1868.9839999999999</v>
      </c>
      <c r="I8127" s="23">
        <v>0</v>
      </c>
      <c r="J8127" s="23">
        <v>0</v>
      </c>
      <c r="K8127" s="23">
        <v>0</v>
      </c>
    </row>
    <row r="8128" spans="1:11" x14ac:dyDescent="0.25">
      <c r="A8128">
        <v>8127</v>
      </c>
      <c r="B8128" s="23">
        <v>1228.0709999999999</v>
      </c>
      <c r="C8128" s="23">
        <v>554.73</v>
      </c>
      <c r="D8128" s="23">
        <v>2159.6909999999998</v>
      </c>
      <c r="E8128" s="23">
        <v>1228.0709999999999</v>
      </c>
      <c r="F8128" s="23">
        <v>0</v>
      </c>
      <c r="G8128" s="23">
        <v>0</v>
      </c>
      <c r="H8128" s="23">
        <v>931.62</v>
      </c>
      <c r="I8128" s="23">
        <v>0</v>
      </c>
      <c r="J8128" s="23">
        <v>0</v>
      </c>
      <c r="K8128" s="23">
        <v>0</v>
      </c>
    </row>
    <row r="8129" spans="1:11" x14ac:dyDescent="0.25">
      <c r="A8129">
        <v>8128</v>
      </c>
      <c r="B8129" s="23">
        <v>1769.154</v>
      </c>
      <c r="C8129" s="23">
        <v>422.01</v>
      </c>
      <c r="D8129" s="23">
        <v>1681.693</v>
      </c>
      <c r="E8129" s="23">
        <v>1681.693</v>
      </c>
      <c r="F8129" s="23">
        <v>0</v>
      </c>
      <c r="G8129" s="23">
        <v>0</v>
      </c>
      <c r="H8129" s="23">
        <v>0</v>
      </c>
      <c r="I8129" s="23">
        <v>87.460999999999999</v>
      </c>
      <c r="J8129" s="23">
        <v>0</v>
      </c>
      <c r="K8129" s="23">
        <v>0</v>
      </c>
    </row>
    <row r="8130" spans="1:11" x14ac:dyDescent="0.25">
      <c r="A8130">
        <v>8129</v>
      </c>
      <c r="B8130" s="23">
        <v>1953.3710000000001</v>
      </c>
      <c r="C8130" s="23">
        <v>181.6</v>
      </c>
      <c r="D8130" s="23">
        <v>660.70600000000002</v>
      </c>
      <c r="E8130" s="23">
        <v>660.70600000000002</v>
      </c>
      <c r="F8130" s="23">
        <v>0</v>
      </c>
      <c r="G8130" s="23">
        <v>0</v>
      </c>
      <c r="H8130" s="23">
        <v>0</v>
      </c>
      <c r="I8130" s="23">
        <v>1292.665</v>
      </c>
      <c r="J8130" s="23">
        <v>0</v>
      </c>
      <c r="K8130" s="23">
        <v>0</v>
      </c>
    </row>
    <row r="8131" spans="1:11" x14ac:dyDescent="0.25">
      <c r="A8131">
        <v>8130</v>
      </c>
      <c r="B8131" s="23">
        <v>1544.713</v>
      </c>
      <c r="C8131" s="23">
        <v>3.91</v>
      </c>
      <c r="D8131" s="23">
        <v>0</v>
      </c>
      <c r="E8131" s="23">
        <v>0</v>
      </c>
      <c r="F8131" s="23">
        <v>0</v>
      </c>
      <c r="G8131" s="23">
        <v>0</v>
      </c>
      <c r="H8131" s="23">
        <v>0</v>
      </c>
      <c r="I8131" s="23">
        <v>0</v>
      </c>
      <c r="J8131" s="23">
        <v>0</v>
      </c>
      <c r="K8131" s="23">
        <v>1544.713</v>
      </c>
    </row>
    <row r="8132" spans="1:11" x14ac:dyDescent="0.25">
      <c r="A8132">
        <v>8131</v>
      </c>
      <c r="B8132" s="23">
        <v>1589.6</v>
      </c>
      <c r="C8132" s="23">
        <v>0</v>
      </c>
      <c r="D8132" s="23">
        <v>0</v>
      </c>
      <c r="E8132" s="23">
        <v>0</v>
      </c>
      <c r="F8132" s="23">
        <v>0</v>
      </c>
      <c r="G8132" s="23">
        <v>0</v>
      </c>
      <c r="H8132" s="23">
        <v>0</v>
      </c>
      <c r="I8132" s="23">
        <v>0</v>
      </c>
      <c r="J8132" s="23">
        <v>0</v>
      </c>
      <c r="K8132" s="23">
        <v>1589.6</v>
      </c>
    </row>
    <row r="8133" spans="1:11" x14ac:dyDescent="0.25">
      <c r="A8133">
        <v>8132</v>
      </c>
      <c r="B8133" s="23">
        <v>1320</v>
      </c>
      <c r="C8133" s="23">
        <v>0</v>
      </c>
      <c r="D8133" s="23">
        <v>0</v>
      </c>
      <c r="E8133" s="23">
        <v>0</v>
      </c>
      <c r="F8133" s="23">
        <v>0</v>
      </c>
      <c r="G8133" s="23">
        <v>0</v>
      </c>
      <c r="H8133" s="23">
        <v>0</v>
      </c>
      <c r="I8133" s="23">
        <v>0</v>
      </c>
      <c r="J8133" s="23">
        <v>0</v>
      </c>
      <c r="K8133" s="23">
        <v>1320</v>
      </c>
    </row>
    <row r="8134" spans="1:11" x14ac:dyDescent="0.25">
      <c r="A8134">
        <v>8133</v>
      </c>
      <c r="B8134" s="23">
        <v>1744</v>
      </c>
      <c r="C8134" s="23">
        <v>0</v>
      </c>
      <c r="D8134" s="23">
        <v>0</v>
      </c>
      <c r="E8134" s="23">
        <v>0</v>
      </c>
      <c r="F8134" s="23">
        <v>0</v>
      </c>
      <c r="G8134" s="23">
        <v>0</v>
      </c>
      <c r="H8134" s="23">
        <v>0</v>
      </c>
      <c r="I8134" s="23">
        <v>1744</v>
      </c>
      <c r="J8134" s="23">
        <v>0</v>
      </c>
      <c r="K8134" s="23">
        <v>0</v>
      </c>
    </row>
    <row r="8135" spans="1:11" x14ac:dyDescent="0.25">
      <c r="A8135">
        <v>8134</v>
      </c>
      <c r="B8135" s="23">
        <v>1516.8</v>
      </c>
      <c r="C8135" s="23">
        <v>0</v>
      </c>
      <c r="D8135" s="23">
        <v>0</v>
      </c>
      <c r="E8135" s="23">
        <v>0</v>
      </c>
      <c r="F8135" s="23">
        <v>0</v>
      </c>
      <c r="G8135" s="23">
        <v>0</v>
      </c>
      <c r="H8135" s="23">
        <v>0</v>
      </c>
      <c r="I8135" s="23">
        <v>1516.8</v>
      </c>
      <c r="J8135" s="23">
        <v>0</v>
      </c>
      <c r="K8135" s="23">
        <v>0</v>
      </c>
    </row>
    <row r="8136" spans="1:11" x14ac:dyDescent="0.25">
      <c r="A8136">
        <v>8135</v>
      </c>
      <c r="B8136" s="23">
        <v>1599.2</v>
      </c>
      <c r="C8136" s="23">
        <v>0</v>
      </c>
      <c r="D8136" s="23">
        <v>0</v>
      </c>
      <c r="E8136" s="23">
        <v>0</v>
      </c>
      <c r="F8136" s="23">
        <v>0</v>
      </c>
      <c r="G8136" s="23">
        <v>0</v>
      </c>
      <c r="H8136" s="23">
        <v>0</v>
      </c>
      <c r="I8136" s="23">
        <v>1599.2</v>
      </c>
      <c r="J8136" s="23">
        <v>0</v>
      </c>
      <c r="K8136" s="23">
        <v>0</v>
      </c>
    </row>
    <row r="8137" spans="1:11" x14ac:dyDescent="0.25">
      <c r="A8137">
        <v>8136</v>
      </c>
      <c r="B8137" s="23">
        <v>1542.4</v>
      </c>
      <c r="C8137" s="23">
        <v>0</v>
      </c>
      <c r="D8137" s="23">
        <v>0</v>
      </c>
      <c r="E8137" s="23">
        <v>0</v>
      </c>
      <c r="F8137" s="23">
        <v>0</v>
      </c>
      <c r="G8137" s="23">
        <v>0</v>
      </c>
      <c r="H8137" s="23">
        <v>0</v>
      </c>
      <c r="I8137" s="23">
        <v>1542.4</v>
      </c>
      <c r="J8137" s="23">
        <v>0</v>
      </c>
      <c r="K8137" s="23">
        <v>0</v>
      </c>
    </row>
    <row r="8138" spans="1:11" x14ac:dyDescent="0.25">
      <c r="A8138">
        <v>8137</v>
      </c>
      <c r="B8138" s="23">
        <v>1434.4</v>
      </c>
      <c r="C8138" s="23">
        <v>0</v>
      </c>
      <c r="D8138" s="23">
        <v>0</v>
      </c>
      <c r="E8138" s="23">
        <v>0</v>
      </c>
      <c r="F8138" s="23">
        <v>0</v>
      </c>
      <c r="G8138" s="23">
        <v>0</v>
      </c>
      <c r="H8138" s="23">
        <v>0</v>
      </c>
      <c r="I8138" s="23">
        <v>1434.4</v>
      </c>
      <c r="J8138" s="23">
        <v>0</v>
      </c>
      <c r="K8138" s="23">
        <v>0</v>
      </c>
    </row>
    <row r="8139" spans="1:11" x14ac:dyDescent="0.25">
      <c r="A8139">
        <v>8138</v>
      </c>
      <c r="B8139" s="23">
        <v>1324</v>
      </c>
      <c r="C8139" s="23">
        <v>0</v>
      </c>
      <c r="D8139" s="23">
        <v>0</v>
      </c>
      <c r="E8139" s="23">
        <v>0</v>
      </c>
      <c r="F8139" s="23">
        <v>0</v>
      </c>
      <c r="G8139" s="23">
        <v>0</v>
      </c>
      <c r="H8139" s="23">
        <v>0</v>
      </c>
      <c r="I8139" s="23">
        <v>1324</v>
      </c>
      <c r="J8139" s="23">
        <v>0</v>
      </c>
      <c r="K8139" s="23">
        <v>0</v>
      </c>
    </row>
    <row r="8140" spans="1:11" x14ac:dyDescent="0.25">
      <c r="A8140">
        <v>8139</v>
      </c>
      <c r="B8140" s="23">
        <v>1325.6</v>
      </c>
      <c r="C8140" s="23">
        <v>0</v>
      </c>
      <c r="D8140" s="23">
        <v>0</v>
      </c>
      <c r="E8140" s="23">
        <v>0</v>
      </c>
      <c r="F8140" s="23">
        <v>0</v>
      </c>
      <c r="G8140" s="23">
        <v>0</v>
      </c>
      <c r="H8140" s="23">
        <v>0</v>
      </c>
      <c r="I8140" s="23">
        <v>1325.6</v>
      </c>
      <c r="J8140" s="23">
        <v>0</v>
      </c>
      <c r="K8140" s="23">
        <v>0</v>
      </c>
    </row>
    <row r="8141" spans="1:11" x14ac:dyDescent="0.25">
      <c r="A8141">
        <v>8140</v>
      </c>
      <c r="B8141" s="23">
        <v>1516.8</v>
      </c>
      <c r="C8141" s="23">
        <v>0</v>
      </c>
      <c r="D8141" s="23">
        <v>0</v>
      </c>
      <c r="E8141" s="23">
        <v>0</v>
      </c>
      <c r="F8141" s="23">
        <v>0</v>
      </c>
      <c r="G8141" s="23">
        <v>0</v>
      </c>
      <c r="H8141" s="23">
        <v>0</v>
      </c>
      <c r="I8141" s="23">
        <v>1516.8</v>
      </c>
      <c r="J8141" s="23">
        <v>0</v>
      </c>
      <c r="K8141" s="23">
        <v>0</v>
      </c>
    </row>
    <row r="8142" spans="1:11" x14ac:dyDescent="0.25">
      <c r="A8142">
        <v>8141</v>
      </c>
      <c r="B8142" s="23">
        <v>1291.2</v>
      </c>
      <c r="C8142" s="23">
        <v>0</v>
      </c>
      <c r="D8142" s="23">
        <v>0</v>
      </c>
      <c r="E8142" s="23">
        <v>0</v>
      </c>
      <c r="F8142" s="23">
        <v>0</v>
      </c>
      <c r="G8142" s="23">
        <v>0</v>
      </c>
      <c r="H8142" s="23">
        <v>0</v>
      </c>
      <c r="I8142" s="23">
        <v>1291.2</v>
      </c>
      <c r="J8142" s="23">
        <v>0</v>
      </c>
      <c r="K8142" s="23">
        <v>0</v>
      </c>
    </row>
    <row r="8143" spans="1:11" x14ac:dyDescent="0.25">
      <c r="A8143">
        <v>8142</v>
      </c>
      <c r="B8143" s="23">
        <v>1542.4</v>
      </c>
      <c r="C8143" s="23">
        <v>0</v>
      </c>
      <c r="D8143" s="23">
        <v>0</v>
      </c>
      <c r="E8143" s="23">
        <v>0</v>
      </c>
      <c r="F8143" s="23">
        <v>0</v>
      </c>
      <c r="G8143" s="23">
        <v>0</v>
      </c>
      <c r="H8143" s="23">
        <v>0</v>
      </c>
      <c r="I8143" s="23">
        <v>137.02500000000001</v>
      </c>
      <c r="J8143" s="23">
        <v>0</v>
      </c>
      <c r="K8143" s="23">
        <v>1405.375</v>
      </c>
    </row>
    <row r="8144" spans="1:11" x14ac:dyDescent="0.25">
      <c r="A8144">
        <v>8143</v>
      </c>
      <c r="B8144" s="23">
        <v>1000.8</v>
      </c>
      <c r="C8144" s="23">
        <v>103.27</v>
      </c>
      <c r="D8144" s="23">
        <v>308.63900000000001</v>
      </c>
      <c r="E8144" s="23">
        <v>308.63900000000001</v>
      </c>
      <c r="F8144" s="23">
        <v>0</v>
      </c>
      <c r="G8144" s="23">
        <v>0</v>
      </c>
      <c r="H8144" s="23">
        <v>0</v>
      </c>
      <c r="I8144" s="23">
        <v>0</v>
      </c>
      <c r="J8144" s="23">
        <v>0</v>
      </c>
      <c r="K8144" s="23">
        <v>692.16099999999994</v>
      </c>
    </row>
    <row r="8145" spans="1:11" x14ac:dyDescent="0.25">
      <c r="A8145">
        <v>8144</v>
      </c>
      <c r="B8145" s="23">
        <v>828.43</v>
      </c>
      <c r="C8145" s="23">
        <v>349.15</v>
      </c>
      <c r="D8145" s="23">
        <v>1403.5219999999999</v>
      </c>
      <c r="E8145" s="23">
        <v>828.43</v>
      </c>
      <c r="F8145" s="23">
        <v>-575.09199999999998</v>
      </c>
      <c r="G8145" s="23">
        <v>0</v>
      </c>
      <c r="H8145" s="23">
        <v>0</v>
      </c>
      <c r="I8145" s="23">
        <v>0</v>
      </c>
      <c r="J8145" s="23">
        <v>0</v>
      </c>
      <c r="K8145" s="23">
        <v>0</v>
      </c>
    </row>
    <row r="8146" spans="1:11" x14ac:dyDescent="0.25">
      <c r="A8146">
        <v>8145</v>
      </c>
      <c r="B8146" s="23">
        <v>1062.1659999999999</v>
      </c>
      <c r="C8146" s="23">
        <v>583.77</v>
      </c>
      <c r="D8146" s="23">
        <v>2353.3910000000001</v>
      </c>
      <c r="E8146" s="23">
        <v>1062.1659999999999</v>
      </c>
      <c r="F8146" s="23">
        <v>-1291.2249999999999</v>
      </c>
      <c r="G8146" s="23">
        <v>0</v>
      </c>
      <c r="H8146" s="23">
        <v>0</v>
      </c>
      <c r="I8146" s="23">
        <v>0</v>
      </c>
      <c r="J8146" s="23">
        <v>0</v>
      </c>
      <c r="K8146" s="23">
        <v>0</v>
      </c>
    </row>
    <row r="8147" spans="1:11" x14ac:dyDescent="0.25">
      <c r="A8147">
        <v>8146</v>
      </c>
      <c r="B8147" s="23">
        <v>1354.15</v>
      </c>
      <c r="C8147" s="23">
        <v>770.94</v>
      </c>
      <c r="D8147" s="23">
        <v>2984.3780000000002</v>
      </c>
      <c r="E8147" s="23">
        <v>1354.15</v>
      </c>
      <c r="F8147" s="23">
        <v>-1630.2280000000001</v>
      </c>
      <c r="G8147" s="23">
        <v>0</v>
      </c>
      <c r="H8147" s="23">
        <v>0</v>
      </c>
      <c r="I8147" s="23">
        <v>0</v>
      </c>
      <c r="J8147" s="23">
        <v>0</v>
      </c>
      <c r="K8147" s="23">
        <v>0</v>
      </c>
    </row>
    <row r="8148" spans="1:11" x14ac:dyDescent="0.25">
      <c r="A8148">
        <v>8147</v>
      </c>
      <c r="B8148" s="23">
        <v>1544.5989999999999</v>
      </c>
      <c r="C8148" s="23">
        <v>894.11</v>
      </c>
      <c r="D8148" s="23">
        <v>3344.9789999999998</v>
      </c>
      <c r="E8148" s="23">
        <v>1544.5989999999999</v>
      </c>
      <c r="F8148" s="23">
        <v>-1684.559</v>
      </c>
      <c r="G8148" s="23">
        <v>0</v>
      </c>
      <c r="H8148" s="23">
        <v>115.821</v>
      </c>
      <c r="I8148" s="23">
        <v>0</v>
      </c>
      <c r="J8148" s="23">
        <v>0</v>
      </c>
      <c r="K8148" s="23">
        <v>0</v>
      </c>
    </row>
    <row r="8149" spans="1:11" x14ac:dyDescent="0.25">
      <c r="A8149">
        <v>8148</v>
      </c>
      <c r="B8149" s="23">
        <v>1620.7670000000001</v>
      </c>
      <c r="C8149" s="23">
        <v>950.48</v>
      </c>
      <c r="D8149" s="23">
        <v>3495.0030000000002</v>
      </c>
      <c r="E8149" s="23">
        <v>1620.7670000000001</v>
      </c>
      <c r="F8149" s="23">
        <v>-1684.559</v>
      </c>
      <c r="G8149" s="23">
        <v>0</v>
      </c>
      <c r="H8149" s="23">
        <v>189.67699999999999</v>
      </c>
      <c r="I8149" s="23">
        <v>0</v>
      </c>
      <c r="J8149" s="23">
        <v>0</v>
      </c>
      <c r="K8149" s="23">
        <v>0</v>
      </c>
    </row>
    <row r="8150" spans="1:11" x14ac:dyDescent="0.25">
      <c r="A8150">
        <v>8149</v>
      </c>
      <c r="B8150" s="23">
        <v>936.447</v>
      </c>
      <c r="C8150" s="23">
        <v>904.46</v>
      </c>
      <c r="D8150" s="23">
        <v>3325.98</v>
      </c>
      <c r="E8150" s="23">
        <v>936.447</v>
      </c>
      <c r="F8150" s="23">
        <v>-425.83499999999998</v>
      </c>
      <c r="G8150" s="23">
        <v>0</v>
      </c>
      <c r="H8150" s="23">
        <v>1963.6980000000001</v>
      </c>
      <c r="I8150" s="23">
        <v>0</v>
      </c>
      <c r="J8150" s="23">
        <v>0</v>
      </c>
      <c r="K8150" s="23">
        <v>0</v>
      </c>
    </row>
    <row r="8151" spans="1:11" x14ac:dyDescent="0.25">
      <c r="A8151">
        <v>8150</v>
      </c>
      <c r="B8151" s="23">
        <v>1379.5889999999999</v>
      </c>
      <c r="C8151" s="23">
        <v>559.44000000000005</v>
      </c>
      <c r="D8151" s="23">
        <v>2124.1610000000001</v>
      </c>
      <c r="E8151" s="23">
        <v>1379.5889999999999</v>
      </c>
      <c r="F8151" s="23">
        <v>0</v>
      </c>
      <c r="G8151" s="23">
        <v>0</v>
      </c>
      <c r="H8151" s="23">
        <v>744.572</v>
      </c>
      <c r="I8151" s="23">
        <v>0</v>
      </c>
      <c r="J8151" s="23">
        <v>0</v>
      </c>
      <c r="K8151" s="23">
        <v>0</v>
      </c>
    </row>
    <row r="8152" spans="1:11" x14ac:dyDescent="0.25">
      <c r="A8152">
        <v>8151</v>
      </c>
      <c r="B8152" s="23">
        <v>1282.7529999999999</v>
      </c>
      <c r="C8152" s="23">
        <v>527.73</v>
      </c>
      <c r="D8152" s="23">
        <v>2037.5619999999999</v>
      </c>
      <c r="E8152" s="23">
        <v>1282.7529999999999</v>
      </c>
      <c r="F8152" s="23">
        <v>0</v>
      </c>
      <c r="G8152" s="23">
        <v>0</v>
      </c>
      <c r="H8152" s="23">
        <v>754.80899999999997</v>
      </c>
      <c r="I8152" s="23">
        <v>0</v>
      </c>
      <c r="J8152" s="23">
        <v>0</v>
      </c>
      <c r="K8152" s="23">
        <v>0</v>
      </c>
    </row>
    <row r="8153" spans="1:11" x14ac:dyDescent="0.25">
      <c r="A8153">
        <v>8152</v>
      </c>
      <c r="B8153" s="23">
        <v>1281.0530000000001</v>
      </c>
      <c r="C8153" s="23">
        <v>350.61</v>
      </c>
      <c r="D8153" s="23">
        <v>1383.556</v>
      </c>
      <c r="E8153" s="23">
        <v>1281.0530000000001</v>
      </c>
      <c r="F8153" s="23">
        <v>0</v>
      </c>
      <c r="G8153" s="23">
        <v>0</v>
      </c>
      <c r="H8153" s="23">
        <v>102.503</v>
      </c>
      <c r="I8153" s="23">
        <v>0</v>
      </c>
      <c r="J8153" s="23">
        <v>0</v>
      </c>
      <c r="K8153" s="23">
        <v>0</v>
      </c>
    </row>
    <row r="8154" spans="1:11" x14ac:dyDescent="0.25">
      <c r="A8154">
        <v>8153</v>
      </c>
      <c r="B8154" s="23">
        <v>1015.736</v>
      </c>
      <c r="C8154" s="23">
        <v>174.98</v>
      </c>
      <c r="D8154" s="23">
        <v>633.90599999999995</v>
      </c>
      <c r="E8154" s="23">
        <v>633.90599999999995</v>
      </c>
      <c r="F8154" s="23">
        <v>0</v>
      </c>
      <c r="G8154" s="23">
        <v>0</v>
      </c>
      <c r="H8154" s="23">
        <v>0</v>
      </c>
      <c r="I8154" s="23">
        <v>381.83</v>
      </c>
      <c r="J8154" s="23">
        <v>0</v>
      </c>
      <c r="K8154" s="23">
        <v>0</v>
      </c>
    </row>
    <row r="8155" spans="1:11" x14ac:dyDescent="0.25">
      <c r="A8155">
        <v>8154</v>
      </c>
      <c r="B8155" s="23">
        <v>1172.039</v>
      </c>
      <c r="C8155" s="23">
        <v>4.5999999999999996</v>
      </c>
      <c r="D8155" s="23">
        <v>0</v>
      </c>
      <c r="E8155" s="23">
        <v>0</v>
      </c>
      <c r="F8155" s="23">
        <v>0</v>
      </c>
      <c r="G8155" s="23">
        <v>0</v>
      </c>
      <c r="H8155" s="23">
        <v>0</v>
      </c>
      <c r="I8155" s="23">
        <v>0</v>
      </c>
      <c r="J8155" s="23">
        <v>0</v>
      </c>
      <c r="K8155" s="23">
        <v>1172.039</v>
      </c>
    </row>
    <row r="8156" spans="1:11" x14ac:dyDescent="0.25">
      <c r="A8156">
        <v>8155</v>
      </c>
      <c r="B8156" s="23">
        <v>1207.2</v>
      </c>
      <c r="C8156" s="23">
        <v>0</v>
      </c>
      <c r="D8156" s="23">
        <v>0</v>
      </c>
      <c r="E8156" s="23">
        <v>0</v>
      </c>
      <c r="F8156" s="23">
        <v>0</v>
      </c>
      <c r="G8156" s="23">
        <v>0</v>
      </c>
      <c r="H8156" s="23">
        <v>0</v>
      </c>
      <c r="I8156" s="23">
        <v>0</v>
      </c>
      <c r="J8156" s="23">
        <v>0</v>
      </c>
      <c r="K8156" s="23">
        <v>1207.2</v>
      </c>
    </row>
    <row r="8157" spans="1:11" x14ac:dyDescent="0.25">
      <c r="A8157">
        <v>8156</v>
      </c>
      <c r="B8157" s="23">
        <v>1226.4000000000001</v>
      </c>
      <c r="C8157" s="23">
        <v>0</v>
      </c>
      <c r="D8157" s="23">
        <v>0</v>
      </c>
      <c r="E8157" s="23">
        <v>0</v>
      </c>
      <c r="F8157" s="23">
        <v>0</v>
      </c>
      <c r="G8157" s="23">
        <v>0</v>
      </c>
      <c r="H8157" s="23">
        <v>0</v>
      </c>
      <c r="I8157" s="23">
        <v>0</v>
      </c>
      <c r="J8157" s="23">
        <v>0</v>
      </c>
      <c r="K8157" s="23">
        <v>1226.4000000000001</v>
      </c>
    </row>
    <row r="8158" spans="1:11" x14ac:dyDescent="0.25">
      <c r="A8158">
        <v>8157</v>
      </c>
      <c r="B8158" s="23">
        <v>1287.2</v>
      </c>
      <c r="C8158" s="23">
        <v>0</v>
      </c>
      <c r="D8158" s="23">
        <v>0</v>
      </c>
      <c r="E8158" s="23">
        <v>0</v>
      </c>
      <c r="F8158" s="23">
        <v>0</v>
      </c>
      <c r="G8158" s="23">
        <v>0</v>
      </c>
      <c r="H8158" s="23">
        <v>0</v>
      </c>
      <c r="I8158" s="23">
        <v>1287.2</v>
      </c>
      <c r="J8158" s="23">
        <v>0</v>
      </c>
      <c r="K8158" s="23">
        <v>0</v>
      </c>
    </row>
    <row r="8159" spans="1:11" x14ac:dyDescent="0.25">
      <c r="A8159">
        <v>8158</v>
      </c>
      <c r="B8159" s="23">
        <v>1448.8</v>
      </c>
      <c r="C8159" s="23">
        <v>0</v>
      </c>
      <c r="D8159" s="23">
        <v>0</v>
      </c>
      <c r="E8159" s="23">
        <v>0</v>
      </c>
      <c r="F8159" s="23">
        <v>0</v>
      </c>
      <c r="G8159" s="23">
        <v>0</v>
      </c>
      <c r="H8159" s="23">
        <v>0</v>
      </c>
      <c r="I8159" s="23">
        <v>1448.8</v>
      </c>
      <c r="J8159" s="23">
        <v>0</v>
      </c>
      <c r="K8159" s="23">
        <v>0</v>
      </c>
    </row>
    <row r="8160" spans="1:11" x14ac:dyDescent="0.25">
      <c r="A8160">
        <v>8159</v>
      </c>
      <c r="B8160" s="23">
        <v>1248.8</v>
      </c>
      <c r="C8160" s="23">
        <v>0</v>
      </c>
      <c r="D8160" s="23">
        <v>0</v>
      </c>
      <c r="E8160" s="23">
        <v>0</v>
      </c>
      <c r="F8160" s="23">
        <v>0</v>
      </c>
      <c r="G8160" s="23">
        <v>0</v>
      </c>
      <c r="H8160" s="23">
        <v>0</v>
      </c>
      <c r="I8160" s="23">
        <v>1248.8</v>
      </c>
      <c r="J8160" s="23">
        <v>0</v>
      </c>
      <c r="K8160" s="23">
        <v>0</v>
      </c>
    </row>
    <row r="8161" spans="1:11" x14ac:dyDescent="0.25">
      <c r="A8161">
        <v>8160</v>
      </c>
      <c r="B8161" s="23">
        <v>1272.8</v>
      </c>
      <c r="C8161" s="23">
        <v>0</v>
      </c>
      <c r="D8161" s="23">
        <v>0</v>
      </c>
      <c r="E8161" s="23">
        <v>0</v>
      </c>
      <c r="F8161" s="23">
        <v>0</v>
      </c>
      <c r="G8161" s="23">
        <v>0</v>
      </c>
      <c r="H8161" s="23">
        <v>0</v>
      </c>
      <c r="I8161" s="23">
        <v>1272.8</v>
      </c>
      <c r="J8161" s="23">
        <v>0</v>
      </c>
      <c r="K8161" s="23">
        <v>0</v>
      </c>
    </row>
    <row r="8162" spans="1:11" x14ac:dyDescent="0.25">
      <c r="A8162">
        <v>8161</v>
      </c>
      <c r="B8162" s="23">
        <v>1412</v>
      </c>
      <c r="C8162" s="23">
        <v>0</v>
      </c>
      <c r="D8162" s="23">
        <v>0</v>
      </c>
      <c r="E8162" s="23">
        <v>0</v>
      </c>
      <c r="F8162" s="23">
        <v>0</v>
      </c>
      <c r="G8162" s="23">
        <v>0</v>
      </c>
      <c r="H8162" s="23">
        <v>0</v>
      </c>
      <c r="I8162" s="23">
        <v>1412</v>
      </c>
      <c r="J8162" s="23">
        <v>0</v>
      </c>
      <c r="K8162" s="23">
        <v>0</v>
      </c>
    </row>
    <row r="8163" spans="1:11" x14ac:dyDescent="0.25">
      <c r="A8163">
        <v>8162</v>
      </c>
      <c r="B8163" s="23">
        <v>1366.4</v>
      </c>
      <c r="C8163" s="23">
        <v>0</v>
      </c>
      <c r="D8163" s="23">
        <v>0</v>
      </c>
      <c r="E8163" s="23">
        <v>0</v>
      </c>
      <c r="F8163" s="23">
        <v>0</v>
      </c>
      <c r="G8163" s="23">
        <v>0</v>
      </c>
      <c r="H8163" s="23">
        <v>0</v>
      </c>
      <c r="I8163" s="23">
        <v>1366.4</v>
      </c>
      <c r="J8163" s="23">
        <v>0</v>
      </c>
      <c r="K8163" s="23">
        <v>0</v>
      </c>
    </row>
    <row r="8164" spans="1:11" x14ac:dyDescent="0.25">
      <c r="A8164">
        <v>8163</v>
      </c>
      <c r="B8164" s="23">
        <v>1345.6</v>
      </c>
      <c r="C8164" s="23">
        <v>0</v>
      </c>
      <c r="D8164" s="23">
        <v>0</v>
      </c>
      <c r="E8164" s="23">
        <v>0</v>
      </c>
      <c r="F8164" s="23">
        <v>0</v>
      </c>
      <c r="G8164" s="23">
        <v>0</v>
      </c>
      <c r="H8164" s="23">
        <v>0</v>
      </c>
      <c r="I8164" s="23">
        <v>1345.6</v>
      </c>
      <c r="J8164" s="23">
        <v>0</v>
      </c>
      <c r="K8164" s="23">
        <v>0</v>
      </c>
    </row>
    <row r="8165" spans="1:11" x14ac:dyDescent="0.25">
      <c r="A8165">
        <v>8164</v>
      </c>
      <c r="B8165" s="23">
        <v>1445.6</v>
      </c>
      <c r="C8165" s="23">
        <v>0</v>
      </c>
      <c r="D8165" s="23">
        <v>0</v>
      </c>
      <c r="E8165" s="23">
        <v>0</v>
      </c>
      <c r="F8165" s="23">
        <v>0</v>
      </c>
      <c r="G8165" s="23">
        <v>0</v>
      </c>
      <c r="H8165" s="23">
        <v>0</v>
      </c>
      <c r="I8165" s="23">
        <v>1445.6</v>
      </c>
      <c r="J8165" s="23">
        <v>0</v>
      </c>
      <c r="K8165" s="23">
        <v>0</v>
      </c>
    </row>
    <row r="8166" spans="1:11" x14ac:dyDescent="0.25">
      <c r="A8166">
        <v>8165</v>
      </c>
      <c r="B8166" s="23">
        <v>1436</v>
      </c>
      <c r="C8166" s="23">
        <v>0</v>
      </c>
      <c r="D8166" s="23">
        <v>0</v>
      </c>
      <c r="E8166" s="23">
        <v>0</v>
      </c>
      <c r="F8166" s="23">
        <v>0</v>
      </c>
      <c r="G8166" s="23">
        <v>0</v>
      </c>
      <c r="H8166" s="23">
        <v>0</v>
      </c>
      <c r="I8166" s="23">
        <v>1436</v>
      </c>
      <c r="J8166" s="23">
        <v>0</v>
      </c>
      <c r="K8166" s="23">
        <v>0</v>
      </c>
    </row>
    <row r="8167" spans="1:11" x14ac:dyDescent="0.25">
      <c r="A8167">
        <v>8166</v>
      </c>
      <c r="B8167" s="23">
        <v>1366.4</v>
      </c>
      <c r="C8167" s="23">
        <v>0</v>
      </c>
      <c r="D8167" s="23">
        <v>0</v>
      </c>
      <c r="E8167" s="23">
        <v>0</v>
      </c>
      <c r="F8167" s="23">
        <v>0</v>
      </c>
      <c r="G8167" s="23">
        <v>0</v>
      </c>
      <c r="H8167" s="23">
        <v>0</v>
      </c>
      <c r="I8167" s="23">
        <v>1366.4</v>
      </c>
      <c r="J8167" s="23">
        <v>0</v>
      </c>
      <c r="K8167" s="23">
        <v>0</v>
      </c>
    </row>
    <row r="8168" spans="1:11" x14ac:dyDescent="0.25">
      <c r="A8168">
        <v>8167</v>
      </c>
      <c r="B8168" s="23">
        <v>1041.5999999999999</v>
      </c>
      <c r="C8168" s="23">
        <v>37.71</v>
      </c>
      <c r="D8168" s="23">
        <v>114.93300000000001</v>
      </c>
      <c r="E8168" s="23">
        <v>114.93300000000001</v>
      </c>
      <c r="F8168" s="23">
        <v>0</v>
      </c>
      <c r="G8168" s="23">
        <v>0</v>
      </c>
      <c r="H8168" s="23">
        <v>0</v>
      </c>
      <c r="I8168" s="23">
        <v>926.66700000000003</v>
      </c>
      <c r="J8168" s="23">
        <v>0</v>
      </c>
      <c r="K8168" s="23">
        <v>0</v>
      </c>
    </row>
    <row r="8169" spans="1:11" x14ac:dyDescent="0.25">
      <c r="A8169">
        <v>8168</v>
      </c>
      <c r="B8169" s="23">
        <v>1319.1279999999999</v>
      </c>
      <c r="C8169" s="23">
        <v>221.91</v>
      </c>
      <c r="D8169" s="23">
        <v>885.83</v>
      </c>
      <c r="E8169" s="23">
        <v>885.83</v>
      </c>
      <c r="F8169" s="23">
        <v>0</v>
      </c>
      <c r="G8169" s="23">
        <v>0</v>
      </c>
      <c r="H8169" s="23">
        <v>0</v>
      </c>
      <c r="I8169" s="23">
        <v>433.298</v>
      </c>
      <c r="J8169" s="23">
        <v>0</v>
      </c>
      <c r="K8169" s="23">
        <v>0</v>
      </c>
    </row>
    <row r="8170" spans="1:11" x14ac:dyDescent="0.25">
      <c r="A8170">
        <v>8169</v>
      </c>
      <c r="B8170" s="23">
        <v>889.005</v>
      </c>
      <c r="C8170" s="23">
        <v>398.78</v>
      </c>
      <c r="D8170" s="23">
        <v>1602.951</v>
      </c>
      <c r="E8170" s="23">
        <v>889.005</v>
      </c>
      <c r="F8170" s="23">
        <v>-713.94600000000003</v>
      </c>
      <c r="G8170" s="23">
        <v>0</v>
      </c>
      <c r="H8170" s="23">
        <v>0</v>
      </c>
      <c r="I8170" s="23">
        <v>0</v>
      </c>
      <c r="J8170" s="23">
        <v>0</v>
      </c>
      <c r="K8170" s="23">
        <v>0</v>
      </c>
    </row>
    <row r="8171" spans="1:11" x14ac:dyDescent="0.25">
      <c r="A8171">
        <v>8170</v>
      </c>
      <c r="B8171" s="23">
        <v>1469.3409999999999</v>
      </c>
      <c r="C8171" s="23">
        <v>480.48</v>
      </c>
      <c r="D8171" s="23">
        <v>1885.3889999999999</v>
      </c>
      <c r="E8171" s="23">
        <v>1469.3409999999999</v>
      </c>
      <c r="F8171" s="23">
        <v>-416.048</v>
      </c>
      <c r="G8171" s="23">
        <v>0</v>
      </c>
      <c r="H8171" s="23">
        <v>0</v>
      </c>
      <c r="I8171" s="23">
        <v>0</v>
      </c>
      <c r="J8171" s="23">
        <v>0</v>
      </c>
      <c r="K8171" s="23">
        <v>0</v>
      </c>
    </row>
    <row r="8172" spans="1:11" x14ac:dyDescent="0.25">
      <c r="A8172">
        <v>8171</v>
      </c>
      <c r="B8172" s="23">
        <v>1714.76</v>
      </c>
      <c r="C8172" s="23">
        <v>640.26</v>
      </c>
      <c r="D8172" s="23">
        <v>2462.0010000000002</v>
      </c>
      <c r="E8172" s="23">
        <v>1714.76</v>
      </c>
      <c r="F8172" s="23">
        <v>-747.24099999999999</v>
      </c>
      <c r="G8172" s="23">
        <v>0</v>
      </c>
      <c r="H8172" s="23">
        <v>0</v>
      </c>
      <c r="I8172" s="23">
        <v>0</v>
      </c>
      <c r="J8172" s="23">
        <v>0</v>
      </c>
      <c r="K8172" s="23">
        <v>0</v>
      </c>
    </row>
    <row r="8173" spans="1:11" x14ac:dyDescent="0.25">
      <c r="A8173">
        <v>8172</v>
      </c>
      <c r="B8173" s="23">
        <v>1647.5440000000001</v>
      </c>
      <c r="C8173" s="23">
        <v>652.97</v>
      </c>
      <c r="D8173" s="23">
        <v>2488.4340000000002</v>
      </c>
      <c r="E8173" s="23">
        <v>1647.5440000000001</v>
      </c>
      <c r="F8173" s="23">
        <v>-840.89</v>
      </c>
      <c r="G8173" s="23">
        <v>0</v>
      </c>
      <c r="H8173" s="23">
        <v>0</v>
      </c>
      <c r="I8173" s="23">
        <v>0</v>
      </c>
      <c r="J8173" s="23">
        <v>0</v>
      </c>
      <c r="K8173" s="23">
        <v>0</v>
      </c>
    </row>
    <row r="8174" spans="1:11" x14ac:dyDescent="0.25">
      <c r="A8174">
        <v>8173</v>
      </c>
      <c r="B8174" s="23">
        <v>1465.729</v>
      </c>
      <c r="C8174" s="23">
        <v>439.97</v>
      </c>
      <c r="D8174" s="23">
        <v>1684.038</v>
      </c>
      <c r="E8174" s="23">
        <v>1465.729</v>
      </c>
      <c r="F8174" s="23">
        <v>-218.309</v>
      </c>
      <c r="G8174" s="23">
        <v>0</v>
      </c>
      <c r="H8174" s="23">
        <v>0</v>
      </c>
      <c r="I8174" s="23">
        <v>0</v>
      </c>
      <c r="J8174" s="23">
        <v>0</v>
      </c>
      <c r="K8174" s="23">
        <v>0</v>
      </c>
    </row>
    <row r="8175" spans="1:11" x14ac:dyDescent="0.25">
      <c r="A8175">
        <v>8174</v>
      </c>
      <c r="B8175" s="23">
        <v>1506.1590000000001</v>
      </c>
      <c r="C8175" s="23">
        <v>300.74</v>
      </c>
      <c r="D8175" s="23">
        <v>1153.2149999999999</v>
      </c>
      <c r="E8175" s="23">
        <v>1153.2149999999999</v>
      </c>
      <c r="F8175" s="23">
        <v>0</v>
      </c>
      <c r="G8175" s="23">
        <v>0</v>
      </c>
      <c r="H8175" s="23">
        <v>0</v>
      </c>
      <c r="I8175" s="23">
        <v>352.94400000000002</v>
      </c>
      <c r="J8175" s="23">
        <v>0</v>
      </c>
      <c r="K8175" s="23">
        <v>0</v>
      </c>
    </row>
    <row r="8176" spans="1:11" x14ac:dyDescent="0.25">
      <c r="A8176">
        <v>8175</v>
      </c>
      <c r="B8176" s="23">
        <v>1621.22</v>
      </c>
      <c r="C8176" s="23">
        <v>255.6</v>
      </c>
      <c r="D8176" s="23">
        <v>985.75599999999997</v>
      </c>
      <c r="E8176" s="23">
        <v>985.75599999999997</v>
      </c>
      <c r="F8176" s="23">
        <v>0</v>
      </c>
      <c r="G8176" s="23">
        <v>0</v>
      </c>
      <c r="H8176" s="23">
        <v>0</v>
      </c>
      <c r="I8176" s="23">
        <v>635.46400000000006</v>
      </c>
      <c r="J8176" s="23">
        <v>0</v>
      </c>
      <c r="K8176" s="23">
        <v>0</v>
      </c>
    </row>
    <row r="8177" spans="1:11" x14ac:dyDescent="0.25">
      <c r="A8177">
        <v>8176</v>
      </c>
      <c r="B8177" s="23">
        <v>1662.845</v>
      </c>
      <c r="C8177" s="23">
        <v>330.02</v>
      </c>
      <c r="D8177" s="23">
        <v>1307.056</v>
      </c>
      <c r="E8177" s="23">
        <v>1307.056</v>
      </c>
      <c r="F8177" s="23">
        <v>0</v>
      </c>
      <c r="G8177" s="23">
        <v>0</v>
      </c>
      <c r="H8177" s="23">
        <v>0</v>
      </c>
      <c r="I8177" s="23">
        <v>355.78899999999999</v>
      </c>
      <c r="J8177" s="23">
        <v>0</v>
      </c>
      <c r="K8177" s="23">
        <v>0</v>
      </c>
    </row>
    <row r="8178" spans="1:11" x14ac:dyDescent="0.25">
      <c r="A8178">
        <v>8177</v>
      </c>
      <c r="B8178" s="23">
        <v>1580.403</v>
      </c>
      <c r="C8178" s="23">
        <v>85.58</v>
      </c>
      <c r="D8178" s="23">
        <v>310.33300000000003</v>
      </c>
      <c r="E8178" s="23">
        <v>310.33300000000003</v>
      </c>
      <c r="F8178" s="23">
        <v>0</v>
      </c>
      <c r="G8178" s="23">
        <v>0</v>
      </c>
      <c r="H8178" s="23">
        <v>0</v>
      </c>
      <c r="I8178" s="23">
        <v>1270.07</v>
      </c>
      <c r="J8178" s="23">
        <v>0</v>
      </c>
      <c r="K8178" s="23">
        <v>0</v>
      </c>
    </row>
    <row r="8179" spans="1:11" x14ac:dyDescent="0.25">
      <c r="A8179">
        <v>8178</v>
      </c>
      <c r="B8179" s="23">
        <v>1155.7249999999999</v>
      </c>
      <c r="C8179" s="23">
        <v>2.94</v>
      </c>
      <c r="D8179" s="23">
        <v>0</v>
      </c>
      <c r="E8179" s="23">
        <v>0</v>
      </c>
      <c r="F8179" s="23">
        <v>0</v>
      </c>
      <c r="G8179" s="23">
        <v>0</v>
      </c>
      <c r="H8179" s="23">
        <v>0</v>
      </c>
      <c r="I8179" s="23">
        <v>1155.7249999999999</v>
      </c>
      <c r="J8179" s="23">
        <v>0</v>
      </c>
      <c r="K8179" s="23">
        <v>0</v>
      </c>
    </row>
    <row r="8180" spans="1:11" x14ac:dyDescent="0.25">
      <c r="A8180">
        <v>8179</v>
      </c>
      <c r="B8180" s="23">
        <v>1545.6</v>
      </c>
      <c r="C8180" s="23">
        <v>0</v>
      </c>
      <c r="D8180" s="23">
        <v>0</v>
      </c>
      <c r="E8180" s="23">
        <v>0</v>
      </c>
      <c r="F8180" s="23">
        <v>0</v>
      </c>
      <c r="G8180" s="23">
        <v>0</v>
      </c>
      <c r="H8180" s="23">
        <v>0</v>
      </c>
      <c r="I8180" s="23">
        <v>1545.6</v>
      </c>
      <c r="J8180" s="23">
        <v>0</v>
      </c>
      <c r="K8180" s="23">
        <v>0</v>
      </c>
    </row>
    <row r="8181" spans="1:11" x14ac:dyDescent="0.25">
      <c r="A8181">
        <v>8180</v>
      </c>
      <c r="B8181" s="23">
        <v>1300</v>
      </c>
      <c r="C8181" s="23">
        <v>0</v>
      </c>
      <c r="D8181" s="23">
        <v>0</v>
      </c>
      <c r="E8181" s="23">
        <v>0</v>
      </c>
      <c r="F8181" s="23">
        <v>0</v>
      </c>
      <c r="G8181" s="23">
        <v>0</v>
      </c>
      <c r="H8181" s="23">
        <v>0</v>
      </c>
      <c r="I8181" s="23">
        <v>1300</v>
      </c>
      <c r="J8181" s="23">
        <v>0</v>
      </c>
      <c r="K8181" s="23">
        <v>0</v>
      </c>
    </row>
    <row r="8182" spans="1:11" x14ac:dyDescent="0.25">
      <c r="A8182">
        <v>8181</v>
      </c>
      <c r="B8182" s="23">
        <v>1517.6</v>
      </c>
      <c r="C8182" s="23">
        <v>0</v>
      </c>
      <c r="D8182" s="23">
        <v>0</v>
      </c>
      <c r="E8182" s="23">
        <v>0</v>
      </c>
      <c r="F8182" s="23">
        <v>0</v>
      </c>
      <c r="G8182" s="23">
        <v>0</v>
      </c>
      <c r="H8182" s="23">
        <v>0</v>
      </c>
      <c r="I8182" s="23">
        <v>1517.6</v>
      </c>
      <c r="J8182" s="23">
        <v>0</v>
      </c>
      <c r="K8182" s="23">
        <v>0</v>
      </c>
    </row>
    <row r="8183" spans="1:11" x14ac:dyDescent="0.25">
      <c r="A8183">
        <v>8182</v>
      </c>
      <c r="B8183" s="23">
        <v>1541.6</v>
      </c>
      <c r="C8183" s="23">
        <v>0</v>
      </c>
      <c r="D8183" s="23">
        <v>0</v>
      </c>
      <c r="E8183" s="23">
        <v>0</v>
      </c>
      <c r="F8183" s="23">
        <v>0</v>
      </c>
      <c r="G8183" s="23">
        <v>0</v>
      </c>
      <c r="H8183" s="23">
        <v>0</v>
      </c>
      <c r="I8183" s="23">
        <v>1541.6</v>
      </c>
      <c r="J8183" s="23">
        <v>0</v>
      </c>
      <c r="K8183" s="23">
        <v>0</v>
      </c>
    </row>
    <row r="8184" spans="1:11" x14ac:dyDescent="0.25">
      <c r="A8184">
        <v>8183</v>
      </c>
      <c r="B8184" s="23">
        <v>1264.8</v>
      </c>
      <c r="C8184" s="23">
        <v>0</v>
      </c>
      <c r="D8184" s="23">
        <v>0</v>
      </c>
      <c r="E8184" s="23">
        <v>0</v>
      </c>
      <c r="F8184" s="23">
        <v>0</v>
      </c>
      <c r="G8184" s="23">
        <v>0</v>
      </c>
      <c r="H8184" s="23">
        <v>0</v>
      </c>
      <c r="I8184" s="23">
        <v>944.51700000000005</v>
      </c>
      <c r="J8184" s="23">
        <v>0</v>
      </c>
      <c r="K8184" s="23">
        <v>320.28300000000002</v>
      </c>
    </row>
    <row r="8185" spans="1:11" x14ac:dyDescent="0.25">
      <c r="A8185">
        <v>8184</v>
      </c>
      <c r="B8185" s="23">
        <v>1515.2</v>
      </c>
      <c r="C8185" s="23">
        <v>0</v>
      </c>
      <c r="D8185" s="23">
        <v>0</v>
      </c>
      <c r="E8185" s="23">
        <v>0</v>
      </c>
      <c r="F8185" s="23">
        <v>0</v>
      </c>
      <c r="G8185" s="23">
        <v>0</v>
      </c>
      <c r="H8185" s="23">
        <v>0</v>
      </c>
      <c r="I8185" s="23">
        <v>0</v>
      </c>
      <c r="J8185" s="23">
        <v>0</v>
      </c>
      <c r="K8185" s="23">
        <v>1515.2</v>
      </c>
    </row>
    <row r="8186" spans="1:11" x14ac:dyDescent="0.25">
      <c r="A8186">
        <v>8185</v>
      </c>
      <c r="B8186" s="23">
        <v>1142.4000000000001</v>
      </c>
      <c r="C8186" s="23">
        <v>0</v>
      </c>
      <c r="D8186" s="23">
        <v>0</v>
      </c>
      <c r="E8186" s="23">
        <v>0</v>
      </c>
      <c r="F8186" s="23">
        <v>0</v>
      </c>
      <c r="G8186" s="23">
        <v>0</v>
      </c>
      <c r="H8186" s="23">
        <v>0</v>
      </c>
      <c r="I8186" s="23">
        <v>1142.4000000000001</v>
      </c>
      <c r="J8186" s="23">
        <v>0</v>
      </c>
      <c r="K8186" s="23">
        <v>0</v>
      </c>
    </row>
    <row r="8187" spans="1:11" x14ac:dyDescent="0.25">
      <c r="A8187">
        <v>8186</v>
      </c>
      <c r="B8187" s="23">
        <v>1111.2</v>
      </c>
      <c r="C8187" s="23">
        <v>0</v>
      </c>
      <c r="D8187" s="23">
        <v>0</v>
      </c>
      <c r="E8187" s="23">
        <v>0</v>
      </c>
      <c r="F8187" s="23">
        <v>0</v>
      </c>
      <c r="G8187" s="23">
        <v>0</v>
      </c>
      <c r="H8187" s="23">
        <v>0</v>
      </c>
      <c r="I8187" s="23">
        <v>1111.2</v>
      </c>
      <c r="J8187" s="23">
        <v>0</v>
      </c>
      <c r="K8187" s="23">
        <v>0</v>
      </c>
    </row>
    <row r="8188" spans="1:11" x14ac:dyDescent="0.25">
      <c r="A8188">
        <v>8187</v>
      </c>
      <c r="B8188" s="23">
        <v>1584.8</v>
      </c>
      <c r="C8188" s="23">
        <v>0</v>
      </c>
      <c r="D8188" s="23">
        <v>0</v>
      </c>
      <c r="E8188" s="23">
        <v>0</v>
      </c>
      <c r="F8188" s="23">
        <v>0</v>
      </c>
      <c r="G8188" s="23">
        <v>0</v>
      </c>
      <c r="H8188" s="23">
        <v>0</v>
      </c>
      <c r="I8188" s="23">
        <v>1584.8</v>
      </c>
      <c r="J8188" s="23">
        <v>0</v>
      </c>
      <c r="K8188" s="23">
        <v>0</v>
      </c>
    </row>
    <row r="8189" spans="1:11" x14ac:dyDescent="0.25">
      <c r="A8189">
        <v>8188</v>
      </c>
      <c r="B8189" s="23">
        <v>1384</v>
      </c>
      <c r="C8189" s="23">
        <v>0</v>
      </c>
      <c r="D8189" s="23">
        <v>0</v>
      </c>
      <c r="E8189" s="23">
        <v>0</v>
      </c>
      <c r="F8189" s="23">
        <v>0</v>
      </c>
      <c r="G8189" s="23">
        <v>0</v>
      </c>
      <c r="H8189" s="23">
        <v>0</v>
      </c>
      <c r="I8189" s="23">
        <v>1384</v>
      </c>
      <c r="J8189" s="23">
        <v>0</v>
      </c>
      <c r="K8189" s="23">
        <v>0</v>
      </c>
    </row>
    <row r="8190" spans="1:11" x14ac:dyDescent="0.25">
      <c r="A8190">
        <v>8189</v>
      </c>
      <c r="B8190" s="23">
        <v>1290.4000000000001</v>
      </c>
      <c r="C8190" s="23">
        <v>0</v>
      </c>
      <c r="D8190" s="23">
        <v>0</v>
      </c>
      <c r="E8190" s="23">
        <v>0</v>
      </c>
      <c r="F8190" s="23">
        <v>0</v>
      </c>
      <c r="G8190" s="23">
        <v>0</v>
      </c>
      <c r="H8190" s="23">
        <v>0</v>
      </c>
      <c r="I8190" s="23">
        <v>0</v>
      </c>
      <c r="J8190" s="23">
        <v>0</v>
      </c>
      <c r="K8190" s="23">
        <v>1290.4000000000001</v>
      </c>
    </row>
    <row r="8191" spans="1:11" x14ac:dyDescent="0.25">
      <c r="A8191">
        <v>8190</v>
      </c>
      <c r="B8191" s="23">
        <v>1424</v>
      </c>
      <c r="C8191" s="23">
        <v>0</v>
      </c>
      <c r="D8191" s="23">
        <v>0</v>
      </c>
      <c r="E8191" s="23">
        <v>0</v>
      </c>
      <c r="F8191" s="23">
        <v>0</v>
      </c>
      <c r="G8191" s="23">
        <v>0</v>
      </c>
      <c r="H8191" s="23">
        <v>0</v>
      </c>
      <c r="I8191" s="23">
        <v>0</v>
      </c>
      <c r="J8191" s="23">
        <v>0</v>
      </c>
      <c r="K8191" s="23">
        <v>1424</v>
      </c>
    </row>
    <row r="8192" spans="1:11" x14ac:dyDescent="0.25">
      <c r="A8192">
        <v>8191</v>
      </c>
      <c r="B8192" s="23">
        <v>1168.8</v>
      </c>
      <c r="C8192" s="23">
        <v>85.77</v>
      </c>
      <c r="D8192" s="23">
        <v>249.71299999999999</v>
      </c>
      <c r="E8192" s="23">
        <v>249.71299999999999</v>
      </c>
      <c r="F8192" s="23">
        <v>0</v>
      </c>
      <c r="G8192" s="23">
        <v>0</v>
      </c>
      <c r="H8192" s="23">
        <v>0</v>
      </c>
      <c r="I8192" s="23">
        <v>0</v>
      </c>
      <c r="J8192" s="23">
        <v>0</v>
      </c>
      <c r="K8192" s="23">
        <v>919.08699999999999</v>
      </c>
    </row>
    <row r="8193" spans="1:11" x14ac:dyDescent="0.25">
      <c r="A8193">
        <v>8192</v>
      </c>
      <c r="B8193" s="23">
        <v>1085.6379999999999</v>
      </c>
      <c r="C8193" s="23">
        <v>243.67</v>
      </c>
      <c r="D8193" s="23">
        <v>969.83500000000004</v>
      </c>
      <c r="E8193" s="23">
        <v>969.83500000000004</v>
      </c>
      <c r="F8193" s="23">
        <v>0</v>
      </c>
      <c r="G8193" s="23">
        <v>0</v>
      </c>
      <c r="H8193" s="23">
        <v>0</v>
      </c>
      <c r="I8193" s="23">
        <v>0</v>
      </c>
      <c r="J8193" s="23">
        <v>0</v>
      </c>
      <c r="K8193" s="23">
        <v>115.803</v>
      </c>
    </row>
    <row r="8194" spans="1:11" x14ac:dyDescent="0.25">
      <c r="A8194">
        <v>8193</v>
      </c>
      <c r="B8194" s="23">
        <v>1060.777</v>
      </c>
      <c r="C8194" s="23">
        <v>492.06</v>
      </c>
      <c r="D8194" s="23">
        <v>1973.3150000000001</v>
      </c>
      <c r="E8194" s="23">
        <v>1060.777</v>
      </c>
      <c r="F8194" s="23">
        <v>-912.53800000000001</v>
      </c>
      <c r="G8194" s="23">
        <v>0</v>
      </c>
      <c r="H8194" s="23">
        <v>0</v>
      </c>
      <c r="I8194" s="23">
        <v>0</v>
      </c>
      <c r="J8194" s="23">
        <v>0</v>
      </c>
      <c r="K8194" s="23">
        <v>0</v>
      </c>
    </row>
    <row r="8195" spans="1:11" x14ac:dyDescent="0.25">
      <c r="A8195">
        <v>8194</v>
      </c>
      <c r="B8195" s="23">
        <v>1138.269</v>
      </c>
      <c r="C8195" s="23">
        <v>616.22</v>
      </c>
      <c r="D8195" s="23">
        <v>2389.6959999999999</v>
      </c>
      <c r="E8195" s="23">
        <v>1138.269</v>
      </c>
      <c r="F8195" s="23">
        <v>-1251.4269999999999</v>
      </c>
      <c r="G8195" s="23">
        <v>0</v>
      </c>
      <c r="H8195" s="23">
        <v>0</v>
      </c>
      <c r="I8195" s="23">
        <v>0</v>
      </c>
      <c r="J8195" s="23">
        <v>0</v>
      </c>
      <c r="K8195" s="23">
        <v>0</v>
      </c>
    </row>
    <row r="8196" spans="1:11" x14ac:dyDescent="0.25">
      <c r="A8196">
        <v>8195</v>
      </c>
      <c r="B8196" s="23">
        <v>1033.825</v>
      </c>
      <c r="C8196" s="23">
        <v>757.41</v>
      </c>
      <c r="D8196" s="23">
        <v>2865.4009999999998</v>
      </c>
      <c r="E8196" s="23">
        <v>1033.826</v>
      </c>
      <c r="F8196" s="23">
        <v>-1684.559</v>
      </c>
      <c r="G8196" s="23">
        <v>0</v>
      </c>
      <c r="H8196" s="23">
        <v>147.01599999999999</v>
      </c>
      <c r="I8196" s="23">
        <v>0</v>
      </c>
      <c r="J8196" s="23">
        <v>0</v>
      </c>
      <c r="K8196" s="23">
        <v>0</v>
      </c>
    </row>
    <row r="8197" spans="1:11" x14ac:dyDescent="0.25">
      <c r="A8197">
        <v>8196</v>
      </c>
      <c r="B8197" s="23">
        <v>1090.4290000000001</v>
      </c>
      <c r="C8197" s="23">
        <v>813.17</v>
      </c>
      <c r="D8197" s="23">
        <v>3036.8319999999999</v>
      </c>
      <c r="E8197" s="23">
        <v>1090.43</v>
      </c>
      <c r="F8197" s="23">
        <v>-1684.559</v>
      </c>
      <c r="G8197" s="23">
        <v>0</v>
      </c>
      <c r="H8197" s="23">
        <v>261.84300000000002</v>
      </c>
      <c r="I8197" s="23">
        <v>0</v>
      </c>
      <c r="J8197" s="23">
        <v>0</v>
      </c>
      <c r="K8197" s="23">
        <v>0</v>
      </c>
    </row>
    <row r="8198" spans="1:11" x14ac:dyDescent="0.25">
      <c r="A8198">
        <v>8197</v>
      </c>
      <c r="B8198" s="23">
        <v>1135.24</v>
      </c>
      <c r="C8198" s="23">
        <v>719.85</v>
      </c>
      <c r="D8198" s="23">
        <v>2708.7179999999998</v>
      </c>
      <c r="E8198" s="23">
        <v>1135.24</v>
      </c>
      <c r="F8198" s="23">
        <v>-1573.4780000000001</v>
      </c>
      <c r="G8198" s="23">
        <v>0</v>
      </c>
      <c r="H8198" s="23">
        <v>0</v>
      </c>
      <c r="I8198" s="23">
        <v>0</v>
      </c>
      <c r="J8198" s="23">
        <v>0</v>
      </c>
      <c r="K8198" s="23">
        <v>0</v>
      </c>
    </row>
    <row r="8199" spans="1:11" x14ac:dyDescent="0.25">
      <c r="A8199">
        <v>8198</v>
      </c>
      <c r="B8199" s="23">
        <v>1171.847</v>
      </c>
      <c r="C8199" s="23">
        <v>530.58000000000004</v>
      </c>
      <c r="D8199" s="23">
        <v>2034.0029999999999</v>
      </c>
      <c r="E8199" s="23">
        <v>1171.847</v>
      </c>
      <c r="F8199" s="23">
        <v>-184.93700000000001</v>
      </c>
      <c r="G8199" s="23">
        <v>0</v>
      </c>
      <c r="H8199" s="23">
        <v>677.21900000000005</v>
      </c>
      <c r="I8199" s="23">
        <v>0</v>
      </c>
      <c r="J8199" s="23">
        <v>0</v>
      </c>
      <c r="K8199" s="23">
        <v>0</v>
      </c>
    </row>
    <row r="8200" spans="1:11" x14ac:dyDescent="0.25">
      <c r="A8200">
        <v>8199</v>
      </c>
      <c r="B8200" s="23">
        <v>1104.482</v>
      </c>
      <c r="C8200" s="23">
        <v>256.08999999999997</v>
      </c>
      <c r="D8200" s="23">
        <v>989.40300000000002</v>
      </c>
      <c r="E8200" s="23">
        <v>989.40300000000002</v>
      </c>
      <c r="F8200" s="23">
        <v>0</v>
      </c>
      <c r="G8200" s="23">
        <v>0</v>
      </c>
      <c r="H8200" s="23">
        <v>0</v>
      </c>
      <c r="I8200" s="23">
        <v>0</v>
      </c>
      <c r="J8200" s="23">
        <v>0</v>
      </c>
      <c r="K8200" s="23">
        <v>115.07899999999999</v>
      </c>
    </row>
    <row r="8201" spans="1:11" x14ac:dyDescent="0.25">
      <c r="A8201">
        <v>8200</v>
      </c>
      <c r="B8201" s="23">
        <v>224.458</v>
      </c>
      <c r="C8201" s="23">
        <v>175.92</v>
      </c>
      <c r="D8201" s="23">
        <v>681.33300000000008</v>
      </c>
      <c r="E8201" s="23">
        <v>224.458</v>
      </c>
      <c r="F8201" s="23">
        <v>-128.07</v>
      </c>
      <c r="G8201" s="23">
        <v>0</v>
      </c>
      <c r="H8201" s="23">
        <v>328.80500000000001</v>
      </c>
      <c r="I8201" s="23">
        <v>0</v>
      </c>
      <c r="J8201" s="23">
        <v>0</v>
      </c>
      <c r="K8201" s="23">
        <v>0</v>
      </c>
    </row>
    <row r="8202" spans="1:11" x14ac:dyDescent="0.25">
      <c r="A8202">
        <v>8201</v>
      </c>
      <c r="B8202" s="23">
        <v>183.44</v>
      </c>
      <c r="C8202" s="23">
        <v>85.9</v>
      </c>
      <c r="D8202" s="23">
        <v>314.41899999999998</v>
      </c>
      <c r="E8202" s="23">
        <v>183.44</v>
      </c>
      <c r="F8202" s="23">
        <v>0</v>
      </c>
      <c r="G8202" s="23">
        <v>0</v>
      </c>
      <c r="H8202" s="23">
        <v>130.97900000000001</v>
      </c>
      <c r="I8202" s="23">
        <v>0</v>
      </c>
      <c r="J8202" s="23">
        <v>0</v>
      </c>
      <c r="K8202" s="23">
        <v>0</v>
      </c>
    </row>
    <row r="8203" spans="1:11" x14ac:dyDescent="0.25">
      <c r="A8203">
        <v>8202</v>
      </c>
      <c r="B8203" s="23">
        <v>160.06399999999999</v>
      </c>
      <c r="C8203" s="23">
        <v>2.94</v>
      </c>
      <c r="D8203" s="23">
        <v>0</v>
      </c>
      <c r="E8203" s="23">
        <v>0</v>
      </c>
      <c r="F8203" s="23">
        <v>0</v>
      </c>
      <c r="G8203" s="23">
        <v>0</v>
      </c>
      <c r="H8203" s="23">
        <v>0</v>
      </c>
      <c r="I8203" s="23">
        <v>0</v>
      </c>
      <c r="J8203" s="23">
        <v>0</v>
      </c>
      <c r="K8203" s="23">
        <v>160.06399999999999</v>
      </c>
    </row>
    <row r="8204" spans="1:11" x14ac:dyDescent="0.25">
      <c r="A8204">
        <v>8203</v>
      </c>
      <c r="B8204" s="23">
        <v>206.4</v>
      </c>
      <c r="C8204" s="23">
        <v>0</v>
      </c>
      <c r="D8204" s="23">
        <v>0</v>
      </c>
      <c r="E8204" s="23">
        <v>0</v>
      </c>
      <c r="F8204" s="23">
        <v>0</v>
      </c>
      <c r="G8204" s="23">
        <v>0</v>
      </c>
      <c r="H8204" s="23">
        <v>0</v>
      </c>
      <c r="I8204" s="23">
        <v>0</v>
      </c>
      <c r="J8204" s="23">
        <v>0</v>
      </c>
      <c r="K8204" s="23">
        <v>206.4</v>
      </c>
    </row>
    <row r="8205" spans="1:11" x14ac:dyDescent="0.25">
      <c r="A8205">
        <v>8204</v>
      </c>
      <c r="B8205" s="23">
        <v>149.6</v>
      </c>
      <c r="C8205" s="23">
        <v>0</v>
      </c>
      <c r="D8205" s="23">
        <v>0</v>
      </c>
      <c r="E8205" s="23">
        <v>0</v>
      </c>
      <c r="F8205" s="23">
        <v>0</v>
      </c>
      <c r="G8205" s="23">
        <v>0</v>
      </c>
      <c r="H8205" s="23">
        <v>0</v>
      </c>
      <c r="I8205" s="23">
        <v>0</v>
      </c>
      <c r="J8205" s="23">
        <v>0</v>
      </c>
      <c r="K8205" s="23">
        <v>149.6</v>
      </c>
    </row>
    <row r="8206" spans="1:11" x14ac:dyDescent="0.25">
      <c r="A8206">
        <v>8205</v>
      </c>
      <c r="B8206" s="23">
        <v>116</v>
      </c>
      <c r="C8206" s="23">
        <v>0</v>
      </c>
      <c r="D8206" s="23">
        <v>0</v>
      </c>
      <c r="E8206" s="23">
        <v>0</v>
      </c>
      <c r="F8206" s="23">
        <v>0</v>
      </c>
      <c r="G8206" s="23">
        <v>0</v>
      </c>
      <c r="H8206" s="23">
        <v>0</v>
      </c>
      <c r="I8206" s="23">
        <v>0</v>
      </c>
      <c r="J8206" s="23">
        <v>0</v>
      </c>
      <c r="K8206" s="23">
        <v>116</v>
      </c>
    </row>
    <row r="8207" spans="1:11" x14ac:dyDescent="0.25">
      <c r="A8207">
        <v>8206</v>
      </c>
      <c r="B8207" s="23">
        <v>109.6</v>
      </c>
      <c r="C8207" s="23">
        <v>0</v>
      </c>
      <c r="D8207" s="23">
        <v>0</v>
      </c>
      <c r="E8207" s="23">
        <v>0</v>
      </c>
      <c r="F8207" s="23">
        <v>0</v>
      </c>
      <c r="G8207" s="23">
        <v>0</v>
      </c>
      <c r="H8207" s="23">
        <v>0</v>
      </c>
      <c r="I8207" s="23">
        <v>0</v>
      </c>
      <c r="J8207" s="23">
        <v>0</v>
      </c>
      <c r="K8207" s="23">
        <v>109.6</v>
      </c>
    </row>
    <row r="8208" spans="1:11" x14ac:dyDescent="0.25">
      <c r="A8208">
        <v>8207</v>
      </c>
      <c r="B8208" s="23">
        <v>99.2</v>
      </c>
      <c r="C8208" s="23">
        <v>0</v>
      </c>
      <c r="D8208" s="23">
        <v>0</v>
      </c>
      <c r="E8208" s="23">
        <v>0</v>
      </c>
      <c r="F8208" s="23">
        <v>0</v>
      </c>
      <c r="G8208" s="23">
        <v>0</v>
      </c>
      <c r="H8208" s="23">
        <v>0</v>
      </c>
      <c r="I8208" s="23">
        <v>0</v>
      </c>
      <c r="J8208" s="23">
        <v>0</v>
      </c>
      <c r="K8208" s="23">
        <v>99.2</v>
      </c>
    </row>
    <row r="8209" spans="1:11" x14ac:dyDescent="0.25">
      <c r="A8209">
        <v>8208</v>
      </c>
      <c r="B8209" s="23">
        <v>108.8</v>
      </c>
      <c r="C8209" s="23">
        <v>0</v>
      </c>
      <c r="D8209" s="23">
        <v>0</v>
      </c>
      <c r="E8209" s="23">
        <v>0</v>
      </c>
      <c r="F8209" s="23">
        <v>0</v>
      </c>
      <c r="G8209" s="23">
        <v>0</v>
      </c>
      <c r="H8209" s="23">
        <v>0</v>
      </c>
      <c r="I8209" s="23">
        <v>0</v>
      </c>
      <c r="J8209" s="23">
        <v>0</v>
      </c>
      <c r="K8209" s="23">
        <v>108.8</v>
      </c>
    </row>
    <row r="8210" spans="1:11" x14ac:dyDescent="0.25">
      <c r="A8210">
        <v>8209</v>
      </c>
      <c r="B8210" s="23">
        <v>100.8</v>
      </c>
      <c r="C8210" s="23">
        <v>0</v>
      </c>
      <c r="D8210" s="23">
        <v>0</v>
      </c>
      <c r="E8210" s="23">
        <v>0</v>
      </c>
      <c r="F8210" s="23">
        <v>0</v>
      </c>
      <c r="G8210" s="23">
        <v>0</v>
      </c>
      <c r="H8210" s="23">
        <v>0</v>
      </c>
      <c r="I8210" s="23">
        <v>0</v>
      </c>
      <c r="J8210" s="23">
        <v>0</v>
      </c>
      <c r="K8210" s="23">
        <v>100.8</v>
      </c>
    </row>
    <row r="8211" spans="1:11" x14ac:dyDescent="0.25">
      <c r="A8211">
        <v>8210</v>
      </c>
      <c r="B8211" s="23">
        <v>109.6</v>
      </c>
      <c r="C8211" s="23">
        <v>0</v>
      </c>
      <c r="D8211" s="23">
        <v>0</v>
      </c>
      <c r="E8211" s="23">
        <v>0</v>
      </c>
      <c r="F8211" s="23">
        <v>0</v>
      </c>
      <c r="G8211" s="23">
        <v>0</v>
      </c>
      <c r="H8211" s="23">
        <v>0</v>
      </c>
      <c r="I8211" s="23">
        <v>0</v>
      </c>
      <c r="J8211" s="23">
        <v>0</v>
      </c>
      <c r="K8211" s="23">
        <v>109.6</v>
      </c>
    </row>
    <row r="8212" spans="1:11" x14ac:dyDescent="0.25">
      <c r="A8212">
        <v>8211</v>
      </c>
      <c r="B8212" s="23">
        <v>100</v>
      </c>
      <c r="C8212" s="23">
        <v>0</v>
      </c>
      <c r="D8212" s="23">
        <v>0</v>
      </c>
      <c r="E8212" s="23">
        <v>0</v>
      </c>
      <c r="F8212" s="23">
        <v>0</v>
      </c>
      <c r="G8212" s="23">
        <v>0</v>
      </c>
      <c r="H8212" s="23">
        <v>0</v>
      </c>
      <c r="I8212" s="23">
        <v>0</v>
      </c>
      <c r="J8212" s="23">
        <v>0</v>
      </c>
      <c r="K8212" s="23">
        <v>100</v>
      </c>
    </row>
    <row r="8213" spans="1:11" x14ac:dyDescent="0.25">
      <c r="A8213">
        <v>8212</v>
      </c>
      <c r="B8213" s="23">
        <v>104</v>
      </c>
      <c r="C8213" s="23">
        <v>0</v>
      </c>
      <c r="D8213" s="23">
        <v>0</v>
      </c>
      <c r="E8213" s="23">
        <v>0</v>
      </c>
      <c r="F8213" s="23">
        <v>0</v>
      </c>
      <c r="G8213" s="23">
        <v>0</v>
      </c>
      <c r="H8213" s="23">
        <v>0</v>
      </c>
      <c r="I8213" s="23">
        <v>0</v>
      </c>
      <c r="J8213" s="23">
        <v>0</v>
      </c>
      <c r="K8213" s="23">
        <v>104</v>
      </c>
    </row>
    <row r="8214" spans="1:11" x14ac:dyDescent="0.25">
      <c r="A8214">
        <v>8213</v>
      </c>
      <c r="B8214" s="23">
        <v>93.6</v>
      </c>
      <c r="C8214" s="23">
        <v>0</v>
      </c>
      <c r="D8214" s="23">
        <v>0</v>
      </c>
      <c r="E8214" s="23">
        <v>0</v>
      </c>
      <c r="F8214" s="23">
        <v>0</v>
      </c>
      <c r="G8214" s="23">
        <v>0</v>
      </c>
      <c r="H8214" s="23">
        <v>0</v>
      </c>
      <c r="I8214" s="23">
        <v>0</v>
      </c>
      <c r="J8214" s="23">
        <v>0</v>
      </c>
      <c r="K8214" s="23">
        <v>93.6</v>
      </c>
    </row>
    <row r="8215" spans="1:11" x14ac:dyDescent="0.25">
      <c r="A8215">
        <v>8214</v>
      </c>
      <c r="B8215" s="23">
        <v>101.6</v>
      </c>
      <c r="C8215" s="23">
        <v>0</v>
      </c>
      <c r="D8215" s="23">
        <v>0</v>
      </c>
      <c r="E8215" s="23">
        <v>0</v>
      </c>
      <c r="F8215" s="23">
        <v>0</v>
      </c>
      <c r="G8215" s="23">
        <v>0</v>
      </c>
      <c r="H8215" s="23">
        <v>0</v>
      </c>
      <c r="I8215" s="23">
        <v>0</v>
      </c>
      <c r="J8215" s="23">
        <v>0</v>
      </c>
      <c r="K8215" s="23">
        <v>101.6</v>
      </c>
    </row>
    <row r="8216" spans="1:11" x14ac:dyDescent="0.25">
      <c r="A8216">
        <v>8215</v>
      </c>
      <c r="B8216" s="23">
        <v>93.6</v>
      </c>
      <c r="C8216" s="23">
        <v>60.06</v>
      </c>
      <c r="D8216" s="23">
        <v>181.44200000000001</v>
      </c>
      <c r="E8216" s="23">
        <v>93.6</v>
      </c>
      <c r="F8216" s="23">
        <v>-87.841999999999999</v>
      </c>
      <c r="G8216" s="23">
        <v>0</v>
      </c>
      <c r="H8216" s="23">
        <v>0</v>
      </c>
      <c r="I8216" s="23">
        <v>0</v>
      </c>
      <c r="J8216" s="23">
        <v>0</v>
      </c>
      <c r="K8216" s="23">
        <v>0</v>
      </c>
    </row>
    <row r="8217" spans="1:11" x14ac:dyDescent="0.25">
      <c r="A8217">
        <v>8216</v>
      </c>
      <c r="B8217" s="23">
        <v>100.012</v>
      </c>
      <c r="C8217" s="23">
        <v>103.92</v>
      </c>
      <c r="D8217" s="23">
        <v>397.221</v>
      </c>
      <c r="E8217" s="23">
        <v>100.012</v>
      </c>
      <c r="F8217" s="23">
        <v>-297.209</v>
      </c>
      <c r="G8217" s="23">
        <v>0</v>
      </c>
      <c r="H8217" s="23">
        <v>0</v>
      </c>
      <c r="I8217" s="23">
        <v>0</v>
      </c>
      <c r="J8217" s="23">
        <v>0</v>
      </c>
      <c r="K8217" s="23">
        <v>0</v>
      </c>
    </row>
    <row r="8218" spans="1:11" x14ac:dyDescent="0.25">
      <c r="A8218">
        <v>8217</v>
      </c>
      <c r="B8218" s="23">
        <v>218.57400000000001</v>
      </c>
      <c r="C8218" s="23">
        <v>360.99</v>
      </c>
      <c r="D8218" s="23">
        <v>1433.204</v>
      </c>
      <c r="E8218" s="23">
        <v>218.57400000000001</v>
      </c>
      <c r="F8218" s="23">
        <v>-1214.6300000000001</v>
      </c>
      <c r="G8218" s="23">
        <v>0</v>
      </c>
      <c r="H8218" s="23">
        <v>0</v>
      </c>
      <c r="I8218" s="23">
        <v>0</v>
      </c>
      <c r="J8218" s="23">
        <v>0</v>
      </c>
      <c r="K8218" s="23">
        <v>0</v>
      </c>
    </row>
    <row r="8219" spans="1:11" x14ac:dyDescent="0.25">
      <c r="A8219">
        <v>8218</v>
      </c>
      <c r="B8219" s="23">
        <v>955.56299999999999</v>
      </c>
      <c r="C8219" s="23">
        <v>592.92999999999995</v>
      </c>
      <c r="D8219" s="23">
        <v>2279.087</v>
      </c>
      <c r="E8219" s="23">
        <v>955.56299999999999</v>
      </c>
      <c r="F8219" s="23">
        <v>-135.61099999999999</v>
      </c>
      <c r="G8219" s="23">
        <v>0</v>
      </c>
      <c r="H8219" s="23">
        <v>1187.913</v>
      </c>
      <c r="I8219" s="23">
        <v>0</v>
      </c>
      <c r="J8219" s="23">
        <v>0</v>
      </c>
      <c r="K8219" s="23">
        <v>0</v>
      </c>
    </row>
    <row r="8220" spans="1:11" x14ac:dyDescent="0.25">
      <c r="A8220">
        <v>8219</v>
      </c>
      <c r="B8220" s="23">
        <v>1162.174</v>
      </c>
      <c r="C8220" s="23">
        <v>506.07</v>
      </c>
      <c r="D8220" s="23">
        <v>1917.6590000000001</v>
      </c>
      <c r="E8220" s="23">
        <v>1162.174</v>
      </c>
      <c r="F8220" s="23">
        <v>0</v>
      </c>
      <c r="G8220" s="23">
        <v>0</v>
      </c>
      <c r="H8220" s="23">
        <v>755.48500000000001</v>
      </c>
      <c r="I8220" s="23">
        <v>0</v>
      </c>
      <c r="J8220" s="23">
        <v>0</v>
      </c>
      <c r="K8220" s="23">
        <v>0</v>
      </c>
    </row>
    <row r="8221" spans="1:11" x14ac:dyDescent="0.25">
      <c r="A8221">
        <v>8220</v>
      </c>
      <c r="B8221" s="23">
        <v>1591.079</v>
      </c>
      <c r="C8221" s="23">
        <v>506.03</v>
      </c>
      <c r="D8221" s="23">
        <v>1907.8240000000001</v>
      </c>
      <c r="E8221" s="23">
        <v>1591.079</v>
      </c>
      <c r="F8221" s="23">
        <v>0</v>
      </c>
      <c r="G8221" s="23">
        <v>0</v>
      </c>
      <c r="H8221" s="23">
        <v>316.745</v>
      </c>
      <c r="I8221" s="23">
        <v>0</v>
      </c>
      <c r="J8221" s="23">
        <v>0</v>
      </c>
      <c r="K8221" s="23">
        <v>0</v>
      </c>
    </row>
    <row r="8222" spans="1:11" x14ac:dyDescent="0.25">
      <c r="A8222">
        <v>8221</v>
      </c>
      <c r="B8222" s="23">
        <v>1379.816</v>
      </c>
      <c r="C8222" s="23">
        <v>617.47</v>
      </c>
      <c r="D8222" s="23">
        <v>2320.2730000000001</v>
      </c>
      <c r="E8222" s="23">
        <v>1379.816</v>
      </c>
      <c r="F8222" s="23">
        <v>0</v>
      </c>
      <c r="G8222" s="23">
        <v>0</v>
      </c>
      <c r="H8222" s="23">
        <v>940.45699999999999</v>
      </c>
      <c r="I8222" s="23">
        <v>0</v>
      </c>
      <c r="J8222" s="23">
        <v>0</v>
      </c>
      <c r="K8222" s="23">
        <v>0</v>
      </c>
    </row>
    <row r="8223" spans="1:11" x14ac:dyDescent="0.25">
      <c r="A8223">
        <v>8222</v>
      </c>
      <c r="B8223" s="23">
        <v>1610.809</v>
      </c>
      <c r="C8223" s="23">
        <v>601.55999999999995</v>
      </c>
      <c r="D8223" s="23">
        <v>2283.2809999999999</v>
      </c>
      <c r="E8223" s="23">
        <v>1610.809</v>
      </c>
      <c r="F8223" s="23">
        <v>0</v>
      </c>
      <c r="G8223" s="23">
        <v>0</v>
      </c>
      <c r="H8223" s="23">
        <v>672.47199999999998</v>
      </c>
      <c r="I8223" s="23">
        <v>0</v>
      </c>
      <c r="J8223" s="23">
        <v>0</v>
      </c>
      <c r="K8223" s="23">
        <v>0</v>
      </c>
    </row>
    <row r="8224" spans="1:11" x14ac:dyDescent="0.25">
      <c r="A8224">
        <v>8223</v>
      </c>
      <c r="B8224" s="23">
        <v>1808.0519999999999</v>
      </c>
      <c r="C8224" s="23">
        <v>294.51</v>
      </c>
      <c r="D8224" s="23">
        <v>1137.8309999999999</v>
      </c>
      <c r="E8224" s="23">
        <v>1137.8309999999999</v>
      </c>
      <c r="F8224" s="23">
        <v>0</v>
      </c>
      <c r="G8224" s="23">
        <v>0</v>
      </c>
      <c r="H8224" s="23">
        <v>0</v>
      </c>
      <c r="I8224" s="23">
        <v>670.221</v>
      </c>
      <c r="J8224" s="23">
        <v>0</v>
      </c>
      <c r="K8224" s="23">
        <v>0</v>
      </c>
    </row>
    <row r="8225" spans="1:11" x14ac:dyDescent="0.25">
      <c r="A8225">
        <v>8224</v>
      </c>
      <c r="B8225" s="23">
        <v>2055.558</v>
      </c>
      <c r="C8225" s="23">
        <v>289.04000000000002</v>
      </c>
      <c r="D8225" s="23">
        <v>1136.942</v>
      </c>
      <c r="E8225" s="23">
        <v>1136.942</v>
      </c>
      <c r="F8225" s="23">
        <v>0</v>
      </c>
      <c r="G8225" s="23">
        <v>0</v>
      </c>
      <c r="H8225" s="23">
        <v>0</v>
      </c>
      <c r="I8225" s="23">
        <v>918.61599999999999</v>
      </c>
      <c r="J8225" s="23">
        <v>0</v>
      </c>
      <c r="K8225" s="23">
        <v>0</v>
      </c>
    </row>
    <row r="8226" spans="1:11" x14ac:dyDescent="0.25">
      <c r="A8226">
        <v>8225</v>
      </c>
      <c r="B8226" s="23">
        <v>1608.9549999999999</v>
      </c>
      <c r="C8226" s="23">
        <v>108.6</v>
      </c>
      <c r="D8226" s="23">
        <v>394.14699999999999</v>
      </c>
      <c r="E8226" s="23">
        <v>394.14699999999999</v>
      </c>
      <c r="F8226" s="23">
        <v>0</v>
      </c>
      <c r="G8226" s="23">
        <v>0</v>
      </c>
      <c r="H8226" s="23">
        <v>0</v>
      </c>
      <c r="I8226" s="23">
        <v>1214.808</v>
      </c>
      <c r="J8226" s="23">
        <v>0</v>
      </c>
      <c r="K8226" s="23">
        <v>0</v>
      </c>
    </row>
    <row r="8227" spans="1:11" x14ac:dyDescent="0.25">
      <c r="A8227">
        <v>8226</v>
      </c>
      <c r="B8227" s="23">
        <v>1527.3320000000001</v>
      </c>
      <c r="C8227" s="23">
        <v>1.96</v>
      </c>
      <c r="D8227" s="23">
        <v>0</v>
      </c>
      <c r="E8227" s="23">
        <v>0</v>
      </c>
      <c r="F8227" s="23">
        <v>0</v>
      </c>
      <c r="G8227" s="23">
        <v>0</v>
      </c>
      <c r="H8227" s="23">
        <v>0</v>
      </c>
      <c r="I8227" s="23">
        <v>0</v>
      </c>
      <c r="J8227" s="23">
        <v>0</v>
      </c>
      <c r="K8227" s="23">
        <v>1527.3320000000001</v>
      </c>
    </row>
    <row r="8228" spans="1:11" x14ac:dyDescent="0.25">
      <c r="A8228">
        <v>8227</v>
      </c>
      <c r="B8228" s="23">
        <v>1779.2</v>
      </c>
      <c r="C8228" s="23">
        <v>0</v>
      </c>
      <c r="D8228" s="23">
        <v>0</v>
      </c>
      <c r="E8228" s="23">
        <v>0</v>
      </c>
      <c r="F8228" s="23">
        <v>0</v>
      </c>
      <c r="G8228" s="23">
        <v>0</v>
      </c>
      <c r="H8228" s="23">
        <v>0</v>
      </c>
      <c r="I8228" s="23">
        <v>94.641000000000005</v>
      </c>
      <c r="J8228" s="23">
        <v>0</v>
      </c>
      <c r="K8228" s="23">
        <v>1684.559</v>
      </c>
    </row>
    <row r="8229" spans="1:11" x14ac:dyDescent="0.25">
      <c r="A8229">
        <v>8228</v>
      </c>
      <c r="B8229" s="23">
        <v>1836.8</v>
      </c>
      <c r="C8229" s="23">
        <v>0</v>
      </c>
      <c r="D8229" s="23">
        <v>0</v>
      </c>
      <c r="E8229" s="23">
        <v>0</v>
      </c>
      <c r="F8229" s="23">
        <v>0</v>
      </c>
      <c r="G8229" s="23">
        <v>0</v>
      </c>
      <c r="H8229" s="23">
        <v>0</v>
      </c>
      <c r="I8229" s="23">
        <v>152.24100000000001</v>
      </c>
      <c r="J8229" s="23">
        <v>0</v>
      </c>
      <c r="K8229" s="23">
        <v>1684.559</v>
      </c>
    </row>
    <row r="8230" spans="1:11" x14ac:dyDescent="0.25">
      <c r="A8230">
        <v>8229</v>
      </c>
      <c r="B8230" s="23">
        <v>1579.2</v>
      </c>
      <c r="C8230" s="23">
        <v>0</v>
      </c>
      <c r="D8230" s="23">
        <v>0</v>
      </c>
      <c r="E8230" s="23">
        <v>0</v>
      </c>
      <c r="F8230" s="23">
        <v>0</v>
      </c>
      <c r="G8230" s="23">
        <v>0</v>
      </c>
      <c r="H8230" s="23">
        <v>0</v>
      </c>
      <c r="I8230" s="23">
        <v>1579.2</v>
      </c>
      <c r="J8230" s="23">
        <v>0</v>
      </c>
      <c r="K8230" s="23">
        <v>0</v>
      </c>
    </row>
    <row r="8231" spans="1:11" x14ac:dyDescent="0.25">
      <c r="A8231">
        <v>8230</v>
      </c>
      <c r="B8231" s="23">
        <v>1553.6</v>
      </c>
      <c r="C8231" s="23">
        <v>0</v>
      </c>
      <c r="D8231" s="23">
        <v>0</v>
      </c>
      <c r="E8231" s="23">
        <v>0</v>
      </c>
      <c r="F8231" s="23">
        <v>0</v>
      </c>
      <c r="G8231" s="23">
        <v>0</v>
      </c>
      <c r="H8231" s="23">
        <v>0</v>
      </c>
      <c r="I8231" s="23">
        <v>1553.6</v>
      </c>
      <c r="J8231" s="23">
        <v>0</v>
      </c>
      <c r="K8231" s="23">
        <v>0</v>
      </c>
    </row>
    <row r="8232" spans="1:11" x14ac:dyDescent="0.25">
      <c r="A8232">
        <v>8231</v>
      </c>
      <c r="B8232" s="23">
        <v>1396</v>
      </c>
      <c r="C8232" s="23">
        <v>0</v>
      </c>
      <c r="D8232" s="23">
        <v>0</v>
      </c>
      <c r="E8232" s="23">
        <v>0</v>
      </c>
      <c r="F8232" s="23">
        <v>0</v>
      </c>
      <c r="G8232" s="23">
        <v>0</v>
      </c>
      <c r="H8232" s="23">
        <v>0</v>
      </c>
      <c r="I8232" s="23">
        <v>1396</v>
      </c>
      <c r="J8232" s="23">
        <v>0</v>
      </c>
      <c r="K8232" s="23">
        <v>0</v>
      </c>
    </row>
    <row r="8233" spans="1:11" x14ac:dyDescent="0.25">
      <c r="A8233">
        <v>8232</v>
      </c>
      <c r="B8233" s="23">
        <v>1387.2</v>
      </c>
      <c r="C8233" s="23">
        <v>0</v>
      </c>
      <c r="D8233" s="23">
        <v>0</v>
      </c>
      <c r="E8233" s="23">
        <v>0</v>
      </c>
      <c r="F8233" s="23">
        <v>0</v>
      </c>
      <c r="G8233" s="23">
        <v>0</v>
      </c>
      <c r="H8233" s="23">
        <v>0</v>
      </c>
      <c r="I8233" s="23">
        <v>1387.2</v>
      </c>
      <c r="J8233" s="23">
        <v>0</v>
      </c>
      <c r="K8233" s="23">
        <v>0</v>
      </c>
    </row>
    <row r="8234" spans="1:11" x14ac:dyDescent="0.25">
      <c r="A8234">
        <v>8233</v>
      </c>
      <c r="B8234" s="23">
        <v>1321.6</v>
      </c>
      <c r="C8234" s="23">
        <v>0</v>
      </c>
      <c r="D8234" s="23">
        <v>0</v>
      </c>
      <c r="E8234" s="23">
        <v>0</v>
      </c>
      <c r="F8234" s="23">
        <v>0</v>
      </c>
      <c r="G8234" s="23">
        <v>0</v>
      </c>
      <c r="H8234" s="23">
        <v>0</v>
      </c>
      <c r="I8234" s="23">
        <v>1321.6</v>
      </c>
      <c r="J8234" s="23">
        <v>0</v>
      </c>
      <c r="K8234" s="23">
        <v>0</v>
      </c>
    </row>
    <row r="8235" spans="1:11" x14ac:dyDescent="0.25">
      <c r="A8235">
        <v>8234</v>
      </c>
      <c r="B8235" s="23">
        <v>1526.4</v>
      </c>
      <c r="C8235" s="23">
        <v>0</v>
      </c>
      <c r="D8235" s="23">
        <v>0</v>
      </c>
      <c r="E8235" s="23">
        <v>0</v>
      </c>
      <c r="F8235" s="23">
        <v>0</v>
      </c>
      <c r="G8235" s="23">
        <v>0</v>
      </c>
      <c r="H8235" s="23">
        <v>0</v>
      </c>
      <c r="I8235" s="23">
        <v>1526.4</v>
      </c>
      <c r="J8235" s="23">
        <v>0</v>
      </c>
      <c r="K8235" s="23">
        <v>0</v>
      </c>
    </row>
    <row r="8236" spans="1:11" x14ac:dyDescent="0.25">
      <c r="A8236">
        <v>8235</v>
      </c>
      <c r="B8236" s="23">
        <v>1572</v>
      </c>
      <c r="C8236" s="23">
        <v>0</v>
      </c>
      <c r="D8236" s="23">
        <v>0</v>
      </c>
      <c r="E8236" s="23">
        <v>0</v>
      </c>
      <c r="F8236" s="23">
        <v>0</v>
      </c>
      <c r="G8236" s="23">
        <v>0</v>
      </c>
      <c r="H8236" s="23">
        <v>0</v>
      </c>
      <c r="I8236" s="23">
        <v>1572</v>
      </c>
      <c r="J8236" s="23">
        <v>0</v>
      </c>
      <c r="K8236" s="23">
        <v>0</v>
      </c>
    </row>
    <row r="8237" spans="1:11" x14ac:dyDescent="0.25">
      <c r="A8237">
        <v>8236</v>
      </c>
      <c r="B8237" s="23">
        <v>1433.6</v>
      </c>
      <c r="C8237" s="23">
        <v>0</v>
      </c>
      <c r="D8237" s="23">
        <v>0</v>
      </c>
      <c r="E8237" s="23">
        <v>0</v>
      </c>
      <c r="F8237" s="23">
        <v>0</v>
      </c>
      <c r="G8237" s="23">
        <v>0</v>
      </c>
      <c r="H8237" s="23">
        <v>0</v>
      </c>
      <c r="I8237" s="23">
        <v>1433.6</v>
      </c>
      <c r="J8237" s="23">
        <v>0</v>
      </c>
      <c r="K8237" s="23">
        <v>0</v>
      </c>
    </row>
    <row r="8238" spans="1:11" x14ac:dyDescent="0.25">
      <c r="A8238">
        <v>8237</v>
      </c>
      <c r="B8238" s="23">
        <v>1316</v>
      </c>
      <c r="C8238" s="23">
        <v>0</v>
      </c>
      <c r="D8238" s="23">
        <v>0</v>
      </c>
      <c r="E8238" s="23">
        <v>0</v>
      </c>
      <c r="F8238" s="23">
        <v>0</v>
      </c>
      <c r="G8238" s="23">
        <v>0</v>
      </c>
      <c r="H8238" s="23">
        <v>0</v>
      </c>
      <c r="I8238" s="23">
        <v>1316</v>
      </c>
      <c r="J8238" s="23">
        <v>0</v>
      </c>
      <c r="K8238" s="23">
        <v>0</v>
      </c>
    </row>
    <row r="8239" spans="1:11" x14ac:dyDescent="0.25">
      <c r="A8239">
        <v>8238</v>
      </c>
      <c r="B8239" s="23">
        <v>1384.8</v>
      </c>
      <c r="C8239" s="23">
        <v>0</v>
      </c>
      <c r="D8239" s="23">
        <v>0</v>
      </c>
      <c r="E8239" s="23">
        <v>0</v>
      </c>
      <c r="F8239" s="23">
        <v>0</v>
      </c>
      <c r="G8239" s="23">
        <v>0</v>
      </c>
      <c r="H8239" s="23">
        <v>0</v>
      </c>
      <c r="I8239" s="23">
        <v>1384.8</v>
      </c>
      <c r="J8239" s="23">
        <v>0</v>
      </c>
      <c r="K8239" s="23">
        <v>0</v>
      </c>
    </row>
    <row r="8240" spans="1:11" x14ac:dyDescent="0.25">
      <c r="A8240">
        <v>8239</v>
      </c>
      <c r="B8240" s="23">
        <v>1184.8</v>
      </c>
      <c r="C8240" s="23">
        <v>31.38</v>
      </c>
      <c r="D8240" s="23">
        <v>89.832999999999998</v>
      </c>
      <c r="E8240" s="23">
        <v>0</v>
      </c>
      <c r="F8240" s="23">
        <v>-89.832999999999998</v>
      </c>
      <c r="G8240" s="23">
        <v>0</v>
      </c>
      <c r="H8240" s="23">
        <v>0</v>
      </c>
      <c r="I8240" s="23">
        <v>1184.8</v>
      </c>
      <c r="J8240" s="23">
        <v>0</v>
      </c>
      <c r="K8240" s="23">
        <v>0</v>
      </c>
    </row>
    <row r="8241" spans="1:11" x14ac:dyDescent="0.25">
      <c r="A8241">
        <v>8240</v>
      </c>
      <c r="B8241" s="23">
        <v>1308.643</v>
      </c>
      <c r="C8241" s="23">
        <v>156.66999999999999</v>
      </c>
      <c r="D8241" s="23">
        <v>613.58900000000006</v>
      </c>
      <c r="E8241" s="23">
        <v>0</v>
      </c>
      <c r="F8241" s="23">
        <v>-613.58900000000006</v>
      </c>
      <c r="G8241" s="23">
        <v>0</v>
      </c>
      <c r="H8241" s="23">
        <v>0</v>
      </c>
      <c r="I8241" s="23">
        <v>1308.643</v>
      </c>
      <c r="J8241" s="23">
        <v>0</v>
      </c>
      <c r="K8241" s="23">
        <v>0</v>
      </c>
    </row>
    <row r="8242" spans="1:11" x14ac:dyDescent="0.25">
      <c r="A8242">
        <v>8241</v>
      </c>
      <c r="B8242" s="23">
        <v>1418.787</v>
      </c>
      <c r="C8242" s="23">
        <v>465.11</v>
      </c>
      <c r="D8242" s="23">
        <v>1861.1980000000001</v>
      </c>
      <c r="E8242" s="23">
        <v>1371.6659999999999</v>
      </c>
      <c r="F8242" s="23">
        <v>-489.53199999999998</v>
      </c>
      <c r="G8242" s="23">
        <v>0</v>
      </c>
      <c r="H8242" s="23">
        <v>0</v>
      </c>
      <c r="I8242" s="23">
        <v>47.122</v>
      </c>
      <c r="J8242" s="23">
        <v>0</v>
      </c>
      <c r="K8242" s="23">
        <v>0</v>
      </c>
    </row>
    <row r="8243" spans="1:11" x14ac:dyDescent="0.25">
      <c r="A8243">
        <v>8242</v>
      </c>
      <c r="B8243" s="23">
        <v>1582.2750000000001</v>
      </c>
      <c r="C8243" s="23">
        <v>730.82</v>
      </c>
      <c r="D8243" s="23">
        <v>2827.8609999999999</v>
      </c>
      <c r="E8243" s="23">
        <v>1582.2750000000001</v>
      </c>
      <c r="F8243" s="23">
        <v>-1245.586</v>
      </c>
      <c r="G8243" s="23">
        <v>0</v>
      </c>
      <c r="H8243" s="23">
        <v>0</v>
      </c>
      <c r="I8243" s="23">
        <v>0</v>
      </c>
      <c r="J8243" s="23">
        <v>0</v>
      </c>
      <c r="K8243" s="23">
        <v>0</v>
      </c>
    </row>
    <row r="8244" spans="1:11" x14ac:dyDescent="0.25">
      <c r="A8244">
        <v>8243</v>
      </c>
      <c r="B8244" s="23">
        <v>1549.6790000000001</v>
      </c>
      <c r="C8244" s="23">
        <v>872.74</v>
      </c>
      <c r="D8244" s="23">
        <v>3275.0709999999999</v>
      </c>
      <c r="E8244" s="23">
        <v>1549.6790000000001</v>
      </c>
      <c r="F8244" s="23">
        <v>-1684.559</v>
      </c>
      <c r="G8244" s="23">
        <v>0</v>
      </c>
      <c r="H8244" s="23">
        <v>40.832999999999998</v>
      </c>
      <c r="I8244" s="23">
        <v>0</v>
      </c>
      <c r="J8244" s="23">
        <v>0</v>
      </c>
      <c r="K8244" s="23">
        <v>0</v>
      </c>
    </row>
    <row r="8245" spans="1:11" x14ac:dyDescent="0.25">
      <c r="A8245">
        <v>8244</v>
      </c>
      <c r="B8245" s="23">
        <v>1523.6220000000001</v>
      </c>
      <c r="C8245" s="23">
        <v>601.51</v>
      </c>
      <c r="D8245" s="23">
        <v>2283.643</v>
      </c>
      <c r="E8245" s="23">
        <v>1523.6220000000001</v>
      </c>
      <c r="F8245" s="23">
        <v>-760.02099999999996</v>
      </c>
      <c r="G8245" s="23">
        <v>0</v>
      </c>
      <c r="H8245" s="23">
        <v>0</v>
      </c>
      <c r="I8245" s="23">
        <v>0</v>
      </c>
      <c r="J8245" s="23">
        <v>0</v>
      </c>
      <c r="K8245" s="23">
        <v>0</v>
      </c>
    </row>
    <row r="8246" spans="1:11" x14ac:dyDescent="0.25">
      <c r="A8246">
        <v>8245</v>
      </c>
      <c r="B8246" s="23">
        <v>1514.182</v>
      </c>
      <c r="C8246" s="23">
        <v>365.97</v>
      </c>
      <c r="D8246" s="23">
        <v>1388.67</v>
      </c>
      <c r="E8246" s="23">
        <v>1388.67</v>
      </c>
      <c r="F8246" s="23">
        <v>0</v>
      </c>
      <c r="G8246" s="23">
        <v>0</v>
      </c>
      <c r="H8246" s="23">
        <v>0</v>
      </c>
      <c r="I8246" s="23">
        <v>125.512</v>
      </c>
      <c r="J8246" s="23">
        <v>0</v>
      </c>
      <c r="K8246" s="23">
        <v>0</v>
      </c>
    </row>
    <row r="8247" spans="1:11" x14ac:dyDescent="0.25">
      <c r="A8247">
        <v>8246</v>
      </c>
      <c r="B8247" s="23">
        <v>1331.1489999999999</v>
      </c>
      <c r="C8247" s="23">
        <v>221.47</v>
      </c>
      <c r="D8247" s="23">
        <v>842.48400000000004</v>
      </c>
      <c r="E8247" s="23">
        <v>842.48400000000004</v>
      </c>
      <c r="F8247" s="23">
        <v>0</v>
      </c>
      <c r="G8247" s="23">
        <v>0</v>
      </c>
      <c r="H8247" s="23">
        <v>0</v>
      </c>
      <c r="I8247" s="23">
        <v>488.66500000000002</v>
      </c>
      <c r="J8247" s="23">
        <v>0</v>
      </c>
      <c r="K8247" s="23">
        <v>0</v>
      </c>
    </row>
    <row r="8248" spans="1:11" x14ac:dyDescent="0.25">
      <c r="A8248">
        <v>8247</v>
      </c>
      <c r="B8248" s="23">
        <v>1245.7360000000001</v>
      </c>
      <c r="C8248" s="23">
        <v>39.229999999999997</v>
      </c>
      <c r="D8248" s="23">
        <v>125.285</v>
      </c>
      <c r="E8248" s="23">
        <v>125.285</v>
      </c>
      <c r="F8248" s="23">
        <v>0</v>
      </c>
      <c r="G8248" s="23">
        <v>0</v>
      </c>
      <c r="H8248" s="23">
        <v>0</v>
      </c>
      <c r="I8248" s="23">
        <v>1120.451</v>
      </c>
      <c r="J8248" s="23">
        <v>0</v>
      </c>
      <c r="K8248" s="23">
        <v>0</v>
      </c>
    </row>
    <row r="8249" spans="1:11" x14ac:dyDescent="0.25">
      <c r="A8249">
        <v>8248</v>
      </c>
      <c r="B8249" s="23">
        <v>1236.827</v>
      </c>
      <c r="C8249" s="23">
        <v>50.98</v>
      </c>
      <c r="D8249" s="23">
        <v>173.983</v>
      </c>
      <c r="E8249" s="23">
        <v>173.983</v>
      </c>
      <c r="F8249" s="23">
        <v>0</v>
      </c>
      <c r="G8249" s="23">
        <v>0</v>
      </c>
      <c r="H8249" s="23">
        <v>0</v>
      </c>
      <c r="I8249" s="23">
        <v>1062.8440000000001</v>
      </c>
      <c r="J8249" s="23">
        <v>0</v>
      </c>
      <c r="K8249" s="23">
        <v>0</v>
      </c>
    </row>
    <row r="8250" spans="1:11" x14ac:dyDescent="0.25">
      <c r="A8250">
        <v>8249</v>
      </c>
      <c r="B8250" s="23">
        <v>1300.328</v>
      </c>
      <c r="C8250" s="23">
        <v>66.5</v>
      </c>
      <c r="D8250" s="23">
        <v>236.53</v>
      </c>
      <c r="E8250" s="23">
        <v>236.53</v>
      </c>
      <c r="F8250" s="23">
        <v>0</v>
      </c>
      <c r="G8250" s="23">
        <v>0</v>
      </c>
      <c r="H8250" s="23">
        <v>0</v>
      </c>
      <c r="I8250" s="23">
        <v>1063.798</v>
      </c>
      <c r="J8250" s="23">
        <v>0</v>
      </c>
      <c r="K8250" s="23">
        <v>0</v>
      </c>
    </row>
    <row r="8251" spans="1:11" x14ac:dyDescent="0.25">
      <c r="A8251">
        <v>8250</v>
      </c>
      <c r="B8251" s="23">
        <v>1367.211</v>
      </c>
      <c r="C8251" s="23">
        <v>2.94</v>
      </c>
      <c r="D8251" s="23">
        <v>0</v>
      </c>
      <c r="E8251" s="23">
        <v>0</v>
      </c>
      <c r="F8251" s="23">
        <v>0</v>
      </c>
      <c r="G8251" s="23">
        <v>0</v>
      </c>
      <c r="H8251" s="23">
        <v>0</v>
      </c>
      <c r="I8251" s="23">
        <v>0</v>
      </c>
      <c r="J8251" s="23">
        <v>0</v>
      </c>
      <c r="K8251" s="23">
        <v>1367.211</v>
      </c>
    </row>
    <row r="8252" spans="1:11" x14ac:dyDescent="0.25">
      <c r="A8252">
        <v>8251</v>
      </c>
      <c r="B8252" s="23">
        <v>1213.5999999999999</v>
      </c>
      <c r="C8252" s="23">
        <v>0</v>
      </c>
      <c r="D8252" s="23">
        <v>0</v>
      </c>
      <c r="E8252" s="23">
        <v>0</v>
      </c>
      <c r="F8252" s="23">
        <v>0</v>
      </c>
      <c r="G8252" s="23">
        <v>0</v>
      </c>
      <c r="H8252" s="23">
        <v>0</v>
      </c>
      <c r="I8252" s="23">
        <v>0</v>
      </c>
      <c r="J8252" s="23">
        <v>0</v>
      </c>
      <c r="K8252" s="23">
        <v>1213.5999999999999</v>
      </c>
    </row>
    <row r="8253" spans="1:11" x14ac:dyDescent="0.25">
      <c r="A8253">
        <v>8252</v>
      </c>
      <c r="B8253" s="23">
        <v>1144.8</v>
      </c>
      <c r="C8253" s="23">
        <v>0</v>
      </c>
      <c r="D8253" s="23">
        <v>0</v>
      </c>
      <c r="E8253" s="23">
        <v>0</v>
      </c>
      <c r="F8253" s="23">
        <v>0</v>
      </c>
      <c r="G8253" s="23">
        <v>0</v>
      </c>
      <c r="H8253" s="23">
        <v>0</v>
      </c>
      <c r="I8253" s="23">
        <v>0</v>
      </c>
      <c r="J8253" s="23">
        <v>0</v>
      </c>
      <c r="K8253" s="23">
        <v>1144.8</v>
      </c>
    </row>
    <row r="8254" spans="1:11" x14ac:dyDescent="0.25">
      <c r="A8254">
        <v>8253</v>
      </c>
      <c r="B8254" s="23">
        <v>1432</v>
      </c>
      <c r="C8254" s="23">
        <v>0</v>
      </c>
      <c r="D8254" s="23">
        <v>0</v>
      </c>
      <c r="E8254" s="23">
        <v>0</v>
      </c>
      <c r="F8254" s="23">
        <v>0</v>
      </c>
      <c r="G8254" s="23">
        <v>0</v>
      </c>
      <c r="H8254" s="23">
        <v>0</v>
      </c>
      <c r="I8254" s="23">
        <v>1432</v>
      </c>
      <c r="J8254" s="23">
        <v>0</v>
      </c>
      <c r="K8254" s="23">
        <v>0</v>
      </c>
    </row>
    <row r="8255" spans="1:11" x14ac:dyDescent="0.25">
      <c r="A8255">
        <v>8254</v>
      </c>
      <c r="B8255" s="23">
        <v>1488.8</v>
      </c>
      <c r="C8255" s="23">
        <v>0</v>
      </c>
      <c r="D8255" s="23">
        <v>0</v>
      </c>
      <c r="E8255" s="23">
        <v>0</v>
      </c>
      <c r="F8255" s="23">
        <v>0</v>
      </c>
      <c r="G8255" s="23">
        <v>0</v>
      </c>
      <c r="H8255" s="23">
        <v>0</v>
      </c>
      <c r="I8255" s="23">
        <v>1488.8</v>
      </c>
      <c r="J8255" s="23">
        <v>0</v>
      </c>
      <c r="K8255" s="23">
        <v>0</v>
      </c>
    </row>
    <row r="8256" spans="1:11" x14ac:dyDescent="0.25">
      <c r="A8256">
        <v>8255</v>
      </c>
      <c r="B8256" s="23">
        <v>1432.8</v>
      </c>
      <c r="C8256" s="23">
        <v>0</v>
      </c>
      <c r="D8256" s="23">
        <v>0</v>
      </c>
      <c r="E8256" s="23">
        <v>0</v>
      </c>
      <c r="F8256" s="23">
        <v>0</v>
      </c>
      <c r="G8256" s="23">
        <v>0</v>
      </c>
      <c r="H8256" s="23">
        <v>0</v>
      </c>
      <c r="I8256" s="23">
        <v>1432.8</v>
      </c>
      <c r="J8256" s="23">
        <v>0</v>
      </c>
      <c r="K8256" s="23">
        <v>0</v>
      </c>
    </row>
    <row r="8257" spans="1:11" x14ac:dyDescent="0.25">
      <c r="A8257">
        <v>8256</v>
      </c>
      <c r="B8257" s="23">
        <v>1107.2</v>
      </c>
      <c r="C8257" s="23">
        <v>0</v>
      </c>
      <c r="D8257" s="23">
        <v>0</v>
      </c>
      <c r="E8257" s="23">
        <v>0</v>
      </c>
      <c r="F8257" s="23">
        <v>0</v>
      </c>
      <c r="G8257" s="23">
        <v>0</v>
      </c>
      <c r="H8257" s="23">
        <v>0</v>
      </c>
      <c r="I8257" s="23">
        <v>1107.2</v>
      </c>
      <c r="J8257" s="23">
        <v>0</v>
      </c>
      <c r="K8257" s="23">
        <v>0</v>
      </c>
    </row>
    <row r="8258" spans="1:11" x14ac:dyDescent="0.25">
      <c r="A8258">
        <v>8257</v>
      </c>
      <c r="B8258" s="23">
        <v>1325.6</v>
      </c>
      <c r="C8258" s="23">
        <v>0</v>
      </c>
      <c r="D8258" s="23">
        <v>0</v>
      </c>
      <c r="E8258" s="23">
        <v>0</v>
      </c>
      <c r="F8258" s="23">
        <v>0</v>
      </c>
      <c r="G8258" s="23">
        <v>0</v>
      </c>
      <c r="H8258" s="23">
        <v>0</v>
      </c>
      <c r="I8258" s="23">
        <v>1325.6</v>
      </c>
      <c r="J8258" s="23">
        <v>0</v>
      </c>
      <c r="K8258" s="23">
        <v>0</v>
      </c>
    </row>
    <row r="8259" spans="1:11" x14ac:dyDescent="0.25">
      <c r="A8259">
        <v>8258</v>
      </c>
      <c r="B8259" s="23">
        <v>1274.4000000000001</v>
      </c>
      <c r="C8259" s="23">
        <v>0</v>
      </c>
      <c r="D8259" s="23">
        <v>0</v>
      </c>
      <c r="E8259" s="23">
        <v>0</v>
      </c>
      <c r="F8259" s="23">
        <v>0</v>
      </c>
      <c r="G8259" s="23">
        <v>0</v>
      </c>
      <c r="H8259" s="23">
        <v>0</v>
      </c>
      <c r="I8259" s="23">
        <v>1274.4000000000001</v>
      </c>
      <c r="J8259" s="23">
        <v>0</v>
      </c>
      <c r="K8259" s="23">
        <v>0</v>
      </c>
    </row>
    <row r="8260" spans="1:11" x14ac:dyDescent="0.25">
      <c r="A8260">
        <v>8259</v>
      </c>
      <c r="B8260" s="23">
        <v>1459.2</v>
      </c>
      <c r="C8260" s="23">
        <v>0</v>
      </c>
      <c r="D8260" s="23">
        <v>0</v>
      </c>
      <c r="E8260" s="23">
        <v>0</v>
      </c>
      <c r="F8260" s="23">
        <v>0</v>
      </c>
      <c r="G8260" s="23">
        <v>0</v>
      </c>
      <c r="H8260" s="23">
        <v>0</v>
      </c>
      <c r="I8260" s="23">
        <v>1459.2</v>
      </c>
      <c r="J8260" s="23">
        <v>0</v>
      </c>
      <c r="K8260" s="23">
        <v>0</v>
      </c>
    </row>
    <row r="8261" spans="1:11" x14ac:dyDescent="0.25">
      <c r="A8261">
        <v>8260</v>
      </c>
      <c r="B8261" s="23">
        <v>1384.8</v>
      </c>
      <c r="C8261" s="23">
        <v>0</v>
      </c>
      <c r="D8261" s="23">
        <v>0</v>
      </c>
      <c r="E8261" s="23">
        <v>0</v>
      </c>
      <c r="F8261" s="23">
        <v>0</v>
      </c>
      <c r="G8261" s="23">
        <v>0</v>
      </c>
      <c r="H8261" s="23">
        <v>0</v>
      </c>
      <c r="I8261" s="23">
        <v>1384.8</v>
      </c>
      <c r="J8261" s="23">
        <v>0</v>
      </c>
      <c r="K8261" s="23">
        <v>0</v>
      </c>
    </row>
    <row r="8262" spans="1:11" x14ac:dyDescent="0.25">
      <c r="A8262">
        <v>8261</v>
      </c>
      <c r="B8262" s="23">
        <v>1256</v>
      </c>
      <c r="C8262" s="23">
        <v>0</v>
      </c>
      <c r="D8262" s="23">
        <v>0</v>
      </c>
      <c r="E8262" s="23">
        <v>0</v>
      </c>
      <c r="F8262" s="23">
        <v>0</v>
      </c>
      <c r="G8262" s="23">
        <v>0</v>
      </c>
      <c r="H8262" s="23">
        <v>0</v>
      </c>
      <c r="I8262" s="23">
        <v>1256</v>
      </c>
      <c r="J8262" s="23">
        <v>0</v>
      </c>
      <c r="K8262" s="23">
        <v>0</v>
      </c>
    </row>
    <row r="8263" spans="1:11" x14ac:dyDescent="0.25">
      <c r="A8263">
        <v>8262</v>
      </c>
      <c r="B8263" s="23">
        <v>1425.6</v>
      </c>
      <c r="C8263" s="23">
        <v>0</v>
      </c>
      <c r="D8263" s="23">
        <v>0</v>
      </c>
      <c r="E8263" s="23">
        <v>0</v>
      </c>
      <c r="F8263" s="23">
        <v>0</v>
      </c>
      <c r="G8263" s="23">
        <v>0</v>
      </c>
      <c r="H8263" s="23">
        <v>0</v>
      </c>
      <c r="I8263" s="23">
        <v>1425.6</v>
      </c>
      <c r="J8263" s="23">
        <v>0</v>
      </c>
      <c r="K8263" s="23">
        <v>0</v>
      </c>
    </row>
    <row r="8264" spans="1:11" x14ac:dyDescent="0.25">
      <c r="A8264">
        <v>8263</v>
      </c>
      <c r="B8264" s="23">
        <v>991.2</v>
      </c>
      <c r="C8264" s="23">
        <v>57.91</v>
      </c>
      <c r="D8264" s="23">
        <v>169.50899999999999</v>
      </c>
      <c r="E8264" s="23">
        <v>169.50899999999999</v>
      </c>
      <c r="F8264" s="23">
        <v>0</v>
      </c>
      <c r="G8264" s="23">
        <v>0</v>
      </c>
      <c r="H8264" s="23">
        <v>0</v>
      </c>
      <c r="I8264" s="23">
        <v>821.69100000000003</v>
      </c>
      <c r="J8264" s="23">
        <v>0</v>
      </c>
      <c r="K8264" s="23">
        <v>0</v>
      </c>
    </row>
    <row r="8265" spans="1:11" x14ac:dyDescent="0.25">
      <c r="A8265">
        <v>8264</v>
      </c>
      <c r="B8265" s="23">
        <v>982.40200000000004</v>
      </c>
      <c r="C8265" s="23">
        <v>226.07</v>
      </c>
      <c r="D8265" s="23">
        <v>891.45</v>
      </c>
      <c r="E8265" s="23">
        <v>891.45</v>
      </c>
      <c r="F8265" s="23">
        <v>0</v>
      </c>
      <c r="G8265" s="23">
        <v>0</v>
      </c>
      <c r="H8265" s="23">
        <v>0</v>
      </c>
      <c r="I8265" s="23">
        <v>90.951999999999998</v>
      </c>
      <c r="J8265" s="23">
        <v>0</v>
      </c>
      <c r="K8265" s="23">
        <v>0</v>
      </c>
    </row>
    <row r="8266" spans="1:11" x14ac:dyDescent="0.25">
      <c r="A8266">
        <v>8265</v>
      </c>
      <c r="B8266" s="23">
        <v>1106.567</v>
      </c>
      <c r="C8266" s="23">
        <v>526.87</v>
      </c>
      <c r="D8266" s="23">
        <v>2093.3209999999999</v>
      </c>
      <c r="E8266" s="23">
        <v>1106.567</v>
      </c>
      <c r="F8266" s="23">
        <v>-986.75400000000002</v>
      </c>
      <c r="G8266" s="23">
        <v>0</v>
      </c>
      <c r="H8266" s="23">
        <v>0</v>
      </c>
      <c r="I8266" s="23">
        <v>0</v>
      </c>
      <c r="J8266" s="23">
        <v>0</v>
      </c>
      <c r="K8266" s="23">
        <v>0</v>
      </c>
    </row>
    <row r="8267" spans="1:11" x14ac:dyDescent="0.25">
      <c r="A8267">
        <v>8266</v>
      </c>
      <c r="B8267" s="23">
        <v>1162.384</v>
      </c>
      <c r="C8267" s="23">
        <v>476.21</v>
      </c>
      <c r="D8267" s="23">
        <v>1838.597</v>
      </c>
      <c r="E8267" s="23">
        <v>1162.384</v>
      </c>
      <c r="F8267" s="23">
        <v>-676.21299999999997</v>
      </c>
      <c r="G8267" s="23">
        <v>0</v>
      </c>
      <c r="H8267" s="23">
        <v>0</v>
      </c>
      <c r="I8267" s="23">
        <v>0</v>
      </c>
      <c r="J8267" s="23">
        <v>0</v>
      </c>
      <c r="K8267" s="23">
        <v>0</v>
      </c>
    </row>
    <row r="8268" spans="1:11" x14ac:dyDescent="0.25">
      <c r="A8268">
        <v>8267</v>
      </c>
      <c r="B8268" s="23">
        <v>957.50099999999998</v>
      </c>
      <c r="C8268" s="23">
        <v>501.36</v>
      </c>
      <c r="D8268" s="23">
        <v>1909.2909999999999</v>
      </c>
      <c r="E8268" s="23">
        <v>957.50099999999998</v>
      </c>
      <c r="F8268" s="23">
        <v>-951.79</v>
      </c>
      <c r="G8268" s="23">
        <v>0</v>
      </c>
      <c r="H8268" s="23">
        <v>0</v>
      </c>
      <c r="I8268" s="23">
        <v>0</v>
      </c>
      <c r="J8268" s="23">
        <v>0</v>
      </c>
      <c r="K8268" s="23">
        <v>0</v>
      </c>
    </row>
    <row r="8269" spans="1:11" x14ac:dyDescent="0.25">
      <c r="A8269">
        <v>8268</v>
      </c>
      <c r="B8269" s="23">
        <v>1301.6089999999999</v>
      </c>
      <c r="C8269" s="23">
        <v>616.41</v>
      </c>
      <c r="D8269" s="23">
        <v>2325.5320000000002</v>
      </c>
      <c r="E8269" s="23">
        <v>1301.6089999999999</v>
      </c>
      <c r="F8269" s="23">
        <v>-1023.923</v>
      </c>
      <c r="G8269" s="23">
        <v>0</v>
      </c>
      <c r="H8269" s="23">
        <v>0</v>
      </c>
      <c r="I8269" s="23">
        <v>0</v>
      </c>
      <c r="J8269" s="23">
        <v>0</v>
      </c>
      <c r="K8269" s="23">
        <v>0</v>
      </c>
    </row>
    <row r="8270" spans="1:11" x14ac:dyDescent="0.25">
      <c r="A8270">
        <v>8269</v>
      </c>
      <c r="B8270" s="23">
        <v>1278.001</v>
      </c>
      <c r="C8270" s="23">
        <v>532.39</v>
      </c>
      <c r="D8270" s="23">
        <v>2022.38</v>
      </c>
      <c r="E8270" s="23">
        <v>1278.001</v>
      </c>
      <c r="F8270" s="23">
        <v>-744.37900000000002</v>
      </c>
      <c r="G8270" s="23">
        <v>0</v>
      </c>
      <c r="H8270" s="23">
        <v>0</v>
      </c>
      <c r="I8270" s="23">
        <v>0</v>
      </c>
      <c r="J8270" s="23">
        <v>0</v>
      </c>
      <c r="K8270" s="23">
        <v>0</v>
      </c>
    </row>
    <row r="8271" spans="1:11" x14ac:dyDescent="0.25">
      <c r="A8271">
        <v>8270</v>
      </c>
      <c r="B8271" s="23">
        <v>1638.085</v>
      </c>
      <c r="C8271" s="23">
        <v>396.68</v>
      </c>
      <c r="D8271" s="23">
        <v>1524.338</v>
      </c>
      <c r="E8271" s="23">
        <v>1524.338</v>
      </c>
      <c r="F8271" s="23">
        <v>0</v>
      </c>
      <c r="G8271" s="23">
        <v>0</v>
      </c>
      <c r="H8271" s="23">
        <v>0</v>
      </c>
      <c r="I8271" s="23">
        <v>113.747</v>
      </c>
      <c r="J8271" s="23">
        <v>0</v>
      </c>
      <c r="K8271" s="23">
        <v>0</v>
      </c>
    </row>
    <row r="8272" spans="1:11" x14ac:dyDescent="0.25">
      <c r="A8272">
        <v>8271</v>
      </c>
      <c r="B8272" s="23">
        <v>1340.07</v>
      </c>
      <c r="C8272" s="23">
        <v>34.32</v>
      </c>
      <c r="D8272" s="23">
        <v>106.818</v>
      </c>
      <c r="E8272" s="23">
        <v>106.818</v>
      </c>
      <c r="F8272" s="23">
        <v>0</v>
      </c>
      <c r="G8272" s="23">
        <v>0</v>
      </c>
      <c r="H8272" s="23">
        <v>0</v>
      </c>
      <c r="I8272" s="23">
        <v>1233.252</v>
      </c>
      <c r="J8272" s="23">
        <v>0</v>
      </c>
      <c r="K8272" s="23">
        <v>0</v>
      </c>
    </row>
    <row r="8273" spans="1:11" x14ac:dyDescent="0.25">
      <c r="A8273">
        <v>8272</v>
      </c>
      <c r="B8273" s="23">
        <v>1262.1949999999999</v>
      </c>
      <c r="C8273" s="23">
        <v>96.5</v>
      </c>
      <c r="D8273" s="23">
        <v>357.55799999999999</v>
      </c>
      <c r="E8273" s="23">
        <v>357.55799999999999</v>
      </c>
      <c r="F8273" s="23">
        <v>0</v>
      </c>
      <c r="G8273" s="23">
        <v>0</v>
      </c>
      <c r="H8273" s="23">
        <v>0</v>
      </c>
      <c r="I8273" s="23">
        <v>904.63699999999994</v>
      </c>
      <c r="J8273" s="23">
        <v>0</v>
      </c>
      <c r="K8273" s="23">
        <v>0</v>
      </c>
    </row>
    <row r="8274" spans="1:11" x14ac:dyDescent="0.25">
      <c r="A8274">
        <v>8273</v>
      </c>
      <c r="B8274" s="23">
        <v>1317.5709999999999</v>
      </c>
      <c r="C8274" s="23">
        <v>8.81</v>
      </c>
      <c r="D8274" s="23">
        <v>10.662000000000001</v>
      </c>
      <c r="E8274" s="23">
        <v>10.662000000000001</v>
      </c>
      <c r="F8274" s="23">
        <v>0</v>
      </c>
      <c r="G8274" s="23">
        <v>0</v>
      </c>
      <c r="H8274" s="23">
        <v>0</v>
      </c>
      <c r="I8274" s="23">
        <v>1306.9090000000001</v>
      </c>
      <c r="J8274" s="23">
        <v>0</v>
      </c>
      <c r="K8274" s="23">
        <v>0</v>
      </c>
    </row>
    <row r="8275" spans="1:11" x14ac:dyDescent="0.25">
      <c r="A8275">
        <v>8274</v>
      </c>
      <c r="B8275" s="23">
        <v>1073.537</v>
      </c>
      <c r="C8275" s="23">
        <v>0.98</v>
      </c>
      <c r="D8275" s="23">
        <v>0</v>
      </c>
      <c r="E8275" s="23">
        <v>0</v>
      </c>
      <c r="F8275" s="23">
        <v>0</v>
      </c>
      <c r="G8275" s="23">
        <v>0</v>
      </c>
      <c r="H8275" s="23">
        <v>0</v>
      </c>
      <c r="I8275" s="23">
        <v>0</v>
      </c>
      <c r="J8275" s="23">
        <v>0</v>
      </c>
      <c r="K8275" s="23">
        <v>1073.537</v>
      </c>
    </row>
    <row r="8276" spans="1:11" x14ac:dyDescent="0.25">
      <c r="A8276">
        <v>8275</v>
      </c>
      <c r="B8276" s="23">
        <v>968</v>
      </c>
      <c r="C8276" s="23">
        <v>0</v>
      </c>
      <c r="D8276" s="23">
        <v>0</v>
      </c>
      <c r="E8276" s="23">
        <v>0</v>
      </c>
      <c r="F8276" s="23">
        <v>0</v>
      </c>
      <c r="G8276" s="23">
        <v>0</v>
      </c>
      <c r="H8276" s="23">
        <v>0</v>
      </c>
      <c r="I8276" s="23">
        <v>0</v>
      </c>
      <c r="J8276" s="23">
        <v>0</v>
      </c>
      <c r="K8276" s="23">
        <v>968</v>
      </c>
    </row>
    <row r="8277" spans="1:11" x14ac:dyDescent="0.25">
      <c r="A8277">
        <v>8276</v>
      </c>
      <c r="B8277" s="23">
        <v>1704.8</v>
      </c>
      <c r="C8277" s="23">
        <v>0</v>
      </c>
      <c r="D8277" s="23">
        <v>0</v>
      </c>
      <c r="E8277" s="23">
        <v>0</v>
      </c>
      <c r="F8277" s="23">
        <v>0</v>
      </c>
      <c r="G8277" s="23">
        <v>0</v>
      </c>
      <c r="H8277" s="23">
        <v>0</v>
      </c>
      <c r="I8277" s="23">
        <v>20.241</v>
      </c>
      <c r="J8277" s="23">
        <v>0</v>
      </c>
      <c r="K8277" s="23">
        <v>1684.559</v>
      </c>
    </row>
    <row r="8278" spans="1:11" x14ac:dyDescent="0.25">
      <c r="A8278">
        <v>8277</v>
      </c>
      <c r="B8278" s="23">
        <v>1280</v>
      </c>
      <c r="C8278" s="23">
        <v>0</v>
      </c>
      <c r="D8278" s="23">
        <v>0</v>
      </c>
      <c r="E8278" s="23">
        <v>0</v>
      </c>
      <c r="F8278" s="23">
        <v>0</v>
      </c>
      <c r="G8278" s="23">
        <v>0</v>
      </c>
      <c r="H8278" s="23">
        <v>0</v>
      </c>
      <c r="I8278" s="23">
        <v>1280</v>
      </c>
      <c r="J8278" s="23">
        <v>0</v>
      </c>
      <c r="K8278" s="23">
        <v>0</v>
      </c>
    </row>
    <row r="8279" spans="1:11" x14ac:dyDescent="0.25">
      <c r="A8279">
        <v>8278</v>
      </c>
      <c r="B8279" s="23">
        <v>953.6</v>
      </c>
      <c r="C8279" s="23">
        <v>0</v>
      </c>
      <c r="D8279" s="23">
        <v>0</v>
      </c>
      <c r="E8279" s="23">
        <v>0</v>
      </c>
      <c r="F8279" s="23">
        <v>0</v>
      </c>
      <c r="G8279" s="23">
        <v>0</v>
      </c>
      <c r="H8279" s="23">
        <v>0</v>
      </c>
      <c r="I8279" s="23">
        <v>953.6</v>
      </c>
      <c r="J8279" s="23">
        <v>0</v>
      </c>
      <c r="K8279" s="23">
        <v>0</v>
      </c>
    </row>
    <row r="8280" spans="1:11" x14ac:dyDescent="0.25">
      <c r="A8280">
        <v>8279</v>
      </c>
      <c r="B8280" s="23">
        <v>1074.4000000000001</v>
      </c>
      <c r="C8280" s="23">
        <v>0</v>
      </c>
      <c r="D8280" s="23">
        <v>0</v>
      </c>
      <c r="E8280" s="23">
        <v>0</v>
      </c>
      <c r="F8280" s="23">
        <v>0</v>
      </c>
      <c r="G8280" s="23">
        <v>0</v>
      </c>
      <c r="H8280" s="23">
        <v>0</v>
      </c>
      <c r="I8280" s="23">
        <v>1074.4000000000001</v>
      </c>
      <c r="J8280" s="23">
        <v>0</v>
      </c>
      <c r="K8280" s="23">
        <v>0</v>
      </c>
    </row>
    <row r="8281" spans="1:11" x14ac:dyDescent="0.25">
      <c r="A8281">
        <v>8280</v>
      </c>
      <c r="B8281" s="23">
        <v>1128</v>
      </c>
      <c r="C8281" s="23">
        <v>0</v>
      </c>
      <c r="D8281" s="23">
        <v>0</v>
      </c>
      <c r="E8281" s="23">
        <v>0</v>
      </c>
      <c r="F8281" s="23">
        <v>0</v>
      </c>
      <c r="G8281" s="23">
        <v>0</v>
      </c>
      <c r="H8281" s="23">
        <v>0</v>
      </c>
      <c r="I8281" s="23">
        <v>1128</v>
      </c>
      <c r="J8281" s="23">
        <v>0</v>
      </c>
      <c r="K8281" s="23">
        <v>0</v>
      </c>
    </row>
    <row r="8282" spans="1:11" x14ac:dyDescent="0.25">
      <c r="A8282">
        <v>8281</v>
      </c>
      <c r="B8282" s="23">
        <v>1326.4</v>
      </c>
      <c r="C8282" s="23">
        <v>0</v>
      </c>
      <c r="D8282" s="23">
        <v>0</v>
      </c>
      <c r="E8282" s="23">
        <v>0</v>
      </c>
      <c r="F8282" s="23">
        <v>0</v>
      </c>
      <c r="G8282" s="23">
        <v>0</v>
      </c>
      <c r="H8282" s="23">
        <v>0</v>
      </c>
      <c r="I8282" s="23">
        <v>1326.4</v>
      </c>
      <c r="J8282" s="23">
        <v>0</v>
      </c>
      <c r="K8282" s="23">
        <v>0</v>
      </c>
    </row>
    <row r="8283" spans="1:11" x14ac:dyDescent="0.25">
      <c r="A8283">
        <v>8282</v>
      </c>
      <c r="B8283" s="23">
        <v>1213.5999999999999</v>
      </c>
      <c r="C8283" s="23">
        <v>0</v>
      </c>
      <c r="D8283" s="23">
        <v>0</v>
      </c>
      <c r="E8283" s="23">
        <v>0</v>
      </c>
      <c r="F8283" s="23">
        <v>0</v>
      </c>
      <c r="G8283" s="23">
        <v>0</v>
      </c>
      <c r="H8283" s="23">
        <v>0</v>
      </c>
      <c r="I8283" s="23">
        <v>1213.5999999999999</v>
      </c>
      <c r="J8283" s="23">
        <v>0</v>
      </c>
      <c r="K8283" s="23">
        <v>0</v>
      </c>
    </row>
    <row r="8284" spans="1:11" x14ac:dyDescent="0.25">
      <c r="A8284">
        <v>8283</v>
      </c>
      <c r="B8284" s="23">
        <v>932</v>
      </c>
      <c r="C8284" s="23">
        <v>0</v>
      </c>
      <c r="D8284" s="23">
        <v>0</v>
      </c>
      <c r="E8284" s="23">
        <v>0</v>
      </c>
      <c r="F8284" s="23">
        <v>0</v>
      </c>
      <c r="G8284" s="23">
        <v>0</v>
      </c>
      <c r="H8284" s="23">
        <v>0</v>
      </c>
      <c r="I8284" s="23">
        <v>932</v>
      </c>
      <c r="J8284" s="23">
        <v>0</v>
      </c>
      <c r="K8284" s="23">
        <v>0</v>
      </c>
    </row>
    <row r="8285" spans="1:11" x14ac:dyDescent="0.25">
      <c r="A8285">
        <v>8284</v>
      </c>
      <c r="B8285" s="23">
        <v>1318.4</v>
      </c>
      <c r="C8285" s="23">
        <v>0</v>
      </c>
      <c r="D8285" s="23">
        <v>0</v>
      </c>
      <c r="E8285" s="23">
        <v>0</v>
      </c>
      <c r="F8285" s="23">
        <v>0</v>
      </c>
      <c r="G8285" s="23">
        <v>0</v>
      </c>
      <c r="H8285" s="23">
        <v>0</v>
      </c>
      <c r="I8285" s="23">
        <v>1318.4</v>
      </c>
      <c r="J8285" s="23">
        <v>0</v>
      </c>
      <c r="K8285" s="23">
        <v>0</v>
      </c>
    </row>
    <row r="8286" spans="1:11" x14ac:dyDescent="0.25">
      <c r="A8286">
        <v>8285</v>
      </c>
      <c r="B8286" s="23">
        <v>1150.4000000000001</v>
      </c>
      <c r="C8286" s="23">
        <v>0</v>
      </c>
      <c r="D8286" s="23">
        <v>0</v>
      </c>
      <c r="E8286" s="23">
        <v>0</v>
      </c>
      <c r="F8286" s="23">
        <v>0</v>
      </c>
      <c r="G8286" s="23">
        <v>0</v>
      </c>
      <c r="H8286" s="23">
        <v>0</v>
      </c>
      <c r="I8286" s="23">
        <v>1150.4000000000001</v>
      </c>
      <c r="J8286" s="23">
        <v>0</v>
      </c>
      <c r="K8286" s="23">
        <v>0</v>
      </c>
    </row>
    <row r="8287" spans="1:11" x14ac:dyDescent="0.25">
      <c r="A8287">
        <v>8286</v>
      </c>
      <c r="B8287" s="23">
        <v>1121.5999999999999</v>
      </c>
      <c r="C8287" s="23">
        <v>0</v>
      </c>
      <c r="D8287" s="23">
        <v>0</v>
      </c>
      <c r="E8287" s="23">
        <v>0</v>
      </c>
      <c r="F8287" s="23">
        <v>0</v>
      </c>
      <c r="G8287" s="23">
        <v>0</v>
      </c>
      <c r="H8287" s="23">
        <v>0</v>
      </c>
      <c r="I8287" s="23">
        <v>1121.5999999999999</v>
      </c>
      <c r="J8287" s="23">
        <v>0</v>
      </c>
      <c r="K8287" s="23">
        <v>0</v>
      </c>
    </row>
    <row r="8288" spans="1:11" x14ac:dyDescent="0.25">
      <c r="A8288">
        <v>8287</v>
      </c>
      <c r="B8288" s="23">
        <v>1252.8</v>
      </c>
      <c r="C8288" s="23">
        <v>68.599999999999994</v>
      </c>
      <c r="D8288" s="23">
        <v>198.19499999999999</v>
      </c>
      <c r="E8288" s="23">
        <v>198.19499999999999</v>
      </c>
      <c r="F8288" s="23">
        <v>0</v>
      </c>
      <c r="G8288" s="23">
        <v>0</v>
      </c>
      <c r="H8288" s="23">
        <v>0</v>
      </c>
      <c r="I8288" s="23">
        <v>1054.605</v>
      </c>
      <c r="J8288" s="23">
        <v>0</v>
      </c>
      <c r="K8288" s="23">
        <v>0</v>
      </c>
    </row>
    <row r="8289" spans="1:11" x14ac:dyDescent="0.25">
      <c r="A8289">
        <v>8288</v>
      </c>
      <c r="B8289" s="23">
        <v>1217.4079999999999</v>
      </c>
      <c r="C8289" s="23">
        <v>233.01</v>
      </c>
      <c r="D8289" s="23">
        <v>909.52499999999998</v>
      </c>
      <c r="E8289" s="23">
        <v>909.52499999999998</v>
      </c>
      <c r="F8289" s="23">
        <v>0</v>
      </c>
      <c r="G8289" s="23">
        <v>0</v>
      </c>
      <c r="H8289" s="23">
        <v>0</v>
      </c>
      <c r="I8289" s="23">
        <v>307.88299999999998</v>
      </c>
      <c r="J8289" s="23">
        <v>0</v>
      </c>
      <c r="K8289" s="23">
        <v>0</v>
      </c>
    </row>
    <row r="8290" spans="1:11" x14ac:dyDescent="0.25">
      <c r="A8290">
        <v>8289</v>
      </c>
      <c r="B8290" s="23">
        <v>1302.1020000000001</v>
      </c>
      <c r="C8290" s="23">
        <v>513.36</v>
      </c>
      <c r="D8290" s="23">
        <v>2008.7940000000001</v>
      </c>
      <c r="E8290" s="23">
        <v>1302.1020000000001</v>
      </c>
      <c r="F8290" s="23">
        <v>-706.69200000000001</v>
      </c>
      <c r="G8290" s="23">
        <v>0</v>
      </c>
      <c r="H8290" s="23">
        <v>0</v>
      </c>
      <c r="I8290" s="23">
        <v>0</v>
      </c>
      <c r="J8290" s="23">
        <v>0</v>
      </c>
      <c r="K8290" s="23">
        <v>0</v>
      </c>
    </row>
    <row r="8291" spans="1:11" x14ac:dyDescent="0.25">
      <c r="A8291">
        <v>8290</v>
      </c>
      <c r="B8291" s="23">
        <v>1274.0129999999999</v>
      </c>
      <c r="C8291" s="23">
        <v>414.65</v>
      </c>
      <c r="D8291" s="23">
        <v>1586.0429999999999</v>
      </c>
      <c r="E8291" s="23">
        <v>1274.0129999999999</v>
      </c>
      <c r="F8291" s="23">
        <v>-312.02999999999997</v>
      </c>
      <c r="G8291" s="23">
        <v>0</v>
      </c>
      <c r="H8291" s="23">
        <v>0</v>
      </c>
      <c r="I8291" s="23">
        <v>0</v>
      </c>
      <c r="J8291" s="23">
        <v>0</v>
      </c>
      <c r="K8291" s="23">
        <v>0</v>
      </c>
    </row>
    <row r="8292" spans="1:11" x14ac:dyDescent="0.25">
      <c r="A8292">
        <v>8291</v>
      </c>
      <c r="B8292" s="23">
        <v>1359.0239999999999</v>
      </c>
      <c r="C8292" s="23">
        <v>381.27</v>
      </c>
      <c r="D8292" s="23">
        <v>1457.979</v>
      </c>
      <c r="E8292" s="23">
        <v>1359.0239999999999</v>
      </c>
      <c r="F8292" s="23">
        <v>-98.954999999999998</v>
      </c>
      <c r="G8292" s="23">
        <v>0</v>
      </c>
      <c r="H8292" s="23">
        <v>0</v>
      </c>
      <c r="I8292" s="23">
        <v>0</v>
      </c>
      <c r="J8292" s="23">
        <v>0</v>
      </c>
      <c r="K8292" s="23">
        <v>0</v>
      </c>
    </row>
    <row r="8293" spans="1:11" x14ac:dyDescent="0.25">
      <c r="A8293">
        <v>8292</v>
      </c>
      <c r="B8293" s="23">
        <v>1360.9390000000001</v>
      </c>
      <c r="C8293" s="23">
        <v>722.65</v>
      </c>
      <c r="D8293" s="23">
        <v>2668.7559999999999</v>
      </c>
      <c r="E8293" s="23">
        <v>1360.9390000000001</v>
      </c>
      <c r="F8293" s="23">
        <v>-1307.817</v>
      </c>
      <c r="G8293" s="23">
        <v>0</v>
      </c>
      <c r="H8293" s="23">
        <v>0</v>
      </c>
      <c r="I8293" s="23">
        <v>0</v>
      </c>
      <c r="J8293" s="23">
        <v>0</v>
      </c>
      <c r="K8293" s="23">
        <v>0</v>
      </c>
    </row>
    <row r="8294" spans="1:11" x14ac:dyDescent="0.25">
      <c r="A8294">
        <v>8293</v>
      </c>
      <c r="B8294" s="23">
        <v>1309.3900000000001</v>
      </c>
      <c r="C8294" s="23">
        <v>448.95</v>
      </c>
      <c r="D8294" s="23">
        <v>1700.5989999999999</v>
      </c>
      <c r="E8294" s="23">
        <v>1309.3900000000001</v>
      </c>
      <c r="F8294" s="23">
        <v>-391.209</v>
      </c>
      <c r="G8294" s="23">
        <v>0</v>
      </c>
      <c r="H8294" s="23">
        <v>0</v>
      </c>
      <c r="I8294" s="23">
        <v>0</v>
      </c>
      <c r="J8294" s="23">
        <v>0</v>
      </c>
      <c r="K8294" s="23">
        <v>0</v>
      </c>
    </row>
    <row r="8295" spans="1:11" x14ac:dyDescent="0.25">
      <c r="A8295">
        <v>8294</v>
      </c>
      <c r="B8295" s="23">
        <v>1346.761</v>
      </c>
      <c r="C8295" s="23">
        <v>484.61</v>
      </c>
      <c r="D8295" s="23">
        <v>1851.8789999999999</v>
      </c>
      <c r="E8295" s="23">
        <v>1346.761</v>
      </c>
      <c r="F8295" s="23">
        <v>-505.11799999999999</v>
      </c>
      <c r="G8295" s="23">
        <v>0</v>
      </c>
      <c r="H8295" s="23">
        <v>0</v>
      </c>
      <c r="I8295" s="23">
        <v>0</v>
      </c>
      <c r="J8295" s="23">
        <v>0</v>
      </c>
      <c r="K8295" s="23">
        <v>0</v>
      </c>
    </row>
    <row r="8296" spans="1:11" x14ac:dyDescent="0.25">
      <c r="A8296">
        <v>8295</v>
      </c>
      <c r="B8296" s="23">
        <v>1666.961</v>
      </c>
      <c r="C8296" s="23">
        <v>261.88</v>
      </c>
      <c r="D8296" s="23">
        <v>1012.644</v>
      </c>
      <c r="E8296" s="23">
        <v>1012.644</v>
      </c>
      <c r="F8296" s="23">
        <v>0</v>
      </c>
      <c r="G8296" s="23">
        <v>0</v>
      </c>
      <c r="H8296" s="23">
        <v>0</v>
      </c>
      <c r="I8296" s="23">
        <v>654.31700000000001</v>
      </c>
      <c r="J8296" s="23">
        <v>0</v>
      </c>
      <c r="K8296" s="23">
        <v>0</v>
      </c>
    </row>
    <row r="8297" spans="1:11" x14ac:dyDescent="0.25">
      <c r="A8297">
        <v>8296</v>
      </c>
      <c r="B8297" s="23">
        <v>1629.508</v>
      </c>
      <c r="C8297" s="23">
        <v>95.6</v>
      </c>
      <c r="D8297" s="23">
        <v>355.12</v>
      </c>
      <c r="E8297" s="23">
        <v>355.12</v>
      </c>
      <c r="F8297" s="23">
        <v>0</v>
      </c>
      <c r="G8297" s="23">
        <v>0</v>
      </c>
      <c r="H8297" s="23">
        <v>0</v>
      </c>
      <c r="I8297" s="23">
        <v>1274.3879999999999</v>
      </c>
      <c r="J8297" s="23">
        <v>0</v>
      </c>
      <c r="K8297" s="23">
        <v>0</v>
      </c>
    </row>
    <row r="8298" spans="1:11" x14ac:dyDescent="0.25">
      <c r="A8298">
        <v>8297</v>
      </c>
      <c r="B8298" s="23">
        <v>1510.972</v>
      </c>
      <c r="C8298" s="23">
        <v>9.7899999999999991</v>
      </c>
      <c r="D8298" s="23">
        <v>14.263</v>
      </c>
      <c r="E8298" s="23">
        <v>14.263</v>
      </c>
      <c r="F8298" s="23">
        <v>0</v>
      </c>
      <c r="G8298" s="23">
        <v>0</v>
      </c>
      <c r="H8298" s="23">
        <v>0</v>
      </c>
      <c r="I8298" s="23">
        <v>1496.7090000000001</v>
      </c>
      <c r="J8298" s="23">
        <v>0</v>
      </c>
      <c r="K8298" s="23">
        <v>0</v>
      </c>
    </row>
    <row r="8299" spans="1:11" x14ac:dyDescent="0.25">
      <c r="A8299">
        <v>8298</v>
      </c>
      <c r="B8299" s="23">
        <v>1715.0550000000001</v>
      </c>
      <c r="C8299" s="23">
        <v>0.98</v>
      </c>
      <c r="D8299" s="23">
        <v>0</v>
      </c>
      <c r="E8299" s="23">
        <v>0</v>
      </c>
      <c r="F8299" s="23">
        <v>0</v>
      </c>
      <c r="G8299" s="23">
        <v>0</v>
      </c>
      <c r="H8299" s="23">
        <v>0</v>
      </c>
      <c r="I8299" s="23">
        <v>30.495999999999999</v>
      </c>
      <c r="J8299" s="23">
        <v>0</v>
      </c>
      <c r="K8299" s="23">
        <v>1684.559</v>
      </c>
    </row>
    <row r="8300" spans="1:11" x14ac:dyDescent="0.25">
      <c r="A8300">
        <v>8299</v>
      </c>
      <c r="B8300" s="23">
        <v>1569.6</v>
      </c>
      <c r="C8300" s="23">
        <v>0</v>
      </c>
      <c r="D8300" s="23">
        <v>0</v>
      </c>
      <c r="E8300" s="23">
        <v>0</v>
      </c>
      <c r="F8300" s="23">
        <v>0</v>
      </c>
      <c r="G8300" s="23">
        <v>0</v>
      </c>
      <c r="H8300" s="23">
        <v>0</v>
      </c>
      <c r="I8300" s="23">
        <v>0</v>
      </c>
      <c r="J8300" s="23">
        <v>0</v>
      </c>
      <c r="K8300" s="23">
        <v>1569.6</v>
      </c>
    </row>
    <row r="8301" spans="1:11" x14ac:dyDescent="0.25">
      <c r="A8301">
        <v>8300</v>
      </c>
      <c r="B8301" s="23">
        <v>1138.4000000000001</v>
      </c>
      <c r="C8301" s="23">
        <v>0</v>
      </c>
      <c r="D8301" s="23">
        <v>0</v>
      </c>
      <c r="E8301" s="23">
        <v>0</v>
      </c>
      <c r="F8301" s="23">
        <v>0</v>
      </c>
      <c r="G8301" s="23">
        <v>0</v>
      </c>
      <c r="H8301" s="23">
        <v>0</v>
      </c>
      <c r="I8301" s="23">
        <v>0</v>
      </c>
      <c r="J8301" s="23">
        <v>0</v>
      </c>
      <c r="K8301" s="23">
        <v>1138.4000000000001</v>
      </c>
    </row>
    <row r="8302" spans="1:11" x14ac:dyDescent="0.25">
      <c r="A8302">
        <v>8301</v>
      </c>
      <c r="B8302" s="23">
        <v>1421.6</v>
      </c>
      <c r="C8302" s="23">
        <v>0</v>
      </c>
      <c r="D8302" s="23">
        <v>0</v>
      </c>
      <c r="E8302" s="23">
        <v>0</v>
      </c>
      <c r="F8302" s="23">
        <v>0</v>
      </c>
      <c r="G8302" s="23">
        <v>0</v>
      </c>
      <c r="H8302" s="23">
        <v>0</v>
      </c>
      <c r="I8302" s="23">
        <v>1421.6</v>
      </c>
      <c r="J8302" s="23">
        <v>0</v>
      </c>
      <c r="K8302" s="23">
        <v>0</v>
      </c>
    </row>
    <row r="8303" spans="1:11" x14ac:dyDescent="0.25">
      <c r="A8303">
        <v>8302</v>
      </c>
      <c r="B8303" s="23">
        <v>1424.8</v>
      </c>
      <c r="C8303" s="23">
        <v>0</v>
      </c>
      <c r="D8303" s="23">
        <v>0</v>
      </c>
      <c r="E8303" s="23">
        <v>0</v>
      </c>
      <c r="F8303" s="23">
        <v>0</v>
      </c>
      <c r="G8303" s="23">
        <v>0</v>
      </c>
      <c r="H8303" s="23">
        <v>0</v>
      </c>
      <c r="I8303" s="23">
        <v>1424.8</v>
      </c>
      <c r="J8303" s="23">
        <v>0</v>
      </c>
      <c r="K8303" s="23">
        <v>0</v>
      </c>
    </row>
    <row r="8304" spans="1:11" x14ac:dyDescent="0.25">
      <c r="A8304">
        <v>8303</v>
      </c>
      <c r="B8304" s="23">
        <v>1243.2</v>
      </c>
      <c r="C8304" s="23">
        <v>0</v>
      </c>
      <c r="D8304" s="23">
        <v>0</v>
      </c>
      <c r="E8304" s="23">
        <v>0</v>
      </c>
      <c r="F8304" s="23">
        <v>0</v>
      </c>
      <c r="G8304" s="23">
        <v>0</v>
      </c>
      <c r="H8304" s="23">
        <v>0</v>
      </c>
      <c r="I8304" s="23">
        <v>1243.2</v>
      </c>
      <c r="J8304" s="23">
        <v>0</v>
      </c>
      <c r="K8304" s="23">
        <v>0</v>
      </c>
    </row>
    <row r="8305" spans="1:11" x14ac:dyDescent="0.25">
      <c r="A8305">
        <v>8304</v>
      </c>
      <c r="B8305" s="23">
        <v>1226.4000000000001</v>
      </c>
      <c r="C8305" s="23">
        <v>0</v>
      </c>
      <c r="D8305" s="23">
        <v>0</v>
      </c>
      <c r="E8305" s="23">
        <v>0</v>
      </c>
      <c r="F8305" s="23">
        <v>0</v>
      </c>
      <c r="G8305" s="23">
        <v>0</v>
      </c>
      <c r="H8305" s="23">
        <v>0</v>
      </c>
      <c r="I8305" s="23">
        <v>1226.4000000000001</v>
      </c>
      <c r="J8305" s="23">
        <v>0</v>
      </c>
      <c r="K8305" s="23">
        <v>0</v>
      </c>
    </row>
    <row r="8306" spans="1:11" x14ac:dyDescent="0.25">
      <c r="A8306">
        <v>8305</v>
      </c>
      <c r="B8306" s="23">
        <v>871.2</v>
      </c>
      <c r="C8306" s="23">
        <v>0</v>
      </c>
      <c r="D8306" s="23">
        <v>0</v>
      </c>
      <c r="E8306" s="23">
        <v>0</v>
      </c>
      <c r="F8306" s="23">
        <v>0</v>
      </c>
      <c r="G8306" s="23">
        <v>0</v>
      </c>
      <c r="H8306" s="23">
        <v>0</v>
      </c>
      <c r="I8306" s="23">
        <v>871.2</v>
      </c>
      <c r="J8306" s="23">
        <v>0</v>
      </c>
      <c r="K8306" s="23">
        <v>0</v>
      </c>
    </row>
    <row r="8307" spans="1:11" x14ac:dyDescent="0.25">
      <c r="A8307">
        <v>8306</v>
      </c>
      <c r="B8307" s="23">
        <v>1341.6</v>
      </c>
      <c r="C8307" s="23">
        <v>0</v>
      </c>
      <c r="D8307" s="23">
        <v>0</v>
      </c>
      <c r="E8307" s="23">
        <v>0</v>
      </c>
      <c r="F8307" s="23">
        <v>0</v>
      </c>
      <c r="G8307" s="23">
        <v>0</v>
      </c>
      <c r="H8307" s="23">
        <v>0</v>
      </c>
      <c r="I8307" s="23">
        <v>1341.6</v>
      </c>
      <c r="J8307" s="23">
        <v>0</v>
      </c>
      <c r="K8307" s="23">
        <v>0</v>
      </c>
    </row>
    <row r="8308" spans="1:11" x14ac:dyDescent="0.25">
      <c r="A8308">
        <v>8307</v>
      </c>
      <c r="B8308" s="23">
        <v>1340</v>
      </c>
      <c r="C8308" s="23">
        <v>0</v>
      </c>
      <c r="D8308" s="23">
        <v>0</v>
      </c>
      <c r="E8308" s="23">
        <v>0</v>
      </c>
      <c r="F8308" s="23">
        <v>0</v>
      </c>
      <c r="G8308" s="23">
        <v>0</v>
      </c>
      <c r="H8308" s="23">
        <v>0</v>
      </c>
      <c r="I8308" s="23">
        <v>1340</v>
      </c>
      <c r="J8308" s="23">
        <v>0</v>
      </c>
      <c r="K8308" s="23">
        <v>0</v>
      </c>
    </row>
    <row r="8309" spans="1:11" x14ac:dyDescent="0.25">
      <c r="A8309">
        <v>8308</v>
      </c>
      <c r="B8309" s="23">
        <v>1356</v>
      </c>
      <c r="C8309" s="23">
        <v>0</v>
      </c>
      <c r="D8309" s="23">
        <v>0</v>
      </c>
      <c r="E8309" s="23">
        <v>0</v>
      </c>
      <c r="F8309" s="23">
        <v>0</v>
      </c>
      <c r="G8309" s="23">
        <v>0</v>
      </c>
      <c r="H8309" s="23">
        <v>0</v>
      </c>
      <c r="I8309" s="23">
        <v>1356</v>
      </c>
      <c r="J8309" s="23">
        <v>0</v>
      </c>
      <c r="K8309" s="23">
        <v>0</v>
      </c>
    </row>
    <row r="8310" spans="1:11" x14ac:dyDescent="0.25">
      <c r="A8310">
        <v>8309</v>
      </c>
      <c r="B8310" s="23">
        <v>1612</v>
      </c>
      <c r="C8310" s="23">
        <v>0</v>
      </c>
      <c r="D8310" s="23">
        <v>0</v>
      </c>
      <c r="E8310" s="23">
        <v>0</v>
      </c>
      <c r="F8310" s="23">
        <v>0</v>
      </c>
      <c r="G8310" s="23">
        <v>0</v>
      </c>
      <c r="H8310" s="23">
        <v>0</v>
      </c>
      <c r="I8310" s="23">
        <v>1612</v>
      </c>
      <c r="J8310" s="23">
        <v>0</v>
      </c>
      <c r="K8310" s="23">
        <v>0</v>
      </c>
    </row>
    <row r="8311" spans="1:11" x14ac:dyDescent="0.25">
      <c r="A8311">
        <v>8310</v>
      </c>
      <c r="B8311" s="23">
        <v>1690.4</v>
      </c>
      <c r="C8311" s="23">
        <v>0</v>
      </c>
      <c r="D8311" s="23">
        <v>0</v>
      </c>
      <c r="E8311" s="23">
        <v>0</v>
      </c>
      <c r="F8311" s="23">
        <v>0</v>
      </c>
      <c r="G8311" s="23">
        <v>0</v>
      </c>
      <c r="H8311" s="23">
        <v>0</v>
      </c>
      <c r="I8311" s="23">
        <v>1690.4</v>
      </c>
      <c r="J8311" s="23">
        <v>0</v>
      </c>
      <c r="K8311" s="23">
        <v>0</v>
      </c>
    </row>
    <row r="8312" spans="1:11" x14ac:dyDescent="0.25">
      <c r="A8312">
        <v>8311</v>
      </c>
      <c r="B8312" s="23">
        <v>1544.8</v>
      </c>
      <c r="C8312" s="23">
        <v>74.930000000000007</v>
      </c>
      <c r="D8312" s="23">
        <v>212.34899999999999</v>
      </c>
      <c r="E8312" s="23">
        <v>212.34899999999999</v>
      </c>
      <c r="F8312" s="23">
        <v>0</v>
      </c>
      <c r="G8312" s="23">
        <v>0</v>
      </c>
      <c r="H8312" s="23">
        <v>0</v>
      </c>
      <c r="I8312" s="23">
        <v>1332.451</v>
      </c>
      <c r="J8312" s="23">
        <v>0</v>
      </c>
      <c r="K8312" s="23">
        <v>0</v>
      </c>
    </row>
    <row r="8313" spans="1:11" x14ac:dyDescent="0.25">
      <c r="A8313">
        <v>8312</v>
      </c>
      <c r="B8313" s="23">
        <v>1215.1489999999999</v>
      </c>
      <c r="C8313" s="23">
        <v>309.60000000000002</v>
      </c>
      <c r="D8313" s="23">
        <v>1212.213</v>
      </c>
      <c r="E8313" s="23">
        <v>1212.213</v>
      </c>
      <c r="F8313" s="23">
        <v>0</v>
      </c>
      <c r="G8313" s="23">
        <v>0</v>
      </c>
      <c r="H8313" s="23">
        <v>0</v>
      </c>
      <c r="I8313" s="23">
        <v>2.9359999999999999</v>
      </c>
      <c r="J8313" s="23">
        <v>0</v>
      </c>
      <c r="K8313" s="23">
        <v>0</v>
      </c>
    </row>
    <row r="8314" spans="1:11" x14ac:dyDescent="0.25">
      <c r="A8314">
        <v>8313</v>
      </c>
      <c r="B8314" s="23">
        <v>1492.134</v>
      </c>
      <c r="C8314" s="23">
        <v>543.38</v>
      </c>
      <c r="D8314" s="23">
        <v>2135.7269999999999</v>
      </c>
      <c r="E8314" s="23">
        <v>1492.134</v>
      </c>
      <c r="F8314" s="23">
        <v>-643.59299999999996</v>
      </c>
      <c r="G8314" s="23">
        <v>0</v>
      </c>
      <c r="H8314" s="23">
        <v>0</v>
      </c>
      <c r="I8314" s="23">
        <v>0</v>
      </c>
      <c r="J8314" s="23">
        <v>0</v>
      </c>
      <c r="K8314" s="23">
        <v>0</v>
      </c>
    </row>
    <row r="8315" spans="1:11" x14ac:dyDescent="0.25">
      <c r="A8315">
        <v>8314</v>
      </c>
      <c r="B8315" s="23">
        <v>1882.6579999999999</v>
      </c>
      <c r="C8315" s="23">
        <v>634.12</v>
      </c>
      <c r="D8315" s="23">
        <v>2408.1950000000002</v>
      </c>
      <c r="E8315" s="23">
        <v>1882.6579999999999</v>
      </c>
      <c r="F8315" s="23">
        <v>-525.53700000000003</v>
      </c>
      <c r="G8315" s="23">
        <v>0</v>
      </c>
      <c r="H8315" s="23">
        <v>0</v>
      </c>
      <c r="I8315" s="23">
        <v>0</v>
      </c>
      <c r="J8315" s="23">
        <v>0</v>
      </c>
      <c r="K8315" s="23">
        <v>0</v>
      </c>
    </row>
    <row r="8316" spans="1:11" x14ac:dyDescent="0.25">
      <c r="A8316">
        <v>8315</v>
      </c>
      <c r="B8316" s="23">
        <v>1450.7650000000001</v>
      </c>
      <c r="C8316" s="23">
        <v>581.54999999999995</v>
      </c>
      <c r="D8316" s="23">
        <v>2183.9899999999998</v>
      </c>
      <c r="E8316" s="23">
        <v>1450.7650000000001</v>
      </c>
      <c r="F8316" s="23">
        <v>-733.22500000000002</v>
      </c>
      <c r="G8316" s="23">
        <v>0</v>
      </c>
      <c r="H8316" s="23">
        <v>0</v>
      </c>
      <c r="I8316" s="23">
        <v>0</v>
      </c>
      <c r="J8316" s="23">
        <v>0</v>
      </c>
      <c r="K8316" s="23">
        <v>0</v>
      </c>
    </row>
    <row r="8317" spans="1:11" x14ac:dyDescent="0.25">
      <c r="A8317">
        <v>8316</v>
      </c>
      <c r="B8317" s="23">
        <v>1737.05</v>
      </c>
      <c r="C8317" s="23">
        <v>438.67</v>
      </c>
      <c r="D8317" s="23">
        <v>1646.069</v>
      </c>
      <c r="E8317" s="23">
        <v>1646.069</v>
      </c>
      <c r="F8317" s="23">
        <v>0</v>
      </c>
      <c r="G8317" s="23">
        <v>0</v>
      </c>
      <c r="H8317" s="23">
        <v>0</v>
      </c>
      <c r="I8317" s="23">
        <v>0</v>
      </c>
      <c r="J8317" s="23">
        <v>0</v>
      </c>
      <c r="K8317" s="23">
        <v>90.980999999999995</v>
      </c>
    </row>
    <row r="8318" spans="1:11" x14ac:dyDescent="0.25">
      <c r="A8318">
        <v>8317</v>
      </c>
      <c r="B8318" s="23">
        <v>1360.5050000000001</v>
      </c>
      <c r="C8318" s="23">
        <v>569.12</v>
      </c>
      <c r="D8318" s="23">
        <v>2107.491</v>
      </c>
      <c r="E8318" s="23">
        <v>1360.5050000000001</v>
      </c>
      <c r="F8318" s="23">
        <v>-746.98599999999999</v>
      </c>
      <c r="G8318" s="23">
        <v>0</v>
      </c>
      <c r="H8318" s="23">
        <v>0</v>
      </c>
      <c r="I8318" s="23">
        <v>0</v>
      </c>
      <c r="J8318" s="23">
        <v>0</v>
      </c>
      <c r="K8318" s="23">
        <v>0</v>
      </c>
    </row>
    <row r="8319" spans="1:11" x14ac:dyDescent="0.25">
      <c r="A8319">
        <v>8318</v>
      </c>
      <c r="B8319" s="23">
        <v>1346.5519999999999</v>
      </c>
      <c r="C8319" s="23">
        <v>600.16</v>
      </c>
      <c r="D8319" s="23">
        <v>2231.1329999999998</v>
      </c>
      <c r="E8319" s="23">
        <v>1346.5519999999999</v>
      </c>
      <c r="F8319" s="23">
        <v>-884.58100000000002</v>
      </c>
      <c r="G8319" s="23">
        <v>0</v>
      </c>
      <c r="H8319" s="23">
        <v>0</v>
      </c>
      <c r="I8319" s="23">
        <v>0</v>
      </c>
      <c r="J8319" s="23">
        <v>0</v>
      </c>
      <c r="K8319" s="23">
        <v>0</v>
      </c>
    </row>
    <row r="8320" spans="1:11" x14ac:dyDescent="0.25">
      <c r="A8320">
        <v>8319</v>
      </c>
      <c r="B8320" s="23">
        <v>1602.5830000000001</v>
      </c>
      <c r="C8320" s="23">
        <v>201.37</v>
      </c>
      <c r="D8320" s="23">
        <v>762.81700000000001</v>
      </c>
      <c r="E8320" s="23">
        <v>762.81700000000001</v>
      </c>
      <c r="F8320" s="23">
        <v>0</v>
      </c>
      <c r="G8320" s="23">
        <v>0</v>
      </c>
      <c r="H8320" s="23">
        <v>0</v>
      </c>
      <c r="I8320" s="23">
        <v>839.76599999999996</v>
      </c>
      <c r="J8320" s="23">
        <v>0</v>
      </c>
      <c r="K8320" s="23">
        <v>0</v>
      </c>
    </row>
    <row r="8321" spans="1:11" x14ac:dyDescent="0.25">
      <c r="A8321">
        <v>8320</v>
      </c>
      <c r="B8321" s="23">
        <v>1371.9280000000001</v>
      </c>
      <c r="C8321" s="23">
        <v>125.3</v>
      </c>
      <c r="D8321" s="23">
        <v>470.24400000000003</v>
      </c>
      <c r="E8321" s="23">
        <v>470.24400000000003</v>
      </c>
      <c r="F8321" s="23">
        <v>0</v>
      </c>
      <c r="G8321" s="23">
        <v>0</v>
      </c>
      <c r="H8321" s="23">
        <v>0</v>
      </c>
      <c r="I8321" s="23">
        <v>901.68399999999997</v>
      </c>
      <c r="J8321" s="23">
        <v>0</v>
      </c>
      <c r="K8321" s="23">
        <v>0</v>
      </c>
    </row>
    <row r="8322" spans="1:11" x14ac:dyDescent="0.25">
      <c r="A8322">
        <v>8321</v>
      </c>
      <c r="B8322" s="23">
        <v>1617.23</v>
      </c>
      <c r="C8322" s="23">
        <v>59.24</v>
      </c>
      <c r="D8322" s="23">
        <v>207.30199999999999</v>
      </c>
      <c r="E8322" s="23">
        <v>207.30199999999999</v>
      </c>
      <c r="F8322" s="23">
        <v>0</v>
      </c>
      <c r="G8322" s="23">
        <v>0</v>
      </c>
      <c r="H8322" s="23">
        <v>0</v>
      </c>
      <c r="I8322" s="23">
        <v>1409.9280000000001</v>
      </c>
      <c r="J8322" s="23">
        <v>0</v>
      </c>
      <c r="K8322" s="23">
        <v>0</v>
      </c>
    </row>
    <row r="8323" spans="1:11" x14ac:dyDescent="0.25">
      <c r="A8323">
        <v>8322</v>
      </c>
      <c r="B8323" s="23">
        <v>1416.2639999999999</v>
      </c>
      <c r="C8323" s="23">
        <v>2.94</v>
      </c>
      <c r="D8323" s="23">
        <v>0</v>
      </c>
      <c r="E8323" s="23">
        <v>0</v>
      </c>
      <c r="F8323" s="23">
        <v>0</v>
      </c>
      <c r="G8323" s="23">
        <v>0</v>
      </c>
      <c r="H8323" s="23">
        <v>0</v>
      </c>
      <c r="I8323" s="23">
        <v>0</v>
      </c>
      <c r="J8323" s="23">
        <v>0</v>
      </c>
      <c r="K8323" s="23">
        <v>1416.2639999999999</v>
      </c>
    </row>
    <row r="8324" spans="1:11" x14ac:dyDescent="0.25">
      <c r="A8324">
        <v>8323</v>
      </c>
      <c r="B8324" s="23">
        <v>1540.8</v>
      </c>
      <c r="C8324" s="23">
        <v>0</v>
      </c>
      <c r="D8324" s="23">
        <v>0</v>
      </c>
      <c r="E8324" s="23">
        <v>0</v>
      </c>
      <c r="F8324" s="23">
        <v>0</v>
      </c>
      <c r="G8324" s="23">
        <v>0</v>
      </c>
      <c r="H8324" s="23">
        <v>0</v>
      </c>
      <c r="I8324" s="23">
        <v>0</v>
      </c>
      <c r="J8324" s="23">
        <v>0</v>
      </c>
      <c r="K8324" s="23">
        <v>1540.8</v>
      </c>
    </row>
    <row r="8325" spans="1:11" x14ac:dyDescent="0.25">
      <c r="A8325">
        <v>8324</v>
      </c>
      <c r="B8325" s="23">
        <v>1249.5999999999999</v>
      </c>
      <c r="C8325" s="23">
        <v>0</v>
      </c>
      <c r="D8325" s="23">
        <v>0</v>
      </c>
      <c r="E8325" s="23">
        <v>0</v>
      </c>
      <c r="F8325" s="23">
        <v>0</v>
      </c>
      <c r="G8325" s="23">
        <v>0</v>
      </c>
      <c r="H8325" s="23">
        <v>0</v>
      </c>
      <c r="I8325" s="23">
        <v>0</v>
      </c>
      <c r="J8325" s="23">
        <v>0</v>
      </c>
      <c r="K8325" s="23">
        <v>1249.5999999999999</v>
      </c>
    </row>
    <row r="8326" spans="1:11" x14ac:dyDescent="0.25">
      <c r="A8326">
        <v>8325</v>
      </c>
      <c r="B8326" s="23">
        <v>1344</v>
      </c>
      <c r="C8326" s="23">
        <v>0</v>
      </c>
      <c r="D8326" s="23">
        <v>0</v>
      </c>
      <c r="E8326" s="23">
        <v>0</v>
      </c>
      <c r="F8326" s="23">
        <v>0</v>
      </c>
      <c r="G8326" s="23">
        <v>0</v>
      </c>
      <c r="H8326" s="23">
        <v>0</v>
      </c>
      <c r="I8326" s="23">
        <v>1344</v>
      </c>
      <c r="J8326" s="23">
        <v>0</v>
      </c>
      <c r="K8326" s="23">
        <v>0</v>
      </c>
    </row>
    <row r="8327" spans="1:11" x14ac:dyDescent="0.25">
      <c r="A8327">
        <v>8326</v>
      </c>
      <c r="B8327" s="23">
        <v>1529.6</v>
      </c>
      <c r="C8327" s="23">
        <v>0</v>
      </c>
      <c r="D8327" s="23">
        <v>0</v>
      </c>
      <c r="E8327" s="23">
        <v>0</v>
      </c>
      <c r="F8327" s="23">
        <v>0</v>
      </c>
      <c r="G8327" s="23">
        <v>0</v>
      </c>
      <c r="H8327" s="23">
        <v>0</v>
      </c>
      <c r="I8327" s="23">
        <v>1529.6</v>
      </c>
      <c r="J8327" s="23">
        <v>0</v>
      </c>
      <c r="K8327" s="23">
        <v>0</v>
      </c>
    </row>
    <row r="8328" spans="1:11" x14ac:dyDescent="0.25">
      <c r="A8328">
        <v>8327</v>
      </c>
      <c r="B8328" s="23">
        <v>1204</v>
      </c>
      <c r="C8328" s="23">
        <v>0</v>
      </c>
      <c r="D8328" s="23">
        <v>0</v>
      </c>
      <c r="E8328" s="23">
        <v>0</v>
      </c>
      <c r="F8328" s="23">
        <v>0</v>
      </c>
      <c r="G8328" s="23">
        <v>0</v>
      </c>
      <c r="H8328" s="23">
        <v>0</v>
      </c>
      <c r="I8328" s="23">
        <v>1204</v>
      </c>
      <c r="J8328" s="23">
        <v>0</v>
      </c>
      <c r="K8328" s="23">
        <v>0</v>
      </c>
    </row>
    <row r="8329" spans="1:11" x14ac:dyDescent="0.25">
      <c r="A8329">
        <v>8328</v>
      </c>
      <c r="B8329" s="23">
        <v>1254.4000000000001</v>
      </c>
      <c r="C8329" s="23">
        <v>0</v>
      </c>
      <c r="D8329" s="23">
        <v>0</v>
      </c>
      <c r="E8329" s="23">
        <v>0</v>
      </c>
      <c r="F8329" s="23">
        <v>0</v>
      </c>
      <c r="G8329" s="23">
        <v>0</v>
      </c>
      <c r="H8329" s="23">
        <v>0</v>
      </c>
      <c r="I8329" s="23">
        <v>1254.4000000000001</v>
      </c>
      <c r="J8329" s="23">
        <v>0</v>
      </c>
      <c r="K8329" s="23">
        <v>0</v>
      </c>
    </row>
    <row r="8330" spans="1:11" x14ac:dyDescent="0.25">
      <c r="A8330">
        <v>8329</v>
      </c>
      <c r="B8330" s="23">
        <v>1176.8</v>
      </c>
      <c r="C8330" s="23">
        <v>0</v>
      </c>
      <c r="D8330" s="23">
        <v>0</v>
      </c>
      <c r="E8330" s="23">
        <v>0</v>
      </c>
      <c r="F8330" s="23">
        <v>0</v>
      </c>
      <c r="G8330" s="23">
        <v>0</v>
      </c>
      <c r="H8330" s="23">
        <v>0</v>
      </c>
      <c r="I8330" s="23">
        <v>1176.8</v>
      </c>
      <c r="J8330" s="23">
        <v>0</v>
      </c>
      <c r="K8330" s="23">
        <v>0</v>
      </c>
    </row>
    <row r="8331" spans="1:11" x14ac:dyDescent="0.25">
      <c r="A8331">
        <v>8330</v>
      </c>
      <c r="B8331" s="23">
        <v>1458.4</v>
      </c>
      <c r="C8331" s="23">
        <v>0</v>
      </c>
      <c r="D8331" s="23">
        <v>0</v>
      </c>
      <c r="E8331" s="23">
        <v>0</v>
      </c>
      <c r="F8331" s="23">
        <v>0</v>
      </c>
      <c r="G8331" s="23">
        <v>0</v>
      </c>
      <c r="H8331" s="23">
        <v>0</v>
      </c>
      <c r="I8331" s="23">
        <v>1458.4</v>
      </c>
      <c r="J8331" s="23">
        <v>0</v>
      </c>
      <c r="K8331" s="23">
        <v>0</v>
      </c>
    </row>
    <row r="8332" spans="1:11" x14ac:dyDescent="0.25">
      <c r="A8332">
        <v>8331</v>
      </c>
      <c r="B8332" s="23">
        <v>1106.4000000000001</v>
      </c>
      <c r="C8332" s="23">
        <v>0</v>
      </c>
      <c r="D8332" s="23">
        <v>0</v>
      </c>
      <c r="E8332" s="23">
        <v>0</v>
      </c>
      <c r="F8332" s="23">
        <v>0</v>
      </c>
      <c r="G8332" s="23">
        <v>0</v>
      </c>
      <c r="H8332" s="23">
        <v>0</v>
      </c>
      <c r="I8332" s="23">
        <v>1106.4000000000001</v>
      </c>
      <c r="J8332" s="23">
        <v>0</v>
      </c>
      <c r="K8332" s="23">
        <v>0</v>
      </c>
    </row>
    <row r="8333" spans="1:11" x14ac:dyDescent="0.25">
      <c r="A8333">
        <v>8332</v>
      </c>
      <c r="B8333" s="23">
        <v>1453.6</v>
      </c>
      <c r="C8333" s="23">
        <v>0</v>
      </c>
      <c r="D8333" s="23">
        <v>0</v>
      </c>
      <c r="E8333" s="23">
        <v>0</v>
      </c>
      <c r="F8333" s="23">
        <v>0</v>
      </c>
      <c r="G8333" s="23">
        <v>0</v>
      </c>
      <c r="H8333" s="23">
        <v>0</v>
      </c>
      <c r="I8333" s="23">
        <v>1453.6</v>
      </c>
      <c r="J8333" s="23">
        <v>0</v>
      </c>
      <c r="K8333" s="23">
        <v>0</v>
      </c>
    </row>
    <row r="8334" spans="1:11" x14ac:dyDescent="0.25">
      <c r="A8334">
        <v>8333</v>
      </c>
      <c r="B8334" s="23">
        <v>1477.6</v>
      </c>
      <c r="C8334" s="23">
        <v>0</v>
      </c>
      <c r="D8334" s="23">
        <v>0</v>
      </c>
      <c r="E8334" s="23">
        <v>0</v>
      </c>
      <c r="F8334" s="23">
        <v>0</v>
      </c>
      <c r="G8334" s="23">
        <v>0</v>
      </c>
      <c r="H8334" s="23">
        <v>0</v>
      </c>
      <c r="I8334" s="23">
        <v>1477.6</v>
      </c>
      <c r="J8334" s="23">
        <v>0</v>
      </c>
      <c r="K8334" s="23">
        <v>0</v>
      </c>
    </row>
    <row r="8335" spans="1:11" x14ac:dyDescent="0.25">
      <c r="A8335">
        <v>8334</v>
      </c>
      <c r="B8335" s="23">
        <v>1080</v>
      </c>
      <c r="C8335" s="23">
        <v>0</v>
      </c>
      <c r="D8335" s="23">
        <v>0</v>
      </c>
      <c r="E8335" s="23">
        <v>0</v>
      </c>
      <c r="F8335" s="23">
        <v>0</v>
      </c>
      <c r="G8335" s="23">
        <v>0</v>
      </c>
      <c r="H8335" s="23">
        <v>0</v>
      </c>
      <c r="I8335" s="23">
        <v>1080</v>
      </c>
      <c r="J8335" s="23">
        <v>0</v>
      </c>
      <c r="K8335" s="23">
        <v>0</v>
      </c>
    </row>
    <row r="8336" spans="1:11" x14ac:dyDescent="0.25">
      <c r="A8336">
        <v>8335</v>
      </c>
      <c r="B8336" s="23">
        <v>1225.5999999999999</v>
      </c>
      <c r="C8336" s="23">
        <v>66.12</v>
      </c>
      <c r="D8336" s="23">
        <v>188.19900000000001</v>
      </c>
      <c r="E8336" s="23">
        <v>188.19900000000001</v>
      </c>
      <c r="F8336" s="23">
        <v>0</v>
      </c>
      <c r="G8336" s="23">
        <v>0</v>
      </c>
      <c r="H8336" s="23">
        <v>0</v>
      </c>
      <c r="I8336" s="23">
        <v>1037.4010000000001</v>
      </c>
      <c r="J8336" s="23">
        <v>0</v>
      </c>
      <c r="K8336" s="23">
        <v>0</v>
      </c>
    </row>
    <row r="8337" spans="1:11" x14ac:dyDescent="0.25">
      <c r="A8337">
        <v>8336</v>
      </c>
      <c r="B8337" s="23">
        <v>918.66600000000005</v>
      </c>
      <c r="C8337" s="23">
        <v>238.97</v>
      </c>
      <c r="D8337" s="23">
        <v>938.70600000000002</v>
      </c>
      <c r="E8337" s="23">
        <v>918.66600000000005</v>
      </c>
      <c r="F8337" s="23">
        <v>-20.04</v>
      </c>
      <c r="G8337" s="23">
        <v>0</v>
      </c>
      <c r="H8337" s="23">
        <v>0</v>
      </c>
      <c r="I8337" s="23">
        <v>0</v>
      </c>
      <c r="J8337" s="23">
        <v>0</v>
      </c>
      <c r="K8337" s="23">
        <v>0</v>
      </c>
    </row>
    <row r="8338" spans="1:11" x14ac:dyDescent="0.25">
      <c r="A8338">
        <v>8337</v>
      </c>
      <c r="B8338" s="23">
        <v>1374.39</v>
      </c>
      <c r="C8338" s="23">
        <v>543.91</v>
      </c>
      <c r="D8338" s="23">
        <v>2170.9059999999999</v>
      </c>
      <c r="E8338" s="23">
        <v>1374.39</v>
      </c>
      <c r="F8338" s="23">
        <v>-796.51599999999996</v>
      </c>
      <c r="G8338" s="23">
        <v>0</v>
      </c>
      <c r="H8338" s="23">
        <v>0</v>
      </c>
      <c r="I8338" s="23">
        <v>0</v>
      </c>
      <c r="J8338" s="23">
        <v>0</v>
      </c>
      <c r="K8338" s="23">
        <v>0</v>
      </c>
    </row>
    <row r="8339" spans="1:11" x14ac:dyDescent="0.25">
      <c r="A8339">
        <v>8338</v>
      </c>
      <c r="B8339" s="23">
        <v>1560.354</v>
      </c>
      <c r="C8339" s="23">
        <v>637.58000000000004</v>
      </c>
      <c r="D8339" s="23">
        <v>2479.8389999999999</v>
      </c>
      <c r="E8339" s="23">
        <v>1560.354</v>
      </c>
      <c r="F8339" s="23">
        <v>-919.48500000000001</v>
      </c>
      <c r="G8339" s="23">
        <v>0</v>
      </c>
      <c r="H8339" s="23">
        <v>0</v>
      </c>
      <c r="I8339" s="23">
        <v>0</v>
      </c>
      <c r="J8339" s="23">
        <v>0</v>
      </c>
      <c r="K8339" s="23">
        <v>0</v>
      </c>
    </row>
    <row r="8340" spans="1:11" x14ac:dyDescent="0.25">
      <c r="A8340">
        <v>8339</v>
      </c>
      <c r="B8340" s="23">
        <v>1797.136</v>
      </c>
      <c r="C8340" s="23">
        <v>656.57</v>
      </c>
      <c r="D8340" s="23">
        <v>2506.1379999999999</v>
      </c>
      <c r="E8340" s="23">
        <v>1797.136</v>
      </c>
      <c r="F8340" s="23">
        <v>-709.00199999999995</v>
      </c>
      <c r="G8340" s="23">
        <v>0</v>
      </c>
      <c r="H8340" s="23">
        <v>0</v>
      </c>
      <c r="I8340" s="23">
        <v>0</v>
      </c>
      <c r="J8340" s="23">
        <v>0</v>
      </c>
      <c r="K8340" s="23">
        <v>0</v>
      </c>
    </row>
    <row r="8341" spans="1:11" x14ac:dyDescent="0.25">
      <c r="A8341">
        <v>8340</v>
      </c>
      <c r="B8341" s="23">
        <v>1185.1469999999999</v>
      </c>
      <c r="C8341" s="23">
        <v>689.88</v>
      </c>
      <c r="D8341" s="23">
        <v>2606.364</v>
      </c>
      <c r="E8341" s="23">
        <v>1185.1469999999999</v>
      </c>
      <c r="F8341" s="23">
        <v>-1421.2170000000001</v>
      </c>
      <c r="G8341" s="23">
        <v>0</v>
      </c>
      <c r="H8341" s="23">
        <v>0</v>
      </c>
      <c r="I8341" s="23">
        <v>0</v>
      </c>
      <c r="J8341" s="23">
        <v>0</v>
      </c>
      <c r="K8341" s="23">
        <v>0</v>
      </c>
    </row>
    <row r="8342" spans="1:11" x14ac:dyDescent="0.25">
      <c r="A8342">
        <v>8341</v>
      </c>
      <c r="B8342" s="23">
        <v>1448.412</v>
      </c>
      <c r="C8342" s="23">
        <v>626.36</v>
      </c>
      <c r="D8342" s="23">
        <v>2373.15</v>
      </c>
      <c r="E8342" s="23">
        <v>1448.412</v>
      </c>
      <c r="F8342" s="23">
        <v>-924.73800000000006</v>
      </c>
      <c r="G8342" s="23">
        <v>0</v>
      </c>
      <c r="H8342" s="23">
        <v>0</v>
      </c>
      <c r="I8342" s="23">
        <v>0</v>
      </c>
      <c r="J8342" s="23">
        <v>0</v>
      </c>
      <c r="K8342" s="23">
        <v>0</v>
      </c>
    </row>
    <row r="8343" spans="1:11" x14ac:dyDescent="0.25">
      <c r="A8343">
        <v>8342</v>
      </c>
      <c r="B8343" s="23">
        <v>1481.7139999999999</v>
      </c>
      <c r="C8343" s="23">
        <v>581.63</v>
      </c>
      <c r="D8343" s="23">
        <v>2224.9760000000001</v>
      </c>
      <c r="E8343" s="23">
        <v>1481.7139999999999</v>
      </c>
      <c r="F8343" s="23">
        <v>-743.26199999999994</v>
      </c>
      <c r="G8343" s="23">
        <v>0</v>
      </c>
      <c r="H8343" s="23">
        <v>0</v>
      </c>
      <c r="I8343" s="23">
        <v>0</v>
      </c>
      <c r="J8343" s="23">
        <v>0</v>
      </c>
      <c r="K8343" s="23">
        <v>0</v>
      </c>
    </row>
    <row r="8344" spans="1:11" x14ac:dyDescent="0.25">
      <c r="A8344">
        <v>8343</v>
      </c>
      <c r="B8344" s="23">
        <v>915.47699999999998</v>
      </c>
      <c r="C8344" s="23">
        <v>459.11</v>
      </c>
      <c r="D8344" s="23">
        <v>1784.45</v>
      </c>
      <c r="E8344" s="23">
        <v>915.47699999999998</v>
      </c>
      <c r="F8344" s="23">
        <v>-868.97299999999996</v>
      </c>
      <c r="G8344" s="23">
        <v>0</v>
      </c>
      <c r="H8344" s="23">
        <v>0</v>
      </c>
      <c r="I8344" s="23">
        <v>0</v>
      </c>
      <c r="J8344" s="23">
        <v>0</v>
      </c>
      <c r="K8344" s="23">
        <v>0</v>
      </c>
    </row>
    <row r="8345" spans="1:11" x14ac:dyDescent="0.25">
      <c r="A8345">
        <v>8344</v>
      </c>
      <c r="B8345" s="23">
        <v>1225.4110000000001</v>
      </c>
      <c r="C8345" s="23">
        <v>307.24</v>
      </c>
      <c r="D8345" s="23">
        <v>1215.5809999999999</v>
      </c>
      <c r="E8345" s="23">
        <v>1215.5809999999999</v>
      </c>
      <c r="F8345" s="23">
        <v>0</v>
      </c>
      <c r="G8345" s="23">
        <v>0</v>
      </c>
      <c r="H8345" s="23">
        <v>0</v>
      </c>
      <c r="I8345" s="23">
        <v>9.83</v>
      </c>
      <c r="J8345" s="23">
        <v>0</v>
      </c>
      <c r="K8345" s="23">
        <v>0</v>
      </c>
    </row>
    <row r="8346" spans="1:11" x14ac:dyDescent="0.25">
      <c r="A8346">
        <v>8345</v>
      </c>
      <c r="B8346" s="23">
        <v>1517.155</v>
      </c>
      <c r="C8346" s="23">
        <v>100.11</v>
      </c>
      <c r="D8346" s="23">
        <v>367.73</v>
      </c>
      <c r="E8346" s="23">
        <v>367.73</v>
      </c>
      <c r="F8346" s="23">
        <v>0</v>
      </c>
      <c r="G8346" s="23">
        <v>0</v>
      </c>
      <c r="H8346" s="23">
        <v>0</v>
      </c>
      <c r="I8346" s="23">
        <v>1149.425</v>
      </c>
      <c r="J8346" s="23">
        <v>0</v>
      </c>
      <c r="K8346" s="23">
        <v>0</v>
      </c>
    </row>
    <row r="8347" spans="1:11" x14ac:dyDescent="0.25">
      <c r="A8347">
        <v>8346</v>
      </c>
      <c r="B8347" s="23">
        <v>1563.6020000000001</v>
      </c>
      <c r="C8347" s="23">
        <v>3.91</v>
      </c>
      <c r="D8347" s="23">
        <v>0</v>
      </c>
      <c r="E8347" s="23">
        <v>0</v>
      </c>
      <c r="F8347" s="23">
        <v>0</v>
      </c>
      <c r="G8347" s="23">
        <v>0</v>
      </c>
      <c r="H8347" s="23">
        <v>0</v>
      </c>
      <c r="I8347" s="23">
        <v>1563.6020000000001</v>
      </c>
      <c r="J8347" s="23">
        <v>0</v>
      </c>
      <c r="K8347" s="23">
        <v>0</v>
      </c>
    </row>
    <row r="8348" spans="1:11" x14ac:dyDescent="0.25">
      <c r="A8348">
        <v>8347</v>
      </c>
      <c r="B8348" s="23">
        <v>1392</v>
      </c>
      <c r="C8348" s="23">
        <v>0</v>
      </c>
      <c r="D8348" s="23">
        <v>0</v>
      </c>
      <c r="E8348" s="23">
        <v>0</v>
      </c>
      <c r="F8348" s="23">
        <v>0</v>
      </c>
      <c r="G8348" s="23">
        <v>0</v>
      </c>
      <c r="H8348" s="23">
        <v>0</v>
      </c>
      <c r="I8348" s="23">
        <v>1392</v>
      </c>
      <c r="J8348" s="23">
        <v>0</v>
      </c>
      <c r="K8348" s="23">
        <v>0</v>
      </c>
    </row>
    <row r="8349" spans="1:11" x14ac:dyDescent="0.25">
      <c r="A8349">
        <v>8348</v>
      </c>
      <c r="B8349" s="23">
        <v>1641.6</v>
      </c>
      <c r="C8349" s="23">
        <v>0</v>
      </c>
      <c r="D8349" s="23">
        <v>0</v>
      </c>
      <c r="E8349" s="23">
        <v>0</v>
      </c>
      <c r="F8349" s="23">
        <v>0</v>
      </c>
      <c r="G8349" s="23">
        <v>0</v>
      </c>
      <c r="H8349" s="23">
        <v>0</v>
      </c>
      <c r="I8349" s="23">
        <v>1641.6</v>
      </c>
      <c r="J8349" s="23">
        <v>0</v>
      </c>
      <c r="K8349" s="23">
        <v>0</v>
      </c>
    </row>
    <row r="8350" spans="1:11" x14ac:dyDescent="0.25">
      <c r="A8350">
        <v>8349</v>
      </c>
      <c r="B8350" s="23">
        <v>1546.4</v>
      </c>
      <c r="C8350" s="23">
        <v>0</v>
      </c>
      <c r="D8350" s="23">
        <v>0</v>
      </c>
      <c r="E8350" s="23">
        <v>0</v>
      </c>
      <c r="F8350" s="23">
        <v>0</v>
      </c>
      <c r="G8350" s="23">
        <v>0</v>
      </c>
      <c r="H8350" s="23">
        <v>0</v>
      </c>
      <c r="I8350" s="23">
        <v>1546.4</v>
      </c>
      <c r="J8350" s="23">
        <v>0</v>
      </c>
      <c r="K8350" s="23">
        <v>0</v>
      </c>
    </row>
    <row r="8351" spans="1:11" x14ac:dyDescent="0.25">
      <c r="A8351">
        <v>8350</v>
      </c>
      <c r="B8351" s="23">
        <v>1494.4</v>
      </c>
      <c r="C8351" s="23">
        <v>0</v>
      </c>
      <c r="D8351" s="23">
        <v>0</v>
      </c>
      <c r="E8351" s="23">
        <v>0</v>
      </c>
      <c r="F8351" s="23">
        <v>0</v>
      </c>
      <c r="G8351" s="23">
        <v>0</v>
      </c>
      <c r="H8351" s="23">
        <v>0</v>
      </c>
      <c r="I8351" s="23">
        <v>1494.4</v>
      </c>
      <c r="J8351" s="23">
        <v>0</v>
      </c>
      <c r="K8351" s="23">
        <v>0</v>
      </c>
    </row>
    <row r="8352" spans="1:11" x14ac:dyDescent="0.25">
      <c r="A8352">
        <v>8351</v>
      </c>
      <c r="B8352" s="23">
        <v>1361.6</v>
      </c>
      <c r="C8352" s="23">
        <v>0</v>
      </c>
      <c r="D8352" s="23">
        <v>0</v>
      </c>
      <c r="E8352" s="23">
        <v>0</v>
      </c>
      <c r="F8352" s="23">
        <v>0</v>
      </c>
      <c r="G8352" s="23">
        <v>0</v>
      </c>
      <c r="H8352" s="23">
        <v>0</v>
      </c>
      <c r="I8352" s="23">
        <v>184.63499999999999</v>
      </c>
      <c r="J8352" s="23">
        <v>0</v>
      </c>
      <c r="K8352" s="23">
        <v>1176.9649999999999</v>
      </c>
    </row>
    <row r="8353" spans="1:11" x14ac:dyDescent="0.25">
      <c r="A8353">
        <v>8352</v>
      </c>
      <c r="B8353" s="23">
        <v>1280.8</v>
      </c>
      <c r="C8353" s="23">
        <v>0</v>
      </c>
      <c r="D8353" s="23">
        <v>0</v>
      </c>
      <c r="E8353" s="23">
        <v>0</v>
      </c>
      <c r="F8353" s="23">
        <v>0</v>
      </c>
      <c r="G8353" s="23">
        <v>0</v>
      </c>
      <c r="H8353" s="23">
        <v>0</v>
      </c>
      <c r="I8353" s="23">
        <v>0</v>
      </c>
      <c r="J8353" s="23">
        <v>0</v>
      </c>
      <c r="K8353" s="23">
        <v>1280.8</v>
      </c>
    </row>
    <row r="8354" spans="1:11" x14ac:dyDescent="0.25">
      <c r="A8354">
        <v>8353</v>
      </c>
      <c r="B8354" s="23">
        <v>1408</v>
      </c>
      <c r="C8354" s="23">
        <v>0</v>
      </c>
      <c r="D8354" s="23">
        <v>0</v>
      </c>
      <c r="E8354" s="23">
        <v>0</v>
      </c>
      <c r="F8354" s="23">
        <v>0</v>
      </c>
      <c r="G8354" s="23">
        <v>0</v>
      </c>
      <c r="H8354" s="23">
        <v>0</v>
      </c>
      <c r="I8354" s="23">
        <v>1408</v>
      </c>
      <c r="J8354" s="23">
        <v>0</v>
      </c>
      <c r="K8354" s="23">
        <v>0</v>
      </c>
    </row>
    <row r="8355" spans="1:11" x14ac:dyDescent="0.25">
      <c r="A8355">
        <v>8354</v>
      </c>
      <c r="B8355" s="23">
        <v>1036.8</v>
      </c>
      <c r="C8355" s="23">
        <v>0</v>
      </c>
      <c r="D8355" s="23">
        <v>0</v>
      </c>
      <c r="E8355" s="23">
        <v>0</v>
      </c>
      <c r="F8355" s="23">
        <v>0</v>
      </c>
      <c r="G8355" s="23">
        <v>0</v>
      </c>
      <c r="H8355" s="23">
        <v>0</v>
      </c>
      <c r="I8355" s="23">
        <v>1036.8</v>
      </c>
      <c r="J8355" s="23">
        <v>0</v>
      </c>
      <c r="K8355" s="23">
        <v>0</v>
      </c>
    </row>
    <row r="8356" spans="1:11" x14ac:dyDescent="0.25">
      <c r="A8356">
        <v>8355</v>
      </c>
      <c r="B8356" s="23">
        <v>1119.2</v>
      </c>
      <c r="C8356" s="23">
        <v>0</v>
      </c>
      <c r="D8356" s="23">
        <v>0</v>
      </c>
      <c r="E8356" s="23">
        <v>0</v>
      </c>
      <c r="F8356" s="23">
        <v>0</v>
      </c>
      <c r="G8356" s="23">
        <v>0</v>
      </c>
      <c r="H8356" s="23">
        <v>0</v>
      </c>
      <c r="I8356" s="23">
        <v>1119.2</v>
      </c>
      <c r="J8356" s="23">
        <v>0</v>
      </c>
      <c r="K8356" s="23">
        <v>0</v>
      </c>
    </row>
    <row r="8357" spans="1:11" x14ac:dyDescent="0.25">
      <c r="A8357">
        <v>8356</v>
      </c>
      <c r="B8357" s="23">
        <v>1168</v>
      </c>
      <c r="C8357" s="23">
        <v>0</v>
      </c>
      <c r="D8357" s="23">
        <v>0</v>
      </c>
      <c r="E8357" s="23">
        <v>0</v>
      </c>
      <c r="F8357" s="23">
        <v>0</v>
      </c>
      <c r="G8357" s="23">
        <v>0</v>
      </c>
      <c r="H8357" s="23">
        <v>0</v>
      </c>
      <c r="I8357" s="23">
        <v>1168</v>
      </c>
      <c r="J8357" s="23">
        <v>0</v>
      </c>
      <c r="K8357" s="23">
        <v>0</v>
      </c>
    </row>
    <row r="8358" spans="1:11" x14ac:dyDescent="0.25">
      <c r="A8358">
        <v>8357</v>
      </c>
      <c r="B8358" s="23">
        <v>1204.8</v>
      </c>
      <c r="C8358" s="23">
        <v>0</v>
      </c>
      <c r="D8358" s="23">
        <v>0</v>
      </c>
      <c r="E8358" s="23">
        <v>0</v>
      </c>
      <c r="F8358" s="23">
        <v>0</v>
      </c>
      <c r="G8358" s="23">
        <v>0</v>
      </c>
      <c r="H8358" s="23">
        <v>0</v>
      </c>
      <c r="I8358" s="23">
        <v>0</v>
      </c>
      <c r="J8358" s="23">
        <v>0</v>
      </c>
      <c r="K8358" s="23">
        <v>1204.8</v>
      </c>
    </row>
    <row r="8359" spans="1:11" x14ac:dyDescent="0.25">
      <c r="A8359">
        <v>8358</v>
      </c>
      <c r="B8359" s="23">
        <v>1127.2</v>
      </c>
      <c r="C8359" s="23">
        <v>0</v>
      </c>
      <c r="D8359" s="23">
        <v>0</v>
      </c>
      <c r="E8359" s="23">
        <v>0</v>
      </c>
      <c r="F8359" s="23">
        <v>0</v>
      </c>
      <c r="G8359" s="23">
        <v>0</v>
      </c>
      <c r="H8359" s="23">
        <v>0</v>
      </c>
      <c r="I8359" s="23">
        <v>0</v>
      </c>
      <c r="J8359" s="23">
        <v>0</v>
      </c>
      <c r="K8359" s="23">
        <v>1127.2</v>
      </c>
    </row>
    <row r="8360" spans="1:11" x14ac:dyDescent="0.25">
      <c r="A8360">
        <v>8359</v>
      </c>
      <c r="B8360" s="23">
        <v>1190.4000000000001</v>
      </c>
      <c r="C8360" s="23">
        <v>81.319999999999993</v>
      </c>
      <c r="D8360" s="23">
        <v>226.477</v>
      </c>
      <c r="E8360" s="23">
        <v>226.477</v>
      </c>
      <c r="F8360" s="23">
        <v>0</v>
      </c>
      <c r="G8360" s="23">
        <v>0</v>
      </c>
      <c r="H8360" s="23">
        <v>0</v>
      </c>
      <c r="I8360" s="23">
        <v>0</v>
      </c>
      <c r="J8360" s="23">
        <v>0</v>
      </c>
      <c r="K8360" s="23">
        <v>963.923</v>
      </c>
    </row>
    <row r="8361" spans="1:11" x14ac:dyDescent="0.25">
      <c r="A8361">
        <v>8360</v>
      </c>
      <c r="B8361" s="23">
        <v>210.34399999999999</v>
      </c>
      <c r="C8361" s="23">
        <v>321.55</v>
      </c>
      <c r="D8361" s="23">
        <v>1253.627</v>
      </c>
      <c r="E8361" s="23">
        <v>210.34399999999999</v>
      </c>
      <c r="F8361" s="23">
        <v>-1043.2829999999999</v>
      </c>
      <c r="G8361" s="23">
        <v>0</v>
      </c>
      <c r="H8361" s="23">
        <v>0</v>
      </c>
      <c r="I8361" s="23">
        <v>0</v>
      </c>
      <c r="J8361" s="23">
        <v>0</v>
      </c>
      <c r="K8361" s="23">
        <v>0</v>
      </c>
    </row>
    <row r="8362" spans="1:11" x14ac:dyDescent="0.25">
      <c r="A8362">
        <v>8361</v>
      </c>
      <c r="B8362" s="23">
        <v>101.182</v>
      </c>
      <c r="C8362" s="23">
        <v>556.12</v>
      </c>
      <c r="D8362" s="23">
        <v>2204.5140000000001</v>
      </c>
      <c r="E8362" s="23">
        <v>101.18300000000001</v>
      </c>
      <c r="F8362" s="23">
        <v>-1684.559</v>
      </c>
      <c r="G8362" s="23">
        <v>0</v>
      </c>
      <c r="H8362" s="23">
        <v>418.77199999999999</v>
      </c>
      <c r="I8362" s="23">
        <v>0</v>
      </c>
      <c r="J8362" s="23">
        <v>0</v>
      </c>
      <c r="K8362" s="23">
        <v>0</v>
      </c>
    </row>
    <row r="8363" spans="1:11" x14ac:dyDescent="0.25">
      <c r="A8363">
        <v>8362</v>
      </c>
      <c r="B8363" s="23">
        <v>0</v>
      </c>
      <c r="C8363" s="23">
        <v>529.89</v>
      </c>
      <c r="D8363" s="23">
        <v>2056.66</v>
      </c>
      <c r="E8363" s="23">
        <v>1E-3</v>
      </c>
      <c r="F8363" s="23">
        <v>-1684.559</v>
      </c>
      <c r="G8363" s="23">
        <v>0</v>
      </c>
      <c r="H8363" s="23">
        <v>372.1</v>
      </c>
      <c r="I8363" s="23">
        <v>0</v>
      </c>
      <c r="J8363" s="23">
        <v>0</v>
      </c>
      <c r="K8363" s="23">
        <v>0</v>
      </c>
    </row>
    <row r="8364" spans="1:11" x14ac:dyDescent="0.25">
      <c r="A8364">
        <v>8363</v>
      </c>
      <c r="B8364" s="23">
        <v>0</v>
      </c>
      <c r="C8364" s="23">
        <v>333.11</v>
      </c>
      <c r="D8364" s="23">
        <v>1275.7570000000001</v>
      </c>
      <c r="E8364" s="23">
        <v>0</v>
      </c>
      <c r="F8364" s="23">
        <v>-1275.7570000000001</v>
      </c>
      <c r="G8364" s="23">
        <v>0</v>
      </c>
      <c r="H8364" s="23">
        <v>0</v>
      </c>
      <c r="I8364" s="23">
        <v>0</v>
      </c>
      <c r="J8364" s="23">
        <v>0</v>
      </c>
      <c r="K8364" s="23">
        <v>0</v>
      </c>
    </row>
    <row r="8365" spans="1:11" x14ac:dyDescent="0.25">
      <c r="A8365">
        <v>8364</v>
      </c>
      <c r="B8365" s="23">
        <v>0</v>
      </c>
      <c r="C8365" s="23">
        <v>452.11</v>
      </c>
      <c r="D8365" s="23">
        <v>1728.009</v>
      </c>
      <c r="E8365" s="23">
        <v>1E-3</v>
      </c>
      <c r="F8365" s="23">
        <v>-1603.34</v>
      </c>
      <c r="G8365" s="23">
        <v>0</v>
      </c>
      <c r="H8365" s="23">
        <v>124.66800000000001</v>
      </c>
      <c r="I8365" s="23">
        <v>0</v>
      </c>
      <c r="J8365" s="23">
        <v>0</v>
      </c>
      <c r="K8365" s="23">
        <v>0</v>
      </c>
    </row>
    <row r="8366" spans="1:11" x14ac:dyDescent="0.25">
      <c r="A8366">
        <v>8365</v>
      </c>
      <c r="B8366" s="23">
        <v>0</v>
      </c>
      <c r="C8366" s="23">
        <v>454.25</v>
      </c>
      <c r="D8366" s="23">
        <v>1740.6389999999999</v>
      </c>
      <c r="E8366" s="23">
        <v>0</v>
      </c>
      <c r="F8366" s="23">
        <v>0</v>
      </c>
      <c r="G8366" s="23">
        <v>0</v>
      </c>
      <c r="H8366" s="23">
        <v>1740.6389999999999</v>
      </c>
      <c r="I8366" s="23">
        <v>0</v>
      </c>
      <c r="J8366" s="23">
        <v>0</v>
      </c>
      <c r="K8366" s="23">
        <v>0</v>
      </c>
    </row>
    <row r="8367" spans="1:11" x14ac:dyDescent="0.25">
      <c r="A8367">
        <v>8366</v>
      </c>
      <c r="B8367" s="23">
        <v>0</v>
      </c>
      <c r="C8367" s="23">
        <v>689.65</v>
      </c>
      <c r="D8367" s="23">
        <v>2638.2719999999999</v>
      </c>
      <c r="E8367" s="23">
        <v>0</v>
      </c>
      <c r="F8367" s="23">
        <v>0</v>
      </c>
      <c r="G8367" s="23">
        <v>0</v>
      </c>
      <c r="H8367" s="23">
        <v>2638.2719999999999</v>
      </c>
      <c r="I8367" s="23">
        <v>0</v>
      </c>
      <c r="J8367" s="23">
        <v>0</v>
      </c>
      <c r="K8367" s="23">
        <v>0</v>
      </c>
    </row>
    <row r="8368" spans="1:11" x14ac:dyDescent="0.25">
      <c r="A8368">
        <v>8367</v>
      </c>
      <c r="B8368" s="23">
        <v>0</v>
      </c>
      <c r="C8368" s="23">
        <v>498.07</v>
      </c>
      <c r="D8368" s="23">
        <v>1941.4269999999999</v>
      </c>
      <c r="E8368" s="23">
        <v>0</v>
      </c>
      <c r="F8368" s="23">
        <v>0</v>
      </c>
      <c r="G8368" s="23">
        <v>0</v>
      </c>
      <c r="H8368" s="23">
        <v>1941.4269999999999</v>
      </c>
      <c r="I8368" s="23">
        <v>0</v>
      </c>
      <c r="J8368" s="23">
        <v>0</v>
      </c>
      <c r="K8368" s="23">
        <v>0</v>
      </c>
    </row>
    <row r="8369" spans="1:11" x14ac:dyDescent="0.25">
      <c r="A8369">
        <v>8368</v>
      </c>
      <c r="B8369" s="23">
        <v>0</v>
      </c>
      <c r="C8369" s="23">
        <v>266.17</v>
      </c>
      <c r="D8369" s="23">
        <v>1046.2159999999999</v>
      </c>
      <c r="E8369" s="23">
        <v>0</v>
      </c>
      <c r="F8369" s="23">
        <v>0</v>
      </c>
      <c r="G8369" s="23">
        <v>0</v>
      </c>
      <c r="H8369" s="23">
        <v>1046.2159999999999</v>
      </c>
      <c r="I8369" s="23">
        <v>0</v>
      </c>
      <c r="J8369" s="23">
        <v>0</v>
      </c>
      <c r="K8369" s="23">
        <v>0</v>
      </c>
    </row>
    <row r="8370" spans="1:11" x14ac:dyDescent="0.25">
      <c r="A8370">
        <v>8369</v>
      </c>
      <c r="B8370" s="23">
        <v>0</v>
      </c>
      <c r="C8370" s="23">
        <v>97.58</v>
      </c>
      <c r="D8370" s="23">
        <v>357.827</v>
      </c>
      <c r="E8370" s="23">
        <v>0</v>
      </c>
      <c r="F8370" s="23">
        <v>0</v>
      </c>
      <c r="G8370" s="23">
        <v>0</v>
      </c>
      <c r="H8370" s="23">
        <v>357.827</v>
      </c>
      <c r="I8370" s="23">
        <v>0</v>
      </c>
      <c r="J8370" s="23">
        <v>0</v>
      </c>
      <c r="K8370" s="23">
        <v>0</v>
      </c>
    </row>
    <row r="8371" spans="1:11" x14ac:dyDescent="0.25">
      <c r="A8371">
        <v>8370</v>
      </c>
      <c r="B8371" s="23">
        <v>0</v>
      </c>
      <c r="C8371" s="23">
        <v>3.91</v>
      </c>
      <c r="D8371" s="23">
        <v>0</v>
      </c>
      <c r="E8371" s="23">
        <v>0</v>
      </c>
      <c r="F8371" s="23">
        <v>0</v>
      </c>
      <c r="G8371" s="23">
        <v>0</v>
      </c>
      <c r="H8371" s="23">
        <v>0</v>
      </c>
      <c r="I8371" s="23">
        <v>0</v>
      </c>
      <c r="J8371" s="23">
        <v>0</v>
      </c>
      <c r="K8371" s="23">
        <v>0</v>
      </c>
    </row>
    <row r="8372" spans="1:11" x14ac:dyDescent="0.25">
      <c r="A8372">
        <v>8371</v>
      </c>
      <c r="B8372" s="23">
        <v>0</v>
      </c>
      <c r="C8372" s="23">
        <v>0</v>
      </c>
      <c r="D8372" s="23">
        <v>0</v>
      </c>
      <c r="E8372" s="23">
        <v>0</v>
      </c>
      <c r="F8372" s="23">
        <v>0</v>
      </c>
      <c r="G8372" s="23">
        <v>0</v>
      </c>
      <c r="H8372" s="23">
        <v>0</v>
      </c>
      <c r="I8372" s="23">
        <v>0</v>
      </c>
      <c r="J8372" s="23">
        <v>0</v>
      </c>
      <c r="K8372" s="23">
        <v>0</v>
      </c>
    </row>
    <row r="8373" spans="1:11" x14ac:dyDescent="0.25">
      <c r="A8373">
        <v>8372</v>
      </c>
      <c r="B8373" s="23">
        <v>0</v>
      </c>
      <c r="C8373" s="23">
        <v>0</v>
      </c>
      <c r="D8373" s="23">
        <v>0</v>
      </c>
      <c r="E8373" s="23">
        <v>0</v>
      </c>
      <c r="F8373" s="23">
        <v>0</v>
      </c>
      <c r="G8373" s="23">
        <v>0</v>
      </c>
      <c r="H8373" s="23">
        <v>0</v>
      </c>
      <c r="I8373" s="23">
        <v>0</v>
      </c>
      <c r="J8373" s="23">
        <v>0</v>
      </c>
      <c r="K8373" s="23">
        <v>0</v>
      </c>
    </row>
    <row r="8374" spans="1:11" x14ac:dyDescent="0.25">
      <c r="A8374">
        <v>8373</v>
      </c>
      <c r="B8374" s="23">
        <v>137.6</v>
      </c>
      <c r="C8374" s="23">
        <v>0</v>
      </c>
      <c r="D8374" s="23">
        <v>0</v>
      </c>
      <c r="E8374" s="23">
        <v>0</v>
      </c>
      <c r="F8374" s="23">
        <v>0</v>
      </c>
      <c r="G8374" s="23">
        <v>0</v>
      </c>
      <c r="H8374" s="23">
        <v>0</v>
      </c>
      <c r="I8374" s="23">
        <v>0</v>
      </c>
      <c r="J8374" s="23">
        <v>0</v>
      </c>
      <c r="K8374" s="23">
        <v>137.6</v>
      </c>
    </row>
    <row r="8375" spans="1:11" x14ac:dyDescent="0.25">
      <c r="A8375">
        <v>8374</v>
      </c>
      <c r="B8375" s="23">
        <v>224</v>
      </c>
      <c r="C8375" s="23">
        <v>0</v>
      </c>
      <c r="D8375" s="23">
        <v>0</v>
      </c>
      <c r="E8375" s="23">
        <v>0</v>
      </c>
      <c r="F8375" s="23">
        <v>0</v>
      </c>
      <c r="G8375" s="23">
        <v>0</v>
      </c>
      <c r="H8375" s="23">
        <v>0</v>
      </c>
      <c r="I8375" s="23">
        <v>0</v>
      </c>
      <c r="J8375" s="23">
        <v>0</v>
      </c>
      <c r="K8375" s="23">
        <v>224</v>
      </c>
    </row>
    <row r="8376" spans="1:11" x14ac:dyDescent="0.25">
      <c r="A8376">
        <v>8375</v>
      </c>
      <c r="B8376" s="23">
        <v>279.2</v>
      </c>
      <c r="C8376" s="23">
        <v>0</v>
      </c>
      <c r="D8376" s="23">
        <v>0</v>
      </c>
      <c r="E8376" s="23">
        <v>0</v>
      </c>
      <c r="F8376" s="23">
        <v>0</v>
      </c>
      <c r="G8376" s="23">
        <v>0</v>
      </c>
      <c r="H8376" s="23">
        <v>0</v>
      </c>
      <c r="I8376" s="23">
        <v>0</v>
      </c>
      <c r="J8376" s="23">
        <v>0</v>
      </c>
      <c r="K8376" s="23">
        <v>279.2</v>
      </c>
    </row>
    <row r="8377" spans="1:11" x14ac:dyDescent="0.25">
      <c r="A8377">
        <v>8376</v>
      </c>
      <c r="B8377" s="23">
        <v>275.2</v>
      </c>
      <c r="C8377" s="23">
        <v>0</v>
      </c>
      <c r="D8377" s="23">
        <v>0</v>
      </c>
      <c r="E8377" s="23">
        <v>0</v>
      </c>
      <c r="F8377" s="23">
        <v>0</v>
      </c>
      <c r="G8377" s="23">
        <v>0</v>
      </c>
      <c r="H8377" s="23">
        <v>0</v>
      </c>
      <c r="I8377" s="23">
        <v>0</v>
      </c>
      <c r="J8377" s="23">
        <v>0</v>
      </c>
      <c r="K8377" s="23">
        <v>275.2</v>
      </c>
    </row>
    <row r="8378" spans="1:11" x14ac:dyDescent="0.25">
      <c r="A8378">
        <v>8377</v>
      </c>
      <c r="B8378" s="23">
        <v>272</v>
      </c>
      <c r="C8378" s="23">
        <v>0</v>
      </c>
      <c r="D8378" s="23">
        <v>0</v>
      </c>
      <c r="E8378" s="23">
        <v>0</v>
      </c>
      <c r="F8378" s="23">
        <v>0</v>
      </c>
      <c r="G8378" s="23">
        <v>0</v>
      </c>
      <c r="H8378" s="23">
        <v>0</v>
      </c>
      <c r="I8378" s="23">
        <v>0</v>
      </c>
      <c r="J8378" s="23">
        <v>0</v>
      </c>
      <c r="K8378" s="23">
        <v>272</v>
      </c>
    </row>
    <row r="8379" spans="1:11" x14ac:dyDescent="0.25">
      <c r="A8379">
        <v>8378</v>
      </c>
      <c r="B8379" s="23">
        <v>291.2</v>
      </c>
      <c r="C8379" s="23">
        <v>0</v>
      </c>
      <c r="D8379" s="23">
        <v>0</v>
      </c>
      <c r="E8379" s="23">
        <v>0</v>
      </c>
      <c r="F8379" s="23">
        <v>0</v>
      </c>
      <c r="G8379" s="23">
        <v>0</v>
      </c>
      <c r="H8379" s="23">
        <v>0</v>
      </c>
      <c r="I8379" s="23">
        <v>0</v>
      </c>
      <c r="J8379" s="23">
        <v>0</v>
      </c>
      <c r="K8379" s="23">
        <v>291.2</v>
      </c>
    </row>
    <row r="8380" spans="1:11" x14ac:dyDescent="0.25">
      <c r="A8380">
        <v>8379</v>
      </c>
      <c r="B8380" s="23">
        <v>199.2</v>
      </c>
      <c r="C8380" s="23">
        <v>0</v>
      </c>
      <c r="D8380" s="23">
        <v>0</v>
      </c>
      <c r="E8380" s="23">
        <v>0</v>
      </c>
      <c r="F8380" s="23">
        <v>0</v>
      </c>
      <c r="G8380" s="23">
        <v>0</v>
      </c>
      <c r="H8380" s="23">
        <v>0</v>
      </c>
      <c r="I8380" s="23">
        <v>0</v>
      </c>
      <c r="J8380" s="23">
        <v>0</v>
      </c>
      <c r="K8380" s="23">
        <v>199.2</v>
      </c>
    </row>
    <row r="8381" spans="1:11" x14ac:dyDescent="0.25">
      <c r="A8381">
        <v>8380</v>
      </c>
      <c r="B8381" s="23">
        <v>207.2</v>
      </c>
      <c r="C8381" s="23">
        <v>0</v>
      </c>
      <c r="D8381" s="23">
        <v>0</v>
      </c>
      <c r="E8381" s="23">
        <v>0</v>
      </c>
      <c r="F8381" s="23">
        <v>0</v>
      </c>
      <c r="G8381" s="23">
        <v>0</v>
      </c>
      <c r="H8381" s="23">
        <v>0</v>
      </c>
      <c r="I8381" s="23">
        <v>0</v>
      </c>
      <c r="J8381" s="23">
        <v>0</v>
      </c>
      <c r="K8381" s="23">
        <v>207.2</v>
      </c>
    </row>
    <row r="8382" spans="1:11" x14ac:dyDescent="0.25">
      <c r="A8382">
        <v>8381</v>
      </c>
      <c r="B8382" s="23">
        <v>285.60000000000002</v>
      </c>
      <c r="C8382" s="23">
        <v>0</v>
      </c>
      <c r="D8382" s="23">
        <v>0</v>
      </c>
      <c r="E8382" s="23">
        <v>0</v>
      </c>
      <c r="F8382" s="23">
        <v>0</v>
      </c>
      <c r="G8382" s="23">
        <v>0</v>
      </c>
      <c r="H8382" s="23">
        <v>0</v>
      </c>
      <c r="I8382" s="23">
        <v>0</v>
      </c>
      <c r="J8382" s="23">
        <v>0</v>
      </c>
      <c r="K8382" s="23">
        <v>285.60000000000002</v>
      </c>
    </row>
    <row r="8383" spans="1:11" x14ac:dyDescent="0.25">
      <c r="A8383">
        <v>8382</v>
      </c>
      <c r="B8383" s="23">
        <v>264</v>
      </c>
      <c r="C8383" s="23">
        <v>0</v>
      </c>
      <c r="D8383" s="23">
        <v>0</v>
      </c>
      <c r="E8383" s="23">
        <v>0</v>
      </c>
      <c r="F8383" s="23">
        <v>0</v>
      </c>
      <c r="G8383" s="23">
        <v>0</v>
      </c>
      <c r="H8383" s="23">
        <v>0</v>
      </c>
      <c r="I8383" s="23">
        <v>0</v>
      </c>
      <c r="J8383" s="23">
        <v>0</v>
      </c>
      <c r="K8383" s="23">
        <v>264</v>
      </c>
    </row>
    <row r="8384" spans="1:11" x14ac:dyDescent="0.25">
      <c r="A8384">
        <v>8383</v>
      </c>
      <c r="B8384" s="23">
        <v>318.39999999999998</v>
      </c>
      <c r="C8384" s="23">
        <v>52.93</v>
      </c>
      <c r="D8384" s="23">
        <v>150.63900000000001</v>
      </c>
      <c r="E8384" s="23">
        <v>150.63900000000001</v>
      </c>
      <c r="F8384" s="23">
        <v>0</v>
      </c>
      <c r="G8384" s="23">
        <v>0</v>
      </c>
      <c r="H8384" s="23">
        <v>0</v>
      </c>
      <c r="I8384" s="23">
        <v>0</v>
      </c>
      <c r="J8384" s="23">
        <v>0</v>
      </c>
      <c r="K8384" s="23">
        <v>167.761</v>
      </c>
    </row>
    <row r="8385" spans="1:11" x14ac:dyDescent="0.25">
      <c r="A8385">
        <v>8384</v>
      </c>
      <c r="B8385" s="23">
        <v>138.494</v>
      </c>
      <c r="C8385" s="23">
        <v>323.49</v>
      </c>
      <c r="D8385" s="23">
        <v>1264.309</v>
      </c>
      <c r="E8385" s="23">
        <v>138.494</v>
      </c>
      <c r="F8385" s="23">
        <v>-1125.8150000000001</v>
      </c>
      <c r="G8385" s="23">
        <v>0</v>
      </c>
      <c r="H8385" s="23">
        <v>0</v>
      </c>
      <c r="I8385" s="23">
        <v>0</v>
      </c>
      <c r="J8385" s="23">
        <v>0</v>
      </c>
      <c r="K8385" s="23">
        <v>0</v>
      </c>
    </row>
    <row r="8386" spans="1:11" x14ac:dyDescent="0.25">
      <c r="A8386">
        <v>8385</v>
      </c>
      <c r="B8386" s="23">
        <v>740.53499999999997</v>
      </c>
      <c r="C8386" s="23">
        <v>559.42999999999995</v>
      </c>
      <c r="D8386" s="23">
        <v>2223.0749999999998</v>
      </c>
      <c r="E8386" s="23">
        <v>740.53499999999997</v>
      </c>
      <c r="F8386" s="23">
        <v>-1482.54</v>
      </c>
      <c r="G8386" s="23">
        <v>0</v>
      </c>
      <c r="H8386" s="23">
        <v>0</v>
      </c>
      <c r="I8386" s="23">
        <v>0</v>
      </c>
      <c r="J8386" s="23">
        <v>0</v>
      </c>
      <c r="K8386" s="23">
        <v>0</v>
      </c>
    </row>
    <row r="8387" spans="1:11" x14ac:dyDescent="0.25">
      <c r="A8387">
        <v>8386</v>
      </c>
      <c r="B8387" s="23">
        <v>1328.616</v>
      </c>
      <c r="C8387" s="23">
        <v>648.88</v>
      </c>
      <c r="D8387" s="23">
        <v>2492.991</v>
      </c>
      <c r="E8387" s="23">
        <v>1328.616</v>
      </c>
      <c r="F8387" s="23">
        <v>-288.459</v>
      </c>
      <c r="G8387" s="23">
        <v>0</v>
      </c>
      <c r="H8387" s="23">
        <v>875.91600000000005</v>
      </c>
      <c r="I8387" s="23">
        <v>0</v>
      </c>
      <c r="J8387" s="23">
        <v>0</v>
      </c>
      <c r="K8387" s="23">
        <v>0</v>
      </c>
    </row>
    <row r="8388" spans="1:11" x14ac:dyDescent="0.25">
      <c r="A8388">
        <v>8387</v>
      </c>
      <c r="B8388" s="23">
        <v>1321.9690000000001</v>
      </c>
      <c r="C8388" s="23">
        <v>852.48</v>
      </c>
      <c r="D8388" s="23">
        <v>3183.71</v>
      </c>
      <c r="E8388" s="23">
        <v>1321.9690000000001</v>
      </c>
      <c r="F8388" s="23">
        <v>0</v>
      </c>
      <c r="G8388" s="23">
        <v>0</v>
      </c>
      <c r="H8388" s="23">
        <v>1861.741</v>
      </c>
      <c r="I8388" s="23">
        <v>0</v>
      </c>
      <c r="J8388" s="23">
        <v>0</v>
      </c>
      <c r="K8388" s="23">
        <v>0</v>
      </c>
    </row>
    <row r="8389" spans="1:11" x14ac:dyDescent="0.25">
      <c r="A8389">
        <v>8388</v>
      </c>
      <c r="B8389" s="23">
        <v>1360.73</v>
      </c>
      <c r="C8389" s="23">
        <v>842.42</v>
      </c>
      <c r="D8389" s="23">
        <v>3131.53</v>
      </c>
      <c r="E8389" s="23">
        <v>1360.73</v>
      </c>
      <c r="F8389" s="23">
        <v>0</v>
      </c>
      <c r="G8389" s="23">
        <v>0</v>
      </c>
      <c r="H8389" s="23">
        <v>1770.8</v>
      </c>
      <c r="I8389" s="23">
        <v>0</v>
      </c>
      <c r="J8389" s="23">
        <v>0</v>
      </c>
      <c r="K8389" s="23">
        <v>0</v>
      </c>
    </row>
    <row r="8390" spans="1:11" x14ac:dyDescent="0.25">
      <c r="A8390">
        <v>8389</v>
      </c>
      <c r="B8390" s="23">
        <v>1345.146</v>
      </c>
      <c r="C8390" s="23">
        <v>660.2</v>
      </c>
      <c r="D8390" s="23">
        <v>2499.9850000000001</v>
      </c>
      <c r="E8390" s="23">
        <v>1345.146</v>
      </c>
      <c r="F8390" s="23">
        <v>0</v>
      </c>
      <c r="G8390" s="23">
        <v>0</v>
      </c>
      <c r="H8390" s="23">
        <v>1154.8389999999999</v>
      </c>
      <c r="I8390" s="23">
        <v>0</v>
      </c>
      <c r="J8390" s="23">
        <v>0</v>
      </c>
      <c r="K8390" s="23">
        <v>0</v>
      </c>
    </row>
    <row r="8391" spans="1:11" x14ac:dyDescent="0.25">
      <c r="A8391">
        <v>8390</v>
      </c>
      <c r="B8391" s="23">
        <v>1049.6669999999999</v>
      </c>
      <c r="C8391" s="23">
        <v>540.38</v>
      </c>
      <c r="D8391" s="23">
        <v>2068.6179999999999</v>
      </c>
      <c r="E8391" s="23">
        <v>1049.6669999999999</v>
      </c>
      <c r="F8391" s="23">
        <v>0</v>
      </c>
      <c r="G8391" s="23">
        <v>0</v>
      </c>
      <c r="H8391" s="23">
        <v>1018.951</v>
      </c>
      <c r="I8391" s="23">
        <v>0</v>
      </c>
      <c r="J8391" s="23">
        <v>0</v>
      </c>
      <c r="K8391" s="23">
        <v>0</v>
      </c>
    </row>
    <row r="8392" spans="1:11" x14ac:dyDescent="0.25">
      <c r="A8392">
        <v>8391</v>
      </c>
      <c r="B8392" s="23">
        <v>978.51599999999996</v>
      </c>
      <c r="C8392" s="23">
        <v>479.21</v>
      </c>
      <c r="D8392" s="23">
        <v>1870.682</v>
      </c>
      <c r="E8392" s="23">
        <v>978.51599999999996</v>
      </c>
      <c r="F8392" s="23">
        <v>0</v>
      </c>
      <c r="G8392" s="23">
        <v>0</v>
      </c>
      <c r="H8392" s="23">
        <v>892.16600000000005</v>
      </c>
      <c r="I8392" s="23">
        <v>0</v>
      </c>
      <c r="J8392" s="23">
        <v>0</v>
      </c>
      <c r="K8392" s="23">
        <v>0</v>
      </c>
    </row>
    <row r="8393" spans="1:11" x14ac:dyDescent="0.25">
      <c r="A8393">
        <v>8392</v>
      </c>
      <c r="B8393" s="23">
        <v>1113.713</v>
      </c>
      <c r="C8393" s="23">
        <v>151.87</v>
      </c>
      <c r="D8393" s="23">
        <v>579.51</v>
      </c>
      <c r="E8393" s="23">
        <v>579.51</v>
      </c>
      <c r="F8393" s="23">
        <v>0</v>
      </c>
      <c r="G8393" s="23">
        <v>0</v>
      </c>
      <c r="H8393" s="23">
        <v>0</v>
      </c>
      <c r="I8393" s="23">
        <v>534.20299999999997</v>
      </c>
      <c r="J8393" s="23">
        <v>0</v>
      </c>
      <c r="K8393" s="23">
        <v>0</v>
      </c>
    </row>
    <row r="8394" spans="1:11" x14ac:dyDescent="0.25">
      <c r="A8394">
        <v>8393</v>
      </c>
      <c r="B8394" s="23">
        <v>1271.9290000000001</v>
      </c>
      <c r="C8394" s="23">
        <v>33.31</v>
      </c>
      <c r="D8394" s="23">
        <v>104.78700000000001</v>
      </c>
      <c r="E8394" s="23">
        <v>104.78700000000001</v>
      </c>
      <c r="F8394" s="23">
        <v>0</v>
      </c>
      <c r="G8394" s="23">
        <v>0</v>
      </c>
      <c r="H8394" s="23">
        <v>0</v>
      </c>
      <c r="I8394" s="23">
        <v>1167.1420000000001</v>
      </c>
      <c r="J8394" s="23">
        <v>0</v>
      </c>
      <c r="K8394" s="23">
        <v>0</v>
      </c>
    </row>
    <row r="8395" spans="1:11" x14ac:dyDescent="0.25">
      <c r="A8395">
        <v>8394</v>
      </c>
      <c r="B8395" s="23">
        <v>1081.973</v>
      </c>
      <c r="C8395" s="23">
        <v>1.96</v>
      </c>
      <c r="D8395" s="23">
        <v>0</v>
      </c>
      <c r="E8395" s="23">
        <v>0</v>
      </c>
      <c r="F8395" s="23">
        <v>0</v>
      </c>
      <c r="G8395" s="23">
        <v>0</v>
      </c>
      <c r="H8395" s="23">
        <v>0</v>
      </c>
      <c r="I8395" s="23">
        <v>0</v>
      </c>
      <c r="J8395" s="23">
        <v>0</v>
      </c>
      <c r="K8395" s="23">
        <v>1081.973</v>
      </c>
    </row>
    <row r="8396" spans="1:11" x14ac:dyDescent="0.25">
      <c r="A8396">
        <v>8395</v>
      </c>
      <c r="B8396" s="23">
        <v>1176.8</v>
      </c>
      <c r="C8396" s="23">
        <v>0</v>
      </c>
      <c r="D8396" s="23">
        <v>0</v>
      </c>
      <c r="E8396" s="23">
        <v>0</v>
      </c>
      <c r="F8396" s="23">
        <v>0</v>
      </c>
      <c r="G8396" s="23">
        <v>0</v>
      </c>
      <c r="H8396" s="23">
        <v>0</v>
      </c>
      <c r="I8396" s="23">
        <v>0</v>
      </c>
      <c r="J8396" s="23">
        <v>0</v>
      </c>
      <c r="K8396" s="23">
        <v>1176.8</v>
      </c>
    </row>
    <row r="8397" spans="1:11" x14ac:dyDescent="0.25">
      <c r="A8397">
        <v>8396</v>
      </c>
      <c r="B8397" s="23">
        <v>942.4</v>
      </c>
      <c r="C8397" s="23">
        <v>0</v>
      </c>
      <c r="D8397" s="23">
        <v>0</v>
      </c>
      <c r="E8397" s="23">
        <v>0</v>
      </c>
      <c r="F8397" s="23">
        <v>0</v>
      </c>
      <c r="G8397" s="23">
        <v>0</v>
      </c>
      <c r="H8397" s="23">
        <v>0</v>
      </c>
      <c r="I8397" s="23">
        <v>0</v>
      </c>
      <c r="J8397" s="23">
        <v>0</v>
      </c>
      <c r="K8397" s="23">
        <v>942.4</v>
      </c>
    </row>
    <row r="8398" spans="1:11" x14ac:dyDescent="0.25">
      <c r="A8398">
        <v>8397</v>
      </c>
      <c r="B8398" s="23">
        <v>892.8</v>
      </c>
      <c r="C8398" s="23">
        <v>0</v>
      </c>
      <c r="D8398" s="23">
        <v>0</v>
      </c>
      <c r="E8398" s="23">
        <v>0</v>
      </c>
      <c r="F8398" s="23">
        <v>0</v>
      </c>
      <c r="G8398" s="23">
        <v>0</v>
      </c>
      <c r="H8398" s="23">
        <v>0</v>
      </c>
      <c r="I8398" s="23">
        <v>892.8</v>
      </c>
      <c r="J8398" s="23">
        <v>0</v>
      </c>
      <c r="K8398" s="23">
        <v>0</v>
      </c>
    </row>
    <row r="8399" spans="1:11" x14ac:dyDescent="0.25">
      <c r="A8399">
        <v>8398</v>
      </c>
      <c r="B8399" s="23">
        <v>998.4</v>
      </c>
      <c r="C8399" s="23">
        <v>0</v>
      </c>
      <c r="D8399" s="23">
        <v>0</v>
      </c>
      <c r="E8399" s="23">
        <v>0</v>
      </c>
      <c r="F8399" s="23">
        <v>0</v>
      </c>
      <c r="G8399" s="23">
        <v>0</v>
      </c>
      <c r="H8399" s="23">
        <v>0</v>
      </c>
      <c r="I8399" s="23">
        <v>998.4</v>
      </c>
      <c r="J8399" s="23">
        <v>0</v>
      </c>
      <c r="K8399" s="23">
        <v>0</v>
      </c>
    </row>
    <row r="8400" spans="1:11" x14ac:dyDescent="0.25">
      <c r="A8400">
        <v>8399</v>
      </c>
      <c r="B8400" s="23">
        <v>1292</v>
      </c>
      <c r="C8400" s="23">
        <v>0</v>
      </c>
      <c r="D8400" s="23">
        <v>0</v>
      </c>
      <c r="E8400" s="23">
        <v>0</v>
      </c>
      <c r="F8400" s="23">
        <v>0</v>
      </c>
      <c r="G8400" s="23">
        <v>0</v>
      </c>
      <c r="H8400" s="23">
        <v>0</v>
      </c>
      <c r="I8400" s="23">
        <v>1292</v>
      </c>
      <c r="J8400" s="23">
        <v>0</v>
      </c>
      <c r="K8400" s="23">
        <v>0</v>
      </c>
    </row>
    <row r="8401" spans="1:11" x14ac:dyDescent="0.25">
      <c r="A8401">
        <v>8400</v>
      </c>
      <c r="B8401" s="23">
        <v>1080.8</v>
      </c>
      <c r="C8401" s="23">
        <v>0</v>
      </c>
      <c r="D8401" s="23">
        <v>0</v>
      </c>
      <c r="E8401" s="23">
        <v>0</v>
      </c>
      <c r="F8401" s="23">
        <v>0</v>
      </c>
      <c r="G8401" s="23">
        <v>0</v>
      </c>
      <c r="H8401" s="23">
        <v>0</v>
      </c>
      <c r="I8401" s="23">
        <v>1080.8</v>
      </c>
      <c r="J8401" s="23">
        <v>0</v>
      </c>
      <c r="K8401" s="23">
        <v>0</v>
      </c>
    </row>
    <row r="8402" spans="1:11" x14ac:dyDescent="0.25">
      <c r="A8402">
        <v>8401</v>
      </c>
      <c r="B8402" s="23">
        <v>1272.8</v>
      </c>
      <c r="C8402" s="23">
        <v>0</v>
      </c>
      <c r="D8402" s="23">
        <v>0</v>
      </c>
      <c r="E8402" s="23">
        <v>0</v>
      </c>
      <c r="F8402" s="23">
        <v>0</v>
      </c>
      <c r="G8402" s="23">
        <v>0</v>
      </c>
      <c r="H8402" s="23">
        <v>0</v>
      </c>
      <c r="I8402" s="23">
        <v>1272.8</v>
      </c>
      <c r="J8402" s="23">
        <v>0</v>
      </c>
      <c r="K8402" s="23">
        <v>0</v>
      </c>
    </row>
    <row r="8403" spans="1:11" x14ac:dyDescent="0.25">
      <c r="A8403">
        <v>8402</v>
      </c>
      <c r="B8403" s="23">
        <v>1246.4000000000001</v>
      </c>
      <c r="C8403" s="23">
        <v>0</v>
      </c>
      <c r="D8403" s="23">
        <v>0</v>
      </c>
      <c r="E8403" s="23">
        <v>0</v>
      </c>
      <c r="F8403" s="23">
        <v>0</v>
      </c>
      <c r="G8403" s="23">
        <v>0</v>
      </c>
      <c r="H8403" s="23">
        <v>0</v>
      </c>
      <c r="I8403" s="23">
        <v>1246.4000000000001</v>
      </c>
      <c r="J8403" s="23">
        <v>0</v>
      </c>
      <c r="K8403" s="23">
        <v>0</v>
      </c>
    </row>
    <row r="8404" spans="1:11" x14ac:dyDescent="0.25">
      <c r="A8404">
        <v>8403</v>
      </c>
      <c r="B8404" s="23">
        <v>1290.4000000000001</v>
      </c>
      <c r="C8404" s="23">
        <v>0</v>
      </c>
      <c r="D8404" s="23">
        <v>0</v>
      </c>
      <c r="E8404" s="23">
        <v>0</v>
      </c>
      <c r="F8404" s="23">
        <v>0</v>
      </c>
      <c r="G8404" s="23">
        <v>0</v>
      </c>
      <c r="H8404" s="23">
        <v>0</v>
      </c>
      <c r="I8404" s="23">
        <v>1290.4000000000001</v>
      </c>
      <c r="J8404" s="23">
        <v>0</v>
      </c>
      <c r="K8404" s="23">
        <v>0</v>
      </c>
    </row>
    <row r="8405" spans="1:11" x14ac:dyDescent="0.25">
      <c r="A8405">
        <v>8404</v>
      </c>
      <c r="B8405" s="23">
        <v>856</v>
      </c>
      <c r="C8405" s="23">
        <v>0</v>
      </c>
      <c r="D8405" s="23">
        <v>0</v>
      </c>
      <c r="E8405" s="23">
        <v>0</v>
      </c>
      <c r="F8405" s="23">
        <v>0</v>
      </c>
      <c r="G8405" s="23">
        <v>0</v>
      </c>
      <c r="H8405" s="23">
        <v>0</v>
      </c>
      <c r="I8405" s="23">
        <v>856</v>
      </c>
      <c r="J8405" s="23">
        <v>0</v>
      </c>
      <c r="K8405" s="23">
        <v>0</v>
      </c>
    </row>
    <row r="8406" spans="1:11" x14ac:dyDescent="0.25">
      <c r="A8406">
        <v>8405</v>
      </c>
      <c r="B8406" s="23">
        <v>1009.6</v>
      </c>
      <c r="C8406" s="23">
        <v>0</v>
      </c>
      <c r="D8406" s="23">
        <v>0</v>
      </c>
      <c r="E8406" s="23">
        <v>0</v>
      </c>
      <c r="F8406" s="23">
        <v>0</v>
      </c>
      <c r="G8406" s="23">
        <v>0</v>
      </c>
      <c r="H8406" s="23">
        <v>0</v>
      </c>
      <c r="I8406" s="23">
        <v>103.351</v>
      </c>
      <c r="J8406" s="23">
        <v>0</v>
      </c>
      <c r="K8406" s="23">
        <v>906.24900000000002</v>
      </c>
    </row>
    <row r="8407" spans="1:11" x14ac:dyDescent="0.25">
      <c r="A8407">
        <v>8406</v>
      </c>
      <c r="B8407" s="23">
        <v>1304.8</v>
      </c>
      <c r="C8407" s="23">
        <v>0</v>
      </c>
      <c r="D8407" s="23">
        <v>0</v>
      </c>
      <c r="E8407" s="23">
        <v>0</v>
      </c>
      <c r="F8407" s="23">
        <v>0</v>
      </c>
      <c r="G8407" s="23">
        <v>0</v>
      </c>
      <c r="H8407" s="23">
        <v>0</v>
      </c>
      <c r="I8407" s="23">
        <v>0</v>
      </c>
      <c r="J8407" s="23">
        <v>0</v>
      </c>
      <c r="K8407" s="23">
        <v>1304.8</v>
      </c>
    </row>
    <row r="8408" spans="1:11" x14ac:dyDescent="0.25">
      <c r="A8408">
        <v>8407</v>
      </c>
      <c r="B8408" s="23">
        <v>1032.8</v>
      </c>
      <c r="C8408" s="23">
        <v>61.69</v>
      </c>
      <c r="D8408" s="23">
        <v>172.08199999999999</v>
      </c>
      <c r="E8408" s="23">
        <v>172.08199999999999</v>
      </c>
      <c r="F8408" s="23">
        <v>0</v>
      </c>
      <c r="G8408" s="23">
        <v>0</v>
      </c>
      <c r="H8408" s="23">
        <v>0</v>
      </c>
      <c r="I8408" s="23">
        <v>0</v>
      </c>
      <c r="J8408" s="23">
        <v>0</v>
      </c>
      <c r="K8408" s="23">
        <v>860.71799999999996</v>
      </c>
    </row>
    <row r="8409" spans="1:11" x14ac:dyDescent="0.25">
      <c r="A8409">
        <v>8408</v>
      </c>
      <c r="B8409" s="23">
        <v>1361.0319999999999</v>
      </c>
      <c r="C8409" s="23">
        <v>275.11</v>
      </c>
      <c r="D8409" s="23">
        <v>1082.123</v>
      </c>
      <c r="E8409" s="23">
        <v>1082.123</v>
      </c>
      <c r="F8409" s="23">
        <v>0</v>
      </c>
      <c r="G8409" s="23">
        <v>0</v>
      </c>
      <c r="H8409" s="23">
        <v>0</v>
      </c>
      <c r="I8409" s="23">
        <v>0</v>
      </c>
      <c r="J8409" s="23">
        <v>0</v>
      </c>
      <c r="K8409" s="23">
        <v>278.90899999999999</v>
      </c>
    </row>
    <row r="8410" spans="1:11" x14ac:dyDescent="0.25">
      <c r="A8410">
        <v>8409</v>
      </c>
      <c r="B8410" s="23">
        <v>1132.0129999999999</v>
      </c>
      <c r="C8410" s="23">
        <v>420.5</v>
      </c>
      <c r="D8410" s="23">
        <v>1678.19</v>
      </c>
      <c r="E8410" s="23">
        <v>1132.0129999999999</v>
      </c>
      <c r="F8410" s="23">
        <v>-546.17700000000002</v>
      </c>
      <c r="G8410" s="23">
        <v>0</v>
      </c>
      <c r="H8410" s="23">
        <v>0</v>
      </c>
      <c r="I8410" s="23">
        <v>0</v>
      </c>
      <c r="J8410" s="23">
        <v>0</v>
      </c>
      <c r="K8410" s="23">
        <v>0</v>
      </c>
    </row>
    <row r="8411" spans="1:11" x14ac:dyDescent="0.25">
      <c r="A8411">
        <v>8410</v>
      </c>
      <c r="B8411" s="23">
        <v>1598.971</v>
      </c>
      <c r="C8411" s="23">
        <v>593.45000000000005</v>
      </c>
      <c r="D8411" s="23">
        <v>2311.29</v>
      </c>
      <c r="E8411" s="23">
        <v>1598.971</v>
      </c>
      <c r="F8411" s="23">
        <v>-712.31899999999996</v>
      </c>
      <c r="G8411" s="23">
        <v>0</v>
      </c>
      <c r="H8411" s="23">
        <v>0</v>
      </c>
      <c r="I8411" s="23">
        <v>0</v>
      </c>
      <c r="J8411" s="23">
        <v>0</v>
      </c>
      <c r="K8411" s="23">
        <v>0</v>
      </c>
    </row>
    <row r="8412" spans="1:11" x14ac:dyDescent="0.25">
      <c r="A8412">
        <v>8411</v>
      </c>
      <c r="B8412" s="23">
        <v>1537.183</v>
      </c>
      <c r="C8412" s="23">
        <v>859.91</v>
      </c>
      <c r="D8412" s="23">
        <v>3278.5120000000002</v>
      </c>
      <c r="E8412" s="23">
        <v>1537.184</v>
      </c>
      <c r="F8412" s="23">
        <v>-1684.559</v>
      </c>
      <c r="G8412" s="23">
        <v>0</v>
      </c>
      <c r="H8412" s="23">
        <v>56.768999999999998</v>
      </c>
      <c r="I8412" s="23">
        <v>0</v>
      </c>
      <c r="J8412" s="23">
        <v>0</v>
      </c>
      <c r="K8412" s="23">
        <v>0</v>
      </c>
    </row>
    <row r="8413" spans="1:11" x14ac:dyDescent="0.25">
      <c r="A8413">
        <v>8412</v>
      </c>
      <c r="B8413" s="23">
        <v>1425.846</v>
      </c>
      <c r="C8413" s="23">
        <v>940.51</v>
      </c>
      <c r="D8413" s="23">
        <v>3552.4520000000002</v>
      </c>
      <c r="E8413" s="23">
        <v>1425.847</v>
      </c>
      <c r="F8413" s="23">
        <v>-1684.559</v>
      </c>
      <c r="G8413" s="23">
        <v>0</v>
      </c>
      <c r="H8413" s="23">
        <v>442.04599999999999</v>
      </c>
      <c r="I8413" s="23">
        <v>0</v>
      </c>
      <c r="J8413" s="23">
        <v>0</v>
      </c>
      <c r="K8413" s="23">
        <v>0</v>
      </c>
    </row>
    <row r="8414" spans="1:11" x14ac:dyDescent="0.25">
      <c r="A8414">
        <v>8413</v>
      </c>
      <c r="B8414" s="23">
        <v>1392.6590000000001</v>
      </c>
      <c r="C8414" s="23">
        <v>892.95</v>
      </c>
      <c r="D8414" s="23">
        <v>3377.5129999999999</v>
      </c>
      <c r="E8414" s="23">
        <v>1392.6590000000001</v>
      </c>
      <c r="F8414" s="23">
        <v>-1684.559</v>
      </c>
      <c r="G8414" s="23">
        <v>0</v>
      </c>
      <c r="H8414" s="23">
        <v>300.29500000000002</v>
      </c>
      <c r="I8414" s="23">
        <v>0</v>
      </c>
      <c r="J8414" s="23">
        <v>0</v>
      </c>
      <c r="K8414" s="23">
        <v>0</v>
      </c>
    </row>
    <row r="8415" spans="1:11" x14ac:dyDescent="0.25">
      <c r="A8415">
        <v>8414</v>
      </c>
      <c r="B8415" s="23">
        <v>1295.7809999999999</v>
      </c>
      <c r="C8415" s="23">
        <v>487.18</v>
      </c>
      <c r="D8415" s="23">
        <v>1891.954</v>
      </c>
      <c r="E8415" s="23">
        <v>1295.7809999999999</v>
      </c>
      <c r="F8415" s="23">
        <v>-596.173</v>
      </c>
      <c r="G8415" s="23">
        <v>0</v>
      </c>
      <c r="H8415" s="23">
        <v>0</v>
      </c>
      <c r="I8415" s="23">
        <v>0</v>
      </c>
      <c r="J8415" s="23">
        <v>0</v>
      </c>
      <c r="K8415" s="23">
        <v>0</v>
      </c>
    </row>
    <row r="8416" spans="1:11" x14ac:dyDescent="0.25">
      <c r="A8416">
        <v>8415</v>
      </c>
      <c r="B8416" s="23">
        <v>1618.778</v>
      </c>
      <c r="C8416" s="23">
        <v>555.6</v>
      </c>
      <c r="D8416" s="23">
        <v>2160.1970000000001</v>
      </c>
      <c r="E8416" s="23">
        <v>1618.778</v>
      </c>
      <c r="F8416" s="23">
        <v>-383.15100000000001</v>
      </c>
      <c r="G8416" s="23">
        <v>0</v>
      </c>
      <c r="H8416" s="23">
        <v>158.268</v>
      </c>
      <c r="I8416" s="23">
        <v>0</v>
      </c>
      <c r="J8416" s="23">
        <v>0</v>
      </c>
      <c r="K8416" s="23">
        <v>0</v>
      </c>
    </row>
    <row r="8417" spans="1:11" x14ac:dyDescent="0.25">
      <c r="A8417">
        <v>8416</v>
      </c>
      <c r="B8417" s="23">
        <v>1607.3969999999999</v>
      </c>
      <c r="C8417" s="23">
        <v>350.06</v>
      </c>
      <c r="D8417" s="23">
        <v>1384.925</v>
      </c>
      <c r="E8417" s="23">
        <v>1384.925</v>
      </c>
      <c r="F8417" s="23">
        <v>0</v>
      </c>
      <c r="G8417" s="23">
        <v>0</v>
      </c>
      <c r="H8417" s="23">
        <v>0</v>
      </c>
      <c r="I8417" s="23">
        <v>222.47200000000001</v>
      </c>
      <c r="J8417" s="23">
        <v>0</v>
      </c>
      <c r="K8417" s="23">
        <v>0</v>
      </c>
    </row>
    <row r="8418" spans="1:11" x14ac:dyDescent="0.25">
      <c r="A8418">
        <v>8417</v>
      </c>
      <c r="B8418" s="23">
        <v>1627.259</v>
      </c>
      <c r="C8418" s="23">
        <v>46.07</v>
      </c>
      <c r="D8418" s="23">
        <v>155.21</v>
      </c>
      <c r="E8418" s="23">
        <v>155.21</v>
      </c>
      <c r="F8418" s="23">
        <v>0</v>
      </c>
      <c r="G8418" s="23">
        <v>0</v>
      </c>
      <c r="H8418" s="23">
        <v>0</v>
      </c>
      <c r="I8418" s="23">
        <v>1472.049</v>
      </c>
      <c r="J8418" s="23">
        <v>0</v>
      </c>
      <c r="K8418" s="23">
        <v>0</v>
      </c>
    </row>
    <row r="8419" spans="1:11" x14ac:dyDescent="0.25">
      <c r="A8419">
        <v>8418</v>
      </c>
      <c r="B8419" s="23">
        <v>1365.124</v>
      </c>
      <c r="C8419" s="23">
        <v>2.94</v>
      </c>
      <c r="D8419" s="23">
        <v>0</v>
      </c>
      <c r="E8419" s="23">
        <v>0</v>
      </c>
      <c r="F8419" s="23">
        <v>0</v>
      </c>
      <c r="G8419" s="23">
        <v>0</v>
      </c>
      <c r="H8419" s="23">
        <v>0</v>
      </c>
      <c r="I8419" s="23">
        <v>0</v>
      </c>
      <c r="J8419" s="23">
        <v>0</v>
      </c>
      <c r="K8419" s="23">
        <v>1365.124</v>
      </c>
    </row>
    <row r="8420" spans="1:11" x14ac:dyDescent="0.25">
      <c r="A8420">
        <v>8419</v>
      </c>
      <c r="B8420" s="23">
        <v>1428</v>
      </c>
      <c r="C8420" s="23">
        <v>0</v>
      </c>
      <c r="D8420" s="23">
        <v>0</v>
      </c>
      <c r="E8420" s="23">
        <v>0</v>
      </c>
      <c r="F8420" s="23">
        <v>0</v>
      </c>
      <c r="G8420" s="23">
        <v>0</v>
      </c>
      <c r="H8420" s="23">
        <v>0</v>
      </c>
      <c r="I8420" s="23">
        <v>0</v>
      </c>
      <c r="J8420" s="23">
        <v>0</v>
      </c>
      <c r="K8420" s="23">
        <v>1428</v>
      </c>
    </row>
    <row r="8421" spans="1:11" x14ac:dyDescent="0.25">
      <c r="A8421">
        <v>8420</v>
      </c>
      <c r="B8421" s="23">
        <v>1173.5999999999999</v>
      </c>
      <c r="C8421" s="23">
        <v>0</v>
      </c>
      <c r="D8421" s="23">
        <v>0</v>
      </c>
      <c r="E8421" s="23">
        <v>0</v>
      </c>
      <c r="F8421" s="23">
        <v>0</v>
      </c>
      <c r="G8421" s="23">
        <v>0</v>
      </c>
      <c r="H8421" s="23">
        <v>0</v>
      </c>
      <c r="I8421" s="23">
        <v>0</v>
      </c>
      <c r="J8421" s="23">
        <v>0</v>
      </c>
      <c r="K8421" s="23">
        <v>1173.5999999999999</v>
      </c>
    </row>
    <row r="8422" spans="1:11" x14ac:dyDescent="0.25">
      <c r="A8422">
        <v>8421</v>
      </c>
      <c r="B8422" s="23">
        <v>1508</v>
      </c>
      <c r="C8422" s="23">
        <v>0</v>
      </c>
      <c r="D8422" s="23">
        <v>0</v>
      </c>
      <c r="E8422" s="23">
        <v>0</v>
      </c>
      <c r="F8422" s="23">
        <v>0</v>
      </c>
      <c r="G8422" s="23">
        <v>0</v>
      </c>
      <c r="H8422" s="23">
        <v>0</v>
      </c>
      <c r="I8422" s="23">
        <v>1508</v>
      </c>
      <c r="J8422" s="23">
        <v>0</v>
      </c>
      <c r="K8422" s="23">
        <v>0</v>
      </c>
    </row>
    <row r="8423" spans="1:11" x14ac:dyDescent="0.25">
      <c r="A8423">
        <v>8422</v>
      </c>
      <c r="B8423" s="23">
        <v>1451.2</v>
      </c>
      <c r="C8423" s="23">
        <v>0</v>
      </c>
      <c r="D8423" s="23">
        <v>0</v>
      </c>
      <c r="E8423" s="23">
        <v>0</v>
      </c>
      <c r="F8423" s="23">
        <v>0</v>
      </c>
      <c r="G8423" s="23">
        <v>0</v>
      </c>
      <c r="H8423" s="23">
        <v>0</v>
      </c>
      <c r="I8423" s="23">
        <v>1451.2</v>
      </c>
      <c r="J8423" s="23">
        <v>0</v>
      </c>
      <c r="K8423" s="23">
        <v>0</v>
      </c>
    </row>
    <row r="8424" spans="1:11" x14ac:dyDescent="0.25">
      <c r="A8424">
        <v>8423</v>
      </c>
      <c r="B8424" s="23">
        <v>1724</v>
      </c>
      <c r="C8424" s="23">
        <v>0</v>
      </c>
      <c r="D8424" s="23">
        <v>0</v>
      </c>
      <c r="E8424" s="23">
        <v>0</v>
      </c>
      <c r="F8424" s="23">
        <v>0</v>
      </c>
      <c r="G8424" s="23">
        <v>0</v>
      </c>
      <c r="H8424" s="23">
        <v>0</v>
      </c>
      <c r="I8424" s="23">
        <v>1724</v>
      </c>
      <c r="J8424" s="23">
        <v>0</v>
      </c>
      <c r="K8424" s="23">
        <v>0</v>
      </c>
    </row>
    <row r="8425" spans="1:11" x14ac:dyDescent="0.25">
      <c r="A8425">
        <v>8424</v>
      </c>
      <c r="B8425" s="23">
        <v>1598.4</v>
      </c>
      <c r="C8425" s="23">
        <v>0</v>
      </c>
      <c r="D8425" s="23">
        <v>0</v>
      </c>
      <c r="E8425" s="23">
        <v>0</v>
      </c>
      <c r="F8425" s="23">
        <v>0</v>
      </c>
      <c r="G8425" s="23">
        <v>0</v>
      </c>
      <c r="H8425" s="23">
        <v>0</v>
      </c>
      <c r="I8425" s="23">
        <v>1598.4</v>
      </c>
      <c r="J8425" s="23">
        <v>0</v>
      </c>
      <c r="K8425" s="23">
        <v>0</v>
      </c>
    </row>
    <row r="8426" spans="1:11" x14ac:dyDescent="0.25">
      <c r="A8426">
        <v>8425</v>
      </c>
      <c r="B8426" s="23">
        <v>1463.2</v>
      </c>
      <c r="C8426" s="23">
        <v>0</v>
      </c>
      <c r="D8426" s="23">
        <v>0</v>
      </c>
      <c r="E8426" s="23">
        <v>0</v>
      </c>
      <c r="F8426" s="23">
        <v>0</v>
      </c>
      <c r="G8426" s="23">
        <v>0</v>
      </c>
      <c r="H8426" s="23">
        <v>0</v>
      </c>
      <c r="I8426" s="23">
        <v>1463.2</v>
      </c>
      <c r="J8426" s="23">
        <v>0</v>
      </c>
      <c r="K8426" s="23">
        <v>0</v>
      </c>
    </row>
    <row r="8427" spans="1:11" x14ac:dyDescent="0.25">
      <c r="A8427">
        <v>8426</v>
      </c>
      <c r="B8427" s="23">
        <v>1581.6</v>
      </c>
      <c r="C8427" s="23">
        <v>0</v>
      </c>
      <c r="D8427" s="23">
        <v>0</v>
      </c>
      <c r="E8427" s="23">
        <v>0</v>
      </c>
      <c r="F8427" s="23">
        <v>0</v>
      </c>
      <c r="G8427" s="23">
        <v>0</v>
      </c>
      <c r="H8427" s="23">
        <v>0</v>
      </c>
      <c r="I8427" s="23">
        <v>1581.6</v>
      </c>
      <c r="J8427" s="23">
        <v>0</v>
      </c>
      <c r="K8427" s="23">
        <v>0</v>
      </c>
    </row>
    <row r="8428" spans="1:11" x14ac:dyDescent="0.25">
      <c r="A8428">
        <v>8427</v>
      </c>
      <c r="B8428" s="23">
        <v>1542.4</v>
      </c>
      <c r="C8428" s="23">
        <v>0</v>
      </c>
      <c r="D8428" s="23">
        <v>0</v>
      </c>
      <c r="E8428" s="23">
        <v>0</v>
      </c>
      <c r="F8428" s="23">
        <v>0</v>
      </c>
      <c r="G8428" s="23">
        <v>0</v>
      </c>
      <c r="H8428" s="23">
        <v>0</v>
      </c>
      <c r="I8428" s="23">
        <v>1542.4</v>
      </c>
      <c r="J8428" s="23">
        <v>0</v>
      </c>
      <c r="K8428" s="23">
        <v>0</v>
      </c>
    </row>
    <row r="8429" spans="1:11" x14ac:dyDescent="0.25">
      <c r="A8429">
        <v>8428</v>
      </c>
      <c r="B8429" s="23">
        <v>1321.6</v>
      </c>
      <c r="C8429" s="23">
        <v>0</v>
      </c>
      <c r="D8429" s="23">
        <v>0</v>
      </c>
      <c r="E8429" s="23">
        <v>0</v>
      </c>
      <c r="F8429" s="23">
        <v>0</v>
      </c>
      <c r="G8429" s="23">
        <v>0</v>
      </c>
      <c r="H8429" s="23">
        <v>0</v>
      </c>
      <c r="I8429" s="23">
        <v>1321.6</v>
      </c>
      <c r="J8429" s="23">
        <v>0</v>
      </c>
      <c r="K8429" s="23">
        <v>0</v>
      </c>
    </row>
    <row r="8430" spans="1:11" x14ac:dyDescent="0.25">
      <c r="A8430">
        <v>8429</v>
      </c>
      <c r="B8430" s="23">
        <v>1266.4000000000001</v>
      </c>
      <c r="C8430" s="23">
        <v>0</v>
      </c>
      <c r="D8430" s="23">
        <v>0</v>
      </c>
      <c r="E8430" s="23">
        <v>0</v>
      </c>
      <c r="F8430" s="23">
        <v>0</v>
      </c>
      <c r="G8430" s="23">
        <v>0</v>
      </c>
      <c r="H8430" s="23">
        <v>0</v>
      </c>
      <c r="I8430" s="23">
        <v>1266.4000000000001</v>
      </c>
      <c r="J8430" s="23">
        <v>0</v>
      </c>
      <c r="K8430" s="23">
        <v>0</v>
      </c>
    </row>
    <row r="8431" spans="1:11" x14ac:dyDescent="0.25">
      <c r="A8431">
        <v>8430</v>
      </c>
      <c r="B8431" s="23">
        <v>1100</v>
      </c>
      <c r="C8431" s="23">
        <v>0</v>
      </c>
      <c r="D8431" s="23">
        <v>0</v>
      </c>
      <c r="E8431" s="23">
        <v>0</v>
      </c>
      <c r="F8431" s="23">
        <v>0</v>
      </c>
      <c r="G8431" s="23">
        <v>0</v>
      </c>
      <c r="H8431" s="23">
        <v>0</v>
      </c>
      <c r="I8431" s="23">
        <v>1100</v>
      </c>
      <c r="J8431" s="23">
        <v>0</v>
      </c>
      <c r="K8431" s="23">
        <v>0</v>
      </c>
    </row>
    <row r="8432" spans="1:11" x14ac:dyDescent="0.25">
      <c r="A8432">
        <v>8431</v>
      </c>
      <c r="B8432" s="23">
        <v>1120</v>
      </c>
      <c r="C8432" s="23">
        <v>66.760000000000005</v>
      </c>
      <c r="D8432" s="23">
        <v>185.595</v>
      </c>
      <c r="E8432" s="23">
        <v>185.595</v>
      </c>
      <c r="F8432" s="23">
        <v>0</v>
      </c>
      <c r="G8432" s="23">
        <v>0</v>
      </c>
      <c r="H8432" s="23">
        <v>0</v>
      </c>
      <c r="I8432" s="23">
        <v>297.65699999999998</v>
      </c>
      <c r="J8432" s="23">
        <v>0</v>
      </c>
      <c r="K8432" s="23">
        <v>636.74699999999996</v>
      </c>
    </row>
    <row r="8433" spans="1:11" x14ac:dyDescent="0.25">
      <c r="A8433">
        <v>8432</v>
      </c>
      <c r="B8433" s="23">
        <v>977.25</v>
      </c>
      <c r="C8433" s="23">
        <v>253.67</v>
      </c>
      <c r="D8433" s="23">
        <v>1003.8</v>
      </c>
      <c r="E8433" s="23">
        <v>977.25</v>
      </c>
      <c r="F8433" s="23">
        <v>-26.55</v>
      </c>
      <c r="G8433" s="23">
        <v>0</v>
      </c>
      <c r="H8433" s="23">
        <v>0</v>
      </c>
      <c r="I8433" s="23">
        <v>0</v>
      </c>
      <c r="J8433" s="23">
        <v>0</v>
      </c>
      <c r="K8433" s="23">
        <v>0</v>
      </c>
    </row>
    <row r="8434" spans="1:11" x14ac:dyDescent="0.25">
      <c r="A8434">
        <v>8433</v>
      </c>
      <c r="B8434" s="23">
        <v>1164.4580000000001</v>
      </c>
      <c r="C8434" s="23">
        <v>446.58</v>
      </c>
      <c r="D8434" s="23">
        <v>1791.01</v>
      </c>
      <c r="E8434" s="23">
        <v>1164.4580000000001</v>
      </c>
      <c r="F8434" s="23">
        <v>-626.55200000000002</v>
      </c>
      <c r="G8434" s="23">
        <v>0</v>
      </c>
      <c r="H8434" s="23">
        <v>0</v>
      </c>
      <c r="I8434" s="23">
        <v>0</v>
      </c>
      <c r="J8434" s="23">
        <v>0</v>
      </c>
      <c r="K8434" s="23">
        <v>0</v>
      </c>
    </row>
    <row r="8435" spans="1:11" x14ac:dyDescent="0.25">
      <c r="A8435">
        <v>8434</v>
      </c>
      <c r="B8435" s="23">
        <v>1811.107</v>
      </c>
      <c r="C8435" s="23">
        <v>594.87</v>
      </c>
      <c r="D8435" s="23">
        <v>2316.4299999999998</v>
      </c>
      <c r="E8435" s="23">
        <v>1811.107</v>
      </c>
      <c r="F8435" s="23">
        <v>-505.32299999999998</v>
      </c>
      <c r="G8435" s="23">
        <v>0</v>
      </c>
      <c r="H8435" s="23">
        <v>0</v>
      </c>
      <c r="I8435" s="23">
        <v>0</v>
      </c>
      <c r="J8435" s="23">
        <v>0</v>
      </c>
      <c r="K8435" s="23">
        <v>0</v>
      </c>
    </row>
    <row r="8436" spans="1:11" x14ac:dyDescent="0.25">
      <c r="A8436">
        <v>8435</v>
      </c>
      <c r="B8436" s="23">
        <v>1589.0909999999999</v>
      </c>
      <c r="C8436" s="23">
        <v>731.6</v>
      </c>
      <c r="D8436" s="23">
        <v>2785.931</v>
      </c>
      <c r="E8436" s="23">
        <v>1589.0909999999999</v>
      </c>
      <c r="F8436" s="23">
        <v>-1196.8399999999999</v>
      </c>
      <c r="G8436" s="23">
        <v>0</v>
      </c>
      <c r="H8436" s="23">
        <v>0</v>
      </c>
      <c r="I8436" s="23">
        <v>0</v>
      </c>
      <c r="J8436" s="23">
        <v>0</v>
      </c>
      <c r="K8436" s="23">
        <v>0</v>
      </c>
    </row>
    <row r="8437" spans="1:11" x14ac:dyDescent="0.25">
      <c r="A8437">
        <v>8436</v>
      </c>
      <c r="B8437" s="23">
        <v>1463.6590000000001</v>
      </c>
      <c r="C8437" s="23">
        <v>720.34</v>
      </c>
      <c r="D8437" s="23">
        <v>2728.518</v>
      </c>
      <c r="E8437" s="23">
        <v>1463.6590000000001</v>
      </c>
      <c r="F8437" s="23">
        <v>-1264.8589999999999</v>
      </c>
      <c r="G8437" s="23">
        <v>0</v>
      </c>
      <c r="H8437" s="23">
        <v>0</v>
      </c>
      <c r="I8437" s="23">
        <v>0</v>
      </c>
      <c r="J8437" s="23">
        <v>0</v>
      </c>
      <c r="K8437" s="23">
        <v>0</v>
      </c>
    </row>
    <row r="8438" spans="1:11" x14ac:dyDescent="0.25">
      <c r="A8438">
        <v>8437</v>
      </c>
      <c r="B8438" s="23">
        <v>1438.0039999999999</v>
      </c>
      <c r="C8438" s="23">
        <v>638.71</v>
      </c>
      <c r="D8438" s="23">
        <v>2426.2440000000001</v>
      </c>
      <c r="E8438" s="23">
        <v>1438.0039999999999</v>
      </c>
      <c r="F8438" s="23">
        <v>-988.24</v>
      </c>
      <c r="G8438" s="23">
        <v>0</v>
      </c>
      <c r="H8438" s="23">
        <v>0</v>
      </c>
      <c r="I8438" s="23">
        <v>0</v>
      </c>
      <c r="J8438" s="23">
        <v>0</v>
      </c>
      <c r="K8438" s="23">
        <v>0</v>
      </c>
    </row>
    <row r="8439" spans="1:11" x14ac:dyDescent="0.25">
      <c r="A8439">
        <v>8438</v>
      </c>
      <c r="B8439" s="23">
        <v>1439.0239999999999</v>
      </c>
      <c r="C8439" s="23">
        <v>509.14</v>
      </c>
      <c r="D8439" s="23">
        <v>1953.825</v>
      </c>
      <c r="E8439" s="23">
        <v>1439.0239999999999</v>
      </c>
      <c r="F8439" s="23">
        <v>-514.80100000000004</v>
      </c>
      <c r="G8439" s="23">
        <v>0</v>
      </c>
      <c r="H8439" s="23">
        <v>0</v>
      </c>
      <c r="I8439" s="23">
        <v>0</v>
      </c>
      <c r="J8439" s="23">
        <v>0</v>
      </c>
      <c r="K8439" s="23">
        <v>0</v>
      </c>
    </row>
    <row r="8440" spans="1:11" x14ac:dyDescent="0.25">
      <c r="A8440">
        <v>8439</v>
      </c>
      <c r="B8440" s="23">
        <v>1791.1849999999999</v>
      </c>
      <c r="C8440" s="23">
        <v>237.81</v>
      </c>
      <c r="D8440" s="23">
        <v>912.774</v>
      </c>
      <c r="E8440" s="23">
        <v>912.774</v>
      </c>
      <c r="F8440" s="23">
        <v>0</v>
      </c>
      <c r="G8440" s="23">
        <v>0</v>
      </c>
      <c r="H8440" s="23">
        <v>0</v>
      </c>
      <c r="I8440" s="23">
        <v>878.41099999999994</v>
      </c>
      <c r="J8440" s="23">
        <v>0</v>
      </c>
      <c r="K8440" s="23">
        <v>0</v>
      </c>
    </row>
    <row r="8441" spans="1:11" x14ac:dyDescent="0.25">
      <c r="A8441">
        <v>8440</v>
      </c>
      <c r="B8441" s="23">
        <v>1612.223</v>
      </c>
      <c r="C8441" s="23">
        <v>143.15</v>
      </c>
      <c r="D8441" s="23">
        <v>543.94899999999996</v>
      </c>
      <c r="E8441" s="23">
        <v>543.94899999999996</v>
      </c>
      <c r="F8441" s="23">
        <v>0</v>
      </c>
      <c r="G8441" s="23">
        <v>0</v>
      </c>
      <c r="H8441" s="23">
        <v>0</v>
      </c>
      <c r="I8441" s="23">
        <v>1068.2739999999999</v>
      </c>
      <c r="J8441" s="23">
        <v>0</v>
      </c>
      <c r="K8441" s="23">
        <v>0</v>
      </c>
    </row>
    <row r="8442" spans="1:11" x14ac:dyDescent="0.25">
      <c r="A8442">
        <v>8441</v>
      </c>
      <c r="B8442" s="23">
        <v>1277.059</v>
      </c>
      <c r="C8442" s="23">
        <v>24.49</v>
      </c>
      <c r="D8442" s="23">
        <v>70.399000000000001</v>
      </c>
      <c r="E8442" s="23">
        <v>70.399000000000001</v>
      </c>
      <c r="F8442" s="23">
        <v>0</v>
      </c>
      <c r="G8442" s="23">
        <v>0</v>
      </c>
      <c r="H8442" s="23">
        <v>0</v>
      </c>
      <c r="I8442" s="23">
        <v>1206.6600000000001</v>
      </c>
      <c r="J8442" s="23">
        <v>0</v>
      </c>
      <c r="K8442" s="23">
        <v>0</v>
      </c>
    </row>
    <row r="8443" spans="1:11" x14ac:dyDescent="0.25">
      <c r="A8443">
        <v>8442</v>
      </c>
      <c r="B8443" s="23">
        <v>1399.92</v>
      </c>
      <c r="C8443" s="23">
        <v>1.96</v>
      </c>
      <c r="D8443" s="23">
        <v>0</v>
      </c>
      <c r="E8443" s="23">
        <v>0</v>
      </c>
      <c r="F8443" s="23">
        <v>0</v>
      </c>
      <c r="G8443" s="23">
        <v>0</v>
      </c>
      <c r="H8443" s="23">
        <v>0</v>
      </c>
      <c r="I8443" s="23">
        <v>0</v>
      </c>
      <c r="J8443" s="23">
        <v>0</v>
      </c>
      <c r="K8443" s="23">
        <v>1399.92</v>
      </c>
    </row>
    <row r="8444" spans="1:11" x14ac:dyDescent="0.25">
      <c r="A8444">
        <v>8443</v>
      </c>
      <c r="B8444" s="23">
        <v>1373.6</v>
      </c>
      <c r="C8444" s="23">
        <v>0</v>
      </c>
      <c r="D8444" s="23">
        <v>0</v>
      </c>
      <c r="E8444" s="23">
        <v>0</v>
      </c>
      <c r="F8444" s="23">
        <v>0</v>
      </c>
      <c r="G8444" s="23">
        <v>0</v>
      </c>
      <c r="H8444" s="23">
        <v>0</v>
      </c>
      <c r="I8444" s="23">
        <v>0</v>
      </c>
      <c r="J8444" s="23">
        <v>0</v>
      </c>
      <c r="K8444" s="23">
        <v>1373.6</v>
      </c>
    </row>
    <row r="8445" spans="1:11" x14ac:dyDescent="0.25">
      <c r="A8445">
        <v>8444</v>
      </c>
      <c r="B8445" s="23">
        <v>1170.4000000000001</v>
      </c>
      <c r="C8445" s="23">
        <v>0</v>
      </c>
      <c r="D8445" s="23">
        <v>0</v>
      </c>
      <c r="E8445" s="23">
        <v>0</v>
      </c>
      <c r="F8445" s="23">
        <v>0</v>
      </c>
      <c r="G8445" s="23">
        <v>0</v>
      </c>
      <c r="H8445" s="23">
        <v>0</v>
      </c>
      <c r="I8445" s="23">
        <v>0</v>
      </c>
      <c r="J8445" s="23">
        <v>0</v>
      </c>
      <c r="K8445" s="23">
        <v>1170.4000000000001</v>
      </c>
    </row>
    <row r="8446" spans="1:11" x14ac:dyDescent="0.25">
      <c r="A8446">
        <v>8445</v>
      </c>
      <c r="B8446" s="23">
        <v>1194.4000000000001</v>
      </c>
      <c r="C8446" s="23">
        <v>0</v>
      </c>
      <c r="D8446" s="23">
        <v>0</v>
      </c>
      <c r="E8446" s="23">
        <v>0</v>
      </c>
      <c r="F8446" s="23">
        <v>0</v>
      </c>
      <c r="G8446" s="23">
        <v>0</v>
      </c>
      <c r="H8446" s="23">
        <v>0</v>
      </c>
      <c r="I8446" s="23">
        <v>1194.4000000000001</v>
      </c>
      <c r="J8446" s="23">
        <v>0</v>
      </c>
      <c r="K8446" s="23">
        <v>0</v>
      </c>
    </row>
    <row r="8447" spans="1:11" x14ac:dyDescent="0.25">
      <c r="A8447">
        <v>8446</v>
      </c>
      <c r="B8447" s="23">
        <v>1397.6</v>
      </c>
      <c r="C8447" s="23">
        <v>0</v>
      </c>
      <c r="D8447" s="23">
        <v>0</v>
      </c>
      <c r="E8447" s="23">
        <v>0</v>
      </c>
      <c r="F8447" s="23">
        <v>0</v>
      </c>
      <c r="G8447" s="23">
        <v>0</v>
      </c>
      <c r="H8447" s="23">
        <v>0</v>
      </c>
      <c r="I8447" s="23">
        <v>1397.6</v>
      </c>
      <c r="J8447" s="23">
        <v>0</v>
      </c>
      <c r="K8447" s="23">
        <v>0</v>
      </c>
    </row>
    <row r="8448" spans="1:11" x14ac:dyDescent="0.25">
      <c r="A8448">
        <v>8447</v>
      </c>
      <c r="B8448" s="23">
        <v>1476</v>
      </c>
      <c r="C8448" s="23">
        <v>0</v>
      </c>
      <c r="D8448" s="23">
        <v>0</v>
      </c>
      <c r="E8448" s="23">
        <v>0</v>
      </c>
      <c r="F8448" s="23">
        <v>0</v>
      </c>
      <c r="G8448" s="23">
        <v>0</v>
      </c>
      <c r="H8448" s="23">
        <v>0</v>
      </c>
      <c r="I8448" s="23">
        <v>1476</v>
      </c>
      <c r="J8448" s="23">
        <v>0</v>
      </c>
      <c r="K8448" s="23">
        <v>0</v>
      </c>
    </row>
    <row r="8449" spans="1:11" x14ac:dyDescent="0.25">
      <c r="A8449">
        <v>8448</v>
      </c>
      <c r="B8449" s="23">
        <v>1419.2</v>
      </c>
      <c r="C8449" s="23">
        <v>0</v>
      </c>
      <c r="D8449" s="23">
        <v>0</v>
      </c>
      <c r="E8449" s="23">
        <v>0</v>
      </c>
      <c r="F8449" s="23">
        <v>0</v>
      </c>
      <c r="G8449" s="23">
        <v>0</v>
      </c>
      <c r="H8449" s="23">
        <v>0</v>
      </c>
      <c r="I8449" s="23">
        <v>1419.2</v>
      </c>
      <c r="J8449" s="23">
        <v>0</v>
      </c>
      <c r="K8449" s="23">
        <v>0</v>
      </c>
    </row>
    <row r="8450" spans="1:11" x14ac:dyDescent="0.25">
      <c r="A8450">
        <v>8449</v>
      </c>
      <c r="B8450" s="23">
        <v>1497.6</v>
      </c>
      <c r="C8450" s="23">
        <v>0</v>
      </c>
      <c r="D8450" s="23">
        <v>0</v>
      </c>
      <c r="E8450" s="23">
        <v>0</v>
      </c>
      <c r="F8450" s="23">
        <v>0</v>
      </c>
      <c r="G8450" s="23">
        <v>0</v>
      </c>
      <c r="H8450" s="23">
        <v>0</v>
      </c>
      <c r="I8450" s="23">
        <v>1497.6</v>
      </c>
      <c r="J8450" s="23">
        <v>0</v>
      </c>
      <c r="K8450" s="23">
        <v>0</v>
      </c>
    </row>
    <row r="8451" spans="1:11" x14ac:dyDescent="0.25">
      <c r="A8451">
        <v>8450</v>
      </c>
      <c r="B8451" s="23">
        <v>1310.4000000000001</v>
      </c>
      <c r="C8451" s="23">
        <v>0</v>
      </c>
      <c r="D8451" s="23">
        <v>0</v>
      </c>
      <c r="E8451" s="23">
        <v>0</v>
      </c>
      <c r="F8451" s="23">
        <v>0</v>
      </c>
      <c r="G8451" s="23">
        <v>0</v>
      </c>
      <c r="H8451" s="23">
        <v>0</v>
      </c>
      <c r="I8451" s="23">
        <v>1310.4000000000001</v>
      </c>
      <c r="J8451" s="23">
        <v>0</v>
      </c>
      <c r="K8451" s="23">
        <v>0</v>
      </c>
    </row>
    <row r="8452" spans="1:11" x14ac:dyDescent="0.25">
      <c r="A8452">
        <v>8451</v>
      </c>
      <c r="B8452" s="23">
        <v>1341.6</v>
      </c>
      <c r="C8452" s="23">
        <v>0</v>
      </c>
      <c r="D8452" s="23">
        <v>0</v>
      </c>
      <c r="E8452" s="23">
        <v>0</v>
      </c>
      <c r="F8452" s="23">
        <v>0</v>
      </c>
      <c r="G8452" s="23">
        <v>0</v>
      </c>
      <c r="H8452" s="23">
        <v>0</v>
      </c>
      <c r="I8452" s="23">
        <v>1341.6</v>
      </c>
      <c r="J8452" s="23">
        <v>0</v>
      </c>
      <c r="K8452" s="23">
        <v>0</v>
      </c>
    </row>
    <row r="8453" spans="1:11" x14ac:dyDescent="0.25">
      <c r="A8453">
        <v>8452</v>
      </c>
      <c r="B8453" s="23">
        <v>1416</v>
      </c>
      <c r="C8453" s="23">
        <v>0</v>
      </c>
      <c r="D8453" s="23">
        <v>0</v>
      </c>
      <c r="E8453" s="23">
        <v>0</v>
      </c>
      <c r="F8453" s="23">
        <v>0</v>
      </c>
      <c r="G8453" s="23">
        <v>0</v>
      </c>
      <c r="H8453" s="23">
        <v>0</v>
      </c>
      <c r="I8453" s="23">
        <v>1416</v>
      </c>
      <c r="J8453" s="23">
        <v>0</v>
      </c>
      <c r="K8453" s="23">
        <v>0</v>
      </c>
    </row>
    <row r="8454" spans="1:11" x14ac:dyDescent="0.25">
      <c r="A8454">
        <v>8453</v>
      </c>
      <c r="B8454" s="23">
        <v>957.6</v>
      </c>
      <c r="C8454" s="23">
        <v>0</v>
      </c>
      <c r="D8454" s="23">
        <v>0</v>
      </c>
      <c r="E8454" s="23">
        <v>0</v>
      </c>
      <c r="F8454" s="23">
        <v>0</v>
      </c>
      <c r="G8454" s="23">
        <v>0</v>
      </c>
      <c r="H8454" s="23">
        <v>0</v>
      </c>
      <c r="I8454" s="23">
        <v>957.6</v>
      </c>
      <c r="J8454" s="23">
        <v>0</v>
      </c>
      <c r="K8454" s="23">
        <v>0</v>
      </c>
    </row>
    <row r="8455" spans="1:11" x14ac:dyDescent="0.25">
      <c r="A8455">
        <v>8454</v>
      </c>
      <c r="B8455" s="23">
        <v>1168</v>
      </c>
      <c r="C8455" s="23">
        <v>0</v>
      </c>
      <c r="D8455" s="23">
        <v>0</v>
      </c>
      <c r="E8455" s="23">
        <v>0</v>
      </c>
      <c r="F8455" s="23">
        <v>0</v>
      </c>
      <c r="G8455" s="23">
        <v>0</v>
      </c>
      <c r="H8455" s="23">
        <v>0</v>
      </c>
      <c r="I8455" s="23">
        <v>1168</v>
      </c>
      <c r="J8455" s="23">
        <v>0</v>
      </c>
      <c r="K8455" s="23">
        <v>0</v>
      </c>
    </row>
    <row r="8456" spans="1:11" x14ac:dyDescent="0.25">
      <c r="A8456">
        <v>8455</v>
      </c>
      <c r="B8456" s="23">
        <v>1116.8</v>
      </c>
      <c r="C8456" s="23">
        <v>70.849999999999994</v>
      </c>
      <c r="D8456" s="23">
        <v>198.417</v>
      </c>
      <c r="E8456" s="23">
        <v>198.417</v>
      </c>
      <c r="F8456" s="23">
        <v>0</v>
      </c>
      <c r="G8456" s="23">
        <v>0</v>
      </c>
      <c r="H8456" s="23">
        <v>0</v>
      </c>
      <c r="I8456" s="23">
        <v>747.822</v>
      </c>
      <c r="J8456" s="23">
        <v>0</v>
      </c>
      <c r="K8456" s="23">
        <v>170.56100000000001</v>
      </c>
    </row>
    <row r="8457" spans="1:11" x14ac:dyDescent="0.25">
      <c r="A8457">
        <v>8456</v>
      </c>
      <c r="B8457" s="23">
        <v>1100.114</v>
      </c>
      <c r="C8457" s="23">
        <v>267.27</v>
      </c>
      <c r="D8457" s="23">
        <v>1056.444</v>
      </c>
      <c r="E8457" s="23">
        <v>1056.444</v>
      </c>
      <c r="F8457" s="23">
        <v>0</v>
      </c>
      <c r="G8457" s="23">
        <v>0</v>
      </c>
      <c r="H8457" s="23">
        <v>0</v>
      </c>
      <c r="I8457" s="23">
        <v>0</v>
      </c>
      <c r="J8457" s="23">
        <v>0</v>
      </c>
      <c r="K8457" s="23">
        <v>43.67</v>
      </c>
    </row>
    <row r="8458" spans="1:11" x14ac:dyDescent="0.25">
      <c r="A8458">
        <v>8457</v>
      </c>
      <c r="B8458" s="23">
        <v>1505.134</v>
      </c>
      <c r="C8458" s="23">
        <v>451.1</v>
      </c>
      <c r="D8458" s="23">
        <v>1812.5519999999999</v>
      </c>
      <c r="E8458" s="23">
        <v>1505.134</v>
      </c>
      <c r="F8458" s="23">
        <v>-307.41800000000001</v>
      </c>
      <c r="G8458" s="23">
        <v>0</v>
      </c>
      <c r="H8458" s="23">
        <v>0</v>
      </c>
      <c r="I8458" s="23">
        <v>0</v>
      </c>
      <c r="J8458" s="23">
        <v>0</v>
      </c>
      <c r="K8458" s="23">
        <v>0</v>
      </c>
    </row>
    <row r="8459" spans="1:11" x14ac:dyDescent="0.25">
      <c r="A8459">
        <v>8458</v>
      </c>
      <c r="B8459" s="23">
        <v>1372.623</v>
      </c>
      <c r="C8459" s="23">
        <v>595.54</v>
      </c>
      <c r="D8459" s="23">
        <v>2326.6529999999998</v>
      </c>
      <c r="E8459" s="23">
        <v>1372.623</v>
      </c>
      <c r="F8459" s="23">
        <v>-954.03</v>
      </c>
      <c r="G8459" s="23">
        <v>0</v>
      </c>
      <c r="H8459" s="23">
        <v>0</v>
      </c>
      <c r="I8459" s="23">
        <v>0</v>
      </c>
      <c r="J8459" s="23">
        <v>0</v>
      </c>
      <c r="K8459" s="23">
        <v>0</v>
      </c>
    </row>
    <row r="8460" spans="1:11" x14ac:dyDescent="0.25">
      <c r="A8460">
        <v>8459</v>
      </c>
      <c r="B8460" s="23">
        <v>1730.8140000000001</v>
      </c>
      <c r="C8460" s="23">
        <v>676.3</v>
      </c>
      <c r="D8460" s="23">
        <v>2589.482</v>
      </c>
      <c r="E8460" s="23">
        <v>1730.8140000000001</v>
      </c>
      <c r="F8460" s="23">
        <v>-858.66800000000001</v>
      </c>
      <c r="G8460" s="23">
        <v>0</v>
      </c>
      <c r="H8460" s="23">
        <v>0</v>
      </c>
      <c r="I8460" s="23">
        <v>0</v>
      </c>
      <c r="J8460" s="23">
        <v>0</v>
      </c>
      <c r="K8460" s="23">
        <v>0</v>
      </c>
    </row>
    <row r="8461" spans="1:11" x14ac:dyDescent="0.25">
      <c r="A8461">
        <v>8460</v>
      </c>
      <c r="B8461" s="23">
        <v>1451.75</v>
      </c>
      <c r="C8461" s="23">
        <v>672.88</v>
      </c>
      <c r="D8461" s="23">
        <v>2559.5770000000002</v>
      </c>
      <c r="E8461" s="23">
        <v>1451.75</v>
      </c>
      <c r="F8461" s="23">
        <v>-1107.827</v>
      </c>
      <c r="G8461" s="23">
        <v>0</v>
      </c>
      <c r="H8461" s="23">
        <v>0</v>
      </c>
      <c r="I8461" s="23">
        <v>0</v>
      </c>
      <c r="J8461" s="23">
        <v>0</v>
      </c>
      <c r="K8461" s="23">
        <v>0</v>
      </c>
    </row>
    <row r="8462" spans="1:11" x14ac:dyDescent="0.25">
      <c r="A8462">
        <v>8461</v>
      </c>
      <c r="B8462" s="23">
        <v>1419.6089999999999</v>
      </c>
      <c r="C8462" s="23">
        <v>485.51</v>
      </c>
      <c r="D8462" s="23">
        <v>1858.7439999999999</v>
      </c>
      <c r="E8462" s="23">
        <v>1419.6089999999999</v>
      </c>
      <c r="F8462" s="23">
        <v>-439.13499999999999</v>
      </c>
      <c r="G8462" s="23">
        <v>0</v>
      </c>
      <c r="H8462" s="23">
        <v>0</v>
      </c>
      <c r="I8462" s="23">
        <v>0</v>
      </c>
      <c r="J8462" s="23">
        <v>0</v>
      </c>
      <c r="K8462" s="23">
        <v>0</v>
      </c>
    </row>
    <row r="8463" spans="1:11" x14ac:dyDescent="0.25">
      <c r="A8463">
        <v>8462</v>
      </c>
      <c r="B8463" s="23">
        <v>1566.8579999999999</v>
      </c>
      <c r="C8463" s="23">
        <v>594.47</v>
      </c>
      <c r="D8463" s="23">
        <v>2273.6370000000002</v>
      </c>
      <c r="E8463" s="23">
        <v>1566.8579999999999</v>
      </c>
      <c r="F8463" s="23">
        <v>-706.779</v>
      </c>
      <c r="G8463" s="23">
        <v>0</v>
      </c>
      <c r="H8463" s="23">
        <v>0</v>
      </c>
      <c r="I8463" s="23">
        <v>0</v>
      </c>
      <c r="J8463" s="23">
        <v>0</v>
      </c>
      <c r="K8463" s="23">
        <v>0</v>
      </c>
    </row>
    <row r="8464" spans="1:11" x14ac:dyDescent="0.25">
      <c r="A8464">
        <v>8463</v>
      </c>
      <c r="B8464" s="23">
        <v>1497.729</v>
      </c>
      <c r="C8464" s="23">
        <v>440.64</v>
      </c>
      <c r="D8464" s="23">
        <v>1711.819</v>
      </c>
      <c r="E8464" s="23">
        <v>1497.729</v>
      </c>
      <c r="F8464" s="23">
        <v>-214.09</v>
      </c>
      <c r="G8464" s="23">
        <v>0</v>
      </c>
      <c r="H8464" s="23">
        <v>0</v>
      </c>
      <c r="I8464" s="23">
        <v>0</v>
      </c>
      <c r="J8464" s="23">
        <v>0</v>
      </c>
      <c r="K8464" s="23">
        <v>0</v>
      </c>
    </row>
    <row r="8465" spans="1:11" x14ac:dyDescent="0.25">
      <c r="A8465">
        <v>8464</v>
      </c>
      <c r="B8465" s="23">
        <v>1156.838</v>
      </c>
      <c r="C8465" s="23">
        <v>303.14</v>
      </c>
      <c r="D8465" s="23">
        <v>1196.462</v>
      </c>
      <c r="E8465" s="23">
        <v>1156.838</v>
      </c>
      <c r="F8465" s="23">
        <v>-39.624000000000002</v>
      </c>
      <c r="G8465" s="23">
        <v>0</v>
      </c>
      <c r="H8465" s="23">
        <v>0</v>
      </c>
      <c r="I8465" s="23">
        <v>0</v>
      </c>
      <c r="J8465" s="23">
        <v>0</v>
      </c>
      <c r="K8465" s="23">
        <v>0</v>
      </c>
    </row>
    <row r="8466" spans="1:11" x14ac:dyDescent="0.25">
      <c r="A8466">
        <v>8465</v>
      </c>
      <c r="B8466" s="23">
        <v>1305.3589999999999</v>
      </c>
      <c r="C8466" s="23">
        <v>102.76</v>
      </c>
      <c r="D8466" s="23">
        <v>380.85599999999999</v>
      </c>
      <c r="E8466" s="23">
        <v>380.85599999999999</v>
      </c>
      <c r="F8466" s="23">
        <v>0</v>
      </c>
      <c r="G8466" s="23">
        <v>0</v>
      </c>
      <c r="H8466" s="23">
        <v>0</v>
      </c>
      <c r="I8466" s="23">
        <v>924.50300000000004</v>
      </c>
      <c r="J8466" s="23">
        <v>0</v>
      </c>
      <c r="K8466" s="23">
        <v>0</v>
      </c>
    </row>
    <row r="8467" spans="1:11" x14ac:dyDescent="0.25">
      <c r="A8467">
        <v>8466</v>
      </c>
      <c r="B8467" s="23">
        <v>1419.829</v>
      </c>
      <c r="C8467" s="23">
        <v>4.8899999999999997</v>
      </c>
      <c r="D8467" s="23">
        <v>0</v>
      </c>
      <c r="E8467" s="23">
        <v>0</v>
      </c>
      <c r="F8467" s="23">
        <v>0</v>
      </c>
      <c r="G8467" s="23">
        <v>0</v>
      </c>
      <c r="H8467" s="23">
        <v>0</v>
      </c>
      <c r="I8467" s="23">
        <v>0</v>
      </c>
      <c r="J8467" s="23">
        <v>0</v>
      </c>
      <c r="K8467" s="23">
        <v>1419.829</v>
      </c>
    </row>
    <row r="8468" spans="1:11" x14ac:dyDescent="0.25">
      <c r="A8468">
        <v>8467</v>
      </c>
      <c r="B8468" s="23">
        <v>1196</v>
      </c>
      <c r="C8468" s="23">
        <v>0</v>
      </c>
      <c r="D8468" s="23">
        <v>0</v>
      </c>
      <c r="E8468" s="23">
        <v>0</v>
      </c>
      <c r="F8468" s="23">
        <v>0</v>
      </c>
      <c r="G8468" s="23">
        <v>0</v>
      </c>
      <c r="H8468" s="23">
        <v>0</v>
      </c>
      <c r="I8468" s="23">
        <v>0</v>
      </c>
      <c r="J8468" s="23">
        <v>0</v>
      </c>
      <c r="K8468" s="23">
        <v>1196</v>
      </c>
    </row>
    <row r="8469" spans="1:11" x14ac:dyDescent="0.25">
      <c r="A8469">
        <v>8468</v>
      </c>
      <c r="B8469" s="23">
        <v>1183.2</v>
      </c>
      <c r="C8469" s="23">
        <v>0</v>
      </c>
      <c r="D8469" s="23">
        <v>0</v>
      </c>
      <c r="E8469" s="23">
        <v>0</v>
      </c>
      <c r="F8469" s="23">
        <v>0</v>
      </c>
      <c r="G8469" s="23">
        <v>0</v>
      </c>
      <c r="H8469" s="23">
        <v>0</v>
      </c>
      <c r="I8469" s="23">
        <v>0</v>
      </c>
      <c r="J8469" s="23">
        <v>0</v>
      </c>
      <c r="K8469" s="23">
        <v>1183.2</v>
      </c>
    </row>
    <row r="8470" spans="1:11" x14ac:dyDescent="0.25">
      <c r="A8470">
        <v>8469</v>
      </c>
      <c r="B8470" s="23">
        <v>1408.8</v>
      </c>
      <c r="C8470" s="23">
        <v>0</v>
      </c>
      <c r="D8470" s="23">
        <v>0</v>
      </c>
      <c r="E8470" s="23">
        <v>0</v>
      </c>
      <c r="F8470" s="23">
        <v>0</v>
      </c>
      <c r="G8470" s="23">
        <v>0</v>
      </c>
      <c r="H8470" s="23">
        <v>0</v>
      </c>
      <c r="I8470" s="23">
        <v>1408.8</v>
      </c>
      <c r="J8470" s="23">
        <v>0</v>
      </c>
      <c r="K8470" s="23">
        <v>0</v>
      </c>
    </row>
    <row r="8471" spans="1:11" x14ac:dyDescent="0.25">
      <c r="A8471">
        <v>8470</v>
      </c>
      <c r="B8471" s="23">
        <v>1412</v>
      </c>
      <c r="C8471" s="23">
        <v>0</v>
      </c>
      <c r="D8471" s="23">
        <v>0</v>
      </c>
      <c r="E8471" s="23">
        <v>0</v>
      </c>
      <c r="F8471" s="23">
        <v>0</v>
      </c>
      <c r="G8471" s="23">
        <v>0</v>
      </c>
      <c r="H8471" s="23">
        <v>0</v>
      </c>
      <c r="I8471" s="23">
        <v>1412</v>
      </c>
      <c r="J8471" s="23">
        <v>0</v>
      </c>
      <c r="K8471" s="23">
        <v>0</v>
      </c>
    </row>
    <row r="8472" spans="1:11" x14ac:dyDescent="0.25">
      <c r="A8472">
        <v>8471</v>
      </c>
      <c r="B8472" s="23">
        <v>1347.2</v>
      </c>
      <c r="C8472" s="23">
        <v>0</v>
      </c>
      <c r="D8472" s="23">
        <v>0</v>
      </c>
      <c r="E8472" s="23">
        <v>0</v>
      </c>
      <c r="F8472" s="23">
        <v>0</v>
      </c>
      <c r="G8472" s="23">
        <v>0</v>
      </c>
      <c r="H8472" s="23">
        <v>0</v>
      </c>
      <c r="I8472" s="23">
        <v>1347.2</v>
      </c>
      <c r="J8472" s="23">
        <v>0</v>
      </c>
      <c r="K8472" s="23">
        <v>0</v>
      </c>
    </row>
    <row r="8473" spans="1:11" x14ac:dyDescent="0.25">
      <c r="A8473">
        <v>8472</v>
      </c>
      <c r="B8473" s="23">
        <v>1276</v>
      </c>
      <c r="C8473" s="23">
        <v>0</v>
      </c>
      <c r="D8473" s="23">
        <v>0</v>
      </c>
      <c r="E8473" s="23">
        <v>0</v>
      </c>
      <c r="F8473" s="23">
        <v>0</v>
      </c>
      <c r="G8473" s="23">
        <v>0</v>
      </c>
      <c r="H8473" s="23">
        <v>0</v>
      </c>
      <c r="I8473" s="23">
        <v>1276</v>
      </c>
      <c r="J8473" s="23">
        <v>0</v>
      </c>
      <c r="K8473" s="23">
        <v>0</v>
      </c>
    </row>
    <row r="8474" spans="1:11" x14ac:dyDescent="0.25">
      <c r="A8474">
        <v>8473</v>
      </c>
      <c r="B8474" s="23">
        <v>1184</v>
      </c>
      <c r="C8474" s="23">
        <v>0</v>
      </c>
      <c r="D8474" s="23">
        <v>0</v>
      </c>
      <c r="E8474" s="23">
        <v>0</v>
      </c>
      <c r="F8474" s="23">
        <v>0</v>
      </c>
      <c r="G8474" s="23">
        <v>0</v>
      </c>
      <c r="H8474" s="23">
        <v>0</v>
      </c>
      <c r="I8474" s="23">
        <v>1184</v>
      </c>
      <c r="J8474" s="23">
        <v>0</v>
      </c>
      <c r="K8474" s="23">
        <v>0</v>
      </c>
    </row>
    <row r="8475" spans="1:11" x14ac:dyDescent="0.25">
      <c r="A8475">
        <v>8474</v>
      </c>
      <c r="B8475" s="23">
        <v>1453.6</v>
      </c>
      <c r="C8475" s="23">
        <v>0</v>
      </c>
      <c r="D8475" s="23">
        <v>0</v>
      </c>
      <c r="E8475" s="23">
        <v>0</v>
      </c>
      <c r="F8475" s="23">
        <v>0</v>
      </c>
      <c r="G8475" s="23">
        <v>0</v>
      </c>
      <c r="H8475" s="23">
        <v>0</v>
      </c>
      <c r="I8475" s="23">
        <v>1453.6</v>
      </c>
      <c r="J8475" s="23">
        <v>0</v>
      </c>
      <c r="K8475" s="23">
        <v>0</v>
      </c>
    </row>
    <row r="8476" spans="1:11" x14ac:dyDescent="0.25">
      <c r="A8476">
        <v>8475</v>
      </c>
      <c r="B8476" s="23">
        <v>1312.8</v>
      </c>
      <c r="C8476" s="23">
        <v>0</v>
      </c>
      <c r="D8476" s="23">
        <v>0</v>
      </c>
      <c r="E8476" s="23">
        <v>0</v>
      </c>
      <c r="F8476" s="23">
        <v>0</v>
      </c>
      <c r="G8476" s="23">
        <v>0</v>
      </c>
      <c r="H8476" s="23">
        <v>0</v>
      </c>
      <c r="I8476" s="23">
        <v>1312.8</v>
      </c>
      <c r="J8476" s="23">
        <v>0</v>
      </c>
      <c r="K8476" s="23">
        <v>0</v>
      </c>
    </row>
    <row r="8477" spans="1:11" x14ac:dyDescent="0.25">
      <c r="A8477">
        <v>8476</v>
      </c>
      <c r="B8477" s="23">
        <v>1127.2</v>
      </c>
      <c r="C8477" s="23">
        <v>0</v>
      </c>
      <c r="D8477" s="23">
        <v>0</v>
      </c>
      <c r="E8477" s="23">
        <v>0</v>
      </c>
      <c r="F8477" s="23">
        <v>0</v>
      </c>
      <c r="G8477" s="23">
        <v>0</v>
      </c>
      <c r="H8477" s="23">
        <v>0</v>
      </c>
      <c r="I8477" s="23">
        <v>1127.2</v>
      </c>
      <c r="J8477" s="23">
        <v>0</v>
      </c>
      <c r="K8477" s="23">
        <v>0</v>
      </c>
    </row>
    <row r="8478" spans="1:11" x14ac:dyDescent="0.25">
      <c r="A8478">
        <v>8477</v>
      </c>
      <c r="B8478" s="23">
        <v>1457.6</v>
      </c>
      <c r="C8478" s="23">
        <v>0</v>
      </c>
      <c r="D8478" s="23">
        <v>0</v>
      </c>
      <c r="E8478" s="23">
        <v>0</v>
      </c>
      <c r="F8478" s="23">
        <v>0</v>
      </c>
      <c r="G8478" s="23">
        <v>0</v>
      </c>
      <c r="H8478" s="23">
        <v>0</v>
      </c>
      <c r="I8478" s="23">
        <v>1457.6</v>
      </c>
      <c r="J8478" s="23">
        <v>0</v>
      </c>
      <c r="K8478" s="23">
        <v>0</v>
      </c>
    </row>
    <row r="8479" spans="1:11" x14ac:dyDescent="0.25">
      <c r="A8479">
        <v>8478</v>
      </c>
      <c r="B8479" s="23">
        <v>1394.4</v>
      </c>
      <c r="C8479" s="23">
        <v>0</v>
      </c>
      <c r="D8479" s="23">
        <v>0</v>
      </c>
      <c r="E8479" s="23">
        <v>0</v>
      </c>
      <c r="F8479" s="23">
        <v>0</v>
      </c>
      <c r="G8479" s="23">
        <v>0</v>
      </c>
      <c r="H8479" s="23">
        <v>0</v>
      </c>
      <c r="I8479" s="23">
        <v>1394.4</v>
      </c>
      <c r="J8479" s="23">
        <v>0</v>
      </c>
      <c r="K8479" s="23">
        <v>0</v>
      </c>
    </row>
    <row r="8480" spans="1:11" x14ac:dyDescent="0.25">
      <c r="A8480">
        <v>8479</v>
      </c>
      <c r="B8480" s="23">
        <v>1288.8</v>
      </c>
      <c r="C8480" s="23">
        <v>23.71</v>
      </c>
      <c r="D8480" s="23">
        <v>59.856000000000002</v>
      </c>
      <c r="E8480" s="23">
        <v>59.856000000000002</v>
      </c>
      <c r="F8480" s="23">
        <v>0</v>
      </c>
      <c r="G8480" s="23">
        <v>0</v>
      </c>
      <c r="H8480" s="23">
        <v>0</v>
      </c>
      <c r="I8480" s="23">
        <v>459.8</v>
      </c>
      <c r="J8480" s="23">
        <v>0</v>
      </c>
      <c r="K8480" s="23">
        <v>769.14400000000001</v>
      </c>
    </row>
    <row r="8481" spans="1:11" x14ac:dyDescent="0.25">
      <c r="A8481">
        <v>8480</v>
      </c>
      <c r="B8481" s="23">
        <v>1161.104</v>
      </c>
      <c r="C8481" s="23">
        <v>129.81</v>
      </c>
      <c r="D8481" s="23">
        <v>508.44</v>
      </c>
      <c r="E8481" s="23">
        <v>508.44</v>
      </c>
      <c r="F8481" s="23">
        <v>0</v>
      </c>
      <c r="G8481" s="23">
        <v>0</v>
      </c>
      <c r="H8481" s="23">
        <v>0</v>
      </c>
      <c r="I8481" s="23">
        <v>0</v>
      </c>
      <c r="J8481" s="23">
        <v>0</v>
      </c>
      <c r="K8481" s="23">
        <v>652.66399999999999</v>
      </c>
    </row>
    <row r="8482" spans="1:11" x14ac:dyDescent="0.25">
      <c r="A8482">
        <v>8481</v>
      </c>
      <c r="B8482" s="23">
        <v>829.11300000000006</v>
      </c>
      <c r="C8482" s="23">
        <v>369.2</v>
      </c>
      <c r="D8482" s="23">
        <v>1497.5229999999999</v>
      </c>
      <c r="E8482" s="23">
        <v>829.11300000000006</v>
      </c>
      <c r="F8482" s="23">
        <v>-668.41</v>
      </c>
      <c r="G8482" s="23">
        <v>0</v>
      </c>
      <c r="H8482" s="23">
        <v>0</v>
      </c>
      <c r="I8482" s="23">
        <v>0</v>
      </c>
      <c r="J8482" s="23">
        <v>0</v>
      </c>
      <c r="K8482" s="23">
        <v>0</v>
      </c>
    </row>
    <row r="8483" spans="1:11" x14ac:dyDescent="0.25">
      <c r="A8483">
        <v>8482</v>
      </c>
      <c r="B8483" s="23">
        <v>1028.635</v>
      </c>
      <c r="C8483" s="23">
        <v>464.6</v>
      </c>
      <c r="D8483" s="23">
        <v>1848.681</v>
      </c>
      <c r="E8483" s="23">
        <v>1028.635</v>
      </c>
      <c r="F8483" s="23">
        <v>-820.04600000000005</v>
      </c>
      <c r="G8483" s="23">
        <v>0</v>
      </c>
      <c r="H8483" s="23">
        <v>0</v>
      </c>
      <c r="I8483" s="23">
        <v>0</v>
      </c>
      <c r="J8483" s="23">
        <v>0</v>
      </c>
      <c r="K8483" s="23">
        <v>0</v>
      </c>
    </row>
    <row r="8484" spans="1:11" x14ac:dyDescent="0.25">
      <c r="A8484">
        <v>8483</v>
      </c>
      <c r="B8484" s="23">
        <v>1605.5219999999999</v>
      </c>
      <c r="C8484" s="23">
        <v>693.3</v>
      </c>
      <c r="D8484" s="23">
        <v>2723.7190000000001</v>
      </c>
      <c r="E8484" s="23">
        <v>1605.5219999999999</v>
      </c>
      <c r="F8484" s="23">
        <v>-1118.1969999999999</v>
      </c>
      <c r="G8484" s="23">
        <v>0</v>
      </c>
      <c r="H8484" s="23">
        <v>0</v>
      </c>
      <c r="I8484" s="23">
        <v>0</v>
      </c>
      <c r="J8484" s="23">
        <v>0</v>
      </c>
      <c r="K8484" s="23">
        <v>0</v>
      </c>
    </row>
    <row r="8485" spans="1:11" x14ac:dyDescent="0.25">
      <c r="A8485">
        <v>8484</v>
      </c>
      <c r="B8485" s="23">
        <v>1388.8340000000001</v>
      </c>
      <c r="C8485" s="23">
        <v>730.33</v>
      </c>
      <c r="D8485" s="23">
        <v>2852.636</v>
      </c>
      <c r="E8485" s="23">
        <v>1388.8340000000001</v>
      </c>
      <c r="F8485" s="23">
        <v>-1463.8019999999999</v>
      </c>
      <c r="G8485" s="23">
        <v>0</v>
      </c>
      <c r="H8485" s="23">
        <v>0</v>
      </c>
      <c r="I8485" s="23">
        <v>0</v>
      </c>
      <c r="J8485" s="23">
        <v>0</v>
      </c>
      <c r="K8485" s="23">
        <v>0</v>
      </c>
    </row>
    <row r="8486" spans="1:11" x14ac:dyDescent="0.25">
      <c r="A8486">
        <v>8485</v>
      </c>
      <c r="B8486" s="23">
        <v>1422.415</v>
      </c>
      <c r="C8486" s="23">
        <v>605.66999999999996</v>
      </c>
      <c r="D8486" s="23">
        <v>2374.4110000000001</v>
      </c>
      <c r="E8486" s="23">
        <v>1422.415</v>
      </c>
      <c r="F8486" s="23">
        <v>-951.99599999999998</v>
      </c>
      <c r="G8486" s="23">
        <v>0</v>
      </c>
      <c r="H8486" s="23">
        <v>0</v>
      </c>
      <c r="I8486" s="23">
        <v>0</v>
      </c>
      <c r="J8486" s="23">
        <v>0</v>
      </c>
      <c r="K8486" s="23">
        <v>0</v>
      </c>
    </row>
    <row r="8487" spans="1:11" x14ac:dyDescent="0.25">
      <c r="A8487">
        <v>8486</v>
      </c>
      <c r="B8487" s="23">
        <v>1624.992</v>
      </c>
      <c r="C8487" s="23">
        <v>608.70000000000005</v>
      </c>
      <c r="D8487" s="23">
        <v>2405.9630000000002</v>
      </c>
      <c r="E8487" s="23">
        <v>1624.992</v>
      </c>
      <c r="F8487" s="23">
        <v>-780.971</v>
      </c>
      <c r="G8487" s="23">
        <v>0</v>
      </c>
      <c r="H8487" s="23">
        <v>0</v>
      </c>
      <c r="I8487" s="23">
        <v>0</v>
      </c>
      <c r="J8487" s="23">
        <v>0</v>
      </c>
      <c r="K8487" s="23">
        <v>0</v>
      </c>
    </row>
    <row r="8488" spans="1:11" x14ac:dyDescent="0.25">
      <c r="A8488">
        <v>8487</v>
      </c>
      <c r="B8488" s="23">
        <v>1558.0540000000001</v>
      </c>
      <c r="C8488" s="23">
        <v>391.85</v>
      </c>
      <c r="D8488" s="23">
        <v>1564.8589999999999</v>
      </c>
      <c r="E8488" s="23">
        <v>1558.0540000000001</v>
      </c>
      <c r="F8488" s="23">
        <v>-6.8049999999999997</v>
      </c>
      <c r="G8488" s="23">
        <v>0</v>
      </c>
      <c r="H8488" s="23">
        <v>0</v>
      </c>
      <c r="I8488" s="23">
        <v>0</v>
      </c>
      <c r="J8488" s="23">
        <v>0</v>
      </c>
      <c r="K8488" s="23">
        <v>0</v>
      </c>
    </row>
    <row r="8489" spans="1:11" x14ac:dyDescent="0.25">
      <c r="A8489">
        <v>8488</v>
      </c>
      <c r="B8489" s="23">
        <v>1796.174</v>
      </c>
      <c r="C8489" s="23">
        <v>67.67</v>
      </c>
      <c r="D8489" s="23">
        <v>244.86199999999999</v>
      </c>
      <c r="E8489" s="23">
        <v>244.86199999999999</v>
      </c>
      <c r="F8489" s="23">
        <v>0</v>
      </c>
      <c r="G8489" s="23">
        <v>0</v>
      </c>
      <c r="H8489" s="23">
        <v>0</v>
      </c>
      <c r="I8489" s="23">
        <v>1551.3119999999999</v>
      </c>
      <c r="J8489" s="23">
        <v>0</v>
      </c>
      <c r="K8489" s="23">
        <v>0</v>
      </c>
    </row>
    <row r="8490" spans="1:11" x14ac:dyDescent="0.25">
      <c r="A8490">
        <v>8489</v>
      </c>
      <c r="B8490" s="23">
        <v>1733.951</v>
      </c>
      <c r="C8490" s="23">
        <v>53.03</v>
      </c>
      <c r="D8490" s="23">
        <v>187.01599999999999</v>
      </c>
      <c r="E8490" s="23">
        <v>187.01599999999999</v>
      </c>
      <c r="F8490" s="23">
        <v>0</v>
      </c>
      <c r="G8490" s="23">
        <v>0</v>
      </c>
      <c r="H8490" s="23">
        <v>0</v>
      </c>
      <c r="I8490" s="23">
        <v>1546.9349999999999</v>
      </c>
      <c r="J8490" s="23">
        <v>0</v>
      </c>
      <c r="K8490" s="23">
        <v>0</v>
      </c>
    </row>
    <row r="8491" spans="1:11" x14ac:dyDescent="0.25">
      <c r="A8491">
        <v>8490</v>
      </c>
      <c r="B8491" s="23">
        <v>1379.8209999999999</v>
      </c>
      <c r="C8491" s="23">
        <v>2.94</v>
      </c>
      <c r="D8491" s="23">
        <v>0</v>
      </c>
      <c r="E8491" s="23">
        <v>0</v>
      </c>
      <c r="F8491" s="23">
        <v>0</v>
      </c>
      <c r="G8491" s="23">
        <v>0</v>
      </c>
      <c r="H8491" s="23">
        <v>0</v>
      </c>
      <c r="I8491" s="23">
        <v>0</v>
      </c>
      <c r="J8491" s="23">
        <v>0</v>
      </c>
      <c r="K8491" s="23">
        <v>1379.8209999999999</v>
      </c>
    </row>
    <row r="8492" spans="1:11" x14ac:dyDescent="0.25">
      <c r="A8492">
        <v>8491</v>
      </c>
      <c r="B8492" s="23">
        <v>1425.6</v>
      </c>
      <c r="C8492" s="23">
        <v>0</v>
      </c>
      <c r="D8492" s="23">
        <v>0</v>
      </c>
      <c r="E8492" s="23">
        <v>0</v>
      </c>
      <c r="F8492" s="23">
        <v>0</v>
      </c>
      <c r="G8492" s="23">
        <v>0</v>
      </c>
      <c r="H8492" s="23">
        <v>0</v>
      </c>
      <c r="I8492" s="23">
        <v>0</v>
      </c>
      <c r="J8492" s="23">
        <v>0</v>
      </c>
      <c r="K8492" s="23">
        <v>1425.6</v>
      </c>
    </row>
    <row r="8493" spans="1:11" x14ac:dyDescent="0.25">
      <c r="A8493">
        <v>8492</v>
      </c>
      <c r="B8493" s="23">
        <v>1449.6</v>
      </c>
      <c r="C8493" s="23">
        <v>0</v>
      </c>
      <c r="D8493" s="23">
        <v>0</v>
      </c>
      <c r="E8493" s="23">
        <v>0</v>
      </c>
      <c r="F8493" s="23">
        <v>0</v>
      </c>
      <c r="G8493" s="23">
        <v>0</v>
      </c>
      <c r="H8493" s="23">
        <v>0</v>
      </c>
      <c r="I8493" s="23">
        <v>0</v>
      </c>
      <c r="J8493" s="23">
        <v>0</v>
      </c>
      <c r="K8493" s="23">
        <v>1449.6</v>
      </c>
    </row>
    <row r="8494" spans="1:11" x14ac:dyDescent="0.25">
      <c r="A8494">
        <v>8493</v>
      </c>
      <c r="B8494" s="23">
        <v>1551.2</v>
      </c>
      <c r="C8494" s="23">
        <v>0</v>
      </c>
      <c r="D8494" s="23">
        <v>0</v>
      </c>
      <c r="E8494" s="23">
        <v>0</v>
      </c>
      <c r="F8494" s="23">
        <v>0</v>
      </c>
      <c r="G8494" s="23">
        <v>0</v>
      </c>
      <c r="H8494" s="23">
        <v>0</v>
      </c>
      <c r="I8494" s="23">
        <v>1551.2</v>
      </c>
      <c r="J8494" s="23">
        <v>0</v>
      </c>
      <c r="K8494" s="23">
        <v>0</v>
      </c>
    </row>
    <row r="8495" spans="1:11" x14ac:dyDescent="0.25">
      <c r="A8495">
        <v>8494</v>
      </c>
      <c r="B8495" s="23">
        <v>1432.8</v>
      </c>
      <c r="C8495" s="23">
        <v>0</v>
      </c>
      <c r="D8495" s="23">
        <v>0</v>
      </c>
      <c r="E8495" s="23">
        <v>0</v>
      </c>
      <c r="F8495" s="23">
        <v>0</v>
      </c>
      <c r="G8495" s="23">
        <v>0</v>
      </c>
      <c r="H8495" s="23">
        <v>0</v>
      </c>
      <c r="I8495" s="23">
        <v>1432.8</v>
      </c>
      <c r="J8495" s="23">
        <v>0</v>
      </c>
      <c r="K8495" s="23">
        <v>0</v>
      </c>
    </row>
    <row r="8496" spans="1:11" x14ac:dyDescent="0.25">
      <c r="A8496">
        <v>8495</v>
      </c>
      <c r="B8496" s="23">
        <v>1576.8</v>
      </c>
      <c r="C8496" s="23">
        <v>0</v>
      </c>
      <c r="D8496" s="23">
        <v>0</v>
      </c>
      <c r="E8496" s="23">
        <v>0</v>
      </c>
      <c r="F8496" s="23">
        <v>0</v>
      </c>
      <c r="G8496" s="23">
        <v>0</v>
      </c>
      <c r="H8496" s="23">
        <v>0</v>
      </c>
      <c r="I8496" s="23">
        <v>1576.8</v>
      </c>
      <c r="J8496" s="23">
        <v>0</v>
      </c>
      <c r="K8496" s="23">
        <v>0</v>
      </c>
    </row>
    <row r="8497" spans="1:11" x14ac:dyDescent="0.25">
      <c r="A8497">
        <v>8496</v>
      </c>
      <c r="B8497" s="23">
        <v>1746.4</v>
      </c>
      <c r="C8497" s="23">
        <v>0</v>
      </c>
      <c r="D8497" s="23">
        <v>0</v>
      </c>
      <c r="E8497" s="23">
        <v>0</v>
      </c>
      <c r="F8497" s="23">
        <v>0</v>
      </c>
      <c r="G8497" s="23">
        <v>0</v>
      </c>
      <c r="H8497" s="23">
        <v>0</v>
      </c>
      <c r="I8497" s="23">
        <v>1746.4</v>
      </c>
      <c r="J8497" s="23">
        <v>0</v>
      </c>
      <c r="K8497" s="23">
        <v>0</v>
      </c>
    </row>
    <row r="8498" spans="1:11" x14ac:dyDescent="0.25">
      <c r="A8498">
        <v>8497</v>
      </c>
      <c r="B8498" s="23">
        <v>704</v>
      </c>
      <c r="C8498" s="23">
        <v>0</v>
      </c>
      <c r="D8498" s="23">
        <v>0</v>
      </c>
      <c r="E8498" s="23">
        <v>0</v>
      </c>
      <c r="F8498" s="23">
        <v>0</v>
      </c>
      <c r="G8498" s="23">
        <v>0</v>
      </c>
      <c r="H8498" s="23">
        <v>0</v>
      </c>
      <c r="I8498" s="23">
        <v>704</v>
      </c>
      <c r="J8498" s="23">
        <v>0</v>
      </c>
      <c r="K8498" s="23">
        <v>0</v>
      </c>
    </row>
    <row r="8499" spans="1:11" x14ac:dyDescent="0.25">
      <c r="A8499">
        <v>8498</v>
      </c>
      <c r="B8499" s="23">
        <v>883.2</v>
      </c>
      <c r="C8499" s="23">
        <v>0</v>
      </c>
      <c r="D8499" s="23">
        <v>0</v>
      </c>
      <c r="E8499" s="23">
        <v>0</v>
      </c>
      <c r="F8499" s="23">
        <v>0</v>
      </c>
      <c r="G8499" s="23">
        <v>0</v>
      </c>
      <c r="H8499" s="23">
        <v>0</v>
      </c>
      <c r="I8499" s="23">
        <v>883.2</v>
      </c>
      <c r="J8499" s="23">
        <v>0</v>
      </c>
      <c r="K8499" s="23">
        <v>0</v>
      </c>
    </row>
    <row r="8500" spans="1:11" x14ac:dyDescent="0.25">
      <c r="A8500">
        <v>8499</v>
      </c>
      <c r="B8500" s="23">
        <v>1075.2</v>
      </c>
      <c r="C8500" s="23">
        <v>0</v>
      </c>
      <c r="D8500" s="23">
        <v>0</v>
      </c>
      <c r="E8500" s="23">
        <v>0</v>
      </c>
      <c r="F8500" s="23">
        <v>0</v>
      </c>
      <c r="G8500" s="23">
        <v>0</v>
      </c>
      <c r="H8500" s="23">
        <v>0</v>
      </c>
      <c r="I8500" s="23">
        <v>1075.2</v>
      </c>
      <c r="J8500" s="23">
        <v>0</v>
      </c>
      <c r="K8500" s="23">
        <v>0</v>
      </c>
    </row>
    <row r="8501" spans="1:11" x14ac:dyDescent="0.25">
      <c r="A8501">
        <v>8500</v>
      </c>
      <c r="B8501" s="23">
        <v>876.8</v>
      </c>
      <c r="C8501" s="23">
        <v>0</v>
      </c>
      <c r="D8501" s="23">
        <v>0</v>
      </c>
      <c r="E8501" s="23">
        <v>0</v>
      </c>
      <c r="F8501" s="23">
        <v>0</v>
      </c>
      <c r="G8501" s="23">
        <v>0</v>
      </c>
      <c r="H8501" s="23">
        <v>0</v>
      </c>
      <c r="I8501" s="23">
        <v>728.76599999999996</v>
      </c>
      <c r="J8501" s="23">
        <v>0</v>
      </c>
      <c r="K8501" s="23">
        <v>148.03399999999999</v>
      </c>
    </row>
    <row r="8502" spans="1:11" x14ac:dyDescent="0.25">
      <c r="A8502">
        <v>8501</v>
      </c>
      <c r="B8502" s="23">
        <v>927.2</v>
      </c>
      <c r="C8502" s="23">
        <v>0</v>
      </c>
      <c r="D8502" s="23">
        <v>0</v>
      </c>
      <c r="E8502" s="23">
        <v>0</v>
      </c>
      <c r="F8502" s="23">
        <v>0</v>
      </c>
      <c r="G8502" s="23">
        <v>0</v>
      </c>
      <c r="H8502" s="23">
        <v>0</v>
      </c>
      <c r="I8502" s="23">
        <v>0</v>
      </c>
      <c r="J8502" s="23">
        <v>0</v>
      </c>
      <c r="K8502" s="23">
        <v>927.2</v>
      </c>
    </row>
    <row r="8503" spans="1:11" x14ac:dyDescent="0.25">
      <c r="A8503">
        <v>8502</v>
      </c>
      <c r="B8503" s="23">
        <v>720.8</v>
      </c>
      <c r="C8503" s="23">
        <v>0</v>
      </c>
      <c r="D8503" s="23">
        <v>0</v>
      </c>
      <c r="E8503" s="23">
        <v>0</v>
      </c>
      <c r="F8503" s="23">
        <v>0</v>
      </c>
      <c r="G8503" s="23">
        <v>0</v>
      </c>
      <c r="H8503" s="23">
        <v>0</v>
      </c>
      <c r="I8503" s="23">
        <v>0</v>
      </c>
      <c r="J8503" s="23">
        <v>0</v>
      </c>
      <c r="K8503" s="23">
        <v>720.8</v>
      </c>
    </row>
    <row r="8504" spans="1:11" x14ac:dyDescent="0.25">
      <c r="A8504">
        <v>8503</v>
      </c>
      <c r="B8504" s="23">
        <v>638.4</v>
      </c>
      <c r="C8504" s="23">
        <v>49.89</v>
      </c>
      <c r="D8504" s="23">
        <v>137.60599999999999</v>
      </c>
      <c r="E8504" s="23">
        <v>137.60599999999999</v>
      </c>
      <c r="F8504" s="23">
        <v>0</v>
      </c>
      <c r="G8504" s="23">
        <v>0</v>
      </c>
      <c r="H8504" s="23">
        <v>0</v>
      </c>
      <c r="I8504" s="23">
        <v>0</v>
      </c>
      <c r="J8504" s="23">
        <v>0</v>
      </c>
      <c r="K8504" s="23">
        <v>500.79399999999998</v>
      </c>
    </row>
    <row r="8505" spans="1:11" x14ac:dyDescent="0.25">
      <c r="A8505">
        <v>8504</v>
      </c>
      <c r="B8505" s="23">
        <v>622.72199999999998</v>
      </c>
      <c r="C8505" s="23">
        <v>247.18</v>
      </c>
      <c r="D8505" s="23">
        <v>994.44499999999994</v>
      </c>
      <c r="E8505" s="23">
        <v>622.72199999999998</v>
      </c>
      <c r="F8505" s="23">
        <v>-371.72300000000001</v>
      </c>
      <c r="G8505" s="23">
        <v>0</v>
      </c>
      <c r="H8505" s="23">
        <v>0</v>
      </c>
      <c r="I8505" s="23">
        <v>0</v>
      </c>
      <c r="J8505" s="23">
        <v>0</v>
      </c>
      <c r="K8505" s="23">
        <v>0</v>
      </c>
    </row>
    <row r="8506" spans="1:11" x14ac:dyDescent="0.25">
      <c r="A8506">
        <v>8505</v>
      </c>
      <c r="B8506" s="23">
        <v>603.31600000000003</v>
      </c>
      <c r="C8506" s="23">
        <v>547.64</v>
      </c>
      <c r="D8506" s="23">
        <v>2270.0160000000001</v>
      </c>
      <c r="E8506" s="23">
        <v>603.31600000000003</v>
      </c>
      <c r="F8506" s="23">
        <v>-1666.7</v>
      </c>
      <c r="G8506" s="23">
        <v>0</v>
      </c>
      <c r="H8506" s="23">
        <v>0</v>
      </c>
      <c r="I8506" s="23">
        <v>0</v>
      </c>
      <c r="J8506" s="23">
        <v>0</v>
      </c>
      <c r="K8506" s="23">
        <v>0</v>
      </c>
    </row>
    <row r="8507" spans="1:11" x14ac:dyDescent="0.25">
      <c r="A8507">
        <v>8506</v>
      </c>
      <c r="B8507" s="23">
        <v>1098.4580000000001</v>
      </c>
      <c r="C8507" s="23">
        <v>740.78</v>
      </c>
      <c r="D8507" s="23">
        <v>2984.42</v>
      </c>
      <c r="E8507" s="23">
        <v>1098.4590000000001</v>
      </c>
      <c r="F8507" s="23">
        <v>-1684.559</v>
      </c>
      <c r="G8507" s="23">
        <v>0</v>
      </c>
      <c r="H8507" s="23">
        <v>201.40199999999999</v>
      </c>
      <c r="I8507" s="23">
        <v>0</v>
      </c>
      <c r="J8507" s="23">
        <v>0</v>
      </c>
      <c r="K8507" s="23">
        <v>0</v>
      </c>
    </row>
    <row r="8508" spans="1:11" x14ac:dyDescent="0.25">
      <c r="A8508">
        <v>8507</v>
      </c>
      <c r="B8508" s="23">
        <v>979.053</v>
      </c>
      <c r="C8508" s="23">
        <v>763.01</v>
      </c>
      <c r="D8508" s="23">
        <v>3007.5929999999998</v>
      </c>
      <c r="E8508" s="23">
        <v>979.053</v>
      </c>
      <c r="F8508" s="23">
        <v>-1684.559</v>
      </c>
      <c r="G8508" s="23">
        <v>0</v>
      </c>
      <c r="H8508" s="23">
        <v>343.98099999999999</v>
      </c>
      <c r="I8508" s="23">
        <v>0</v>
      </c>
      <c r="J8508" s="23">
        <v>0</v>
      </c>
      <c r="K8508" s="23">
        <v>0</v>
      </c>
    </row>
    <row r="8509" spans="1:11" x14ac:dyDescent="0.25">
      <c r="A8509">
        <v>8508</v>
      </c>
      <c r="B8509" s="23">
        <v>716.923</v>
      </c>
      <c r="C8509" s="23">
        <v>797.18</v>
      </c>
      <c r="D8509" s="23">
        <v>3104.808</v>
      </c>
      <c r="E8509" s="23">
        <v>716.92399999999998</v>
      </c>
      <c r="F8509" s="23">
        <v>-1684.559</v>
      </c>
      <c r="G8509" s="23">
        <v>0</v>
      </c>
      <c r="H8509" s="23">
        <v>703.32500000000005</v>
      </c>
      <c r="I8509" s="23">
        <v>0</v>
      </c>
      <c r="J8509" s="23">
        <v>0</v>
      </c>
      <c r="K8509" s="23">
        <v>0</v>
      </c>
    </row>
    <row r="8510" spans="1:11" x14ac:dyDescent="0.25">
      <c r="A8510">
        <v>8509</v>
      </c>
      <c r="B8510" s="23">
        <v>680.17200000000003</v>
      </c>
      <c r="C8510" s="23">
        <v>770.89</v>
      </c>
      <c r="D8510" s="23">
        <v>2996.7139999999999</v>
      </c>
      <c r="E8510" s="23">
        <v>680.17100000000005</v>
      </c>
      <c r="F8510" s="23">
        <v>-199.398</v>
      </c>
      <c r="G8510" s="23">
        <v>0</v>
      </c>
      <c r="H8510" s="23">
        <v>2117.145</v>
      </c>
      <c r="I8510" s="23">
        <v>0</v>
      </c>
      <c r="J8510" s="23">
        <v>0</v>
      </c>
      <c r="K8510" s="23">
        <v>0</v>
      </c>
    </row>
    <row r="8511" spans="1:11" x14ac:dyDescent="0.25">
      <c r="A8511">
        <v>8510</v>
      </c>
      <c r="B8511" s="23">
        <v>780.33399999999995</v>
      </c>
      <c r="C8511" s="23">
        <v>676.96</v>
      </c>
      <c r="D8511" s="23">
        <v>2653.5010000000002</v>
      </c>
      <c r="E8511" s="23">
        <v>780.33399999999995</v>
      </c>
      <c r="F8511" s="23">
        <v>0</v>
      </c>
      <c r="G8511" s="23">
        <v>0</v>
      </c>
      <c r="H8511" s="23">
        <v>1873.1669999999999</v>
      </c>
      <c r="I8511" s="23">
        <v>0</v>
      </c>
      <c r="J8511" s="23">
        <v>0</v>
      </c>
      <c r="K8511" s="23">
        <v>0</v>
      </c>
    </row>
    <row r="8512" spans="1:11" x14ac:dyDescent="0.25">
      <c r="A8512">
        <v>8511</v>
      </c>
      <c r="B8512" s="23">
        <v>882.57899999999995</v>
      </c>
      <c r="C8512" s="23">
        <v>501.56</v>
      </c>
      <c r="D8512" s="23">
        <v>1993.0229999999999</v>
      </c>
      <c r="E8512" s="23">
        <v>882.57899999999995</v>
      </c>
      <c r="F8512" s="23">
        <v>0</v>
      </c>
      <c r="G8512" s="23">
        <v>0</v>
      </c>
      <c r="H8512" s="23">
        <v>1110.444</v>
      </c>
      <c r="I8512" s="23">
        <v>0</v>
      </c>
      <c r="J8512" s="23">
        <v>0</v>
      </c>
      <c r="K8512" s="23">
        <v>0</v>
      </c>
    </row>
    <row r="8513" spans="1:11" x14ac:dyDescent="0.25">
      <c r="A8513">
        <v>8512</v>
      </c>
      <c r="B8513" s="23">
        <v>842.75300000000004</v>
      </c>
      <c r="C8513" s="23">
        <v>451.72</v>
      </c>
      <c r="D8513" s="23">
        <v>1837.864</v>
      </c>
      <c r="E8513" s="23">
        <v>842.75300000000004</v>
      </c>
      <c r="F8513" s="23">
        <v>0</v>
      </c>
      <c r="G8513" s="23">
        <v>0</v>
      </c>
      <c r="H8513" s="23">
        <v>995.11099999999999</v>
      </c>
      <c r="I8513" s="23">
        <v>0</v>
      </c>
      <c r="J8513" s="23">
        <v>0</v>
      </c>
      <c r="K8513" s="23">
        <v>0</v>
      </c>
    </row>
    <row r="8514" spans="1:11" x14ac:dyDescent="0.25">
      <c r="A8514">
        <v>8513</v>
      </c>
      <c r="B8514" s="23">
        <v>490.41</v>
      </c>
      <c r="C8514" s="23">
        <v>208.07</v>
      </c>
      <c r="D8514" s="23">
        <v>784.51400000000001</v>
      </c>
      <c r="E8514" s="23">
        <v>490.41</v>
      </c>
      <c r="F8514" s="23">
        <v>0</v>
      </c>
      <c r="G8514" s="23">
        <v>0</v>
      </c>
      <c r="H8514" s="23">
        <v>294.10399999999998</v>
      </c>
      <c r="I8514" s="23">
        <v>0</v>
      </c>
      <c r="J8514" s="23">
        <v>0</v>
      </c>
      <c r="K8514" s="23">
        <v>0</v>
      </c>
    </row>
    <row r="8515" spans="1:11" x14ac:dyDescent="0.25">
      <c r="A8515">
        <v>8514</v>
      </c>
      <c r="B8515" s="23">
        <v>678.56299999999999</v>
      </c>
      <c r="C8515" s="23">
        <v>8.66</v>
      </c>
      <c r="D8515" s="23">
        <v>0</v>
      </c>
      <c r="E8515" s="23">
        <v>0</v>
      </c>
      <c r="F8515" s="23">
        <v>0</v>
      </c>
      <c r="G8515" s="23">
        <v>0</v>
      </c>
      <c r="H8515" s="23">
        <v>0</v>
      </c>
      <c r="I8515" s="23">
        <v>678.56299999999999</v>
      </c>
      <c r="J8515" s="23">
        <v>0</v>
      </c>
      <c r="K8515" s="23">
        <v>0</v>
      </c>
    </row>
    <row r="8516" spans="1:11" x14ac:dyDescent="0.25">
      <c r="A8516">
        <v>8515</v>
      </c>
      <c r="B8516" s="23">
        <v>853.6</v>
      </c>
      <c r="C8516" s="23">
        <v>0</v>
      </c>
      <c r="D8516" s="23">
        <v>0</v>
      </c>
      <c r="E8516" s="23">
        <v>0</v>
      </c>
      <c r="F8516" s="23">
        <v>0</v>
      </c>
      <c r="G8516" s="23">
        <v>0</v>
      </c>
      <c r="H8516" s="23">
        <v>0</v>
      </c>
      <c r="I8516" s="23">
        <v>853.6</v>
      </c>
      <c r="J8516" s="23">
        <v>0</v>
      </c>
      <c r="K8516" s="23">
        <v>0</v>
      </c>
    </row>
    <row r="8517" spans="1:11" x14ac:dyDescent="0.25">
      <c r="A8517">
        <v>8516</v>
      </c>
      <c r="B8517" s="23">
        <v>705.6</v>
      </c>
      <c r="C8517" s="23">
        <v>0</v>
      </c>
      <c r="D8517" s="23">
        <v>0</v>
      </c>
      <c r="E8517" s="23">
        <v>0</v>
      </c>
      <c r="F8517" s="23">
        <v>0</v>
      </c>
      <c r="G8517" s="23">
        <v>0</v>
      </c>
      <c r="H8517" s="23">
        <v>0</v>
      </c>
      <c r="I8517" s="23">
        <v>705.6</v>
      </c>
      <c r="J8517" s="23">
        <v>0</v>
      </c>
      <c r="K8517" s="23">
        <v>0</v>
      </c>
    </row>
    <row r="8518" spans="1:11" x14ac:dyDescent="0.25">
      <c r="A8518">
        <v>8517</v>
      </c>
      <c r="B8518" s="23">
        <v>828.8</v>
      </c>
      <c r="C8518" s="23">
        <v>0</v>
      </c>
      <c r="D8518" s="23">
        <v>0</v>
      </c>
      <c r="E8518" s="23">
        <v>0</v>
      </c>
      <c r="F8518" s="23">
        <v>0</v>
      </c>
      <c r="G8518" s="23">
        <v>0</v>
      </c>
      <c r="H8518" s="23">
        <v>0</v>
      </c>
      <c r="I8518" s="23">
        <v>513.28800000000001</v>
      </c>
      <c r="J8518" s="23">
        <v>0</v>
      </c>
      <c r="K8518" s="23">
        <v>315.512</v>
      </c>
    </row>
    <row r="8519" spans="1:11" x14ac:dyDescent="0.25">
      <c r="A8519">
        <v>8518</v>
      </c>
      <c r="B8519" s="23">
        <v>820</v>
      </c>
      <c r="C8519" s="23">
        <v>0</v>
      </c>
      <c r="D8519" s="23">
        <v>0</v>
      </c>
      <c r="E8519" s="23">
        <v>0</v>
      </c>
      <c r="F8519" s="23">
        <v>0</v>
      </c>
      <c r="G8519" s="23">
        <v>0</v>
      </c>
      <c r="H8519" s="23">
        <v>0</v>
      </c>
      <c r="I8519" s="23">
        <v>0</v>
      </c>
      <c r="J8519" s="23">
        <v>0</v>
      </c>
      <c r="K8519" s="23">
        <v>820</v>
      </c>
    </row>
    <row r="8520" spans="1:11" x14ac:dyDescent="0.25">
      <c r="A8520">
        <v>8519</v>
      </c>
      <c r="B8520" s="23">
        <v>755.2</v>
      </c>
      <c r="C8520" s="23">
        <v>0</v>
      </c>
      <c r="D8520" s="23">
        <v>0</v>
      </c>
      <c r="E8520" s="23">
        <v>0</v>
      </c>
      <c r="F8520" s="23">
        <v>0</v>
      </c>
      <c r="G8520" s="23">
        <v>0</v>
      </c>
      <c r="H8520" s="23">
        <v>0</v>
      </c>
      <c r="I8520" s="23">
        <v>0</v>
      </c>
      <c r="J8520" s="23">
        <v>0</v>
      </c>
      <c r="K8520" s="23">
        <v>755.2</v>
      </c>
    </row>
    <row r="8521" spans="1:11" x14ac:dyDescent="0.25">
      <c r="A8521">
        <v>8520</v>
      </c>
      <c r="B8521" s="23">
        <v>697.6</v>
      </c>
      <c r="C8521" s="23">
        <v>0</v>
      </c>
      <c r="D8521" s="23">
        <v>0</v>
      </c>
      <c r="E8521" s="23">
        <v>0</v>
      </c>
      <c r="F8521" s="23">
        <v>0</v>
      </c>
      <c r="G8521" s="23">
        <v>0</v>
      </c>
      <c r="H8521" s="23">
        <v>0</v>
      </c>
      <c r="I8521" s="23">
        <v>0</v>
      </c>
      <c r="J8521" s="23">
        <v>0</v>
      </c>
      <c r="K8521" s="23">
        <v>697.6</v>
      </c>
    </row>
    <row r="8522" spans="1:11" x14ac:dyDescent="0.25">
      <c r="A8522">
        <v>8521</v>
      </c>
      <c r="B8522" s="23">
        <v>1381.6</v>
      </c>
      <c r="C8522" s="23">
        <v>0</v>
      </c>
      <c r="D8522" s="23">
        <v>0</v>
      </c>
      <c r="E8522" s="23">
        <v>0</v>
      </c>
      <c r="F8522" s="23">
        <v>0</v>
      </c>
      <c r="G8522" s="23">
        <v>0</v>
      </c>
      <c r="H8522" s="23">
        <v>0</v>
      </c>
      <c r="I8522" s="23">
        <v>1381.6</v>
      </c>
      <c r="J8522" s="23">
        <v>0</v>
      </c>
      <c r="K8522" s="23">
        <v>0</v>
      </c>
    </row>
    <row r="8523" spans="1:11" x14ac:dyDescent="0.25">
      <c r="A8523">
        <v>8522</v>
      </c>
      <c r="B8523" s="23">
        <v>1472</v>
      </c>
      <c r="C8523" s="23">
        <v>0</v>
      </c>
      <c r="D8523" s="23">
        <v>0</v>
      </c>
      <c r="E8523" s="23">
        <v>0</v>
      </c>
      <c r="F8523" s="23">
        <v>0</v>
      </c>
      <c r="G8523" s="23">
        <v>0</v>
      </c>
      <c r="H8523" s="23">
        <v>0</v>
      </c>
      <c r="I8523" s="23">
        <v>1472</v>
      </c>
      <c r="J8523" s="23">
        <v>0</v>
      </c>
      <c r="K8523" s="23">
        <v>0</v>
      </c>
    </row>
    <row r="8524" spans="1:11" x14ac:dyDescent="0.25">
      <c r="A8524">
        <v>8523</v>
      </c>
      <c r="B8524" s="23">
        <v>1526.4</v>
      </c>
      <c r="C8524" s="23">
        <v>0</v>
      </c>
      <c r="D8524" s="23">
        <v>0</v>
      </c>
      <c r="E8524" s="23">
        <v>0</v>
      </c>
      <c r="F8524" s="23">
        <v>0</v>
      </c>
      <c r="G8524" s="23">
        <v>0</v>
      </c>
      <c r="H8524" s="23">
        <v>0</v>
      </c>
      <c r="I8524" s="23">
        <v>1526.4</v>
      </c>
      <c r="J8524" s="23">
        <v>0</v>
      </c>
      <c r="K8524" s="23">
        <v>0</v>
      </c>
    </row>
    <row r="8525" spans="1:11" x14ac:dyDescent="0.25">
      <c r="A8525">
        <v>8524</v>
      </c>
      <c r="B8525" s="23">
        <v>1505.6</v>
      </c>
      <c r="C8525" s="23">
        <v>0</v>
      </c>
      <c r="D8525" s="23">
        <v>0</v>
      </c>
      <c r="E8525" s="23">
        <v>0</v>
      </c>
      <c r="F8525" s="23">
        <v>0</v>
      </c>
      <c r="G8525" s="23">
        <v>0</v>
      </c>
      <c r="H8525" s="23">
        <v>0</v>
      </c>
      <c r="I8525" s="23">
        <v>1505.6</v>
      </c>
      <c r="J8525" s="23">
        <v>0</v>
      </c>
      <c r="K8525" s="23">
        <v>0</v>
      </c>
    </row>
    <row r="8526" spans="1:11" x14ac:dyDescent="0.25">
      <c r="A8526">
        <v>8525</v>
      </c>
      <c r="B8526" s="23">
        <v>1336.8</v>
      </c>
      <c r="C8526" s="23">
        <v>0</v>
      </c>
      <c r="D8526" s="23">
        <v>0</v>
      </c>
      <c r="E8526" s="23">
        <v>0</v>
      </c>
      <c r="F8526" s="23">
        <v>0</v>
      </c>
      <c r="G8526" s="23">
        <v>0</v>
      </c>
      <c r="H8526" s="23">
        <v>0</v>
      </c>
      <c r="I8526" s="23">
        <v>0</v>
      </c>
      <c r="J8526" s="23">
        <v>0</v>
      </c>
      <c r="K8526" s="23">
        <v>1336.8</v>
      </c>
    </row>
    <row r="8527" spans="1:11" x14ac:dyDescent="0.25">
      <c r="A8527">
        <v>8526</v>
      </c>
      <c r="B8527" s="23">
        <v>1504</v>
      </c>
      <c r="C8527" s="23">
        <v>0</v>
      </c>
      <c r="D8527" s="23">
        <v>0</v>
      </c>
      <c r="E8527" s="23">
        <v>0</v>
      </c>
      <c r="F8527" s="23">
        <v>0</v>
      </c>
      <c r="G8527" s="23">
        <v>0</v>
      </c>
      <c r="H8527" s="23">
        <v>0</v>
      </c>
      <c r="I8527" s="23">
        <v>0</v>
      </c>
      <c r="J8527" s="23">
        <v>0</v>
      </c>
      <c r="K8527" s="23">
        <v>1504</v>
      </c>
    </row>
    <row r="8528" spans="1:11" x14ac:dyDescent="0.25">
      <c r="A8528">
        <v>8527</v>
      </c>
      <c r="B8528" s="23">
        <v>1156.8</v>
      </c>
      <c r="C8528" s="23">
        <v>16.649999999999999</v>
      </c>
      <c r="D8528" s="23">
        <v>34.063000000000002</v>
      </c>
      <c r="E8528" s="23">
        <v>34.063000000000002</v>
      </c>
      <c r="F8528" s="23">
        <v>0</v>
      </c>
      <c r="G8528" s="23">
        <v>0</v>
      </c>
      <c r="H8528" s="23">
        <v>0</v>
      </c>
      <c r="I8528" s="23">
        <v>0</v>
      </c>
      <c r="J8528" s="23">
        <v>0</v>
      </c>
      <c r="K8528" s="23">
        <v>1122.7370000000001</v>
      </c>
    </row>
    <row r="8529" spans="1:11" x14ac:dyDescent="0.25">
      <c r="A8529">
        <v>8528</v>
      </c>
      <c r="B8529" s="23">
        <v>151.28200000000001</v>
      </c>
      <c r="C8529" s="23">
        <v>92.09</v>
      </c>
      <c r="D8529" s="23">
        <v>356.89200000000011</v>
      </c>
      <c r="E8529" s="23">
        <v>151.28200000000001</v>
      </c>
      <c r="F8529" s="23">
        <v>-205.61</v>
      </c>
      <c r="G8529" s="23">
        <v>0</v>
      </c>
      <c r="H8529" s="23">
        <v>0</v>
      </c>
      <c r="I8529" s="23">
        <v>0</v>
      </c>
      <c r="J8529" s="23">
        <v>0</v>
      </c>
      <c r="K8529" s="23">
        <v>0</v>
      </c>
    </row>
    <row r="8530" spans="1:11" x14ac:dyDescent="0.25">
      <c r="A8530">
        <v>8529</v>
      </c>
      <c r="B8530" s="23">
        <v>203.767</v>
      </c>
      <c r="C8530" s="23">
        <v>276.79000000000002</v>
      </c>
      <c r="D8530" s="23">
        <v>1136.462</v>
      </c>
      <c r="E8530" s="23">
        <v>203.767</v>
      </c>
      <c r="F8530" s="23">
        <v>-932.69500000000005</v>
      </c>
      <c r="G8530" s="23">
        <v>0</v>
      </c>
      <c r="H8530" s="23">
        <v>0</v>
      </c>
      <c r="I8530" s="23">
        <v>0</v>
      </c>
      <c r="J8530" s="23">
        <v>0</v>
      </c>
      <c r="K8530" s="23">
        <v>0</v>
      </c>
    </row>
    <row r="8531" spans="1:11" x14ac:dyDescent="0.25">
      <c r="A8531">
        <v>8530</v>
      </c>
      <c r="B8531" s="23">
        <v>271.40600000000001</v>
      </c>
      <c r="C8531" s="23">
        <v>441.18</v>
      </c>
      <c r="D8531" s="23">
        <v>1800.5930000000001</v>
      </c>
      <c r="E8531" s="23">
        <v>271.40600000000001</v>
      </c>
      <c r="F8531" s="23">
        <v>-1529.1869999999999</v>
      </c>
      <c r="G8531" s="23">
        <v>0</v>
      </c>
      <c r="H8531" s="23">
        <v>0</v>
      </c>
      <c r="I8531" s="23">
        <v>0</v>
      </c>
      <c r="J8531" s="23">
        <v>0</v>
      </c>
      <c r="K8531" s="23">
        <v>0</v>
      </c>
    </row>
    <row r="8532" spans="1:11" x14ac:dyDescent="0.25">
      <c r="A8532">
        <v>8531</v>
      </c>
      <c r="B8532" s="23">
        <v>225.678</v>
      </c>
      <c r="C8532" s="23">
        <v>633.70000000000005</v>
      </c>
      <c r="D8532" s="23">
        <v>2553.828</v>
      </c>
      <c r="E8532" s="23">
        <v>225.679</v>
      </c>
      <c r="F8532" s="23">
        <v>-1684.559</v>
      </c>
      <c r="G8532" s="23">
        <v>0</v>
      </c>
      <c r="H8532" s="23">
        <v>643.59</v>
      </c>
      <c r="I8532" s="23">
        <v>0</v>
      </c>
      <c r="J8532" s="23">
        <v>0</v>
      </c>
      <c r="K8532" s="23">
        <v>0</v>
      </c>
    </row>
    <row r="8533" spans="1:11" x14ac:dyDescent="0.25">
      <c r="A8533">
        <v>8532</v>
      </c>
      <c r="B8533" s="23">
        <v>210.89400000000001</v>
      </c>
      <c r="C8533" s="23">
        <v>642.07000000000005</v>
      </c>
      <c r="D8533" s="23">
        <v>2561.7109999999998</v>
      </c>
      <c r="E8533" s="23">
        <v>210.89500000000001</v>
      </c>
      <c r="F8533" s="23">
        <v>-1684.559</v>
      </c>
      <c r="G8533" s="23">
        <v>0</v>
      </c>
      <c r="H8533" s="23">
        <v>666.25699999999995</v>
      </c>
      <c r="I8533" s="23">
        <v>0</v>
      </c>
      <c r="J8533" s="23">
        <v>0</v>
      </c>
      <c r="K8533" s="23">
        <v>0</v>
      </c>
    </row>
    <row r="8534" spans="1:11" x14ac:dyDescent="0.25">
      <c r="A8534">
        <v>8533</v>
      </c>
      <c r="B8534" s="23">
        <v>235.761</v>
      </c>
      <c r="C8534" s="23">
        <v>515.84</v>
      </c>
      <c r="D8534" s="23">
        <v>2050.5230000000001</v>
      </c>
      <c r="E8534" s="23">
        <v>235.761</v>
      </c>
      <c r="F8534" s="23">
        <v>-1254.8879999999999</v>
      </c>
      <c r="G8534" s="23">
        <v>0</v>
      </c>
      <c r="H8534" s="23">
        <v>559.87400000000002</v>
      </c>
      <c r="I8534" s="23">
        <v>0</v>
      </c>
      <c r="J8534" s="23">
        <v>0</v>
      </c>
      <c r="K8534" s="23">
        <v>0</v>
      </c>
    </row>
    <row r="8535" spans="1:11" x14ac:dyDescent="0.25">
      <c r="A8535">
        <v>8534</v>
      </c>
      <c r="B8535" s="23">
        <v>236.03200000000001</v>
      </c>
      <c r="C8535" s="23">
        <v>340.14</v>
      </c>
      <c r="D8535" s="23">
        <v>1346.3620000000001</v>
      </c>
      <c r="E8535" s="23">
        <v>236.03200000000001</v>
      </c>
      <c r="F8535" s="23">
        <v>0</v>
      </c>
      <c r="G8535" s="23">
        <v>0</v>
      </c>
      <c r="H8535" s="23">
        <v>1110.33</v>
      </c>
      <c r="I8535" s="23">
        <v>0</v>
      </c>
      <c r="J8535" s="23">
        <v>0</v>
      </c>
      <c r="K8535" s="23">
        <v>0</v>
      </c>
    </row>
    <row r="8536" spans="1:11" x14ac:dyDescent="0.25">
      <c r="A8536">
        <v>8535</v>
      </c>
      <c r="B8536" s="23">
        <v>258.88499999999999</v>
      </c>
      <c r="C8536" s="23">
        <v>255</v>
      </c>
      <c r="D8536" s="23">
        <v>1007.194</v>
      </c>
      <c r="E8536" s="23">
        <v>258.88499999999999</v>
      </c>
      <c r="F8536" s="23">
        <v>0</v>
      </c>
      <c r="G8536" s="23">
        <v>0</v>
      </c>
      <c r="H8536" s="23">
        <v>748.30899999999997</v>
      </c>
      <c r="I8536" s="23">
        <v>0</v>
      </c>
      <c r="J8536" s="23">
        <v>0</v>
      </c>
      <c r="K8536" s="23">
        <v>0</v>
      </c>
    </row>
    <row r="8537" spans="1:11" x14ac:dyDescent="0.25">
      <c r="A8537">
        <v>8536</v>
      </c>
      <c r="B8537" s="23">
        <v>263.90600000000001</v>
      </c>
      <c r="C8537" s="23">
        <v>127.75</v>
      </c>
      <c r="D8537" s="23">
        <v>492.58600000000001</v>
      </c>
      <c r="E8537" s="23">
        <v>263.90600000000001</v>
      </c>
      <c r="F8537" s="23">
        <v>0</v>
      </c>
      <c r="G8537" s="23">
        <v>0</v>
      </c>
      <c r="H8537" s="23">
        <v>228.68</v>
      </c>
      <c r="I8537" s="23">
        <v>0</v>
      </c>
      <c r="J8537" s="23">
        <v>0</v>
      </c>
      <c r="K8537" s="23">
        <v>0</v>
      </c>
    </row>
    <row r="8538" spans="1:11" x14ac:dyDescent="0.25">
      <c r="A8538">
        <v>8537</v>
      </c>
      <c r="B8538" s="23">
        <v>505.286</v>
      </c>
      <c r="C8538" s="23">
        <v>60.13</v>
      </c>
      <c r="D8538" s="23">
        <v>216.30600000000001</v>
      </c>
      <c r="E8538" s="23">
        <v>216.30600000000001</v>
      </c>
      <c r="F8538" s="23">
        <v>0</v>
      </c>
      <c r="G8538" s="23">
        <v>0</v>
      </c>
      <c r="H8538" s="23">
        <v>0</v>
      </c>
      <c r="I8538" s="23">
        <v>0</v>
      </c>
      <c r="J8538" s="23">
        <v>0</v>
      </c>
      <c r="K8538" s="23">
        <v>288.98</v>
      </c>
    </row>
    <row r="8539" spans="1:11" x14ac:dyDescent="0.25">
      <c r="A8539">
        <v>8538</v>
      </c>
      <c r="B8539" s="23">
        <v>457.786</v>
      </c>
      <c r="C8539" s="23">
        <v>4.8899999999999997</v>
      </c>
      <c r="D8539" s="23">
        <v>0</v>
      </c>
      <c r="E8539" s="23">
        <v>0</v>
      </c>
      <c r="F8539" s="23">
        <v>0</v>
      </c>
      <c r="G8539" s="23">
        <v>0</v>
      </c>
      <c r="H8539" s="23">
        <v>0</v>
      </c>
      <c r="I8539" s="23">
        <v>0</v>
      </c>
      <c r="J8539" s="23">
        <v>0</v>
      </c>
      <c r="K8539" s="23">
        <v>457.786</v>
      </c>
    </row>
    <row r="8540" spans="1:11" x14ac:dyDescent="0.25">
      <c r="A8540">
        <v>8539</v>
      </c>
      <c r="B8540" s="23">
        <v>296</v>
      </c>
      <c r="C8540" s="23">
        <v>0</v>
      </c>
      <c r="D8540" s="23">
        <v>0</v>
      </c>
      <c r="E8540" s="23">
        <v>0</v>
      </c>
      <c r="F8540" s="23">
        <v>0</v>
      </c>
      <c r="G8540" s="23">
        <v>0</v>
      </c>
      <c r="H8540" s="23">
        <v>0</v>
      </c>
      <c r="I8540" s="23">
        <v>0</v>
      </c>
      <c r="J8540" s="23">
        <v>0</v>
      </c>
      <c r="K8540" s="23">
        <v>296</v>
      </c>
    </row>
    <row r="8541" spans="1:11" x14ac:dyDescent="0.25">
      <c r="A8541">
        <v>8540</v>
      </c>
      <c r="B8541" s="23">
        <v>264.8</v>
      </c>
      <c r="C8541" s="23">
        <v>0</v>
      </c>
      <c r="D8541" s="23">
        <v>0</v>
      </c>
      <c r="E8541" s="23">
        <v>0</v>
      </c>
      <c r="F8541" s="23">
        <v>0</v>
      </c>
      <c r="G8541" s="23">
        <v>0</v>
      </c>
      <c r="H8541" s="23">
        <v>0</v>
      </c>
      <c r="I8541" s="23">
        <v>0</v>
      </c>
      <c r="J8541" s="23">
        <v>0</v>
      </c>
      <c r="K8541" s="23">
        <v>264.8</v>
      </c>
    </row>
    <row r="8542" spans="1:11" x14ac:dyDescent="0.25">
      <c r="A8542">
        <v>8541</v>
      </c>
      <c r="B8542" s="23">
        <v>239.2</v>
      </c>
      <c r="C8542" s="23">
        <v>0</v>
      </c>
      <c r="D8542" s="23">
        <v>0</v>
      </c>
      <c r="E8542" s="23">
        <v>0</v>
      </c>
      <c r="F8542" s="23">
        <v>0</v>
      </c>
      <c r="G8542" s="23">
        <v>0</v>
      </c>
      <c r="H8542" s="23">
        <v>0</v>
      </c>
      <c r="I8542" s="23">
        <v>0</v>
      </c>
      <c r="J8542" s="23">
        <v>0</v>
      </c>
      <c r="K8542" s="23">
        <v>239.2</v>
      </c>
    </row>
    <row r="8543" spans="1:11" x14ac:dyDescent="0.25">
      <c r="A8543">
        <v>8542</v>
      </c>
      <c r="B8543" s="23">
        <v>282.39999999999998</v>
      </c>
      <c r="C8543" s="23">
        <v>0</v>
      </c>
      <c r="D8543" s="23">
        <v>0</v>
      </c>
      <c r="E8543" s="23">
        <v>0</v>
      </c>
      <c r="F8543" s="23">
        <v>0</v>
      </c>
      <c r="G8543" s="23">
        <v>0</v>
      </c>
      <c r="H8543" s="23">
        <v>0</v>
      </c>
      <c r="I8543" s="23">
        <v>0</v>
      </c>
      <c r="J8543" s="23">
        <v>0</v>
      </c>
      <c r="K8543" s="23">
        <v>282.39999999999998</v>
      </c>
    </row>
    <row r="8544" spans="1:11" x14ac:dyDescent="0.25">
      <c r="A8544">
        <v>8543</v>
      </c>
      <c r="B8544" s="23">
        <v>237.6</v>
      </c>
      <c r="C8544" s="23">
        <v>0</v>
      </c>
      <c r="D8544" s="23">
        <v>0</v>
      </c>
      <c r="E8544" s="23">
        <v>0</v>
      </c>
      <c r="F8544" s="23">
        <v>0</v>
      </c>
      <c r="G8544" s="23">
        <v>0</v>
      </c>
      <c r="H8544" s="23">
        <v>0</v>
      </c>
      <c r="I8544" s="23">
        <v>0</v>
      </c>
      <c r="J8544" s="23">
        <v>0</v>
      </c>
      <c r="K8544" s="23">
        <v>237.6</v>
      </c>
    </row>
    <row r="8545" spans="1:11" x14ac:dyDescent="0.25">
      <c r="A8545">
        <v>8544</v>
      </c>
      <c r="B8545" s="23">
        <v>223.2</v>
      </c>
      <c r="C8545" s="23">
        <v>0</v>
      </c>
      <c r="D8545" s="23">
        <v>0</v>
      </c>
      <c r="E8545" s="23">
        <v>0</v>
      </c>
      <c r="F8545" s="23">
        <v>0</v>
      </c>
      <c r="G8545" s="23">
        <v>0</v>
      </c>
      <c r="H8545" s="23">
        <v>0</v>
      </c>
      <c r="I8545" s="23">
        <v>0</v>
      </c>
      <c r="J8545" s="23">
        <v>0</v>
      </c>
      <c r="K8545" s="23">
        <v>223.2</v>
      </c>
    </row>
    <row r="8546" spans="1:11" x14ac:dyDescent="0.25">
      <c r="A8546">
        <v>8545</v>
      </c>
      <c r="B8546" s="23">
        <v>259.2</v>
      </c>
      <c r="C8546" s="23">
        <v>0</v>
      </c>
      <c r="D8546" s="23">
        <v>0</v>
      </c>
      <c r="E8546" s="23">
        <v>0</v>
      </c>
      <c r="F8546" s="23">
        <v>0</v>
      </c>
      <c r="G8546" s="23">
        <v>0</v>
      </c>
      <c r="H8546" s="23">
        <v>0</v>
      </c>
      <c r="I8546" s="23">
        <v>0</v>
      </c>
      <c r="J8546" s="23">
        <v>0</v>
      </c>
      <c r="K8546" s="23">
        <v>259.2</v>
      </c>
    </row>
    <row r="8547" spans="1:11" x14ac:dyDescent="0.25">
      <c r="A8547">
        <v>8546</v>
      </c>
      <c r="B8547" s="23">
        <v>218.4</v>
      </c>
      <c r="C8547" s="23">
        <v>0</v>
      </c>
      <c r="D8547" s="23">
        <v>0</v>
      </c>
      <c r="E8547" s="23">
        <v>0</v>
      </c>
      <c r="F8547" s="23">
        <v>0</v>
      </c>
      <c r="G8547" s="23">
        <v>0</v>
      </c>
      <c r="H8547" s="23">
        <v>0</v>
      </c>
      <c r="I8547" s="23">
        <v>0</v>
      </c>
      <c r="J8547" s="23">
        <v>0</v>
      </c>
      <c r="K8547" s="23">
        <v>218.4</v>
      </c>
    </row>
    <row r="8548" spans="1:11" x14ac:dyDescent="0.25">
      <c r="A8548">
        <v>8547</v>
      </c>
      <c r="B8548" s="23">
        <v>200</v>
      </c>
      <c r="C8548" s="23">
        <v>0</v>
      </c>
      <c r="D8548" s="23">
        <v>0</v>
      </c>
      <c r="E8548" s="23">
        <v>0</v>
      </c>
      <c r="F8548" s="23">
        <v>0</v>
      </c>
      <c r="G8548" s="23">
        <v>0</v>
      </c>
      <c r="H8548" s="23">
        <v>0</v>
      </c>
      <c r="I8548" s="23">
        <v>0</v>
      </c>
      <c r="J8548" s="23">
        <v>0</v>
      </c>
      <c r="K8548" s="23">
        <v>200</v>
      </c>
    </row>
    <row r="8549" spans="1:11" x14ac:dyDescent="0.25">
      <c r="A8549">
        <v>8548</v>
      </c>
      <c r="B8549" s="23">
        <v>210.4</v>
      </c>
      <c r="C8549" s="23">
        <v>0</v>
      </c>
      <c r="D8549" s="23">
        <v>0</v>
      </c>
      <c r="E8549" s="23">
        <v>0</v>
      </c>
      <c r="F8549" s="23">
        <v>0</v>
      </c>
      <c r="G8549" s="23">
        <v>0</v>
      </c>
      <c r="H8549" s="23">
        <v>0</v>
      </c>
      <c r="I8549" s="23">
        <v>0</v>
      </c>
      <c r="J8549" s="23">
        <v>0</v>
      </c>
      <c r="K8549" s="23">
        <v>210.4</v>
      </c>
    </row>
    <row r="8550" spans="1:11" x14ac:dyDescent="0.25">
      <c r="A8550">
        <v>8549</v>
      </c>
      <c r="B8550" s="23">
        <v>123.2</v>
      </c>
      <c r="C8550" s="23">
        <v>0</v>
      </c>
      <c r="D8550" s="23">
        <v>0</v>
      </c>
      <c r="E8550" s="23">
        <v>0</v>
      </c>
      <c r="F8550" s="23">
        <v>0</v>
      </c>
      <c r="G8550" s="23">
        <v>0</v>
      </c>
      <c r="H8550" s="23">
        <v>0</v>
      </c>
      <c r="I8550" s="23">
        <v>0</v>
      </c>
      <c r="J8550" s="23">
        <v>0</v>
      </c>
      <c r="K8550" s="23">
        <v>123.2</v>
      </c>
    </row>
    <row r="8551" spans="1:11" x14ac:dyDescent="0.25">
      <c r="A8551">
        <v>8550</v>
      </c>
      <c r="B8551" s="23">
        <v>180</v>
      </c>
      <c r="C8551" s="23">
        <v>0</v>
      </c>
      <c r="D8551" s="23">
        <v>0</v>
      </c>
      <c r="E8551" s="23">
        <v>0</v>
      </c>
      <c r="F8551" s="23">
        <v>0</v>
      </c>
      <c r="G8551" s="23">
        <v>0</v>
      </c>
      <c r="H8551" s="23">
        <v>0</v>
      </c>
      <c r="I8551" s="23">
        <v>0</v>
      </c>
      <c r="J8551" s="23">
        <v>0</v>
      </c>
      <c r="K8551" s="23">
        <v>180</v>
      </c>
    </row>
    <row r="8552" spans="1:11" x14ac:dyDescent="0.25">
      <c r="A8552">
        <v>8551</v>
      </c>
      <c r="B8552" s="23">
        <v>153.6</v>
      </c>
      <c r="C8552" s="23">
        <v>27.04</v>
      </c>
      <c r="D8552" s="23">
        <v>68.777000000000001</v>
      </c>
      <c r="E8552" s="23">
        <v>68.777000000000001</v>
      </c>
      <c r="F8552" s="23">
        <v>0</v>
      </c>
      <c r="G8552" s="23">
        <v>0</v>
      </c>
      <c r="H8552" s="23">
        <v>0</v>
      </c>
      <c r="I8552" s="23">
        <v>0</v>
      </c>
      <c r="J8552" s="23">
        <v>0</v>
      </c>
      <c r="K8552" s="23">
        <v>84.822999999999993</v>
      </c>
    </row>
    <row r="8553" spans="1:11" x14ac:dyDescent="0.25">
      <c r="A8553">
        <v>8552</v>
      </c>
      <c r="B8553" s="23">
        <v>243.99199999999999</v>
      </c>
      <c r="C8553" s="23">
        <v>184.91</v>
      </c>
      <c r="D8553" s="23">
        <v>739.29300000000001</v>
      </c>
      <c r="E8553" s="23">
        <v>243.99199999999999</v>
      </c>
      <c r="F8553" s="23">
        <v>-495.30099999999999</v>
      </c>
      <c r="G8553" s="23">
        <v>0</v>
      </c>
      <c r="H8553" s="23">
        <v>0</v>
      </c>
      <c r="I8553" s="23">
        <v>0</v>
      </c>
      <c r="J8553" s="23">
        <v>0</v>
      </c>
      <c r="K8553" s="23">
        <v>0</v>
      </c>
    </row>
    <row r="8554" spans="1:11" x14ac:dyDescent="0.25">
      <c r="A8554">
        <v>8553</v>
      </c>
      <c r="B8554" s="23">
        <v>437.88400000000001</v>
      </c>
      <c r="C8554" s="23">
        <v>326.66000000000003</v>
      </c>
      <c r="D8554" s="23">
        <v>1340.9069999999999</v>
      </c>
      <c r="E8554" s="23">
        <v>437.88400000000001</v>
      </c>
      <c r="F8554" s="23">
        <v>-903.02300000000002</v>
      </c>
      <c r="G8554" s="23">
        <v>0</v>
      </c>
      <c r="H8554" s="23">
        <v>0</v>
      </c>
      <c r="I8554" s="23">
        <v>0</v>
      </c>
      <c r="J8554" s="23">
        <v>0</v>
      </c>
      <c r="K8554" s="23">
        <v>0</v>
      </c>
    </row>
    <row r="8555" spans="1:11" x14ac:dyDescent="0.25">
      <c r="A8555">
        <v>8554</v>
      </c>
      <c r="B8555" s="23">
        <v>969.50599999999997</v>
      </c>
      <c r="C8555" s="23">
        <v>436.8</v>
      </c>
      <c r="D8555" s="23">
        <v>1768.741</v>
      </c>
      <c r="E8555" s="23">
        <v>969.50599999999997</v>
      </c>
      <c r="F8555" s="23">
        <v>-799.23500000000001</v>
      </c>
      <c r="G8555" s="23">
        <v>0</v>
      </c>
      <c r="H8555" s="23">
        <v>0</v>
      </c>
      <c r="I8555" s="23">
        <v>0</v>
      </c>
      <c r="J8555" s="23">
        <v>0</v>
      </c>
      <c r="K8555" s="23">
        <v>0</v>
      </c>
    </row>
    <row r="8556" spans="1:11" x14ac:dyDescent="0.25">
      <c r="A8556">
        <v>8555</v>
      </c>
      <c r="B8556" s="23">
        <v>1470.6379999999999</v>
      </c>
      <c r="C8556" s="23">
        <v>524.69000000000005</v>
      </c>
      <c r="D8556" s="23">
        <v>2098.58</v>
      </c>
      <c r="E8556" s="23">
        <v>1470.6379999999999</v>
      </c>
      <c r="F8556" s="23">
        <v>-627.94200000000001</v>
      </c>
      <c r="G8556" s="23">
        <v>0</v>
      </c>
      <c r="H8556" s="23">
        <v>0</v>
      </c>
      <c r="I8556" s="23">
        <v>0</v>
      </c>
      <c r="J8556" s="23">
        <v>0</v>
      </c>
      <c r="K8556" s="23">
        <v>0</v>
      </c>
    </row>
    <row r="8557" spans="1:11" x14ac:dyDescent="0.25">
      <c r="A8557">
        <v>8556</v>
      </c>
      <c r="B8557" s="23">
        <v>1520.337</v>
      </c>
      <c r="C8557" s="23">
        <v>639.45000000000005</v>
      </c>
      <c r="D8557" s="23">
        <v>2528.8879999999999</v>
      </c>
      <c r="E8557" s="23">
        <v>1520.337</v>
      </c>
      <c r="F8557" s="23">
        <v>-1008.551</v>
      </c>
      <c r="G8557" s="23">
        <v>0</v>
      </c>
      <c r="H8557" s="23">
        <v>0</v>
      </c>
      <c r="I8557" s="23">
        <v>0</v>
      </c>
      <c r="J8557" s="23">
        <v>0</v>
      </c>
      <c r="K8557" s="23">
        <v>0</v>
      </c>
    </row>
    <row r="8558" spans="1:11" x14ac:dyDescent="0.25">
      <c r="A8558">
        <v>8557</v>
      </c>
      <c r="B8558" s="23">
        <v>1436.0909999999999</v>
      </c>
      <c r="C8558" s="23">
        <v>646.24</v>
      </c>
      <c r="D8558" s="23">
        <v>2543.5169999999998</v>
      </c>
      <c r="E8558" s="23">
        <v>1436.0909999999999</v>
      </c>
      <c r="F8558" s="23">
        <v>-134.50899999999999</v>
      </c>
      <c r="G8558" s="23">
        <v>0</v>
      </c>
      <c r="H8558" s="23">
        <v>972.91700000000003</v>
      </c>
      <c r="I8558" s="23">
        <v>0</v>
      </c>
      <c r="J8558" s="23">
        <v>0</v>
      </c>
      <c r="K8558" s="23">
        <v>0</v>
      </c>
    </row>
    <row r="8559" spans="1:11" x14ac:dyDescent="0.25">
      <c r="A8559">
        <v>8558</v>
      </c>
      <c r="B8559" s="23">
        <v>1653.2460000000001</v>
      </c>
      <c r="C8559" s="23">
        <v>503.83</v>
      </c>
      <c r="D8559" s="23">
        <v>1989.7159999999999</v>
      </c>
      <c r="E8559" s="23">
        <v>1653.2460000000001</v>
      </c>
      <c r="F8559" s="23">
        <v>0</v>
      </c>
      <c r="G8559" s="23">
        <v>0</v>
      </c>
      <c r="H8559" s="23">
        <v>336.47</v>
      </c>
      <c r="I8559" s="23">
        <v>0</v>
      </c>
      <c r="J8559" s="23">
        <v>0</v>
      </c>
      <c r="K8559" s="23">
        <v>0</v>
      </c>
    </row>
    <row r="8560" spans="1:11" x14ac:dyDescent="0.25">
      <c r="A8560">
        <v>8559</v>
      </c>
      <c r="B8560" s="23">
        <v>1597.991</v>
      </c>
      <c r="C8560" s="23">
        <v>424.73</v>
      </c>
      <c r="D8560" s="23">
        <v>1693.0619999999999</v>
      </c>
      <c r="E8560" s="23">
        <v>1597.991</v>
      </c>
      <c r="F8560" s="23">
        <v>0</v>
      </c>
      <c r="G8560" s="23">
        <v>0</v>
      </c>
      <c r="H8560" s="23">
        <v>95.070999999999998</v>
      </c>
      <c r="I8560" s="23">
        <v>0</v>
      </c>
      <c r="J8560" s="23">
        <v>0</v>
      </c>
      <c r="K8560" s="23">
        <v>0</v>
      </c>
    </row>
    <row r="8561" spans="1:11" x14ac:dyDescent="0.25">
      <c r="A8561">
        <v>8560</v>
      </c>
      <c r="B8561" s="23">
        <v>1630.98</v>
      </c>
      <c r="C8561" s="23">
        <v>73.56</v>
      </c>
      <c r="D8561" s="23">
        <v>268.86700000000002</v>
      </c>
      <c r="E8561" s="23">
        <v>268.86700000000002</v>
      </c>
      <c r="F8561" s="23">
        <v>0</v>
      </c>
      <c r="G8561" s="23">
        <v>0</v>
      </c>
      <c r="H8561" s="23">
        <v>0</v>
      </c>
      <c r="I8561" s="23">
        <v>1362.1130000000001</v>
      </c>
      <c r="J8561" s="23">
        <v>0</v>
      </c>
      <c r="K8561" s="23">
        <v>0</v>
      </c>
    </row>
    <row r="8562" spans="1:11" x14ac:dyDescent="0.25">
      <c r="A8562">
        <v>8561</v>
      </c>
      <c r="B8562" s="23">
        <v>1716.665</v>
      </c>
      <c r="C8562" s="23">
        <v>137.19</v>
      </c>
      <c r="D8562" s="23">
        <v>521.11699999999996</v>
      </c>
      <c r="E8562" s="23">
        <v>521.11699999999996</v>
      </c>
      <c r="F8562" s="23">
        <v>0</v>
      </c>
      <c r="G8562" s="23">
        <v>0</v>
      </c>
      <c r="H8562" s="23">
        <v>0</v>
      </c>
      <c r="I8562" s="23">
        <v>1195.548</v>
      </c>
      <c r="J8562" s="23">
        <v>0</v>
      </c>
      <c r="K8562" s="23">
        <v>0</v>
      </c>
    </row>
    <row r="8563" spans="1:11" x14ac:dyDescent="0.25">
      <c r="A8563">
        <v>8562</v>
      </c>
      <c r="B8563" s="23">
        <v>1572.7349999999999</v>
      </c>
      <c r="C8563" s="23">
        <v>9.08</v>
      </c>
      <c r="D8563" s="23">
        <v>0</v>
      </c>
      <c r="E8563" s="23">
        <v>0</v>
      </c>
      <c r="F8563" s="23">
        <v>0</v>
      </c>
      <c r="G8563" s="23">
        <v>0</v>
      </c>
      <c r="H8563" s="23">
        <v>0</v>
      </c>
      <c r="I8563" s="23">
        <v>0</v>
      </c>
      <c r="J8563" s="23">
        <v>0</v>
      </c>
      <c r="K8563" s="23">
        <v>1572.7349999999999</v>
      </c>
    </row>
    <row r="8564" spans="1:11" x14ac:dyDescent="0.25">
      <c r="A8564">
        <v>8563</v>
      </c>
      <c r="B8564" s="23">
        <v>1589.6</v>
      </c>
      <c r="C8564" s="23">
        <v>0</v>
      </c>
      <c r="D8564" s="23">
        <v>0</v>
      </c>
      <c r="E8564" s="23">
        <v>0</v>
      </c>
      <c r="F8564" s="23">
        <v>0</v>
      </c>
      <c r="G8564" s="23">
        <v>0</v>
      </c>
      <c r="H8564" s="23">
        <v>0</v>
      </c>
      <c r="I8564" s="23">
        <v>0</v>
      </c>
      <c r="J8564" s="23">
        <v>0</v>
      </c>
      <c r="K8564" s="23">
        <v>1589.6</v>
      </c>
    </row>
    <row r="8565" spans="1:11" x14ac:dyDescent="0.25">
      <c r="A8565">
        <v>8564</v>
      </c>
      <c r="B8565" s="23">
        <v>1557.6</v>
      </c>
      <c r="C8565" s="23">
        <v>0</v>
      </c>
      <c r="D8565" s="23">
        <v>0</v>
      </c>
      <c r="E8565" s="23">
        <v>0</v>
      </c>
      <c r="F8565" s="23">
        <v>0</v>
      </c>
      <c r="G8565" s="23">
        <v>0</v>
      </c>
      <c r="H8565" s="23">
        <v>0</v>
      </c>
      <c r="I8565" s="23">
        <v>0</v>
      </c>
      <c r="J8565" s="23">
        <v>0</v>
      </c>
      <c r="K8565" s="23">
        <v>1557.6</v>
      </c>
    </row>
    <row r="8566" spans="1:11" x14ac:dyDescent="0.25">
      <c r="A8566">
        <v>8565</v>
      </c>
      <c r="B8566" s="23">
        <v>1602.4</v>
      </c>
      <c r="C8566" s="23">
        <v>0</v>
      </c>
      <c r="D8566" s="23">
        <v>0</v>
      </c>
      <c r="E8566" s="23">
        <v>0</v>
      </c>
      <c r="F8566" s="23">
        <v>0</v>
      </c>
      <c r="G8566" s="23">
        <v>0</v>
      </c>
      <c r="H8566" s="23">
        <v>0</v>
      </c>
      <c r="I8566" s="23">
        <v>1602.4</v>
      </c>
      <c r="J8566" s="23">
        <v>0</v>
      </c>
      <c r="K8566" s="23">
        <v>0</v>
      </c>
    </row>
    <row r="8567" spans="1:11" x14ac:dyDescent="0.25">
      <c r="A8567">
        <v>8566</v>
      </c>
      <c r="B8567" s="23">
        <v>1444</v>
      </c>
      <c r="C8567" s="23">
        <v>0</v>
      </c>
      <c r="D8567" s="23">
        <v>0</v>
      </c>
      <c r="E8567" s="23">
        <v>0</v>
      </c>
      <c r="F8567" s="23">
        <v>0</v>
      </c>
      <c r="G8567" s="23">
        <v>0</v>
      </c>
      <c r="H8567" s="23">
        <v>0</v>
      </c>
      <c r="I8567" s="23">
        <v>1444</v>
      </c>
      <c r="J8567" s="23">
        <v>0</v>
      </c>
      <c r="K8567" s="23">
        <v>0</v>
      </c>
    </row>
    <row r="8568" spans="1:11" x14ac:dyDescent="0.25">
      <c r="A8568">
        <v>8567</v>
      </c>
      <c r="B8568" s="23">
        <v>1375.2</v>
      </c>
      <c r="C8568" s="23">
        <v>0</v>
      </c>
      <c r="D8568" s="23">
        <v>0</v>
      </c>
      <c r="E8568" s="23">
        <v>0</v>
      </c>
      <c r="F8568" s="23">
        <v>0</v>
      </c>
      <c r="G8568" s="23">
        <v>0</v>
      </c>
      <c r="H8568" s="23">
        <v>0</v>
      </c>
      <c r="I8568" s="23">
        <v>1375.2</v>
      </c>
      <c r="J8568" s="23">
        <v>0</v>
      </c>
      <c r="K8568" s="23">
        <v>0</v>
      </c>
    </row>
    <row r="8569" spans="1:11" x14ac:dyDescent="0.25">
      <c r="A8569">
        <v>8568</v>
      </c>
      <c r="B8569" s="23">
        <v>1093.5999999999999</v>
      </c>
      <c r="C8569" s="23">
        <v>0</v>
      </c>
      <c r="D8569" s="23">
        <v>0</v>
      </c>
      <c r="E8569" s="23">
        <v>0</v>
      </c>
      <c r="F8569" s="23">
        <v>0</v>
      </c>
      <c r="G8569" s="23">
        <v>0</v>
      </c>
      <c r="H8569" s="23">
        <v>0</v>
      </c>
      <c r="I8569" s="23">
        <v>1093.5999999999999</v>
      </c>
      <c r="J8569" s="23">
        <v>0</v>
      </c>
      <c r="K8569" s="23">
        <v>0</v>
      </c>
    </row>
    <row r="8570" spans="1:11" x14ac:dyDescent="0.25">
      <c r="A8570">
        <v>8569</v>
      </c>
      <c r="B8570" s="23">
        <v>1228</v>
      </c>
      <c r="C8570" s="23">
        <v>0</v>
      </c>
      <c r="D8570" s="23">
        <v>0</v>
      </c>
      <c r="E8570" s="23">
        <v>0</v>
      </c>
      <c r="F8570" s="23">
        <v>0</v>
      </c>
      <c r="G8570" s="23">
        <v>0</v>
      </c>
      <c r="H8570" s="23">
        <v>0</v>
      </c>
      <c r="I8570" s="23">
        <v>1228</v>
      </c>
      <c r="J8570" s="23">
        <v>0</v>
      </c>
      <c r="K8570" s="23">
        <v>0</v>
      </c>
    </row>
    <row r="8571" spans="1:11" x14ac:dyDescent="0.25">
      <c r="A8571">
        <v>8570</v>
      </c>
      <c r="B8571" s="23">
        <v>1288</v>
      </c>
      <c r="C8571" s="23">
        <v>0</v>
      </c>
      <c r="D8571" s="23">
        <v>0</v>
      </c>
      <c r="E8571" s="23">
        <v>0</v>
      </c>
      <c r="F8571" s="23">
        <v>0</v>
      </c>
      <c r="G8571" s="23">
        <v>0</v>
      </c>
      <c r="H8571" s="23">
        <v>0</v>
      </c>
      <c r="I8571" s="23">
        <v>1288</v>
      </c>
      <c r="J8571" s="23">
        <v>0</v>
      </c>
      <c r="K8571" s="23">
        <v>0</v>
      </c>
    </row>
    <row r="8572" spans="1:11" x14ac:dyDescent="0.25">
      <c r="A8572">
        <v>8571</v>
      </c>
      <c r="B8572" s="23">
        <v>1141.5999999999999</v>
      </c>
      <c r="C8572" s="23">
        <v>0</v>
      </c>
      <c r="D8572" s="23">
        <v>0</v>
      </c>
      <c r="E8572" s="23">
        <v>0</v>
      </c>
      <c r="F8572" s="23">
        <v>0</v>
      </c>
      <c r="G8572" s="23">
        <v>0</v>
      </c>
      <c r="H8572" s="23">
        <v>0</v>
      </c>
      <c r="I8572" s="23">
        <v>1141.5999999999999</v>
      </c>
      <c r="J8572" s="23">
        <v>0</v>
      </c>
      <c r="K8572" s="23">
        <v>0</v>
      </c>
    </row>
    <row r="8573" spans="1:11" x14ac:dyDescent="0.25">
      <c r="A8573">
        <v>8572</v>
      </c>
      <c r="B8573" s="23">
        <v>1294.4000000000001</v>
      </c>
      <c r="C8573" s="23">
        <v>0</v>
      </c>
      <c r="D8573" s="23">
        <v>0</v>
      </c>
      <c r="E8573" s="23">
        <v>0</v>
      </c>
      <c r="F8573" s="23">
        <v>0</v>
      </c>
      <c r="G8573" s="23">
        <v>0</v>
      </c>
      <c r="H8573" s="23">
        <v>0</v>
      </c>
      <c r="I8573" s="23">
        <v>1294.4000000000001</v>
      </c>
      <c r="J8573" s="23">
        <v>0</v>
      </c>
      <c r="K8573" s="23">
        <v>0</v>
      </c>
    </row>
    <row r="8574" spans="1:11" x14ac:dyDescent="0.25">
      <c r="A8574">
        <v>8573</v>
      </c>
      <c r="B8574" s="23">
        <v>1065.5999999999999</v>
      </c>
      <c r="C8574" s="23">
        <v>0</v>
      </c>
      <c r="D8574" s="23">
        <v>0</v>
      </c>
      <c r="E8574" s="23">
        <v>0</v>
      </c>
      <c r="F8574" s="23">
        <v>0</v>
      </c>
      <c r="G8574" s="23">
        <v>0</v>
      </c>
      <c r="H8574" s="23">
        <v>0</v>
      </c>
      <c r="I8574" s="23">
        <v>905.22400000000005</v>
      </c>
      <c r="J8574" s="23">
        <v>0</v>
      </c>
      <c r="K8574" s="23">
        <v>160.376</v>
      </c>
    </row>
    <row r="8575" spans="1:11" x14ac:dyDescent="0.25">
      <c r="A8575">
        <v>8574</v>
      </c>
      <c r="B8575" s="23">
        <v>829.6</v>
      </c>
      <c r="C8575" s="23">
        <v>0</v>
      </c>
      <c r="D8575" s="23">
        <v>0</v>
      </c>
      <c r="E8575" s="23">
        <v>0</v>
      </c>
      <c r="F8575" s="23">
        <v>0</v>
      </c>
      <c r="G8575" s="23">
        <v>0</v>
      </c>
      <c r="H8575" s="23">
        <v>0</v>
      </c>
      <c r="I8575" s="23">
        <v>0</v>
      </c>
      <c r="J8575" s="23">
        <v>0</v>
      </c>
      <c r="K8575" s="23">
        <v>829.6</v>
      </c>
    </row>
    <row r="8576" spans="1:11" x14ac:dyDescent="0.25">
      <c r="A8576">
        <v>8575</v>
      </c>
      <c r="B8576" s="23">
        <v>1029.5999999999999</v>
      </c>
      <c r="C8576" s="23">
        <v>74.81</v>
      </c>
      <c r="D8576" s="23">
        <v>187.66200000000001</v>
      </c>
      <c r="E8576" s="23">
        <v>187.66200000000001</v>
      </c>
      <c r="F8576" s="23">
        <v>0</v>
      </c>
      <c r="G8576" s="23">
        <v>0</v>
      </c>
      <c r="H8576" s="23">
        <v>0</v>
      </c>
      <c r="I8576" s="23">
        <v>0</v>
      </c>
      <c r="J8576" s="23">
        <v>0</v>
      </c>
      <c r="K8576" s="23">
        <v>841.93799999999999</v>
      </c>
    </row>
    <row r="8577" spans="1:11" x14ac:dyDescent="0.25">
      <c r="A8577">
        <v>8576</v>
      </c>
      <c r="B8577" s="23">
        <v>822.30700000000002</v>
      </c>
      <c r="C8577" s="23">
        <v>308.38</v>
      </c>
      <c r="D8577" s="23">
        <v>1207.5640000000001</v>
      </c>
      <c r="E8577" s="23">
        <v>822.30700000000002</v>
      </c>
      <c r="F8577" s="23">
        <v>-385.25700000000001</v>
      </c>
      <c r="G8577" s="23">
        <v>0</v>
      </c>
      <c r="H8577" s="23">
        <v>0</v>
      </c>
      <c r="I8577" s="23">
        <v>0</v>
      </c>
      <c r="J8577" s="23">
        <v>0</v>
      </c>
      <c r="K8577" s="23">
        <v>0</v>
      </c>
    </row>
    <row r="8578" spans="1:11" x14ac:dyDescent="0.25">
      <c r="A8578">
        <v>8577</v>
      </c>
      <c r="B8578" s="23">
        <v>592.19299999999998</v>
      </c>
      <c r="C8578" s="23">
        <v>545.41999999999996</v>
      </c>
      <c r="D8578" s="23">
        <v>2211.56</v>
      </c>
      <c r="E8578" s="23">
        <v>592.19299999999998</v>
      </c>
      <c r="F8578" s="23">
        <v>-1619.367</v>
      </c>
      <c r="G8578" s="23">
        <v>0</v>
      </c>
      <c r="H8578" s="23">
        <v>0</v>
      </c>
      <c r="I8578" s="23">
        <v>0</v>
      </c>
      <c r="J8578" s="23">
        <v>0</v>
      </c>
      <c r="K8578" s="23">
        <v>0</v>
      </c>
    </row>
    <row r="8579" spans="1:11" x14ac:dyDescent="0.25">
      <c r="A8579">
        <v>8578</v>
      </c>
      <c r="B8579" s="23">
        <v>240.54400000000001</v>
      </c>
      <c r="C8579" s="23">
        <v>733.07</v>
      </c>
      <c r="D8579" s="23">
        <v>2897.0720000000001</v>
      </c>
      <c r="E8579" s="23">
        <v>240.54499999999999</v>
      </c>
      <c r="F8579" s="23">
        <v>-1684.559</v>
      </c>
      <c r="G8579" s="23">
        <v>0</v>
      </c>
      <c r="H8579" s="23">
        <v>971.96799999999996</v>
      </c>
      <c r="I8579" s="23">
        <v>0</v>
      </c>
      <c r="J8579" s="23">
        <v>0</v>
      </c>
      <c r="K8579" s="23">
        <v>0</v>
      </c>
    </row>
    <row r="8580" spans="1:11" x14ac:dyDescent="0.25">
      <c r="A8580">
        <v>8579</v>
      </c>
      <c r="B8580" s="23">
        <v>160.732</v>
      </c>
      <c r="C8580" s="23">
        <v>636.27</v>
      </c>
      <c r="D8580" s="23">
        <v>2499.9850000000001</v>
      </c>
      <c r="E8580" s="23">
        <v>160.732</v>
      </c>
      <c r="F8580" s="23">
        <v>-1684.559</v>
      </c>
      <c r="G8580" s="23">
        <v>0</v>
      </c>
      <c r="H8580" s="23">
        <v>654.69399999999996</v>
      </c>
      <c r="I8580" s="23">
        <v>0</v>
      </c>
      <c r="J8580" s="23">
        <v>0</v>
      </c>
      <c r="K8580" s="23">
        <v>0</v>
      </c>
    </row>
    <row r="8581" spans="1:11" x14ac:dyDescent="0.25">
      <c r="A8581">
        <v>8580</v>
      </c>
      <c r="B8581" s="23">
        <v>234.45500000000001</v>
      </c>
      <c r="C8581" s="23">
        <v>607.99</v>
      </c>
      <c r="D8581" s="23">
        <v>2377.846</v>
      </c>
      <c r="E8581" s="23">
        <v>234.45599999999999</v>
      </c>
      <c r="F8581" s="23">
        <v>-1684.559</v>
      </c>
      <c r="G8581" s="23">
        <v>0</v>
      </c>
      <c r="H8581" s="23">
        <v>458.83100000000002</v>
      </c>
      <c r="I8581" s="23">
        <v>0</v>
      </c>
      <c r="J8581" s="23">
        <v>0</v>
      </c>
      <c r="K8581" s="23">
        <v>0</v>
      </c>
    </row>
    <row r="8582" spans="1:11" x14ac:dyDescent="0.25">
      <c r="A8582">
        <v>8581</v>
      </c>
      <c r="B8582" s="23">
        <v>799.11199999999997</v>
      </c>
      <c r="C8582" s="23">
        <v>800.44</v>
      </c>
      <c r="D8582" s="23">
        <v>3095.4270000000001</v>
      </c>
      <c r="E8582" s="23">
        <v>799.11199999999997</v>
      </c>
      <c r="F8582" s="23">
        <v>-233.197</v>
      </c>
      <c r="G8582" s="23">
        <v>0</v>
      </c>
      <c r="H8582" s="23">
        <v>2063.1179999999999</v>
      </c>
      <c r="I8582" s="23">
        <v>0</v>
      </c>
      <c r="J8582" s="23">
        <v>0</v>
      </c>
      <c r="K8582" s="23">
        <v>0</v>
      </c>
    </row>
    <row r="8583" spans="1:11" x14ac:dyDescent="0.25">
      <c r="A8583">
        <v>8582</v>
      </c>
      <c r="B8583" s="23">
        <v>1280.0930000000001</v>
      </c>
      <c r="C8583" s="23">
        <v>635.65</v>
      </c>
      <c r="D8583" s="23">
        <v>2496.1619999999998</v>
      </c>
      <c r="E8583" s="23">
        <v>1280.0930000000001</v>
      </c>
      <c r="F8583" s="23">
        <v>0</v>
      </c>
      <c r="G8583" s="23">
        <v>0</v>
      </c>
      <c r="H8583" s="23">
        <v>1216.069</v>
      </c>
      <c r="I8583" s="23">
        <v>0</v>
      </c>
      <c r="J8583" s="23">
        <v>0</v>
      </c>
      <c r="K8583" s="23">
        <v>0</v>
      </c>
    </row>
    <row r="8584" spans="1:11" x14ac:dyDescent="0.25">
      <c r="A8584">
        <v>8583</v>
      </c>
      <c r="B8584" s="23">
        <v>1234.242</v>
      </c>
      <c r="C8584" s="23">
        <v>429.79</v>
      </c>
      <c r="D8584" s="23">
        <v>1713.72</v>
      </c>
      <c r="E8584" s="23">
        <v>1234.242</v>
      </c>
      <c r="F8584" s="23">
        <v>0</v>
      </c>
      <c r="G8584" s="23">
        <v>0</v>
      </c>
      <c r="H8584" s="23">
        <v>479.47800000000001</v>
      </c>
      <c r="I8584" s="23">
        <v>0</v>
      </c>
      <c r="J8584" s="23">
        <v>0</v>
      </c>
      <c r="K8584" s="23">
        <v>0</v>
      </c>
    </row>
    <row r="8585" spans="1:11" x14ac:dyDescent="0.25">
      <c r="A8585">
        <v>8584</v>
      </c>
      <c r="B8585" s="23">
        <v>1396.75</v>
      </c>
      <c r="C8585" s="23">
        <v>206.02</v>
      </c>
      <c r="D8585" s="23">
        <v>816.88199999999995</v>
      </c>
      <c r="E8585" s="23">
        <v>816.88199999999995</v>
      </c>
      <c r="F8585" s="23">
        <v>0</v>
      </c>
      <c r="G8585" s="23">
        <v>0</v>
      </c>
      <c r="H8585" s="23">
        <v>0</v>
      </c>
      <c r="I8585" s="23">
        <v>579.86800000000005</v>
      </c>
      <c r="J8585" s="23">
        <v>0</v>
      </c>
      <c r="K8585" s="23">
        <v>0</v>
      </c>
    </row>
    <row r="8586" spans="1:11" x14ac:dyDescent="0.25">
      <c r="A8586">
        <v>8585</v>
      </c>
      <c r="B8586" s="23">
        <v>1167.432</v>
      </c>
      <c r="C8586" s="23">
        <v>109.53</v>
      </c>
      <c r="D8586" s="23">
        <v>403.07900000000001</v>
      </c>
      <c r="E8586" s="23">
        <v>403.07900000000001</v>
      </c>
      <c r="F8586" s="23">
        <v>0</v>
      </c>
      <c r="G8586" s="23">
        <v>0</v>
      </c>
      <c r="H8586" s="23">
        <v>0</v>
      </c>
      <c r="I8586" s="23">
        <v>764.35299999999995</v>
      </c>
      <c r="J8586" s="23">
        <v>0</v>
      </c>
      <c r="K8586" s="23">
        <v>0</v>
      </c>
    </row>
    <row r="8587" spans="1:11" x14ac:dyDescent="0.25">
      <c r="A8587">
        <v>8586</v>
      </c>
      <c r="B8587" s="23">
        <v>1508.6610000000001</v>
      </c>
      <c r="C8587" s="23">
        <v>12.86</v>
      </c>
      <c r="D8587" s="23">
        <v>4.3959999999999999</v>
      </c>
      <c r="E8587" s="23">
        <v>4.3959999999999999</v>
      </c>
      <c r="F8587" s="23">
        <v>0</v>
      </c>
      <c r="G8587" s="23">
        <v>0</v>
      </c>
      <c r="H8587" s="23">
        <v>0</v>
      </c>
      <c r="I8587" s="23">
        <v>0</v>
      </c>
      <c r="J8587" s="23">
        <v>0</v>
      </c>
      <c r="K8587" s="23">
        <v>1504.2650000000001</v>
      </c>
    </row>
    <row r="8588" spans="1:11" x14ac:dyDescent="0.25">
      <c r="A8588">
        <v>8587</v>
      </c>
      <c r="B8588" s="23">
        <v>1127.2</v>
      </c>
      <c r="C8588" s="23">
        <v>0</v>
      </c>
      <c r="D8588" s="23">
        <v>0</v>
      </c>
      <c r="E8588" s="23">
        <v>0</v>
      </c>
      <c r="F8588" s="23">
        <v>0</v>
      </c>
      <c r="G8588" s="23">
        <v>0</v>
      </c>
      <c r="H8588" s="23">
        <v>0</v>
      </c>
      <c r="I8588" s="23">
        <v>0</v>
      </c>
      <c r="J8588" s="23">
        <v>0</v>
      </c>
      <c r="K8588" s="23">
        <v>1127.2</v>
      </c>
    </row>
    <row r="8589" spans="1:11" x14ac:dyDescent="0.25">
      <c r="A8589">
        <v>8588</v>
      </c>
      <c r="B8589" s="23">
        <v>1019.2</v>
      </c>
      <c r="C8589" s="23">
        <v>0</v>
      </c>
      <c r="D8589" s="23">
        <v>0</v>
      </c>
      <c r="E8589" s="23">
        <v>0</v>
      </c>
      <c r="F8589" s="23">
        <v>0</v>
      </c>
      <c r="G8589" s="23">
        <v>0</v>
      </c>
      <c r="H8589" s="23">
        <v>0</v>
      </c>
      <c r="I8589" s="23">
        <v>0</v>
      </c>
      <c r="J8589" s="23">
        <v>0</v>
      </c>
      <c r="K8589" s="23">
        <v>1019.2</v>
      </c>
    </row>
    <row r="8590" spans="1:11" x14ac:dyDescent="0.25">
      <c r="A8590">
        <v>8589</v>
      </c>
      <c r="B8590" s="23">
        <v>1018.4</v>
      </c>
      <c r="C8590" s="23">
        <v>0</v>
      </c>
      <c r="D8590" s="23">
        <v>0</v>
      </c>
      <c r="E8590" s="23">
        <v>0</v>
      </c>
      <c r="F8590" s="23">
        <v>0</v>
      </c>
      <c r="G8590" s="23">
        <v>0</v>
      </c>
      <c r="H8590" s="23">
        <v>0</v>
      </c>
      <c r="I8590" s="23">
        <v>1018.4</v>
      </c>
      <c r="J8590" s="23">
        <v>0</v>
      </c>
      <c r="K8590" s="23">
        <v>0</v>
      </c>
    </row>
    <row r="8591" spans="1:11" x14ac:dyDescent="0.25">
      <c r="A8591">
        <v>8590</v>
      </c>
      <c r="B8591" s="23">
        <v>1072</v>
      </c>
      <c r="C8591" s="23">
        <v>0</v>
      </c>
      <c r="D8591" s="23">
        <v>0</v>
      </c>
      <c r="E8591" s="23">
        <v>0</v>
      </c>
      <c r="F8591" s="23">
        <v>0</v>
      </c>
      <c r="G8591" s="23">
        <v>0</v>
      </c>
      <c r="H8591" s="23">
        <v>0</v>
      </c>
      <c r="I8591" s="23">
        <v>1072</v>
      </c>
      <c r="J8591" s="23">
        <v>0</v>
      </c>
      <c r="K8591" s="23">
        <v>0</v>
      </c>
    </row>
    <row r="8592" spans="1:11" x14ac:dyDescent="0.25">
      <c r="A8592">
        <v>8591</v>
      </c>
      <c r="B8592" s="23">
        <v>1246.4000000000001</v>
      </c>
      <c r="C8592" s="23">
        <v>0</v>
      </c>
      <c r="D8592" s="23">
        <v>0</v>
      </c>
      <c r="E8592" s="23">
        <v>0</v>
      </c>
      <c r="F8592" s="23">
        <v>0</v>
      </c>
      <c r="G8592" s="23">
        <v>0</v>
      </c>
      <c r="H8592" s="23">
        <v>0</v>
      </c>
      <c r="I8592" s="23">
        <v>1246.4000000000001</v>
      </c>
      <c r="J8592" s="23">
        <v>0</v>
      </c>
      <c r="K8592" s="23">
        <v>0</v>
      </c>
    </row>
    <row r="8593" spans="1:11" x14ac:dyDescent="0.25">
      <c r="A8593">
        <v>8592</v>
      </c>
      <c r="B8593" s="23">
        <v>1248</v>
      </c>
      <c r="C8593" s="23">
        <v>0</v>
      </c>
      <c r="D8593" s="23">
        <v>0</v>
      </c>
      <c r="E8593" s="23">
        <v>0</v>
      </c>
      <c r="F8593" s="23">
        <v>0</v>
      </c>
      <c r="G8593" s="23">
        <v>0</v>
      </c>
      <c r="H8593" s="23">
        <v>0</v>
      </c>
      <c r="I8593" s="23">
        <v>1248</v>
      </c>
      <c r="J8593" s="23">
        <v>0</v>
      </c>
      <c r="K8593" s="23">
        <v>0</v>
      </c>
    </row>
    <row r="8594" spans="1:11" x14ac:dyDescent="0.25">
      <c r="A8594">
        <v>8593</v>
      </c>
      <c r="B8594" s="23">
        <v>1350.4</v>
      </c>
      <c r="C8594" s="23">
        <v>0</v>
      </c>
      <c r="D8594" s="23">
        <v>0</v>
      </c>
      <c r="E8594" s="23">
        <v>0</v>
      </c>
      <c r="F8594" s="23">
        <v>0</v>
      </c>
      <c r="G8594" s="23">
        <v>0</v>
      </c>
      <c r="H8594" s="23">
        <v>0</v>
      </c>
      <c r="I8594" s="23">
        <v>1350.4</v>
      </c>
      <c r="J8594" s="23">
        <v>0</v>
      </c>
      <c r="K8594" s="23">
        <v>0</v>
      </c>
    </row>
    <row r="8595" spans="1:11" x14ac:dyDescent="0.25">
      <c r="A8595">
        <v>8594</v>
      </c>
      <c r="B8595" s="23">
        <v>1180.8</v>
      </c>
      <c r="C8595" s="23">
        <v>0</v>
      </c>
      <c r="D8595" s="23">
        <v>0</v>
      </c>
      <c r="E8595" s="23">
        <v>0</v>
      </c>
      <c r="F8595" s="23">
        <v>0</v>
      </c>
      <c r="G8595" s="23">
        <v>0</v>
      </c>
      <c r="H8595" s="23">
        <v>0</v>
      </c>
      <c r="I8595" s="23">
        <v>1180.8</v>
      </c>
      <c r="J8595" s="23">
        <v>0</v>
      </c>
      <c r="K8595" s="23">
        <v>0</v>
      </c>
    </row>
    <row r="8596" spans="1:11" x14ac:dyDescent="0.25">
      <c r="A8596">
        <v>8595</v>
      </c>
      <c r="B8596" s="23">
        <v>1263.2</v>
      </c>
      <c r="C8596" s="23">
        <v>0</v>
      </c>
      <c r="D8596" s="23">
        <v>0</v>
      </c>
      <c r="E8596" s="23">
        <v>0</v>
      </c>
      <c r="F8596" s="23">
        <v>0</v>
      </c>
      <c r="G8596" s="23">
        <v>0</v>
      </c>
      <c r="H8596" s="23">
        <v>0</v>
      </c>
      <c r="I8596" s="23">
        <v>1263.2</v>
      </c>
      <c r="J8596" s="23">
        <v>0</v>
      </c>
      <c r="K8596" s="23">
        <v>0</v>
      </c>
    </row>
    <row r="8597" spans="1:11" x14ac:dyDescent="0.25">
      <c r="A8597">
        <v>8596</v>
      </c>
      <c r="B8597" s="23">
        <v>924</v>
      </c>
      <c r="C8597" s="23">
        <v>0</v>
      </c>
      <c r="D8597" s="23">
        <v>0</v>
      </c>
      <c r="E8597" s="23">
        <v>0</v>
      </c>
      <c r="F8597" s="23">
        <v>0</v>
      </c>
      <c r="G8597" s="23">
        <v>0</v>
      </c>
      <c r="H8597" s="23">
        <v>0</v>
      </c>
      <c r="I8597" s="23">
        <v>924</v>
      </c>
      <c r="J8597" s="23">
        <v>0</v>
      </c>
      <c r="K8597" s="23">
        <v>0</v>
      </c>
    </row>
    <row r="8598" spans="1:11" x14ac:dyDescent="0.25">
      <c r="A8598">
        <v>8597</v>
      </c>
      <c r="B8598" s="23">
        <v>1158.4000000000001</v>
      </c>
      <c r="C8598" s="23">
        <v>0</v>
      </c>
      <c r="D8598" s="23">
        <v>0</v>
      </c>
      <c r="E8598" s="23">
        <v>0</v>
      </c>
      <c r="F8598" s="23">
        <v>0</v>
      </c>
      <c r="G8598" s="23">
        <v>0</v>
      </c>
      <c r="H8598" s="23">
        <v>0</v>
      </c>
      <c r="I8598" s="23">
        <v>1158.4000000000001</v>
      </c>
      <c r="J8598" s="23">
        <v>0</v>
      </c>
      <c r="K8598" s="23">
        <v>0</v>
      </c>
    </row>
    <row r="8599" spans="1:11" x14ac:dyDescent="0.25">
      <c r="A8599">
        <v>8598</v>
      </c>
      <c r="B8599" s="23">
        <v>944.8</v>
      </c>
      <c r="C8599" s="23">
        <v>0</v>
      </c>
      <c r="D8599" s="23">
        <v>0</v>
      </c>
      <c r="E8599" s="23">
        <v>0</v>
      </c>
      <c r="F8599" s="23">
        <v>0</v>
      </c>
      <c r="G8599" s="23">
        <v>0</v>
      </c>
      <c r="H8599" s="23">
        <v>0</v>
      </c>
      <c r="I8599" s="23">
        <v>687.99099999999999</v>
      </c>
      <c r="J8599" s="23">
        <v>0</v>
      </c>
      <c r="K8599" s="23">
        <v>256.80900000000003</v>
      </c>
    </row>
    <row r="8600" spans="1:11" x14ac:dyDescent="0.25">
      <c r="A8600">
        <v>8599</v>
      </c>
      <c r="B8600" s="23">
        <v>1162.4000000000001</v>
      </c>
      <c r="C8600" s="23">
        <v>66.239999999999995</v>
      </c>
      <c r="D8600" s="23">
        <v>166.74</v>
      </c>
      <c r="E8600" s="23">
        <v>166.74</v>
      </c>
      <c r="F8600" s="23">
        <v>0</v>
      </c>
      <c r="G8600" s="23">
        <v>0</v>
      </c>
      <c r="H8600" s="23">
        <v>0</v>
      </c>
      <c r="I8600" s="23">
        <v>0</v>
      </c>
      <c r="J8600" s="23">
        <v>0</v>
      </c>
      <c r="K8600" s="23">
        <v>995.66</v>
      </c>
    </row>
    <row r="8601" spans="1:11" x14ac:dyDescent="0.25">
      <c r="A8601">
        <v>8600</v>
      </c>
      <c r="B8601" s="23">
        <v>1102.325</v>
      </c>
      <c r="C8601" s="23">
        <v>281.69</v>
      </c>
      <c r="D8601" s="23">
        <v>1101.7329999999999</v>
      </c>
      <c r="E8601" s="23">
        <v>1101.7329999999999</v>
      </c>
      <c r="F8601" s="23">
        <v>0</v>
      </c>
      <c r="G8601" s="23">
        <v>0</v>
      </c>
      <c r="H8601" s="23">
        <v>0</v>
      </c>
      <c r="I8601" s="23">
        <v>0</v>
      </c>
      <c r="J8601" s="23">
        <v>0</v>
      </c>
      <c r="K8601" s="23">
        <v>0.59199999999999997</v>
      </c>
    </row>
    <row r="8602" spans="1:11" x14ac:dyDescent="0.25">
      <c r="A8602">
        <v>8601</v>
      </c>
      <c r="B8602" s="23">
        <v>1299.1880000000001</v>
      </c>
      <c r="C8602" s="23">
        <v>407.08</v>
      </c>
      <c r="D8602" s="23">
        <v>1637.768</v>
      </c>
      <c r="E8602" s="23">
        <v>1299.1880000000001</v>
      </c>
      <c r="F8602" s="23">
        <v>-338.58</v>
      </c>
      <c r="G8602" s="23">
        <v>0</v>
      </c>
      <c r="H8602" s="23">
        <v>0</v>
      </c>
      <c r="I8602" s="23">
        <v>0</v>
      </c>
      <c r="J8602" s="23">
        <v>0</v>
      </c>
      <c r="K8602" s="23">
        <v>0</v>
      </c>
    </row>
    <row r="8603" spans="1:11" x14ac:dyDescent="0.25">
      <c r="A8603">
        <v>8602</v>
      </c>
      <c r="B8603" s="23">
        <v>1255.1510000000001</v>
      </c>
      <c r="C8603" s="23">
        <v>603.91999999999996</v>
      </c>
      <c r="D8603" s="23">
        <v>2378.5639999999999</v>
      </c>
      <c r="E8603" s="23">
        <v>1255.1510000000001</v>
      </c>
      <c r="F8603" s="23">
        <v>-1123.413</v>
      </c>
      <c r="G8603" s="23">
        <v>0</v>
      </c>
      <c r="H8603" s="23">
        <v>0</v>
      </c>
      <c r="I8603" s="23">
        <v>0</v>
      </c>
      <c r="J8603" s="23">
        <v>0</v>
      </c>
      <c r="K8603" s="23">
        <v>0</v>
      </c>
    </row>
    <row r="8604" spans="1:11" x14ac:dyDescent="0.25">
      <c r="A8604">
        <v>8603</v>
      </c>
      <c r="B8604" s="23">
        <v>1741.645</v>
      </c>
      <c r="C8604" s="23">
        <v>624.66999999999996</v>
      </c>
      <c r="D8604" s="23">
        <v>2422.9270000000001</v>
      </c>
      <c r="E8604" s="23">
        <v>1741.645</v>
      </c>
      <c r="F8604" s="23">
        <v>-681.28200000000004</v>
      </c>
      <c r="G8604" s="23">
        <v>0</v>
      </c>
      <c r="H8604" s="23">
        <v>0</v>
      </c>
      <c r="I8604" s="23">
        <v>0</v>
      </c>
      <c r="J8604" s="23">
        <v>0</v>
      </c>
      <c r="K8604" s="23">
        <v>0</v>
      </c>
    </row>
    <row r="8605" spans="1:11" x14ac:dyDescent="0.25">
      <c r="A8605">
        <v>8604</v>
      </c>
      <c r="B8605" s="23">
        <v>1714.9760000000001</v>
      </c>
      <c r="C8605" s="23">
        <v>729.44</v>
      </c>
      <c r="D8605" s="23">
        <v>2796.2159999999999</v>
      </c>
      <c r="E8605" s="23">
        <v>1714.9760000000001</v>
      </c>
      <c r="F8605" s="23">
        <v>-1081.24</v>
      </c>
      <c r="G8605" s="23">
        <v>0</v>
      </c>
      <c r="H8605" s="23">
        <v>0</v>
      </c>
      <c r="I8605" s="23">
        <v>0</v>
      </c>
      <c r="J8605" s="23">
        <v>0</v>
      </c>
      <c r="K8605" s="23">
        <v>0</v>
      </c>
    </row>
    <row r="8606" spans="1:11" x14ac:dyDescent="0.25">
      <c r="A8606">
        <v>8605</v>
      </c>
      <c r="B8606" s="23">
        <v>1914.011</v>
      </c>
      <c r="C8606" s="23">
        <v>932.68</v>
      </c>
      <c r="D8606" s="23">
        <v>3553.5729999999999</v>
      </c>
      <c r="E8606" s="23">
        <v>1914.011</v>
      </c>
      <c r="F8606" s="23">
        <v>-1639.5619999999999</v>
      </c>
      <c r="G8606" s="23">
        <v>0</v>
      </c>
      <c r="H8606" s="23">
        <v>0</v>
      </c>
      <c r="I8606" s="23">
        <v>0</v>
      </c>
      <c r="J8606" s="23">
        <v>0</v>
      </c>
      <c r="K8606" s="23">
        <v>0</v>
      </c>
    </row>
    <row r="8607" spans="1:11" x14ac:dyDescent="0.25">
      <c r="A8607">
        <v>8606</v>
      </c>
      <c r="B8607" s="23">
        <v>1870.71</v>
      </c>
      <c r="C8607" s="23">
        <v>637.72</v>
      </c>
      <c r="D8607" s="23">
        <v>2463.9490000000001</v>
      </c>
      <c r="E8607" s="23">
        <v>1870.71</v>
      </c>
      <c r="F8607" s="23">
        <v>-593.23900000000003</v>
      </c>
      <c r="G8607" s="23">
        <v>0</v>
      </c>
      <c r="H8607" s="23">
        <v>0</v>
      </c>
      <c r="I8607" s="23">
        <v>0</v>
      </c>
      <c r="J8607" s="23">
        <v>0</v>
      </c>
      <c r="K8607" s="23">
        <v>0</v>
      </c>
    </row>
    <row r="8608" spans="1:11" x14ac:dyDescent="0.25">
      <c r="A8608">
        <v>8607</v>
      </c>
      <c r="B8608" s="23">
        <v>1783.81</v>
      </c>
      <c r="C8608" s="23">
        <v>436.5</v>
      </c>
      <c r="D8608" s="23">
        <v>1708.239</v>
      </c>
      <c r="E8608" s="23">
        <v>1708.239</v>
      </c>
      <c r="F8608" s="23">
        <v>0</v>
      </c>
      <c r="G8608" s="23">
        <v>0</v>
      </c>
      <c r="H8608" s="23">
        <v>0</v>
      </c>
      <c r="I8608" s="23">
        <v>75.570999999999998</v>
      </c>
      <c r="J8608" s="23">
        <v>0</v>
      </c>
      <c r="K8608" s="23">
        <v>0</v>
      </c>
    </row>
    <row r="8609" spans="1:11" x14ac:dyDescent="0.25">
      <c r="A8609">
        <v>8608</v>
      </c>
      <c r="B8609" s="23">
        <v>2019.6369999999999</v>
      </c>
      <c r="C8609" s="23">
        <v>332.48</v>
      </c>
      <c r="D8609" s="23">
        <v>1320.6210000000001</v>
      </c>
      <c r="E8609" s="23">
        <v>1320.6210000000001</v>
      </c>
      <c r="F8609" s="23">
        <v>0</v>
      </c>
      <c r="G8609" s="23">
        <v>0</v>
      </c>
      <c r="H8609" s="23">
        <v>0</v>
      </c>
      <c r="I8609" s="23">
        <v>699.01599999999996</v>
      </c>
      <c r="J8609" s="23">
        <v>0</v>
      </c>
      <c r="K8609" s="23">
        <v>0</v>
      </c>
    </row>
    <row r="8610" spans="1:11" x14ac:dyDescent="0.25">
      <c r="A8610">
        <v>8609</v>
      </c>
      <c r="B8610" s="23">
        <v>1410.31</v>
      </c>
      <c r="C8610" s="23">
        <v>67.73</v>
      </c>
      <c r="D8610" s="23">
        <v>242.26900000000001</v>
      </c>
      <c r="E8610" s="23">
        <v>242.26900000000001</v>
      </c>
      <c r="F8610" s="23">
        <v>0</v>
      </c>
      <c r="G8610" s="23">
        <v>0</v>
      </c>
      <c r="H8610" s="23">
        <v>0</v>
      </c>
      <c r="I8610" s="23">
        <v>1168.0409999999999</v>
      </c>
      <c r="J8610" s="23">
        <v>0</v>
      </c>
      <c r="K8610" s="23">
        <v>0</v>
      </c>
    </row>
    <row r="8611" spans="1:11" x14ac:dyDescent="0.25">
      <c r="A8611">
        <v>8610</v>
      </c>
      <c r="B8611" s="23">
        <v>1651.085</v>
      </c>
      <c r="C8611" s="23">
        <v>5.87</v>
      </c>
      <c r="D8611" s="23">
        <v>0</v>
      </c>
      <c r="E8611" s="23">
        <v>0</v>
      </c>
      <c r="F8611" s="23">
        <v>0</v>
      </c>
      <c r="G8611" s="23">
        <v>0</v>
      </c>
      <c r="H8611" s="23">
        <v>0</v>
      </c>
      <c r="I8611" s="23">
        <v>0</v>
      </c>
      <c r="J8611" s="23">
        <v>0</v>
      </c>
      <c r="K8611" s="23">
        <v>1651.085</v>
      </c>
    </row>
    <row r="8612" spans="1:11" x14ac:dyDescent="0.25">
      <c r="A8612">
        <v>8611</v>
      </c>
      <c r="B8612" s="23">
        <v>1632</v>
      </c>
      <c r="C8612" s="23">
        <v>0</v>
      </c>
      <c r="D8612" s="23">
        <v>0</v>
      </c>
      <c r="E8612" s="23">
        <v>0</v>
      </c>
      <c r="F8612" s="23">
        <v>0</v>
      </c>
      <c r="G8612" s="23">
        <v>0</v>
      </c>
      <c r="H8612" s="23">
        <v>0</v>
      </c>
      <c r="I8612" s="23">
        <v>0</v>
      </c>
      <c r="J8612" s="23">
        <v>0</v>
      </c>
      <c r="K8612" s="23">
        <v>1632</v>
      </c>
    </row>
    <row r="8613" spans="1:11" x14ac:dyDescent="0.25">
      <c r="A8613">
        <v>8612</v>
      </c>
      <c r="B8613" s="23">
        <v>1364.8</v>
      </c>
      <c r="C8613" s="23">
        <v>0</v>
      </c>
      <c r="D8613" s="23">
        <v>0</v>
      </c>
      <c r="E8613" s="23">
        <v>0</v>
      </c>
      <c r="F8613" s="23">
        <v>0</v>
      </c>
      <c r="G8613" s="23">
        <v>0</v>
      </c>
      <c r="H8613" s="23">
        <v>0</v>
      </c>
      <c r="I8613" s="23">
        <v>0</v>
      </c>
      <c r="J8613" s="23">
        <v>0</v>
      </c>
      <c r="K8613" s="23">
        <v>1364.8</v>
      </c>
    </row>
    <row r="8614" spans="1:11" x14ac:dyDescent="0.25">
      <c r="A8614">
        <v>8613</v>
      </c>
      <c r="B8614" s="23">
        <v>1691.2</v>
      </c>
      <c r="C8614" s="23">
        <v>0</v>
      </c>
      <c r="D8614" s="23">
        <v>0</v>
      </c>
      <c r="E8614" s="23">
        <v>0</v>
      </c>
      <c r="F8614" s="23">
        <v>0</v>
      </c>
      <c r="G8614" s="23">
        <v>0</v>
      </c>
      <c r="H8614" s="23">
        <v>0</v>
      </c>
      <c r="I8614" s="23">
        <v>1691.2</v>
      </c>
      <c r="J8614" s="23">
        <v>0</v>
      </c>
      <c r="K8614" s="23">
        <v>0</v>
      </c>
    </row>
    <row r="8615" spans="1:11" x14ac:dyDescent="0.25">
      <c r="A8615">
        <v>8614</v>
      </c>
      <c r="B8615" s="23">
        <v>1349.6</v>
      </c>
      <c r="C8615" s="23">
        <v>0</v>
      </c>
      <c r="D8615" s="23">
        <v>0</v>
      </c>
      <c r="E8615" s="23">
        <v>0</v>
      </c>
      <c r="F8615" s="23">
        <v>0</v>
      </c>
      <c r="G8615" s="23">
        <v>0</v>
      </c>
      <c r="H8615" s="23">
        <v>0</v>
      </c>
      <c r="I8615" s="23">
        <v>1349.6</v>
      </c>
      <c r="J8615" s="23">
        <v>0</v>
      </c>
      <c r="K8615" s="23">
        <v>0</v>
      </c>
    </row>
    <row r="8616" spans="1:11" x14ac:dyDescent="0.25">
      <c r="A8616">
        <v>8615</v>
      </c>
      <c r="B8616" s="23">
        <v>1433.6</v>
      </c>
      <c r="C8616" s="23">
        <v>0</v>
      </c>
      <c r="D8616" s="23">
        <v>0</v>
      </c>
      <c r="E8616" s="23">
        <v>0</v>
      </c>
      <c r="F8616" s="23">
        <v>0</v>
      </c>
      <c r="G8616" s="23">
        <v>0</v>
      </c>
      <c r="H8616" s="23">
        <v>0</v>
      </c>
      <c r="I8616" s="23">
        <v>1433.6</v>
      </c>
      <c r="J8616" s="23">
        <v>0</v>
      </c>
      <c r="K8616" s="23">
        <v>0</v>
      </c>
    </row>
    <row r="8617" spans="1:11" x14ac:dyDescent="0.25">
      <c r="A8617">
        <v>8616</v>
      </c>
      <c r="B8617" s="23">
        <v>1556</v>
      </c>
      <c r="C8617" s="23">
        <v>0</v>
      </c>
      <c r="D8617" s="23">
        <v>0</v>
      </c>
      <c r="E8617" s="23">
        <v>0</v>
      </c>
      <c r="F8617" s="23">
        <v>0</v>
      </c>
      <c r="G8617" s="23">
        <v>0</v>
      </c>
      <c r="H8617" s="23">
        <v>0</v>
      </c>
      <c r="I8617" s="23">
        <v>1556</v>
      </c>
      <c r="J8617" s="23">
        <v>0</v>
      </c>
      <c r="K8617" s="23">
        <v>0</v>
      </c>
    </row>
    <row r="8618" spans="1:11" x14ac:dyDescent="0.25">
      <c r="A8618">
        <v>8617</v>
      </c>
      <c r="B8618" s="23">
        <v>1457.6</v>
      </c>
      <c r="C8618" s="23">
        <v>0</v>
      </c>
      <c r="D8618" s="23">
        <v>0</v>
      </c>
      <c r="E8618" s="23">
        <v>0</v>
      </c>
      <c r="F8618" s="23">
        <v>0</v>
      </c>
      <c r="G8618" s="23">
        <v>0</v>
      </c>
      <c r="H8618" s="23">
        <v>0</v>
      </c>
      <c r="I8618" s="23">
        <v>1457.6</v>
      </c>
      <c r="J8618" s="23">
        <v>0</v>
      </c>
      <c r="K8618" s="23">
        <v>0</v>
      </c>
    </row>
    <row r="8619" spans="1:11" x14ac:dyDescent="0.25">
      <c r="A8619">
        <v>8618</v>
      </c>
      <c r="B8619" s="23">
        <v>1494.4</v>
      </c>
      <c r="C8619" s="23">
        <v>0</v>
      </c>
      <c r="D8619" s="23">
        <v>0</v>
      </c>
      <c r="E8619" s="23">
        <v>0</v>
      </c>
      <c r="F8619" s="23">
        <v>0</v>
      </c>
      <c r="G8619" s="23">
        <v>0</v>
      </c>
      <c r="H8619" s="23">
        <v>0</v>
      </c>
      <c r="I8619" s="23">
        <v>1494.4</v>
      </c>
      <c r="J8619" s="23">
        <v>0</v>
      </c>
      <c r="K8619" s="23">
        <v>0</v>
      </c>
    </row>
    <row r="8620" spans="1:11" x14ac:dyDescent="0.25">
      <c r="A8620">
        <v>8619</v>
      </c>
      <c r="B8620" s="23">
        <v>1759.2</v>
      </c>
      <c r="C8620" s="23">
        <v>0</v>
      </c>
      <c r="D8620" s="23">
        <v>0</v>
      </c>
      <c r="E8620" s="23">
        <v>0</v>
      </c>
      <c r="F8620" s="23">
        <v>0</v>
      </c>
      <c r="G8620" s="23">
        <v>0</v>
      </c>
      <c r="H8620" s="23">
        <v>0</v>
      </c>
      <c r="I8620" s="23">
        <v>1759.2</v>
      </c>
      <c r="J8620" s="23">
        <v>0</v>
      </c>
      <c r="K8620" s="23">
        <v>0</v>
      </c>
    </row>
    <row r="8621" spans="1:11" x14ac:dyDescent="0.25">
      <c r="A8621">
        <v>8620</v>
      </c>
      <c r="B8621" s="23">
        <v>1729.6</v>
      </c>
      <c r="C8621" s="23">
        <v>0</v>
      </c>
      <c r="D8621" s="23">
        <v>0</v>
      </c>
      <c r="E8621" s="23">
        <v>0</v>
      </c>
      <c r="F8621" s="23">
        <v>0</v>
      </c>
      <c r="G8621" s="23">
        <v>0</v>
      </c>
      <c r="H8621" s="23">
        <v>0</v>
      </c>
      <c r="I8621" s="23">
        <v>1729.6</v>
      </c>
      <c r="J8621" s="23">
        <v>0</v>
      </c>
      <c r="K8621" s="23">
        <v>0</v>
      </c>
    </row>
    <row r="8622" spans="1:11" x14ac:dyDescent="0.25">
      <c r="A8622">
        <v>8621</v>
      </c>
      <c r="B8622" s="23">
        <v>1414.4</v>
      </c>
      <c r="C8622" s="23">
        <v>0</v>
      </c>
      <c r="D8622" s="23">
        <v>0</v>
      </c>
      <c r="E8622" s="23">
        <v>0</v>
      </c>
      <c r="F8622" s="23">
        <v>0</v>
      </c>
      <c r="G8622" s="23">
        <v>0</v>
      </c>
      <c r="H8622" s="23">
        <v>0</v>
      </c>
      <c r="I8622" s="23">
        <v>1414.4</v>
      </c>
      <c r="J8622" s="23">
        <v>0</v>
      </c>
      <c r="K8622" s="23">
        <v>0</v>
      </c>
    </row>
    <row r="8623" spans="1:11" x14ac:dyDescent="0.25">
      <c r="A8623">
        <v>8622</v>
      </c>
      <c r="B8623" s="23">
        <v>1408.8</v>
      </c>
      <c r="C8623" s="23">
        <v>0</v>
      </c>
      <c r="D8623" s="23">
        <v>0</v>
      </c>
      <c r="E8623" s="23">
        <v>0</v>
      </c>
      <c r="F8623" s="23">
        <v>0</v>
      </c>
      <c r="G8623" s="23">
        <v>0</v>
      </c>
      <c r="H8623" s="23">
        <v>0</v>
      </c>
      <c r="I8623" s="23">
        <v>1408.8</v>
      </c>
      <c r="J8623" s="23">
        <v>0</v>
      </c>
      <c r="K8623" s="23">
        <v>0</v>
      </c>
    </row>
    <row r="8624" spans="1:11" x14ac:dyDescent="0.25">
      <c r="A8624">
        <v>8623</v>
      </c>
      <c r="B8624" s="23">
        <v>1471.2</v>
      </c>
      <c r="C8624" s="23">
        <v>56.27</v>
      </c>
      <c r="D8624" s="23">
        <v>140.726</v>
      </c>
      <c r="E8624" s="23">
        <v>140.726</v>
      </c>
      <c r="F8624" s="23">
        <v>0</v>
      </c>
      <c r="G8624" s="23">
        <v>0</v>
      </c>
      <c r="H8624" s="23">
        <v>0</v>
      </c>
      <c r="I8624" s="23">
        <v>692.42700000000002</v>
      </c>
      <c r="J8624" s="23">
        <v>0</v>
      </c>
      <c r="K8624" s="23">
        <v>638.048</v>
      </c>
    </row>
    <row r="8625" spans="1:11" x14ac:dyDescent="0.25">
      <c r="A8625">
        <v>8624</v>
      </c>
      <c r="B8625" s="23">
        <v>1645.752</v>
      </c>
      <c r="C8625" s="23">
        <v>247.81</v>
      </c>
      <c r="D8625" s="23">
        <v>965.51700000000005</v>
      </c>
      <c r="E8625" s="23">
        <v>965.51700000000005</v>
      </c>
      <c r="F8625" s="23">
        <v>0</v>
      </c>
      <c r="G8625" s="23">
        <v>0</v>
      </c>
      <c r="H8625" s="23">
        <v>0</v>
      </c>
      <c r="I8625" s="23">
        <v>0</v>
      </c>
      <c r="J8625" s="23">
        <v>0</v>
      </c>
      <c r="K8625" s="23">
        <v>680.23500000000001</v>
      </c>
    </row>
    <row r="8626" spans="1:11" x14ac:dyDescent="0.25">
      <c r="A8626">
        <v>8625</v>
      </c>
      <c r="B8626" s="23">
        <v>1196.191</v>
      </c>
      <c r="C8626" s="23">
        <v>461.73</v>
      </c>
      <c r="D8626" s="23">
        <v>1850.954</v>
      </c>
      <c r="E8626" s="23">
        <v>1196.191</v>
      </c>
      <c r="F8626" s="23">
        <v>-654.76300000000003</v>
      </c>
      <c r="G8626" s="23">
        <v>0</v>
      </c>
      <c r="H8626" s="23">
        <v>0</v>
      </c>
      <c r="I8626" s="23">
        <v>0</v>
      </c>
      <c r="J8626" s="23">
        <v>0</v>
      </c>
      <c r="K8626" s="23">
        <v>0</v>
      </c>
    </row>
    <row r="8627" spans="1:11" x14ac:dyDescent="0.25">
      <c r="A8627">
        <v>8626</v>
      </c>
      <c r="B8627" s="23">
        <v>1139.3330000000001</v>
      </c>
      <c r="C8627" s="23">
        <v>582.02</v>
      </c>
      <c r="D8627" s="23">
        <v>2274.4789999999998</v>
      </c>
      <c r="E8627" s="23">
        <v>1139.3330000000001</v>
      </c>
      <c r="F8627" s="23">
        <v>-1135.146</v>
      </c>
      <c r="G8627" s="23">
        <v>0</v>
      </c>
      <c r="H8627" s="23">
        <v>0</v>
      </c>
      <c r="I8627" s="23">
        <v>0</v>
      </c>
      <c r="J8627" s="23">
        <v>0</v>
      </c>
      <c r="K8627" s="23">
        <v>0</v>
      </c>
    </row>
    <row r="8628" spans="1:11" x14ac:dyDescent="0.25">
      <c r="A8628">
        <v>8627</v>
      </c>
      <c r="B8628" s="23">
        <v>1201.095</v>
      </c>
      <c r="C8628" s="23">
        <v>702.42</v>
      </c>
      <c r="D8628" s="23">
        <v>2680.7139999999999</v>
      </c>
      <c r="E8628" s="23">
        <v>1201.095</v>
      </c>
      <c r="F8628" s="23">
        <v>-1479.6189999999999</v>
      </c>
      <c r="G8628" s="23">
        <v>0</v>
      </c>
      <c r="H8628" s="23">
        <v>0</v>
      </c>
      <c r="I8628" s="23">
        <v>0</v>
      </c>
      <c r="J8628" s="23">
        <v>0</v>
      </c>
      <c r="K8628" s="23">
        <v>0</v>
      </c>
    </row>
    <row r="8629" spans="1:11" x14ac:dyDescent="0.25">
      <c r="A8629">
        <v>8628</v>
      </c>
      <c r="B8629" s="23">
        <v>1464.6869999999999</v>
      </c>
      <c r="C8629" s="23">
        <v>776.49</v>
      </c>
      <c r="D8629" s="23">
        <v>2920.4830000000002</v>
      </c>
      <c r="E8629" s="23">
        <v>1464.6869999999999</v>
      </c>
      <c r="F8629" s="23">
        <v>-1455.796</v>
      </c>
      <c r="G8629" s="23">
        <v>0</v>
      </c>
      <c r="H8629" s="23">
        <v>0</v>
      </c>
      <c r="I8629" s="23">
        <v>0</v>
      </c>
      <c r="J8629" s="23">
        <v>0</v>
      </c>
      <c r="K8629" s="23">
        <v>0</v>
      </c>
    </row>
    <row r="8630" spans="1:11" x14ac:dyDescent="0.25">
      <c r="A8630">
        <v>8629</v>
      </c>
      <c r="B8630" s="23">
        <v>1491.287</v>
      </c>
      <c r="C8630" s="23">
        <v>528.51</v>
      </c>
      <c r="D8630" s="23">
        <v>2000.921</v>
      </c>
      <c r="E8630" s="23">
        <v>1491.287</v>
      </c>
      <c r="F8630" s="23">
        <v>-509.63400000000001</v>
      </c>
      <c r="G8630" s="23">
        <v>0</v>
      </c>
      <c r="H8630" s="23">
        <v>0</v>
      </c>
      <c r="I8630" s="23">
        <v>0</v>
      </c>
      <c r="J8630" s="23">
        <v>0</v>
      </c>
      <c r="K8630" s="23">
        <v>0</v>
      </c>
    </row>
    <row r="8631" spans="1:11" x14ac:dyDescent="0.25">
      <c r="A8631">
        <v>8630</v>
      </c>
      <c r="B8631" s="23">
        <v>1221.9349999999999</v>
      </c>
      <c r="C8631" s="23">
        <v>643.19000000000005</v>
      </c>
      <c r="D8631" s="23">
        <v>2412.694</v>
      </c>
      <c r="E8631" s="23">
        <v>1221.9349999999999</v>
      </c>
      <c r="F8631" s="23">
        <v>-1190.759</v>
      </c>
      <c r="G8631" s="23">
        <v>0</v>
      </c>
      <c r="H8631" s="23">
        <v>0</v>
      </c>
      <c r="I8631" s="23">
        <v>0</v>
      </c>
      <c r="J8631" s="23">
        <v>0</v>
      </c>
      <c r="K8631" s="23">
        <v>0</v>
      </c>
    </row>
    <row r="8632" spans="1:11" x14ac:dyDescent="0.25">
      <c r="A8632">
        <v>8631</v>
      </c>
      <c r="B8632" s="23">
        <v>1440.758</v>
      </c>
      <c r="C8632" s="23">
        <v>328.34</v>
      </c>
      <c r="D8632" s="23">
        <v>1260.414</v>
      </c>
      <c r="E8632" s="23">
        <v>1260.414</v>
      </c>
      <c r="F8632" s="23">
        <v>0</v>
      </c>
      <c r="G8632" s="23">
        <v>0</v>
      </c>
      <c r="H8632" s="23">
        <v>0</v>
      </c>
      <c r="I8632" s="23">
        <v>0</v>
      </c>
      <c r="J8632" s="23">
        <v>0</v>
      </c>
      <c r="K8632" s="23">
        <v>180.34399999999999</v>
      </c>
    </row>
    <row r="8633" spans="1:11" x14ac:dyDescent="0.25">
      <c r="A8633">
        <v>8632</v>
      </c>
      <c r="B8633" s="23">
        <v>1143.1279999999999</v>
      </c>
      <c r="C8633" s="23">
        <v>397.39</v>
      </c>
      <c r="D8633" s="23">
        <v>1557.8119999999999</v>
      </c>
      <c r="E8633" s="23">
        <v>1143.1279999999999</v>
      </c>
      <c r="F8633" s="23">
        <v>-414.68400000000003</v>
      </c>
      <c r="G8633" s="23">
        <v>0</v>
      </c>
      <c r="H8633" s="23">
        <v>0</v>
      </c>
      <c r="I8633" s="23">
        <v>0</v>
      </c>
      <c r="J8633" s="23">
        <v>0</v>
      </c>
      <c r="K8633" s="23">
        <v>0</v>
      </c>
    </row>
    <row r="8634" spans="1:11" x14ac:dyDescent="0.25">
      <c r="A8634">
        <v>8633</v>
      </c>
      <c r="B8634" s="23">
        <v>1279.819</v>
      </c>
      <c r="C8634" s="23">
        <v>160.66999999999999</v>
      </c>
      <c r="D8634" s="23">
        <v>600.77300000000002</v>
      </c>
      <c r="E8634" s="23">
        <v>600.77300000000002</v>
      </c>
      <c r="F8634" s="23">
        <v>0</v>
      </c>
      <c r="G8634" s="23">
        <v>0</v>
      </c>
      <c r="H8634" s="23">
        <v>0</v>
      </c>
      <c r="I8634" s="23">
        <v>679.04600000000005</v>
      </c>
      <c r="J8634" s="23">
        <v>0</v>
      </c>
      <c r="K8634" s="23">
        <v>0</v>
      </c>
    </row>
    <row r="8635" spans="1:11" x14ac:dyDescent="0.25">
      <c r="A8635">
        <v>8634</v>
      </c>
      <c r="B8635" s="23">
        <v>1197.79</v>
      </c>
      <c r="C8635" s="23">
        <v>12.35</v>
      </c>
      <c r="D8635" s="23">
        <v>5.4029999999999996</v>
      </c>
      <c r="E8635" s="23">
        <v>5.4029999999999996</v>
      </c>
      <c r="F8635" s="23">
        <v>0</v>
      </c>
      <c r="G8635" s="23">
        <v>0</v>
      </c>
      <c r="H8635" s="23">
        <v>0</v>
      </c>
      <c r="I8635" s="23">
        <v>0</v>
      </c>
      <c r="J8635" s="23">
        <v>0</v>
      </c>
      <c r="K8635" s="23">
        <v>1192.3869999999999</v>
      </c>
    </row>
    <row r="8636" spans="1:11" x14ac:dyDescent="0.25">
      <c r="A8636">
        <v>8635</v>
      </c>
      <c r="B8636" s="23">
        <v>973.6</v>
      </c>
      <c r="C8636" s="23">
        <v>0</v>
      </c>
      <c r="D8636" s="23">
        <v>0</v>
      </c>
      <c r="E8636" s="23">
        <v>0</v>
      </c>
      <c r="F8636" s="23">
        <v>0</v>
      </c>
      <c r="G8636" s="23">
        <v>0</v>
      </c>
      <c r="H8636" s="23">
        <v>0</v>
      </c>
      <c r="I8636" s="23">
        <v>0</v>
      </c>
      <c r="J8636" s="23">
        <v>0</v>
      </c>
      <c r="K8636" s="23">
        <v>973.6</v>
      </c>
    </row>
    <row r="8637" spans="1:11" x14ac:dyDescent="0.25">
      <c r="A8637">
        <v>8636</v>
      </c>
      <c r="B8637" s="23">
        <v>1392</v>
      </c>
      <c r="C8637" s="23">
        <v>0</v>
      </c>
      <c r="D8637" s="23">
        <v>0</v>
      </c>
      <c r="E8637" s="23">
        <v>0</v>
      </c>
      <c r="F8637" s="23">
        <v>0</v>
      </c>
      <c r="G8637" s="23">
        <v>0</v>
      </c>
      <c r="H8637" s="23">
        <v>0</v>
      </c>
      <c r="I8637" s="23">
        <v>0</v>
      </c>
      <c r="J8637" s="23">
        <v>0</v>
      </c>
      <c r="K8637" s="23">
        <v>1392</v>
      </c>
    </row>
    <row r="8638" spans="1:11" x14ac:dyDescent="0.25">
      <c r="A8638">
        <v>8637</v>
      </c>
      <c r="B8638" s="23">
        <v>827.2</v>
      </c>
      <c r="C8638" s="23">
        <v>0</v>
      </c>
      <c r="D8638" s="23">
        <v>0</v>
      </c>
      <c r="E8638" s="23">
        <v>0</v>
      </c>
      <c r="F8638" s="23">
        <v>0</v>
      </c>
      <c r="G8638" s="23">
        <v>0</v>
      </c>
      <c r="H8638" s="23">
        <v>0</v>
      </c>
      <c r="I8638" s="23">
        <v>827.2</v>
      </c>
      <c r="J8638" s="23">
        <v>0</v>
      </c>
      <c r="K8638" s="23">
        <v>0</v>
      </c>
    </row>
    <row r="8639" spans="1:11" x14ac:dyDescent="0.25">
      <c r="A8639">
        <v>8638</v>
      </c>
      <c r="B8639" s="23">
        <v>1307.2</v>
      </c>
      <c r="C8639" s="23">
        <v>0</v>
      </c>
      <c r="D8639" s="23">
        <v>0</v>
      </c>
      <c r="E8639" s="23">
        <v>0</v>
      </c>
      <c r="F8639" s="23">
        <v>0</v>
      </c>
      <c r="G8639" s="23">
        <v>0</v>
      </c>
      <c r="H8639" s="23">
        <v>0</v>
      </c>
      <c r="I8639" s="23">
        <v>1307.2</v>
      </c>
      <c r="J8639" s="23">
        <v>0</v>
      </c>
      <c r="K8639" s="23">
        <v>0</v>
      </c>
    </row>
    <row r="8640" spans="1:11" x14ac:dyDescent="0.25">
      <c r="A8640">
        <v>8639</v>
      </c>
      <c r="B8640" s="23">
        <v>978.4</v>
      </c>
      <c r="C8640" s="23">
        <v>0</v>
      </c>
      <c r="D8640" s="23">
        <v>0</v>
      </c>
      <c r="E8640" s="23">
        <v>0</v>
      </c>
      <c r="F8640" s="23">
        <v>0</v>
      </c>
      <c r="G8640" s="23">
        <v>0</v>
      </c>
      <c r="H8640" s="23">
        <v>0</v>
      </c>
      <c r="I8640" s="23">
        <v>978.4</v>
      </c>
      <c r="J8640" s="23">
        <v>0</v>
      </c>
      <c r="K8640" s="23">
        <v>0</v>
      </c>
    </row>
    <row r="8641" spans="1:11" x14ac:dyDescent="0.25">
      <c r="A8641">
        <v>8640</v>
      </c>
      <c r="B8641" s="23">
        <v>1164.8</v>
      </c>
      <c r="C8641" s="23">
        <v>0</v>
      </c>
      <c r="D8641" s="23">
        <v>0</v>
      </c>
      <c r="E8641" s="23">
        <v>0</v>
      </c>
      <c r="F8641" s="23">
        <v>0</v>
      </c>
      <c r="G8641" s="23">
        <v>0</v>
      </c>
      <c r="H8641" s="23">
        <v>0</v>
      </c>
      <c r="I8641" s="23">
        <v>1164.8</v>
      </c>
      <c r="J8641" s="23">
        <v>0</v>
      </c>
      <c r="K8641" s="23">
        <v>0</v>
      </c>
    </row>
    <row r="8642" spans="1:11" x14ac:dyDescent="0.25">
      <c r="A8642">
        <v>8641</v>
      </c>
      <c r="B8642" s="23">
        <v>1192</v>
      </c>
      <c r="C8642" s="23">
        <v>0</v>
      </c>
      <c r="D8642" s="23">
        <v>0</v>
      </c>
      <c r="E8642" s="23">
        <v>0</v>
      </c>
      <c r="F8642" s="23">
        <v>0</v>
      </c>
      <c r="G8642" s="23">
        <v>0</v>
      </c>
      <c r="H8642" s="23">
        <v>0</v>
      </c>
      <c r="I8642" s="23">
        <v>1192</v>
      </c>
      <c r="J8642" s="23">
        <v>0</v>
      </c>
      <c r="K8642" s="23">
        <v>0</v>
      </c>
    </row>
    <row r="8643" spans="1:11" x14ac:dyDescent="0.25">
      <c r="A8643">
        <v>8642</v>
      </c>
      <c r="B8643" s="23">
        <v>1257.5999999999999</v>
      </c>
      <c r="C8643" s="23">
        <v>0</v>
      </c>
      <c r="D8643" s="23">
        <v>0</v>
      </c>
      <c r="E8643" s="23">
        <v>0</v>
      </c>
      <c r="F8643" s="23">
        <v>0</v>
      </c>
      <c r="G8643" s="23">
        <v>0</v>
      </c>
      <c r="H8643" s="23">
        <v>0</v>
      </c>
      <c r="I8643" s="23">
        <v>1257.5999999999999</v>
      </c>
      <c r="J8643" s="23">
        <v>0</v>
      </c>
      <c r="K8643" s="23">
        <v>0</v>
      </c>
    </row>
    <row r="8644" spans="1:11" x14ac:dyDescent="0.25">
      <c r="A8644">
        <v>8643</v>
      </c>
      <c r="B8644" s="23">
        <v>1376.8</v>
      </c>
      <c r="C8644" s="23">
        <v>0</v>
      </c>
      <c r="D8644" s="23">
        <v>0</v>
      </c>
      <c r="E8644" s="23">
        <v>0</v>
      </c>
      <c r="F8644" s="23">
        <v>0</v>
      </c>
      <c r="G8644" s="23">
        <v>0</v>
      </c>
      <c r="H8644" s="23">
        <v>0</v>
      </c>
      <c r="I8644" s="23">
        <v>1376.8</v>
      </c>
      <c r="J8644" s="23">
        <v>0</v>
      </c>
      <c r="K8644" s="23">
        <v>0</v>
      </c>
    </row>
    <row r="8645" spans="1:11" x14ac:dyDescent="0.25">
      <c r="A8645">
        <v>8644</v>
      </c>
      <c r="B8645" s="23">
        <v>1199.2</v>
      </c>
      <c r="C8645" s="23">
        <v>0</v>
      </c>
      <c r="D8645" s="23">
        <v>0</v>
      </c>
      <c r="E8645" s="23">
        <v>0</v>
      </c>
      <c r="F8645" s="23">
        <v>0</v>
      </c>
      <c r="G8645" s="23">
        <v>0</v>
      </c>
      <c r="H8645" s="23">
        <v>0</v>
      </c>
      <c r="I8645" s="23">
        <v>1199.2</v>
      </c>
      <c r="J8645" s="23">
        <v>0</v>
      </c>
      <c r="K8645" s="23">
        <v>0</v>
      </c>
    </row>
    <row r="8646" spans="1:11" x14ac:dyDescent="0.25">
      <c r="A8646">
        <v>8645</v>
      </c>
      <c r="B8646" s="23">
        <v>1092.8</v>
      </c>
      <c r="C8646" s="23">
        <v>0</v>
      </c>
      <c r="D8646" s="23">
        <v>0</v>
      </c>
      <c r="E8646" s="23">
        <v>0</v>
      </c>
      <c r="F8646" s="23">
        <v>0</v>
      </c>
      <c r="G8646" s="23">
        <v>0</v>
      </c>
      <c r="H8646" s="23">
        <v>0</v>
      </c>
      <c r="I8646" s="23">
        <v>403.20400000000001</v>
      </c>
      <c r="J8646" s="23">
        <v>0</v>
      </c>
      <c r="K8646" s="23">
        <v>689.596</v>
      </c>
    </row>
    <row r="8647" spans="1:11" x14ac:dyDescent="0.25">
      <c r="A8647">
        <v>8646</v>
      </c>
      <c r="B8647" s="23">
        <v>1172.8</v>
      </c>
      <c r="C8647" s="23">
        <v>0</v>
      </c>
      <c r="D8647" s="23">
        <v>0</v>
      </c>
      <c r="E8647" s="23">
        <v>0</v>
      </c>
      <c r="F8647" s="23">
        <v>0</v>
      </c>
      <c r="G8647" s="23">
        <v>0</v>
      </c>
      <c r="H8647" s="23">
        <v>0</v>
      </c>
      <c r="I8647" s="23">
        <v>0</v>
      </c>
      <c r="J8647" s="23">
        <v>0</v>
      </c>
      <c r="K8647" s="23">
        <v>1172.8</v>
      </c>
    </row>
    <row r="8648" spans="1:11" x14ac:dyDescent="0.25">
      <c r="A8648">
        <v>8647</v>
      </c>
      <c r="B8648" s="23">
        <v>1270.4000000000001</v>
      </c>
      <c r="C8648" s="23">
        <v>54.68</v>
      </c>
      <c r="D8648" s="23">
        <v>138.93299999999999</v>
      </c>
      <c r="E8648" s="23">
        <v>138.93299999999999</v>
      </c>
      <c r="F8648" s="23">
        <v>0</v>
      </c>
      <c r="G8648" s="23">
        <v>0</v>
      </c>
      <c r="H8648" s="23">
        <v>0</v>
      </c>
      <c r="I8648" s="23">
        <v>0</v>
      </c>
      <c r="J8648" s="23">
        <v>0</v>
      </c>
      <c r="K8648" s="23">
        <v>1131.4670000000001</v>
      </c>
    </row>
    <row r="8649" spans="1:11" x14ac:dyDescent="0.25">
      <c r="A8649">
        <v>8648</v>
      </c>
      <c r="B8649" s="23">
        <v>1082.229</v>
      </c>
      <c r="C8649" s="23">
        <v>284.49</v>
      </c>
      <c r="D8649" s="23">
        <v>1094.9549999999999</v>
      </c>
      <c r="E8649" s="23">
        <v>1082.229</v>
      </c>
      <c r="F8649" s="23">
        <v>-12.726000000000001</v>
      </c>
      <c r="G8649" s="23">
        <v>0</v>
      </c>
      <c r="H8649" s="23">
        <v>0</v>
      </c>
      <c r="I8649" s="23">
        <v>0</v>
      </c>
      <c r="J8649" s="23">
        <v>0</v>
      </c>
      <c r="K8649" s="23">
        <v>0</v>
      </c>
    </row>
    <row r="8650" spans="1:11" x14ac:dyDescent="0.25">
      <c r="A8650">
        <v>8649</v>
      </c>
      <c r="B8650" s="23">
        <v>1267.43</v>
      </c>
      <c r="C8650" s="23">
        <v>526.46</v>
      </c>
      <c r="D8650" s="23">
        <v>2071.31</v>
      </c>
      <c r="E8650" s="23">
        <v>1267.43</v>
      </c>
      <c r="F8650" s="23">
        <v>-803.88</v>
      </c>
      <c r="G8650" s="23">
        <v>0</v>
      </c>
      <c r="H8650" s="23">
        <v>0</v>
      </c>
      <c r="I8650" s="23">
        <v>0</v>
      </c>
      <c r="J8650" s="23">
        <v>0</v>
      </c>
      <c r="K8650" s="23">
        <v>0</v>
      </c>
    </row>
    <row r="8651" spans="1:11" x14ac:dyDescent="0.25">
      <c r="A8651">
        <v>8650</v>
      </c>
      <c r="B8651" s="23">
        <v>1460.39</v>
      </c>
      <c r="C8651" s="23">
        <v>723.24</v>
      </c>
      <c r="D8651" s="23">
        <v>2740.6320000000001</v>
      </c>
      <c r="E8651" s="23">
        <v>1460.39</v>
      </c>
      <c r="F8651" s="23">
        <v>-1280.242</v>
      </c>
      <c r="G8651" s="23">
        <v>0</v>
      </c>
      <c r="H8651" s="23">
        <v>0</v>
      </c>
      <c r="I8651" s="23">
        <v>0</v>
      </c>
      <c r="J8651" s="23">
        <v>0</v>
      </c>
      <c r="K8651" s="23">
        <v>0</v>
      </c>
    </row>
    <row r="8652" spans="1:11" x14ac:dyDescent="0.25">
      <c r="A8652">
        <v>8651</v>
      </c>
      <c r="B8652" s="23">
        <v>1254.5550000000001</v>
      </c>
      <c r="C8652" s="23">
        <v>746.92</v>
      </c>
      <c r="D8652" s="23">
        <v>2772.5770000000002</v>
      </c>
      <c r="E8652" s="23">
        <v>1254.5550000000001</v>
      </c>
      <c r="F8652" s="23">
        <v>-1518.0219999999999</v>
      </c>
      <c r="G8652" s="23">
        <v>0</v>
      </c>
      <c r="H8652" s="23">
        <v>0</v>
      </c>
      <c r="I8652" s="23">
        <v>0</v>
      </c>
      <c r="J8652" s="23">
        <v>0</v>
      </c>
      <c r="K8652" s="23">
        <v>0</v>
      </c>
    </row>
    <row r="8653" spans="1:11" x14ac:dyDescent="0.25">
      <c r="A8653">
        <v>8652</v>
      </c>
      <c r="B8653" s="23">
        <v>1447.7080000000001</v>
      </c>
      <c r="C8653" s="23">
        <v>913.06</v>
      </c>
      <c r="D8653" s="23">
        <v>3293.9369999999999</v>
      </c>
      <c r="E8653" s="23">
        <v>1447.7090000000001</v>
      </c>
      <c r="F8653" s="23">
        <v>-1684.559</v>
      </c>
      <c r="G8653" s="23">
        <v>0</v>
      </c>
      <c r="H8653" s="23">
        <v>161.66900000000001</v>
      </c>
      <c r="I8653" s="23">
        <v>0</v>
      </c>
      <c r="J8653" s="23">
        <v>0</v>
      </c>
      <c r="K8653" s="23">
        <v>0</v>
      </c>
    </row>
    <row r="8654" spans="1:11" x14ac:dyDescent="0.25">
      <c r="A8654">
        <v>8653</v>
      </c>
      <c r="B8654" s="23">
        <v>1292.068</v>
      </c>
      <c r="C8654" s="23">
        <v>714.55</v>
      </c>
      <c r="D8654" s="23">
        <v>2625.8180000000002</v>
      </c>
      <c r="E8654" s="23">
        <v>1292.068</v>
      </c>
      <c r="F8654" s="23">
        <v>-1333.75</v>
      </c>
      <c r="G8654" s="23">
        <v>0</v>
      </c>
      <c r="H8654" s="23">
        <v>0</v>
      </c>
      <c r="I8654" s="23">
        <v>0</v>
      </c>
      <c r="J8654" s="23">
        <v>0</v>
      </c>
      <c r="K8654" s="23">
        <v>0</v>
      </c>
    </row>
    <row r="8655" spans="1:11" x14ac:dyDescent="0.25">
      <c r="A8655">
        <v>8654</v>
      </c>
      <c r="B8655" s="23">
        <v>1332.4069999999999</v>
      </c>
      <c r="C8655" s="23">
        <v>650.88</v>
      </c>
      <c r="D8655" s="23">
        <v>2415.453</v>
      </c>
      <c r="E8655" s="23">
        <v>1332.4069999999999</v>
      </c>
      <c r="F8655" s="23">
        <v>-658.32</v>
      </c>
      <c r="G8655" s="23">
        <v>0</v>
      </c>
      <c r="H8655" s="23">
        <v>424.726</v>
      </c>
      <c r="I8655" s="23">
        <v>0</v>
      </c>
      <c r="J8655" s="23">
        <v>0</v>
      </c>
      <c r="K8655" s="23">
        <v>0</v>
      </c>
    </row>
    <row r="8656" spans="1:11" x14ac:dyDescent="0.25">
      <c r="A8656">
        <v>8655</v>
      </c>
      <c r="B8656" s="23">
        <v>1699.6759999999999</v>
      </c>
      <c r="C8656" s="23">
        <v>502.92</v>
      </c>
      <c r="D8656" s="23">
        <v>1911.7550000000001</v>
      </c>
      <c r="E8656" s="23">
        <v>1699.6759999999999</v>
      </c>
      <c r="F8656" s="23">
        <v>0</v>
      </c>
      <c r="G8656" s="23">
        <v>0</v>
      </c>
      <c r="H8656" s="23">
        <v>212.07900000000001</v>
      </c>
      <c r="I8656" s="23">
        <v>0</v>
      </c>
      <c r="J8656" s="23">
        <v>0</v>
      </c>
      <c r="K8656" s="23">
        <v>0</v>
      </c>
    </row>
    <row r="8657" spans="1:11" x14ac:dyDescent="0.25">
      <c r="A8657">
        <v>8656</v>
      </c>
      <c r="B8657" s="23">
        <v>1738.895</v>
      </c>
      <c r="C8657" s="23">
        <v>387.32</v>
      </c>
      <c r="D8657" s="23">
        <v>1508.5409999999999</v>
      </c>
      <c r="E8657" s="23">
        <v>1508.5409999999999</v>
      </c>
      <c r="F8657" s="23">
        <v>0</v>
      </c>
      <c r="G8657" s="23">
        <v>0</v>
      </c>
      <c r="H8657" s="23">
        <v>0</v>
      </c>
      <c r="I8657" s="23">
        <v>230.35400000000001</v>
      </c>
      <c r="J8657" s="23">
        <v>0</v>
      </c>
      <c r="K8657" s="23">
        <v>0</v>
      </c>
    </row>
    <row r="8658" spans="1:11" x14ac:dyDescent="0.25">
      <c r="A8658">
        <v>8657</v>
      </c>
      <c r="B8658" s="23">
        <v>1656.8</v>
      </c>
      <c r="C8658" s="23">
        <v>159.55000000000001</v>
      </c>
      <c r="D8658" s="23">
        <v>595.48299999999995</v>
      </c>
      <c r="E8658" s="23">
        <v>595.48299999999995</v>
      </c>
      <c r="F8658" s="23">
        <v>0</v>
      </c>
      <c r="G8658" s="23">
        <v>0</v>
      </c>
      <c r="H8658" s="23">
        <v>0</v>
      </c>
      <c r="I8658" s="23">
        <v>1061.317</v>
      </c>
      <c r="J8658" s="23">
        <v>0</v>
      </c>
      <c r="K8658" s="23">
        <v>0</v>
      </c>
    </row>
    <row r="8659" spans="1:11" x14ac:dyDescent="0.25">
      <c r="A8659">
        <v>8658</v>
      </c>
      <c r="B8659" s="23">
        <v>1844.4570000000001</v>
      </c>
      <c r="C8659" s="23">
        <v>14.14</v>
      </c>
      <c r="D8659" s="23">
        <v>9.3710000000000004</v>
      </c>
      <c r="E8659" s="23">
        <v>9.3710000000000004</v>
      </c>
      <c r="F8659" s="23">
        <v>0</v>
      </c>
      <c r="G8659" s="23">
        <v>0</v>
      </c>
      <c r="H8659" s="23">
        <v>0</v>
      </c>
      <c r="I8659" s="23">
        <v>150.52699999999999</v>
      </c>
      <c r="J8659" s="23">
        <v>0</v>
      </c>
      <c r="K8659" s="23">
        <v>1684.559</v>
      </c>
    </row>
    <row r="8660" spans="1:11" x14ac:dyDescent="0.25">
      <c r="A8660">
        <v>8659</v>
      </c>
      <c r="B8660" s="23">
        <v>1589.6</v>
      </c>
      <c r="C8660" s="23">
        <v>0</v>
      </c>
      <c r="D8660" s="23">
        <v>0</v>
      </c>
      <c r="E8660" s="23">
        <v>0</v>
      </c>
      <c r="F8660" s="23">
        <v>0</v>
      </c>
      <c r="G8660" s="23">
        <v>0</v>
      </c>
      <c r="H8660" s="23">
        <v>0</v>
      </c>
      <c r="I8660" s="23">
        <v>0</v>
      </c>
      <c r="J8660" s="23">
        <v>0</v>
      </c>
      <c r="K8660" s="23">
        <v>1589.6</v>
      </c>
    </row>
    <row r="8661" spans="1:11" x14ac:dyDescent="0.25">
      <c r="A8661">
        <v>8660</v>
      </c>
      <c r="B8661" s="23">
        <v>1539.2</v>
      </c>
      <c r="C8661" s="23">
        <v>0</v>
      </c>
      <c r="D8661" s="23">
        <v>0</v>
      </c>
      <c r="E8661" s="23">
        <v>0</v>
      </c>
      <c r="F8661" s="23">
        <v>0</v>
      </c>
      <c r="G8661" s="23">
        <v>0</v>
      </c>
      <c r="H8661" s="23">
        <v>0</v>
      </c>
      <c r="I8661" s="23">
        <v>0</v>
      </c>
      <c r="J8661" s="23">
        <v>0</v>
      </c>
      <c r="K8661" s="23">
        <v>1539.2</v>
      </c>
    </row>
    <row r="8662" spans="1:11" x14ac:dyDescent="0.25">
      <c r="A8662">
        <v>8661</v>
      </c>
      <c r="B8662" s="23">
        <v>1721.6</v>
      </c>
      <c r="C8662" s="23">
        <v>0</v>
      </c>
      <c r="D8662" s="23">
        <v>0</v>
      </c>
      <c r="E8662" s="23">
        <v>0</v>
      </c>
      <c r="F8662" s="23">
        <v>0</v>
      </c>
      <c r="G8662" s="23">
        <v>0</v>
      </c>
      <c r="H8662" s="23">
        <v>0</v>
      </c>
      <c r="I8662" s="23">
        <v>1721.6</v>
      </c>
      <c r="J8662" s="23">
        <v>0</v>
      </c>
      <c r="K8662" s="23">
        <v>0</v>
      </c>
    </row>
    <row r="8663" spans="1:11" x14ac:dyDescent="0.25">
      <c r="A8663">
        <v>8662</v>
      </c>
      <c r="B8663" s="23">
        <v>1580</v>
      </c>
      <c r="C8663" s="23">
        <v>0</v>
      </c>
      <c r="D8663" s="23">
        <v>0</v>
      </c>
      <c r="E8663" s="23">
        <v>0</v>
      </c>
      <c r="F8663" s="23">
        <v>0</v>
      </c>
      <c r="G8663" s="23">
        <v>0</v>
      </c>
      <c r="H8663" s="23">
        <v>0</v>
      </c>
      <c r="I8663" s="23">
        <v>1580</v>
      </c>
      <c r="J8663" s="23">
        <v>0</v>
      </c>
      <c r="K8663" s="23">
        <v>0</v>
      </c>
    </row>
    <row r="8664" spans="1:11" x14ac:dyDescent="0.25">
      <c r="A8664">
        <v>8663</v>
      </c>
      <c r="B8664" s="23">
        <v>1633.6</v>
      </c>
      <c r="C8664" s="23">
        <v>0</v>
      </c>
      <c r="D8664" s="23">
        <v>0</v>
      </c>
      <c r="E8664" s="23">
        <v>0</v>
      </c>
      <c r="F8664" s="23">
        <v>0</v>
      </c>
      <c r="G8664" s="23">
        <v>0</v>
      </c>
      <c r="H8664" s="23">
        <v>0</v>
      </c>
      <c r="I8664" s="23">
        <v>1633.6</v>
      </c>
      <c r="J8664" s="23">
        <v>0</v>
      </c>
      <c r="K8664" s="23">
        <v>0</v>
      </c>
    </row>
    <row r="8665" spans="1:11" x14ac:dyDescent="0.25">
      <c r="A8665">
        <v>8664</v>
      </c>
      <c r="B8665" s="23">
        <v>1402.4</v>
      </c>
      <c r="C8665" s="23">
        <v>0</v>
      </c>
      <c r="D8665" s="23">
        <v>0</v>
      </c>
      <c r="E8665" s="23">
        <v>0</v>
      </c>
      <c r="F8665" s="23">
        <v>0</v>
      </c>
      <c r="G8665" s="23">
        <v>0</v>
      </c>
      <c r="H8665" s="23">
        <v>0</v>
      </c>
      <c r="I8665" s="23">
        <v>1402.4</v>
      </c>
      <c r="J8665" s="23">
        <v>0</v>
      </c>
      <c r="K8665" s="23">
        <v>0</v>
      </c>
    </row>
    <row r="8666" spans="1:11" x14ac:dyDescent="0.25">
      <c r="A8666">
        <v>8665</v>
      </c>
      <c r="B8666" s="23">
        <v>1166.4000000000001</v>
      </c>
      <c r="C8666" s="23">
        <v>0</v>
      </c>
      <c r="D8666" s="23">
        <v>0</v>
      </c>
      <c r="E8666" s="23">
        <v>0</v>
      </c>
      <c r="F8666" s="23">
        <v>0</v>
      </c>
      <c r="G8666" s="23">
        <v>0</v>
      </c>
      <c r="H8666" s="23">
        <v>0</v>
      </c>
      <c r="I8666" s="23">
        <v>1166.4000000000001</v>
      </c>
      <c r="J8666" s="23">
        <v>0</v>
      </c>
      <c r="K8666" s="23">
        <v>0</v>
      </c>
    </row>
    <row r="8667" spans="1:11" x14ac:dyDescent="0.25">
      <c r="A8667">
        <v>8666</v>
      </c>
      <c r="B8667" s="23">
        <v>950.4</v>
      </c>
      <c r="C8667" s="23">
        <v>0</v>
      </c>
      <c r="D8667" s="23">
        <v>0</v>
      </c>
      <c r="E8667" s="23">
        <v>0</v>
      </c>
      <c r="F8667" s="23">
        <v>0</v>
      </c>
      <c r="G8667" s="23">
        <v>0</v>
      </c>
      <c r="H8667" s="23">
        <v>0</v>
      </c>
      <c r="I8667" s="23">
        <v>950.4</v>
      </c>
      <c r="J8667" s="23">
        <v>0</v>
      </c>
      <c r="K8667" s="23">
        <v>0</v>
      </c>
    </row>
    <row r="8668" spans="1:11" x14ac:dyDescent="0.25">
      <c r="A8668">
        <v>8667</v>
      </c>
      <c r="B8668" s="23">
        <v>1228.8</v>
      </c>
      <c r="C8668" s="23">
        <v>0</v>
      </c>
      <c r="D8668" s="23">
        <v>0</v>
      </c>
      <c r="E8668" s="23">
        <v>0</v>
      </c>
      <c r="F8668" s="23">
        <v>0</v>
      </c>
      <c r="G8668" s="23">
        <v>0</v>
      </c>
      <c r="H8668" s="23">
        <v>0</v>
      </c>
      <c r="I8668" s="23">
        <v>1228.8</v>
      </c>
      <c r="J8668" s="23">
        <v>0</v>
      </c>
      <c r="K8668" s="23">
        <v>0</v>
      </c>
    </row>
    <row r="8669" spans="1:11" x14ac:dyDescent="0.25">
      <c r="A8669">
        <v>8668</v>
      </c>
      <c r="B8669" s="23">
        <v>1433.6</v>
      </c>
      <c r="C8669" s="23">
        <v>0</v>
      </c>
      <c r="D8669" s="23">
        <v>0</v>
      </c>
      <c r="E8669" s="23">
        <v>0</v>
      </c>
      <c r="F8669" s="23">
        <v>0</v>
      </c>
      <c r="G8669" s="23">
        <v>0</v>
      </c>
      <c r="H8669" s="23">
        <v>0</v>
      </c>
      <c r="I8669" s="23">
        <v>1433.6</v>
      </c>
      <c r="J8669" s="23">
        <v>0</v>
      </c>
      <c r="K8669" s="23">
        <v>0</v>
      </c>
    </row>
    <row r="8670" spans="1:11" x14ac:dyDescent="0.25">
      <c r="A8670">
        <v>8669</v>
      </c>
      <c r="B8670" s="23">
        <v>1112.8</v>
      </c>
      <c r="C8670" s="23">
        <v>0</v>
      </c>
      <c r="D8670" s="23">
        <v>0</v>
      </c>
      <c r="E8670" s="23">
        <v>0</v>
      </c>
      <c r="F8670" s="23">
        <v>0</v>
      </c>
      <c r="G8670" s="23">
        <v>0</v>
      </c>
      <c r="H8670" s="23">
        <v>0</v>
      </c>
      <c r="I8670" s="23">
        <v>1112.8</v>
      </c>
      <c r="J8670" s="23">
        <v>0</v>
      </c>
      <c r="K8670" s="23">
        <v>0</v>
      </c>
    </row>
    <row r="8671" spans="1:11" x14ac:dyDescent="0.25">
      <c r="A8671">
        <v>8670</v>
      </c>
      <c r="B8671" s="23">
        <v>1390.4</v>
      </c>
      <c r="C8671" s="23">
        <v>0</v>
      </c>
      <c r="D8671" s="23">
        <v>0</v>
      </c>
      <c r="E8671" s="23">
        <v>0</v>
      </c>
      <c r="F8671" s="23">
        <v>0</v>
      </c>
      <c r="G8671" s="23">
        <v>0</v>
      </c>
      <c r="H8671" s="23">
        <v>0</v>
      </c>
      <c r="I8671" s="23">
        <v>1183.155</v>
      </c>
      <c r="J8671" s="23">
        <v>0</v>
      </c>
      <c r="K8671" s="23">
        <v>207.245</v>
      </c>
    </row>
    <row r="8672" spans="1:11" x14ac:dyDescent="0.25">
      <c r="A8672">
        <v>8671</v>
      </c>
      <c r="B8672" s="23">
        <v>1300</v>
      </c>
      <c r="C8672" s="23">
        <v>46.7</v>
      </c>
      <c r="D8672" s="23">
        <v>115.77</v>
      </c>
      <c r="E8672" s="23">
        <v>115.77</v>
      </c>
      <c r="F8672" s="23">
        <v>0</v>
      </c>
      <c r="G8672" s="23">
        <v>0</v>
      </c>
      <c r="H8672" s="23">
        <v>0</v>
      </c>
      <c r="I8672" s="23">
        <v>0</v>
      </c>
      <c r="J8672" s="23">
        <v>0</v>
      </c>
      <c r="K8672" s="23">
        <v>1184.23</v>
      </c>
    </row>
    <row r="8673" spans="1:11" x14ac:dyDescent="0.25">
      <c r="A8673">
        <v>8672</v>
      </c>
      <c r="B8673" s="23">
        <v>1239.8900000000001</v>
      </c>
      <c r="C8673" s="23">
        <v>230.23</v>
      </c>
      <c r="D8673" s="23">
        <v>892.87599999999998</v>
      </c>
      <c r="E8673" s="23">
        <v>892.87599999999998</v>
      </c>
      <c r="F8673" s="23">
        <v>0</v>
      </c>
      <c r="G8673" s="23">
        <v>0</v>
      </c>
      <c r="H8673" s="23">
        <v>0</v>
      </c>
      <c r="I8673" s="23">
        <v>0</v>
      </c>
      <c r="J8673" s="23">
        <v>0</v>
      </c>
      <c r="K8673" s="23">
        <v>347.01400000000001</v>
      </c>
    </row>
    <row r="8674" spans="1:11" x14ac:dyDescent="0.25">
      <c r="A8674">
        <v>8673</v>
      </c>
      <c r="B8674" s="23">
        <v>1372.8720000000001</v>
      </c>
      <c r="C8674" s="23">
        <v>450.55</v>
      </c>
      <c r="D8674" s="23">
        <v>1784.2950000000001</v>
      </c>
      <c r="E8674" s="23">
        <v>1372.8720000000001</v>
      </c>
      <c r="F8674" s="23">
        <v>-411.423</v>
      </c>
      <c r="G8674" s="23">
        <v>0</v>
      </c>
      <c r="H8674" s="23">
        <v>0</v>
      </c>
      <c r="I8674" s="23">
        <v>0</v>
      </c>
      <c r="J8674" s="23">
        <v>0</v>
      </c>
      <c r="K8674" s="23">
        <v>0</v>
      </c>
    </row>
    <row r="8675" spans="1:11" x14ac:dyDescent="0.25">
      <c r="A8675">
        <v>8674</v>
      </c>
      <c r="B8675" s="23">
        <v>1438.0530000000001</v>
      </c>
      <c r="C8675" s="23">
        <v>726.67</v>
      </c>
      <c r="D8675" s="23">
        <v>2768.5790000000002</v>
      </c>
      <c r="E8675" s="23">
        <v>1438.0530000000001</v>
      </c>
      <c r="F8675" s="23">
        <v>-1330.5260000000001</v>
      </c>
      <c r="G8675" s="23">
        <v>0</v>
      </c>
      <c r="H8675" s="23">
        <v>0</v>
      </c>
      <c r="I8675" s="23">
        <v>0</v>
      </c>
      <c r="J8675" s="23">
        <v>0</v>
      </c>
      <c r="K8675" s="23">
        <v>0</v>
      </c>
    </row>
    <row r="8676" spans="1:11" x14ac:dyDescent="0.25">
      <c r="A8676">
        <v>8675</v>
      </c>
      <c r="B8676" s="23">
        <v>1474.877</v>
      </c>
      <c r="C8676" s="23">
        <v>768.95</v>
      </c>
      <c r="D8676" s="23">
        <v>2876.0160000000001</v>
      </c>
      <c r="E8676" s="23">
        <v>1474.877</v>
      </c>
      <c r="F8676" s="23">
        <v>-1401.1389999999999</v>
      </c>
      <c r="G8676" s="23">
        <v>0</v>
      </c>
      <c r="H8676" s="23">
        <v>0</v>
      </c>
      <c r="I8676" s="23">
        <v>0</v>
      </c>
      <c r="J8676" s="23">
        <v>0</v>
      </c>
      <c r="K8676" s="23">
        <v>0</v>
      </c>
    </row>
    <row r="8677" spans="1:11" x14ac:dyDescent="0.25">
      <c r="A8677">
        <v>8676</v>
      </c>
      <c r="B8677" s="23">
        <v>1655.249</v>
      </c>
      <c r="C8677" s="23">
        <v>806.67</v>
      </c>
      <c r="D8677" s="23">
        <v>2987.0439999999999</v>
      </c>
      <c r="E8677" s="23">
        <v>1655.249</v>
      </c>
      <c r="F8677" s="23">
        <v>-1331.7950000000001</v>
      </c>
      <c r="G8677" s="23">
        <v>0</v>
      </c>
      <c r="H8677" s="23">
        <v>0</v>
      </c>
      <c r="I8677" s="23">
        <v>0</v>
      </c>
      <c r="J8677" s="23">
        <v>0</v>
      </c>
      <c r="K8677" s="23">
        <v>0</v>
      </c>
    </row>
    <row r="8678" spans="1:11" x14ac:dyDescent="0.25">
      <c r="A8678">
        <v>8677</v>
      </c>
      <c r="B8678" s="23">
        <v>1465.8320000000001</v>
      </c>
      <c r="C8678" s="23">
        <v>918.93</v>
      </c>
      <c r="D8678" s="23">
        <v>3380.9949999999999</v>
      </c>
      <c r="E8678" s="23">
        <v>1465.8320000000001</v>
      </c>
      <c r="F8678" s="23">
        <v>-1684.559</v>
      </c>
      <c r="G8678" s="23">
        <v>0</v>
      </c>
      <c r="H8678" s="23">
        <v>230.60400000000001</v>
      </c>
      <c r="I8678" s="23">
        <v>0</v>
      </c>
      <c r="J8678" s="23">
        <v>0</v>
      </c>
      <c r="K8678" s="23">
        <v>0</v>
      </c>
    </row>
    <row r="8679" spans="1:11" x14ac:dyDescent="0.25">
      <c r="A8679">
        <v>8678</v>
      </c>
      <c r="B8679" s="23">
        <v>1372.877</v>
      </c>
      <c r="C8679" s="23">
        <v>845.68</v>
      </c>
      <c r="D8679" s="23">
        <v>3155.277</v>
      </c>
      <c r="E8679" s="23">
        <v>1372.876</v>
      </c>
      <c r="F8679" s="23">
        <v>-1132.057</v>
      </c>
      <c r="G8679" s="23">
        <v>0</v>
      </c>
      <c r="H8679" s="23">
        <v>650.34400000000005</v>
      </c>
      <c r="I8679" s="23">
        <v>0</v>
      </c>
      <c r="J8679" s="23">
        <v>0</v>
      </c>
      <c r="K8679" s="23">
        <v>0</v>
      </c>
    </row>
    <row r="8680" spans="1:11" x14ac:dyDescent="0.25">
      <c r="A8680">
        <v>8679</v>
      </c>
      <c r="B8680" s="23">
        <v>1501.38</v>
      </c>
      <c r="C8680" s="23">
        <v>595.16</v>
      </c>
      <c r="D8680" s="23">
        <v>2294.114</v>
      </c>
      <c r="E8680" s="23">
        <v>1501.38</v>
      </c>
      <c r="F8680" s="23">
        <v>0</v>
      </c>
      <c r="G8680" s="23">
        <v>0</v>
      </c>
      <c r="H8680" s="23">
        <v>792.73400000000004</v>
      </c>
      <c r="I8680" s="23">
        <v>0</v>
      </c>
      <c r="J8680" s="23">
        <v>0</v>
      </c>
      <c r="K8680" s="23">
        <v>0</v>
      </c>
    </row>
    <row r="8681" spans="1:11" x14ac:dyDescent="0.25">
      <c r="A8681">
        <v>8680</v>
      </c>
      <c r="B8681" s="23">
        <v>1727.807</v>
      </c>
      <c r="C8681" s="23">
        <v>326.7</v>
      </c>
      <c r="D8681" s="23">
        <v>1284.249</v>
      </c>
      <c r="E8681" s="23">
        <v>1284.249</v>
      </c>
      <c r="F8681" s="23">
        <v>0</v>
      </c>
      <c r="G8681" s="23">
        <v>0</v>
      </c>
      <c r="H8681" s="23">
        <v>0</v>
      </c>
      <c r="I8681" s="23">
        <v>443.55799999999999</v>
      </c>
      <c r="J8681" s="23">
        <v>0</v>
      </c>
      <c r="K8681" s="23">
        <v>0</v>
      </c>
    </row>
    <row r="8682" spans="1:11" x14ac:dyDescent="0.25">
      <c r="A8682">
        <v>8681</v>
      </c>
      <c r="B8682" s="23">
        <v>1880.42</v>
      </c>
      <c r="C8682" s="23">
        <v>196.69</v>
      </c>
      <c r="D8682" s="23">
        <v>737.31399999999996</v>
      </c>
      <c r="E8682" s="23">
        <v>737.31399999999996</v>
      </c>
      <c r="F8682" s="23">
        <v>0</v>
      </c>
      <c r="G8682" s="23">
        <v>0</v>
      </c>
      <c r="H8682" s="23">
        <v>0</v>
      </c>
      <c r="I8682" s="23">
        <v>1143.106</v>
      </c>
      <c r="J8682" s="23">
        <v>0</v>
      </c>
      <c r="K8682" s="23">
        <v>0</v>
      </c>
    </row>
    <row r="8683" spans="1:11" x14ac:dyDescent="0.25">
      <c r="A8683">
        <v>8682</v>
      </c>
      <c r="B8683" s="23">
        <v>1581.08</v>
      </c>
      <c r="C8683" s="23">
        <v>15.03</v>
      </c>
      <c r="D8683" s="23">
        <v>11.875999999999999</v>
      </c>
      <c r="E8683" s="23">
        <v>11.875999999999999</v>
      </c>
      <c r="F8683" s="23">
        <v>0</v>
      </c>
      <c r="G8683" s="23">
        <v>0</v>
      </c>
      <c r="H8683" s="23">
        <v>0</v>
      </c>
      <c r="I8683" s="23">
        <v>1569.204</v>
      </c>
      <c r="J8683" s="23">
        <v>0</v>
      </c>
      <c r="K8683" s="23">
        <v>0</v>
      </c>
    </row>
    <row r="8684" spans="1:11" x14ac:dyDescent="0.25">
      <c r="A8684">
        <v>8683</v>
      </c>
      <c r="B8684" s="23">
        <v>1718.4</v>
      </c>
      <c r="C8684" s="23">
        <v>0</v>
      </c>
      <c r="D8684" s="23">
        <v>0</v>
      </c>
      <c r="E8684" s="23">
        <v>0</v>
      </c>
      <c r="F8684" s="23">
        <v>0</v>
      </c>
      <c r="G8684" s="23">
        <v>0</v>
      </c>
      <c r="H8684" s="23">
        <v>0</v>
      </c>
      <c r="I8684" s="23">
        <v>1718.4</v>
      </c>
      <c r="J8684" s="23">
        <v>0</v>
      </c>
      <c r="K8684" s="23">
        <v>0</v>
      </c>
    </row>
    <row r="8685" spans="1:11" x14ac:dyDescent="0.25">
      <c r="A8685">
        <v>8684</v>
      </c>
      <c r="B8685" s="23">
        <v>1398.4</v>
      </c>
      <c r="C8685" s="23">
        <v>0</v>
      </c>
      <c r="D8685" s="23">
        <v>0</v>
      </c>
      <c r="E8685" s="23">
        <v>0</v>
      </c>
      <c r="F8685" s="23">
        <v>0</v>
      </c>
      <c r="G8685" s="23">
        <v>0</v>
      </c>
      <c r="H8685" s="23">
        <v>0</v>
      </c>
      <c r="I8685" s="23">
        <v>1398.4</v>
      </c>
      <c r="J8685" s="23">
        <v>0</v>
      </c>
      <c r="K8685" s="23">
        <v>0</v>
      </c>
    </row>
    <row r="8686" spans="1:11" x14ac:dyDescent="0.25">
      <c r="A8686">
        <v>8685</v>
      </c>
      <c r="B8686" s="23">
        <v>1615.2</v>
      </c>
      <c r="C8686" s="23">
        <v>0</v>
      </c>
      <c r="D8686" s="23">
        <v>0</v>
      </c>
      <c r="E8686" s="23">
        <v>0</v>
      </c>
      <c r="F8686" s="23">
        <v>0</v>
      </c>
      <c r="G8686" s="23">
        <v>0</v>
      </c>
      <c r="H8686" s="23">
        <v>0</v>
      </c>
      <c r="I8686" s="23">
        <v>1615.2</v>
      </c>
      <c r="J8686" s="23">
        <v>0</v>
      </c>
      <c r="K8686" s="23">
        <v>0</v>
      </c>
    </row>
    <row r="8687" spans="1:11" x14ac:dyDescent="0.25">
      <c r="A8687">
        <v>8686</v>
      </c>
      <c r="B8687" s="23">
        <v>1388</v>
      </c>
      <c r="C8687" s="23">
        <v>0</v>
      </c>
      <c r="D8687" s="23">
        <v>0</v>
      </c>
      <c r="E8687" s="23">
        <v>0</v>
      </c>
      <c r="F8687" s="23">
        <v>0</v>
      </c>
      <c r="G8687" s="23">
        <v>0</v>
      </c>
      <c r="H8687" s="23">
        <v>0</v>
      </c>
      <c r="I8687" s="23">
        <v>988.06899999999996</v>
      </c>
      <c r="J8687" s="23">
        <v>0</v>
      </c>
      <c r="K8687" s="23">
        <v>399.93099999999998</v>
      </c>
    </row>
    <row r="8688" spans="1:11" x14ac:dyDescent="0.25">
      <c r="A8688">
        <v>8687</v>
      </c>
      <c r="B8688" s="23">
        <v>1260</v>
      </c>
      <c r="C8688" s="23">
        <v>0</v>
      </c>
      <c r="D8688" s="23">
        <v>0</v>
      </c>
      <c r="E8688" s="23">
        <v>0</v>
      </c>
      <c r="F8688" s="23">
        <v>0</v>
      </c>
      <c r="G8688" s="23">
        <v>0</v>
      </c>
      <c r="H8688" s="23">
        <v>0</v>
      </c>
      <c r="I8688" s="23">
        <v>0</v>
      </c>
      <c r="J8688" s="23">
        <v>0</v>
      </c>
      <c r="K8688" s="23">
        <v>1260</v>
      </c>
    </row>
    <row r="8689" spans="1:11" x14ac:dyDescent="0.25">
      <c r="A8689">
        <v>8688</v>
      </c>
      <c r="B8689" s="23">
        <v>1138.4000000000001</v>
      </c>
      <c r="C8689" s="23">
        <v>0</v>
      </c>
      <c r="D8689" s="23">
        <v>0</v>
      </c>
      <c r="E8689" s="23">
        <v>0</v>
      </c>
      <c r="F8689" s="23">
        <v>0</v>
      </c>
      <c r="G8689" s="23">
        <v>0</v>
      </c>
      <c r="H8689" s="23">
        <v>0</v>
      </c>
      <c r="I8689" s="23">
        <v>0</v>
      </c>
      <c r="J8689" s="23">
        <v>0</v>
      </c>
      <c r="K8689" s="23">
        <v>1138.4000000000001</v>
      </c>
    </row>
    <row r="8690" spans="1:11" x14ac:dyDescent="0.25">
      <c r="A8690">
        <v>8689</v>
      </c>
      <c r="B8690" s="23">
        <v>1516</v>
      </c>
      <c r="C8690" s="23">
        <v>0</v>
      </c>
      <c r="D8690" s="23">
        <v>0</v>
      </c>
      <c r="E8690" s="23">
        <v>0</v>
      </c>
      <c r="F8690" s="23">
        <v>0</v>
      </c>
      <c r="G8690" s="23">
        <v>0</v>
      </c>
      <c r="H8690" s="23">
        <v>0</v>
      </c>
      <c r="I8690" s="23">
        <v>1516</v>
      </c>
      <c r="J8690" s="23">
        <v>0</v>
      </c>
      <c r="K8690" s="23">
        <v>0</v>
      </c>
    </row>
    <row r="8691" spans="1:11" x14ac:dyDescent="0.25">
      <c r="A8691">
        <v>8690</v>
      </c>
      <c r="B8691" s="23">
        <v>1427.2</v>
      </c>
      <c r="C8691" s="23">
        <v>0</v>
      </c>
      <c r="D8691" s="23">
        <v>0</v>
      </c>
      <c r="E8691" s="23">
        <v>0</v>
      </c>
      <c r="F8691" s="23">
        <v>0</v>
      </c>
      <c r="G8691" s="23">
        <v>0</v>
      </c>
      <c r="H8691" s="23">
        <v>0</v>
      </c>
      <c r="I8691" s="23">
        <v>1427.2</v>
      </c>
      <c r="J8691" s="23">
        <v>0</v>
      </c>
      <c r="K8691" s="23">
        <v>0</v>
      </c>
    </row>
    <row r="8692" spans="1:11" x14ac:dyDescent="0.25">
      <c r="A8692">
        <v>8691</v>
      </c>
      <c r="B8692" s="23">
        <v>1350.4</v>
      </c>
      <c r="C8692" s="23">
        <v>0</v>
      </c>
      <c r="D8692" s="23">
        <v>0</v>
      </c>
      <c r="E8692" s="23">
        <v>0</v>
      </c>
      <c r="F8692" s="23">
        <v>0</v>
      </c>
      <c r="G8692" s="23">
        <v>0</v>
      </c>
      <c r="H8692" s="23">
        <v>0</v>
      </c>
      <c r="I8692" s="23">
        <v>1350.4</v>
      </c>
      <c r="J8692" s="23">
        <v>0</v>
      </c>
      <c r="K8692" s="23">
        <v>0</v>
      </c>
    </row>
    <row r="8693" spans="1:11" x14ac:dyDescent="0.25">
      <c r="A8693">
        <v>8692</v>
      </c>
      <c r="B8693" s="23">
        <v>1424.8</v>
      </c>
      <c r="C8693" s="23">
        <v>0</v>
      </c>
      <c r="D8693" s="23">
        <v>0</v>
      </c>
      <c r="E8693" s="23">
        <v>0</v>
      </c>
      <c r="F8693" s="23">
        <v>0</v>
      </c>
      <c r="G8693" s="23">
        <v>0</v>
      </c>
      <c r="H8693" s="23">
        <v>0</v>
      </c>
      <c r="I8693" s="23">
        <v>1424.8</v>
      </c>
      <c r="J8693" s="23">
        <v>0</v>
      </c>
      <c r="K8693" s="23">
        <v>0</v>
      </c>
    </row>
    <row r="8694" spans="1:11" x14ac:dyDescent="0.25">
      <c r="A8694">
        <v>8693</v>
      </c>
      <c r="B8694" s="23">
        <v>1365.6</v>
      </c>
      <c r="C8694" s="23">
        <v>0</v>
      </c>
      <c r="D8694" s="23">
        <v>0</v>
      </c>
      <c r="E8694" s="23">
        <v>0</v>
      </c>
      <c r="F8694" s="23">
        <v>0</v>
      </c>
      <c r="G8694" s="23">
        <v>0</v>
      </c>
      <c r="H8694" s="23">
        <v>0</v>
      </c>
      <c r="I8694" s="23">
        <v>0</v>
      </c>
      <c r="J8694" s="23">
        <v>0</v>
      </c>
      <c r="K8694" s="23">
        <v>1365.6</v>
      </c>
    </row>
    <row r="8695" spans="1:11" x14ac:dyDescent="0.25">
      <c r="A8695">
        <v>8694</v>
      </c>
      <c r="B8695" s="23">
        <v>1286.4000000000001</v>
      </c>
      <c r="C8695" s="23">
        <v>0</v>
      </c>
      <c r="D8695" s="23">
        <v>0</v>
      </c>
      <c r="E8695" s="23">
        <v>0</v>
      </c>
      <c r="F8695" s="23">
        <v>0</v>
      </c>
      <c r="G8695" s="23">
        <v>0</v>
      </c>
      <c r="H8695" s="23">
        <v>0</v>
      </c>
      <c r="I8695" s="23">
        <v>0</v>
      </c>
      <c r="J8695" s="23">
        <v>0</v>
      </c>
      <c r="K8695" s="23">
        <v>1286.4000000000001</v>
      </c>
    </row>
    <row r="8696" spans="1:11" x14ac:dyDescent="0.25">
      <c r="A8696">
        <v>8695</v>
      </c>
      <c r="B8696" s="23">
        <v>1076.8</v>
      </c>
      <c r="C8696" s="23">
        <v>34.35</v>
      </c>
      <c r="D8696" s="23">
        <v>80.228999999999999</v>
      </c>
      <c r="E8696" s="23">
        <v>80.228999999999999</v>
      </c>
      <c r="F8696" s="23">
        <v>0</v>
      </c>
      <c r="G8696" s="23">
        <v>0</v>
      </c>
      <c r="H8696" s="23">
        <v>0</v>
      </c>
      <c r="I8696" s="23">
        <v>0</v>
      </c>
      <c r="J8696" s="23">
        <v>0</v>
      </c>
      <c r="K8696" s="23">
        <v>996.57100000000003</v>
      </c>
    </row>
    <row r="8697" spans="1:11" x14ac:dyDescent="0.25">
      <c r="A8697">
        <v>8696</v>
      </c>
      <c r="B8697" s="23">
        <v>900.697</v>
      </c>
      <c r="C8697" s="23">
        <v>205.48</v>
      </c>
      <c r="D8697" s="23">
        <v>795.74900000000002</v>
      </c>
      <c r="E8697" s="23">
        <v>795.74900000000002</v>
      </c>
      <c r="F8697" s="23">
        <v>0</v>
      </c>
      <c r="G8697" s="23">
        <v>0</v>
      </c>
      <c r="H8697" s="23">
        <v>0</v>
      </c>
      <c r="I8697" s="23">
        <v>0</v>
      </c>
      <c r="J8697" s="23">
        <v>0</v>
      </c>
      <c r="K8697" s="23">
        <v>104.94799999999999</v>
      </c>
    </row>
    <row r="8698" spans="1:11" x14ac:dyDescent="0.25">
      <c r="A8698">
        <v>8697</v>
      </c>
      <c r="B8698" s="23">
        <v>1097.2</v>
      </c>
      <c r="C8698" s="23">
        <v>432.49</v>
      </c>
      <c r="D8698" s="23">
        <v>1720.4</v>
      </c>
      <c r="E8698" s="23">
        <v>1097.2</v>
      </c>
      <c r="F8698" s="23">
        <v>-623.20000000000005</v>
      </c>
      <c r="G8698" s="23">
        <v>0</v>
      </c>
      <c r="H8698" s="23">
        <v>0</v>
      </c>
      <c r="I8698" s="23">
        <v>0</v>
      </c>
      <c r="J8698" s="23">
        <v>0</v>
      </c>
      <c r="K8698" s="23">
        <v>0</v>
      </c>
    </row>
    <row r="8699" spans="1:11" x14ac:dyDescent="0.25">
      <c r="A8699">
        <v>8698</v>
      </c>
      <c r="B8699" s="23">
        <v>1366.655</v>
      </c>
      <c r="C8699" s="23">
        <v>723.64</v>
      </c>
      <c r="D8699" s="23">
        <v>2801.9859999999999</v>
      </c>
      <c r="E8699" s="23">
        <v>1366.655</v>
      </c>
      <c r="F8699" s="23">
        <v>-1435.3309999999999</v>
      </c>
      <c r="G8699" s="23">
        <v>0</v>
      </c>
      <c r="H8699" s="23">
        <v>0</v>
      </c>
      <c r="I8699" s="23">
        <v>0</v>
      </c>
      <c r="J8699" s="23">
        <v>0</v>
      </c>
      <c r="K8699" s="23">
        <v>0</v>
      </c>
    </row>
    <row r="8700" spans="1:11" x14ac:dyDescent="0.25">
      <c r="A8700">
        <v>8699</v>
      </c>
      <c r="B8700" s="23">
        <v>1227.2909999999999</v>
      </c>
      <c r="C8700" s="23">
        <v>778.47</v>
      </c>
      <c r="D8700" s="23">
        <v>2971.050999999999</v>
      </c>
      <c r="E8700" s="23">
        <v>1227.2919999999999</v>
      </c>
      <c r="F8700" s="23">
        <v>-1684.559</v>
      </c>
      <c r="G8700" s="23">
        <v>0</v>
      </c>
      <c r="H8700" s="23">
        <v>59.2</v>
      </c>
      <c r="I8700" s="23">
        <v>0</v>
      </c>
      <c r="J8700" s="23">
        <v>0</v>
      </c>
      <c r="K8700" s="23">
        <v>0</v>
      </c>
    </row>
    <row r="8701" spans="1:11" x14ac:dyDescent="0.25">
      <c r="A8701">
        <v>8700</v>
      </c>
      <c r="B8701" s="23">
        <v>1383.5719999999999</v>
      </c>
      <c r="C8701" s="23">
        <v>926.88</v>
      </c>
      <c r="D8701" s="23">
        <v>3480.9989999999998</v>
      </c>
      <c r="E8701" s="23">
        <v>1383.5719999999999</v>
      </c>
      <c r="F8701" s="23">
        <v>-1684.559</v>
      </c>
      <c r="G8701" s="23">
        <v>0</v>
      </c>
      <c r="H8701" s="23">
        <v>412.86799999999999</v>
      </c>
      <c r="I8701" s="23">
        <v>0</v>
      </c>
      <c r="J8701" s="23">
        <v>0</v>
      </c>
      <c r="K8701" s="23">
        <v>0</v>
      </c>
    </row>
    <row r="8702" spans="1:11" x14ac:dyDescent="0.25">
      <c r="A8702">
        <v>8701</v>
      </c>
      <c r="B8702" s="23">
        <v>1468.2570000000001</v>
      </c>
      <c r="C8702" s="23">
        <v>763.02</v>
      </c>
      <c r="D8702" s="23">
        <v>2896.194</v>
      </c>
      <c r="E8702" s="23">
        <v>1468.2570000000001</v>
      </c>
      <c r="F8702" s="23">
        <v>-1427.9369999999999</v>
      </c>
      <c r="G8702" s="23">
        <v>0</v>
      </c>
      <c r="H8702" s="23">
        <v>0</v>
      </c>
      <c r="I8702" s="23">
        <v>0</v>
      </c>
      <c r="J8702" s="23">
        <v>0</v>
      </c>
      <c r="K8702" s="23">
        <v>0</v>
      </c>
    </row>
    <row r="8703" spans="1:11" x14ac:dyDescent="0.25">
      <c r="A8703">
        <v>8702</v>
      </c>
      <c r="B8703" s="23">
        <v>1027.48</v>
      </c>
      <c r="C8703" s="23">
        <v>624.11</v>
      </c>
      <c r="D8703" s="23">
        <v>2394.991</v>
      </c>
      <c r="E8703" s="23">
        <v>1027.48</v>
      </c>
      <c r="F8703" s="23">
        <v>-435.91300000000001</v>
      </c>
      <c r="G8703" s="23">
        <v>0</v>
      </c>
      <c r="H8703" s="23">
        <v>931.59799999999996</v>
      </c>
      <c r="I8703" s="23">
        <v>0</v>
      </c>
      <c r="J8703" s="23">
        <v>0</v>
      </c>
      <c r="K8703" s="23">
        <v>0</v>
      </c>
    </row>
    <row r="8704" spans="1:11" x14ac:dyDescent="0.25">
      <c r="A8704">
        <v>8703</v>
      </c>
      <c r="B8704" s="23">
        <v>1438.0640000000001</v>
      </c>
      <c r="C8704" s="23">
        <v>297.18</v>
      </c>
      <c r="D8704" s="23">
        <v>1152.5219999999999</v>
      </c>
      <c r="E8704" s="23">
        <v>1152.5219999999999</v>
      </c>
      <c r="F8704" s="23">
        <v>0</v>
      </c>
      <c r="G8704" s="23">
        <v>0</v>
      </c>
      <c r="H8704" s="23">
        <v>0</v>
      </c>
      <c r="I8704" s="23">
        <v>0</v>
      </c>
      <c r="J8704" s="23">
        <v>0</v>
      </c>
      <c r="K8704" s="23">
        <v>285.54199999999997</v>
      </c>
    </row>
    <row r="8705" spans="1:11" x14ac:dyDescent="0.25">
      <c r="A8705">
        <v>8704</v>
      </c>
      <c r="B8705" s="23">
        <v>621.66899999999998</v>
      </c>
      <c r="C8705" s="23">
        <v>231.91</v>
      </c>
      <c r="D8705" s="23">
        <v>905.89400000000001</v>
      </c>
      <c r="E8705" s="23">
        <v>621.66899999999998</v>
      </c>
      <c r="F8705" s="23">
        <v>-284.22500000000002</v>
      </c>
      <c r="G8705" s="23">
        <v>0</v>
      </c>
      <c r="H8705" s="23">
        <v>0</v>
      </c>
      <c r="I8705" s="23">
        <v>0</v>
      </c>
      <c r="J8705" s="23">
        <v>0</v>
      </c>
      <c r="K8705" s="23">
        <v>0</v>
      </c>
    </row>
    <row r="8706" spans="1:11" x14ac:dyDescent="0.25">
      <c r="A8706">
        <v>8705</v>
      </c>
      <c r="B8706" s="23">
        <v>592.38599999999997</v>
      </c>
      <c r="C8706" s="23">
        <v>111.31</v>
      </c>
      <c r="D8706" s="23">
        <v>415.529</v>
      </c>
      <c r="E8706" s="23">
        <v>415.529</v>
      </c>
      <c r="F8706" s="23">
        <v>0</v>
      </c>
      <c r="G8706" s="23">
        <v>0</v>
      </c>
      <c r="H8706" s="23">
        <v>0</v>
      </c>
      <c r="I8706" s="23">
        <v>0</v>
      </c>
      <c r="J8706" s="23">
        <v>0</v>
      </c>
      <c r="K8706" s="23">
        <v>176.857</v>
      </c>
    </row>
    <row r="8707" spans="1:11" x14ac:dyDescent="0.25">
      <c r="A8707">
        <v>8706</v>
      </c>
      <c r="B8707" s="23">
        <v>255.34200000000001</v>
      </c>
      <c r="C8707" s="23">
        <v>7.83</v>
      </c>
      <c r="D8707" s="23">
        <v>0</v>
      </c>
      <c r="E8707" s="23">
        <v>0</v>
      </c>
      <c r="F8707" s="23">
        <v>0</v>
      </c>
      <c r="G8707" s="23">
        <v>0</v>
      </c>
      <c r="H8707" s="23">
        <v>0</v>
      </c>
      <c r="I8707" s="23">
        <v>0</v>
      </c>
      <c r="J8707" s="23">
        <v>0</v>
      </c>
      <c r="K8707" s="23">
        <v>255.34200000000001</v>
      </c>
    </row>
    <row r="8708" spans="1:11" x14ac:dyDescent="0.25">
      <c r="A8708">
        <v>8707</v>
      </c>
      <c r="B8708" s="23">
        <v>254.4</v>
      </c>
      <c r="C8708" s="23">
        <v>0</v>
      </c>
      <c r="D8708" s="23">
        <v>0</v>
      </c>
      <c r="E8708" s="23">
        <v>0</v>
      </c>
      <c r="F8708" s="23">
        <v>0</v>
      </c>
      <c r="G8708" s="23">
        <v>0</v>
      </c>
      <c r="H8708" s="23">
        <v>0</v>
      </c>
      <c r="I8708" s="23">
        <v>0</v>
      </c>
      <c r="J8708" s="23">
        <v>0</v>
      </c>
      <c r="K8708" s="23">
        <v>254.4</v>
      </c>
    </row>
    <row r="8709" spans="1:11" x14ac:dyDescent="0.25">
      <c r="A8709">
        <v>8708</v>
      </c>
      <c r="B8709" s="23">
        <v>272</v>
      </c>
      <c r="C8709" s="23">
        <v>0</v>
      </c>
      <c r="D8709" s="23">
        <v>0</v>
      </c>
      <c r="E8709" s="23">
        <v>0</v>
      </c>
      <c r="F8709" s="23">
        <v>0</v>
      </c>
      <c r="G8709" s="23">
        <v>0</v>
      </c>
      <c r="H8709" s="23">
        <v>0</v>
      </c>
      <c r="I8709" s="23">
        <v>0</v>
      </c>
      <c r="J8709" s="23">
        <v>0</v>
      </c>
      <c r="K8709" s="23">
        <v>272</v>
      </c>
    </row>
    <row r="8710" spans="1:11" x14ac:dyDescent="0.25">
      <c r="A8710">
        <v>8709</v>
      </c>
      <c r="B8710" s="23">
        <v>180</v>
      </c>
      <c r="C8710" s="23">
        <v>0</v>
      </c>
      <c r="D8710" s="23">
        <v>0</v>
      </c>
      <c r="E8710" s="23">
        <v>0</v>
      </c>
      <c r="F8710" s="23">
        <v>0</v>
      </c>
      <c r="G8710" s="23">
        <v>0</v>
      </c>
      <c r="H8710" s="23">
        <v>0</v>
      </c>
      <c r="I8710" s="23">
        <v>0</v>
      </c>
      <c r="J8710" s="23">
        <v>0</v>
      </c>
      <c r="K8710" s="23">
        <v>180</v>
      </c>
    </row>
    <row r="8711" spans="1:11" x14ac:dyDescent="0.25">
      <c r="A8711">
        <v>8710</v>
      </c>
      <c r="B8711" s="23">
        <v>245.6</v>
      </c>
      <c r="C8711" s="23">
        <v>0</v>
      </c>
      <c r="D8711" s="23">
        <v>0</v>
      </c>
      <c r="E8711" s="23">
        <v>0</v>
      </c>
      <c r="F8711" s="23">
        <v>0</v>
      </c>
      <c r="G8711" s="23">
        <v>0</v>
      </c>
      <c r="H8711" s="23">
        <v>0</v>
      </c>
      <c r="I8711" s="23">
        <v>0</v>
      </c>
      <c r="J8711" s="23">
        <v>0</v>
      </c>
      <c r="K8711" s="23">
        <v>245.6</v>
      </c>
    </row>
    <row r="8712" spans="1:11" x14ac:dyDescent="0.25">
      <c r="A8712">
        <v>8711</v>
      </c>
      <c r="B8712" s="23">
        <v>105.6</v>
      </c>
      <c r="C8712" s="23">
        <v>0</v>
      </c>
      <c r="D8712" s="23">
        <v>0</v>
      </c>
      <c r="E8712" s="23">
        <v>0</v>
      </c>
      <c r="F8712" s="23">
        <v>0</v>
      </c>
      <c r="G8712" s="23">
        <v>0</v>
      </c>
      <c r="H8712" s="23">
        <v>0</v>
      </c>
      <c r="I8712" s="23">
        <v>105.6</v>
      </c>
      <c r="J8712" s="23">
        <v>0</v>
      </c>
      <c r="K8712" s="23">
        <v>0</v>
      </c>
    </row>
    <row r="8713" spans="1:11" x14ac:dyDescent="0.25">
      <c r="A8713">
        <v>8712</v>
      </c>
      <c r="B8713" s="23">
        <v>99.2</v>
      </c>
      <c r="C8713" s="23">
        <v>0</v>
      </c>
      <c r="D8713" s="23">
        <v>0</v>
      </c>
      <c r="E8713" s="23">
        <v>0</v>
      </c>
      <c r="F8713" s="23">
        <v>0</v>
      </c>
      <c r="G8713" s="23">
        <v>0</v>
      </c>
      <c r="H8713" s="23">
        <v>0</v>
      </c>
      <c r="I8713" s="23">
        <v>99.2</v>
      </c>
      <c r="J8713" s="23">
        <v>0</v>
      </c>
      <c r="K8713" s="23">
        <v>0</v>
      </c>
    </row>
    <row r="8714" spans="1:11" x14ac:dyDescent="0.25">
      <c r="A8714">
        <v>8713</v>
      </c>
      <c r="B8714" s="23">
        <v>91.2</v>
      </c>
      <c r="C8714" s="23">
        <v>0</v>
      </c>
      <c r="D8714" s="23">
        <v>0</v>
      </c>
      <c r="E8714" s="23">
        <v>0</v>
      </c>
      <c r="F8714" s="23">
        <v>0</v>
      </c>
      <c r="G8714" s="23">
        <v>0</v>
      </c>
      <c r="H8714" s="23">
        <v>0</v>
      </c>
      <c r="I8714" s="23">
        <v>82.635999999999996</v>
      </c>
      <c r="J8714" s="23">
        <v>0</v>
      </c>
      <c r="K8714" s="23">
        <v>8.5640000000000001</v>
      </c>
    </row>
    <row r="8715" spans="1:11" x14ac:dyDescent="0.25">
      <c r="A8715">
        <v>8714</v>
      </c>
      <c r="B8715" s="23">
        <v>98.4</v>
      </c>
      <c r="C8715" s="23">
        <v>0</v>
      </c>
      <c r="D8715" s="23">
        <v>0</v>
      </c>
      <c r="E8715" s="23">
        <v>0</v>
      </c>
      <c r="F8715" s="23">
        <v>0</v>
      </c>
      <c r="G8715" s="23">
        <v>0</v>
      </c>
      <c r="H8715" s="23">
        <v>0</v>
      </c>
      <c r="I8715" s="23">
        <v>0</v>
      </c>
      <c r="J8715" s="23">
        <v>0</v>
      </c>
      <c r="K8715" s="23">
        <v>98.4</v>
      </c>
    </row>
    <row r="8716" spans="1:11" x14ac:dyDescent="0.25">
      <c r="A8716">
        <v>8715</v>
      </c>
      <c r="B8716" s="23">
        <v>89.6</v>
      </c>
      <c r="C8716" s="23">
        <v>0</v>
      </c>
      <c r="D8716" s="23">
        <v>0</v>
      </c>
      <c r="E8716" s="23">
        <v>0</v>
      </c>
      <c r="F8716" s="23">
        <v>0</v>
      </c>
      <c r="G8716" s="23">
        <v>0</v>
      </c>
      <c r="H8716" s="23">
        <v>0</v>
      </c>
      <c r="I8716" s="23">
        <v>0</v>
      </c>
      <c r="J8716" s="23">
        <v>0</v>
      </c>
      <c r="K8716" s="23">
        <v>89.6</v>
      </c>
    </row>
    <row r="8717" spans="1:11" x14ac:dyDescent="0.25">
      <c r="A8717">
        <v>8716</v>
      </c>
      <c r="B8717" s="23">
        <v>95.2</v>
      </c>
      <c r="C8717" s="23">
        <v>0</v>
      </c>
      <c r="D8717" s="23">
        <v>0</v>
      </c>
      <c r="E8717" s="23">
        <v>0</v>
      </c>
      <c r="F8717" s="23">
        <v>0</v>
      </c>
      <c r="G8717" s="23">
        <v>0</v>
      </c>
      <c r="H8717" s="23">
        <v>0</v>
      </c>
      <c r="I8717" s="23">
        <v>0</v>
      </c>
      <c r="J8717" s="23">
        <v>0</v>
      </c>
      <c r="K8717" s="23">
        <v>95.2</v>
      </c>
    </row>
    <row r="8718" spans="1:11" x14ac:dyDescent="0.25">
      <c r="A8718">
        <v>8717</v>
      </c>
      <c r="B8718" s="23">
        <v>91.2</v>
      </c>
      <c r="C8718" s="23">
        <v>0</v>
      </c>
      <c r="D8718" s="23">
        <v>0</v>
      </c>
      <c r="E8718" s="23">
        <v>0</v>
      </c>
      <c r="F8718" s="23">
        <v>0</v>
      </c>
      <c r="G8718" s="23">
        <v>0</v>
      </c>
      <c r="H8718" s="23">
        <v>0</v>
      </c>
      <c r="I8718" s="23">
        <v>0</v>
      </c>
      <c r="J8718" s="23">
        <v>0</v>
      </c>
      <c r="K8718" s="23">
        <v>91.2</v>
      </c>
    </row>
    <row r="8719" spans="1:11" x14ac:dyDescent="0.25">
      <c r="A8719">
        <v>8718</v>
      </c>
      <c r="B8719" s="23">
        <v>96.8</v>
      </c>
      <c r="C8719" s="23">
        <v>0</v>
      </c>
      <c r="D8719" s="23">
        <v>0</v>
      </c>
      <c r="E8719" s="23">
        <v>0</v>
      </c>
      <c r="F8719" s="23">
        <v>0</v>
      </c>
      <c r="G8719" s="23">
        <v>0</v>
      </c>
      <c r="H8719" s="23">
        <v>0</v>
      </c>
      <c r="I8719" s="23">
        <v>0</v>
      </c>
      <c r="J8719" s="23">
        <v>0</v>
      </c>
      <c r="K8719" s="23">
        <v>96.8</v>
      </c>
    </row>
    <row r="8720" spans="1:11" x14ac:dyDescent="0.25">
      <c r="A8720">
        <v>8719</v>
      </c>
      <c r="B8720" s="23">
        <v>77.599999999999994</v>
      </c>
      <c r="C8720" s="23">
        <v>17.63</v>
      </c>
      <c r="D8720" s="23">
        <v>32.89</v>
      </c>
      <c r="E8720" s="23">
        <v>32.89</v>
      </c>
      <c r="F8720" s="23">
        <v>0</v>
      </c>
      <c r="G8720" s="23">
        <v>0</v>
      </c>
      <c r="H8720" s="23">
        <v>0</v>
      </c>
      <c r="I8720" s="23">
        <v>0</v>
      </c>
      <c r="J8720" s="23">
        <v>0</v>
      </c>
      <c r="K8720" s="23">
        <v>44.71</v>
      </c>
    </row>
    <row r="8721" spans="1:11" x14ac:dyDescent="0.25">
      <c r="A8721">
        <v>8720</v>
      </c>
      <c r="B8721" s="23">
        <v>94.05</v>
      </c>
      <c r="C8721" s="23">
        <v>173.11</v>
      </c>
      <c r="D8721" s="23">
        <v>675.51099999999997</v>
      </c>
      <c r="E8721" s="23">
        <v>94.05</v>
      </c>
      <c r="F8721" s="23">
        <v>-581.46100000000001</v>
      </c>
      <c r="G8721" s="23">
        <v>0</v>
      </c>
      <c r="H8721" s="23">
        <v>0</v>
      </c>
      <c r="I8721" s="23">
        <v>0</v>
      </c>
      <c r="J8721" s="23">
        <v>0</v>
      </c>
      <c r="K8721" s="23">
        <v>0</v>
      </c>
    </row>
    <row r="8722" spans="1:11" x14ac:dyDescent="0.25">
      <c r="A8722">
        <v>8721</v>
      </c>
      <c r="B8722" s="23">
        <v>825.91499999999996</v>
      </c>
      <c r="C8722" s="23">
        <v>401.95</v>
      </c>
      <c r="D8722" s="23">
        <v>1622.25</v>
      </c>
      <c r="E8722" s="23">
        <v>825.91499999999996</v>
      </c>
      <c r="F8722" s="23">
        <v>-796.33500000000004</v>
      </c>
      <c r="G8722" s="23">
        <v>0</v>
      </c>
      <c r="H8722" s="23">
        <v>0</v>
      </c>
      <c r="I8722" s="23">
        <v>0</v>
      </c>
      <c r="J8722" s="23">
        <v>0</v>
      </c>
      <c r="K8722" s="23">
        <v>0</v>
      </c>
    </row>
    <row r="8723" spans="1:11" x14ac:dyDescent="0.25">
      <c r="A8723">
        <v>8722</v>
      </c>
      <c r="B8723" s="23">
        <v>1285.579</v>
      </c>
      <c r="C8723" s="23">
        <v>455.66</v>
      </c>
      <c r="D8723" s="23">
        <v>1792.7670000000001</v>
      </c>
      <c r="E8723" s="23">
        <v>1285.579</v>
      </c>
      <c r="F8723" s="23">
        <v>-507.18799999999999</v>
      </c>
      <c r="G8723" s="23">
        <v>0</v>
      </c>
      <c r="H8723" s="23">
        <v>0</v>
      </c>
      <c r="I8723" s="23">
        <v>0</v>
      </c>
      <c r="J8723" s="23">
        <v>0</v>
      </c>
      <c r="K8723" s="23">
        <v>0</v>
      </c>
    </row>
    <row r="8724" spans="1:11" x14ac:dyDescent="0.25">
      <c r="A8724">
        <v>8723</v>
      </c>
      <c r="B8724" s="23">
        <v>1403.5350000000001</v>
      </c>
      <c r="C8724" s="23">
        <v>247.62</v>
      </c>
      <c r="D8724" s="23">
        <v>952.17899999999997</v>
      </c>
      <c r="E8724" s="23">
        <v>952.17899999999997</v>
      </c>
      <c r="F8724" s="23">
        <v>0</v>
      </c>
      <c r="G8724" s="23">
        <v>0</v>
      </c>
      <c r="H8724" s="23">
        <v>0</v>
      </c>
      <c r="I8724" s="23">
        <v>0</v>
      </c>
      <c r="J8724" s="23">
        <v>0</v>
      </c>
      <c r="K8724" s="23">
        <v>451.35599999999999</v>
      </c>
    </row>
    <row r="8725" spans="1:11" x14ac:dyDescent="0.25">
      <c r="A8725">
        <v>8724</v>
      </c>
      <c r="B8725" s="23">
        <v>1280.1089999999999</v>
      </c>
      <c r="C8725" s="23">
        <v>334.47</v>
      </c>
      <c r="D8725" s="23">
        <v>1287.7159999999999</v>
      </c>
      <c r="E8725" s="23">
        <v>1280.1089999999999</v>
      </c>
      <c r="F8725" s="23">
        <v>-7.6070000000000002</v>
      </c>
      <c r="G8725" s="23">
        <v>0</v>
      </c>
      <c r="H8725" s="23">
        <v>0</v>
      </c>
      <c r="I8725" s="23">
        <v>0</v>
      </c>
      <c r="J8725" s="23">
        <v>0</v>
      </c>
      <c r="K8725" s="23">
        <v>0</v>
      </c>
    </row>
    <row r="8726" spans="1:11" x14ac:dyDescent="0.25">
      <c r="A8726">
        <v>8725</v>
      </c>
      <c r="B8726" s="23">
        <v>1122.521</v>
      </c>
      <c r="C8726" s="23">
        <v>491.87</v>
      </c>
      <c r="D8726" s="23">
        <v>1889.94</v>
      </c>
      <c r="E8726" s="23">
        <v>1122.521</v>
      </c>
      <c r="F8726" s="23">
        <v>-767.41899999999998</v>
      </c>
      <c r="G8726" s="23">
        <v>0</v>
      </c>
      <c r="H8726" s="23">
        <v>0</v>
      </c>
      <c r="I8726" s="23">
        <v>0</v>
      </c>
      <c r="J8726" s="23">
        <v>0</v>
      </c>
      <c r="K8726" s="23">
        <v>0</v>
      </c>
    </row>
    <row r="8727" spans="1:11" x14ac:dyDescent="0.25">
      <c r="A8727">
        <v>8726</v>
      </c>
      <c r="B8727" s="23">
        <v>1380.9639999999999</v>
      </c>
      <c r="C8727" s="23">
        <v>307.57</v>
      </c>
      <c r="D8727" s="23">
        <v>1184.3900000000001</v>
      </c>
      <c r="E8727" s="23">
        <v>1184.3900000000001</v>
      </c>
      <c r="F8727" s="23">
        <v>0</v>
      </c>
      <c r="G8727" s="23">
        <v>0</v>
      </c>
      <c r="H8727" s="23">
        <v>0</v>
      </c>
      <c r="I8727" s="23">
        <v>196.57400000000001</v>
      </c>
      <c r="J8727" s="23">
        <v>0</v>
      </c>
      <c r="K8727" s="23">
        <v>0</v>
      </c>
    </row>
    <row r="8728" spans="1:11" x14ac:dyDescent="0.25">
      <c r="A8728">
        <v>8727</v>
      </c>
      <c r="B8728" s="23">
        <v>1395.6179999999999</v>
      </c>
      <c r="C8728" s="23">
        <v>297.17</v>
      </c>
      <c r="D8728" s="23">
        <v>1152.491</v>
      </c>
      <c r="E8728" s="23">
        <v>1152.491</v>
      </c>
      <c r="F8728" s="23">
        <v>0</v>
      </c>
      <c r="G8728" s="23">
        <v>0</v>
      </c>
      <c r="H8728" s="23">
        <v>0</v>
      </c>
      <c r="I8728" s="23">
        <v>243.12700000000001</v>
      </c>
      <c r="J8728" s="23">
        <v>0</v>
      </c>
      <c r="K8728" s="23">
        <v>0</v>
      </c>
    </row>
    <row r="8729" spans="1:11" x14ac:dyDescent="0.25">
      <c r="A8729">
        <v>8728</v>
      </c>
      <c r="B8729" s="23">
        <v>1382.8219999999999</v>
      </c>
      <c r="C8729" s="23">
        <v>125.62</v>
      </c>
      <c r="D8729" s="23">
        <v>475.75599999999997</v>
      </c>
      <c r="E8729" s="23">
        <v>475.75599999999997</v>
      </c>
      <c r="F8729" s="23">
        <v>0</v>
      </c>
      <c r="G8729" s="23">
        <v>0</v>
      </c>
      <c r="H8729" s="23">
        <v>0</v>
      </c>
      <c r="I8729" s="23">
        <v>907.06600000000003</v>
      </c>
      <c r="J8729" s="23">
        <v>0</v>
      </c>
      <c r="K8729" s="23">
        <v>0</v>
      </c>
    </row>
    <row r="8730" spans="1:11" x14ac:dyDescent="0.25">
      <c r="A8730">
        <v>8729</v>
      </c>
      <c r="B8730" s="23">
        <v>1035.1959999999999</v>
      </c>
      <c r="C8730" s="23">
        <v>61.03</v>
      </c>
      <c r="D8730" s="23">
        <v>217.22</v>
      </c>
      <c r="E8730" s="23">
        <v>217.22</v>
      </c>
      <c r="F8730" s="23">
        <v>0</v>
      </c>
      <c r="G8730" s="23">
        <v>0</v>
      </c>
      <c r="H8730" s="23">
        <v>0</v>
      </c>
      <c r="I8730" s="23">
        <v>817.976</v>
      </c>
      <c r="J8730" s="23">
        <v>0</v>
      </c>
      <c r="K8730" s="23">
        <v>0</v>
      </c>
    </row>
    <row r="8731" spans="1:11" x14ac:dyDescent="0.25">
      <c r="A8731">
        <v>8730</v>
      </c>
      <c r="B8731" s="23">
        <v>1041.0640000000001</v>
      </c>
      <c r="C8731" s="23">
        <v>6.85</v>
      </c>
      <c r="D8731" s="23">
        <v>0</v>
      </c>
      <c r="E8731" s="23">
        <v>0</v>
      </c>
      <c r="F8731" s="23">
        <v>0</v>
      </c>
      <c r="G8731" s="23">
        <v>0</v>
      </c>
      <c r="H8731" s="23">
        <v>0</v>
      </c>
      <c r="I8731" s="23">
        <v>0</v>
      </c>
      <c r="J8731" s="23">
        <v>0</v>
      </c>
      <c r="K8731" s="23">
        <v>1041.0640000000001</v>
      </c>
    </row>
    <row r="8732" spans="1:11" x14ac:dyDescent="0.25">
      <c r="A8732">
        <v>8731</v>
      </c>
      <c r="B8732" s="23">
        <v>1022.4</v>
      </c>
      <c r="C8732" s="23">
        <v>0</v>
      </c>
      <c r="D8732" s="23">
        <v>0</v>
      </c>
      <c r="E8732" s="23">
        <v>0</v>
      </c>
      <c r="F8732" s="23">
        <v>0</v>
      </c>
      <c r="G8732" s="23">
        <v>0</v>
      </c>
      <c r="H8732" s="23">
        <v>0</v>
      </c>
      <c r="I8732" s="23">
        <v>0</v>
      </c>
      <c r="J8732" s="23">
        <v>0</v>
      </c>
      <c r="K8732" s="23">
        <v>1022.4</v>
      </c>
    </row>
    <row r="8733" spans="1:11" x14ac:dyDescent="0.25">
      <c r="A8733">
        <v>8732</v>
      </c>
      <c r="B8733" s="23">
        <v>1182.4000000000001</v>
      </c>
      <c r="C8733" s="23">
        <v>0</v>
      </c>
      <c r="D8733" s="23">
        <v>0</v>
      </c>
      <c r="E8733" s="23">
        <v>0</v>
      </c>
      <c r="F8733" s="23">
        <v>0</v>
      </c>
      <c r="G8733" s="23">
        <v>0</v>
      </c>
      <c r="H8733" s="23">
        <v>0</v>
      </c>
      <c r="I8733" s="23">
        <v>0</v>
      </c>
      <c r="J8733" s="23">
        <v>0</v>
      </c>
      <c r="K8733" s="23">
        <v>1182.4000000000001</v>
      </c>
    </row>
    <row r="8734" spans="1:11" x14ac:dyDescent="0.25">
      <c r="A8734">
        <v>8733</v>
      </c>
      <c r="B8734" s="23">
        <v>1686.4</v>
      </c>
      <c r="C8734" s="23">
        <v>0</v>
      </c>
      <c r="D8734" s="23">
        <v>0</v>
      </c>
      <c r="E8734" s="23">
        <v>0</v>
      </c>
      <c r="F8734" s="23">
        <v>0</v>
      </c>
      <c r="G8734" s="23">
        <v>0</v>
      </c>
      <c r="H8734" s="23">
        <v>0</v>
      </c>
      <c r="I8734" s="23">
        <v>1686.4</v>
      </c>
      <c r="J8734" s="23">
        <v>0</v>
      </c>
      <c r="K8734" s="23">
        <v>0</v>
      </c>
    </row>
    <row r="8735" spans="1:11" x14ac:dyDescent="0.25">
      <c r="A8735">
        <v>8734</v>
      </c>
      <c r="B8735" s="23">
        <v>897.6</v>
      </c>
      <c r="C8735" s="23">
        <v>0</v>
      </c>
      <c r="D8735" s="23">
        <v>0</v>
      </c>
      <c r="E8735" s="23">
        <v>0</v>
      </c>
      <c r="F8735" s="23">
        <v>0</v>
      </c>
      <c r="G8735" s="23">
        <v>0</v>
      </c>
      <c r="H8735" s="23">
        <v>0</v>
      </c>
      <c r="I8735" s="23">
        <v>897.6</v>
      </c>
      <c r="J8735" s="23">
        <v>0</v>
      </c>
      <c r="K8735" s="23">
        <v>0</v>
      </c>
    </row>
    <row r="8736" spans="1:11" x14ac:dyDescent="0.25">
      <c r="A8736">
        <v>8735</v>
      </c>
      <c r="B8736" s="23">
        <v>1217.5999999999999</v>
      </c>
      <c r="C8736" s="23">
        <v>0</v>
      </c>
      <c r="D8736" s="23">
        <v>0</v>
      </c>
      <c r="E8736" s="23">
        <v>0</v>
      </c>
      <c r="F8736" s="23">
        <v>0</v>
      </c>
      <c r="G8736" s="23">
        <v>0</v>
      </c>
      <c r="H8736" s="23">
        <v>0</v>
      </c>
      <c r="I8736" s="23">
        <v>1217.5999999999999</v>
      </c>
      <c r="J8736" s="23">
        <v>0</v>
      </c>
      <c r="K8736" s="23">
        <v>0</v>
      </c>
    </row>
    <row r="8737" spans="1:11" x14ac:dyDescent="0.25">
      <c r="A8737">
        <v>8736</v>
      </c>
      <c r="B8737" s="23">
        <v>1290.4000000000001</v>
      </c>
      <c r="C8737" s="23">
        <v>0</v>
      </c>
      <c r="D8737" s="23">
        <v>0</v>
      </c>
      <c r="E8737" s="23">
        <v>0</v>
      </c>
      <c r="F8737" s="23">
        <v>0</v>
      </c>
      <c r="G8737" s="23">
        <v>0</v>
      </c>
      <c r="H8737" s="23">
        <v>0</v>
      </c>
      <c r="I8737" s="23">
        <v>1290.4000000000001</v>
      </c>
      <c r="J8737" s="23">
        <v>0</v>
      </c>
      <c r="K8737" s="23">
        <v>0</v>
      </c>
    </row>
    <row r="8738" spans="1:11" x14ac:dyDescent="0.25">
      <c r="A8738">
        <v>8737</v>
      </c>
      <c r="B8738" s="23">
        <v>1120</v>
      </c>
      <c r="C8738" s="23">
        <v>0</v>
      </c>
      <c r="D8738" s="23">
        <v>0</v>
      </c>
      <c r="E8738" s="23">
        <v>0</v>
      </c>
      <c r="F8738" s="23">
        <v>0</v>
      </c>
      <c r="G8738" s="23">
        <v>0</v>
      </c>
      <c r="H8738" s="23">
        <v>0</v>
      </c>
      <c r="I8738" s="23">
        <v>1120</v>
      </c>
      <c r="J8738" s="23">
        <v>0</v>
      </c>
      <c r="K8738" s="23">
        <v>0</v>
      </c>
    </row>
    <row r="8739" spans="1:11" x14ac:dyDescent="0.25">
      <c r="A8739">
        <v>8738</v>
      </c>
      <c r="B8739" s="23">
        <v>1036.8</v>
      </c>
      <c r="C8739" s="23">
        <v>0</v>
      </c>
      <c r="D8739" s="23">
        <v>0</v>
      </c>
      <c r="E8739" s="23">
        <v>0</v>
      </c>
      <c r="F8739" s="23">
        <v>0</v>
      </c>
      <c r="G8739" s="23">
        <v>0</v>
      </c>
      <c r="H8739" s="23">
        <v>0</v>
      </c>
      <c r="I8739" s="23">
        <v>1036.8</v>
      </c>
      <c r="J8739" s="23">
        <v>0</v>
      </c>
      <c r="K8739" s="23">
        <v>0</v>
      </c>
    </row>
    <row r="8740" spans="1:11" x14ac:dyDescent="0.25">
      <c r="A8740">
        <v>8739</v>
      </c>
      <c r="B8740" s="23">
        <v>1090.4000000000001</v>
      </c>
      <c r="C8740" s="23">
        <v>0</v>
      </c>
      <c r="D8740" s="23">
        <v>0</v>
      </c>
      <c r="E8740" s="23">
        <v>0</v>
      </c>
      <c r="F8740" s="23">
        <v>0</v>
      </c>
      <c r="G8740" s="23">
        <v>0</v>
      </c>
      <c r="H8740" s="23">
        <v>0</v>
      </c>
      <c r="I8740" s="23">
        <v>1090.4000000000001</v>
      </c>
      <c r="J8740" s="23">
        <v>0</v>
      </c>
      <c r="K8740" s="23">
        <v>0</v>
      </c>
    </row>
    <row r="8741" spans="1:11" x14ac:dyDescent="0.25">
      <c r="A8741">
        <v>8740</v>
      </c>
      <c r="B8741" s="23">
        <v>1088</v>
      </c>
      <c r="C8741" s="23">
        <v>0</v>
      </c>
      <c r="D8741" s="23">
        <v>0</v>
      </c>
      <c r="E8741" s="23">
        <v>0</v>
      </c>
      <c r="F8741" s="23">
        <v>0</v>
      </c>
      <c r="G8741" s="23">
        <v>0</v>
      </c>
      <c r="H8741" s="23">
        <v>0</v>
      </c>
      <c r="I8741" s="23">
        <v>1088</v>
      </c>
      <c r="J8741" s="23">
        <v>0</v>
      </c>
      <c r="K8741" s="23">
        <v>0</v>
      </c>
    </row>
    <row r="8742" spans="1:11" x14ac:dyDescent="0.25">
      <c r="A8742">
        <v>8741</v>
      </c>
      <c r="B8742" s="23">
        <v>1287.2</v>
      </c>
      <c r="C8742" s="23">
        <v>0</v>
      </c>
      <c r="D8742" s="23">
        <v>0</v>
      </c>
      <c r="E8742" s="23">
        <v>0</v>
      </c>
      <c r="F8742" s="23">
        <v>0</v>
      </c>
      <c r="G8742" s="23">
        <v>0</v>
      </c>
      <c r="H8742" s="23">
        <v>0</v>
      </c>
      <c r="I8742" s="23">
        <v>1287.2</v>
      </c>
      <c r="J8742" s="23">
        <v>0</v>
      </c>
      <c r="K8742" s="23">
        <v>0</v>
      </c>
    </row>
    <row r="8743" spans="1:11" x14ac:dyDescent="0.25">
      <c r="A8743">
        <v>8742</v>
      </c>
      <c r="B8743" s="23">
        <v>1304.8</v>
      </c>
      <c r="C8743" s="23">
        <v>0</v>
      </c>
      <c r="D8743" s="23">
        <v>0</v>
      </c>
      <c r="E8743" s="23">
        <v>0</v>
      </c>
      <c r="F8743" s="23">
        <v>0</v>
      </c>
      <c r="G8743" s="23">
        <v>0</v>
      </c>
      <c r="H8743" s="23">
        <v>0</v>
      </c>
      <c r="I8743" s="23">
        <v>1304.8</v>
      </c>
      <c r="J8743" s="23">
        <v>0</v>
      </c>
      <c r="K8743" s="23">
        <v>0</v>
      </c>
    </row>
    <row r="8744" spans="1:11" x14ac:dyDescent="0.25">
      <c r="A8744">
        <v>8743</v>
      </c>
      <c r="B8744" s="23">
        <v>1274.4000000000001</v>
      </c>
      <c r="C8744" s="23">
        <v>31.55</v>
      </c>
      <c r="D8744" s="23">
        <v>68.941999999999993</v>
      </c>
      <c r="E8744" s="23">
        <v>68.941999999999993</v>
      </c>
      <c r="F8744" s="23">
        <v>0</v>
      </c>
      <c r="G8744" s="23">
        <v>0</v>
      </c>
      <c r="H8744" s="23">
        <v>0</v>
      </c>
      <c r="I8744" s="23">
        <v>291.59399999999999</v>
      </c>
      <c r="J8744" s="23">
        <v>0</v>
      </c>
      <c r="K8744" s="23">
        <v>913.86400000000003</v>
      </c>
    </row>
    <row r="8745" spans="1:11" x14ac:dyDescent="0.25">
      <c r="A8745">
        <v>8744</v>
      </c>
      <c r="B8745" s="23">
        <v>1022.55</v>
      </c>
      <c r="C8745" s="23">
        <v>173.95</v>
      </c>
      <c r="D8745" s="23">
        <v>683.12</v>
      </c>
      <c r="E8745" s="23">
        <v>683.12</v>
      </c>
      <c r="F8745" s="23">
        <v>0</v>
      </c>
      <c r="G8745" s="23">
        <v>0</v>
      </c>
      <c r="H8745" s="23">
        <v>0</v>
      </c>
      <c r="I8745" s="23">
        <v>0</v>
      </c>
      <c r="J8745" s="23">
        <v>0</v>
      </c>
      <c r="K8745" s="23">
        <v>339.43</v>
      </c>
    </row>
    <row r="8746" spans="1:11" x14ac:dyDescent="0.25">
      <c r="A8746">
        <v>8745</v>
      </c>
      <c r="B8746" s="23">
        <v>1026.462</v>
      </c>
      <c r="C8746" s="23">
        <v>426.19</v>
      </c>
      <c r="D8746" s="23">
        <v>1735.4939999999999</v>
      </c>
      <c r="E8746" s="23">
        <v>1026.462</v>
      </c>
      <c r="F8746" s="23">
        <v>-709.03200000000004</v>
      </c>
      <c r="G8746" s="23">
        <v>0</v>
      </c>
      <c r="H8746" s="23">
        <v>0</v>
      </c>
      <c r="I8746" s="23">
        <v>0</v>
      </c>
      <c r="J8746" s="23">
        <v>0</v>
      </c>
      <c r="K8746" s="23">
        <v>0</v>
      </c>
    </row>
    <row r="8747" spans="1:11" x14ac:dyDescent="0.25">
      <c r="A8747">
        <v>8746</v>
      </c>
      <c r="B8747" s="23">
        <v>1278.239</v>
      </c>
      <c r="C8747" s="23">
        <v>612.41</v>
      </c>
      <c r="D8747" s="23">
        <v>2437.5520000000001</v>
      </c>
      <c r="E8747" s="23">
        <v>1278.239</v>
      </c>
      <c r="F8747" s="23">
        <v>-1159.3130000000001</v>
      </c>
      <c r="G8747" s="23">
        <v>0</v>
      </c>
      <c r="H8747" s="23">
        <v>0</v>
      </c>
      <c r="I8747" s="23">
        <v>0</v>
      </c>
      <c r="J8747" s="23">
        <v>0</v>
      </c>
      <c r="K8747" s="23">
        <v>0</v>
      </c>
    </row>
    <row r="8748" spans="1:11" x14ac:dyDescent="0.25">
      <c r="A8748">
        <v>8747</v>
      </c>
      <c r="B8748" s="23">
        <v>1288.4639999999999</v>
      </c>
      <c r="C8748" s="23">
        <v>578.91</v>
      </c>
      <c r="D8748" s="23">
        <v>2270.1759999999999</v>
      </c>
      <c r="E8748" s="23">
        <v>1288.4639999999999</v>
      </c>
      <c r="F8748" s="23">
        <v>-981.71199999999999</v>
      </c>
      <c r="G8748" s="23">
        <v>0</v>
      </c>
      <c r="H8748" s="23">
        <v>0</v>
      </c>
      <c r="I8748" s="23">
        <v>0</v>
      </c>
      <c r="J8748" s="23">
        <v>0</v>
      </c>
      <c r="K8748" s="23">
        <v>0</v>
      </c>
    </row>
    <row r="8749" spans="1:11" x14ac:dyDescent="0.25">
      <c r="A8749">
        <v>8748</v>
      </c>
      <c r="B8749" s="23">
        <v>1351.624</v>
      </c>
      <c r="C8749" s="23">
        <v>594.51</v>
      </c>
      <c r="D8749" s="23">
        <v>2318.4340000000002</v>
      </c>
      <c r="E8749" s="23">
        <v>1351.624</v>
      </c>
      <c r="F8749" s="23">
        <v>-966.81</v>
      </c>
      <c r="G8749" s="23">
        <v>0</v>
      </c>
      <c r="H8749" s="23">
        <v>0</v>
      </c>
      <c r="I8749" s="23">
        <v>0</v>
      </c>
      <c r="J8749" s="23">
        <v>0</v>
      </c>
      <c r="K8749" s="23">
        <v>0</v>
      </c>
    </row>
    <row r="8750" spans="1:11" x14ac:dyDescent="0.25">
      <c r="A8750">
        <v>8749</v>
      </c>
      <c r="B8750" s="23">
        <v>1146.6969999999999</v>
      </c>
      <c r="C8750" s="23">
        <v>414.4</v>
      </c>
      <c r="D8750" s="23">
        <v>1620.7159999999999</v>
      </c>
      <c r="E8750" s="23">
        <v>1146.6969999999999</v>
      </c>
      <c r="F8750" s="23">
        <v>-474.01900000000001</v>
      </c>
      <c r="G8750" s="23">
        <v>0</v>
      </c>
      <c r="H8750" s="23">
        <v>0</v>
      </c>
      <c r="I8750" s="23">
        <v>0</v>
      </c>
      <c r="J8750" s="23">
        <v>0</v>
      </c>
      <c r="K8750" s="23">
        <v>0</v>
      </c>
    </row>
    <row r="8751" spans="1:11" x14ac:dyDescent="0.25">
      <c r="A8751">
        <v>8750</v>
      </c>
      <c r="B8751" s="23">
        <v>1487.2729999999999</v>
      </c>
      <c r="C8751" s="23">
        <v>393.74</v>
      </c>
      <c r="D8751" s="23">
        <v>1550.704</v>
      </c>
      <c r="E8751" s="23">
        <v>1487.2729999999999</v>
      </c>
      <c r="F8751" s="23">
        <v>-63.430999999999997</v>
      </c>
      <c r="G8751" s="23">
        <v>0</v>
      </c>
      <c r="H8751" s="23">
        <v>0</v>
      </c>
      <c r="I8751" s="23">
        <v>0</v>
      </c>
      <c r="J8751" s="23">
        <v>0</v>
      </c>
      <c r="K8751" s="23">
        <v>0</v>
      </c>
    </row>
    <row r="8752" spans="1:11" x14ac:dyDescent="0.25">
      <c r="A8752">
        <v>8751</v>
      </c>
      <c r="B8752" s="23">
        <v>1161.038</v>
      </c>
      <c r="C8752" s="23">
        <v>453.65</v>
      </c>
      <c r="D8752" s="23">
        <v>1813.797</v>
      </c>
      <c r="E8752" s="23">
        <v>1161.038</v>
      </c>
      <c r="F8752" s="23">
        <v>-652.75900000000001</v>
      </c>
      <c r="G8752" s="23">
        <v>0</v>
      </c>
      <c r="H8752" s="23">
        <v>0</v>
      </c>
      <c r="I8752" s="23">
        <v>0</v>
      </c>
      <c r="J8752" s="23">
        <v>0</v>
      </c>
      <c r="K8752" s="23">
        <v>0</v>
      </c>
    </row>
    <row r="8753" spans="1:11" x14ac:dyDescent="0.25">
      <c r="A8753">
        <v>8752</v>
      </c>
      <c r="B8753" s="23">
        <v>1604.1110000000001</v>
      </c>
      <c r="C8753" s="23">
        <v>362.16</v>
      </c>
      <c r="D8753" s="23">
        <v>1474.261</v>
      </c>
      <c r="E8753" s="23">
        <v>1474.261</v>
      </c>
      <c r="F8753" s="23">
        <v>0</v>
      </c>
      <c r="G8753" s="23">
        <v>0</v>
      </c>
      <c r="H8753" s="23">
        <v>0</v>
      </c>
      <c r="I8753" s="23">
        <v>129.85</v>
      </c>
      <c r="J8753" s="23">
        <v>0</v>
      </c>
      <c r="K8753" s="23">
        <v>0</v>
      </c>
    </row>
    <row r="8754" spans="1:11" x14ac:dyDescent="0.25">
      <c r="A8754">
        <v>8753</v>
      </c>
      <c r="B8754" s="23">
        <v>1704.867</v>
      </c>
      <c r="C8754" s="23">
        <v>64.06</v>
      </c>
      <c r="D8754" s="23">
        <v>233.82300000000001</v>
      </c>
      <c r="E8754" s="23">
        <v>233.82300000000001</v>
      </c>
      <c r="F8754" s="23">
        <v>0</v>
      </c>
      <c r="G8754" s="23">
        <v>0</v>
      </c>
      <c r="H8754" s="23">
        <v>0</v>
      </c>
      <c r="I8754" s="23">
        <v>1471.0440000000001</v>
      </c>
      <c r="J8754" s="23">
        <v>0</v>
      </c>
      <c r="K8754" s="23">
        <v>0</v>
      </c>
    </row>
    <row r="8755" spans="1:11" x14ac:dyDescent="0.25">
      <c r="A8755">
        <v>8754</v>
      </c>
      <c r="B8755" s="23">
        <v>1368.0219999999999</v>
      </c>
      <c r="C8755" s="23">
        <v>7.83</v>
      </c>
      <c r="D8755" s="23">
        <v>0</v>
      </c>
      <c r="E8755" s="23">
        <v>0</v>
      </c>
      <c r="F8755" s="23">
        <v>0</v>
      </c>
      <c r="G8755" s="23">
        <v>0</v>
      </c>
      <c r="H8755" s="23">
        <v>0</v>
      </c>
      <c r="I8755" s="23">
        <v>0</v>
      </c>
      <c r="J8755" s="23">
        <v>0</v>
      </c>
      <c r="K8755" s="23">
        <v>1368.0219999999999</v>
      </c>
    </row>
    <row r="8756" spans="1:11" x14ac:dyDescent="0.25">
      <c r="A8756">
        <v>8755</v>
      </c>
      <c r="B8756" s="23">
        <v>1372.8</v>
      </c>
      <c r="C8756" s="23">
        <v>0</v>
      </c>
      <c r="D8756" s="23">
        <v>0</v>
      </c>
      <c r="E8756" s="23">
        <v>0</v>
      </c>
      <c r="F8756" s="23">
        <v>0</v>
      </c>
      <c r="G8756" s="23">
        <v>0</v>
      </c>
      <c r="H8756" s="23">
        <v>0</v>
      </c>
      <c r="I8756" s="23">
        <v>0</v>
      </c>
      <c r="J8756" s="23">
        <v>0</v>
      </c>
      <c r="K8756" s="23">
        <v>1372.8</v>
      </c>
    </row>
    <row r="8757" spans="1:11" x14ac:dyDescent="0.25">
      <c r="A8757">
        <v>8756</v>
      </c>
      <c r="B8757" s="23">
        <v>1204.8</v>
      </c>
      <c r="C8757" s="23">
        <v>0</v>
      </c>
      <c r="D8757" s="23">
        <v>0</v>
      </c>
      <c r="E8757" s="23">
        <v>0</v>
      </c>
      <c r="F8757" s="23">
        <v>0</v>
      </c>
      <c r="G8757" s="23">
        <v>0</v>
      </c>
      <c r="H8757" s="23">
        <v>0</v>
      </c>
      <c r="I8757" s="23">
        <v>0</v>
      </c>
      <c r="J8757" s="23">
        <v>0</v>
      </c>
      <c r="K8757" s="23">
        <v>1204.8</v>
      </c>
    </row>
    <row r="8758" spans="1:11" x14ac:dyDescent="0.25">
      <c r="A8758">
        <v>8757</v>
      </c>
      <c r="B8758" s="23">
        <v>1449.6</v>
      </c>
      <c r="C8758" s="23">
        <v>0</v>
      </c>
      <c r="D8758" s="23">
        <v>0</v>
      </c>
      <c r="E8758" s="23">
        <v>0</v>
      </c>
      <c r="F8758" s="23">
        <v>0</v>
      </c>
      <c r="G8758" s="23">
        <v>0</v>
      </c>
      <c r="H8758" s="23">
        <v>0</v>
      </c>
      <c r="I8758" s="23">
        <v>183.37299999999999</v>
      </c>
      <c r="J8758" s="23">
        <v>0</v>
      </c>
      <c r="K8758" s="23">
        <v>1266.2270000000001</v>
      </c>
    </row>
    <row r="8759" spans="1:11" x14ac:dyDescent="0.25">
      <c r="A8759">
        <v>8758</v>
      </c>
      <c r="B8759" s="23">
        <v>1340</v>
      </c>
      <c r="C8759" s="23">
        <v>0</v>
      </c>
      <c r="D8759" s="23">
        <v>0</v>
      </c>
      <c r="E8759" s="23">
        <v>0</v>
      </c>
      <c r="F8759" s="23">
        <v>0</v>
      </c>
      <c r="G8759" s="23">
        <v>0</v>
      </c>
      <c r="H8759" s="23">
        <v>0</v>
      </c>
      <c r="I8759" s="23">
        <v>0</v>
      </c>
      <c r="J8759" s="23">
        <v>0</v>
      </c>
      <c r="K8759" s="23">
        <v>1340</v>
      </c>
    </row>
    <row r="8760" spans="1:11" x14ac:dyDescent="0.25">
      <c r="A8760">
        <v>8759</v>
      </c>
      <c r="B8760" s="23">
        <v>1208</v>
      </c>
      <c r="C8760" s="23">
        <v>0</v>
      </c>
      <c r="D8760" s="23">
        <v>0</v>
      </c>
      <c r="E8760" s="23">
        <v>0</v>
      </c>
      <c r="F8760" s="23">
        <v>0</v>
      </c>
      <c r="G8760" s="23">
        <v>0</v>
      </c>
      <c r="H8760" s="23">
        <v>0</v>
      </c>
      <c r="I8760" s="23">
        <v>1208</v>
      </c>
      <c r="J8760" s="23">
        <v>0</v>
      </c>
      <c r="K8760" s="23">
        <v>0</v>
      </c>
    </row>
    <row r="8761" spans="1:11" x14ac:dyDescent="0.25">
      <c r="A8761">
        <v>8760</v>
      </c>
      <c r="B8761" s="23">
        <v>1216</v>
      </c>
      <c r="C8761" s="23">
        <v>0</v>
      </c>
      <c r="D8761" s="23">
        <v>0</v>
      </c>
      <c r="E8761" s="23">
        <v>0</v>
      </c>
      <c r="F8761" s="23">
        <v>0</v>
      </c>
      <c r="G8761" s="23">
        <v>0</v>
      </c>
      <c r="H8761" s="23">
        <v>0</v>
      </c>
      <c r="I8761" s="23">
        <v>1216</v>
      </c>
      <c r="J8761" s="23">
        <v>0</v>
      </c>
      <c r="K8761" s="23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7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3" customWidth="1"/>
    <col min="3" max="3" width="15" customWidth="1"/>
  </cols>
  <sheetData>
    <row r="1" spans="1:3" x14ac:dyDescent="0.25">
      <c r="A1" s="36" t="s">
        <v>431</v>
      </c>
      <c r="B1" s="36" t="s">
        <v>421</v>
      </c>
      <c r="C1" s="36" t="s">
        <v>432</v>
      </c>
    </row>
    <row r="2" spans="1:3" x14ac:dyDescent="0.25">
      <c r="A2">
        <v>1</v>
      </c>
      <c r="B2" s="23">
        <v>2428</v>
      </c>
      <c r="C2" s="23">
        <v>2428</v>
      </c>
    </row>
    <row r="3" spans="1:3" x14ac:dyDescent="0.25">
      <c r="A3">
        <v>2</v>
      </c>
      <c r="B3" s="23">
        <v>2418.5557699999999</v>
      </c>
      <c r="C3" s="23">
        <v>2418.556</v>
      </c>
    </row>
    <row r="4" spans="1:3" x14ac:dyDescent="0.25">
      <c r="A4">
        <v>3</v>
      </c>
      <c r="B4" s="23">
        <v>2414.4</v>
      </c>
      <c r="C4" s="23">
        <v>2389.6</v>
      </c>
    </row>
    <row r="5" spans="1:3" x14ac:dyDescent="0.25">
      <c r="A5">
        <v>4</v>
      </c>
      <c r="B5" s="23">
        <v>2405.008671</v>
      </c>
      <c r="C5" s="23">
        <v>2380.3049999999998</v>
      </c>
    </row>
    <row r="6" spans="1:3" x14ac:dyDescent="0.25">
      <c r="A6">
        <v>5</v>
      </c>
      <c r="B6" s="23">
        <v>2390.3809999999999</v>
      </c>
      <c r="C6" s="23">
        <v>2379.1999999999998</v>
      </c>
    </row>
    <row r="7" spans="1:3" x14ac:dyDescent="0.25">
      <c r="A7">
        <v>6</v>
      </c>
      <c r="B7" s="23">
        <v>2389.6</v>
      </c>
      <c r="C7" s="23">
        <v>2369.9459999999999</v>
      </c>
    </row>
    <row r="8" spans="1:3" x14ac:dyDescent="0.25">
      <c r="A8">
        <v>7</v>
      </c>
      <c r="B8" s="23">
        <v>2387.8440000000001</v>
      </c>
      <c r="C8" s="23">
        <v>2352</v>
      </c>
    </row>
    <row r="9" spans="1:3" x14ac:dyDescent="0.25">
      <c r="A9">
        <v>8</v>
      </c>
      <c r="B9" s="23">
        <v>2381.0830980000001</v>
      </c>
      <c r="C9" s="23">
        <v>2345.3249999999998</v>
      </c>
    </row>
    <row r="10" spans="1:3" x14ac:dyDescent="0.25">
      <c r="A10">
        <v>9</v>
      </c>
      <c r="B10" s="23">
        <v>2380.3051359999999</v>
      </c>
      <c r="C10" s="23">
        <v>2342.8510000000001</v>
      </c>
    </row>
    <row r="11" spans="1:3" x14ac:dyDescent="0.25">
      <c r="A11">
        <v>10</v>
      </c>
      <c r="B11" s="23">
        <v>2379.1999999999998</v>
      </c>
      <c r="C11" s="23">
        <v>2330.4</v>
      </c>
    </row>
    <row r="12" spans="1:3" x14ac:dyDescent="0.25">
      <c r="A12">
        <v>11</v>
      </c>
      <c r="B12" s="23">
        <v>2378.5559659999999</v>
      </c>
      <c r="C12" s="23">
        <v>2321.335</v>
      </c>
    </row>
    <row r="13" spans="1:3" x14ac:dyDescent="0.25">
      <c r="A13">
        <v>12</v>
      </c>
      <c r="B13" s="23">
        <v>2369.9455889999999</v>
      </c>
      <c r="C13" s="23">
        <v>2295.1999999999998</v>
      </c>
    </row>
    <row r="14" spans="1:3" x14ac:dyDescent="0.25">
      <c r="A14">
        <v>13</v>
      </c>
      <c r="B14" s="23">
        <v>2352</v>
      </c>
      <c r="C14" s="23">
        <v>2286.2719999999999</v>
      </c>
    </row>
    <row r="15" spans="1:3" x14ac:dyDescent="0.25">
      <c r="A15">
        <v>14</v>
      </c>
      <c r="B15" s="23">
        <v>2342.8513889999999</v>
      </c>
      <c r="C15" s="23">
        <v>2215.1999999999998</v>
      </c>
    </row>
    <row r="16" spans="1:3" x14ac:dyDescent="0.25">
      <c r="A16">
        <v>15</v>
      </c>
      <c r="B16" s="23">
        <v>2335.268</v>
      </c>
      <c r="C16" s="23">
        <v>2208.8000000000002</v>
      </c>
    </row>
    <row r="17" spans="1:3" x14ac:dyDescent="0.25">
      <c r="A17">
        <v>16</v>
      </c>
      <c r="B17" s="23">
        <v>2330.4</v>
      </c>
      <c r="C17" s="23">
        <v>2206.5839999999998</v>
      </c>
    </row>
    <row r="18" spans="1:3" x14ac:dyDescent="0.25">
      <c r="A18">
        <v>17</v>
      </c>
      <c r="B18" s="23">
        <v>2326.1844719999999</v>
      </c>
      <c r="C18" s="23">
        <v>2200.2080000000001</v>
      </c>
    </row>
    <row r="19" spans="1:3" x14ac:dyDescent="0.25">
      <c r="A19">
        <v>18</v>
      </c>
      <c r="B19" s="23">
        <v>2321.335407</v>
      </c>
      <c r="C19" s="23">
        <v>2156.8000000000002</v>
      </c>
    </row>
    <row r="20" spans="1:3" x14ac:dyDescent="0.25">
      <c r="A20">
        <v>19</v>
      </c>
      <c r="B20" s="23">
        <v>2297.3040000000001</v>
      </c>
      <c r="C20" s="23">
        <v>2148.4110000000001</v>
      </c>
    </row>
    <row r="21" spans="1:3" x14ac:dyDescent="0.25">
      <c r="A21">
        <v>20</v>
      </c>
      <c r="B21" s="23">
        <v>2295.1999999999998</v>
      </c>
      <c r="C21" s="23">
        <v>2129.6</v>
      </c>
    </row>
    <row r="22" spans="1:3" x14ac:dyDescent="0.25">
      <c r="A22">
        <v>21</v>
      </c>
      <c r="B22" s="23">
        <v>2288.3681409999999</v>
      </c>
      <c r="C22" s="23">
        <v>2121.3159999999998</v>
      </c>
    </row>
    <row r="23" spans="1:3" x14ac:dyDescent="0.25">
      <c r="A23">
        <v>22</v>
      </c>
      <c r="B23" s="23">
        <v>2286.4520000000002</v>
      </c>
      <c r="C23" s="23">
        <v>2075.1999999999998</v>
      </c>
    </row>
    <row r="24" spans="1:3" x14ac:dyDescent="0.25">
      <c r="A24">
        <v>23</v>
      </c>
      <c r="B24" s="23">
        <v>2286.2723249999999</v>
      </c>
      <c r="C24" s="23">
        <v>2067.1280000000002</v>
      </c>
    </row>
    <row r="25" spans="1:3" x14ac:dyDescent="0.25">
      <c r="A25">
        <v>24</v>
      </c>
      <c r="B25" s="23">
        <v>2279.797</v>
      </c>
      <c r="C25" s="23">
        <v>2057.6</v>
      </c>
    </row>
    <row r="26" spans="1:3" x14ac:dyDescent="0.25">
      <c r="A26">
        <v>25</v>
      </c>
      <c r="B26" s="23">
        <v>2277.558352</v>
      </c>
      <c r="C26" s="23">
        <v>2057.6</v>
      </c>
    </row>
    <row r="27" spans="1:3" x14ac:dyDescent="0.25">
      <c r="A27">
        <v>26</v>
      </c>
      <c r="B27" s="23">
        <v>2270.9292380000002</v>
      </c>
      <c r="C27" s="23">
        <v>2049.5970000000002</v>
      </c>
    </row>
    <row r="28" spans="1:3" x14ac:dyDescent="0.25">
      <c r="A28">
        <v>27</v>
      </c>
      <c r="B28" s="23">
        <v>2261.2979999999998</v>
      </c>
      <c r="C28" s="23">
        <v>2035.742</v>
      </c>
    </row>
    <row r="29" spans="1:3" x14ac:dyDescent="0.25">
      <c r="A29">
        <v>28</v>
      </c>
      <c r="B29" s="23">
        <v>2256.2550000000001</v>
      </c>
      <c r="C29" s="23">
        <v>2032.8620000000001</v>
      </c>
    </row>
    <row r="30" spans="1:3" x14ac:dyDescent="0.25">
      <c r="A30">
        <v>29</v>
      </c>
      <c r="B30" s="23">
        <v>2252.5021940000001</v>
      </c>
      <c r="C30" s="23">
        <v>2028.8</v>
      </c>
    </row>
    <row r="31" spans="1:3" x14ac:dyDescent="0.25">
      <c r="A31">
        <v>30</v>
      </c>
      <c r="B31" s="23">
        <v>2247.4788100000001</v>
      </c>
      <c r="C31" s="23">
        <v>2027.2</v>
      </c>
    </row>
    <row r="32" spans="1:3" x14ac:dyDescent="0.25">
      <c r="A32">
        <v>31</v>
      </c>
      <c r="B32" s="23">
        <v>2215.1999999999998</v>
      </c>
      <c r="C32" s="23">
        <v>2020.9090000000001</v>
      </c>
    </row>
    <row r="33" spans="1:3" x14ac:dyDescent="0.25">
      <c r="A33">
        <v>32</v>
      </c>
      <c r="B33" s="23">
        <v>2208.8000000000002</v>
      </c>
      <c r="C33" s="23">
        <v>2004</v>
      </c>
    </row>
    <row r="34" spans="1:3" x14ac:dyDescent="0.25">
      <c r="A34">
        <v>33</v>
      </c>
      <c r="B34" s="23">
        <v>2206.583502</v>
      </c>
      <c r="C34" s="23">
        <v>2003.2</v>
      </c>
    </row>
    <row r="35" spans="1:3" x14ac:dyDescent="0.25">
      <c r="A35">
        <v>34</v>
      </c>
      <c r="B35" s="23">
        <v>2200.208396</v>
      </c>
      <c r="C35" s="23">
        <v>2003.2</v>
      </c>
    </row>
    <row r="36" spans="1:3" x14ac:dyDescent="0.25">
      <c r="A36">
        <v>35</v>
      </c>
      <c r="B36" s="23">
        <v>2188.5529999999999</v>
      </c>
      <c r="C36" s="23">
        <v>2003.1030000000001</v>
      </c>
    </row>
    <row r="37" spans="1:3" x14ac:dyDescent="0.25">
      <c r="A37">
        <v>36</v>
      </c>
      <c r="B37" s="23">
        <v>2181.431</v>
      </c>
      <c r="C37" s="23">
        <v>2000</v>
      </c>
    </row>
    <row r="38" spans="1:3" x14ac:dyDescent="0.25">
      <c r="A38">
        <v>37</v>
      </c>
      <c r="B38" s="23">
        <v>2180.0401510000002</v>
      </c>
      <c r="C38" s="23">
        <v>1998.4</v>
      </c>
    </row>
    <row r="39" spans="1:3" x14ac:dyDescent="0.25">
      <c r="A39">
        <v>38</v>
      </c>
      <c r="B39" s="23">
        <v>2172.9458540000001</v>
      </c>
      <c r="C39" s="23">
        <v>1998.2850000000001</v>
      </c>
    </row>
    <row r="40" spans="1:3" x14ac:dyDescent="0.25">
      <c r="A40">
        <v>39</v>
      </c>
      <c r="B40" s="23">
        <v>2172.8000000000002</v>
      </c>
      <c r="C40" s="23">
        <v>1996.2049999999999</v>
      </c>
    </row>
    <row r="41" spans="1:3" x14ac:dyDescent="0.25">
      <c r="A41">
        <v>40</v>
      </c>
      <c r="B41" s="23">
        <v>2168.7449999999999</v>
      </c>
      <c r="C41" s="23">
        <v>1992.221</v>
      </c>
    </row>
    <row r="42" spans="1:3" x14ac:dyDescent="0.25">
      <c r="A42">
        <v>41</v>
      </c>
      <c r="B42" s="23">
        <v>2164.348426</v>
      </c>
      <c r="C42" s="23">
        <v>1975.9749999999999</v>
      </c>
    </row>
    <row r="43" spans="1:3" x14ac:dyDescent="0.25">
      <c r="A43">
        <v>42</v>
      </c>
      <c r="B43" s="23">
        <v>2160.3091989999998</v>
      </c>
      <c r="C43" s="23">
        <v>1962.7919999999999</v>
      </c>
    </row>
    <row r="44" spans="1:3" x14ac:dyDescent="0.25">
      <c r="A44">
        <v>43</v>
      </c>
      <c r="B44" s="23">
        <v>2156.8119999999999</v>
      </c>
      <c r="C44" s="23">
        <v>1956</v>
      </c>
    </row>
    <row r="45" spans="1:3" x14ac:dyDescent="0.25">
      <c r="A45">
        <v>44</v>
      </c>
      <c r="B45" s="23">
        <v>2156.8000000000002</v>
      </c>
      <c r="C45" s="23">
        <v>1951.2</v>
      </c>
    </row>
    <row r="46" spans="1:3" x14ac:dyDescent="0.25">
      <c r="A46">
        <v>45</v>
      </c>
      <c r="B46" s="23">
        <v>2148.422615</v>
      </c>
      <c r="C46" s="23">
        <v>1948.3920000000001</v>
      </c>
    </row>
    <row r="47" spans="1:3" x14ac:dyDescent="0.25">
      <c r="A47">
        <v>46</v>
      </c>
      <c r="B47" s="23">
        <v>2148.4106609999999</v>
      </c>
      <c r="C47" s="23">
        <v>1944.6079999999999</v>
      </c>
    </row>
    <row r="48" spans="1:3" x14ac:dyDescent="0.25">
      <c r="A48">
        <v>47</v>
      </c>
      <c r="B48" s="23">
        <v>2138.2559999999999</v>
      </c>
      <c r="C48" s="23">
        <v>1940.8</v>
      </c>
    </row>
    <row r="49" spans="1:3" x14ac:dyDescent="0.25">
      <c r="A49">
        <v>48</v>
      </c>
      <c r="B49" s="23">
        <v>2137.6079890000001</v>
      </c>
      <c r="C49" s="23">
        <v>1940.7919999999999</v>
      </c>
    </row>
    <row r="50" spans="1:3" x14ac:dyDescent="0.25">
      <c r="A50">
        <v>49</v>
      </c>
      <c r="B50" s="23">
        <v>2133.1909999999998</v>
      </c>
      <c r="C50" s="23">
        <v>1925.6</v>
      </c>
    </row>
    <row r="51" spans="1:3" x14ac:dyDescent="0.25">
      <c r="A51">
        <v>50</v>
      </c>
      <c r="B51" s="23">
        <v>2129.6</v>
      </c>
      <c r="C51" s="23">
        <v>1922.864</v>
      </c>
    </row>
    <row r="52" spans="1:3" x14ac:dyDescent="0.25">
      <c r="A52">
        <v>51</v>
      </c>
      <c r="B52" s="23">
        <v>2121.3164619999998</v>
      </c>
      <c r="C52" s="23">
        <v>1920</v>
      </c>
    </row>
    <row r="53" spans="1:3" x14ac:dyDescent="0.25">
      <c r="A53">
        <v>52</v>
      </c>
      <c r="B53" s="23">
        <v>2117.6309999999999</v>
      </c>
      <c r="C53" s="23">
        <v>1916</v>
      </c>
    </row>
    <row r="54" spans="1:3" x14ac:dyDescent="0.25">
      <c r="A54">
        <v>53</v>
      </c>
      <c r="B54" s="23">
        <v>2116.2620000000002</v>
      </c>
      <c r="C54" s="23">
        <v>1916</v>
      </c>
    </row>
    <row r="55" spans="1:3" x14ac:dyDescent="0.25">
      <c r="A55">
        <v>54</v>
      </c>
      <c r="B55" s="23">
        <v>2112.8000000000002</v>
      </c>
      <c r="C55" s="23">
        <v>1915.2</v>
      </c>
    </row>
    <row r="56" spans="1:3" x14ac:dyDescent="0.25">
      <c r="A56">
        <v>55</v>
      </c>
      <c r="B56" s="23">
        <v>2098.6860000000001</v>
      </c>
      <c r="C56" s="23">
        <v>1914.4</v>
      </c>
    </row>
    <row r="57" spans="1:3" x14ac:dyDescent="0.25">
      <c r="A57">
        <v>56</v>
      </c>
      <c r="B57" s="23">
        <v>2095.8049999999998</v>
      </c>
      <c r="C57" s="23">
        <v>1913.6</v>
      </c>
    </row>
    <row r="58" spans="1:3" x14ac:dyDescent="0.25">
      <c r="A58">
        <v>57</v>
      </c>
      <c r="B58" s="23">
        <v>2091.0050000000001</v>
      </c>
      <c r="C58" s="23">
        <v>1906.954</v>
      </c>
    </row>
    <row r="59" spans="1:3" x14ac:dyDescent="0.25">
      <c r="A59">
        <v>58</v>
      </c>
      <c r="B59" s="23">
        <v>2089.8330000000001</v>
      </c>
      <c r="C59" s="23">
        <v>1894.952</v>
      </c>
    </row>
    <row r="60" spans="1:3" x14ac:dyDescent="0.25">
      <c r="A60">
        <v>59</v>
      </c>
      <c r="B60" s="23">
        <v>2088.377</v>
      </c>
      <c r="C60" s="23">
        <v>1888</v>
      </c>
    </row>
    <row r="61" spans="1:3" x14ac:dyDescent="0.25">
      <c r="A61">
        <v>60</v>
      </c>
      <c r="B61" s="23">
        <v>2087.6529150000001</v>
      </c>
      <c r="C61" s="23">
        <v>1885.221</v>
      </c>
    </row>
    <row r="62" spans="1:3" x14ac:dyDescent="0.25">
      <c r="A62">
        <v>61</v>
      </c>
      <c r="B62" s="23">
        <v>2076.6159090000001</v>
      </c>
      <c r="C62" s="23">
        <v>1884.8520000000001</v>
      </c>
    </row>
    <row r="63" spans="1:3" x14ac:dyDescent="0.25">
      <c r="A63">
        <v>62</v>
      </c>
      <c r="B63" s="23">
        <v>2075.1999999999998</v>
      </c>
      <c r="C63" s="23">
        <v>1880.6559999999999</v>
      </c>
    </row>
    <row r="64" spans="1:3" x14ac:dyDescent="0.25">
      <c r="A64">
        <v>63</v>
      </c>
      <c r="B64" s="23">
        <v>2071.826</v>
      </c>
      <c r="C64" s="23">
        <v>1860.7670000000001</v>
      </c>
    </row>
    <row r="65" spans="1:3" x14ac:dyDescent="0.25">
      <c r="A65">
        <v>64</v>
      </c>
      <c r="B65" s="23">
        <v>2071.696919</v>
      </c>
      <c r="C65" s="23">
        <v>1860.7670000000001</v>
      </c>
    </row>
    <row r="66" spans="1:3" x14ac:dyDescent="0.25">
      <c r="A66">
        <v>65</v>
      </c>
      <c r="B66" s="23">
        <v>2067.1280620000002</v>
      </c>
      <c r="C66" s="23">
        <v>1859.99</v>
      </c>
    </row>
    <row r="67" spans="1:3" x14ac:dyDescent="0.25">
      <c r="A67">
        <v>66</v>
      </c>
      <c r="B67" s="23">
        <v>2067.1030000000001</v>
      </c>
      <c r="C67" s="23">
        <v>1858.4359999999999</v>
      </c>
    </row>
    <row r="68" spans="1:3" x14ac:dyDescent="0.25">
      <c r="A68">
        <v>67</v>
      </c>
      <c r="B68" s="23">
        <v>2057.6</v>
      </c>
      <c r="C68" s="23">
        <v>1851.2</v>
      </c>
    </row>
    <row r="69" spans="1:3" x14ac:dyDescent="0.25">
      <c r="A69">
        <v>68</v>
      </c>
      <c r="B69" s="23">
        <v>2057.6</v>
      </c>
      <c r="C69" s="23">
        <v>1850.4</v>
      </c>
    </row>
    <row r="70" spans="1:3" x14ac:dyDescent="0.25">
      <c r="A70">
        <v>69</v>
      </c>
      <c r="B70" s="23">
        <v>2055.558</v>
      </c>
      <c r="C70" s="23">
        <v>1849.6</v>
      </c>
    </row>
    <row r="71" spans="1:3" x14ac:dyDescent="0.25">
      <c r="A71">
        <v>70</v>
      </c>
      <c r="B71" s="23">
        <v>2055.255936</v>
      </c>
      <c r="C71" s="23">
        <v>1849.1130000000001</v>
      </c>
    </row>
    <row r="72" spans="1:3" x14ac:dyDescent="0.25">
      <c r="A72">
        <v>71</v>
      </c>
      <c r="B72" s="23">
        <v>2055.1999999999998</v>
      </c>
      <c r="C72" s="23">
        <v>1847.2</v>
      </c>
    </row>
    <row r="73" spans="1:3" x14ac:dyDescent="0.25">
      <c r="A73">
        <v>72</v>
      </c>
      <c r="B73" s="23">
        <v>2055.08</v>
      </c>
      <c r="C73" s="23">
        <v>1845.6</v>
      </c>
    </row>
    <row r="74" spans="1:3" x14ac:dyDescent="0.25">
      <c r="A74">
        <v>73</v>
      </c>
      <c r="B74" s="23">
        <v>2051.3539999999998</v>
      </c>
      <c r="C74" s="23">
        <v>1843.202</v>
      </c>
    </row>
    <row r="75" spans="1:3" x14ac:dyDescent="0.25">
      <c r="A75">
        <v>74</v>
      </c>
      <c r="B75" s="23">
        <v>2049.5965209999999</v>
      </c>
      <c r="C75" s="23">
        <v>1842.4</v>
      </c>
    </row>
    <row r="76" spans="1:3" x14ac:dyDescent="0.25">
      <c r="A76">
        <v>75</v>
      </c>
      <c r="B76" s="23">
        <v>2047.6769999999999</v>
      </c>
      <c r="C76" s="23">
        <v>1840</v>
      </c>
    </row>
    <row r="77" spans="1:3" x14ac:dyDescent="0.25">
      <c r="A77">
        <v>76</v>
      </c>
      <c r="B77" s="23">
        <v>2043.374816</v>
      </c>
      <c r="C77" s="23">
        <v>1838.421</v>
      </c>
    </row>
    <row r="78" spans="1:3" x14ac:dyDescent="0.25">
      <c r="A78">
        <v>77</v>
      </c>
      <c r="B78" s="23">
        <v>2041.8610000000001</v>
      </c>
      <c r="C78" s="23">
        <v>1835.2339999999999</v>
      </c>
    </row>
    <row r="79" spans="1:3" x14ac:dyDescent="0.25">
      <c r="A79">
        <v>78</v>
      </c>
      <c r="B79" s="23">
        <v>2040.8</v>
      </c>
      <c r="C79" s="23">
        <v>1832.8</v>
      </c>
    </row>
    <row r="80" spans="1:3" x14ac:dyDescent="0.25">
      <c r="A80">
        <v>79</v>
      </c>
      <c r="B80" s="23">
        <v>2035.7421650000001</v>
      </c>
      <c r="C80" s="23">
        <v>1830.4</v>
      </c>
    </row>
    <row r="81" spans="1:3" x14ac:dyDescent="0.25">
      <c r="A81">
        <v>80</v>
      </c>
      <c r="B81" s="23">
        <v>2033.6279999999999</v>
      </c>
      <c r="C81" s="23">
        <v>1828.8</v>
      </c>
    </row>
    <row r="82" spans="1:3" x14ac:dyDescent="0.25">
      <c r="A82">
        <v>81</v>
      </c>
      <c r="B82" s="23">
        <v>2032.861868</v>
      </c>
      <c r="C82" s="23">
        <v>1827.85</v>
      </c>
    </row>
    <row r="83" spans="1:3" x14ac:dyDescent="0.25">
      <c r="A83">
        <v>82</v>
      </c>
      <c r="B83" s="23">
        <v>2028.8</v>
      </c>
      <c r="C83" s="23">
        <v>1825.671</v>
      </c>
    </row>
    <row r="84" spans="1:3" x14ac:dyDescent="0.25">
      <c r="A84">
        <v>83</v>
      </c>
      <c r="B84" s="23">
        <v>2027.2</v>
      </c>
      <c r="C84" s="23">
        <v>1824.8</v>
      </c>
    </row>
    <row r="85" spans="1:3" x14ac:dyDescent="0.25">
      <c r="A85">
        <v>84</v>
      </c>
      <c r="B85" s="23">
        <v>2026.0989999999999</v>
      </c>
      <c r="C85" s="23">
        <v>1823.28</v>
      </c>
    </row>
    <row r="86" spans="1:3" x14ac:dyDescent="0.25">
      <c r="A86">
        <v>85</v>
      </c>
      <c r="B86" s="23">
        <v>2025.6489999999999</v>
      </c>
      <c r="C86" s="23">
        <v>1822.4</v>
      </c>
    </row>
    <row r="87" spans="1:3" x14ac:dyDescent="0.25">
      <c r="A87">
        <v>86</v>
      </c>
      <c r="B87" s="23">
        <v>2020.908545</v>
      </c>
      <c r="C87" s="23">
        <v>1820</v>
      </c>
    </row>
    <row r="88" spans="1:3" x14ac:dyDescent="0.25">
      <c r="A88">
        <v>87</v>
      </c>
      <c r="B88" s="23">
        <v>2019.6369999999999</v>
      </c>
      <c r="C88" s="23">
        <v>1819.672</v>
      </c>
    </row>
    <row r="89" spans="1:3" x14ac:dyDescent="0.25">
      <c r="A89">
        <v>88</v>
      </c>
      <c r="B89" s="23">
        <v>2017.7698009999999</v>
      </c>
      <c r="C89" s="23">
        <v>1818.0360000000001</v>
      </c>
    </row>
    <row r="90" spans="1:3" x14ac:dyDescent="0.25">
      <c r="A90">
        <v>89</v>
      </c>
      <c r="B90" s="23">
        <v>2013.4593669999999</v>
      </c>
      <c r="C90" s="23">
        <v>1814.4</v>
      </c>
    </row>
    <row r="91" spans="1:3" x14ac:dyDescent="0.25">
      <c r="A91">
        <v>90</v>
      </c>
      <c r="B91" s="23">
        <v>2012.075</v>
      </c>
      <c r="C91" s="23">
        <v>1814.0989999999999</v>
      </c>
    </row>
    <row r="92" spans="1:3" x14ac:dyDescent="0.25">
      <c r="A92">
        <v>91</v>
      </c>
      <c r="B92" s="23">
        <v>2008.0540000000001</v>
      </c>
      <c r="C92" s="23">
        <v>1812.2049999999999</v>
      </c>
    </row>
    <row r="93" spans="1:3" x14ac:dyDescent="0.25">
      <c r="A93">
        <v>92</v>
      </c>
      <c r="B93" s="23">
        <v>2004</v>
      </c>
      <c r="C93" s="23">
        <v>1812</v>
      </c>
    </row>
    <row r="94" spans="1:3" x14ac:dyDescent="0.25">
      <c r="A94">
        <v>93</v>
      </c>
      <c r="B94" s="23">
        <v>2003.2</v>
      </c>
      <c r="C94" s="23">
        <v>1808.8</v>
      </c>
    </row>
    <row r="95" spans="1:3" x14ac:dyDescent="0.25">
      <c r="A95">
        <v>94</v>
      </c>
      <c r="B95" s="23">
        <v>2003.2</v>
      </c>
      <c r="C95" s="23">
        <v>1805.6980000000001</v>
      </c>
    </row>
    <row r="96" spans="1:3" x14ac:dyDescent="0.25">
      <c r="A96">
        <v>95</v>
      </c>
      <c r="B96" s="23">
        <v>2001.8610000000001</v>
      </c>
      <c r="C96" s="23">
        <v>1804.952</v>
      </c>
    </row>
    <row r="97" spans="1:3" x14ac:dyDescent="0.25">
      <c r="A97">
        <v>96</v>
      </c>
      <c r="B97" s="23">
        <v>2000</v>
      </c>
      <c r="C97" s="23">
        <v>1798.4</v>
      </c>
    </row>
    <row r="98" spans="1:3" x14ac:dyDescent="0.25">
      <c r="A98">
        <v>97</v>
      </c>
      <c r="B98" s="23">
        <v>1998.4</v>
      </c>
      <c r="C98" s="23">
        <v>1797.835</v>
      </c>
    </row>
    <row r="99" spans="1:3" x14ac:dyDescent="0.25">
      <c r="A99">
        <v>98</v>
      </c>
      <c r="B99" s="23">
        <v>1998.285001</v>
      </c>
      <c r="C99" s="23">
        <v>1797.6</v>
      </c>
    </row>
    <row r="100" spans="1:3" x14ac:dyDescent="0.25">
      <c r="A100">
        <v>99</v>
      </c>
      <c r="B100" s="23">
        <v>1998.0150000000001</v>
      </c>
      <c r="C100" s="23">
        <v>1793.95</v>
      </c>
    </row>
    <row r="101" spans="1:3" x14ac:dyDescent="0.25">
      <c r="A101">
        <v>100</v>
      </c>
      <c r="B101" s="23">
        <v>1998.009538</v>
      </c>
      <c r="C101" s="23">
        <v>1791.405</v>
      </c>
    </row>
    <row r="102" spans="1:3" x14ac:dyDescent="0.25">
      <c r="A102">
        <v>101</v>
      </c>
      <c r="B102" s="23">
        <v>1996.5229999999999</v>
      </c>
      <c r="C102" s="23">
        <v>1788</v>
      </c>
    </row>
    <row r="103" spans="1:3" x14ac:dyDescent="0.25">
      <c r="A103">
        <v>102</v>
      </c>
      <c r="B103" s="23">
        <v>1996.2050099999999</v>
      </c>
      <c r="C103" s="23">
        <v>1786.9580000000001</v>
      </c>
    </row>
    <row r="104" spans="1:3" x14ac:dyDescent="0.25">
      <c r="A104">
        <v>103</v>
      </c>
      <c r="B104" s="23">
        <v>1995.8376459999999</v>
      </c>
      <c r="C104" s="23">
        <v>1786.4</v>
      </c>
    </row>
    <row r="105" spans="1:3" x14ac:dyDescent="0.25">
      <c r="A105">
        <v>104</v>
      </c>
      <c r="B105" s="23">
        <v>1992.2205690000001</v>
      </c>
      <c r="C105" s="23">
        <v>1785.6</v>
      </c>
    </row>
    <row r="106" spans="1:3" x14ac:dyDescent="0.25">
      <c r="A106">
        <v>105</v>
      </c>
      <c r="B106" s="23">
        <v>1991.36</v>
      </c>
      <c r="C106" s="23">
        <v>1784.8</v>
      </c>
    </row>
    <row r="107" spans="1:3" x14ac:dyDescent="0.25">
      <c r="A107">
        <v>106</v>
      </c>
      <c r="B107" s="23">
        <v>1988.3330000000001</v>
      </c>
      <c r="C107" s="23">
        <v>1783.2</v>
      </c>
    </row>
    <row r="108" spans="1:3" x14ac:dyDescent="0.25">
      <c r="A108">
        <v>107</v>
      </c>
      <c r="B108" s="23">
        <v>1976.8</v>
      </c>
      <c r="C108" s="23">
        <v>1782.229</v>
      </c>
    </row>
    <row r="109" spans="1:3" x14ac:dyDescent="0.25">
      <c r="A109">
        <v>108</v>
      </c>
      <c r="B109" s="23">
        <v>1975.0040489999999</v>
      </c>
      <c r="C109" s="23">
        <v>1780</v>
      </c>
    </row>
    <row r="110" spans="1:3" x14ac:dyDescent="0.25">
      <c r="A110">
        <v>109</v>
      </c>
      <c r="B110" s="23">
        <v>1973.6130000000001</v>
      </c>
      <c r="C110" s="23">
        <v>1778.4</v>
      </c>
    </row>
    <row r="111" spans="1:3" x14ac:dyDescent="0.25">
      <c r="A111">
        <v>110</v>
      </c>
      <c r="B111" s="23">
        <v>1972.895</v>
      </c>
      <c r="C111" s="23">
        <v>1777.8579999999999</v>
      </c>
    </row>
    <row r="112" spans="1:3" x14ac:dyDescent="0.25">
      <c r="A112">
        <v>111</v>
      </c>
      <c r="B112" s="23">
        <v>1972.144</v>
      </c>
      <c r="C112" s="23">
        <v>1777.6</v>
      </c>
    </row>
    <row r="113" spans="1:3" x14ac:dyDescent="0.25">
      <c r="A113">
        <v>112</v>
      </c>
      <c r="B113" s="23">
        <v>1969.5630000000001</v>
      </c>
      <c r="C113" s="23">
        <v>1776.0809999999999</v>
      </c>
    </row>
    <row r="114" spans="1:3" x14ac:dyDescent="0.25">
      <c r="A114">
        <v>113</v>
      </c>
      <c r="B114" s="23">
        <v>1969.1108099999999</v>
      </c>
      <c r="C114" s="23">
        <v>1775.2</v>
      </c>
    </row>
    <row r="115" spans="1:3" x14ac:dyDescent="0.25">
      <c r="A115">
        <v>114</v>
      </c>
      <c r="B115" s="23">
        <v>1967.7385870000001</v>
      </c>
      <c r="C115" s="23">
        <v>1775.2</v>
      </c>
    </row>
    <row r="116" spans="1:3" x14ac:dyDescent="0.25">
      <c r="A116">
        <v>115</v>
      </c>
      <c r="B116" s="23">
        <v>1965.936207</v>
      </c>
      <c r="C116" s="23">
        <v>1771.2</v>
      </c>
    </row>
    <row r="117" spans="1:3" x14ac:dyDescent="0.25">
      <c r="A117">
        <v>116</v>
      </c>
      <c r="B117" s="23">
        <v>1962.791739</v>
      </c>
      <c r="C117" s="23">
        <v>1770.4</v>
      </c>
    </row>
    <row r="118" spans="1:3" x14ac:dyDescent="0.25">
      <c r="A118">
        <v>117</v>
      </c>
      <c r="B118" s="23">
        <v>1959.9659999999999</v>
      </c>
      <c r="C118" s="23">
        <v>1765.6</v>
      </c>
    </row>
    <row r="119" spans="1:3" x14ac:dyDescent="0.25">
      <c r="A119">
        <v>118</v>
      </c>
      <c r="B119" s="23">
        <v>1956.7919999999999</v>
      </c>
      <c r="C119" s="23">
        <v>1764.8</v>
      </c>
    </row>
    <row r="120" spans="1:3" x14ac:dyDescent="0.25">
      <c r="A120">
        <v>119</v>
      </c>
      <c r="B120" s="23">
        <v>1956</v>
      </c>
      <c r="C120" s="23">
        <v>1762.4</v>
      </c>
    </row>
    <row r="121" spans="1:3" x14ac:dyDescent="0.25">
      <c r="A121">
        <v>120</v>
      </c>
      <c r="B121" s="23">
        <v>1955.9110000000001</v>
      </c>
      <c r="C121" s="23">
        <v>1761.6</v>
      </c>
    </row>
    <row r="122" spans="1:3" x14ac:dyDescent="0.25">
      <c r="A122">
        <v>121</v>
      </c>
      <c r="B122" s="23">
        <v>1954.45</v>
      </c>
      <c r="C122" s="23">
        <v>1760</v>
      </c>
    </row>
    <row r="123" spans="1:3" x14ac:dyDescent="0.25">
      <c r="A123">
        <v>122</v>
      </c>
      <c r="B123" s="23">
        <v>1953.3710000000001</v>
      </c>
      <c r="C123" s="23">
        <v>1759.2</v>
      </c>
    </row>
    <row r="124" spans="1:3" x14ac:dyDescent="0.25">
      <c r="A124">
        <v>123</v>
      </c>
      <c r="B124" s="23">
        <v>1953.3420000000001</v>
      </c>
      <c r="C124" s="23">
        <v>1759.2</v>
      </c>
    </row>
    <row r="125" spans="1:3" x14ac:dyDescent="0.25">
      <c r="A125">
        <v>124</v>
      </c>
      <c r="B125" s="23">
        <v>1952.34229</v>
      </c>
      <c r="C125" s="23">
        <v>1756</v>
      </c>
    </row>
    <row r="126" spans="1:3" x14ac:dyDescent="0.25">
      <c r="A126">
        <v>125</v>
      </c>
      <c r="B126" s="23">
        <v>1951.2</v>
      </c>
      <c r="C126" s="23">
        <v>1755.8810000000001</v>
      </c>
    </row>
    <row r="127" spans="1:3" x14ac:dyDescent="0.25">
      <c r="A127">
        <v>126</v>
      </c>
      <c r="B127" s="23">
        <v>1950.329</v>
      </c>
      <c r="C127" s="23">
        <v>1755.5450000000001</v>
      </c>
    </row>
    <row r="128" spans="1:3" x14ac:dyDescent="0.25">
      <c r="A128">
        <v>127</v>
      </c>
      <c r="B128" s="23">
        <v>1950.167277</v>
      </c>
      <c r="C128" s="23">
        <v>1754.748</v>
      </c>
    </row>
    <row r="129" spans="1:3" x14ac:dyDescent="0.25">
      <c r="A129">
        <v>128</v>
      </c>
      <c r="B129" s="23">
        <v>1950.1112860000001</v>
      </c>
      <c r="C129" s="23">
        <v>1753.57</v>
      </c>
    </row>
    <row r="130" spans="1:3" x14ac:dyDescent="0.25">
      <c r="A130">
        <v>129</v>
      </c>
      <c r="B130" s="23">
        <v>1948.3917160000001</v>
      </c>
      <c r="C130" s="23">
        <v>1749.17</v>
      </c>
    </row>
    <row r="131" spans="1:3" x14ac:dyDescent="0.25">
      <c r="A131">
        <v>130</v>
      </c>
      <c r="B131" s="23">
        <v>1948.0070000000001</v>
      </c>
      <c r="C131" s="23">
        <v>1748.8</v>
      </c>
    </row>
    <row r="132" spans="1:3" x14ac:dyDescent="0.25">
      <c r="A132">
        <v>131</v>
      </c>
      <c r="B132" s="23">
        <v>1945.9423979999999</v>
      </c>
      <c r="C132" s="23">
        <v>1748</v>
      </c>
    </row>
    <row r="133" spans="1:3" x14ac:dyDescent="0.25">
      <c r="A133">
        <v>132</v>
      </c>
      <c r="B133" s="23">
        <v>1945.0809999999999</v>
      </c>
      <c r="C133" s="23">
        <v>1748</v>
      </c>
    </row>
    <row r="134" spans="1:3" x14ac:dyDescent="0.25">
      <c r="A134">
        <v>133</v>
      </c>
      <c r="B134" s="23">
        <v>1943.684</v>
      </c>
      <c r="C134" s="23">
        <v>1746.4</v>
      </c>
    </row>
    <row r="135" spans="1:3" x14ac:dyDescent="0.25">
      <c r="A135">
        <v>134</v>
      </c>
      <c r="B135" s="23">
        <v>1940.8620000000001</v>
      </c>
      <c r="C135" s="23">
        <v>1745.78</v>
      </c>
    </row>
    <row r="136" spans="1:3" x14ac:dyDescent="0.25">
      <c r="A136">
        <v>135</v>
      </c>
      <c r="B136" s="23">
        <v>1940.8</v>
      </c>
      <c r="C136" s="23">
        <v>1744</v>
      </c>
    </row>
    <row r="137" spans="1:3" x14ac:dyDescent="0.25">
      <c r="A137">
        <v>136</v>
      </c>
      <c r="B137" s="23">
        <v>1940.7915760000001</v>
      </c>
      <c r="C137" s="23">
        <v>1744</v>
      </c>
    </row>
    <row r="138" spans="1:3" x14ac:dyDescent="0.25">
      <c r="A138">
        <v>137</v>
      </c>
      <c r="B138" s="23">
        <v>1940.6679999999999</v>
      </c>
      <c r="C138" s="23">
        <v>1743.2360000000001</v>
      </c>
    </row>
    <row r="139" spans="1:3" x14ac:dyDescent="0.25">
      <c r="A139">
        <v>138</v>
      </c>
      <c r="B139" s="23">
        <v>1937.529</v>
      </c>
      <c r="C139" s="23">
        <v>1742.4</v>
      </c>
    </row>
    <row r="140" spans="1:3" x14ac:dyDescent="0.25">
      <c r="A140">
        <v>139</v>
      </c>
      <c r="B140" s="23">
        <v>1936.4576159999999</v>
      </c>
      <c r="C140" s="23">
        <v>1741.9780000000001</v>
      </c>
    </row>
    <row r="141" spans="1:3" x14ac:dyDescent="0.25">
      <c r="A141">
        <v>140</v>
      </c>
      <c r="B141" s="23">
        <v>1936.1236220000001</v>
      </c>
      <c r="C141" s="23">
        <v>1741.0219999999999</v>
      </c>
    </row>
    <row r="142" spans="1:3" x14ac:dyDescent="0.25">
      <c r="A142">
        <v>141</v>
      </c>
      <c r="B142" s="23">
        <v>1935.979</v>
      </c>
      <c r="C142" s="23">
        <v>1740.8</v>
      </c>
    </row>
    <row r="143" spans="1:3" x14ac:dyDescent="0.25">
      <c r="A143">
        <v>142</v>
      </c>
      <c r="B143" s="23">
        <v>1933.3125990000001</v>
      </c>
      <c r="C143" s="23">
        <v>1739.691</v>
      </c>
    </row>
    <row r="144" spans="1:3" x14ac:dyDescent="0.25">
      <c r="A144">
        <v>143</v>
      </c>
      <c r="B144" s="23">
        <v>1931.97</v>
      </c>
      <c r="C144" s="23">
        <v>1738.4</v>
      </c>
    </row>
    <row r="145" spans="1:3" x14ac:dyDescent="0.25">
      <c r="A145">
        <v>144</v>
      </c>
      <c r="B145" s="23">
        <v>1931.958529</v>
      </c>
      <c r="C145" s="23">
        <v>1737.8889999999999</v>
      </c>
    </row>
    <row r="146" spans="1:3" x14ac:dyDescent="0.25">
      <c r="A146">
        <v>145</v>
      </c>
      <c r="B146" s="23">
        <v>1931.914</v>
      </c>
      <c r="C146" s="23">
        <v>1737.6</v>
      </c>
    </row>
    <row r="147" spans="1:3" x14ac:dyDescent="0.25">
      <c r="A147">
        <v>146</v>
      </c>
      <c r="B147" s="23">
        <v>1931.8710000000001</v>
      </c>
      <c r="C147" s="23">
        <v>1734.126</v>
      </c>
    </row>
    <row r="148" spans="1:3" x14ac:dyDescent="0.25">
      <c r="A148">
        <v>147</v>
      </c>
      <c r="B148" s="23">
        <v>1931.01478</v>
      </c>
      <c r="C148" s="23">
        <v>1734.029</v>
      </c>
    </row>
    <row r="149" spans="1:3" x14ac:dyDescent="0.25">
      <c r="A149">
        <v>148</v>
      </c>
      <c r="B149" s="23">
        <v>1925.6</v>
      </c>
      <c r="C149" s="23">
        <v>1733.606</v>
      </c>
    </row>
    <row r="150" spans="1:3" x14ac:dyDescent="0.25">
      <c r="A150">
        <v>149</v>
      </c>
      <c r="B150" s="23">
        <v>1925.1279999999999</v>
      </c>
      <c r="C150" s="23">
        <v>1731.7950000000001</v>
      </c>
    </row>
    <row r="151" spans="1:3" x14ac:dyDescent="0.25">
      <c r="A151">
        <v>150</v>
      </c>
      <c r="B151" s="23">
        <v>1924.8389999999999</v>
      </c>
      <c r="C151" s="23">
        <v>1729.6</v>
      </c>
    </row>
    <row r="152" spans="1:3" x14ac:dyDescent="0.25">
      <c r="A152">
        <v>151</v>
      </c>
      <c r="B152" s="23">
        <v>1924</v>
      </c>
      <c r="C152" s="23">
        <v>1728.8</v>
      </c>
    </row>
    <row r="153" spans="1:3" x14ac:dyDescent="0.25">
      <c r="A153">
        <v>152</v>
      </c>
      <c r="B153" s="23">
        <v>1921.03</v>
      </c>
      <c r="C153" s="23">
        <v>1725.6</v>
      </c>
    </row>
    <row r="154" spans="1:3" x14ac:dyDescent="0.25">
      <c r="A154">
        <v>153</v>
      </c>
      <c r="B154" s="23">
        <v>1920</v>
      </c>
      <c r="C154" s="23">
        <v>1725.6</v>
      </c>
    </row>
    <row r="155" spans="1:3" x14ac:dyDescent="0.25">
      <c r="A155">
        <v>154</v>
      </c>
      <c r="B155" s="23">
        <v>1918.1980000000001</v>
      </c>
      <c r="C155" s="23">
        <v>1724</v>
      </c>
    </row>
    <row r="156" spans="1:3" x14ac:dyDescent="0.25">
      <c r="A156">
        <v>155</v>
      </c>
      <c r="B156" s="23">
        <v>1917.6397999999999</v>
      </c>
      <c r="C156" s="23">
        <v>1724</v>
      </c>
    </row>
    <row r="157" spans="1:3" x14ac:dyDescent="0.25">
      <c r="A157">
        <v>156</v>
      </c>
      <c r="B157" s="23">
        <v>1916.9939999999999</v>
      </c>
      <c r="C157" s="23">
        <v>1723.9849999999999</v>
      </c>
    </row>
    <row r="158" spans="1:3" x14ac:dyDescent="0.25">
      <c r="A158">
        <v>157</v>
      </c>
      <c r="B158" s="23">
        <v>1916.271</v>
      </c>
      <c r="C158" s="23">
        <v>1723.1679999999999</v>
      </c>
    </row>
    <row r="159" spans="1:3" x14ac:dyDescent="0.25">
      <c r="A159">
        <v>158</v>
      </c>
      <c r="B159" s="23">
        <v>1916.0218150000001</v>
      </c>
      <c r="C159" s="23">
        <v>1722.075</v>
      </c>
    </row>
    <row r="160" spans="1:3" x14ac:dyDescent="0.25">
      <c r="A160">
        <v>159</v>
      </c>
      <c r="B160" s="23">
        <v>1916</v>
      </c>
      <c r="C160" s="23">
        <v>1721.6</v>
      </c>
    </row>
    <row r="161" spans="1:3" x14ac:dyDescent="0.25">
      <c r="A161">
        <v>160</v>
      </c>
      <c r="B161" s="23">
        <v>1916</v>
      </c>
      <c r="C161" s="23">
        <v>1718.4</v>
      </c>
    </row>
    <row r="162" spans="1:3" x14ac:dyDescent="0.25">
      <c r="A162">
        <v>161</v>
      </c>
      <c r="B162" s="23">
        <v>1915.2</v>
      </c>
      <c r="C162" s="23">
        <v>1717.6</v>
      </c>
    </row>
    <row r="163" spans="1:3" x14ac:dyDescent="0.25">
      <c r="A163">
        <v>162</v>
      </c>
      <c r="B163" s="23">
        <v>1914.4</v>
      </c>
      <c r="C163" s="23">
        <v>1717.0809999999999</v>
      </c>
    </row>
    <row r="164" spans="1:3" x14ac:dyDescent="0.25">
      <c r="A164">
        <v>163</v>
      </c>
      <c r="B164" s="23">
        <v>1914.011</v>
      </c>
      <c r="C164" s="23">
        <v>1714.703</v>
      </c>
    </row>
    <row r="165" spans="1:3" x14ac:dyDescent="0.25">
      <c r="A165">
        <v>164</v>
      </c>
      <c r="B165" s="23">
        <v>1913.6</v>
      </c>
      <c r="C165" s="23">
        <v>1714.171</v>
      </c>
    </row>
    <row r="166" spans="1:3" x14ac:dyDescent="0.25">
      <c r="A166">
        <v>165</v>
      </c>
      <c r="B166" s="23">
        <v>1909.8720000000001</v>
      </c>
      <c r="C166" s="23">
        <v>1711.2</v>
      </c>
    </row>
    <row r="167" spans="1:3" x14ac:dyDescent="0.25">
      <c r="A167">
        <v>166</v>
      </c>
      <c r="B167" s="23">
        <v>1908.688202</v>
      </c>
      <c r="C167" s="23">
        <v>1711.2</v>
      </c>
    </row>
    <row r="168" spans="1:3" x14ac:dyDescent="0.25">
      <c r="A168">
        <v>167</v>
      </c>
      <c r="B168" s="23">
        <v>1907.596</v>
      </c>
      <c r="C168" s="23">
        <v>1709.2639999999999</v>
      </c>
    </row>
    <row r="169" spans="1:3" x14ac:dyDescent="0.25">
      <c r="A169">
        <v>168</v>
      </c>
      <c r="B169" s="23">
        <v>1906.953528</v>
      </c>
      <c r="C169" s="23">
        <v>1708</v>
      </c>
    </row>
    <row r="170" spans="1:3" x14ac:dyDescent="0.25">
      <c r="A170">
        <v>169</v>
      </c>
      <c r="B170" s="23">
        <v>1905.10304</v>
      </c>
      <c r="C170" s="23">
        <v>1707.182</v>
      </c>
    </row>
    <row r="171" spans="1:3" x14ac:dyDescent="0.25">
      <c r="A171">
        <v>170</v>
      </c>
      <c r="B171" s="23">
        <v>1904.8710000000001</v>
      </c>
      <c r="C171" s="23">
        <v>1706.4</v>
      </c>
    </row>
    <row r="172" spans="1:3" x14ac:dyDescent="0.25">
      <c r="A172">
        <v>171</v>
      </c>
      <c r="B172" s="23">
        <v>1904.751</v>
      </c>
      <c r="C172" s="23">
        <v>1706.4</v>
      </c>
    </row>
    <row r="173" spans="1:3" x14ac:dyDescent="0.25">
      <c r="A173">
        <v>172</v>
      </c>
      <c r="B173" s="23">
        <v>1903.518</v>
      </c>
      <c r="C173" s="23">
        <v>1706.4</v>
      </c>
    </row>
    <row r="174" spans="1:3" x14ac:dyDescent="0.25">
      <c r="A174">
        <v>173</v>
      </c>
      <c r="B174" s="23">
        <v>1902.4570000000001</v>
      </c>
      <c r="C174" s="23">
        <v>1704.5440000000001</v>
      </c>
    </row>
    <row r="175" spans="1:3" x14ac:dyDescent="0.25">
      <c r="A175">
        <v>174</v>
      </c>
      <c r="B175" s="23">
        <v>1902.3620000000001</v>
      </c>
      <c r="C175" s="23">
        <v>1704</v>
      </c>
    </row>
    <row r="176" spans="1:3" x14ac:dyDescent="0.25">
      <c r="A176">
        <v>175</v>
      </c>
      <c r="B176" s="23">
        <v>1901.191769</v>
      </c>
      <c r="C176" s="23">
        <v>1703.54</v>
      </c>
    </row>
    <row r="177" spans="1:3" x14ac:dyDescent="0.25">
      <c r="A177">
        <v>176</v>
      </c>
      <c r="B177" s="23">
        <v>1900.9960000000001</v>
      </c>
      <c r="C177" s="23">
        <v>1703.153</v>
      </c>
    </row>
    <row r="178" spans="1:3" x14ac:dyDescent="0.25">
      <c r="A178">
        <v>177</v>
      </c>
      <c r="B178" s="23">
        <v>1900.3830210000001</v>
      </c>
      <c r="C178" s="23">
        <v>1702.4</v>
      </c>
    </row>
    <row r="179" spans="1:3" x14ac:dyDescent="0.25">
      <c r="A179">
        <v>178</v>
      </c>
      <c r="B179" s="23">
        <v>1900.048</v>
      </c>
      <c r="C179" s="23">
        <v>1701.6</v>
      </c>
    </row>
    <row r="180" spans="1:3" x14ac:dyDescent="0.25">
      <c r="A180">
        <v>179</v>
      </c>
      <c r="B180" s="23">
        <v>1899.5274179999999</v>
      </c>
      <c r="C180" s="23">
        <v>1701.356</v>
      </c>
    </row>
    <row r="181" spans="1:3" x14ac:dyDescent="0.25">
      <c r="A181">
        <v>180</v>
      </c>
      <c r="B181" s="23">
        <v>1899.2670000000001</v>
      </c>
      <c r="C181" s="23">
        <v>1701.086</v>
      </c>
    </row>
    <row r="182" spans="1:3" x14ac:dyDescent="0.25">
      <c r="A182">
        <v>181</v>
      </c>
      <c r="B182" s="23">
        <v>1896.8</v>
      </c>
      <c r="C182" s="23">
        <v>1700.8</v>
      </c>
    </row>
    <row r="183" spans="1:3" x14ac:dyDescent="0.25">
      <c r="A183">
        <v>182</v>
      </c>
      <c r="B183" s="23">
        <v>1895.8186270000001</v>
      </c>
      <c r="C183" s="23">
        <v>1700.5219999999999</v>
      </c>
    </row>
    <row r="184" spans="1:3" x14ac:dyDescent="0.25">
      <c r="A184">
        <v>183</v>
      </c>
      <c r="B184" s="23">
        <v>1895.0569829999999</v>
      </c>
      <c r="C184" s="23">
        <v>1700</v>
      </c>
    </row>
    <row r="185" spans="1:3" x14ac:dyDescent="0.25">
      <c r="A185">
        <v>184</v>
      </c>
      <c r="B185" s="23">
        <v>1894.952223</v>
      </c>
      <c r="C185" s="23">
        <v>1699.7629999999999</v>
      </c>
    </row>
    <row r="186" spans="1:3" x14ac:dyDescent="0.25">
      <c r="A186">
        <v>185</v>
      </c>
      <c r="B186" s="23">
        <v>1894.24</v>
      </c>
      <c r="C186" s="23">
        <v>1698.633</v>
      </c>
    </row>
    <row r="187" spans="1:3" x14ac:dyDescent="0.25">
      <c r="A187">
        <v>186</v>
      </c>
      <c r="B187" s="23">
        <v>1892.7380000000001</v>
      </c>
      <c r="C187" s="23">
        <v>1698.4</v>
      </c>
    </row>
    <row r="188" spans="1:3" x14ac:dyDescent="0.25">
      <c r="A188">
        <v>187</v>
      </c>
      <c r="B188" s="23">
        <v>1892.522772</v>
      </c>
      <c r="C188" s="23">
        <v>1698.3869999999999</v>
      </c>
    </row>
    <row r="189" spans="1:3" x14ac:dyDescent="0.25">
      <c r="A189">
        <v>188</v>
      </c>
      <c r="B189" s="23">
        <v>1891.8793909999999</v>
      </c>
      <c r="C189" s="23">
        <v>1697.61</v>
      </c>
    </row>
    <row r="190" spans="1:3" x14ac:dyDescent="0.25">
      <c r="A190">
        <v>189</v>
      </c>
      <c r="B190" s="23">
        <v>1889.8820000000001</v>
      </c>
      <c r="C190" s="23">
        <v>1696.1790000000001</v>
      </c>
    </row>
    <row r="191" spans="1:3" x14ac:dyDescent="0.25">
      <c r="A191">
        <v>190</v>
      </c>
      <c r="B191" s="23">
        <v>1889.880042</v>
      </c>
      <c r="C191" s="23">
        <v>1695.2</v>
      </c>
    </row>
    <row r="192" spans="1:3" x14ac:dyDescent="0.25">
      <c r="A192">
        <v>191</v>
      </c>
      <c r="B192" s="23">
        <v>1889.8389999999999</v>
      </c>
      <c r="C192" s="23">
        <v>1695.2</v>
      </c>
    </row>
    <row r="193" spans="1:3" x14ac:dyDescent="0.25">
      <c r="A193">
        <v>192</v>
      </c>
      <c r="B193" s="23">
        <v>1889.4219869999999</v>
      </c>
      <c r="C193" s="23">
        <v>1693.6</v>
      </c>
    </row>
    <row r="194" spans="1:3" x14ac:dyDescent="0.25">
      <c r="A194">
        <v>193</v>
      </c>
      <c r="B194" s="23">
        <v>1888</v>
      </c>
      <c r="C194" s="23">
        <v>1692.171</v>
      </c>
    </row>
    <row r="195" spans="1:3" x14ac:dyDescent="0.25">
      <c r="A195">
        <v>194</v>
      </c>
      <c r="B195" s="23">
        <v>1887.87</v>
      </c>
      <c r="C195" s="23">
        <v>1692</v>
      </c>
    </row>
    <row r="196" spans="1:3" x14ac:dyDescent="0.25">
      <c r="A196">
        <v>195</v>
      </c>
      <c r="B196" s="23">
        <v>1886.9090000000001</v>
      </c>
      <c r="C196" s="23">
        <v>1691.2</v>
      </c>
    </row>
    <row r="197" spans="1:3" x14ac:dyDescent="0.25">
      <c r="A197">
        <v>196</v>
      </c>
      <c r="B197" s="23">
        <v>1884.8520269999999</v>
      </c>
      <c r="C197" s="23">
        <v>1690.454</v>
      </c>
    </row>
    <row r="198" spans="1:3" x14ac:dyDescent="0.25">
      <c r="A198">
        <v>197</v>
      </c>
      <c r="B198" s="23">
        <v>1884.7238319999999</v>
      </c>
      <c r="C198" s="23">
        <v>1690.4</v>
      </c>
    </row>
    <row r="199" spans="1:3" x14ac:dyDescent="0.25">
      <c r="A199">
        <v>198</v>
      </c>
      <c r="B199" s="23">
        <v>1884.636</v>
      </c>
      <c r="C199" s="23">
        <v>1688.8</v>
      </c>
    </row>
    <row r="200" spans="1:3" x14ac:dyDescent="0.25">
      <c r="A200">
        <v>199</v>
      </c>
      <c r="B200" s="23">
        <v>1882.6579999999999</v>
      </c>
      <c r="C200" s="23">
        <v>1688.606</v>
      </c>
    </row>
    <row r="201" spans="1:3" x14ac:dyDescent="0.25">
      <c r="A201">
        <v>200</v>
      </c>
      <c r="B201" s="23">
        <v>1880.8</v>
      </c>
      <c r="C201" s="23">
        <v>1688</v>
      </c>
    </row>
    <row r="202" spans="1:3" x14ac:dyDescent="0.25">
      <c r="A202">
        <v>201</v>
      </c>
      <c r="B202" s="23">
        <v>1880.656217</v>
      </c>
      <c r="C202" s="23">
        <v>1687.675</v>
      </c>
    </row>
    <row r="203" spans="1:3" x14ac:dyDescent="0.25">
      <c r="A203">
        <v>202</v>
      </c>
      <c r="B203" s="23">
        <v>1880.42</v>
      </c>
      <c r="C203" s="23">
        <v>1687.183</v>
      </c>
    </row>
    <row r="204" spans="1:3" x14ac:dyDescent="0.25">
      <c r="A204">
        <v>203</v>
      </c>
      <c r="B204" s="23">
        <v>1880.170003</v>
      </c>
      <c r="C204" s="23">
        <v>1686.4</v>
      </c>
    </row>
    <row r="205" spans="1:3" x14ac:dyDescent="0.25">
      <c r="A205">
        <v>204</v>
      </c>
      <c r="B205" s="23">
        <v>1876.276572</v>
      </c>
      <c r="C205" s="23">
        <v>1686.4</v>
      </c>
    </row>
    <row r="206" spans="1:3" x14ac:dyDescent="0.25">
      <c r="A206">
        <v>205</v>
      </c>
      <c r="B206" s="23">
        <v>1876.222186</v>
      </c>
      <c r="C206" s="23">
        <v>1685.6</v>
      </c>
    </row>
    <row r="207" spans="1:3" x14ac:dyDescent="0.25">
      <c r="A207">
        <v>206</v>
      </c>
      <c r="B207" s="23">
        <v>1876.1804259999999</v>
      </c>
      <c r="C207" s="23">
        <v>1684.73</v>
      </c>
    </row>
    <row r="208" spans="1:3" x14ac:dyDescent="0.25">
      <c r="A208">
        <v>207</v>
      </c>
      <c r="B208" s="23">
        <v>1874.444</v>
      </c>
      <c r="C208" s="23">
        <v>1684</v>
      </c>
    </row>
    <row r="209" spans="1:3" x14ac:dyDescent="0.25">
      <c r="A209">
        <v>208</v>
      </c>
      <c r="B209" s="23">
        <v>1873.143</v>
      </c>
      <c r="C209" s="23">
        <v>1683.912</v>
      </c>
    </row>
    <row r="210" spans="1:3" x14ac:dyDescent="0.25">
      <c r="A210">
        <v>209</v>
      </c>
      <c r="B210" s="23">
        <v>1870.71</v>
      </c>
      <c r="C210" s="23">
        <v>1683.2</v>
      </c>
    </row>
    <row r="211" spans="1:3" x14ac:dyDescent="0.25">
      <c r="A211">
        <v>210</v>
      </c>
      <c r="B211" s="23">
        <v>1870.357538</v>
      </c>
      <c r="C211" s="23">
        <v>1682.848</v>
      </c>
    </row>
    <row r="212" spans="1:3" x14ac:dyDescent="0.25">
      <c r="A212">
        <v>211</v>
      </c>
      <c r="B212" s="23">
        <v>1870.1755700000001</v>
      </c>
      <c r="C212" s="23">
        <v>1682.4</v>
      </c>
    </row>
    <row r="213" spans="1:3" x14ac:dyDescent="0.25">
      <c r="A213">
        <v>212</v>
      </c>
      <c r="B213" s="23">
        <v>1870.0809999999999</v>
      </c>
      <c r="C213" s="23">
        <v>1680.8</v>
      </c>
    </row>
    <row r="214" spans="1:3" x14ac:dyDescent="0.25">
      <c r="A214">
        <v>213</v>
      </c>
      <c r="B214" s="23">
        <v>1870.010982</v>
      </c>
      <c r="C214" s="23">
        <v>1679.6279999999999</v>
      </c>
    </row>
    <row r="215" spans="1:3" x14ac:dyDescent="0.25">
      <c r="A215">
        <v>214</v>
      </c>
      <c r="B215" s="23">
        <v>1869.6654490000001</v>
      </c>
      <c r="C215" s="23">
        <v>1676.8</v>
      </c>
    </row>
    <row r="216" spans="1:3" x14ac:dyDescent="0.25">
      <c r="A216">
        <v>215</v>
      </c>
      <c r="B216" s="23">
        <v>1869.297</v>
      </c>
      <c r="C216" s="23">
        <v>1675.856</v>
      </c>
    </row>
    <row r="217" spans="1:3" x14ac:dyDescent="0.25">
      <c r="A217">
        <v>216</v>
      </c>
      <c r="B217" s="23">
        <v>1867.076</v>
      </c>
      <c r="C217" s="23">
        <v>1675.856</v>
      </c>
    </row>
    <row r="218" spans="1:3" x14ac:dyDescent="0.25">
      <c r="A218">
        <v>217</v>
      </c>
      <c r="B218" s="23">
        <v>1866.297</v>
      </c>
      <c r="C218" s="23">
        <v>1675.2</v>
      </c>
    </row>
    <row r="219" spans="1:3" x14ac:dyDescent="0.25">
      <c r="A219">
        <v>218</v>
      </c>
      <c r="B219" s="23">
        <v>1865.857006</v>
      </c>
      <c r="C219" s="23">
        <v>1674.2619999999999</v>
      </c>
    </row>
    <row r="220" spans="1:3" x14ac:dyDescent="0.25">
      <c r="A220">
        <v>219</v>
      </c>
      <c r="B220" s="23">
        <v>1864.6679999999999</v>
      </c>
      <c r="C220" s="23">
        <v>1668.8</v>
      </c>
    </row>
    <row r="221" spans="1:3" x14ac:dyDescent="0.25">
      <c r="A221">
        <v>220</v>
      </c>
      <c r="B221" s="23">
        <v>1863.8394330000001</v>
      </c>
      <c r="C221" s="23">
        <v>1668.373</v>
      </c>
    </row>
    <row r="222" spans="1:3" x14ac:dyDescent="0.25">
      <c r="A222">
        <v>221</v>
      </c>
      <c r="B222" s="23">
        <v>1863.569</v>
      </c>
      <c r="C222" s="23">
        <v>1667.2</v>
      </c>
    </row>
    <row r="223" spans="1:3" x14ac:dyDescent="0.25">
      <c r="A223">
        <v>222</v>
      </c>
      <c r="B223" s="23">
        <v>1862.9183519999999</v>
      </c>
      <c r="C223" s="23">
        <v>1666.4</v>
      </c>
    </row>
    <row r="224" spans="1:3" x14ac:dyDescent="0.25">
      <c r="A224">
        <v>223</v>
      </c>
      <c r="B224" s="23">
        <v>1862.0259659999999</v>
      </c>
      <c r="C224" s="23">
        <v>1666.155</v>
      </c>
    </row>
    <row r="225" spans="1:3" x14ac:dyDescent="0.25">
      <c r="A225">
        <v>224</v>
      </c>
      <c r="B225" s="23">
        <v>1860.7669430000001</v>
      </c>
      <c r="C225" s="23">
        <v>1665.9839999999999</v>
      </c>
    </row>
    <row r="226" spans="1:3" x14ac:dyDescent="0.25">
      <c r="A226">
        <v>225</v>
      </c>
      <c r="B226" s="23">
        <v>1860.7669430000001</v>
      </c>
      <c r="C226" s="23">
        <v>1664</v>
      </c>
    </row>
    <row r="227" spans="1:3" x14ac:dyDescent="0.25">
      <c r="A227">
        <v>226</v>
      </c>
      <c r="B227" s="23">
        <v>1859.9900050000001</v>
      </c>
      <c r="C227" s="23">
        <v>1663.2</v>
      </c>
    </row>
    <row r="228" spans="1:3" x14ac:dyDescent="0.25">
      <c r="A228">
        <v>227</v>
      </c>
      <c r="B228" s="23">
        <v>1859.7429999999999</v>
      </c>
      <c r="C228" s="23">
        <v>1661.83</v>
      </c>
    </row>
    <row r="229" spans="1:3" x14ac:dyDescent="0.25">
      <c r="A229">
        <v>228</v>
      </c>
      <c r="B229" s="23">
        <v>1859.6849999999999</v>
      </c>
      <c r="C229" s="23">
        <v>1661.6</v>
      </c>
    </row>
    <row r="230" spans="1:3" x14ac:dyDescent="0.25">
      <c r="A230">
        <v>229</v>
      </c>
      <c r="B230" s="23">
        <v>1859.3420000000001</v>
      </c>
      <c r="C230" s="23">
        <v>1661.6</v>
      </c>
    </row>
    <row r="231" spans="1:3" x14ac:dyDescent="0.25">
      <c r="A231">
        <v>230</v>
      </c>
      <c r="B231" s="23">
        <v>1859.2840000000001</v>
      </c>
      <c r="C231" s="23">
        <v>1660.8</v>
      </c>
    </row>
    <row r="232" spans="1:3" x14ac:dyDescent="0.25">
      <c r="A232">
        <v>231</v>
      </c>
      <c r="B232" s="23">
        <v>1858.4361289999999</v>
      </c>
      <c r="C232" s="23">
        <v>1660.7149999999999</v>
      </c>
    </row>
    <row r="233" spans="1:3" x14ac:dyDescent="0.25">
      <c r="A233">
        <v>232</v>
      </c>
      <c r="B233" s="23">
        <v>1857.9949999999999</v>
      </c>
      <c r="C233" s="23">
        <v>1660.1949999999999</v>
      </c>
    </row>
    <row r="234" spans="1:3" x14ac:dyDescent="0.25">
      <c r="A234">
        <v>233</v>
      </c>
      <c r="B234" s="23">
        <v>1857.414972</v>
      </c>
      <c r="C234" s="23">
        <v>1660</v>
      </c>
    </row>
    <row r="235" spans="1:3" x14ac:dyDescent="0.25">
      <c r="A235">
        <v>234</v>
      </c>
      <c r="B235" s="23">
        <v>1857.1590000000001</v>
      </c>
      <c r="C235" s="23">
        <v>1660</v>
      </c>
    </row>
    <row r="236" spans="1:3" x14ac:dyDescent="0.25">
      <c r="A236">
        <v>235</v>
      </c>
      <c r="B236" s="23">
        <v>1857.1189999999999</v>
      </c>
      <c r="C236" s="23">
        <v>1659.2</v>
      </c>
    </row>
    <row r="237" spans="1:3" x14ac:dyDescent="0.25">
      <c r="A237">
        <v>236</v>
      </c>
      <c r="B237" s="23">
        <v>1854.4870000000001</v>
      </c>
      <c r="C237" s="23">
        <v>1653.652</v>
      </c>
    </row>
    <row r="238" spans="1:3" x14ac:dyDescent="0.25">
      <c r="A238">
        <v>237</v>
      </c>
      <c r="B238" s="23">
        <v>1853.049</v>
      </c>
      <c r="C238" s="23">
        <v>1653.6</v>
      </c>
    </row>
    <row r="239" spans="1:3" x14ac:dyDescent="0.25">
      <c r="A239">
        <v>238</v>
      </c>
      <c r="B239" s="23">
        <v>1852.086</v>
      </c>
      <c r="C239" s="23">
        <v>1653.5429999999999</v>
      </c>
    </row>
    <row r="240" spans="1:3" x14ac:dyDescent="0.25">
      <c r="A240">
        <v>239</v>
      </c>
      <c r="B240" s="23">
        <v>1851.2629999999999</v>
      </c>
      <c r="C240" s="23">
        <v>1652.548</v>
      </c>
    </row>
    <row r="241" spans="1:3" x14ac:dyDescent="0.25">
      <c r="A241">
        <v>240</v>
      </c>
      <c r="B241" s="23">
        <v>1851.2</v>
      </c>
      <c r="C241" s="23">
        <v>1651.771</v>
      </c>
    </row>
    <row r="242" spans="1:3" x14ac:dyDescent="0.25">
      <c r="A242">
        <v>241</v>
      </c>
      <c r="B242" s="23">
        <v>1851.164</v>
      </c>
      <c r="C242" s="23">
        <v>1650.4</v>
      </c>
    </row>
    <row r="243" spans="1:3" x14ac:dyDescent="0.25">
      <c r="A243">
        <v>242</v>
      </c>
      <c r="B243" s="23">
        <v>1850.4</v>
      </c>
      <c r="C243" s="23">
        <v>1648</v>
      </c>
    </row>
    <row r="244" spans="1:3" x14ac:dyDescent="0.25">
      <c r="A244">
        <v>243</v>
      </c>
      <c r="B244" s="23">
        <v>1849.9351799999999</v>
      </c>
      <c r="C244" s="23">
        <v>1647.2</v>
      </c>
    </row>
    <row r="245" spans="1:3" x14ac:dyDescent="0.25">
      <c r="A245">
        <v>244</v>
      </c>
      <c r="B245" s="23">
        <v>1849.8422210000001</v>
      </c>
      <c r="C245" s="23">
        <v>1647.1089999999999</v>
      </c>
    </row>
    <row r="246" spans="1:3" x14ac:dyDescent="0.25">
      <c r="A246">
        <v>245</v>
      </c>
      <c r="B246" s="23">
        <v>1849.7349999999999</v>
      </c>
      <c r="C246" s="23">
        <v>1645.6</v>
      </c>
    </row>
    <row r="247" spans="1:3" x14ac:dyDescent="0.25">
      <c r="A247">
        <v>246</v>
      </c>
      <c r="B247" s="23">
        <v>1849.6</v>
      </c>
      <c r="C247" s="23">
        <v>1643.2239999999999</v>
      </c>
    </row>
    <row r="248" spans="1:3" x14ac:dyDescent="0.25">
      <c r="A248">
        <v>247</v>
      </c>
      <c r="B248" s="23">
        <v>1849.113384</v>
      </c>
      <c r="C248" s="23">
        <v>1643.02</v>
      </c>
    </row>
    <row r="249" spans="1:3" x14ac:dyDescent="0.25">
      <c r="A249">
        <v>248</v>
      </c>
      <c r="B249" s="23">
        <v>1849.0640000000001</v>
      </c>
      <c r="C249" s="23">
        <v>1642.4</v>
      </c>
    </row>
    <row r="250" spans="1:3" x14ac:dyDescent="0.25">
      <c r="A250">
        <v>249</v>
      </c>
      <c r="B250" s="23">
        <v>1847.2</v>
      </c>
      <c r="C250" s="23">
        <v>1641.6</v>
      </c>
    </row>
    <row r="251" spans="1:3" x14ac:dyDescent="0.25">
      <c r="A251">
        <v>250</v>
      </c>
      <c r="B251" s="23">
        <v>1846.4</v>
      </c>
      <c r="C251" s="23">
        <v>1640</v>
      </c>
    </row>
    <row r="252" spans="1:3" x14ac:dyDescent="0.25">
      <c r="A252">
        <v>251</v>
      </c>
      <c r="B252" s="23">
        <v>1845.8411659999999</v>
      </c>
      <c r="C252" s="23">
        <v>1639.34</v>
      </c>
    </row>
    <row r="253" spans="1:3" x14ac:dyDescent="0.25">
      <c r="A253">
        <v>252</v>
      </c>
      <c r="B253" s="23">
        <v>1845.6</v>
      </c>
      <c r="C253" s="23">
        <v>1638.931</v>
      </c>
    </row>
    <row r="254" spans="1:3" x14ac:dyDescent="0.25">
      <c r="A254">
        <v>253</v>
      </c>
      <c r="B254" s="23">
        <v>1845.2747959999999</v>
      </c>
      <c r="C254" s="23">
        <v>1637.7819999999999</v>
      </c>
    </row>
    <row r="255" spans="1:3" x14ac:dyDescent="0.25">
      <c r="A255">
        <v>254</v>
      </c>
      <c r="B255" s="23">
        <v>1844.8819120000001</v>
      </c>
      <c r="C255" s="23">
        <v>1636.43</v>
      </c>
    </row>
    <row r="256" spans="1:3" x14ac:dyDescent="0.25">
      <c r="A256">
        <v>255</v>
      </c>
      <c r="B256" s="23">
        <v>1844.4570000000001</v>
      </c>
      <c r="C256" s="23">
        <v>1635.2</v>
      </c>
    </row>
    <row r="257" spans="1:3" x14ac:dyDescent="0.25">
      <c r="A257">
        <v>256</v>
      </c>
      <c r="B257" s="23">
        <v>1843.2470000000001</v>
      </c>
      <c r="C257" s="23">
        <v>1635.1079999999999</v>
      </c>
    </row>
    <row r="258" spans="1:3" x14ac:dyDescent="0.25">
      <c r="A258">
        <v>257</v>
      </c>
      <c r="B258" s="23">
        <v>1843.2024699999999</v>
      </c>
      <c r="C258" s="23">
        <v>1634.4</v>
      </c>
    </row>
    <row r="259" spans="1:3" x14ac:dyDescent="0.25">
      <c r="A259">
        <v>258</v>
      </c>
      <c r="B259" s="23">
        <v>1842.5400569999999</v>
      </c>
      <c r="C259" s="23">
        <v>1634.4</v>
      </c>
    </row>
    <row r="260" spans="1:3" x14ac:dyDescent="0.25">
      <c r="A260">
        <v>259</v>
      </c>
      <c r="B260" s="23">
        <v>1842.4</v>
      </c>
      <c r="C260" s="23">
        <v>1634.325</v>
      </c>
    </row>
    <row r="261" spans="1:3" x14ac:dyDescent="0.25">
      <c r="A261">
        <v>260</v>
      </c>
      <c r="B261" s="23">
        <v>1842.2049999999999</v>
      </c>
      <c r="C261" s="23">
        <v>1633.6</v>
      </c>
    </row>
    <row r="262" spans="1:3" x14ac:dyDescent="0.25">
      <c r="A262">
        <v>261</v>
      </c>
      <c r="B262" s="23">
        <v>1841.982929</v>
      </c>
      <c r="C262" s="23">
        <v>1632</v>
      </c>
    </row>
    <row r="263" spans="1:3" x14ac:dyDescent="0.25">
      <c r="A263">
        <v>262</v>
      </c>
      <c r="B263" s="23">
        <v>1840</v>
      </c>
      <c r="C263" s="23">
        <v>1629.6</v>
      </c>
    </row>
    <row r="264" spans="1:3" x14ac:dyDescent="0.25">
      <c r="A264">
        <v>263</v>
      </c>
      <c r="B264" s="23">
        <v>1839.549</v>
      </c>
      <c r="C264" s="23">
        <v>1628.8</v>
      </c>
    </row>
    <row r="265" spans="1:3" x14ac:dyDescent="0.25">
      <c r="A265">
        <v>264</v>
      </c>
      <c r="B265" s="23">
        <v>1839.2550000000001</v>
      </c>
      <c r="C265" s="23">
        <v>1626.9090000000001</v>
      </c>
    </row>
    <row r="266" spans="1:3" x14ac:dyDescent="0.25">
      <c r="A266">
        <v>265</v>
      </c>
      <c r="B266" s="23">
        <v>1838.59</v>
      </c>
      <c r="C266" s="23">
        <v>1625.6</v>
      </c>
    </row>
    <row r="267" spans="1:3" x14ac:dyDescent="0.25">
      <c r="A267">
        <v>266</v>
      </c>
      <c r="B267" s="23">
        <v>1838.421141</v>
      </c>
      <c r="C267" s="23">
        <v>1624.8</v>
      </c>
    </row>
    <row r="268" spans="1:3" x14ac:dyDescent="0.25">
      <c r="A268">
        <v>267</v>
      </c>
      <c r="B268" s="23">
        <v>1838.145</v>
      </c>
      <c r="C268" s="23">
        <v>1624.8</v>
      </c>
    </row>
    <row r="269" spans="1:3" x14ac:dyDescent="0.25">
      <c r="A269">
        <v>268</v>
      </c>
      <c r="B269" s="23">
        <v>1837.2929999999999</v>
      </c>
      <c r="C269" s="23">
        <v>1624</v>
      </c>
    </row>
    <row r="270" spans="1:3" x14ac:dyDescent="0.25">
      <c r="A270">
        <v>269</v>
      </c>
      <c r="B270" s="23">
        <v>1836.8</v>
      </c>
      <c r="C270" s="23">
        <v>1622.4639999999999</v>
      </c>
    </row>
    <row r="271" spans="1:3" x14ac:dyDescent="0.25">
      <c r="A271">
        <v>270</v>
      </c>
      <c r="B271" s="23">
        <v>1836.7670000000001</v>
      </c>
      <c r="C271" s="23">
        <v>1622.4</v>
      </c>
    </row>
    <row r="272" spans="1:3" x14ac:dyDescent="0.25">
      <c r="A272">
        <v>271</v>
      </c>
      <c r="B272" s="23">
        <v>1835.7670000000001</v>
      </c>
      <c r="C272" s="23">
        <v>1621.6</v>
      </c>
    </row>
    <row r="273" spans="1:3" x14ac:dyDescent="0.25">
      <c r="A273">
        <v>272</v>
      </c>
      <c r="B273" s="23">
        <v>1835.337</v>
      </c>
      <c r="C273" s="23">
        <v>1620</v>
      </c>
    </row>
    <row r="274" spans="1:3" x14ac:dyDescent="0.25">
      <c r="A274">
        <v>273</v>
      </c>
      <c r="B274" s="23">
        <v>1835.2335880000001</v>
      </c>
      <c r="C274" s="23">
        <v>1617.6</v>
      </c>
    </row>
    <row r="275" spans="1:3" x14ac:dyDescent="0.25">
      <c r="A275">
        <v>274</v>
      </c>
      <c r="B275" s="23">
        <v>1835.1310000000001</v>
      </c>
      <c r="C275" s="23">
        <v>1616.16</v>
      </c>
    </row>
    <row r="276" spans="1:3" x14ac:dyDescent="0.25">
      <c r="A276">
        <v>275</v>
      </c>
      <c r="B276" s="23">
        <v>1834.925</v>
      </c>
      <c r="C276" s="23">
        <v>1616</v>
      </c>
    </row>
    <row r="277" spans="1:3" x14ac:dyDescent="0.25">
      <c r="A277">
        <v>276</v>
      </c>
      <c r="B277" s="23">
        <v>1832.8</v>
      </c>
      <c r="C277" s="23">
        <v>1615.258</v>
      </c>
    </row>
    <row r="278" spans="1:3" x14ac:dyDescent="0.25">
      <c r="A278">
        <v>277</v>
      </c>
      <c r="B278" s="23">
        <v>1832.5229999999999</v>
      </c>
      <c r="C278" s="23">
        <v>1615.2539999999999</v>
      </c>
    </row>
    <row r="279" spans="1:3" x14ac:dyDescent="0.25">
      <c r="A279">
        <v>278</v>
      </c>
      <c r="B279" s="23">
        <v>1832.1434139999999</v>
      </c>
      <c r="C279" s="23">
        <v>1615.2</v>
      </c>
    </row>
    <row r="280" spans="1:3" x14ac:dyDescent="0.25">
      <c r="A280">
        <v>279</v>
      </c>
      <c r="B280" s="23">
        <v>1832.0640000000001</v>
      </c>
      <c r="C280" s="23">
        <v>1613.701</v>
      </c>
    </row>
    <row r="281" spans="1:3" x14ac:dyDescent="0.25">
      <c r="A281">
        <v>280</v>
      </c>
      <c r="B281" s="23">
        <v>1831.6469999999999</v>
      </c>
      <c r="C281" s="23">
        <v>1613.6</v>
      </c>
    </row>
    <row r="282" spans="1:3" x14ac:dyDescent="0.25">
      <c r="A282">
        <v>281</v>
      </c>
      <c r="B282" s="23">
        <v>1831.384</v>
      </c>
      <c r="C282" s="23">
        <v>1613.6</v>
      </c>
    </row>
    <row r="283" spans="1:3" x14ac:dyDescent="0.25">
      <c r="A283">
        <v>282</v>
      </c>
      <c r="B283" s="23">
        <v>1830.4</v>
      </c>
      <c r="C283" s="23">
        <v>1613.578</v>
      </c>
    </row>
    <row r="284" spans="1:3" x14ac:dyDescent="0.25">
      <c r="A284">
        <v>283</v>
      </c>
      <c r="B284" s="23">
        <v>1830.3710000000001</v>
      </c>
      <c r="C284" s="23">
        <v>1612.924</v>
      </c>
    </row>
    <row r="285" spans="1:3" x14ac:dyDescent="0.25">
      <c r="A285">
        <v>284</v>
      </c>
      <c r="B285" s="23">
        <v>1829.5809999999999</v>
      </c>
      <c r="C285" s="23">
        <v>1612</v>
      </c>
    </row>
    <row r="286" spans="1:3" x14ac:dyDescent="0.25">
      <c r="A286">
        <v>285</v>
      </c>
      <c r="B286" s="23">
        <v>1829.403</v>
      </c>
      <c r="C286" s="23">
        <v>1609.7139999999999</v>
      </c>
    </row>
    <row r="287" spans="1:3" x14ac:dyDescent="0.25">
      <c r="A287">
        <v>286</v>
      </c>
      <c r="B287" s="23">
        <v>1829.242</v>
      </c>
      <c r="C287" s="23">
        <v>1609.6</v>
      </c>
    </row>
    <row r="288" spans="1:3" x14ac:dyDescent="0.25">
      <c r="A288">
        <v>287</v>
      </c>
      <c r="B288" s="23">
        <v>1829.06</v>
      </c>
      <c r="C288" s="23">
        <v>1607.2</v>
      </c>
    </row>
    <row r="289" spans="1:3" x14ac:dyDescent="0.25">
      <c r="A289">
        <v>288</v>
      </c>
      <c r="B289" s="23">
        <v>1828.904</v>
      </c>
      <c r="C289" s="23">
        <v>1604.691</v>
      </c>
    </row>
    <row r="290" spans="1:3" x14ac:dyDescent="0.25">
      <c r="A290">
        <v>289</v>
      </c>
      <c r="B290" s="23">
        <v>1828.8</v>
      </c>
      <c r="C290" s="23">
        <v>1603.434</v>
      </c>
    </row>
    <row r="291" spans="1:3" x14ac:dyDescent="0.25">
      <c r="A291">
        <v>290</v>
      </c>
      <c r="B291" s="23">
        <v>1827.8498070000001</v>
      </c>
      <c r="C291" s="23">
        <v>1603.2</v>
      </c>
    </row>
    <row r="292" spans="1:3" x14ac:dyDescent="0.25">
      <c r="A292">
        <v>291</v>
      </c>
      <c r="B292" s="23">
        <v>1826.72938</v>
      </c>
      <c r="C292" s="23">
        <v>1603.2</v>
      </c>
    </row>
    <row r="293" spans="1:3" x14ac:dyDescent="0.25">
      <c r="A293">
        <v>292</v>
      </c>
      <c r="B293" s="23">
        <v>1825.6709289999999</v>
      </c>
      <c r="C293" s="23">
        <v>1602.9469999999999</v>
      </c>
    </row>
    <row r="294" spans="1:3" x14ac:dyDescent="0.25">
      <c r="A294">
        <v>293</v>
      </c>
      <c r="B294" s="23">
        <v>1825.482</v>
      </c>
      <c r="C294" s="23">
        <v>1602.4</v>
      </c>
    </row>
    <row r="295" spans="1:3" x14ac:dyDescent="0.25">
      <c r="A295">
        <v>294</v>
      </c>
      <c r="B295" s="23">
        <v>1825.298</v>
      </c>
      <c r="C295" s="23">
        <v>1601.6</v>
      </c>
    </row>
    <row r="296" spans="1:3" x14ac:dyDescent="0.25">
      <c r="A296">
        <v>295</v>
      </c>
      <c r="B296" s="23">
        <v>1824.8</v>
      </c>
      <c r="C296" s="23">
        <v>1601.6</v>
      </c>
    </row>
    <row r="297" spans="1:3" x14ac:dyDescent="0.25">
      <c r="A297">
        <v>296</v>
      </c>
      <c r="B297" s="23">
        <v>1824.7809999999999</v>
      </c>
      <c r="C297" s="23">
        <v>1600.8</v>
      </c>
    </row>
    <row r="298" spans="1:3" x14ac:dyDescent="0.25">
      <c r="A298">
        <v>297</v>
      </c>
      <c r="B298" s="23">
        <v>1824.597</v>
      </c>
      <c r="C298" s="23">
        <v>1600</v>
      </c>
    </row>
    <row r="299" spans="1:3" x14ac:dyDescent="0.25">
      <c r="A299">
        <v>298</v>
      </c>
      <c r="B299" s="23">
        <v>1823.5319999999999</v>
      </c>
      <c r="C299" s="23">
        <v>1599.675</v>
      </c>
    </row>
    <row r="300" spans="1:3" x14ac:dyDescent="0.25">
      <c r="A300">
        <v>299</v>
      </c>
      <c r="B300" s="23">
        <v>1823.2802650000001</v>
      </c>
      <c r="C300" s="23">
        <v>1599.2</v>
      </c>
    </row>
    <row r="301" spans="1:3" x14ac:dyDescent="0.25">
      <c r="A301">
        <v>300</v>
      </c>
      <c r="B301" s="23">
        <v>1823.2049999999999</v>
      </c>
      <c r="C301" s="23">
        <v>1599.2</v>
      </c>
    </row>
    <row r="302" spans="1:3" x14ac:dyDescent="0.25">
      <c r="A302">
        <v>301</v>
      </c>
      <c r="B302" s="23">
        <v>1822.6569999999999</v>
      </c>
      <c r="C302" s="23">
        <v>1598.4</v>
      </c>
    </row>
    <row r="303" spans="1:3" x14ac:dyDescent="0.25">
      <c r="A303">
        <v>302</v>
      </c>
      <c r="B303" s="23">
        <v>1822.4</v>
      </c>
      <c r="C303" s="23">
        <v>1598.4</v>
      </c>
    </row>
    <row r="304" spans="1:3" x14ac:dyDescent="0.25">
      <c r="A304">
        <v>303</v>
      </c>
      <c r="B304" s="23">
        <v>1822.3040000000001</v>
      </c>
      <c r="C304" s="23">
        <v>1597.549</v>
      </c>
    </row>
    <row r="305" spans="1:3" x14ac:dyDescent="0.25">
      <c r="A305">
        <v>304</v>
      </c>
      <c r="B305" s="23">
        <v>1821.1120000000001</v>
      </c>
      <c r="C305" s="23">
        <v>1596.511</v>
      </c>
    </row>
    <row r="306" spans="1:3" x14ac:dyDescent="0.25">
      <c r="A306">
        <v>305</v>
      </c>
      <c r="B306" s="23">
        <v>1820.422</v>
      </c>
      <c r="C306" s="23">
        <v>1595.586</v>
      </c>
    </row>
    <row r="307" spans="1:3" x14ac:dyDescent="0.25">
      <c r="A307">
        <v>306</v>
      </c>
      <c r="B307" s="23">
        <v>1820</v>
      </c>
      <c r="C307" s="23">
        <v>1595.37</v>
      </c>
    </row>
    <row r="308" spans="1:3" x14ac:dyDescent="0.25">
      <c r="A308">
        <v>307</v>
      </c>
      <c r="B308" s="23">
        <v>1819.6715079999999</v>
      </c>
      <c r="C308" s="23">
        <v>1595.0540000000001</v>
      </c>
    </row>
    <row r="309" spans="1:3" x14ac:dyDescent="0.25">
      <c r="A309">
        <v>308</v>
      </c>
      <c r="B309" s="23">
        <v>1818.19811</v>
      </c>
      <c r="C309" s="23">
        <v>1594.4069999999999</v>
      </c>
    </row>
    <row r="310" spans="1:3" x14ac:dyDescent="0.25">
      <c r="A310">
        <v>309</v>
      </c>
      <c r="B310" s="23">
        <v>1818.035848</v>
      </c>
      <c r="C310" s="23">
        <v>1593.5</v>
      </c>
    </row>
    <row r="311" spans="1:3" x14ac:dyDescent="0.25">
      <c r="A311">
        <v>310</v>
      </c>
      <c r="B311" s="23">
        <v>1817.683121</v>
      </c>
      <c r="C311" s="23">
        <v>1590.4</v>
      </c>
    </row>
    <row r="312" spans="1:3" x14ac:dyDescent="0.25">
      <c r="A312">
        <v>311</v>
      </c>
      <c r="B312" s="23">
        <v>1816.85</v>
      </c>
      <c r="C312" s="23">
        <v>1588.8</v>
      </c>
    </row>
    <row r="313" spans="1:3" x14ac:dyDescent="0.25">
      <c r="A313">
        <v>312</v>
      </c>
      <c r="B313" s="23">
        <v>1814.7529999999999</v>
      </c>
      <c r="C313" s="23">
        <v>1588.2049999999999</v>
      </c>
    </row>
    <row r="314" spans="1:3" x14ac:dyDescent="0.25">
      <c r="A314">
        <v>313</v>
      </c>
      <c r="B314" s="23">
        <v>1814.4</v>
      </c>
      <c r="C314" s="23">
        <v>1588.0619999999999</v>
      </c>
    </row>
    <row r="315" spans="1:3" x14ac:dyDescent="0.25">
      <c r="A315">
        <v>314</v>
      </c>
      <c r="B315" s="23">
        <v>1812.776179</v>
      </c>
      <c r="C315" s="23">
        <v>1587.2850000000001</v>
      </c>
    </row>
    <row r="316" spans="1:3" x14ac:dyDescent="0.25">
      <c r="A316">
        <v>315</v>
      </c>
      <c r="B316" s="23">
        <v>1812.4967449999999</v>
      </c>
      <c r="C316" s="23">
        <v>1587.2850000000001</v>
      </c>
    </row>
    <row r="317" spans="1:3" x14ac:dyDescent="0.25">
      <c r="A317">
        <v>316</v>
      </c>
      <c r="B317" s="23">
        <v>1812</v>
      </c>
      <c r="C317" s="23">
        <v>1587.2</v>
      </c>
    </row>
    <row r="318" spans="1:3" x14ac:dyDescent="0.25">
      <c r="A318">
        <v>317</v>
      </c>
      <c r="B318" s="23">
        <v>1811.107</v>
      </c>
      <c r="C318" s="23">
        <v>1587.2</v>
      </c>
    </row>
    <row r="319" spans="1:3" x14ac:dyDescent="0.25">
      <c r="A319">
        <v>318</v>
      </c>
      <c r="B319" s="23">
        <v>1811.0419999999999</v>
      </c>
      <c r="C319" s="23">
        <v>1585.7719999999999</v>
      </c>
    </row>
    <row r="320" spans="1:3" x14ac:dyDescent="0.25">
      <c r="A320">
        <v>319</v>
      </c>
      <c r="B320" s="23">
        <v>1808.8</v>
      </c>
      <c r="C320" s="23">
        <v>1585.6</v>
      </c>
    </row>
    <row r="321" spans="1:3" x14ac:dyDescent="0.25">
      <c r="A321">
        <v>320</v>
      </c>
      <c r="B321" s="23">
        <v>1808.0519999999999</v>
      </c>
      <c r="C321" s="23">
        <v>1584.954</v>
      </c>
    </row>
    <row r="322" spans="1:3" x14ac:dyDescent="0.25">
      <c r="A322">
        <v>321</v>
      </c>
      <c r="B322" s="23">
        <v>1807.694127</v>
      </c>
      <c r="C322" s="23">
        <v>1584.8</v>
      </c>
    </row>
    <row r="323" spans="1:3" x14ac:dyDescent="0.25">
      <c r="A323">
        <v>322</v>
      </c>
      <c r="B323" s="23">
        <v>1807.633</v>
      </c>
      <c r="C323" s="23">
        <v>1583.2</v>
      </c>
    </row>
    <row r="324" spans="1:3" x14ac:dyDescent="0.25">
      <c r="A324">
        <v>323</v>
      </c>
      <c r="B324" s="23">
        <v>1806.403</v>
      </c>
      <c r="C324" s="23">
        <v>1582.623</v>
      </c>
    </row>
    <row r="325" spans="1:3" x14ac:dyDescent="0.25">
      <c r="A325">
        <v>324</v>
      </c>
      <c r="B325" s="23">
        <v>1805.6980000000001</v>
      </c>
      <c r="C325" s="23">
        <v>1582.4</v>
      </c>
    </row>
    <row r="326" spans="1:3" x14ac:dyDescent="0.25">
      <c r="A326">
        <v>325</v>
      </c>
      <c r="B326" s="23">
        <v>1805.685911</v>
      </c>
      <c r="C326" s="23">
        <v>1581.6</v>
      </c>
    </row>
    <row r="327" spans="1:3" x14ac:dyDescent="0.25">
      <c r="A327">
        <v>326</v>
      </c>
      <c r="B327" s="23">
        <v>1804.9518350000001</v>
      </c>
      <c r="C327" s="23">
        <v>1580.8</v>
      </c>
    </row>
    <row r="328" spans="1:3" x14ac:dyDescent="0.25">
      <c r="A328">
        <v>327</v>
      </c>
      <c r="B328" s="23">
        <v>1804.4340689999999</v>
      </c>
      <c r="C328" s="23">
        <v>1580</v>
      </c>
    </row>
    <row r="329" spans="1:3" x14ac:dyDescent="0.25">
      <c r="A329">
        <v>328</v>
      </c>
      <c r="B329" s="23">
        <v>1803.338</v>
      </c>
      <c r="C329" s="23">
        <v>1579.2</v>
      </c>
    </row>
    <row r="330" spans="1:3" x14ac:dyDescent="0.25">
      <c r="A330">
        <v>329</v>
      </c>
      <c r="B330" s="23">
        <v>1802.673</v>
      </c>
      <c r="C330" s="23">
        <v>1578.4</v>
      </c>
    </row>
    <row r="331" spans="1:3" x14ac:dyDescent="0.25">
      <c r="A331">
        <v>330</v>
      </c>
      <c r="B331" s="23">
        <v>1801.9450449999999</v>
      </c>
      <c r="C331" s="23">
        <v>1577.961</v>
      </c>
    </row>
    <row r="332" spans="1:3" x14ac:dyDescent="0.25">
      <c r="A332">
        <v>331</v>
      </c>
      <c r="B332" s="23">
        <v>1801.825</v>
      </c>
      <c r="C332" s="23">
        <v>1577.6</v>
      </c>
    </row>
    <row r="333" spans="1:3" x14ac:dyDescent="0.25">
      <c r="A333">
        <v>332</v>
      </c>
      <c r="B333" s="23">
        <v>1799.8409999999999</v>
      </c>
      <c r="C333" s="23">
        <v>1576.8</v>
      </c>
    </row>
    <row r="334" spans="1:3" x14ac:dyDescent="0.25">
      <c r="A334">
        <v>333</v>
      </c>
      <c r="B334" s="23">
        <v>1799.8209999999999</v>
      </c>
      <c r="C334" s="23">
        <v>1576.8</v>
      </c>
    </row>
    <row r="335" spans="1:3" x14ac:dyDescent="0.25">
      <c r="A335">
        <v>334</v>
      </c>
      <c r="B335" s="23">
        <v>1799.376606</v>
      </c>
      <c r="C335" s="23">
        <v>1576</v>
      </c>
    </row>
    <row r="336" spans="1:3" x14ac:dyDescent="0.25">
      <c r="A336">
        <v>335</v>
      </c>
      <c r="B336" s="23">
        <v>1798.4</v>
      </c>
      <c r="C336" s="23">
        <v>1575.2</v>
      </c>
    </row>
    <row r="337" spans="1:3" x14ac:dyDescent="0.25">
      <c r="A337">
        <v>336</v>
      </c>
      <c r="B337" s="23">
        <v>1798.1579999999999</v>
      </c>
      <c r="C337" s="23">
        <v>1574.854</v>
      </c>
    </row>
    <row r="338" spans="1:3" x14ac:dyDescent="0.25">
      <c r="A338">
        <v>337</v>
      </c>
      <c r="B338" s="23">
        <v>1797.834951</v>
      </c>
      <c r="C338" s="23">
        <v>1574.4</v>
      </c>
    </row>
    <row r="339" spans="1:3" x14ac:dyDescent="0.25">
      <c r="A339">
        <v>338</v>
      </c>
      <c r="B339" s="23">
        <v>1797.6</v>
      </c>
      <c r="C339" s="23">
        <v>1573.3</v>
      </c>
    </row>
    <row r="340" spans="1:3" x14ac:dyDescent="0.25">
      <c r="A340">
        <v>339</v>
      </c>
      <c r="B340" s="23">
        <v>1797.5</v>
      </c>
      <c r="C340" s="23">
        <v>1572</v>
      </c>
    </row>
    <row r="341" spans="1:3" x14ac:dyDescent="0.25">
      <c r="A341">
        <v>340</v>
      </c>
      <c r="B341" s="23">
        <v>1797.136</v>
      </c>
      <c r="C341" s="23">
        <v>1572</v>
      </c>
    </row>
    <row r="342" spans="1:3" x14ac:dyDescent="0.25">
      <c r="A342">
        <v>341</v>
      </c>
      <c r="B342" s="23">
        <v>1796.8320000000001</v>
      </c>
      <c r="C342" s="23">
        <v>1571.8689999999999</v>
      </c>
    </row>
    <row r="343" spans="1:3" x14ac:dyDescent="0.25">
      <c r="A343">
        <v>342</v>
      </c>
      <c r="B343" s="23">
        <v>1796.5450000000001</v>
      </c>
      <c r="C343" s="23">
        <v>1571.8689999999999</v>
      </c>
    </row>
    <row r="344" spans="1:3" x14ac:dyDescent="0.25">
      <c r="A344">
        <v>343</v>
      </c>
      <c r="B344" s="23">
        <v>1796.174</v>
      </c>
      <c r="C344" s="23">
        <v>1571.306</v>
      </c>
    </row>
    <row r="345" spans="1:3" x14ac:dyDescent="0.25">
      <c r="A345">
        <v>344</v>
      </c>
      <c r="B345" s="23">
        <v>1796.019</v>
      </c>
      <c r="C345" s="23">
        <v>1571.2</v>
      </c>
    </row>
    <row r="346" spans="1:3" x14ac:dyDescent="0.25">
      <c r="A346">
        <v>345</v>
      </c>
      <c r="B346" s="23">
        <v>1796.0060000000001</v>
      </c>
      <c r="C346" s="23">
        <v>1571.0509999999999</v>
      </c>
    </row>
    <row r="347" spans="1:3" x14ac:dyDescent="0.25">
      <c r="A347">
        <v>346</v>
      </c>
      <c r="B347" s="23">
        <v>1795.9293130000001</v>
      </c>
      <c r="C347" s="23">
        <v>1570.4</v>
      </c>
    </row>
    <row r="348" spans="1:3" x14ac:dyDescent="0.25">
      <c r="A348">
        <v>347</v>
      </c>
      <c r="B348" s="23">
        <v>1793.9502600000001</v>
      </c>
      <c r="C348" s="23">
        <v>1570.213</v>
      </c>
    </row>
    <row r="349" spans="1:3" x14ac:dyDescent="0.25">
      <c r="A349">
        <v>348</v>
      </c>
      <c r="B349" s="23">
        <v>1793.298</v>
      </c>
      <c r="C349" s="23">
        <v>1569.6</v>
      </c>
    </row>
    <row r="350" spans="1:3" x14ac:dyDescent="0.25">
      <c r="A350">
        <v>349</v>
      </c>
      <c r="B350" s="23">
        <v>1793.1733220000001</v>
      </c>
      <c r="C350" s="23">
        <v>1569.6</v>
      </c>
    </row>
    <row r="351" spans="1:3" x14ac:dyDescent="0.25">
      <c r="A351">
        <v>350</v>
      </c>
      <c r="B351" s="23">
        <v>1792.2</v>
      </c>
      <c r="C351" s="23">
        <v>1569.6</v>
      </c>
    </row>
    <row r="352" spans="1:3" x14ac:dyDescent="0.25">
      <c r="A352">
        <v>351</v>
      </c>
      <c r="B352" s="23">
        <v>1791.4047350000001</v>
      </c>
      <c r="C352" s="23">
        <v>1569.204</v>
      </c>
    </row>
    <row r="353" spans="1:3" x14ac:dyDescent="0.25">
      <c r="A353">
        <v>352</v>
      </c>
      <c r="B353" s="23">
        <v>1791.1849999999999</v>
      </c>
      <c r="C353" s="23">
        <v>1568.8</v>
      </c>
    </row>
    <row r="354" spans="1:3" x14ac:dyDescent="0.25">
      <c r="A354">
        <v>353</v>
      </c>
      <c r="B354" s="23">
        <v>1790.3689999999999</v>
      </c>
      <c r="C354" s="23">
        <v>1568.8</v>
      </c>
    </row>
    <row r="355" spans="1:3" x14ac:dyDescent="0.25">
      <c r="A355">
        <v>354</v>
      </c>
      <c r="B355" s="23">
        <v>1789.8428349999999</v>
      </c>
      <c r="C355" s="23">
        <v>1568.598</v>
      </c>
    </row>
    <row r="356" spans="1:3" x14ac:dyDescent="0.25">
      <c r="A356">
        <v>355</v>
      </c>
      <c r="B356" s="23">
        <v>1789.556951</v>
      </c>
      <c r="C356" s="23">
        <v>1568</v>
      </c>
    </row>
    <row r="357" spans="1:3" x14ac:dyDescent="0.25">
      <c r="A357">
        <v>356</v>
      </c>
      <c r="B357" s="23">
        <v>1789.099252</v>
      </c>
      <c r="C357" s="23">
        <v>1567.2</v>
      </c>
    </row>
    <row r="358" spans="1:3" x14ac:dyDescent="0.25">
      <c r="A358">
        <v>357</v>
      </c>
      <c r="B358" s="23">
        <v>1788.7210930000001</v>
      </c>
      <c r="C358" s="23">
        <v>1567.2</v>
      </c>
    </row>
    <row r="359" spans="1:3" x14ac:dyDescent="0.25">
      <c r="A359">
        <v>358</v>
      </c>
      <c r="B359" s="23">
        <v>1788.5650000000001</v>
      </c>
      <c r="C359" s="23">
        <v>1567.0840000000001</v>
      </c>
    </row>
    <row r="360" spans="1:3" x14ac:dyDescent="0.25">
      <c r="A360">
        <v>359</v>
      </c>
      <c r="B360" s="23">
        <v>1788</v>
      </c>
      <c r="C360" s="23">
        <v>1567.0840000000001</v>
      </c>
    </row>
    <row r="361" spans="1:3" x14ac:dyDescent="0.25">
      <c r="A361">
        <v>360</v>
      </c>
      <c r="B361" s="23">
        <v>1787.6890000000001</v>
      </c>
      <c r="C361" s="23">
        <v>1566.4</v>
      </c>
    </row>
    <row r="362" spans="1:3" x14ac:dyDescent="0.25">
      <c r="A362">
        <v>361</v>
      </c>
      <c r="B362" s="23">
        <v>1787.2159999999999</v>
      </c>
      <c r="C362" s="23">
        <v>1566.4</v>
      </c>
    </row>
    <row r="363" spans="1:3" x14ac:dyDescent="0.25">
      <c r="A363">
        <v>362</v>
      </c>
      <c r="B363" s="23">
        <v>1786.9578160000001</v>
      </c>
      <c r="C363" s="23">
        <v>1566.144</v>
      </c>
    </row>
    <row r="364" spans="1:3" x14ac:dyDescent="0.25">
      <c r="A364">
        <v>363</v>
      </c>
      <c r="B364" s="23">
        <v>1786.904</v>
      </c>
      <c r="C364" s="23">
        <v>1565.326</v>
      </c>
    </row>
    <row r="365" spans="1:3" x14ac:dyDescent="0.25">
      <c r="A365">
        <v>364</v>
      </c>
      <c r="B365" s="23">
        <v>1786.454</v>
      </c>
      <c r="C365" s="23">
        <v>1565.326</v>
      </c>
    </row>
    <row r="366" spans="1:3" x14ac:dyDescent="0.25">
      <c r="A366">
        <v>365</v>
      </c>
      <c r="B366" s="23">
        <v>1786.4</v>
      </c>
      <c r="C366" s="23">
        <v>1565.326</v>
      </c>
    </row>
    <row r="367" spans="1:3" x14ac:dyDescent="0.25">
      <c r="A367">
        <v>366</v>
      </c>
      <c r="B367" s="23">
        <v>1786.2342920000001</v>
      </c>
      <c r="C367" s="23">
        <v>1564.8</v>
      </c>
    </row>
    <row r="368" spans="1:3" x14ac:dyDescent="0.25">
      <c r="A368">
        <v>367</v>
      </c>
      <c r="B368" s="23">
        <v>1786.232</v>
      </c>
      <c r="C368" s="23">
        <v>1564</v>
      </c>
    </row>
    <row r="369" spans="1:3" x14ac:dyDescent="0.25">
      <c r="A369">
        <v>368</v>
      </c>
      <c r="B369" s="23">
        <v>1785.6</v>
      </c>
      <c r="C369" s="23">
        <v>1564</v>
      </c>
    </row>
    <row r="370" spans="1:3" x14ac:dyDescent="0.25">
      <c r="A370">
        <v>369</v>
      </c>
      <c r="B370" s="23">
        <v>1785.434</v>
      </c>
      <c r="C370" s="23">
        <v>1563.6020000000001</v>
      </c>
    </row>
    <row r="371" spans="1:3" x14ac:dyDescent="0.25">
      <c r="A371">
        <v>370</v>
      </c>
      <c r="B371" s="23">
        <v>1784.8</v>
      </c>
      <c r="C371" s="23">
        <v>1563.4949999999999</v>
      </c>
    </row>
    <row r="372" spans="1:3" x14ac:dyDescent="0.25">
      <c r="A372">
        <v>371</v>
      </c>
      <c r="B372" s="23">
        <v>1784.662</v>
      </c>
      <c r="C372" s="23">
        <v>1562.6980000000001</v>
      </c>
    </row>
    <row r="373" spans="1:3" x14ac:dyDescent="0.25">
      <c r="A373">
        <v>372</v>
      </c>
      <c r="B373" s="23">
        <v>1783.81</v>
      </c>
      <c r="C373" s="23">
        <v>1562.4</v>
      </c>
    </row>
    <row r="374" spans="1:3" x14ac:dyDescent="0.25">
      <c r="A374">
        <v>373</v>
      </c>
      <c r="B374" s="23">
        <v>1783.6289999999999</v>
      </c>
      <c r="C374" s="23">
        <v>1560.8</v>
      </c>
    </row>
    <row r="375" spans="1:3" x14ac:dyDescent="0.25">
      <c r="A375">
        <v>374</v>
      </c>
      <c r="B375" s="23">
        <v>1783.2</v>
      </c>
      <c r="C375" s="23">
        <v>1559.6020000000001</v>
      </c>
    </row>
    <row r="376" spans="1:3" x14ac:dyDescent="0.25">
      <c r="A376">
        <v>375</v>
      </c>
      <c r="B376" s="23">
        <v>1782.499</v>
      </c>
      <c r="C376" s="23">
        <v>1558.4</v>
      </c>
    </row>
    <row r="377" spans="1:3" x14ac:dyDescent="0.25">
      <c r="A377">
        <v>376</v>
      </c>
      <c r="B377" s="23">
        <v>1782.319172</v>
      </c>
      <c r="C377" s="23">
        <v>1557.9659999999999</v>
      </c>
    </row>
    <row r="378" spans="1:3" x14ac:dyDescent="0.25">
      <c r="A378">
        <v>377</v>
      </c>
      <c r="B378" s="23">
        <v>1782.2291760000001</v>
      </c>
      <c r="C378" s="23">
        <v>1556.8</v>
      </c>
    </row>
    <row r="379" spans="1:3" x14ac:dyDescent="0.25">
      <c r="A379">
        <v>378</v>
      </c>
      <c r="B379" s="23">
        <v>1780.735398</v>
      </c>
      <c r="C379" s="23">
        <v>1556.8</v>
      </c>
    </row>
    <row r="380" spans="1:3" x14ac:dyDescent="0.25">
      <c r="A380">
        <v>379</v>
      </c>
      <c r="B380" s="23">
        <v>1780.377</v>
      </c>
      <c r="C380" s="23">
        <v>1556.1590000000001</v>
      </c>
    </row>
    <row r="381" spans="1:3" x14ac:dyDescent="0.25">
      <c r="A381">
        <v>380</v>
      </c>
      <c r="B381" s="23">
        <v>1780</v>
      </c>
      <c r="C381" s="23">
        <v>1556</v>
      </c>
    </row>
    <row r="382" spans="1:3" x14ac:dyDescent="0.25">
      <c r="A382">
        <v>381</v>
      </c>
      <c r="B382" s="23">
        <v>1779.250589</v>
      </c>
      <c r="C382" s="23">
        <v>1556</v>
      </c>
    </row>
    <row r="383" spans="1:3" x14ac:dyDescent="0.25">
      <c r="A383">
        <v>382</v>
      </c>
      <c r="B383" s="23">
        <v>1779.2</v>
      </c>
      <c r="C383" s="23">
        <v>1555.43</v>
      </c>
    </row>
    <row r="384" spans="1:3" x14ac:dyDescent="0.25">
      <c r="A384">
        <v>383</v>
      </c>
      <c r="B384" s="23">
        <v>1779.002</v>
      </c>
      <c r="C384" s="23">
        <v>1555.2</v>
      </c>
    </row>
    <row r="385" spans="1:3" x14ac:dyDescent="0.25">
      <c r="A385">
        <v>384</v>
      </c>
      <c r="B385" s="23">
        <v>1778.923133</v>
      </c>
      <c r="C385" s="23">
        <v>1554.4</v>
      </c>
    </row>
    <row r="386" spans="1:3" x14ac:dyDescent="0.25">
      <c r="A386">
        <v>385</v>
      </c>
      <c r="B386" s="23">
        <v>1778.711</v>
      </c>
      <c r="C386" s="23">
        <v>1554.4</v>
      </c>
    </row>
    <row r="387" spans="1:3" x14ac:dyDescent="0.25">
      <c r="A387">
        <v>386</v>
      </c>
      <c r="B387" s="23">
        <v>1778.5901919999999</v>
      </c>
      <c r="C387" s="23">
        <v>1553.6</v>
      </c>
    </row>
    <row r="388" spans="1:3" x14ac:dyDescent="0.25">
      <c r="A388">
        <v>387</v>
      </c>
      <c r="B388" s="23">
        <v>1778.4</v>
      </c>
      <c r="C388" s="23">
        <v>1551.423</v>
      </c>
    </row>
    <row r="389" spans="1:3" x14ac:dyDescent="0.25">
      <c r="A389">
        <v>388</v>
      </c>
      <c r="B389" s="23">
        <v>1777.857636</v>
      </c>
      <c r="C389" s="23">
        <v>1551.3119999999999</v>
      </c>
    </row>
    <row r="390" spans="1:3" x14ac:dyDescent="0.25">
      <c r="A390">
        <v>389</v>
      </c>
      <c r="B390" s="23">
        <v>1777.6</v>
      </c>
      <c r="C390" s="23">
        <v>1551.2</v>
      </c>
    </row>
    <row r="391" spans="1:3" x14ac:dyDescent="0.25">
      <c r="A391">
        <v>390</v>
      </c>
      <c r="B391" s="23">
        <v>1776.413</v>
      </c>
      <c r="C391" s="23">
        <v>1551.2</v>
      </c>
    </row>
    <row r="392" spans="1:3" x14ac:dyDescent="0.25">
      <c r="A392">
        <v>391</v>
      </c>
      <c r="B392" s="23">
        <v>1776.080682</v>
      </c>
      <c r="C392" s="23">
        <v>1550.4</v>
      </c>
    </row>
    <row r="393" spans="1:3" x14ac:dyDescent="0.25">
      <c r="A393">
        <v>392</v>
      </c>
      <c r="B393" s="23">
        <v>1775.2</v>
      </c>
      <c r="C393" s="23">
        <v>1550.4</v>
      </c>
    </row>
    <row r="394" spans="1:3" x14ac:dyDescent="0.25">
      <c r="A394">
        <v>393</v>
      </c>
      <c r="B394" s="23">
        <v>1775.2</v>
      </c>
      <c r="C394" s="23">
        <v>1549.6</v>
      </c>
    </row>
    <row r="395" spans="1:3" x14ac:dyDescent="0.25">
      <c r="A395">
        <v>394</v>
      </c>
      <c r="B395" s="23">
        <v>1773.5239999999999</v>
      </c>
      <c r="C395" s="23">
        <v>1549.318</v>
      </c>
    </row>
    <row r="396" spans="1:3" x14ac:dyDescent="0.25">
      <c r="A396">
        <v>395</v>
      </c>
      <c r="B396" s="23">
        <v>1773.4518399999999</v>
      </c>
      <c r="C396" s="23">
        <v>1548.97</v>
      </c>
    </row>
    <row r="397" spans="1:3" x14ac:dyDescent="0.25">
      <c r="A397">
        <v>396</v>
      </c>
      <c r="B397" s="23">
        <v>1773.2550000000001</v>
      </c>
      <c r="C397" s="23">
        <v>1548.8</v>
      </c>
    </row>
    <row r="398" spans="1:3" x14ac:dyDescent="0.25">
      <c r="A398">
        <v>397</v>
      </c>
      <c r="B398" s="23">
        <v>1772.8510000000001</v>
      </c>
      <c r="C398" s="23">
        <v>1548.8</v>
      </c>
    </row>
    <row r="399" spans="1:3" x14ac:dyDescent="0.25">
      <c r="A399">
        <v>398</v>
      </c>
      <c r="B399" s="23">
        <v>1772.479656</v>
      </c>
      <c r="C399" s="23">
        <v>1548.5309999999999</v>
      </c>
    </row>
    <row r="400" spans="1:3" x14ac:dyDescent="0.25">
      <c r="A400">
        <v>399</v>
      </c>
      <c r="B400" s="23">
        <v>1772.2557750000001</v>
      </c>
      <c r="C400" s="23">
        <v>1548.048</v>
      </c>
    </row>
    <row r="401" spans="1:3" x14ac:dyDescent="0.25">
      <c r="A401">
        <v>400</v>
      </c>
      <c r="B401" s="23">
        <v>1772.0821880000001</v>
      </c>
      <c r="C401" s="23">
        <v>1548</v>
      </c>
    </row>
    <row r="402" spans="1:3" x14ac:dyDescent="0.25">
      <c r="A402">
        <v>401</v>
      </c>
      <c r="B402" s="23">
        <v>1771.9988430000001</v>
      </c>
      <c r="C402" s="23">
        <v>1547.5340000000001</v>
      </c>
    </row>
    <row r="403" spans="1:3" x14ac:dyDescent="0.25">
      <c r="A403">
        <v>402</v>
      </c>
      <c r="B403" s="23">
        <v>1771.2</v>
      </c>
      <c r="C403" s="23">
        <v>1546.9349999999999</v>
      </c>
    </row>
    <row r="404" spans="1:3" x14ac:dyDescent="0.25">
      <c r="A404">
        <v>403</v>
      </c>
      <c r="B404" s="23">
        <v>1771.2</v>
      </c>
      <c r="C404" s="23">
        <v>1546.5160000000001</v>
      </c>
    </row>
    <row r="405" spans="1:3" x14ac:dyDescent="0.25">
      <c r="A405">
        <v>404</v>
      </c>
      <c r="B405" s="23">
        <v>1770.4</v>
      </c>
      <c r="C405" s="23">
        <v>1546.4</v>
      </c>
    </row>
    <row r="406" spans="1:3" x14ac:dyDescent="0.25">
      <c r="A406">
        <v>405</v>
      </c>
      <c r="B406" s="23">
        <v>1769.154</v>
      </c>
      <c r="C406" s="23">
        <v>1546.4</v>
      </c>
    </row>
    <row r="407" spans="1:3" x14ac:dyDescent="0.25">
      <c r="A407">
        <v>406</v>
      </c>
      <c r="B407" s="23">
        <v>1768.6143059999999</v>
      </c>
      <c r="C407" s="23">
        <v>1546.4</v>
      </c>
    </row>
    <row r="408" spans="1:3" x14ac:dyDescent="0.25">
      <c r="A408">
        <v>407</v>
      </c>
      <c r="B408" s="23">
        <v>1766.78</v>
      </c>
      <c r="C408" s="23">
        <v>1545.6</v>
      </c>
    </row>
    <row r="409" spans="1:3" x14ac:dyDescent="0.25">
      <c r="A409">
        <v>408</v>
      </c>
      <c r="B409" s="23">
        <v>1766.4380000000001</v>
      </c>
      <c r="C409" s="23">
        <v>1545.6</v>
      </c>
    </row>
    <row r="410" spans="1:3" x14ac:dyDescent="0.25">
      <c r="A410">
        <v>409</v>
      </c>
      <c r="B410" s="23">
        <v>1766.248</v>
      </c>
      <c r="C410" s="23">
        <v>1544.8</v>
      </c>
    </row>
    <row r="411" spans="1:3" x14ac:dyDescent="0.25">
      <c r="A411">
        <v>410</v>
      </c>
      <c r="B411" s="23">
        <v>1765.9551140000001</v>
      </c>
      <c r="C411" s="23">
        <v>1544.0630000000001</v>
      </c>
    </row>
    <row r="412" spans="1:3" x14ac:dyDescent="0.25">
      <c r="A412">
        <v>411</v>
      </c>
      <c r="B412" s="23">
        <v>1765.931</v>
      </c>
      <c r="C412" s="23">
        <v>1544.0630000000001</v>
      </c>
    </row>
    <row r="413" spans="1:3" x14ac:dyDescent="0.25">
      <c r="A413">
        <v>412</v>
      </c>
      <c r="B413" s="23">
        <v>1765.6</v>
      </c>
      <c r="C413" s="23">
        <v>1544</v>
      </c>
    </row>
    <row r="414" spans="1:3" x14ac:dyDescent="0.25">
      <c r="A414">
        <v>413</v>
      </c>
      <c r="B414" s="23">
        <v>1764.854415</v>
      </c>
      <c r="C414" s="23">
        <v>1543.7760000000001</v>
      </c>
    </row>
    <row r="415" spans="1:3" x14ac:dyDescent="0.25">
      <c r="A415">
        <v>414</v>
      </c>
      <c r="B415" s="23">
        <v>1764.8</v>
      </c>
      <c r="C415" s="23">
        <v>1543.2</v>
      </c>
    </row>
    <row r="416" spans="1:3" x14ac:dyDescent="0.25">
      <c r="A416">
        <v>415</v>
      </c>
      <c r="B416" s="23">
        <v>1764.516038</v>
      </c>
      <c r="C416" s="23">
        <v>1542.7760000000001</v>
      </c>
    </row>
    <row r="417" spans="1:3" x14ac:dyDescent="0.25">
      <c r="A417">
        <v>416</v>
      </c>
      <c r="B417" s="23">
        <v>1763.69</v>
      </c>
      <c r="C417" s="23">
        <v>1542.4</v>
      </c>
    </row>
    <row r="418" spans="1:3" x14ac:dyDescent="0.25">
      <c r="A418">
        <v>417</v>
      </c>
      <c r="B418" s="23">
        <v>1763.4369999999999</v>
      </c>
      <c r="C418" s="23">
        <v>1542.4</v>
      </c>
    </row>
    <row r="419" spans="1:3" x14ac:dyDescent="0.25">
      <c r="A419">
        <v>418</v>
      </c>
      <c r="B419" s="23">
        <v>1763.2</v>
      </c>
      <c r="C419" s="23">
        <v>1541.6</v>
      </c>
    </row>
    <row r="420" spans="1:3" x14ac:dyDescent="0.25">
      <c r="A420">
        <v>419</v>
      </c>
      <c r="B420" s="23">
        <v>1763.0619999999999</v>
      </c>
      <c r="C420" s="23">
        <v>1540.8</v>
      </c>
    </row>
    <row r="421" spans="1:3" x14ac:dyDescent="0.25">
      <c r="A421">
        <v>420</v>
      </c>
      <c r="B421" s="23">
        <v>1762.864</v>
      </c>
      <c r="C421" s="23">
        <v>1539.8910000000001</v>
      </c>
    </row>
    <row r="422" spans="1:3" x14ac:dyDescent="0.25">
      <c r="A422">
        <v>421</v>
      </c>
      <c r="B422" s="23">
        <v>1762.66</v>
      </c>
      <c r="C422" s="23">
        <v>1538.8330000000001</v>
      </c>
    </row>
    <row r="423" spans="1:3" x14ac:dyDescent="0.25">
      <c r="A423">
        <v>422</v>
      </c>
      <c r="B423" s="23">
        <v>1762.4</v>
      </c>
      <c r="C423" s="23">
        <v>1538.4</v>
      </c>
    </row>
    <row r="424" spans="1:3" x14ac:dyDescent="0.25">
      <c r="A424">
        <v>423</v>
      </c>
      <c r="B424" s="23">
        <v>1761.6</v>
      </c>
      <c r="C424" s="23">
        <v>1537.6</v>
      </c>
    </row>
    <row r="425" spans="1:3" x14ac:dyDescent="0.25">
      <c r="A425">
        <v>424</v>
      </c>
      <c r="B425" s="23">
        <v>1760.002</v>
      </c>
      <c r="C425" s="23">
        <v>1537.6</v>
      </c>
    </row>
    <row r="426" spans="1:3" x14ac:dyDescent="0.25">
      <c r="A426">
        <v>425</v>
      </c>
      <c r="B426" s="23">
        <v>1760</v>
      </c>
      <c r="C426" s="23">
        <v>1537.5609999999999</v>
      </c>
    </row>
    <row r="427" spans="1:3" x14ac:dyDescent="0.25">
      <c r="A427">
        <v>426</v>
      </c>
      <c r="B427" s="23">
        <v>1759.2</v>
      </c>
      <c r="C427" s="23">
        <v>1536.8</v>
      </c>
    </row>
    <row r="428" spans="1:3" x14ac:dyDescent="0.25">
      <c r="A428">
        <v>427</v>
      </c>
      <c r="B428" s="23">
        <v>1759.2</v>
      </c>
      <c r="C428" s="23">
        <v>1536.789</v>
      </c>
    </row>
    <row r="429" spans="1:3" x14ac:dyDescent="0.25">
      <c r="A429">
        <v>428</v>
      </c>
      <c r="B429" s="23">
        <v>1759.08</v>
      </c>
      <c r="C429" s="23">
        <v>1535.885</v>
      </c>
    </row>
    <row r="430" spans="1:3" x14ac:dyDescent="0.25">
      <c r="A430">
        <v>429</v>
      </c>
      <c r="B430" s="23">
        <v>1758.8345959999999</v>
      </c>
      <c r="C430" s="23">
        <v>1535.5119999999999</v>
      </c>
    </row>
    <row r="431" spans="1:3" x14ac:dyDescent="0.25">
      <c r="A431">
        <v>430</v>
      </c>
      <c r="B431" s="23">
        <v>1758.4</v>
      </c>
      <c r="C431" s="23">
        <v>1535.23</v>
      </c>
    </row>
    <row r="432" spans="1:3" x14ac:dyDescent="0.25">
      <c r="A432">
        <v>431</v>
      </c>
      <c r="B432" s="23">
        <v>1757.0441390000001</v>
      </c>
      <c r="C432" s="23">
        <v>1534.4</v>
      </c>
    </row>
    <row r="433" spans="1:3" x14ac:dyDescent="0.25">
      <c r="A433">
        <v>432</v>
      </c>
      <c r="B433" s="23">
        <v>1756.931</v>
      </c>
      <c r="C433" s="23">
        <v>1534.4</v>
      </c>
    </row>
    <row r="434" spans="1:3" x14ac:dyDescent="0.25">
      <c r="A434">
        <v>433</v>
      </c>
      <c r="B434" s="23">
        <v>1756</v>
      </c>
      <c r="C434" s="23">
        <v>1534.4</v>
      </c>
    </row>
    <row r="435" spans="1:3" x14ac:dyDescent="0.25">
      <c r="A435">
        <v>434</v>
      </c>
      <c r="B435" s="23">
        <v>1755.972</v>
      </c>
      <c r="C435" s="23">
        <v>1532.8</v>
      </c>
    </row>
    <row r="436" spans="1:3" x14ac:dyDescent="0.25">
      <c r="A436">
        <v>435</v>
      </c>
      <c r="B436" s="23">
        <v>1755.880776</v>
      </c>
      <c r="C436" s="23">
        <v>1532.8</v>
      </c>
    </row>
    <row r="437" spans="1:3" x14ac:dyDescent="0.25">
      <c r="A437">
        <v>436</v>
      </c>
      <c r="B437" s="23">
        <v>1755.85113</v>
      </c>
      <c r="C437" s="23">
        <v>1532</v>
      </c>
    </row>
    <row r="438" spans="1:3" x14ac:dyDescent="0.25">
      <c r="A438">
        <v>437</v>
      </c>
      <c r="B438" s="23">
        <v>1755.7039199999999</v>
      </c>
      <c r="C438" s="23">
        <v>1532</v>
      </c>
    </row>
    <row r="439" spans="1:3" x14ac:dyDescent="0.25">
      <c r="A439">
        <v>438</v>
      </c>
      <c r="B439" s="23">
        <v>1755.5447650000001</v>
      </c>
      <c r="C439" s="23">
        <v>1532</v>
      </c>
    </row>
    <row r="440" spans="1:3" x14ac:dyDescent="0.25">
      <c r="A440">
        <v>439</v>
      </c>
      <c r="B440" s="23">
        <v>1755.523868</v>
      </c>
      <c r="C440" s="23">
        <v>1531.2</v>
      </c>
    </row>
    <row r="441" spans="1:3" x14ac:dyDescent="0.25">
      <c r="A441">
        <v>440</v>
      </c>
      <c r="B441" s="23">
        <v>1754.8451990000001</v>
      </c>
      <c r="C441" s="23">
        <v>1531.2</v>
      </c>
    </row>
    <row r="442" spans="1:3" x14ac:dyDescent="0.25">
      <c r="A442">
        <v>441</v>
      </c>
      <c r="B442" s="23">
        <v>1754.747877</v>
      </c>
      <c r="C442" s="23">
        <v>1531.2</v>
      </c>
    </row>
    <row r="443" spans="1:3" x14ac:dyDescent="0.25">
      <c r="A443">
        <v>442</v>
      </c>
      <c r="B443" s="23">
        <v>1753.494758</v>
      </c>
      <c r="C443" s="23">
        <v>1531.0740000000001</v>
      </c>
    </row>
    <row r="444" spans="1:3" x14ac:dyDescent="0.25">
      <c r="A444">
        <v>443</v>
      </c>
      <c r="B444" s="23">
        <v>1753.2821220000001</v>
      </c>
      <c r="C444" s="23">
        <v>1530.9780000000001</v>
      </c>
    </row>
    <row r="445" spans="1:3" x14ac:dyDescent="0.25">
      <c r="A445">
        <v>444</v>
      </c>
      <c r="B445" s="23">
        <v>1753.1560930000001</v>
      </c>
      <c r="C445" s="23">
        <v>1529.6</v>
      </c>
    </row>
    <row r="446" spans="1:3" x14ac:dyDescent="0.25">
      <c r="A446">
        <v>445</v>
      </c>
      <c r="B446" s="23">
        <v>1751.451</v>
      </c>
      <c r="C446" s="23">
        <v>1529.6</v>
      </c>
    </row>
    <row r="447" spans="1:3" x14ac:dyDescent="0.25">
      <c r="A447">
        <v>446</v>
      </c>
      <c r="B447" s="23">
        <v>1751.352682</v>
      </c>
      <c r="C447" s="23">
        <v>1529.6</v>
      </c>
    </row>
    <row r="448" spans="1:3" x14ac:dyDescent="0.25">
      <c r="A448">
        <v>447</v>
      </c>
      <c r="B448" s="23">
        <v>1751.2</v>
      </c>
      <c r="C448" s="23">
        <v>1529.6</v>
      </c>
    </row>
    <row r="449" spans="1:3" x14ac:dyDescent="0.25">
      <c r="A449">
        <v>448</v>
      </c>
      <c r="B449" s="23">
        <v>1751.14</v>
      </c>
      <c r="C449" s="23">
        <v>1528</v>
      </c>
    </row>
    <row r="450" spans="1:3" x14ac:dyDescent="0.25">
      <c r="A450">
        <v>449</v>
      </c>
      <c r="B450" s="23">
        <v>1751.0239999999999</v>
      </c>
      <c r="C450" s="23">
        <v>1526.8879999999999</v>
      </c>
    </row>
    <row r="451" spans="1:3" x14ac:dyDescent="0.25">
      <c r="A451">
        <v>450</v>
      </c>
      <c r="B451" s="23">
        <v>1750.511</v>
      </c>
      <c r="C451" s="23">
        <v>1526.8879999999999</v>
      </c>
    </row>
    <row r="452" spans="1:3" x14ac:dyDescent="0.25">
      <c r="A452">
        <v>451</v>
      </c>
      <c r="B452" s="23">
        <v>1750.4</v>
      </c>
      <c r="C452" s="23">
        <v>1526.838</v>
      </c>
    </row>
    <row r="453" spans="1:3" x14ac:dyDescent="0.25">
      <c r="A453">
        <v>452</v>
      </c>
      <c r="B453" s="23">
        <v>1750.3510000000001</v>
      </c>
      <c r="C453" s="23">
        <v>1526.4</v>
      </c>
    </row>
    <row r="454" spans="1:3" x14ac:dyDescent="0.25">
      <c r="A454">
        <v>453</v>
      </c>
      <c r="B454" s="23">
        <v>1749.963</v>
      </c>
      <c r="C454" s="23">
        <v>1526.4</v>
      </c>
    </row>
    <row r="455" spans="1:3" x14ac:dyDescent="0.25">
      <c r="A455">
        <v>454</v>
      </c>
      <c r="B455" s="23">
        <v>1749.9590000000001</v>
      </c>
      <c r="C455" s="23">
        <v>1526.204</v>
      </c>
    </row>
    <row r="456" spans="1:3" x14ac:dyDescent="0.25">
      <c r="A456">
        <v>455</v>
      </c>
      <c r="B456" s="23">
        <v>1749.622333</v>
      </c>
      <c r="C456" s="23">
        <v>1526.0409999999999</v>
      </c>
    </row>
    <row r="457" spans="1:3" x14ac:dyDescent="0.25">
      <c r="A457">
        <v>456</v>
      </c>
      <c r="B457" s="23">
        <v>1749.1696589999999</v>
      </c>
      <c r="C457" s="23">
        <v>1525.662</v>
      </c>
    </row>
    <row r="458" spans="1:3" x14ac:dyDescent="0.25">
      <c r="A458">
        <v>457</v>
      </c>
      <c r="B458" s="23">
        <v>1749.141768</v>
      </c>
      <c r="C458" s="23">
        <v>1525.6</v>
      </c>
    </row>
    <row r="459" spans="1:3" x14ac:dyDescent="0.25">
      <c r="A459">
        <v>458</v>
      </c>
      <c r="B459" s="23">
        <v>1748.8</v>
      </c>
      <c r="C459" s="23">
        <v>1524</v>
      </c>
    </row>
    <row r="460" spans="1:3" x14ac:dyDescent="0.25">
      <c r="A460">
        <v>459</v>
      </c>
      <c r="B460" s="23">
        <v>1748</v>
      </c>
      <c r="C460" s="23">
        <v>1524</v>
      </c>
    </row>
    <row r="461" spans="1:3" x14ac:dyDescent="0.25">
      <c r="A461">
        <v>460</v>
      </c>
      <c r="B461" s="23">
        <v>1748</v>
      </c>
      <c r="C461" s="23">
        <v>1522.828</v>
      </c>
    </row>
    <row r="462" spans="1:3" x14ac:dyDescent="0.25">
      <c r="A462">
        <v>461</v>
      </c>
      <c r="B462" s="23">
        <v>1747.7639999999999</v>
      </c>
      <c r="C462" s="23">
        <v>1522.799</v>
      </c>
    </row>
    <row r="463" spans="1:3" x14ac:dyDescent="0.25">
      <c r="A463">
        <v>462</v>
      </c>
      <c r="B463" s="23">
        <v>1747.615</v>
      </c>
      <c r="C463" s="23">
        <v>1522.4</v>
      </c>
    </row>
    <row r="464" spans="1:3" x14ac:dyDescent="0.25">
      <c r="A464">
        <v>463</v>
      </c>
      <c r="B464" s="23">
        <v>1746.4</v>
      </c>
      <c r="C464" s="23">
        <v>1521.981</v>
      </c>
    </row>
    <row r="465" spans="1:3" x14ac:dyDescent="0.25">
      <c r="A465">
        <v>464</v>
      </c>
      <c r="B465" s="23">
        <v>1746.298</v>
      </c>
      <c r="C465" s="23">
        <v>1521.981</v>
      </c>
    </row>
    <row r="466" spans="1:3" x14ac:dyDescent="0.25">
      <c r="A466">
        <v>465</v>
      </c>
      <c r="B466" s="23">
        <v>1745.780092</v>
      </c>
      <c r="C466" s="23">
        <v>1521.9159999999999</v>
      </c>
    </row>
    <row r="467" spans="1:3" x14ac:dyDescent="0.25">
      <c r="A467">
        <v>466</v>
      </c>
      <c r="B467" s="23">
        <v>1745.6</v>
      </c>
      <c r="C467" s="23">
        <v>1521.164</v>
      </c>
    </row>
    <row r="468" spans="1:3" x14ac:dyDescent="0.25">
      <c r="A468">
        <v>467</v>
      </c>
      <c r="B468" s="23">
        <v>1745.2489880000001</v>
      </c>
      <c r="C468" s="23">
        <v>1520.8</v>
      </c>
    </row>
    <row r="469" spans="1:3" x14ac:dyDescent="0.25">
      <c r="A469">
        <v>468</v>
      </c>
      <c r="B469" s="23">
        <v>1744.6383539999999</v>
      </c>
      <c r="C469" s="23">
        <v>1519.2</v>
      </c>
    </row>
    <row r="470" spans="1:3" x14ac:dyDescent="0.25">
      <c r="A470">
        <v>469</v>
      </c>
      <c r="B470" s="23">
        <v>1744.337</v>
      </c>
      <c r="C470" s="23">
        <v>1518.914</v>
      </c>
    </row>
    <row r="471" spans="1:3" x14ac:dyDescent="0.25">
      <c r="A471">
        <v>470</v>
      </c>
      <c r="B471" s="23">
        <v>1744.244668</v>
      </c>
      <c r="C471" s="23">
        <v>1518.8140000000001</v>
      </c>
    </row>
    <row r="472" spans="1:3" x14ac:dyDescent="0.25">
      <c r="A472">
        <v>471</v>
      </c>
      <c r="B472" s="23">
        <v>1744</v>
      </c>
      <c r="C472" s="23">
        <v>1518.8140000000001</v>
      </c>
    </row>
    <row r="473" spans="1:3" x14ac:dyDescent="0.25">
      <c r="A473">
        <v>472</v>
      </c>
      <c r="B473" s="23">
        <v>1744</v>
      </c>
      <c r="C473" s="23">
        <v>1518.73</v>
      </c>
    </row>
    <row r="474" spans="1:3" x14ac:dyDescent="0.25">
      <c r="A474">
        <v>473</v>
      </c>
      <c r="B474" s="23">
        <v>1743.70201</v>
      </c>
      <c r="C474" s="23">
        <v>1518.71</v>
      </c>
    </row>
    <row r="475" spans="1:3" x14ac:dyDescent="0.25">
      <c r="A475">
        <v>474</v>
      </c>
      <c r="B475" s="23">
        <v>1743.6634650000001</v>
      </c>
      <c r="C475" s="23">
        <v>1518.4</v>
      </c>
    </row>
    <row r="476" spans="1:3" x14ac:dyDescent="0.25">
      <c r="A476">
        <v>475</v>
      </c>
      <c r="B476" s="23">
        <v>1743.6133279999999</v>
      </c>
      <c r="C476" s="23">
        <v>1517.6</v>
      </c>
    </row>
    <row r="477" spans="1:3" x14ac:dyDescent="0.25">
      <c r="A477">
        <v>476</v>
      </c>
      <c r="B477" s="23">
        <v>1743.462</v>
      </c>
      <c r="C477" s="23">
        <v>1517.6</v>
      </c>
    </row>
    <row r="478" spans="1:3" x14ac:dyDescent="0.25">
      <c r="A478">
        <v>477</v>
      </c>
      <c r="B478" s="23">
        <v>1743.337</v>
      </c>
      <c r="C478" s="23">
        <v>1517.36</v>
      </c>
    </row>
    <row r="479" spans="1:3" x14ac:dyDescent="0.25">
      <c r="A479">
        <v>478</v>
      </c>
      <c r="B479" s="23">
        <v>1742.409073</v>
      </c>
      <c r="C479" s="23">
        <v>1516.8</v>
      </c>
    </row>
    <row r="480" spans="1:3" x14ac:dyDescent="0.25">
      <c r="A480">
        <v>479</v>
      </c>
      <c r="B480" s="23">
        <v>1742.4</v>
      </c>
      <c r="C480" s="23">
        <v>1516.8</v>
      </c>
    </row>
    <row r="481" spans="1:3" x14ac:dyDescent="0.25">
      <c r="A481">
        <v>480</v>
      </c>
      <c r="B481" s="23">
        <v>1742.288</v>
      </c>
      <c r="C481" s="23">
        <v>1516.4780000000001</v>
      </c>
    </row>
    <row r="482" spans="1:3" x14ac:dyDescent="0.25">
      <c r="A482">
        <v>481</v>
      </c>
      <c r="B482" s="23">
        <v>1741.977668</v>
      </c>
      <c r="C482" s="23">
        <v>1516</v>
      </c>
    </row>
    <row r="483" spans="1:3" x14ac:dyDescent="0.25">
      <c r="A483">
        <v>482</v>
      </c>
      <c r="B483" s="23">
        <v>1741.7249999999999</v>
      </c>
      <c r="C483" s="23">
        <v>1515.954</v>
      </c>
    </row>
    <row r="484" spans="1:3" x14ac:dyDescent="0.25">
      <c r="A484">
        <v>483</v>
      </c>
      <c r="B484" s="23">
        <v>1741.645</v>
      </c>
      <c r="C484" s="23">
        <v>1515.2</v>
      </c>
    </row>
    <row r="485" spans="1:3" x14ac:dyDescent="0.25">
      <c r="A485">
        <v>484</v>
      </c>
      <c r="B485" s="23">
        <v>1741.499</v>
      </c>
      <c r="C485" s="23">
        <v>1515.2</v>
      </c>
    </row>
    <row r="486" spans="1:3" x14ac:dyDescent="0.25">
      <c r="A486">
        <v>485</v>
      </c>
      <c r="B486" s="23">
        <v>1740.9656950000001</v>
      </c>
      <c r="C486" s="23">
        <v>1514.4</v>
      </c>
    </row>
    <row r="487" spans="1:3" x14ac:dyDescent="0.25">
      <c r="A487">
        <v>486</v>
      </c>
      <c r="B487" s="23">
        <v>1740.8</v>
      </c>
      <c r="C487" s="23">
        <v>1513.8030000000001</v>
      </c>
    </row>
    <row r="488" spans="1:3" x14ac:dyDescent="0.25">
      <c r="A488">
        <v>487</v>
      </c>
      <c r="B488" s="23">
        <v>1740.3989999999999</v>
      </c>
      <c r="C488" s="23">
        <v>1513.4760000000001</v>
      </c>
    </row>
    <row r="489" spans="1:3" x14ac:dyDescent="0.25">
      <c r="A489">
        <v>488</v>
      </c>
      <c r="B489" s="23">
        <v>1740.14</v>
      </c>
      <c r="C489" s="23">
        <v>1512.8</v>
      </c>
    </row>
    <row r="490" spans="1:3" x14ac:dyDescent="0.25">
      <c r="A490">
        <v>489</v>
      </c>
      <c r="B490" s="23">
        <v>1739.825</v>
      </c>
      <c r="C490" s="23">
        <v>1512.8</v>
      </c>
    </row>
    <row r="491" spans="1:3" x14ac:dyDescent="0.25">
      <c r="A491">
        <v>490</v>
      </c>
      <c r="B491" s="23">
        <v>1738.9970000000001</v>
      </c>
      <c r="C491" s="23">
        <v>1512.4939999999999</v>
      </c>
    </row>
    <row r="492" spans="1:3" x14ac:dyDescent="0.25">
      <c r="A492">
        <v>491</v>
      </c>
      <c r="B492" s="23">
        <v>1738.895</v>
      </c>
      <c r="C492" s="23">
        <v>1512.191</v>
      </c>
    </row>
    <row r="493" spans="1:3" x14ac:dyDescent="0.25">
      <c r="A493">
        <v>492</v>
      </c>
      <c r="B493" s="23">
        <v>1738.664</v>
      </c>
      <c r="C493" s="23">
        <v>1511.922</v>
      </c>
    </row>
    <row r="494" spans="1:3" x14ac:dyDescent="0.25">
      <c r="A494">
        <v>493</v>
      </c>
      <c r="B494" s="23">
        <v>1738.4</v>
      </c>
      <c r="C494" s="23">
        <v>1510.4</v>
      </c>
    </row>
    <row r="495" spans="1:3" x14ac:dyDescent="0.25">
      <c r="A495">
        <v>494</v>
      </c>
      <c r="B495" s="23">
        <v>1738.3935289999999</v>
      </c>
      <c r="C495" s="23">
        <v>1510.4</v>
      </c>
    </row>
    <row r="496" spans="1:3" x14ac:dyDescent="0.25">
      <c r="A496">
        <v>495</v>
      </c>
      <c r="B496" s="23">
        <v>1737.954</v>
      </c>
      <c r="C496" s="23">
        <v>1510.3679999999999</v>
      </c>
    </row>
    <row r="497" spans="1:3" x14ac:dyDescent="0.25">
      <c r="A497">
        <v>496</v>
      </c>
      <c r="B497" s="23">
        <v>1737.8885190000001</v>
      </c>
      <c r="C497" s="23">
        <v>1509.6</v>
      </c>
    </row>
    <row r="498" spans="1:3" x14ac:dyDescent="0.25">
      <c r="A498">
        <v>497</v>
      </c>
      <c r="B498" s="23">
        <v>1737.8520000000001</v>
      </c>
      <c r="C498" s="23">
        <v>1509.5909999999999</v>
      </c>
    </row>
    <row r="499" spans="1:3" x14ac:dyDescent="0.25">
      <c r="A499">
        <v>498</v>
      </c>
      <c r="B499" s="23">
        <v>1737.845</v>
      </c>
      <c r="C499" s="23">
        <v>1509.5909999999999</v>
      </c>
    </row>
    <row r="500" spans="1:3" x14ac:dyDescent="0.25">
      <c r="A500">
        <v>499</v>
      </c>
      <c r="B500" s="23">
        <v>1737.6</v>
      </c>
      <c r="C500" s="23">
        <v>1509.144</v>
      </c>
    </row>
    <row r="501" spans="1:3" x14ac:dyDescent="0.25">
      <c r="A501">
        <v>500</v>
      </c>
      <c r="B501" s="23">
        <v>1737.091134</v>
      </c>
      <c r="C501" s="23">
        <v>1508.8</v>
      </c>
    </row>
    <row r="502" spans="1:3" x14ac:dyDescent="0.25">
      <c r="A502">
        <v>501</v>
      </c>
      <c r="B502" s="23">
        <v>1737.05</v>
      </c>
      <c r="C502" s="23">
        <v>1508</v>
      </c>
    </row>
    <row r="503" spans="1:3" x14ac:dyDescent="0.25">
      <c r="A503">
        <v>502</v>
      </c>
      <c r="B503" s="23">
        <v>1737.005547</v>
      </c>
      <c r="C503" s="23">
        <v>1508</v>
      </c>
    </row>
    <row r="504" spans="1:3" x14ac:dyDescent="0.25">
      <c r="A504">
        <v>503</v>
      </c>
      <c r="B504" s="23">
        <v>1736.8</v>
      </c>
      <c r="C504" s="23">
        <v>1508</v>
      </c>
    </row>
    <row r="505" spans="1:3" x14ac:dyDescent="0.25">
      <c r="A505">
        <v>504</v>
      </c>
      <c r="B505" s="23">
        <v>1736.2528589999999</v>
      </c>
      <c r="C505" s="23">
        <v>1507.789</v>
      </c>
    </row>
    <row r="506" spans="1:3" x14ac:dyDescent="0.25">
      <c r="A506">
        <v>505</v>
      </c>
      <c r="B506" s="23">
        <v>1735.391071</v>
      </c>
      <c r="C506" s="23">
        <v>1507.7629999999999</v>
      </c>
    </row>
    <row r="507" spans="1:3" x14ac:dyDescent="0.25">
      <c r="A507">
        <v>506</v>
      </c>
      <c r="B507" s="23">
        <v>1735.1679999999999</v>
      </c>
      <c r="C507" s="23">
        <v>1507.221</v>
      </c>
    </row>
    <row r="508" spans="1:3" x14ac:dyDescent="0.25">
      <c r="A508">
        <v>507</v>
      </c>
      <c r="B508" s="23">
        <v>1735.038</v>
      </c>
      <c r="C508" s="23">
        <v>1506.9159999999999</v>
      </c>
    </row>
    <row r="509" spans="1:3" x14ac:dyDescent="0.25">
      <c r="A509">
        <v>508</v>
      </c>
      <c r="B509" s="23">
        <v>1734.3689999999999</v>
      </c>
      <c r="C509" s="23">
        <v>1506.4</v>
      </c>
    </row>
    <row r="510" spans="1:3" x14ac:dyDescent="0.25">
      <c r="A510">
        <v>509</v>
      </c>
      <c r="B510" s="23">
        <v>1734.1260199999999</v>
      </c>
      <c r="C510" s="23">
        <v>1505.7059999999999</v>
      </c>
    </row>
    <row r="511" spans="1:3" x14ac:dyDescent="0.25">
      <c r="A511">
        <v>510</v>
      </c>
      <c r="B511" s="23">
        <v>1734.028783</v>
      </c>
      <c r="C511" s="23">
        <v>1505.6</v>
      </c>
    </row>
    <row r="512" spans="1:3" x14ac:dyDescent="0.25">
      <c r="A512">
        <v>511</v>
      </c>
      <c r="B512" s="23">
        <v>1733.951</v>
      </c>
      <c r="C512" s="23">
        <v>1504</v>
      </c>
    </row>
    <row r="513" spans="1:3" x14ac:dyDescent="0.25">
      <c r="A513">
        <v>512</v>
      </c>
      <c r="B513" s="23">
        <v>1733.837</v>
      </c>
      <c r="C513" s="23">
        <v>1504</v>
      </c>
    </row>
    <row r="514" spans="1:3" x14ac:dyDescent="0.25">
      <c r="A514">
        <v>513</v>
      </c>
      <c r="B514" s="23">
        <v>1733.6179999999999</v>
      </c>
      <c r="C514" s="23">
        <v>1503.2</v>
      </c>
    </row>
    <row r="515" spans="1:3" x14ac:dyDescent="0.25">
      <c r="A515">
        <v>514</v>
      </c>
      <c r="B515" s="23">
        <v>1732.8</v>
      </c>
      <c r="C515" s="23">
        <v>1503.171</v>
      </c>
    </row>
    <row r="516" spans="1:3" x14ac:dyDescent="0.25">
      <c r="A516">
        <v>515</v>
      </c>
      <c r="B516" s="23">
        <v>1731.7952049999999</v>
      </c>
      <c r="C516" s="23">
        <v>1503.11</v>
      </c>
    </row>
    <row r="517" spans="1:3" x14ac:dyDescent="0.25">
      <c r="A517">
        <v>516</v>
      </c>
      <c r="B517" s="23">
        <v>1731.41</v>
      </c>
      <c r="C517" s="23">
        <v>1502.4</v>
      </c>
    </row>
    <row r="518" spans="1:3" x14ac:dyDescent="0.25">
      <c r="A518">
        <v>517</v>
      </c>
      <c r="B518" s="23">
        <v>1730.896</v>
      </c>
      <c r="C518" s="23">
        <v>1501.8219999999999</v>
      </c>
    </row>
    <row r="519" spans="1:3" x14ac:dyDescent="0.25">
      <c r="A519">
        <v>518</v>
      </c>
      <c r="B519" s="23">
        <v>1730.86</v>
      </c>
      <c r="C519" s="23">
        <v>1500.8</v>
      </c>
    </row>
    <row r="520" spans="1:3" x14ac:dyDescent="0.25">
      <c r="A520">
        <v>519</v>
      </c>
      <c r="B520" s="23">
        <v>1730.8140000000001</v>
      </c>
      <c r="C520" s="23">
        <v>1500.5409999999999</v>
      </c>
    </row>
    <row r="521" spans="1:3" x14ac:dyDescent="0.25">
      <c r="A521">
        <v>520</v>
      </c>
      <c r="B521" s="23">
        <v>1729.6</v>
      </c>
      <c r="C521" s="23">
        <v>1500.268</v>
      </c>
    </row>
    <row r="522" spans="1:3" x14ac:dyDescent="0.25">
      <c r="A522">
        <v>521</v>
      </c>
      <c r="B522" s="23">
        <v>1729.5440000000001</v>
      </c>
      <c r="C522" s="23">
        <v>1500.13</v>
      </c>
    </row>
    <row r="523" spans="1:3" x14ac:dyDescent="0.25">
      <c r="A523">
        <v>522</v>
      </c>
      <c r="B523" s="23">
        <v>1729.4690000000001</v>
      </c>
      <c r="C523" s="23">
        <v>1500</v>
      </c>
    </row>
    <row r="524" spans="1:3" x14ac:dyDescent="0.25">
      <c r="A524">
        <v>523</v>
      </c>
      <c r="B524" s="23">
        <v>1728.951</v>
      </c>
      <c r="C524" s="23">
        <v>1500</v>
      </c>
    </row>
    <row r="525" spans="1:3" x14ac:dyDescent="0.25">
      <c r="A525">
        <v>524</v>
      </c>
      <c r="B525" s="23">
        <v>1728.8</v>
      </c>
      <c r="C525" s="23">
        <v>1499.46</v>
      </c>
    </row>
    <row r="526" spans="1:3" x14ac:dyDescent="0.25">
      <c r="A526">
        <v>525</v>
      </c>
      <c r="B526" s="23">
        <v>1728.1690000000001</v>
      </c>
      <c r="C526" s="23">
        <v>1499.2</v>
      </c>
    </row>
    <row r="527" spans="1:3" x14ac:dyDescent="0.25">
      <c r="A527">
        <v>526</v>
      </c>
      <c r="B527" s="23">
        <v>1727.807</v>
      </c>
      <c r="C527" s="23">
        <v>1498.7139999999999</v>
      </c>
    </row>
    <row r="528" spans="1:3" x14ac:dyDescent="0.25">
      <c r="A528">
        <v>527</v>
      </c>
      <c r="B528" s="23">
        <v>1727.6441769999999</v>
      </c>
      <c r="C528" s="23">
        <v>1498.2639999999999</v>
      </c>
    </row>
    <row r="529" spans="1:3" x14ac:dyDescent="0.25">
      <c r="A529">
        <v>528</v>
      </c>
      <c r="B529" s="23">
        <v>1727.174</v>
      </c>
      <c r="C529" s="23">
        <v>1497.6</v>
      </c>
    </row>
    <row r="530" spans="1:3" x14ac:dyDescent="0.25">
      <c r="A530">
        <v>529</v>
      </c>
      <c r="B530" s="23">
        <v>1727.078</v>
      </c>
      <c r="C530" s="23">
        <v>1497.6</v>
      </c>
    </row>
    <row r="531" spans="1:3" x14ac:dyDescent="0.25">
      <c r="A531">
        <v>530</v>
      </c>
      <c r="B531" s="23">
        <v>1726.7439999999999</v>
      </c>
      <c r="C531" s="23">
        <v>1497.6</v>
      </c>
    </row>
    <row r="532" spans="1:3" x14ac:dyDescent="0.25">
      <c r="A532">
        <v>531</v>
      </c>
      <c r="B532" s="23">
        <v>1726.4389000000001</v>
      </c>
      <c r="C532" s="23">
        <v>1497.3530000000001</v>
      </c>
    </row>
    <row r="533" spans="1:3" x14ac:dyDescent="0.25">
      <c r="A533">
        <v>532</v>
      </c>
      <c r="B533" s="23">
        <v>1726.4380000000001</v>
      </c>
      <c r="C533" s="23">
        <v>1496.8</v>
      </c>
    </row>
    <row r="534" spans="1:3" x14ac:dyDescent="0.25">
      <c r="A534">
        <v>533</v>
      </c>
      <c r="B534" s="23">
        <v>1726.3779999999999</v>
      </c>
      <c r="C534" s="23">
        <v>1496.7090000000001</v>
      </c>
    </row>
    <row r="535" spans="1:3" x14ac:dyDescent="0.25">
      <c r="A535">
        <v>534</v>
      </c>
      <c r="B535" s="23">
        <v>1726.1516369999999</v>
      </c>
      <c r="C535" s="23">
        <v>1494.962</v>
      </c>
    </row>
    <row r="536" spans="1:3" x14ac:dyDescent="0.25">
      <c r="A536">
        <v>535</v>
      </c>
      <c r="B536" s="23">
        <v>1726.047</v>
      </c>
      <c r="C536" s="23">
        <v>1494.4</v>
      </c>
    </row>
    <row r="537" spans="1:3" x14ac:dyDescent="0.25">
      <c r="A537">
        <v>536</v>
      </c>
      <c r="B537" s="23">
        <v>1725.9169999999999</v>
      </c>
      <c r="C537" s="23">
        <v>1494.4</v>
      </c>
    </row>
    <row r="538" spans="1:3" x14ac:dyDescent="0.25">
      <c r="A538">
        <v>537</v>
      </c>
      <c r="B538" s="23">
        <v>1725.6</v>
      </c>
      <c r="C538" s="23">
        <v>1494.4</v>
      </c>
    </row>
    <row r="539" spans="1:3" x14ac:dyDescent="0.25">
      <c r="A539">
        <v>538</v>
      </c>
      <c r="B539" s="23">
        <v>1725.6</v>
      </c>
      <c r="C539" s="23">
        <v>1494.165</v>
      </c>
    </row>
    <row r="540" spans="1:3" x14ac:dyDescent="0.25">
      <c r="A540">
        <v>539</v>
      </c>
      <c r="B540" s="23">
        <v>1725.6</v>
      </c>
      <c r="C540" s="23">
        <v>1493.6</v>
      </c>
    </row>
    <row r="541" spans="1:3" x14ac:dyDescent="0.25">
      <c r="A541">
        <v>540</v>
      </c>
      <c r="B541" s="23">
        <v>1724.675307</v>
      </c>
      <c r="C541" s="23">
        <v>1493.6</v>
      </c>
    </row>
    <row r="542" spans="1:3" x14ac:dyDescent="0.25">
      <c r="A542">
        <v>541</v>
      </c>
      <c r="B542" s="23">
        <v>1724.16</v>
      </c>
      <c r="C542" s="23">
        <v>1493.259</v>
      </c>
    </row>
    <row r="543" spans="1:3" x14ac:dyDescent="0.25">
      <c r="A543">
        <v>542</v>
      </c>
      <c r="B543" s="23">
        <v>1724.0060000000001</v>
      </c>
      <c r="C543" s="23">
        <v>1492.8</v>
      </c>
    </row>
    <row r="544" spans="1:3" x14ac:dyDescent="0.25">
      <c r="A544">
        <v>543</v>
      </c>
      <c r="B544" s="23">
        <v>1724</v>
      </c>
      <c r="C544" s="23">
        <v>1492</v>
      </c>
    </row>
    <row r="545" spans="1:3" x14ac:dyDescent="0.25">
      <c r="A545">
        <v>544</v>
      </c>
      <c r="B545" s="23">
        <v>1724</v>
      </c>
      <c r="C545" s="23">
        <v>1491.7750000000001</v>
      </c>
    </row>
    <row r="546" spans="1:3" x14ac:dyDescent="0.25">
      <c r="A546">
        <v>545</v>
      </c>
      <c r="B546" s="23">
        <v>1723.98541</v>
      </c>
      <c r="C546" s="23">
        <v>1491.722</v>
      </c>
    </row>
    <row r="547" spans="1:3" x14ac:dyDescent="0.25">
      <c r="A547">
        <v>546</v>
      </c>
      <c r="B547" s="23">
        <v>1723.893</v>
      </c>
      <c r="C547" s="23">
        <v>1491.721</v>
      </c>
    </row>
    <row r="548" spans="1:3" x14ac:dyDescent="0.25">
      <c r="A548">
        <v>547</v>
      </c>
      <c r="B548" s="23">
        <v>1723.7860000000001</v>
      </c>
      <c r="C548" s="23">
        <v>1491.2</v>
      </c>
    </row>
    <row r="549" spans="1:3" x14ac:dyDescent="0.25">
      <c r="A549">
        <v>548</v>
      </c>
      <c r="B549" s="23">
        <v>1723.1675809999999</v>
      </c>
      <c r="C549" s="23">
        <v>1490.4</v>
      </c>
    </row>
    <row r="550" spans="1:3" x14ac:dyDescent="0.25">
      <c r="A550">
        <v>549</v>
      </c>
      <c r="B550" s="23">
        <v>1722.6869999999999</v>
      </c>
      <c r="C550" s="23">
        <v>1490.4</v>
      </c>
    </row>
    <row r="551" spans="1:3" x14ac:dyDescent="0.25">
      <c r="A551">
        <v>550</v>
      </c>
      <c r="B551" s="23">
        <v>1722.5160000000001</v>
      </c>
      <c r="C551" s="23">
        <v>1490.1669999999999</v>
      </c>
    </row>
    <row r="552" spans="1:3" x14ac:dyDescent="0.25">
      <c r="A552">
        <v>551</v>
      </c>
      <c r="B552" s="23">
        <v>1722.07546</v>
      </c>
      <c r="C552" s="23">
        <v>1489.6</v>
      </c>
    </row>
    <row r="553" spans="1:3" x14ac:dyDescent="0.25">
      <c r="A553">
        <v>552</v>
      </c>
      <c r="B553" s="23">
        <v>1721.903</v>
      </c>
      <c r="C553" s="23">
        <v>1488.8</v>
      </c>
    </row>
    <row r="554" spans="1:3" x14ac:dyDescent="0.25">
      <c r="A554">
        <v>553</v>
      </c>
      <c r="B554" s="23">
        <v>1721.6</v>
      </c>
      <c r="C554" s="23">
        <v>1488.8</v>
      </c>
    </row>
    <row r="555" spans="1:3" x14ac:dyDescent="0.25">
      <c r="A555">
        <v>554</v>
      </c>
      <c r="B555" s="23">
        <v>1718.887907</v>
      </c>
      <c r="C555" s="23">
        <v>1488.8</v>
      </c>
    </row>
    <row r="556" spans="1:3" x14ac:dyDescent="0.25">
      <c r="A556">
        <v>555</v>
      </c>
      <c r="B556" s="23">
        <v>1718.7380000000001</v>
      </c>
      <c r="C556" s="23">
        <v>1488.8</v>
      </c>
    </row>
    <row r="557" spans="1:3" x14ac:dyDescent="0.25">
      <c r="A557">
        <v>556</v>
      </c>
      <c r="B557" s="23">
        <v>1718.7090000000001</v>
      </c>
      <c r="C557" s="23">
        <v>1488.8</v>
      </c>
    </row>
    <row r="558" spans="1:3" x14ac:dyDescent="0.25">
      <c r="A558">
        <v>557</v>
      </c>
      <c r="B558" s="23">
        <v>1718.665</v>
      </c>
      <c r="C558" s="23">
        <v>1488.614</v>
      </c>
    </row>
    <row r="559" spans="1:3" x14ac:dyDescent="0.25">
      <c r="A559">
        <v>558</v>
      </c>
      <c r="B559" s="23">
        <v>1718.45</v>
      </c>
      <c r="C559" s="23">
        <v>1488.587</v>
      </c>
    </row>
    <row r="560" spans="1:3" x14ac:dyDescent="0.25">
      <c r="A560">
        <v>559</v>
      </c>
      <c r="B560" s="23">
        <v>1718.4</v>
      </c>
      <c r="C560" s="23">
        <v>1488.424</v>
      </c>
    </row>
    <row r="561" spans="1:3" x14ac:dyDescent="0.25">
      <c r="A561">
        <v>560</v>
      </c>
      <c r="B561" s="23">
        <v>1718.4</v>
      </c>
      <c r="C561" s="23">
        <v>1488</v>
      </c>
    </row>
    <row r="562" spans="1:3" x14ac:dyDescent="0.25">
      <c r="A562">
        <v>561</v>
      </c>
      <c r="B562" s="23">
        <v>1718.3810000000001</v>
      </c>
      <c r="C562" s="23">
        <v>1488</v>
      </c>
    </row>
    <row r="563" spans="1:3" x14ac:dyDescent="0.25">
      <c r="A563">
        <v>562</v>
      </c>
      <c r="B563" s="23">
        <v>1718.3750970000001</v>
      </c>
      <c r="C563" s="23">
        <v>1487.837</v>
      </c>
    </row>
    <row r="564" spans="1:3" x14ac:dyDescent="0.25">
      <c r="A564">
        <v>563</v>
      </c>
      <c r="B564" s="23">
        <v>1718.294337</v>
      </c>
      <c r="C564" s="23">
        <v>1486.3520000000001</v>
      </c>
    </row>
    <row r="565" spans="1:3" x14ac:dyDescent="0.25">
      <c r="A565">
        <v>564</v>
      </c>
      <c r="B565" s="23">
        <v>1717.6</v>
      </c>
      <c r="C565" s="23">
        <v>1485.81</v>
      </c>
    </row>
    <row r="566" spans="1:3" x14ac:dyDescent="0.25">
      <c r="A566">
        <v>565</v>
      </c>
      <c r="B566" s="23">
        <v>1717.5709999999999</v>
      </c>
      <c r="C566" s="23">
        <v>1485.6</v>
      </c>
    </row>
    <row r="567" spans="1:3" x14ac:dyDescent="0.25">
      <c r="A567">
        <v>566</v>
      </c>
      <c r="B567" s="23">
        <v>1717.5360000000001</v>
      </c>
      <c r="C567" s="23">
        <v>1485.5060000000001</v>
      </c>
    </row>
    <row r="568" spans="1:3" x14ac:dyDescent="0.25">
      <c r="A568">
        <v>567</v>
      </c>
      <c r="B568" s="23">
        <v>1717.4269999999999</v>
      </c>
      <c r="C568" s="23">
        <v>1485.5060000000001</v>
      </c>
    </row>
    <row r="569" spans="1:3" x14ac:dyDescent="0.25">
      <c r="A569">
        <v>568</v>
      </c>
      <c r="B569" s="23">
        <v>1717.300107</v>
      </c>
      <c r="C569" s="23">
        <v>1485.0719999999999</v>
      </c>
    </row>
    <row r="570" spans="1:3" x14ac:dyDescent="0.25">
      <c r="A570">
        <v>569</v>
      </c>
      <c r="B570" s="23">
        <v>1717.2439999999999</v>
      </c>
      <c r="C570" s="23">
        <v>1484</v>
      </c>
    </row>
    <row r="571" spans="1:3" x14ac:dyDescent="0.25">
      <c r="A571">
        <v>570</v>
      </c>
      <c r="B571" s="23">
        <v>1717.0809630000001</v>
      </c>
      <c r="C571" s="23">
        <v>1483.2</v>
      </c>
    </row>
    <row r="572" spans="1:3" x14ac:dyDescent="0.25">
      <c r="A572">
        <v>571</v>
      </c>
      <c r="B572" s="23">
        <v>1716.665</v>
      </c>
      <c r="C572" s="23">
        <v>1483.009</v>
      </c>
    </row>
    <row r="573" spans="1:3" x14ac:dyDescent="0.25">
      <c r="A573">
        <v>572</v>
      </c>
      <c r="B573" s="23">
        <v>1716.587</v>
      </c>
      <c r="C573" s="23">
        <v>1482.886</v>
      </c>
    </row>
    <row r="574" spans="1:3" x14ac:dyDescent="0.25">
      <c r="A574">
        <v>573</v>
      </c>
      <c r="B574" s="23">
        <v>1715.351171</v>
      </c>
      <c r="C574" s="23">
        <v>1482.63</v>
      </c>
    </row>
    <row r="575" spans="1:3" x14ac:dyDescent="0.25">
      <c r="A575">
        <v>574</v>
      </c>
      <c r="B575" s="23">
        <v>1715.2660000000001</v>
      </c>
      <c r="C575" s="23">
        <v>1482.4</v>
      </c>
    </row>
    <row r="576" spans="1:3" x14ac:dyDescent="0.25">
      <c r="A576">
        <v>575</v>
      </c>
      <c r="B576" s="23">
        <v>1715.058</v>
      </c>
      <c r="C576" s="23">
        <v>1482.212</v>
      </c>
    </row>
    <row r="577" spans="1:3" x14ac:dyDescent="0.25">
      <c r="A577">
        <v>576</v>
      </c>
      <c r="B577" s="23">
        <v>1715.0550000000001</v>
      </c>
      <c r="C577" s="23">
        <v>1481.15</v>
      </c>
    </row>
    <row r="578" spans="1:3" x14ac:dyDescent="0.25">
      <c r="A578">
        <v>577</v>
      </c>
      <c r="B578" s="23">
        <v>1715.0240229999999</v>
      </c>
      <c r="C578" s="23">
        <v>1480.8</v>
      </c>
    </row>
    <row r="579" spans="1:3" x14ac:dyDescent="0.25">
      <c r="A579">
        <v>578</v>
      </c>
      <c r="B579" s="23">
        <v>1714.9760000000001</v>
      </c>
      <c r="C579" s="23">
        <v>1480.4760000000001</v>
      </c>
    </row>
    <row r="580" spans="1:3" x14ac:dyDescent="0.25">
      <c r="A580">
        <v>579</v>
      </c>
      <c r="B580" s="23">
        <v>1714.76</v>
      </c>
      <c r="C580" s="23">
        <v>1480.067</v>
      </c>
    </row>
    <row r="581" spans="1:3" x14ac:dyDescent="0.25">
      <c r="A581">
        <v>580</v>
      </c>
      <c r="B581" s="23">
        <v>1714.702565</v>
      </c>
      <c r="C581" s="23">
        <v>1479.5930000000001</v>
      </c>
    </row>
    <row r="582" spans="1:3" x14ac:dyDescent="0.25">
      <c r="A582">
        <v>581</v>
      </c>
      <c r="B582" s="23">
        <v>1714.171452</v>
      </c>
      <c r="C582" s="23">
        <v>1479.454</v>
      </c>
    </row>
    <row r="583" spans="1:3" x14ac:dyDescent="0.25">
      <c r="A583">
        <v>582</v>
      </c>
      <c r="B583" s="23">
        <v>1714.12</v>
      </c>
      <c r="C583" s="23">
        <v>1479.252</v>
      </c>
    </row>
    <row r="584" spans="1:3" x14ac:dyDescent="0.25">
      <c r="A584">
        <v>583</v>
      </c>
      <c r="B584" s="23">
        <v>1713.845</v>
      </c>
      <c r="C584" s="23">
        <v>1479.2</v>
      </c>
    </row>
    <row r="585" spans="1:3" x14ac:dyDescent="0.25">
      <c r="A585">
        <v>584</v>
      </c>
      <c r="B585" s="23">
        <v>1713.4880000000001</v>
      </c>
      <c r="C585" s="23">
        <v>1479.2</v>
      </c>
    </row>
    <row r="586" spans="1:3" x14ac:dyDescent="0.25">
      <c r="A586">
        <v>585</v>
      </c>
      <c r="B586" s="23">
        <v>1713.281039</v>
      </c>
      <c r="C586" s="23">
        <v>1478.4</v>
      </c>
    </row>
    <row r="587" spans="1:3" x14ac:dyDescent="0.25">
      <c r="A587">
        <v>586</v>
      </c>
      <c r="B587" s="23">
        <v>1712.8476250000001</v>
      </c>
      <c r="C587" s="23">
        <v>1478.2280000000001</v>
      </c>
    </row>
    <row r="588" spans="1:3" x14ac:dyDescent="0.25">
      <c r="A588">
        <v>587</v>
      </c>
      <c r="B588" s="23">
        <v>1712.773985</v>
      </c>
      <c r="C588" s="23">
        <v>1477.6</v>
      </c>
    </row>
    <row r="589" spans="1:3" x14ac:dyDescent="0.25">
      <c r="A589">
        <v>588</v>
      </c>
      <c r="B589" s="23">
        <v>1712.2377289999999</v>
      </c>
      <c r="C589" s="23">
        <v>1477.6</v>
      </c>
    </row>
    <row r="590" spans="1:3" x14ac:dyDescent="0.25">
      <c r="A590">
        <v>589</v>
      </c>
      <c r="B590" s="23">
        <v>1711.846</v>
      </c>
      <c r="C590" s="23">
        <v>1476.9590000000001</v>
      </c>
    </row>
    <row r="591" spans="1:3" x14ac:dyDescent="0.25">
      <c r="A591">
        <v>590</v>
      </c>
      <c r="B591" s="23">
        <v>1711.4780000000001</v>
      </c>
      <c r="C591" s="23">
        <v>1476.634</v>
      </c>
    </row>
    <row r="592" spans="1:3" x14ac:dyDescent="0.25">
      <c r="A592">
        <v>591</v>
      </c>
      <c r="B592" s="23">
        <v>1711.452</v>
      </c>
      <c r="C592" s="23">
        <v>1476.183</v>
      </c>
    </row>
    <row r="593" spans="1:3" x14ac:dyDescent="0.25">
      <c r="A593">
        <v>592</v>
      </c>
      <c r="B593" s="23">
        <v>1711.2</v>
      </c>
      <c r="C593" s="23">
        <v>1476</v>
      </c>
    </row>
    <row r="594" spans="1:3" x14ac:dyDescent="0.25">
      <c r="A594">
        <v>593</v>
      </c>
      <c r="B594" s="23">
        <v>1711.2</v>
      </c>
      <c r="C594" s="23">
        <v>1476</v>
      </c>
    </row>
    <row r="595" spans="1:3" x14ac:dyDescent="0.25">
      <c r="A595">
        <v>594</v>
      </c>
      <c r="B595" s="23">
        <v>1710.5644090000001</v>
      </c>
      <c r="C595" s="23">
        <v>1475.4059999999999</v>
      </c>
    </row>
    <row r="596" spans="1:3" x14ac:dyDescent="0.25">
      <c r="A596">
        <v>595</v>
      </c>
      <c r="B596" s="23">
        <v>1710.5126849999999</v>
      </c>
      <c r="C596" s="23">
        <v>1475.2</v>
      </c>
    </row>
    <row r="597" spans="1:3" x14ac:dyDescent="0.25">
      <c r="A597">
        <v>596</v>
      </c>
      <c r="B597" s="23">
        <v>1710.0309999999999</v>
      </c>
      <c r="C597" s="23">
        <v>1475.2</v>
      </c>
    </row>
    <row r="598" spans="1:3" x14ac:dyDescent="0.25">
      <c r="A598">
        <v>597</v>
      </c>
      <c r="B598" s="23">
        <v>1709.9649999999999</v>
      </c>
      <c r="C598" s="23">
        <v>1473.941</v>
      </c>
    </row>
    <row r="599" spans="1:3" x14ac:dyDescent="0.25">
      <c r="A599">
        <v>598</v>
      </c>
      <c r="B599" s="23">
        <v>1709.2639979999999</v>
      </c>
      <c r="C599" s="23">
        <v>1472.8</v>
      </c>
    </row>
    <row r="600" spans="1:3" x14ac:dyDescent="0.25">
      <c r="A600">
        <v>599</v>
      </c>
      <c r="B600" s="23">
        <v>1708.913828</v>
      </c>
      <c r="C600" s="23">
        <v>1472.8</v>
      </c>
    </row>
    <row r="601" spans="1:3" x14ac:dyDescent="0.25">
      <c r="A601">
        <v>600</v>
      </c>
      <c r="B601" s="23">
        <v>1708.3705190000001</v>
      </c>
      <c r="C601" s="23">
        <v>1472.5830000000001</v>
      </c>
    </row>
    <row r="602" spans="1:3" x14ac:dyDescent="0.25">
      <c r="A602">
        <v>601</v>
      </c>
      <c r="B602" s="23">
        <v>1708.11</v>
      </c>
      <c r="C602" s="23">
        <v>1472.049</v>
      </c>
    </row>
    <row r="603" spans="1:3" x14ac:dyDescent="0.25">
      <c r="A603">
        <v>602</v>
      </c>
      <c r="B603" s="23">
        <v>1708</v>
      </c>
      <c r="C603" s="23">
        <v>1472</v>
      </c>
    </row>
    <row r="604" spans="1:3" x14ac:dyDescent="0.25">
      <c r="A604">
        <v>603</v>
      </c>
      <c r="B604" s="23">
        <v>1707.886</v>
      </c>
      <c r="C604" s="23">
        <v>1472</v>
      </c>
    </row>
    <row r="605" spans="1:3" x14ac:dyDescent="0.25">
      <c r="A605">
        <v>604</v>
      </c>
      <c r="B605" s="23">
        <v>1707.2</v>
      </c>
      <c r="C605" s="23">
        <v>1471.8530000000001</v>
      </c>
    </row>
    <row r="606" spans="1:3" x14ac:dyDescent="0.25">
      <c r="A606">
        <v>605</v>
      </c>
      <c r="B606" s="23">
        <v>1706.8230189999999</v>
      </c>
      <c r="C606" s="23">
        <v>1471.2</v>
      </c>
    </row>
    <row r="607" spans="1:3" x14ac:dyDescent="0.25">
      <c r="A607">
        <v>606</v>
      </c>
      <c r="B607" s="23">
        <v>1706.4</v>
      </c>
      <c r="C607" s="23">
        <v>1471.127</v>
      </c>
    </row>
    <row r="608" spans="1:3" x14ac:dyDescent="0.25">
      <c r="A608">
        <v>607</v>
      </c>
      <c r="B608" s="23">
        <v>1706.4</v>
      </c>
      <c r="C608" s="23">
        <v>1471.0440000000001</v>
      </c>
    </row>
    <row r="609" spans="1:3" x14ac:dyDescent="0.25">
      <c r="A609">
        <v>608</v>
      </c>
      <c r="B609" s="23">
        <v>1706.4</v>
      </c>
      <c r="C609" s="23">
        <v>1470.4</v>
      </c>
    </row>
    <row r="610" spans="1:3" x14ac:dyDescent="0.25">
      <c r="A610">
        <v>609</v>
      </c>
      <c r="B610" s="23">
        <v>1705.6</v>
      </c>
      <c r="C610" s="23">
        <v>1470.4</v>
      </c>
    </row>
    <row r="611" spans="1:3" x14ac:dyDescent="0.25">
      <c r="A611">
        <v>610</v>
      </c>
      <c r="B611" s="23">
        <v>1705.4860000000001</v>
      </c>
      <c r="C611" s="23">
        <v>1470.3040000000001</v>
      </c>
    </row>
    <row r="612" spans="1:3" x14ac:dyDescent="0.25">
      <c r="A612">
        <v>611</v>
      </c>
      <c r="B612" s="23">
        <v>1704.9690000000001</v>
      </c>
      <c r="C612" s="23">
        <v>1469.7750000000001</v>
      </c>
    </row>
    <row r="613" spans="1:3" x14ac:dyDescent="0.25">
      <c r="A613">
        <v>612</v>
      </c>
      <c r="B613" s="23">
        <v>1704.867</v>
      </c>
      <c r="C613" s="23">
        <v>1469.6</v>
      </c>
    </row>
    <row r="614" spans="1:3" x14ac:dyDescent="0.25">
      <c r="A614">
        <v>613</v>
      </c>
      <c r="B614" s="23">
        <v>1704.8</v>
      </c>
      <c r="C614" s="23">
        <v>1469.6</v>
      </c>
    </row>
    <row r="615" spans="1:3" x14ac:dyDescent="0.25">
      <c r="A615">
        <v>614</v>
      </c>
      <c r="B615" s="23">
        <v>1704.543919</v>
      </c>
      <c r="C615" s="23">
        <v>1469.462</v>
      </c>
    </row>
    <row r="616" spans="1:3" x14ac:dyDescent="0.25">
      <c r="A616">
        <v>615</v>
      </c>
      <c r="B616" s="23">
        <v>1704.422</v>
      </c>
      <c r="C616" s="23">
        <v>1469.462</v>
      </c>
    </row>
    <row r="617" spans="1:3" x14ac:dyDescent="0.25">
      <c r="A617">
        <v>616</v>
      </c>
      <c r="B617" s="23">
        <v>1704.336</v>
      </c>
      <c r="C617" s="23">
        <v>1469.19</v>
      </c>
    </row>
    <row r="618" spans="1:3" x14ac:dyDescent="0.25">
      <c r="A618">
        <v>617</v>
      </c>
      <c r="B618" s="23">
        <v>1704</v>
      </c>
      <c r="C618" s="23">
        <v>1468.8</v>
      </c>
    </row>
    <row r="619" spans="1:3" x14ac:dyDescent="0.25">
      <c r="A619">
        <v>618</v>
      </c>
      <c r="B619" s="23">
        <v>1703.789</v>
      </c>
      <c r="C619" s="23">
        <v>1468.0050000000001</v>
      </c>
    </row>
    <row r="620" spans="1:3" x14ac:dyDescent="0.25">
      <c r="A620">
        <v>619</v>
      </c>
      <c r="B620" s="23">
        <v>1703.539663</v>
      </c>
      <c r="C620" s="23">
        <v>1468</v>
      </c>
    </row>
    <row r="621" spans="1:3" x14ac:dyDescent="0.25">
      <c r="A621">
        <v>620</v>
      </c>
      <c r="B621" s="23">
        <v>1703.1590000000001</v>
      </c>
      <c r="C621" s="23">
        <v>1467.75</v>
      </c>
    </row>
    <row r="622" spans="1:3" x14ac:dyDescent="0.25">
      <c r="A622">
        <v>621</v>
      </c>
      <c r="B622" s="23">
        <v>1702.904</v>
      </c>
      <c r="C622" s="23">
        <v>1467.2</v>
      </c>
    </row>
    <row r="623" spans="1:3" x14ac:dyDescent="0.25">
      <c r="A623">
        <v>622</v>
      </c>
      <c r="B623" s="23">
        <v>1702.8409999999999</v>
      </c>
      <c r="C623" s="23">
        <v>1467.0709999999999</v>
      </c>
    </row>
    <row r="624" spans="1:3" x14ac:dyDescent="0.25">
      <c r="A624">
        <v>623</v>
      </c>
      <c r="B624" s="23">
        <v>1702.660151</v>
      </c>
      <c r="C624" s="23">
        <v>1466.4</v>
      </c>
    </row>
    <row r="625" spans="1:3" x14ac:dyDescent="0.25">
      <c r="A625">
        <v>624</v>
      </c>
      <c r="B625" s="23">
        <v>1702.4</v>
      </c>
      <c r="C625" s="23">
        <v>1466.4</v>
      </c>
    </row>
    <row r="626" spans="1:3" x14ac:dyDescent="0.25">
      <c r="A626">
        <v>625</v>
      </c>
      <c r="B626" s="23">
        <v>1702.4</v>
      </c>
      <c r="C626" s="23">
        <v>1466.4</v>
      </c>
    </row>
    <row r="627" spans="1:3" x14ac:dyDescent="0.25">
      <c r="A627">
        <v>626</v>
      </c>
      <c r="B627" s="23">
        <v>1701.819154</v>
      </c>
      <c r="C627" s="23">
        <v>1466.4</v>
      </c>
    </row>
    <row r="628" spans="1:3" x14ac:dyDescent="0.25">
      <c r="A628">
        <v>627</v>
      </c>
      <c r="B628" s="23">
        <v>1701.6</v>
      </c>
      <c r="C628" s="23">
        <v>1466.3689999999999</v>
      </c>
    </row>
    <row r="629" spans="1:3" x14ac:dyDescent="0.25">
      <c r="A629">
        <v>628</v>
      </c>
      <c r="B629" s="23">
        <v>1701.586</v>
      </c>
      <c r="C629" s="23">
        <v>1466.0820000000001</v>
      </c>
    </row>
    <row r="630" spans="1:3" x14ac:dyDescent="0.25">
      <c r="A630">
        <v>629</v>
      </c>
      <c r="B630" s="23">
        <v>1701.5656260000001</v>
      </c>
      <c r="C630" s="23">
        <v>1465.837</v>
      </c>
    </row>
    <row r="631" spans="1:3" x14ac:dyDescent="0.25">
      <c r="A631">
        <v>630</v>
      </c>
      <c r="B631" s="23">
        <v>1701.356366</v>
      </c>
      <c r="C631" s="23">
        <v>1465.6</v>
      </c>
    </row>
    <row r="632" spans="1:3" x14ac:dyDescent="0.25">
      <c r="A632">
        <v>631</v>
      </c>
      <c r="B632" s="23">
        <v>1701.086174</v>
      </c>
      <c r="C632" s="23">
        <v>1465.6</v>
      </c>
    </row>
    <row r="633" spans="1:3" x14ac:dyDescent="0.25">
      <c r="A633">
        <v>632</v>
      </c>
      <c r="B633" s="23">
        <v>1700.8</v>
      </c>
      <c r="C633" s="23">
        <v>1465.4770000000001</v>
      </c>
    </row>
    <row r="634" spans="1:3" x14ac:dyDescent="0.25">
      <c r="A634">
        <v>633</v>
      </c>
      <c r="B634" s="23">
        <v>1700.659408</v>
      </c>
      <c r="C634" s="23">
        <v>1465.4480000000001</v>
      </c>
    </row>
    <row r="635" spans="1:3" x14ac:dyDescent="0.25">
      <c r="A635">
        <v>634</v>
      </c>
      <c r="B635" s="23">
        <v>1700.611832</v>
      </c>
      <c r="C635" s="23">
        <v>1464.8</v>
      </c>
    </row>
    <row r="636" spans="1:3" x14ac:dyDescent="0.25">
      <c r="A636">
        <v>635</v>
      </c>
      <c r="B636" s="23">
        <v>1700.5222550000001</v>
      </c>
      <c r="C636" s="23">
        <v>1464.7329999999999</v>
      </c>
    </row>
    <row r="637" spans="1:3" x14ac:dyDescent="0.25">
      <c r="A637">
        <v>636</v>
      </c>
      <c r="B637" s="23">
        <v>1700.4939999999999</v>
      </c>
      <c r="C637" s="23">
        <v>1464.528</v>
      </c>
    </row>
    <row r="638" spans="1:3" x14ac:dyDescent="0.25">
      <c r="A638">
        <v>637</v>
      </c>
      <c r="B638" s="23">
        <v>1700.252</v>
      </c>
      <c r="C638" s="23">
        <v>1464</v>
      </c>
    </row>
    <row r="639" spans="1:3" x14ac:dyDescent="0.25">
      <c r="A639">
        <v>638</v>
      </c>
      <c r="B639" s="23">
        <v>1700.0260000000001</v>
      </c>
      <c r="C639" s="23">
        <v>1463.884</v>
      </c>
    </row>
    <row r="640" spans="1:3" x14ac:dyDescent="0.25">
      <c r="A640">
        <v>639</v>
      </c>
      <c r="B640" s="23">
        <v>1700</v>
      </c>
      <c r="C640" s="23">
        <v>1463.752</v>
      </c>
    </row>
    <row r="641" spans="1:3" x14ac:dyDescent="0.25">
      <c r="A641">
        <v>640</v>
      </c>
      <c r="B641" s="23">
        <v>1699.7625889999999</v>
      </c>
      <c r="C641" s="23">
        <v>1463.2</v>
      </c>
    </row>
    <row r="642" spans="1:3" x14ac:dyDescent="0.25">
      <c r="A642">
        <v>641</v>
      </c>
      <c r="B642" s="23">
        <v>1699.6759999999999</v>
      </c>
      <c r="C642" s="23">
        <v>1463.2</v>
      </c>
    </row>
    <row r="643" spans="1:3" x14ac:dyDescent="0.25">
      <c r="A643">
        <v>642</v>
      </c>
      <c r="B643" s="23">
        <v>1699.22</v>
      </c>
      <c r="C643" s="23">
        <v>1463.2</v>
      </c>
    </row>
    <row r="644" spans="1:3" x14ac:dyDescent="0.25">
      <c r="A644">
        <v>643</v>
      </c>
      <c r="B644" s="23">
        <v>1698.6326839999999</v>
      </c>
      <c r="C644" s="23">
        <v>1462.4</v>
      </c>
    </row>
    <row r="645" spans="1:3" x14ac:dyDescent="0.25">
      <c r="A645">
        <v>644</v>
      </c>
      <c r="B645" s="23">
        <v>1698.4</v>
      </c>
      <c r="C645" s="23">
        <v>1461.6</v>
      </c>
    </row>
    <row r="646" spans="1:3" x14ac:dyDescent="0.25">
      <c r="A646">
        <v>645</v>
      </c>
      <c r="B646" s="23">
        <v>1698.4</v>
      </c>
      <c r="C646" s="23">
        <v>1461.462</v>
      </c>
    </row>
    <row r="647" spans="1:3" x14ac:dyDescent="0.25">
      <c r="A647">
        <v>646</v>
      </c>
      <c r="B647" s="23">
        <v>1698.3868629999999</v>
      </c>
      <c r="C647" s="23">
        <v>1460.8</v>
      </c>
    </row>
    <row r="648" spans="1:3" x14ac:dyDescent="0.25">
      <c r="A648">
        <v>647</v>
      </c>
      <c r="B648" s="23">
        <v>1698.0360000000001</v>
      </c>
      <c r="C648" s="23">
        <v>1460.6959999999999</v>
      </c>
    </row>
    <row r="649" spans="1:3" x14ac:dyDescent="0.25">
      <c r="A649">
        <v>648</v>
      </c>
      <c r="B649" s="23">
        <v>1697.609925</v>
      </c>
      <c r="C649" s="23">
        <v>1460.644</v>
      </c>
    </row>
    <row r="650" spans="1:3" x14ac:dyDescent="0.25">
      <c r="A650">
        <v>649</v>
      </c>
      <c r="B650" s="23">
        <v>1697.557</v>
      </c>
      <c r="C650" s="23">
        <v>1460.106</v>
      </c>
    </row>
    <row r="651" spans="1:3" x14ac:dyDescent="0.25">
      <c r="A651">
        <v>650</v>
      </c>
      <c r="B651" s="23">
        <v>1697.5459920000001</v>
      </c>
      <c r="C651" s="23">
        <v>1459.826</v>
      </c>
    </row>
    <row r="652" spans="1:3" x14ac:dyDescent="0.25">
      <c r="A652">
        <v>651</v>
      </c>
      <c r="B652" s="23">
        <v>1697.236024</v>
      </c>
      <c r="C652" s="23">
        <v>1459.415</v>
      </c>
    </row>
    <row r="653" spans="1:3" x14ac:dyDescent="0.25">
      <c r="A653">
        <v>652</v>
      </c>
      <c r="B653" s="23">
        <v>1696.7750000000001</v>
      </c>
      <c r="C653" s="23">
        <v>1459.2</v>
      </c>
    </row>
    <row r="654" spans="1:3" x14ac:dyDescent="0.25">
      <c r="A654">
        <v>653</v>
      </c>
      <c r="B654" s="23">
        <v>1696.1791940000001</v>
      </c>
      <c r="C654" s="23">
        <v>1459.2</v>
      </c>
    </row>
    <row r="655" spans="1:3" x14ac:dyDescent="0.25">
      <c r="A655">
        <v>654</v>
      </c>
      <c r="B655" s="23">
        <v>1696</v>
      </c>
      <c r="C655" s="23">
        <v>1459.2</v>
      </c>
    </row>
    <row r="656" spans="1:3" x14ac:dyDescent="0.25">
      <c r="A656">
        <v>655</v>
      </c>
      <c r="B656" s="23">
        <v>1696</v>
      </c>
      <c r="C656" s="23">
        <v>1459.2</v>
      </c>
    </row>
    <row r="657" spans="1:3" x14ac:dyDescent="0.25">
      <c r="A657">
        <v>656</v>
      </c>
      <c r="B657" s="23">
        <v>1695.2791110000001</v>
      </c>
      <c r="C657" s="23">
        <v>1459.2</v>
      </c>
    </row>
    <row r="658" spans="1:3" x14ac:dyDescent="0.25">
      <c r="A658">
        <v>657</v>
      </c>
      <c r="B658" s="23">
        <v>1695.2</v>
      </c>
      <c r="C658" s="23">
        <v>1459.1020000000001</v>
      </c>
    </row>
    <row r="659" spans="1:3" x14ac:dyDescent="0.25">
      <c r="A659">
        <v>658</v>
      </c>
      <c r="B659" s="23">
        <v>1695.2</v>
      </c>
      <c r="C659" s="23">
        <v>1458.4</v>
      </c>
    </row>
    <row r="660" spans="1:3" x14ac:dyDescent="0.25">
      <c r="A660">
        <v>659</v>
      </c>
      <c r="B660" s="23">
        <v>1694.4469999999999</v>
      </c>
      <c r="C660" s="23">
        <v>1458.4</v>
      </c>
    </row>
    <row r="661" spans="1:3" x14ac:dyDescent="0.25">
      <c r="A661">
        <v>660</v>
      </c>
      <c r="B661" s="23">
        <v>1693.9690000000001</v>
      </c>
      <c r="C661" s="23">
        <v>1458.3050000000001</v>
      </c>
    </row>
    <row r="662" spans="1:3" x14ac:dyDescent="0.25">
      <c r="A662">
        <v>661</v>
      </c>
      <c r="B662" s="23">
        <v>1693.9449999999999</v>
      </c>
      <c r="C662" s="23">
        <v>1457.6</v>
      </c>
    </row>
    <row r="663" spans="1:3" x14ac:dyDescent="0.25">
      <c r="A663">
        <v>662</v>
      </c>
      <c r="B663" s="23">
        <v>1693.6</v>
      </c>
      <c r="C663" s="23">
        <v>1457.6</v>
      </c>
    </row>
    <row r="664" spans="1:3" x14ac:dyDescent="0.25">
      <c r="A664">
        <v>663</v>
      </c>
      <c r="B664" s="23">
        <v>1693.5468040000001</v>
      </c>
      <c r="C664" s="23">
        <v>1457.0650000000001</v>
      </c>
    </row>
    <row r="665" spans="1:3" x14ac:dyDescent="0.25">
      <c r="A665">
        <v>664</v>
      </c>
      <c r="B665" s="23">
        <v>1693.54</v>
      </c>
      <c r="C665" s="23">
        <v>1456.8</v>
      </c>
    </row>
    <row r="666" spans="1:3" x14ac:dyDescent="0.25">
      <c r="A666">
        <v>665</v>
      </c>
      <c r="B666" s="23">
        <v>1693.1980000000001</v>
      </c>
      <c r="C666" s="23">
        <v>1456.7170000000001</v>
      </c>
    </row>
    <row r="667" spans="1:3" x14ac:dyDescent="0.25">
      <c r="A667">
        <v>666</v>
      </c>
      <c r="B667" s="23">
        <v>1692.6489999999999</v>
      </c>
      <c r="C667" s="23">
        <v>1456</v>
      </c>
    </row>
    <row r="668" spans="1:3" x14ac:dyDescent="0.25">
      <c r="A668">
        <v>667</v>
      </c>
      <c r="B668" s="23">
        <v>1692.1713580000001</v>
      </c>
      <c r="C668" s="23">
        <v>1455.962</v>
      </c>
    </row>
    <row r="669" spans="1:3" x14ac:dyDescent="0.25">
      <c r="A669">
        <v>668</v>
      </c>
      <c r="B669" s="23">
        <v>1692</v>
      </c>
      <c r="C669" s="23">
        <v>1455.5940000000001</v>
      </c>
    </row>
    <row r="670" spans="1:3" x14ac:dyDescent="0.25">
      <c r="A670">
        <v>669</v>
      </c>
      <c r="B670" s="23">
        <v>1691.5158160000001</v>
      </c>
      <c r="C670" s="23">
        <v>1455.5940000000001</v>
      </c>
    </row>
    <row r="671" spans="1:3" x14ac:dyDescent="0.25">
      <c r="A671">
        <v>670</v>
      </c>
      <c r="B671" s="23">
        <v>1691.2</v>
      </c>
      <c r="C671" s="23">
        <v>1455.3009999999999</v>
      </c>
    </row>
    <row r="672" spans="1:3" x14ac:dyDescent="0.25">
      <c r="A672">
        <v>671</v>
      </c>
      <c r="B672" s="23">
        <v>1691.0640000000001</v>
      </c>
      <c r="C672" s="23">
        <v>1453.6</v>
      </c>
    </row>
    <row r="673" spans="1:3" x14ac:dyDescent="0.25">
      <c r="A673">
        <v>672</v>
      </c>
      <c r="B673" s="23">
        <v>1691.038</v>
      </c>
      <c r="C673" s="23">
        <v>1453.6</v>
      </c>
    </row>
    <row r="674" spans="1:3" x14ac:dyDescent="0.25">
      <c r="A674">
        <v>673</v>
      </c>
      <c r="B674" s="23">
        <v>1690.7539999999999</v>
      </c>
      <c r="C674" s="23">
        <v>1453.6</v>
      </c>
    </row>
    <row r="675" spans="1:3" x14ac:dyDescent="0.25">
      <c r="A675">
        <v>674</v>
      </c>
      <c r="B675" s="23">
        <v>1690.454385</v>
      </c>
      <c r="C675" s="23">
        <v>1453.2840000000001</v>
      </c>
    </row>
    <row r="676" spans="1:3" x14ac:dyDescent="0.25">
      <c r="A676">
        <v>675</v>
      </c>
      <c r="B676" s="23">
        <v>1690.4259999999999</v>
      </c>
      <c r="C676" s="23">
        <v>1453.1369999999999</v>
      </c>
    </row>
    <row r="677" spans="1:3" x14ac:dyDescent="0.25">
      <c r="A677">
        <v>676</v>
      </c>
      <c r="B677" s="23">
        <v>1690.4</v>
      </c>
      <c r="C677" s="23">
        <v>1452.7270000000001</v>
      </c>
    </row>
    <row r="678" spans="1:3" x14ac:dyDescent="0.25">
      <c r="A678">
        <v>677</v>
      </c>
      <c r="B678" s="23">
        <v>1690.3989999999999</v>
      </c>
      <c r="C678" s="23">
        <v>1452.404</v>
      </c>
    </row>
    <row r="679" spans="1:3" x14ac:dyDescent="0.25">
      <c r="A679">
        <v>678</v>
      </c>
      <c r="B679" s="23">
        <v>1689.979</v>
      </c>
      <c r="C679" s="23">
        <v>1451.9159999999999</v>
      </c>
    </row>
    <row r="680" spans="1:3" x14ac:dyDescent="0.25">
      <c r="A680">
        <v>679</v>
      </c>
      <c r="B680" s="23">
        <v>1689.670588</v>
      </c>
      <c r="C680" s="23">
        <v>1451.527</v>
      </c>
    </row>
    <row r="681" spans="1:3" x14ac:dyDescent="0.25">
      <c r="A681">
        <v>680</v>
      </c>
      <c r="B681" s="23">
        <v>1689.2071989999999</v>
      </c>
      <c r="C681" s="23">
        <v>1451.2</v>
      </c>
    </row>
    <row r="682" spans="1:3" x14ac:dyDescent="0.25">
      <c r="A682">
        <v>681</v>
      </c>
      <c r="B682" s="23">
        <v>1688.8664570000001</v>
      </c>
      <c r="C682" s="23">
        <v>1450.4449999999999</v>
      </c>
    </row>
    <row r="683" spans="1:3" x14ac:dyDescent="0.25">
      <c r="A683">
        <v>682</v>
      </c>
      <c r="B683" s="23">
        <v>1688.8</v>
      </c>
      <c r="C683" s="23">
        <v>1449.6</v>
      </c>
    </row>
    <row r="684" spans="1:3" x14ac:dyDescent="0.25">
      <c r="A684">
        <v>683</v>
      </c>
      <c r="B684" s="23">
        <v>1688.8</v>
      </c>
      <c r="C684" s="23">
        <v>1448.8</v>
      </c>
    </row>
    <row r="685" spans="1:3" x14ac:dyDescent="0.25">
      <c r="A685">
        <v>684</v>
      </c>
      <c r="B685" s="23">
        <v>1688.753935</v>
      </c>
      <c r="C685" s="23">
        <v>1448.8</v>
      </c>
    </row>
    <row r="686" spans="1:3" x14ac:dyDescent="0.25">
      <c r="A686">
        <v>685</v>
      </c>
      <c r="B686" s="23">
        <v>1688.6061540000001</v>
      </c>
      <c r="C686" s="23">
        <v>1447.9459999999999</v>
      </c>
    </row>
    <row r="687" spans="1:3" x14ac:dyDescent="0.25">
      <c r="A687">
        <v>686</v>
      </c>
      <c r="B687" s="23">
        <v>1688.5430570000001</v>
      </c>
      <c r="C687" s="23">
        <v>1447.559</v>
      </c>
    </row>
    <row r="688" spans="1:3" x14ac:dyDescent="0.25">
      <c r="A688">
        <v>687</v>
      </c>
      <c r="B688" s="23">
        <v>1688.519</v>
      </c>
      <c r="C688" s="23">
        <v>1447.2</v>
      </c>
    </row>
    <row r="689" spans="1:3" x14ac:dyDescent="0.25">
      <c r="A689">
        <v>688</v>
      </c>
      <c r="B689" s="23">
        <v>1688</v>
      </c>
      <c r="C689" s="23">
        <v>1447.2</v>
      </c>
    </row>
    <row r="690" spans="1:3" x14ac:dyDescent="0.25">
      <c r="A690">
        <v>689</v>
      </c>
      <c r="B690" s="23">
        <v>1687.8041949999999</v>
      </c>
      <c r="C690" s="23">
        <v>1446.4</v>
      </c>
    </row>
    <row r="691" spans="1:3" x14ac:dyDescent="0.25">
      <c r="A691">
        <v>690</v>
      </c>
      <c r="B691" s="23">
        <v>1687.35</v>
      </c>
      <c r="C691" s="23">
        <v>1446.4</v>
      </c>
    </row>
    <row r="692" spans="1:3" x14ac:dyDescent="0.25">
      <c r="A692">
        <v>691</v>
      </c>
      <c r="B692" s="23">
        <v>1687.2</v>
      </c>
      <c r="C692" s="23">
        <v>1446.4</v>
      </c>
    </row>
    <row r="693" spans="1:3" x14ac:dyDescent="0.25">
      <c r="A693">
        <v>692</v>
      </c>
      <c r="B693" s="23">
        <v>1687.1830649999999</v>
      </c>
      <c r="C693" s="23">
        <v>1446.4</v>
      </c>
    </row>
    <row r="694" spans="1:3" x14ac:dyDescent="0.25">
      <c r="A694">
        <v>693</v>
      </c>
      <c r="B694" s="23">
        <v>1686.4</v>
      </c>
      <c r="C694" s="23">
        <v>1445.923</v>
      </c>
    </row>
    <row r="695" spans="1:3" x14ac:dyDescent="0.25">
      <c r="A695">
        <v>694</v>
      </c>
      <c r="B695" s="23">
        <v>1686.4</v>
      </c>
      <c r="C695" s="23">
        <v>1445.8820000000001</v>
      </c>
    </row>
    <row r="696" spans="1:3" x14ac:dyDescent="0.25">
      <c r="A696">
        <v>695</v>
      </c>
      <c r="B696" s="23">
        <v>1686.065077</v>
      </c>
      <c r="C696" s="23">
        <v>1445.6</v>
      </c>
    </row>
    <row r="697" spans="1:3" x14ac:dyDescent="0.25">
      <c r="A697">
        <v>696</v>
      </c>
      <c r="B697" s="23">
        <v>1685.6</v>
      </c>
      <c r="C697" s="23">
        <v>1445.297</v>
      </c>
    </row>
    <row r="698" spans="1:3" x14ac:dyDescent="0.25">
      <c r="A698">
        <v>697</v>
      </c>
      <c r="B698" s="23">
        <v>1685.3848620000001</v>
      </c>
      <c r="C698" s="23">
        <v>1445.105</v>
      </c>
    </row>
    <row r="699" spans="1:3" x14ac:dyDescent="0.25">
      <c r="A699">
        <v>698</v>
      </c>
      <c r="B699" s="23">
        <v>1685.3530000000001</v>
      </c>
      <c r="C699" s="23">
        <v>1444.8</v>
      </c>
    </row>
    <row r="700" spans="1:3" x14ac:dyDescent="0.25">
      <c r="A700">
        <v>699</v>
      </c>
      <c r="B700" s="23">
        <v>1685.147837</v>
      </c>
      <c r="C700" s="23">
        <v>1444.5609999999999</v>
      </c>
    </row>
    <row r="701" spans="1:3" x14ac:dyDescent="0.25">
      <c r="A701">
        <v>700</v>
      </c>
      <c r="B701" s="23">
        <v>1685.0039999999999</v>
      </c>
      <c r="C701" s="23">
        <v>1444.5409999999999</v>
      </c>
    </row>
    <row r="702" spans="1:3" x14ac:dyDescent="0.25">
      <c r="A702">
        <v>701</v>
      </c>
      <c r="B702" s="23">
        <v>1684.8216609999999</v>
      </c>
      <c r="C702" s="23">
        <v>1444</v>
      </c>
    </row>
    <row r="703" spans="1:3" x14ac:dyDescent="0.25">
      <c r="A703">
        <v>702</v>
      </c>
      <c r="B703" s="23">
        <v>1684.7449999999999</v>
      </c>
      <c r="C703" s="23">
        <v>1444</v>
      </c>
    </row>
    <row r="704" spans="1:3" x14ac:dyDescent="0.25">
      <c r="A704">
        <v>703</v>
      </c>
      <c r="B704" s="23">
        <v>1684.729576</v>
      </c>
      <c r="C704" s="23">
        <v>1444</v>
      </c>
    </row>
    <row r="705" spans="1:3" x14ac:dyDescent="0.25">
      <c r="A705">
        <v>704</v>
      </c>
      <c r="B705" s="23">
        <v>1684</v>
      </c>
      <c r="C705" s="23">
        <v>1444</v>
      </c>
    </row>
    <row r="706" spans="1:3" x14ac:dyDescent="0.25">
      <c r="A706">
        <v>705</v>
      </c>
      <c r="B706" s="23">
        <v>1684</v>
      </c>
      <c r="C706" s="23">
        <v>1444</v>
      </c>
    </row>
    <row r="707" spans="1:3" x14ac:dyDescent="0.25">
      <c r="A707">
        <v>706</v>
      </c>
      <c r="B707" s="23">
        <v>1683.911746</v>
      </c>
      <c r="C707" s="23">
        <v>1443.211</v>
      </c>
    </row>
    <row r="708" spans="1:3" x14ac:dyDescent="0.25">
      <c r="A708">
        <v>707</v>
      </c>
      <c r="B708" s="23">
        <v>1683.2</v>
      </c>
      <c r="C708" s="23">
        <v>1443.09</v>
      </c>
    </row>
    <row r="709" spans="1:3" x14ac:dyDescent="0.25">
      <c r="A709">
        <v>708</v>
      </c>
      <c r="B709" s="23">
        <v>1682.8480999999999</v>
      </c>
      <c r="C709" s="23">
        <v>1441.6</v>
      </c>
    </row>
    <row r="710" spans="1:3" x14ac:dyDescent="0.25">
      <c r="A710">
        <v>709</v>
      </c>
      <c r="B710" s="23">
        <v>1682.404</v>
      </c>
      <c r="C710" s="23">
        <v>1441.5709999999999</v>
      </c>
    </row>
    <row r="711" spans="1:3" x14ac:dyDescent="0.25">
      <c r="A711">
        <v>710</v>
      </c>
      <c r="B711" s="23">
        <v>1682.4</v>
      </c>
      <c r="C711" s="23">
        <v>1441.0229999999999</v>
      </c>
    </row>
    <row r="712" spans="1:3" x14ac:dyDescent="0.25">
      <c r="A712">
        <v>711</v>
      </c>
      <c r="B712" s="23">
        <v>1682.4</v>
      </c>
      <c r="C712" s="23">
        <v>1440.8</v>
      </c>
    </row>
    <row r="713" spans="1:3" x14ac:dyDescent="0.25">
      <c r="A713">
        <v>712</v>
      </c>
      <c r="B713" s="23">
        <v>1681.481769</v>
      </c>
      <c r="C713" s="23">
        <v>1440.7739999999999</v>
      </c>
    </row>
    <row r="714" spans="1:3" x14ac:dyDescent="0.25">
      <c r="A714">
        <v>713</v>
      </c>
      <c r="B714" s="23">
        <v>1681.412</v>
      </c>
      <c r="C714" s="23">
        <v>1440.7670000000001</v>
      </c>
    </row>
    <row r="715" spans="1:3" x14ac:dyDescent="0.25">
      <c r="A715">
        <v>714</v>
      </c>
      <c r="B715" s="23">
        <v>1681.075</v>
      </c>
      <c r="C715" s="23">
        <v>1440.383</v>
      </c>
    </row>
    <row r="716" spans="1:3" x14ac:dyDescent="0.25">
      <c r="A716">
        <v>715</v>
      </c>
      <c r="B716" s="23">
        <v>1680.964025</v>
      </c>
      <c r="C716" s="23">
        <v>1440</v>
      </c>
    </row>
    <row r="717" spans="1:3" x14ac:dyDescent="0.25">
      <c r="A717">
        <v>716</v>
      </c>
      <c r="B717" s="23">
        <v>1680.912</v>
      </c>
      <c r="C717" s="23">
        <v>1439.865</v>
      </c>
    </row>
    <row r="718" spans="1:3" x14ac:dyDescent="0.25">
      <c r="A718">
        <v>717</v>
      </c>
      <c r="B718" s="23">
        <v>1680.8330000000001</v>
      </c>
      <c r="C718" s="23">
        <v>1439.2</v>
      </c>
    </row>
    <row r="719" spans="1:3" x14ac:dyDescent="0.25">
      <c r="A719">
        <v>718</v>
      </c>
      <c r="B719" s="23">
        <v>1680.8</v>
      </c>
      <c r="C719" s="23">
        <v>1438.383</v>
      </c>
    </row>
    <row r="720" spans="1:3" x14ac:dyDescent="0.25">
      <c r="A720">
        <v>719</v>
      </c>
      <c r="B720" s="23">
        <v>1680.8</v>
      </c>
      <c r="C720" s="23">
        <v>1438.009</v>
      </c>
    </row>
    <row r="721" spans="1:3" x14ac:dyDescent="0.25">
      <c r="A721">
        <v>720</v>
      </c>
      <c r="B721" s="23">
        <v>1680.6372719999999</v>
      </c>
      <c r="C721" s="23">
        <v>1436.8</v>
      </c>
    </row>
    <row r="722" spans="1:3" x14ac:dyDescent="0.25">
      <c r="A722">
        <v>721</v>
      </c>
      <c r="B722" s="23">
        <v>1680.269</v>
      </c>
      <c r="C722" s="23">
        <v>1436.8</v>
      </c>
    </row>
    <row r="723" spans="1:3" x14ac:dyDescent="0.25">
      <c r="A723">
        <v>722</v>
      </c>
      <c r="B723" s="23">
        <v>1679.110056</v>
      </c>
      <c r="C723" s="23">
        <v>1436.8</v>
      </c>
    </row>
    <row r="724" spans="1:3" x14ac:dyDescent="0.25">
      <c r="A724">
        <v>723</v>
      </c>
      <c r="B724" s="23">
        <v>1678.3489999999999</v>
      </c>
      <c r="C724" s="23">
        <v>1436.559</v>
      </c>
    </row>
    <row r="725" spans="1:3" x14ac:dyDescent="0.25">
      <c r="A725">
        <v>724</v>
      </c>
      <c r="B725" s="23">
        <v>1677.954</v>
      </c>
      <c r="C725" s="23">
        <v>1436.559</v>
      </c>
    </row>
    <row r="726" spans="1:3" x14ac:dyDescent="0.25">
      <c r="A726">
        <v>725</v>
      </c>
      <c r="B726" s="23">
        <v>1677.4839999999999</v>
      </c>
      <c r="C726" s="23">
        <v>1436.3150000000001</v>
      </c>
    </row>
    <row r="727" spans="1:3" x14ac:dyDescent="0.25">
      <c r="A727">
        <v>726</v>
      </c>
      <c r="B727" s="23">
        <v>1677.384282</v>
      </c>
      <c r="C727" s="23">
        <v>1436</v>
      </c>
    </row>
    <row r="728" spans="1:3" x14ac:dyDescent="0.25">
      <c r="A728">
        <v>727</v>
      </c>
      <c r="B728" s="23">
        <v>1677.2910489999999</v>
      </c>
      <c r="C728" s="23">
        <v>1436</v>
      </c>
    </row>
    <row r="729" spans="1:3" x14ac:dyDescent="0.25">
      <c r="A729">
        <v>728</v>
      </c>
      <c r="B729" s="23">
        <v>1676.966678</v>
      </c>
      <c r="C729" s="23">
        <v>1436</v>
      </c>
    </row>
    <row r="730" spans="1:3" x14ac:dyDescent="0.25">
      <c r="A730">
        <v>729</v>
      </c>
      <c r="B730" s="23">
        <v>1676.943</v>
      </c>
      <c r="C730" s="23">
        <v>1436</v>
      </c>
    </row>
    <row r="731" spans="1:3" x14ac:dyDescent="0.25">
      <c r="A731">
        <v>730</v>
      </c>
      <c r="B731" s="23">
        <v>1676.8</v>
      </c>
      <c r="C731" s="23">
        <v>1434.4</v>
      </c>
    </row>
    <row r="732" spans="1:3" x14ac:dyDescent="0.25">
      <c r="A732">
        <v>731</v>
      </c>
      <c r="B732" s="23">
        <v>1676.6694990000001</v>
      </c>
      <c r="C732" s="23">
        <v>1434.4</v>
      </c>
    </row>
    <row r="733" spans="1:3" x14ac:dyDescent="0.25">
      <c r="A733">
        <v>732</v>
      </c>
      <c r="B733" s="23">
        <v>1675.9290000000001</v>
      </c>
      <c r="C733" s="23">
        <v>1433.6020000000001</v>
      </c>
    </row>
    <row r="734" spans="1:3" x14ac:dyDescent="0.25">
      <c r="A734">
        <v>733</v>
      </c>
      <c r="B734" s="23">
        <v>1675.8559419999999</v>
      </c>
      <c r="C734" s="23">
        <v>1433.6</v>
      </c>
    </row>
    <row r="735" spans="1:3" x14ac:dyDescent="0.25">
      <c r="A735">
        <v>734</v>
      </c>
      <c r="B735" s="23">
        <v>1675.855656</v>
      </c>
      <c r="C735" s="23">
        <v>1433.6</v>
      </c>
    </row>
    <row r="736" spans="1:3" x14ac:dyDescent="0.25">
      <c r="A736">
        <v>735</v>
      </c>
      <c r="B736" s="23">
        <v>1675.433</v>
      </c>
      <c r="C736" s="23">
        <v>1433.6</v>
      </c>
    </row>
    <row r="737" spans="1:3" x14ac:dyDescent="0.25">
      <c r="A737">
        <v>736</v>
      </c>
      <c r="B737" s="23">
        <v>1675.2</v>
      </c>
      <c r="C737" s="23">
        <v>1433.6</v>
      </c>
    </row>
    <row r="738" spans="1:3" x14ac:dyDescent="0.25">
      <c r="A738">
        <v>737</v>
      </c>
      <c r="B738" s="23">
        <v>1674.8240000000001</v>
      </c>
      <c r="C738" s="23">
        <v>1433.6</v>
      </c>
    </row>
    <row r="739" spans="1:3" x14ac:dyDescent="0.25">
      <c r="A739">
        <v>738</v>
      </c>
      <c r="B739" s="23">
        <v>1674.457167</v>
      </c>
      <c r="C739" s="23">
        <v>1432.8</v>
      </c>
    </row>
    <row r="740" spans="1:3" x14ac:dyDescent="0.25">
      <c r="A740">
        <v>739</v>
      </c>
      <c r="B740" s="23">
        <v>1674.262166</v>
      </c>
      <c r="C740" s="23">
        <v>1432.8</v>
      </c>
    </row>
    <row r="741" spans="1:3" x14ac:dyDescent="0.25">
      <c r="A741">
        <v>740</v>
      </c>
      <c r="B741" s="23">
        <v>1673.787</v>
      </c>
      <c r="C741" s="23">
        <v>1432.8</v>
      </c>
    </row>
    <row r="742" spans="1:3" x14ac:dyDescent="0.25">
      <c r="A742">
        <v>741</v>
      </c>
      <c r="B742" s="23">
        <v>1673.4271670000001</v>
      </c>
      <c r="C742" s="23">
        <v>1432.8</v>
      </c>
    </row>
    <row r="743" spans="1:3" x14ac:dyDescent="0.25">
      <c r="A743">
        <v>742</v>
      </c>
      <c r="B743" s="23">
        <v>1673.221</v>
      </c>
      <c r="C743" s="23">
        <v>1432.02</v>
      </c>
    </row>
    <row r="744" spans="1:3" x14ac:dyDescent="0.25">
      <c r="A744">
        <v>743</v>
      </c>
      <c r="B744" s="23">
        <v>1673.0266300000001</v>
      </c>
      <c r="C744" s="23">
        <v>1432</v>
      </c>
    </row>
    <row r="745" spans="1:3" x14ac:dyDescent="0.25">
      <c r="A745">
        <v>744</v>
      </c>
      <c r="B745" s="23">
        <v>1672.8605600000001</v>
      </c>
      <c r="C745" s="23">
        <v>1431.211</v>
      </c>
    </row>
    <row r="746" spans="1:3" x14ac:dyDescent="0.25">
      <c r="A746">
        <v>745</v>
      </c>
      <c r="B746" s="23">
        <v>1672.28</v>
      </c>
      <c r="C746" s="23">
        <v>1431.202</v>
      </c>
    </row>
    <row r="747" spans="1:3" x14ac:dyDescent="0.25">
      <c r="A747">
        <v>746</v>
      </c>
      <c r="B747" s="23">
        <v>1672.0050000000001</v>
      </c>
      <c r="C747" s="23">
        <v>1431.202</v>
      </c>
    </row>
    <row r="748" spans="1:3" x14ac:dyDescent="0.25">
      <c r="A748">
        <v>747</v>
      </c>
      <c r="B748" s="23">
        <v>1671.9639999999999</v>
      </c>
      <c r="C748" s="23">
        <v>1431.2</v>
      </c>
    </row>
    <row r="749" spans="1:3" x14ac:dyDescent="0.25">
      <c r="A749">
        <v>748</v>
      </c>
      <c r="B749" s="23">
        <v>1671.887602</v>
      </c>
      <c r="C749" s="23">
        <v>1430.414</v>
      </c>
    </row>
    <row r="750" spans="1:3" x14ac:dyDescent="0.25">
      <c r="A750">
        <v>749</v>
      </c>
      <c r="B750" s="23">
        <v>1671.8207</v>
      </c>
      <c r="C750" s="23">
        <v>1430.4</v>
      </c>
    </row>
    <row r="751" spans="1:3" x14ac:dyDescent="0.25">
      <c r="A751">
        <v>750</v>
      </c>
      <c r="B751" s="23">
        <v>1671.7729999999999</v>
      </c>
      <c r="C751" s="23">
        <v>1430.4</v>
      </c>
    </row>
    <row r="752" spans="1:3" x14ac:dyDescent="0.25">
      <c r="A752">
        <v>751</v>
      </c>
      <c r="B752" s="23">
        <v>1671.6569999999999</v>
      </c>
      <c r="C752" s="23">
        <v>1430.3889999999999</v>
      </c>
    </row>
    <row r="753" spans="1:3" x14ac:dyDescent="0.25">
      <c r="A753">
        <v>752</v>
      </c>
      <c r="B753" s="23">
        <v>1670.9269999999999</v>
      </c>
      <c r="C753" s="23">
        <v>1429.6</v>
      </c>
    </row>
    <row r="754" spans="1:3" x14ac:dyDescent="0.25">
      <c r="A754">
        <v>753</v>
      </c>
      <c r="B754" s="23">
        <v>1668.96</v>
      </c>
      <c r="C754" s="23">
        <v>1429.6</v>
      </c>
    </row>
    <row r="755" spans="1:3" x14ac:dyDescent="0.25">
      <c r="A755">
        <v>754</v>
      </c>
      <c r="B755" s="23">
        <v>1668.84476</v>
      </c>
      <c r="C755" s="23">
        <v>1429.6</v>
      </c>
    </row>
    <row r="756" spans="1:3" x14ac:dyDescent="0.25">
      <c r="A756">
        <v>755</v>
      </c>
      <c r="B756" s="23">
        <v>1668.8</v>
      </c>
      <c r="C756" s="23">
        <v>1429.566</v>
      </c>
    </row>
    <row r="757" spans="1:3" x14ac:dyDescent="0.25">
      <c r="A757">
        <v>756</v>
      </c>
      <c r="B757" s="23">
        <v>1668.5409999999999</v>
      </c>
      <c r="C757" s="23">
        <v>1428.38</v>
      </c>
    </row>
    <row r="758" spans="1:3" x14ac:dyDescent="0.25">
      <c r="A758">
        <v>757</v>
      </c>
      <c r="B758" s="23">
        <v>1668.3729780000001</v>
      </c>
      <c r="C758" s="23">
        <v>1428.0239999999999</v>
      </c>
    </row>
    <row r="759" spans="1:3" x14ac:dyDescent="0.25">
      <c r="A759">
        <v>758</v>
      </c>
      <c r="B759" s="23">
        <v>1667.276445</v>
      </c>
      <c r="C759" s="23">
        <v>1428</v>
      </c>
    </row>
    <row r="760" spans="1:3" x14ac:dyDescent="0.25">
      <c r="A760">
        <v>759</v>
      </c>
      <c r="B760" s="23">
        <v>1667.2</v>
      </c>
      <c r="C760" s="23">
        <v>1428</v>
      </c>
    </row>
    <row r="761" spans="1:3" x14ac:dyDescent="0.25">
      <c r="A761">
        <v>760</v>
      </c>
      <c r="B761" s="23">
        <v>1666.961</v>
      </c>
      <c r="C761" s="23">
        <v>1428</v>
      </c>
    </row>
    <row r="762" spans="1:3" x14ac:dyDescent="0.25">
      <c r="A762">
        <v>761</v>
      </c>
      <c r="B762" s="23">
        <v>1666.4</v>
      </c>
      <c r="C762" s="23">
        <v>1428</v>
      </c>
    </row>
    <row r="763" spans="1:3" x14ac:dyDescent="0.25">
      <c r="A763">
        <v>762</v>
      </c>
      <c r="B763" s="23">
        <v>1666.176082</v>
      </c>
      <c r="C763" s="23">
        <v>1427.931</v>
      </c>
    </row>
    <row r="764" spans="1:3" x14ac:dyDescent="0.25">
      <c r="A764">
        <v>763</v>
      </c>
      <c r="B764" s="23">
        <v>1665.983892</v>
      </c>
      <c r="C764" s="23">
        <v>1427.2349999999999</v>
      </c>
    </row>
    <row r="765" spans="1:3" x14ac:dyDescent="0.25">
      <c r="A765">
        <v>764</v>
      </c>
      <c r="B765" s="23">
        <v>1665.9829999999999</v>
      </c>
      <c r="C765" s="23">
        <v>1427.2</v>
      </c>
    </row>
    <row r="766" spans="1:3" x14ac:dyDescent="0.25">
      <c r="A766">
        <v>765</v>
      </c>
      <c r="B766" s="23">
        <v>1665.6</v>
      </c>
      <c r="C766" s="23">
        <v>1427.2</v>
      </c>
    </row>
    <row r="767" spans="1:3" x14ac:dyDescent="0.25">
      <c r="A767">
        <v>766</v>
      </c>
      <c r="B767" s="23">
        <v>1664.7170000000001</v>
      </c>
      <c r="C767" s="23">
        <v>1427.1130000000001</v>
      </c>
    </row>
    <row r="768" spans="1:3" x14ac:dyDescent="0.25">
      <c r="A768">
        <v>767</v>
      </c>
      <c r="B768" s="23">
        <v>1664.7065930000001</v>
      </c>
      <c r="C768" s="23">
        <v>1426.2950000000001</v>
      </c>
    </row>
    <row r="769" spans="1:3" x14ac:dyDescent="0.25">
      <c r="A769">
        <v>768</v>
      </c>
      <c r="B769" s="23">
        <v>1664.4690000000001</v>
      </c>
      <c r="C769" s="23">
        <v>1425.6</v>
      </c>
    </row>
    <row r="770" spans="1:3" x14ac:dyDescent="0.25">
      <c r="A770">
        <v>769</v>
      </c>
      <c r="B770" s="23">
        <v>1664.4275689999999</v>
      </c>
      <c r="C770" s="23">
        <v>1425.4780000000001</v>
      </c>
    </row>
    <row r="771" spans="1:3" x14ac:dyDescent="0.25">
      <c r="A771">
        <v>770</v>
      </c>
      <c r="B771" s="23">
        <v>1664.173</v>
      </c>
      <c r="C771" s="23">
        <v>1424.8</v>
      </c>
    </row>
    <row r="772" spans="1:3" x14ac:dyDescent="0.25">
      <c r="A772">
        <v>771</v>
      </c>
      <c r="B772" s="23">
        <v>1664.0250000000001</v>
      </c>
      <c r="C772" s="23">
        <v>1424.8</v>
      </c>
    </row>
    <row r="773" spans="1:3" x14ac:dyDescent="0.25">
      <c r="A773">
        <v>772</v>
      </c>
      <c r="B773" s="23">
        <v>1664</v>
      </c>
      <c r="C773" s="23">
        <v>1424.1279999999999</v>
      </c>
    </row>
    <row r="774" spans="1:3" x14ac:dyDescent="0.25">
      <c r="A774">
        <v>773</v>
      </c>
      <c r="B774" s="23">
        <v>1663.6489879999999</v>
      </c>
      <c r="C774" s="23">
        <v>1424</v>
      </c>
    </row>
    <row r="775" spans="1:3" x14ac:dyDescent="0.25">
      <c r="A775">
        <v>774</v>
      </c>
      <c r="B775" s="23">
        <v>1663.5360000000001</v>
      </c>
      <c r="C775" s="23">
        <v>1423.9670000000001</v>
      </c>
    </row>
    <row r="776" spans="1:3" x14ac:dyDescent="0.25">
      <c r="A776">
        <v>775</v>
      </c>
      <c r="B776" s="23">
        <v>1663.509</v>
      </c>
      <c r="C776" s="23">
        <v>1423.8420000000001</v>
      </c>
    </row>
    <row r="777" spans="1:3" x14ac:dyDescent="0.25">
      <c r="A777">
        <v>776</v>
      </c>
      <c r="B777" s="23">
        <v>1663.4870000000001</v>
      </c>
      <c r="C777" s="23">
        <v>1423.7280000000001</v>
      </c>
    </row>
    <row r="778" spans="1:3" x14ac:dyDescent="0.25">
      <c r="A778">
        <v>777</v>
      </c>
      <c r="B778" s="23">
        <v>1663.2</v>
      </c>
      <c r="C778" s="23">
        <v>1423.3510000000001</v>
      </c>
    </row>
    <row r="779" spans="1:3" x14ac:dyDescent="0.25">
      <c r="A779">
        <v>778</v>
      </c>
      <c r="B779" s="23">
        <v>1662.845</v>
      </c>
      <c r="C779" s="23">
        <v>1423.2</v>
      </c>
    </row>
    <row r="780" spans="1:3" x14ac:dyDescent="0.25">
      <c r="A780">
        <v>779</v>
      </c>
      <c r="B780" s="23">
        <v>1662.3230229999999</v>
      </c>
      <c r="C780" s="23">
        <v>1423.2</v>
      </c>
    </row>
    <row r="781" spans="1:3" x14ac:dyDescent="0.25">
      <c r="A781">
        <v>780</v>
      </c>
      <c r="B781" s="23">
        <v>1661.8303390000001</v>
      </c>
      <c r="C781" s="23">
        <v>1422.4</v>
      </c>
    </row>
    <row r="782" spans="1:3" x14ac:dyDescent="0.25">
      <c r="A782">
        <v>781</v>
      </c>
      <c r="B782" s="23">
        <v>1661.6</v>
      </c>
      <c r="C782" s="23">
        <v>1422.4</v>
      </c>
    </row>
    <row r="783" spans="1:3" x14ac:dyDescent="0.25">
      <c r="A783">
        <v>782</v>
      </c>
      <c r="B783" s="23">
        <v>1661.6</v>
      </c>
      <c r="C783" s="23">
        <v>1422.4</v>
      </c>
    </row>
    <row r="784" spans="1:3" x14ac:dyDescent="0.25">
      <c r="A784">
        <v>783</v>
      </c>
      <c r="B784" s="23">
        <v>1661.6</v>
      </c>
      <c r="C784" s="23">
        <v>1421.6489999999999</v>
      </c>
    </row>
    <row r="785" spans="1:3" x14ac:dyDescent="0.25">
      <c r="A785">
        <v>784</v>
      </c>
      <c r="B785" s="23">
        <v>1661.105</v>
      </c>
      <c r="C785" s="23">
        <v>1421.6</v>
      </c>
    </row>
    <row r="786" spans="1:3" x14ac:dyDescent="0.25">
      <c r="A786">
        <v>785</v>
      </c>
      <c r="B786" s="23">
        <v>1660.8</v>
      </c>
      <c r="C786" s="23">
        <v>1421.6</v>
      </c>
    </row>
    <row r="787" spans="1:3" x14ac:dyDescent="0.25">
      <c r="A787">
        <v>786</v>
      </c>
      <c r="B787" s="23">
        <v>1660.715066</v>
      </c>
      <c r="C787" s="23">
        <v>1421.6</v>
      </c>
    </row>
    <row r="788" spans="1:3" x14ac:dyDescent="0.25">
      <c r="A788">
        <v>787</v>
      </c>
      <c r="B788" s="23">
        <v>1660.537</v>
      </c>
      <c r="C788" s="23">
        <v>1421.02</v>
      </c>
    </row>
    <row r="789" spans="1:3" x14ac:dyDescent="0.25">
      <c r="A789">
        <v>788</v>
      </c>
      <c r="B789" s="23">
        <v>1660.194679</v>
      </c>
      <c r="C789" s="23">
        <v>1421.02</v>
      </c>
    </row>
    <row r="790" spans="1:3" x14ac:dyDescent="0.25">
      <c r="A790">
        <v>789</v>
      </c>
      <c r="B790" s="23">
        <v>1660.194679</v>
      </c>
      <c r="C790" s="23">
        <v>1420.2429999999999</v>
      </c>
    </row>
    <row r="791" spans="1:3" x14ac:dyDescent="0.25">
      <c r="A791">
        <v>790</v>
      </c>
      <c r="B791" s="23">
        <v>1660.194679</v>
      </c>
      <c r="C791" s="23">
        <v>1420</v>
      </c>
    </row>
    <row r="792" spans="1:3" x14ac:dyDescent="0.25">
      <c r="A792">
        <v>791</v>
      </c>
      <c r="B792" s="23">
        <v>1660.158756</v>
      </c>
      <c r="C792" s="23">
        <v>1419.2</v>
      </c>
    </row>
    <row r="793" spans="1:3" x14ac:dyDescent="0.25">
      <c r="A793">
        <v>792</v>
      </c>
      <c r="B793" s="23">
        <v>1660</v>
      </c>
      <c r="C793" s="23">
        <v>1418.6890000000001</v>
      </c>
    </row>
    <row r="794" spans="1:3" x14ac:dyDescent="0.25">
      <c r="A794">
        <v>793</v>
      </c>
      <c r="B794" s="23">
        <v>1660</v>
      </c>
      <c r="C794" s="23">
        <v>1418.578</v>
      </c>
    </row>
    <row r="795" spans="1:3" x14ac:dyDescent="0.25">
      <c r="A795">
        <v>794</v>
      </c>
      <c r="B795" s="23">
        <v>1659.9290000000001</v>
      </c>
      <c r="C795" s="23">
        <v>1418.4</v>
      </c>
    </row>
    <row r="796" spans="1:3" x14ac:dyDescent="0.25">
      <c r="A796">
        <v>795</v>
      </c>
      <c r="B796" s="23">
        <v>1659.7049999999999</v>
      </c>
      <c r="C796" s="23">
        <v>1418.0830000000001</v>
      </c>
    </row>
    <row r="797" spans="1:3" x14ac:dyDescent="0.25">
      <c r="A797">
        <v>796</v>
      </c>
      <c r="B797" s="23">
        <v>1659.288</v>
      </c>
      <c r="C797" s="23">
        <v>1417.347</v>
      </c>
    </row>
    <row r="798" spans="1:3" x14ac:dyDescent="0.25">
      <c r="A798">
        <v>797</v>
      </c>
      <c r="B798" s="23">
        <v>1659.2</v>
      </c>
      <c r="C798" s="23">
        <v>1417.299</v>
      </c>
    </row>
    <row r="799" spans="1:3" x14ac:dyDescent="0.25">
      <c r="A799">
        <v>798</v>
      </c>
      <c r="B799" s="23">
        <v>1659.0840000000001</v>
      </c>
      <c r="C799" s="23">
        <v>1417.135</v>
      </c>
    </row>
    <row r="800" spans="1:3" x14ac:dyDescent="0.25">
      <c r="A800">
        <v>799</v>
      </c>
      <c r="B800" s="23">
        <v>1658.9659999999999</v>
      </c>
      <c r="C800" s="23">
        <v>1417.135</v>
      </c>
    </row>
    <row r="801" spans="1:3" x14ac:dyDescent="0.25">
      <c r="A801">
        <v>800</v>
      </c>
      <c r="B801" s="23">
        <v>1658.8698449999999</v>
      </c>
      <c r="C801" s="23">
        <v>1416.8</v>
      </c>
    </row>
    <row r="802" spans="1:3" x14ac:dyDescent="0.25">
      <c r="A802">
        <v>801</v>
      </c>
      <c r="B802" s="23">
        <v>1658.6130000000001</v>
      </c>
      <c r="C802" s="23">
        <v>1416.8</v>
      </c>
    </row>
    <row r="803" spans="1:3" x14ac:dyDescent="0.25">
      <c r="A803">
        <v>802</v>
      </c>
      <c r="B803" s="23">
        <v>1658.559019</v>
      </c>
      <c r="C803" s="23">
        <v>1416.8</v>
      </c>
    </row>
    <row r="804" spans="1:3" x14ac:dyDescent="0.25">
      <c r="A804">
        <v>803</v>
      </c>
      <c r="B804" s="23">
        <v>1657.3879999999999</v>
      </c>
      <c r="C804" s="23">
        <v>1416.8</v>
      </c>
    </row>
    <row r="805" spans="1:3" x14ac:dyDescent="0.25">
      <c r="A805">
        <v>804</v>
      </c>
      <c r="B805" s="23">
        <v>1657.048</v>
      </c>
      <c r="C805" s="23">
        <v>1416.481</v>
      </c>
    </row>
    <row r="806" spans="1:3" x14ac:dyDescent="0.25">
      <c r="A806">
        <v>805</v>
      </c>
      <c r="B806" s="23">
        <v>1656.9290000000001</v>
      </c>
      <c r="C806" s="23">
        <v>1416</v>
      </c>
    </row>
    <row r="807" spans="1:3" x14ac:dyDescent="0.25">
      <c r="A807">
        <v>806</v>
      </c>
      <c r="B807" s="23">
        <v>1656.806</v>
      </c>
      <c r="C807" s="23">
        <v>1416</v>
      </c>
    </row>
    <row r="808" spans="1:3" x14ac:dyDescent="0.25">
      <c r="A808">
        <v>807</v>
      </c>
      <c r="B808" s="23">
        <v>1656.8</v>
      </c>
      <c r="C808" s="23">
        <v>1415.902</v>
      </c>
    </row>
    <row r="809" spans="1:3" x14ac:dyDescent="0.25">
      <c r="A809">
        <v>808</v>
      </c>
      <c r="B809" s="23">
        <v>1656.7965959999999</v>
      </c>
      <c r="C809" s="23">
        <v>1415.33</v>
      </c>
    </row>
    <row r="810" spans="1:3" x14ac:dyDescent="0.25">
      <c r="A810">
        <v>809</v>
      </c>
      <c r="B810" s="23">
        <v>1656.662</v>
      </c>
      <c r="C810" s="23">
        <v>1415.2</v>
      </c>
    </row>
    <row r="811" spans="1:3" x14ac:dyDescent="0.25">
      <c r="A811">
        <v>810</v>
      </c>
      <c r="B811" s="23">
        <v>1656.625</v>
      </c>
      <c r="C811" s="23">
        <v>1414.846</v>
      </c>
    </row>
    <row r="812" spans="1:3" x14ac:dyDescent="0.25">
      <c r="A812">
        <v>811</v>
      </c>
      <c r="B812" s="23">
        <v>1656.321488</v>
      </c>
      <c r="C812" s="23">
        <v>1414.8040000000001</v>
      </c>
    </row>
    <row r="813" spans="1:3" x14ac:dyDescent="0.25">
      <c r="A813">
        <v>812</v>
      </c>
      <c r="B813" s="23">
        <v>1656</v>
      </c>
      <c r="C813" s="23">
        <v>1414.405</v>
      </c>
    </row>
    <row r="814" spans="1:3" x14ac:dyDescent="0.25">
      <c r="A814">
        <v>813</v>
      </c>
      <c r="B814" s="23">
        <v>1655.249</v>
      </c>
      <c r="C814" s="23">
        <v>1414.4</v>
      </c>
    </row>
    <row r="815" spans="1:3" x14ac:dyDescent="0.25">
      <c r="A815">
        <v>814</v>
      </c>
      <c r="B815" s="23">
        <v>1655.204639</v>
      </c>
      <c r="C815" s="23">
        <v>1414.4</v>
      </c>
    </row>
    <row r="816" spans="1:3" x14ac:dyDescent="0.25">
      <c r="A816">
        <v>815</v>
      </c>
      <c r="B816" s="23">
        <v>1655.173</v>
      </c>
      <c r="C816" s="23">
        <v>1414.4</v>
      </c>
    </row>
    <row r="817" spans="1:3" x14ac:dyDescent="0.25">
      <c r="A817">
        <v>816</v>
      </c>
      <c r="B817" s="23">
        <v>1655.136849</v>
      </c>
      <c r="C817" s="23">
        <v>1413.6</v>
      </c>
    </row>
    <row r="818" spans="1:3" x14ac:dyDescent="0.25">
      <c r="A818">
        <v>817</v>
      </c>
      <c r="B818" s="23">
        <v>1654.0930000000001</v>
      </c>
      <c r="C818" s="23">
        <v>1413.21</v>
      </c>
    </row>
    <row r="819" spans="1:3" x14ac:dyDescent="0.25">
      <c r="A819">
        <v>818</v>
      </c>
      <c r="B819" s="23">
        <v>1653.7527359999999</v>
      </c>
      <c r="C819" s="23">
        <v>1412.883</v>
      </c>
    </row>
    <row r="820" spans="1:3" x14ac:dyDescent="0.25">
      <c r="A820">
        <v>819</v>
      </c>
      <c r="B820" s="23">
        <v>1653.6520399999999</v>
      </c>
      <c r="C820" s="23">
        <v>1412.8</v>
      </c>
    </row>
    <row r="821" spans="1:3" x14ac:dyDescent="0.25">
      <c r="A821">
        <v>820</v>
      </c>
      <c r="B821" s="23">
        <v>1653.6</v>
      </c>
      <c r="C821" s="23">
        <v>1412.8</v>
      </c>
    </row>
    <row r="822" spans="1:3" x14ac:dyDescent="0.25">
      <c r="A822">
        <v>821</v>
      </c>
      <c r="B822" s="23">
        <v>1653.6</v>
      </c>
      <c r="C822" s="23">
        <v>1412.521</v>
      </c>
    </row>
    <row r="823" spans="1:3" x14ac:dyDescent="0.25">
      <c r="A823">
        <v>822</v>
      </c>
      <c r="B823" s="23">
        <v>1653.5430719999999</v>
      </c>
      <c r="C823" s="23">
        <v>1412</v>
      </c>
    </row>
    <row r="824" spans="1:3" x14ac:dyDescent="0.25">
      <c r="A824">
        <v>823</v>
      </c>
      <c r="B824" s="23">
        <v>1653.2460000000001</v>
      </c>
      <c r="C824" s="23">
        <v>1412</v>
      </c>
    </row>
    <row r="825" spans="1:3" x14ac:dyDescent="0.25">
      <c r="A825">
        <v>824</v>
      </c>
      <c r="B825" s="23">
        <v>1653.202</v>
      </c>
      <c r="C825" s="23">
        <v>1411.8710000000001</v>
      </c>
    </row>
    <row r="826" spans="1:3" x14ac:dyDescent="0.25">
      <c r="A826">
        <v>825</v>
      </c>
      <c r="B826" s="23">
        <v>1653.136</v>
      </c>
      <c r="C826" s="23">
        <v>1411.5740000000001</v>
      </c>
    </row>
    <row r="827" spans="1:3" x14ac:dyDescent="0.25">
      <c r="A827">
        <v>826</v>
      </c>
      <c r="B827" s="23">
        <v>1652.92</v>
      </c>
      <c r="C827" s="23">
        <v>1411.5740000000001</v>
      </c>
    </row>
    <row r="828" spans="1:3" x14ac:dyDescent="0.25">
      <c r="A828">
        <v>827</v>
      </c>
      <c r="B828" s="23">
        <v>1652.83421</v>
      </c>
      <c r="C828" s="23">
        <v>1411.5740000000001</v>
      </c>
    </row>
    <row r="829" spans="1:3" x14ac:dyDescent="0.25">
      <c r="A829">
        <v>828</v>
      </c>
      <c r="B829" s="23">
        <v>1652.807</v>
      </c>
      <c r="C829" s="23">
        <v>1411.289</v>
      </c>
    </row>
    <row r="830" spans="1:3" x14ac:dyDescent="0.25">
      <c r="A830">
        <v>829</v>
      </c>
      <c r="B830" s="23">
        <v>1652.723</v>
      </c>
      <c r="C830" s="23">
        <v>1411.2</v>
      </c>
    </row>
    <row r="831" spans="1:3" x14ac:dyDescent="0.25">
      <c r="A831">
        <v>830</v>
      </c>
      <c r="B831" s="23">
        <v>1652.6849999999999</v>
      </c>
      <c r="C831" s="23">
        <v>1411.2</v>
      </c>
    </row>
    <row r="832" spans="1:3" x14ac:dyDescent="0.25">
      <c r="A832">
        <v>831</v>
      </c>
      <c r="B832" s="23">
        <v>1652.6215139999999</v>
      </c>
      <c r="C832" s="23">
        <v>1410.7270000000001</v>
      </c>
    </row>
    <row r="833" spans="1:3" x14ac:dyDescent="0.25">
      <c r="A833">
        <v>832</v>
      </c>
      <c r="B833" s="23">
        <v>1652.547511</v>
      </c>
      <c r="C833" s="23">
        <v>1410.4</v>
      </c>
    </row>
    <row r="834" spans="1:3" x14ac:dyDescent="0.25">
      <c r="A834">
        <v>833</v>
      </c>
      <c r="B834" s="23">
        <v>1652.470742</v>
      </c>
      <c r="C834" s="23">
        <v>1410.377</v>
      </c>
    </row>
    <row r="835" spans="1:3" x14ac:dyDescent="0.25">
      <c r="A835">
        <v>834</v>
      </c>
      <c r="B835" s="23">
        <v>1652.413</v>
      </c>
      <c r="C835" s="23">
        <v>1409.9280000000001</v>
      </c>
    </row>
    <row r="836" spans="1:3" x14ac:dyDescent="0.25">
      <c r="A836">
        <v>835</v>
      </c>
      <c r="B836" s="23">
        <v>1651.770573</v>
      </c>
      <c r="C836" s="23">
        <v>1409.6</v>
      </c>
    </row>
    <row r="837" spans="1:3" x14ac:dyDescent="0.25">
      <c r="A837">
        <v>836</v>
      </c>
      <c r="B837" s="23">
        <v>1651.22</v>
      </c>
      <c r="C837" s="23">
        <v>1409.5050000000001</v>
      </c>
    </row>
    <row r="838" spans="1:3" x14ac:dyDescent="0.25">
      <c r="A838">
        <v>837</v>
      </c>
      <c r="B838" s="23">
        <v>1651.085</v>
      </c>
      <c r="C838" s="23">
        <v>1408.8979999999999</v>
      </c>
    </row>
    <row r="839" spans="1:3" x14ac:dyDescent="0.25">
      <c r="A839">
        <v>838</v>
      </c>
      <c r="B839" s="23">
        <v>1651.018885</v>
      </c>
      <c r="C839" s="23">
        <v>1408.8</v>
      </c>
    </row>
    <row r="840" spans="1:3" x14ac:dyDescent="0.25">
      <c r="A840">
        <v>839</v>
      </c>
      <c r="B840" s="23">
        <v>1650.484017</v>
      </c>
      <c r="C840" s="23">
        <v>1408.8</v>
      </c>
    </row>
    <row r="841" spans="1:3" x14ac:dyDescent="0.25">
      <c r="A841">
        <v>840</v>
      </c>
      <c r="B841" s="23">
        <v>1650.4</v>
      </c>
      <c r="C841" s="23">
        <v>1408</v>
      </c>
    </row>
    <row r="842" spans="1:3" x14ac:dyDescent="0.25">
      <c r="A842">
        <v>841</v>
      </c>
      <c r="B842" s="23">
        <v>1649.6990000000001</v>
      </c>
      <c r="C842" s="23">
        <v>1408</v>
      </c>
    </row>
    <row r="843" spans="1:3" x14ac:dyDescent="0.25">
      <c r="A843">
        <v>842</v>
      </c>
      <c r="B843" s="23">
        <v>1648.6410000000001</v>
      </c>
      <c r="C843" s="23">
        <v>1408</v>
      </c>
    </row>
    <row r="844" spans="1:3" x14ac:dyDescent="0.25">
      <c r="A844">
        <v>843</v>
      </c>
      <c r="B844" s="23">
        <v>1648.1569999999999</v>
      </c>
      <c r="C844" s="23">
        <v>1408</v>
      </c>
    </row>
    <row r="845" spans="1:3" x14ac:dyDescent="0.25">
      <c r="A845">
        <v>844</v>
      </c>
      <c r="B845" s="23">
        <v>1648.0719999999999</v>
      </c>
      <c r="C845" s="23">
        <v>1408</v>
      </c>
    </row>
    <row r="846" spans="1:3" x14ac:dyDescent="0.25">
      <c r="A846">
        <v>845</v>
      </c>
      <c r="B846" s="23">
        <v>1648</v>
      </c>
      <c r="C846" s="23">
        <v>1407.529</v>
      </c>
    </row>
    <row r="847" spans="1:3" x14ac:dyDescent="0.25">
      <c r="A847">
        <v>846</v>
      </c>
      <c r="B847" s="23">
        <v>1647.9272309999999</v>
      </c>
      <c r="C847" s="23">
        <v>1407.4849999999999</v>
      </c>
    </row>
    <row r="848" spans="1:3" x14ac:dyDescent="0.25">
      <c r="A848">
        <v>847</v>
      </c>
      <c r="B848" s="23">
        <v>1647.8616019999999</v>
      </c>
      <c r="C848" s="23">
        <v>1407.2</v>
      </c>
    </row>
    <row r="849" spans="1:3" x14ac:dyDescent="0.25">
      <c r="A849">
        <v>848</v>
      </c>
      <c r="B849" s="23">
        <v>1647.588</v>
      </c>
      <c r="C849" s="23">
        <v>1407.0350000000001</v>
      </c>
    </row>
    <row r="850" spans="1:3" x14ac:dyDescent="0.25">
      <c r="A850">
        <v>849</v>
      </c>
      <c r="B850" s="23">
        <v>1647.5440000000001</v>
      </c>
      <c r="C850" s="23">
        <v>1405.711</v>
      </c>
    </row>
    <row r="851" spans="1:3" x14ac:dyDescent="0.25">
      <c r="A851">
        <v>850</v>
      </c>
      <c r="B851" s="23">
        <v>1647.2</v>
      </c>
      <c r="C851" s="23">
        <v>1404.8430000000001</v>
      </c>
    </row>
    <row r="852" spans="1:3" x14ac:dyDescent="0.25">
      <c r="A852">
        <v>851</v>
      </c>
      <c r="B852" s="23">
        <v>1647.2</v>
      </c>
      <c r="C852" s="23">
        <v>1404.8</v>
      </c>
    </row>
    <row r="853" spans="1:3" x14ac:dyDescent="0.25">
      <c r="A853">
        <v>852</v>
      </c>
      <c r="B853" s="23">
        <v>1647.1089440000001</v>
      </c>
      <c r="C853" s="23">
        <v>1404.704</v>
      </c>
    </row>
    <row r="854" spans="1:3" x14ac:dyDescent="0.25">
      <c r="A854">
        <v>853</v>
      </c>
      <c r="B854" s="23">
        <v>1647.1089440000001</v>
      </c>
      <c r="C854" s="23">
        <v>1403.2</v>
      </c>
    </row>
    <row r="855" spans="1:3" x14ac:dyDescent="0.25">
      <c r="A855">
        <v>854</v>
      </c>
      <c r="B855" s="23">
        <v>1646.336</v>
      </c>
      <c r="C855" s="23">
        <v>1403.15</v>
      </c>
    </row>
    <row r="856" spans="1:3" x14ac:dyDescent="0.25">
      <c r="A856">
        <v>855</v>
      </c>
      <c r="B856" s="23">
        <v>1646.173</v>
      </c>
      <c r="C856" s="23">
        <v>1402.5830000000001</v>
      </c>
    </row>
    <row r="857" spans="1:3" x14ac:dyDescent="0.25">
      <c r="A857">
        <v>856</v>
      </c>
      <c r="B857" s="23">
        <v>1645.7650000000001</v>
      </c>
      <c r="C857" s="23">
        <v>1402.55</v>
      </c>
    </row>
    <row r="858" spans="1:3" x14ac:dyDescent="0.25">
      <c r="A858">
        <v>857</v>
      </c>
      <c r="B858" s="23">
        <v>1645.752</v>
      </c>
      <c r="C858" s="23">
        <v>1402.5229999999999</v>
      </c>
    </row>
    <row r="859" spans="1:3" x14ac:dyDescent="0.25">
      <c r="A859">
        <v>858</v>
      </c>
      <c r="B859" s="23">
        <v>1645.6</v>
      </c>
      <c r="C859" s="23">
        <v>1402.5229999999999</v>
      </c>
    </row>
    <row r="860" spans="1:3" x14ac:dyDescent="0.25">
      <c r="A860">
        <v>859</v>
      </c>
      <c r="B860" s="23">
        <v>1645.0650000000001</v>
      </c>
      <c r="C860" s="23">
        <v>1402.4</v>
      </c>
    </row>
    <row r="861" spans="1:3" x14ac:dyDescent="0.25">
      <c r="A861">
        <v>860</v>
      </c>
      <c r="B861" s="23">
        <v>1644.8230000000001</v>
      </c>
      <c r="C861" s="23">
        <v>1402.4</v>
      </c>
    </row>
    <row r="862" spans="1:3" x14ac:dyDescent="0.25">
      <c r="A862">
        <v>861</v>
      </c>
      <c r="B862" s="23">
        <v>1644.797</v>
      </c>
      <c r="C862" s="23">
        <v>1402.373</v>
      </c>
    </row>
    <row r="863" spans="1:3" x14ac:dyDescent="0.25">
      <c r="A863">
        <v>862</v>
      </c>
      <c r="B863" s="23">
        <v>1644.7619999999999</v>
      </c>
      <c r="C863" s="23">
        <v>1402.0070000000001</v>
      </c>
    </row>
    <row r="864" spans="1:3" x14ac:dyDescent="0.25">
      <c r="A864">
        <v>863</v>
      </c>
      <c r="B864" s="23">
        <v>1644.140678</v>
      </c>
      <c r="C864" s="23">
        <v>1401.76</v>
      </c>
    </row>
    <row r="865" spans="1:3" x14ac:dyDescent="0.25">
      <c r="A865">
        <v>864</v>
      </c>
      <c r="B865" s="23">
        <v>1643.9770000000001</v>
      </c>
      <c r="C865" s="23">
        <v>1401.34</v>
      </c>
    </row>
    <row r="866" spans="1:3" x14ac:dyDescent="0.25">
      <c r="A866">
        <v>865</v>
      </c>
      <c r="B866" s="23">
        <v>1643.7</v>
      </c>
      <c r="C866" s="23">
        <v>1400.8</v>
      </c>
    </row>
    <row r="867" spans="1:3" x14ac:dyDescent="0.25">
      <c r="A867">
        <v>866</v>
      </c>
      <c r="B867" s="23">
        <v>1643.4849999999999</v>
      </c>
      <c r="C867" s="23">
        <v>1400.8</v>
      </c>
    </row>
    <row r="868" spans="1:3" x14ac:dyDescent="0.25">
      <c r="A868">
        <v>867</v>
      </c>
      <c r="B868" s="23">
        <v>1643.2242530000001</v>
      </c>
      <c r="C868" s="23">
        <v>1400.125</v>
      </c>
    </row>
    <row r="869" spans="1:3" x14ac:dyDescent="0.25">
      <c r="A869">
        <v>868</v>
      </c>
      <c r="B869" s="23">
        <v>1643.0202509999999</v>
      </c>
      <c r="C869" s="23">
        <v>1400.0429999999999</v>
      </c>
    </row>
    <row r="870" spans="1:3" x14ac:dyDescent="0.25">
      <c r="A870">
        <v>869</v>
      </c>
      <c r="B870" s="23">
        <v>1642.84</v>
      </c>
      <c r="C870" s="23">
        <v>1400</v>
      </c>
    </row>
    <row r="871" spans="1:3" x14ac:dyDescent="0.25">
      <c r="A871">
        <v>870</v>
      </c>
      <c r="B871" s="23">
        <v>1642.4999069999999</v>
      </c>
      <c r="C871" s="23">
        <v>1400</v>
      </c>
    </row>
    <row r="872" spans="1:3" x14ac:dyDescent="0.25">
      <c r="A872">
        <v>871</v>
      </c>
      <c r="B872" s="23">
        <v>1642.4</v>
      </c>
      <c r="C872" s="23">
        <v>1400</v>
      </c>
    </row>
    <row r="873" spans="1:3" x14ac:dyDescent="0.25">
      <c r="A873">
        <v>872</v>
      </c>
      <c r="B873" s="23">
        <v>1642.3118059999999</v>
      </c>
      <c r="C873" s="23">
        <v>1399.307</v>
      </c>
    </row>
    <row r="874" spans="1:3" x14ac:dyDescent="0.25">
      <c r="A874">
        <v>873</v>
      </c>
      <c r="B874" s="23">
        <v>1642.014171</v>
      </c>
      <c r="C874" s="23">
        <v>1398.489</v>
      </c>
    </row>
    <row r="875" spans="1:3" x14ac:dyDescent="0.25">
      <c r="A875">
        <v>874</v>
      </c>
      <c r="B875" s="23">
        <v>1641.9880000000001</v>
      </c>
      <c r="C875" s="23">
        <v>1398.425</v>
      </c>
    </row>
    <row r="876" spans="1:3" x14ac:dyDescent="0.25">
      <c r="A876">
        <v>875</v>
      </c>
      <c r="B876" s="23">
        <v>1641.6575419999999</v>
      </c>
      <c r="C876" s="23">
        <v>1398.4</v>
      </c>
    </row>
    <row r="877" spans="1:3" x14ac:dyDescent="0.25">
      <c r="A877">
        <v>876</v>
      </c>
      <c r="B877" s="23">
        <v>1641.6</v>
      </c>
      <c r="C877" s="23">
        <v>1398.4</v>
      </c>
    </row>
    <row r="878" spans="1:3" x14ac:dyDescent="0.25">
      <c r="A878">
        <v>877</v>
      </c>
      <c r="B878" s="23">
        <v>1641.3779999999999</v>
      </c>
      <c r="C878" s="23">
        <v>1398.4</v>
      </c>
    </row>
    <row r="879" spans="1:3" x14ac:dyDescent="0.25">
      <c r="A879">
        <v>878</v>
      </c>
      <c r="B879" s="23">
        <v>1641.1859999999999</v>
      </c>
      <c r="C879" s="23">
        <v>1397.6</v>
      </c>
    </row>
    <row r="880" spans="1:3" x14ac:dyDescent="0.25">
      <c r="A880">
        <v>879</v>
      </c>
      <c r="B880" s="23">
        <v>1640.8</v>
      </c>
      <c r="C880" s="23">
        <v>1397.6</v>
      </c>
    </row>
    <row r="881" spans="1:3" x14ac:dyDescent="0.25">
      <c r="A881">
        <v>880</v>
      </c>
      <c r="B881" s="23">
        <v>1640.667968</v>
      </c>
      <c r="C881" s="23">
        <v>1396.8</v>
      </c>
    </row>
    <row r="882" spans="1:3" x14ac:dyDescent="0.25">
      <c r="A882">
        <v>881</v>
      </c>
      <c r="B882" s="23">
        <v>1640</v>
      </c>
      <c r="C882" s="23">
        <v>1396.8</v>
      </c>
    </row>
    <row r="883" spans="1:3" x14ac:dyDescent="0.25">
      <c r="A883">
        <v>882</v>
      </c>
      <c r="B883" s="23">
        <v>1639.932221</v>
      </c>
      <c r="C883" s="23">
        <v>1396.8</v>
      </c>
    </row>
    <row r="884" spans="1:3" x14ac:dyDescent="0.25">
      <c r="A884">
        <v>883</v>
      </c>
      <c r="B884" s="23">
        <v>1639.3395619999999</v>
      </c>
      <c r="C884" s="23">
        <v>1396.8</v>
      </c>
    </row>
    <row r="885" spans="1:3" x14ac:dyDescent="0.25">
      <c r="A885">
        <v>884</v>
      </c>
      <c r="B885" s="23">
        <v>1638.931102</v>
      </c>
      <c r="C885" s="23">
        <v>1396.6320000000001</v>
      </c>
    </row>
    <row r="886" spans="1:3" x14ac:dyDescent="0.25">
      <c r="A886">
        <v>885</v>
      </c>
      <c r="B886" s="23">
        <v>1638.7225550000001</v>
      </c>
      <c r="C886" s="23">
        <v>1396</v>
      </c>
    </row>
    <row r="887" spans="1:3" x14ac:dyDescent="0.25">
      <c r="A887">
        <v>886</v>
      </c>
      <c r="B887" s="23">
        <v>1638.604992</v>
      </c>
      <c r="C887" s="23">
        <v>1396</v>
      </c>
    </row>
    <row r="888" spans="1:3" x14ac:dyDescent="0.25">
      <c r="A888">
        <v>887</v>
      </c>
      <c r="B888" s="23">
        <v>1638.537</v>
      </c>
      <c r="C888" s="23">
        <v>1396</v>
      </c>
    </row>
    <row r="889" spans="1:3" x14ac:dyDescent="0.25">
      <c r="A889">
        <v>888</v>
      </c>
      <c r="B889" s="23">
        <v>1638.403</v>
      </c>
      <c r="C889" s="23">
        <v>1395.3810000000001</v>
      </c>
    </row>
    <row r="890" spans="1:3" x14ac:dyDescent="0.25">
      <c r="A890">
        <v>889</v>
      </c>
      <c r="B890" s="23">
        <v>1638.3992069999999</v>
      </c>
      <c r="C890" s="23">
        <v>1395.2809999999999</v>
      </c>
    </row>
    <row r="891" spans="1:3" x14ac:dyDescent="0.25">
      <c r="A891">
        <v>890</v>
      </c>
      <c r="B891" s="23">
        <v>1638.085</v>
      </c>
      <c r="C891" s="23">
        <v>1395.2</v>
      </c>
    </row>
    <row r="892" spans="1:3" x14ac:dyDescent="0.25">
      <c r="A892">
        <v>891</v>
      </c>
      <c r="B892" s="23">
        <v>1638.0250000000001</v>
      </c>
      <c r="C892" s="23">
        <v>1395.2</v>
      </c>
    </row>
    <row r="893" spans="1:3" x14ac:dyDescent="0.25">
      <c r="A893">
        <v>892</v>
      </c>
      <c r="B893" s="23">
        <v>1637.975263</v>
      </c>
      <c r="C893" s="23">
        <v>1395.2</v>
      </c>
    </row>
    <row r="894" spans="1:3" x14ac:dyDescent="0.25">
      <c r="A894">
        <v>893</v>
      </c>
      <c r="B894" s="23">
        <v>1637.6</v>
      </c>
      <c r="C894" s="23">
        <v>1394.961</v>
      </c>
    </row>
    <row r="895" spans="1:3" x14ac:dyDescent="0.25">
      <c r="A895">
        <v>894</v>
      </c>
      <c r="B895" s="23">
        <v>1637.5823969999999</v>
      </c>
      <c r="C895" s="23">
        <v>1394.604</v>
      </c>
    </row>
    <row r="896" spans="1:3" x14ac:dyDescent="0.25">
      <c r="A896">
        <v>895</v>
      </c>
      <c r="B896" s="23">
        <v>1637.2954420000001</v>
      </c>
      <c r="C896" s="23">
        <v>1394.546</v>
      </c>
    </row>
    <row r="897" spans="1:3" x14ac:dyDescent="0.25">
      <c r="A897">
        <v>896</v>
      </c>
      <c r="B897" s="23">
        <v>1637.159478</v>
      </c>
      <c r="C897" s="23">
        <v>1394.546</v>
      </c>
    </row>
    <row r="898" spans="1:3" x14ac:dyDescent="0.25">
      <c r="A898">
        <v>897</v>
      </c>
      <c r="B898" s="23">
        <v>1637.0923110000001</v>
      </c>
      <c r="C898" s="23">
        <v>1394.491</v>
      </c>
    </row>
    <row r="899" spans="1:3" x14ac:dyDescent="0.25">
      <c r="A899">
        <v>898</v>
      </c>
      <c r="B899" s="23">
        <v>1636.944</v>
      </c>
      <c r="C899" s="23">
        <v>1394.4</v>
      </c>
    </row>
    <row r="900" spans="1:3" x14ac:dyDescent="0.25">
      <c r="A900">
        <v>899</v>
      </c>
      <c r="B900" s="23">
        <v>1636.768867</v>
      </c>
      <c r="C900" s="23">
        <v>1394.4</v>
      </c>
    </row>
    <row r="901" spans="1:3" x14ac:dyDescent="0.25">
      <c r="A901">
        <v>900</v>
      </c>
      <c r="B901" s="23">
        <v>1636.5740000000001</v>
      </c>
      <c r="C901" s="23">
        <v>1394.4</v>
      </c>
    </row>
    <row r="902" spans="1:3" x14ac:dyDescent="0.25">
      <c r="A902">
        <v>901</v>
      </c>
      <c r="B902" s="23">
        <v>1636.44982</v>
      </c>
      <c r="C902" s="23">
        <v>1393.6</v>
      </c>
    </row>
    <row r="903" spans="1:3" x14ac:dyDescent="0.25">
      <c r="A903">
        <v>902</v>
      </c>
      <c r="B903" s="23">
        <v>1636.443</v>
      </c>
      <c r="C903" s="23">
        <v>1393.075</v>
      </c>
    </row>
    <row r="904" spans="1:3" x14ac:dyDescent="0.25">
      <c r="A904">
        <v>903</v>
      </c>
      <c r="B904" s="23">
        <v>1636.429928</v>
      </c>
      <c r="C904" s="23">
        <v>1393.075</v>
      </c>
    </row>
    <row r="905" spans="1:3" x14ac:dyDescent="0.25">
      <c r="A905">
        <v>904</v>
      </c>
      <c r="B905" s="23">
        <v>1636.178394</v>
      </c>
      <c r="C905" s="23">
        <v>1392.8</v>
      </c>
    </row>
    <row r="906" spans="1:3" x14ac:dyDescent="0.25">
      <c r="A906">
        <v>905</v>
      </c>
      <c r="B906" s="23">
        <v>1636</v>
      </c>
      <c r="C906" s="23">
        <v>1392.7639999999999</v>
      </c>
    </row>
    <row r="907" spans="1:3" x14ac:dyDescent="0.25">
      <c r="A907">
        <v>906</v>
      </c>
      <c r="B907" s="23">
        <v>1636</v>
      </c>
      <c r="C907" s="23">
        <v>1392.164</v>
      </c>
    </row>
    <row r="908" spans="1:3" x14ac:dyDescent="0.25">
      <c r="A908">
        <v>907</v>
      </c>
      <c r="B908" s="23">
        <v>1636</v>
      </c>
      <c r="C908" s="23">
        <v>1392</v>
      </c>
    </row>
    <row r="909" spans="1:3" x14ac:dyDescent="0.25">
      <c r="A909">
        <v>908</v>
      </c>
      <c r="B909" s="23">
        <v>1635.7964939999999</v>
      </c>
      <c r="C909" s="23">
        <v>1392</v>
      </c>
    </row>
    <row r="910" spans="1:3" x14ac:dyDescent="0.25">
      <c r="A910">
        <v>909</v>
      </c>
      <c r="B910" s="23">
        <v>1635.5820000000001</v>
      </c>
      <c r="C910" s="23">
        <v>1392</v>
      </c>
    </row>
    <row r="911" spans="1:3" x14ac:dyDescent="0.25">
      <c r="A911">
        <v>910</v>
      </c>
      <c r="B911" s="23">
        <v>1635.4380000000001</v>
      </c>
      <c r="C911" s="23">
        <v>1391.9459999999999</v>
      </c>
    </row>
    <row r="912" spans="1:3" x14ac:dyDescent="0.25">
      <c r="A912">
        <v>911</v>
      </c>
      <c r="B912" s="23">
        <v>1635.414</v>
      </c>
      <c r="C912" s="23">
        <v>1391.9349999999999</v>
      </c>
    </row>
    <row r="913" spans="1:3" x14ac:dyDescent="0.25">
      <c r="A913">
        <v>912</v>
      </c>
      <c r="B913" s="23">
        <v>1635.2</v>
      </c>
      <c r="C913" s="23">
        <v>1391.7280000000001</v>
      </c>
    </row>
    <row r="914" spans="1:3" x14ac:dyDescent="0.25">
      <c r="A914">
        <v>913</v>
      </c>
      <c r="B914" s="23">
        <v>1634.626</v>
      </c>
      <c r="C914" s="23">
        <v>1391.588</v>
      </c>
    </row>
    <row r="915" spans="1:3" x14ac:dyDescent="0.25">
      <c r="A915">
        <v>914</v>
      </c>
      <c r="B915" s="23">
        <v>1634.4</v>
      </c>
      <c r="C915" s="23">
        <v>1391.4960000000001</v>
      </c>
    </row>
    <row r="916" spans="1:3" x14ac:dyDescent="0.25">
      <c r="A916">
        <v>915</v>
      </c>
      <c r="B916" s="23">
        <v>1634.4</v>
      </c>
      <c r="C916" s="23">
        <v>1391.367</v>
      </c>
    </row>
    <row r="917" spans="1:3" x14ac:dyDescent="0.25">
      <c r="A917">
        <v>916</v>
      </c>
      <c r="B917" s="23">
        <v>1634.325454</v>
      </c>
      <c r="C917" s="23">
        <v>1391.367</v>
      </c>
    </row>
    <row r="918" spans="1:3" x14ac:dyDescent="0.25">
      <c r="A918">
        <v>917</v>
      </c>
      <c r="B918" s="23">
        <v>1634.306</v>
      </c>
      <c r="C918" s="23">
        <v>1389.6</v>
      </c>
    </row>
    <row r="919" spans="1:3" x14ac:dyDescent="0.25">
      <c r="A919">
        <v>918</v>
      </c>
      <c r="B919" s="23">
        <v>1634.0530000000001</v>
      </c>
      <c r="C919" s="23">
        <v>1388.8</v>
      </c>
    </row>
    <row r="920" spans="1:3" x14ac:dyDescent="0.25">
      <c r="A920">
        <v>919</v>
      </c>
      <c r="B920" s="23">
        <v>1633.953</v>
      </c>
      <c r="C920" s="23">
        <v>1388.675</v>
      </c>
    </row>
    <row r="921" spans="1:3" x14ac:dyDescent="0.25">
      <c r="A921">
        <v>920</v>
      </c>
      <c r="B921" s="23">
        <v>1633.6</v>
      </c>
      <c r="C921" s="23">
        <v>1388.3889999999999</v>
      </c>
    </row>
    <row r="922" spans="1:3" x14ac:dyDescent="0.25">
      <c r="A922">
        <v>921</v>
      </c>
      <c r="B922" s="23">
        <v>1633.5440000000001</v>
      </c>
      <c r="C922" s="23">
        <v>1388</v>
      </c>
    </row>
    <row r="923" spans="1:3" x14ac:dyDescent="0.25">
      <c r="A923">
        <v>922</v>
      </c>
      <c r="B923" s="23">
        <v>1633.0419999999999</v>
      </c>
      <c r="C923" s="23">
        <v>1388</v>
      </c>
    </row>
    <row r="924" spans="1:3" x14ac:dyDescent="0.25">
      <c r="A924">
        <v>923</v>
      </c>
      <c r="B924" s="23">
        <v>1633.019</v>
      </c>
      <c r="C924" s="23">
        <v>1387.2</v>
      </c>
    </row>
    <row r="925" spans="1:3" x14ac:dyDescent="0.25">
      <c r="A925">
        <v>924</v>
      </c>
      <c r="B925" s="23">
        <v>1632.941476</v>
      </c>
      <c r="C925" s="23">
        <v>1386.835</v>
      </c>
    </row>
    <row r="926" spans="1:3" x14ac:dyDescent="0.25">
      <c r="A926">
        <v>925</v>
      </c>
      <c r="B926" s="23">
        <v>1632.8620000000001</v>
      </c>
      <c r="C926" s="23">
        <v>1386.835</v>
      </c>
    </row>
    <row r="927" spans="1:3" x14ac:dyDescent="0.25">
      <c r="A927">
        <v>926</v>
      </c>
      <c r="B927" s="23">
        <v>1632.6969999999999</v>
      </c>
      <c r="C927" s="23">
        <v>1386.835</v>
      </c>
    </row>
    <row r="928" spans="1:3" x14ac:dyDescent="0.25">
      <c r="A928">
        <v>927</v>
      </c>
      <c r="B928" s="23">
        <v>1632.597</v>
      </c>
      <c r="C928" s="23">
        <v>1386.586</v>
      </c>
    </row>
    <row r="929" spans="1:3" x14ac:dyDescent="0.25">
      <c r="A929">
        <v>928</v>
      </c>
      <c r="B929" s="23">
        <v>1632.030078</v>
      </c>
      <c r="C929" s="23">
        <v>1386.4</v>
      </c>
    </row>
    <row r="930" spans="1:3" x14ac:dyDescent="0.25">
      <c r="A930">
        <v>929</v>
      </c>
      <c r="B930" s="23">
        <v>1632</v>
      </c>
      <c r="C930" s="23">
        <v>1386.4</v>
      </c>
    </row>
    <row r="931" spans="1:3" x14ac:dyDescent="0.25">
      <c r="A931">
        <v>930</v>
      </c>
      <c r="B931" s="23">
        <v>1632</v>
      </c>
      <c r="C931" s="23">
        <v>1386.4</v>
      </c>
    </row>
    <row r="932" spans="1:3" x14ac:dyDescent="0.25">
      <c r="A932">
        <v>931</v>
      </c>
      <c r="B932" s="23">
        <v>1631.5530000000001</v>
      </c>
      <c r="C932" s="23">
        <v>1386.2660000000001</v>
      </c>
    </row>
    <row r="933" spans="1:3" x14ac:dyDescent="0.25">
      <c r="A933">
        <v>932</v>
      </c>
      <c r="B933" s="23">
        <v>1631.3869999999999</v>
      </c>
      <c r="C933" s="23">
        <v>1385.6</v>
      </c>
    </row>
    <row r="934" spans="1:3" x14ac:dyDescent="0.25">
      <c r="A934">
        <v>933</v>
      </c>
      <c r="B934" s="23">
        <v>1631.193</v>
      </c>
      <c r="C934" s="23">
        <v>1384.8</v>
      </c>
    </row>
    <row r="935" spans="1:3" x14ac:dyDescent="0.25">
      <c r="A935">
        <v>934</v>
      </c>
      <c r="B935" s="23">
        <v>1630.98</v>
      </c>
      <c r="C935" s="23">
        <v>1384.8</v>
      </c>
    </row>
    <row r="936" spans="1:3" x14ac:dyDescent="0.25">
      <c r="A936">
        <v>935</v>
      </c>
      <c r="B936" s="23">
        <v>1630.57798</v>
      </c>
      <c r="C936" s="23">
        <v>1384.8</v>
      </c>
    </row>
    <row r="937" spans="1:3" x14ac:dyDescent="0.25">
      <c r="A937">
        <v>936</v>
      </c>
      <c r="B937" s="23">
        <v>1629.8510000000001</v>
      </c>
      <c r="C937" s="23">
        <v>1384</v>
      </c>
    </row>
    <row r="938" spans="1:3" x14ac:dyDescent="0.25">
      <c r="A938">
        <v>937</v>
      </c>
      <c r="B938" s="23">
        <v>1629.663</v>
      </c>
      <c r="C938" s="23">
        <v>1383.44</v>
      </c>
    </row>
    <row r="939" spans="1:3" x14ac:dyDescent="0.25">
      <c r="A939">
        <v>938</v>
      </c>
      <c r="B939" s="23">
        <v>1629.66</v>
      </c>
      <c r="C939" s="23">
        <v>1383.09</v>
      </c>
    </row>
    <row r="940" spans="1:3" x14ac:dyDescent="0.25">
      <c r="A940">
        <v>939</v>
      </c>
      <c r="B940" s="23">
        <v>1629.6</v>
      </c>
      <c r="C940" s="23">
        <v>1382.778</v>
      </c>
    </row>
    <row r="941" spans="1:3" x14ac:dyDescent="0.25">
      <c r="A941">
        <v>940</v>
      </c>
      <c r="B941" s="23">
        <v>1629.559</v>
      </c>
      <c r="C941" s="23">
        <v>1382.7159999999999</v>
      </c>
    </row>
    <row r="942" spans="1:3" x14ac:dyDescent="0.25">
      <c r="A942">
        <v>941</v>
      </c>
      <c r="B942" s="23">
        <v>1629.508</v>
      </c>
      <c r="C942" s="23">
        <v>1382.4</v>
      </c>
    </row>
    <row r="943" spans="1:3" x14ac:dyDescent="0.25">
      <c r="A943">
        <v>942</v>
      </c>
      <c r="B943" s="23">
        <v>1629.220051</v>
      </c>
      <c r="C943" s="23">
        <v>1382.4</v>
      </c>
    </row>
    <row r="944" spans="1:3" x14ac:dyDescent="0.25">
      <c r="A944">
        <v>943</v>
      </c>
      <c r="B944" s="23">
        <v>1628.8</v>
      </c>
      <c r="C944" s="23">
        <v>1382.173</v>
      </c>
    </row>
    <row r="945" spans="1:3" x14ac:dyDescent="0.25">
      <c r="A945">
        <v>944</v>
      </c>
      <c r="B945" s="23">
        <v>1628.792056</v>
      </c>
      <c r="C945" s="23">
        <v>1382.0329999999999</v>
      </c>
    </row>
    <row r="946" spans="1:3" x14ac:dyDescent="0.25">
      <c r="A946">
        <v>945</v>
      </c>
      <c r="B946" s="23">
        <v>1628.74503</v>
      </c>
      <c r="C946" s="23">
        <v>1381.6</v>
      </c>
    </row>
    <row r="947" spans="1:3" x14ac:dyDescent="0.25">
      <c r="A947">
        <v>946</v>
      </c>
      <c r="B947" s="23">
        <v>1628.67347</v>
      </c>
      <c r="C947" s="23">
        <v>1380.8</v>
      </c>
    </row>
    <row r="948" spans="1:3" x14ac:dyDescent="0.25">
      <c r="A948">
        <v>947</v>
      </c>
      <c r="B948" s="23">
        <v>1628.6013049999999</v>
      </c>
      <c r="C948" s="23">
        <v>1380.8</v>
      </c>
    </row>
    <row r="949" spans="1:3" x14ac:dyDescent="0.25">
      <c r="A949">
        <v>948</v>
      </c>
      <c r="B949" s="23">
        <v>1628.348</v>
      </c>
      <c r="C949" s="23">
        <v>1380.8</v>
      </c>
    </row>
    <row r="950" spans="1:3" x14ac:dyDescent="0.25">
      <c r="A950">
        <v>949</v>
      </c>
      <c r="B950" s="23">
        <v>1628.2677699999999</v>
      </c>
      <c r="C950" s="23">
        <v>1380.21</v>
      </c>
    </row>
    <row r="951" spans="1:3" x14ac:dyDescent="0.25">
      <c r="A951">
        <v>950</v>
      </c>
      <c r="B951" s="23">
        <v>1628</v>
      </c>
      <c r="C951" s="23">
        <v>1380</v>
      </c>
    </row>
    <row r="952" spans="1:3" x14ac:dyDescent="0.25">
      <c r="A952">
        <v>951</v>
      </c>
      <c r="B952" s="23">
        <v>1627.857</v>
      </c>
      <c r="C952" s="23">
        <v>1379.9860000000001</v>
      </c>
    </row>
    <row r="953" spans="1:3" x14ac:dyDescent="0.25">
      <c r="A953">
        <v>952</v>
      </c>
      <c r="B953" s="23">
        <v>1627.7258099999999</v>
      </c>
      <c r="C953" s="23">
        <v>1379.414</v>
      </c>
    </row>
    <row r="954" spans="1:3" x14ac:dyDescent="0.25">
      <c r="A954">
        <v>953</v>
      </c>
      <c r="B954" s="23">
        <v>1627.696999</v>
      </c>
      <c r="C954" s="23">
        <v>1379.2</v>
      </c>
    </row>
    <row r="955" spans="1:3" x14ac:dyDescent="0.25">
      <c r="A955">
        <v>954</v>
      </c>
      <c r="B955" s="23">
        <v>1627.3789999999999</v>
      </c>
      <c r="C955" s="23">
        <v>1378.4</v>
      </c>
    </row>
    <row r="956" spans="1:3" x14ac:dyDescent="0.25">
      <c r="A956">
        <v>955</v>
      </c>
      <c r="B956" s="23">
        <v>1627.268</v>
      </c>
      <c r="C956" s="23">
        <v>1377.6</v>
      </c>
    </row>
    <row r="957" spans="1:3" x14ac:dyDescent="0.25">
      <c r="A957">
        <v>956</v>
      </c>
      <c r="B957" s="23">
        <v>1627.259</v>
      </c>
      <c r="C957" s="23">
        <v>1377.6</v>
      </c>
    </row>
    <row r="958" spans="1:3" x14ac:dyDescent="0.25">
      <c r="A958">
        <v>957</v>
      </c>
      <c r="B958" s="23">
        <v>1627.1869999999999</v>
      </c>
      <c r="C958" s="23">
        <v>1377.2260000000001</v>
      </c>
    </row>
    <row r="959" spans="1:3" x14ac:dyDescent="0.25">
      <c r="A959">
        <v>958</v>
      </c>
      <c r="B959" s="23">
        <v>1626.9090000000001</v>
      </c>
      <c r="C959" s="23">
        <v>1376.8</v>
      </c>
    </row>
    <row r="960" spans="1:3" x14ac:dyDescent="0.25">
      <c r="A960">
        <v>959</v>
      </c>
      <c r="B960" s="23">
        <v>1626.908551</v>
      </c>
      <c r="C960" s="23">
        <v>1376.8</v>
      </c>
    </row>
    <row r="961" spans="1:3" x14ac:dyDescent="0.25">
      <c r="A961">
        <v>960</v>
      </c>
      <c r="B961" s="23">
        <v>1626.6089999999999</v>
      </c>
      <c r="C961" s="23">
        <v>1376.8</v>
      </c>
    </row>
    <row r="962" spans="1:3" x14ac:dyDescent="0.25">
      <c r="A962">
        <v>961</v>
      </c>
      <c r="B962" s="23">
        <v>1626.5602019999999</v>
      </c>
      <c r="C962" s="23">
        <v>1376.8</v>
      </c>
    </row>
    <row r="963" spans="1:3" x14ac:dyDescent="0.25">
      <c r="A963">
        <v>962</v>
      </c>
      <c r="B963" s="23">
        <v>1626.32</v>
      </c>
      <c r="C963" s="23">
        <v>1376.664</v>
      </c>
    </row>
    <row r="964" spans="1:3" x14ac:dyDescent="0.25">
      <c r="A964">
        <v>963</v>
      </c>
      <c r="B964" s="23">
        <v>1625.7919999999999</v>
      </c>
      <c r="C964" s="23">
        <v>1376.1579999999999</v>
      </c>
    </row>
    <row r="965" spans="1:3" x14ac:dyDescent="0.25">
      <c r="A965">
        <v>964</v>
      </c>
      <c r="B965" s="23">
        <v>1625.6</v>
      </c>
      <c r="C965" s="23">
        <v>1376</v>
      </c>
    </row>
    <row r="966" spans="1:3" x14ac:dyDescent="0.25">
      <c r="A966">
        <v>965</v>
      </c>
      <c r="B966" s="23">
        <v>1625.5989999999999</v>
      </c>
      <c r="C966" s="23">
        <v>1375.2</v>
      </c>
    </row>
    <row r="967" spans="1:3" x14ac:dyDescent="0.25">
      <c r="A967">
        <v>966</v>
      </c>
      <c r="B967" s="23">
        <v>1625.4019760000001</v>
      </c>
      <c r="C967" s="23">
        <v>1375.2</v>
      </c>
    </row>
    <row r="968" spans="1:3" x14ac:dyDescent="0.25">
      <c r="A968">
        <v>967</v>
      </c>
      <c r="B968" s="23">
        <v>1625.3589999999999</v>
      </c>
      <c r="C968" s="23">
        <v>1374.7380000000001</v>
      </c>
    </row>
    <row r="969" spans="1:3" x14ac:dyDescent="0.25">
      <c r="A969">
        <v>968</v>
      </c>
      <c r="B969" s="23">
        <v>1625.1210000000001</v>
      </c>
      <c r="C969" s="23">
        <v>1373.136</v>
      </c>
    </row>
    <row r="970" spans="1:3" x14ac:dyDescent="0.25">
      <c r="A970">
        <v>969</v>
      </c>
      <c r="B970" s="23">
        <v>1625.027994</v>
      </c>
      <c r="C970" s="23">
        <v>1373.1310000000001</v>
      </c>
    </row>
    <row r="971" spans="1:3" x14ac:dyDescent="0.25">
      <c r="A971">
        <v>970</v>
      </c>
      <c r="B971" s="23">
        <v>1624.992</v>
      </c>
      <c r="C971" s="23">
        <v>1372.1569999999999</v>
      </c>
    </row>
    <row r="972" spans="1:3" x14ac:dyDescent="0.25">
      <c r="A972">
        <v>971</v>
      </c>
      <c r="B972" s="23">
        <v>1624.8</v>
      </c>
      <c r="C972" s="23">
        <v>1371.4449999999999</v>
      </c>
    </row>
    <row r="973" spans="1:3" x14ac:dyDescent="0.25">
      <c r="A973">
        <v>972</v>
      </c>
      <c r="B973" s="23">
        <v>1624.8</v>
      </c>
      <c r="C973" s="23">
        <v>1371.211</v>
      </c>
    </row>
    <row r="974" spans="1:3" x14ac:dyDescent="0.25">
      <c r="A974">
        <v>973</v>
      </c>
      <c r="B974" s="23">
        <v>1624.376</v>
      </c>
      <c r="C974" s="23">
        <v>1371.2</v>
      </c>
    </row>
    <row r="975" spans="1:3" x14ac:dyDescent="0.25">
      <c r="A975">
        <v>974</v>
      </c>
      <c r="B975" s="23">
        <v>1624.258</v>
      </c>
      <c r="C975" s="23">
        <v>1369.8510000000001</v>
      </c>
    </row>
    <row r="976" spans="1:3" x14ac:dyDescent="0.25">
      <c r="A976">
        <v>975</v>
      </c>
      <c r="B976" s="23">
        <v>1624.0727260000001</v>
      </c>
      <c r="C976" s="23">
        <v>1369.6</v>
      </c>
    </row>
    <row r="977" spans="1:3" x14ac:dyDescent="0.25">
      <c r="A977">
        <v>976</v>
      </c>
      <c r="B977" s="23">
        <v>1624</v>
      </c>
      <c r="C977" s="23">
        <v>1369.6</v>
      </c>
    </row>
    <row r="978" spans="1:3" x14ac:dyDescent="0.25">
      <c r="A978">
        <v>977</v>
      </c>
      <c r="B978" s="23">
        <v>1624</v>
      </c>
      <c r="C978" s="23">
        <v>1369.6</v>
      </c>
    </row>
    <row r="979" spans="1:3" x14ac:dyDescent="0.25">
      <c r="A979">
        <v>978</v>
      </c>
      <c r="B979" s="23">
        <v>1624</v>
      </c>
      <c r="C979" s="23">
        <v>1369.538</v>
      </c>
    </row>
    <row r="980" spans="1:3" x14ac:dyDescent="0.25">
      <c r="A980">
        <v>979</v>
      </c>
      <c r="B980" s="23">
        <v>1623.797863</v>
      </c>
      <c r="C980" s="23">
        <v>1368.8</v>
      </c>
    </row>
    <row r="981" spans="1:3" x14ac:dyDescent="0.25">
      <c r="A981">
        <v>980</v>
      </c>
      <c r="B981" s="23">
        <v>1623.5930000000001</v>
      </c>
      <c r="C981" s="23">
        <v>1368.8</v>
      </c>
    </row>
    <row r="982" spans="1:3" x14ac:dyDescent="0.25">
      <c r="A982">
        <v>981</v>
      </c>
      <c r="B982" s="23">
        <v>1623.580342</v>
      </c>
      <c r="C982" s="23">
        <v>1368.8</v>
      </c>
    </row>
    <row r="983" spans="1:3" x14ac:dyDescent="0.25">
      <c r="A983">
        <v>982</v>
      </c>
      <c r="B983" s="23">
        <v>1623.547722</v>
      </c>
      <c r="C983" s="23">
        <v>1368.2570000000001</v>
      </c>
    </row>
    <row r="984" spans="1:3" x14ac:dyDescent="0.25">
      <c r="A984">
        <v>983</v>
      </c>
      <c r="B984" s="23">
        <v>1623.4697880000001</v>
      </c>
      <c r="C984" s="23">
        <v>1368</v>
      </c>
    </row>
    <row r="985" spans="1:3" x14ac:dyDescent="0.25">
      <c r="A985">
        <v>984</v>
      </c>
      <c r="B985" s="23">
        <v>1623.432</v>
      </c>
      <c r="C985" s="23">
        <v>1368</v>
      </c>
    </row>
    <row r="986" spans="1:3" x14ac:dyDescent="0.25">
      <c r="A986">
        <v>985</v>
      </c>
      <c r="B986" s="23">
        <v>1623.3210859999999</v>
      </c>
      <c r="C986" s="23">
        <v>1367.412</v>
      </c>
    </row>
    <row r="987" spans="1:3" x14ac:dyDescent="0.25">
      <c r="A987">
        <v>986</v>
      </c>
      <c r="B987" s="23">
        <v>1623.2449999999999</v>
      </c>
      <c r="C987" s="23">
        <v>1367.2</v>
      </c>
    </row>
    <row r="988" spans="1:3" x14ac:dyDescent="0.25">
      <c r="A988">
        <v>987</v>
      </c>
      <c r="B988" s="23">
        <v>1623.038</v>
      </c>
      <c r="C988" s="23">
        <v>1367.2</v>
      </c>
    </row>
    <row r="989" spans="1:3" x14ac:dyDescent="0.25">
      <c r="A989">
        <v>988</v>
      </c>
      <c r="B989" s="23">
        <v>1622.9691069999999</v>
      </c>
      <c r="C989" s="23">
        <v>1366.663</v>
      </c>
    </row>
    <row r="990" spans="1:3" x14ac:dyDescent="0.25">
      <c r="A990">
        <v>989</v>
      </c>
      <c r="B990" s="23">
        <v>1622.4644310000001</v>
      </c>
      <c r="C990" s="23">
        <v>1366.634</v>
      </c>
    </row>
    <row r="991" spans="1:3" x14ac:dyDescent="0.25">
      <c r="A991">
        <v>990</v>
      </c>
      <c r="B991" s="23">
        <v>1622.4</v>
      </c>
      <c r="C991" s="23">
        <v>1366.634</v>
      </c>
    </row>
    <row r="992" spans="1:3" x14ac:dyDescent="0.25">
      <c r="A992">
        <v>991</v>
      </c>
      <c r="B992" s="23">
        <v>1622.4</v>
      </c>
      <c r="C992" s="23">
        <v>1366.4</v>
      </c>
    </row>
    <row r="993" spans="1:3" x14ac:dyDescent="0.25">
      <c r="A993">
        <v>992</v>
      </c>
      <c r="B993" s="23">
        <v>1622.4</v>
      </c>
      <c r="C993" s="23">
        <v>1366.4</v>
      </c>
    </row>
    <row r="994" spans="1:3" x14ac:dyDescent="0.25">
      <c r="A994">
        <v>993</v>
      </c>
      <c r="B994" s="23">
        <v>1622.298</v>
      </c>
      <c r="C994" s="23">
        <v>1366.4</v>
      </c>
    </row>
    <row r="995" spans="1:3" x14ac:dyDescent="0.25">
      <c r="A995">
        <v>994</v>
      </c>
      <c r="B995" s="23">
        <v>1622.297</v>
      </c>
      <c r="C995" s="23">
        <v>1365.6</v>
      </c>
    </row>
    <row r="996" spans="1:3" x14ac:dyDescent="0.25">
      <c r="A996">
        <v>995</v>
      </c>
      <c r="B996" s="23">
        <v>1621.6659999999999</v>
      </c>
      <c r="C996" s="23">
        <v>1365.6</v>
      </c>
    </row>
    <row r="997" spans="1:3" x14ac:dyDescent="0.25">
      <c r="A997">
        <v>996</v>
      </c>
      <c r="B997" s="23">
        <v>1621.6</v>
      </c>
      <c r="C997" s="23">
        <v>1365.482</v>
      </c>
    </row>
    <row r="998" spans="1:3" x14ac:dyDescent="0.25">
      <c r="A998">
        <v>997</v>
      </c>
      <c r="B998" s="23">
        <v>1621.58</v>
      </c>
      <c r="C998" s="23">
        <v>1364.9580000000001</v>
      </c>
    </row>
    <row r="999" spans="1:3" x14ac:dyDescent="0.25">
      <c r="A999">
        <v>998</v>
      </c>
      <c r="B999" s="23">
        <v>1621.22</v>
      </c>
      <c r="C999" s="23">
        <v>1364.8</v>
      </c>
    </row>
    <row r="1000" spans="1:3" x14ac:dyDescent="0.25">
      <c r="A1000">
        <v>999</v>
      </c>
      <c r="B1000" s="23">
        <v>1621.135</v>
      </c>
      <c r="C1000" s="23">
        <v>1364.8</v>
      </c>
    </row>
    <row r="1001" spans="1:3" x14ac:dyDescent="0.25">
      <c r="A1001">
        <v>1000</v>
      </c>
      <c r="B1001" s="23">
        <v>1620.8810000000001</v>
      </c>
      <c r="C1001" s="23">
        <v>1364.2729999999999</v>
      </c>
    </row>
    <row r="1002" spans="1:3" x14ac:dyDescent="0.25">
      <c r="A1002">
        <v>1001</v>
      </c>
      <c r="B1002" s="23">
        <v>1620.8484330000001</v>
      </c>
      <c r="C1002" s="23">
        <v>1364.1010000000001</v>
      </c>
    </row>
    <row r="1003" spans="1:3" x14ac:dyDescent="0.25">
      <c r="A1003">
        <v>1002</v>
      </c>
      <c r="B1003" s="23">
        <v>1620.7670000000001</v>
      </c>
      <c r="C1003" s="23">
        <v>1364</v>
      </c>
    </row>
    <row r="1004" spans="1:3" x14ac:dyDescent="0.25">
      <c r="A1004">
        <v>1003</v>
      </c>
      <c r="B1004" s="23">
        <v>1620.6759999999999</v>
      </c>
      <c r="C1004" s="23">
        <v>1364</v>
      </c>
    </row>
    <row r="1005" spans="1:3" x14ac:dyDescent="0.25">
      <c r="A1005">
        <v>1004</v>
      </c>
      <c r="B1005" s="23">
        <v>1620.5807870000001</v>
      </c>
      <c r="C1005" s="23">
        <v>1363.654</v>
      </c>
    </row>
    <row r="1006" spans="1:3" x14ac:dyDescent="0.25">
      <c r="A1006">
        <v>1005</v>
      </c>
      <c r="B1006" s="23">
        <v>1620.4415120000001</v>
      </c>
      <c r="C1006" s="23">
        <v>1363.3219999999999</v>
      </c>
    </row>
    <row r="1007" spans="1:3" x14ac:dyDescent="0.25">
      <c r="A1007">
        <v>1006</v>
      </c>
      <c r="B1007" s="23">
        <v>1620.3869999999999</v>
      </c>
      <c r="C1007" s="23">
        <v>1363.3219999999999</v>
      </c>
    </row>
    <row r="1008" spans="1:3" x14ac:dyDescent="0.25">
      <c r="A1008">
        <v>1007</v>
      </c>
      <c r="B1008" s="23">
        <v>1620.241</v>
      </c>
      <c r="C1008" s="23">
        <v>1363.2</v>
      </c>
    </row>
    <row r="1009" spans="1:3" x14ac:dyDescent="0.25">
      <c r="A1009">
        <v>1008</v>
      </c>
      <c r="B1009" s="23">
        <v>1620.088</v>
      </c>
      <c r="C1009" s="23">
        <v>1362.6790000000001</v>
      </c>
    </row>
    <row r="1010" spans="1:3" x14ac:dyDescent="0.25">
      <c r="A1010">
        <v>1009</v>
      </c>
      <c r="B1010" s="23">
        <v>1620</v>
      </c>
      <c r="C1010" s="23">
        <v>1362.5050000000001</v>
      </c>
    </row>
    <row r="1011" spans="1:3" x14ac:dyDescent="0.25">
      <c r="A1011">
        <v>1010</v>
      </c>
      <c r="B1011" s="23">
        <v>1619.4760000000001</v>
      </c>
      <c r="C1011" s="23">
        <v>1362.4</v>
      </c>
    </row>
    <row r="1012" spans="1:3" x14ac:dyDescent="0.25">
      <c r="A1012">
        <v>1011</v>
      </c>
      <c r="B1012" s="23">
        <v>1619.2758819999999</v>
      </c>
      <c r="C1012" s="23">
        <v>1362.4</v>
      </c>
    </row>
    <row r="1013" spans="1:3" x14ac:dyDescent="0.25">
      <c r="A1013">
        <v>1012</v>
      </c>
      <c r="B1013" s="23">
        <v>1619.2</v>
      </c>
      <c r="C1013" s="23">
        <v>1362.4</v>
      </c>
    </row>
    <row r="1014" spans="1:3" x14ac:dyDescent="0.25">
      <c r="A1014">
        <v>1013</v>
      </c>
      <c r="B1014" s="23">
        <v>1618.778</v>
      </c>
      <c r="C1014" s="23">
        <v>1362.1130000000001</v>
      </c>
    </row>
    <row r="1015" spans="1:3" x14ac:dyDescent="0.25">
      <c r="A1015">
        <v>1014</v>
      </c>
      <c r="B1015" s="23">
        <v>1617.9572519999999</v>
      </c>
      <c r="C1015" s="23">
        <v>1361.6</v>
      </c>
    </row>
    <row r="1016" spans="1:3" x14ac:dyDescent="0.25">
      <c r="A1016">
        <v>1015</v>
      </c>
      <c r="B1016" s="23">
        <v>1617.940098</v>
      </c>
      <c r="C1016" s="23">
        <v>1361.529</v>
      </c>
    </row>
    <row r="1017" spans="1:3" x14ac:dyDescent="0.25">
      <c r="A1017">
        <v>1016</v>
      </c>
      <c r="B1017" s="23">
        <v>1617.779</v>
      </c>
      <c r="C1017" s="23">
        <v>1361.338</v>
      </c>
    </row>
    <row r="1018" spans="1:3" x14ac:dyDescent="0.25">
      <c r="A1018">
        <v>1017</v>
      </c>
      <c r="B1018" s="23">
        <v>1617.6569999999999</v>
      </c>
      <c r="C1018" s="23">
        <v>1361.338</v>
      </c>
    </row>
    <row r="1019" spans="1:3" x14ac:dyDescent="0.25">
      <c r="A1019">
        <v>1018</v>
      </c>
      <c r="B1019" s="23">
        <v>1617.6</v>
      </c>
      <c r="C1019" s="23">
        <v>1360.8</v>
      </c>
    </row>
    <row r="1020" spans="1:3" x14ac:dyDescent="0.25">
      <c r="A1020">
        <v>1019</v>
      </c>
      <c r="B1020" s="23">
        <v>1617.23</v>
      </c>
      <c r="C1020" s="23">
        <v>1360.8</v>
      </c>
    </row>
    <row r="1021" spans="1:3" x14ac:dyDescent="0.25">
      <c r="A1021">
        <v>1020</v>
      </c>
      <c r="B1021" s="23">
        <v>1616.8</v>
      </c>
      <c r="C1021" s="23">
        <v>1360.6469999999999</v>
      </c>
    </row>
    <row r="1022" spans="1:3" x14ac:dyDescent="0.25">
      <c r="A1022">
        <v>1021</v>
      </c>
      <c r="B1022" s="23">
        <v>1616.6729740000001</v>
      </c>
      <c r="C1022" s="23">
        <v>1358.6079999999999</v>
      </c>
    </row>
    <row r="1023" spans="1:3" x14ac:dyDescent="0.25">
      <c r="A1023">
        <v>1022</v>
      </c>
      <c r="B1023" s="23">
        <v>1616.357</v>
      </c>
      <c r="C1023" s="23">
        <v>1358.4</v>
      </c>
    </row>
    <row r="1024" spans="1:3" x14ac:dyDescent="0.25">
      <c r="A1024">
        <v>1023</v>
      </c>
      <c r="B1024" s="23">
        <v>1616.0409999999999</v>
      </c>
      <c r="C1024" s="23">
        <v>1358.4</v>
      </c>
    </row>
    <row r="1025" spans="1:3" x14ac:dyDescent="0.25">
      <c r="A1025">
        <v>1024</v>
      </c>
      <c r="B1025" s="23">
        <v>1616.0318649999999</v>
      </c>
      <c r="C1025" s="23">
        <v>1358.4</v>
      </c>
    </row>
    <row r="1026" spans="1:3" x14ac:dyDescent="0.25">
      <c r="A1026">
        <v>1025</v>
      </c>
      <c r="B1026" s="23">
        <v>1616</v>
      </c>
      <c r="C1026" s="23">
        <v>1358.088</v>
      </c>
    </row>
    <row r="1027" spans="1:3" x14ac:dyDescent="0.25">
      <c r="A1027">
        <v>1026</v>
      </c>
      <c r="B1027" s="23">
        <v>1615.953</v>
      </c>
      <c r="C1027" s="23">
        <v>1357.97</v>
      </c>
    </row>
    <row r="1028" spans="1:3" x14ac:dyDescent="0.25">
      <c r="A1028">
        <v>1027</v>
      </c>
      <c r="B1028" s="23">
        <v>1615.890789</v>
      </c>
      <c r="C1028" s="23">
        <v>1357.6</v>
      </c>
    </row>
    <row r="1029" spans="1:3" x14ac:dyDescent="0.25">
      <c r="A1029">
        <v>1028</v>
      </c>
      <c r="B1029" s="23">
        <v>1615.55457</v>
      </c>
      <c r="C1029" s="23">
        <v>1357.6</v>
      </c>
    </row>
    <row r="1030" spans="1:3" x14ac:dyDescent="0.25">
      <c r="A1030">
        <v>1029</v>
      </c>
      <c r="B1030" s="23">
        <v>1615.2725150000001</v>
      </c>
      <c r="C1030" s="23">
        <v>1357.194</v>
      </c>
    </row>
    <row r="1031" spans="1:3" x14ac:dyDescent="0.25">
      <c r="A1031">
        <v>1030</v>
      </c>
      <c r="B1031" s="23">
        <v>1615.2579929999999</v>
      </c>
      <c r="C1031" s="23">
        <v>1357.1010000000001</v>
      </c>
    </row>
    <row r="1032" spans="1:3" x14ac:dyDescent="0.25">
      <c r="A1032">
        <v>1031</v>
      </c>
      <c r="B1032" s="23">
        <v>1615.2544780000001</v>
      </c>
      <c r="C1032" s="23">
        <v>1356.9639999999999</v>
      </c>
    </row>
    <row r="1033" spans="1:3" x14ac:dyDescent="0.25">
      <c r="A1033">
        <v>1032</v>
      </c>
      <c r="B1033" s="23">
        <v>1615.2</v>
      </c>
      <c r="C1033" s="23">
        <v>1356.8</v>
      </c>
    </row>
    <row r="1034" spans="1:3" x14ac:dyDescent="0.25">
      <c r="A1034">
        <v>1033</v>
      </c>
      <c r="B1034" s="23">
        <v>1615.0866120000001</v>
      </c>
      <c r="C1034" s="23">
        <v>1356.8</v>
      </c>
    </row>
    <row r="1035" spans="1:3" x14ac:dyDescent="0.25">
      <c r="A1035">
        <v>1034</v>
      </c>
      <c r="B1035" s="23">
        <v>1615.0409999999999</v>
      </c>
      <c r="C1035" s="23">
        <v>1356.8</v>
      </c>
    </row>
    <row r="1036" spans="1:3" x14ac:dyDescent="0.25">
      <c r="A1036">
        <v>1035</v>
      </c>
      <c r="B1036" s="23">
        <v>1614.836</v>
      </c>
      <c r="C1036" s="23">
        <v>1356</v>
      </c>
    </row>
    <row r="1037" spans="1:3" x14ac:dyDescent="0.25">
      <c r="A1037">
        <v>1036</v>
      </c>
      <c r="B1037" s="23">
        <v>1614.825</v>
      </c>
      <c r="C1037" s="23">
        <v>1356</v>
      </c>
    </row>
    <row r="1038" spans="1:3" x14ac:dyDescent="0.25">
      <c r="A1038">
        <v>1037</v>
      </c>
      <c r="B1038" s="23">
        <v>1614.354</v>
      </c>
      <c r="C1038" s="23">
        <v>1356</v>
      </c>
    </row>
    <row r="1039" spans="1:3" x14ac:dyDescent="0.25">
      <c r="A1039">
        <v>1038</v>
      </c>
      <c r="B1039" s="23">
        <v>1614.2360000000001</v>
      </c>
      <c r="C1039" s="23">
        <v>1355.7570000000001</v>
      </c>
    </row>
    <row r="1040" spans="1:3" x14ac:dyDescent="0.25">
      <c r="A1040">
        <v>1039</v>
      </c>
      <c r="B1040" s="23">
        <v>1614.058</v>
      </c>
      <c r="C1040" s="23">
        <v>1355.5070000000001</v>
      </c>
    </row>
    <row r="1041" spans="1:3" x14ac:dyDescent="0.25">
      <c r="A1041">
        <v>1040</v>
      </c>
      <c r="B1041" s="23">
        <v>1613.9670000000001</v>
      </c>
      <c r="C1041" s="23">
        <v>1355.144</v>
      </c>
    </row>
    <row r="1042" spans="1:3" x14ac:dyDescent="0.25">
      <c r="A1042">
        <v>1041</v>
      </c>
      <c r="B1042" s="23">
        <v>1613.938723</v>
      </c>
      <c r="C1042" s="23">
        <v>1354.98</v>
      </c>
    </row>
    <row r="1043" spans="1:3" x14ac:dyDescent="0.25">
      <c r="A1043">
        <v>1042</v>
      </c>
      <c r="B1043" s="23">
        <v>1613.7006019999999</v>
      </c>
      <c r="C1043" s="23">
        <v>1354.4</v>
      </c>
    </row>
    <row r="1044" spans="1:3" x14ac:dyDescent="0.25">
      <c r="A1044">
        <v>1043</v>
      </c>
      <c r="B1044" s="23">
        <v>1613.6</v>
      </c>
      <c r="C1044" s="23">
        <v>1354.202</v>
      </c>
    </row>
    <row r="1045" spans="1:3" x14ac:dyDescent="0.25">
      <c r="A1045">
        <v>1044</v>
      </c>
      <c r="B1045" s="23">
        <v>1613.6</v>
      </c>
      <c r="C1045" s="23">
        <v>1353.508</v>
      </c>
    </row>
    <row r="1046" spans="1:3" x14ac:dyDescent="0.25">
      <c r="A1046">
        <v>1045</v>
      </c>
      <c r="B1046" s="23">
        <v>1613.5783750000001</v>
      </c>
      <c r="C1046" s="23">
        <v>1353.4259999999999</v>
      </c>
    </row>
    <row r="1047" spans="1:3" x14ac:dyDescent="0.25">
      <c r="A1047">
        <v>1046</v>
      </c>
      <c r="B1047" s="23">
        <v>1612.9236639999999</v>
      </c>
      <c r="C1047" s="23">
        <v>1353.116</v>
      </c>
    </row>
    <row r="1048" spans="1:3" x14ac:dyDescent="0.25">
      <c r="A1048">
        <v>1047</v>
      </c>
      <c r="B1048" s="23">
        <v>1612.7739999999999</v>
      </c>
      <c r="C1048" s="23">
        <v>1352.8</v>
      </c>
    </row>
    <row r="1049" spans="1:3" x14ac:dyDescent="0.25">
      <c r="A1049">
        <v>1048</v>
      </c>
      <c r="B1049" s="23">
        <v>1612.223</v>
      </c>
      <c r="C1049" s="23">
        <v>1352.769</v>
      </c>
    </row>
    <row r="1050" spans="1:3" x14ac:dyDescent="0.25">
      <c r="A1050">
        <v>1049</v>
      </c>
      <c r="B1050" s="23">
        <v>1612.0777720000001</v>
      </c>
      <c r="C1050" s="23">
        <v>1352.3589999999999</v>
      </c>
    </row>
    <row r="1051" spans="1:3" x14ac:dyDescent="0.25">
      <c r="A1051">
        <v>1050</v>
      </c>
      <c r="B1051" s="23">
        <v>1612</v>
      </c>
      <c r="C1051" s="23">
        <v>1352.319</v>
      </c>
    </row>
    <row r="1052" spans="1:3" x14ac:dyDescent="0.25">
      <c r="A1052">
        <v>1051</v>
      </c>
      <c r="B1052" s="23">
        <v>1612</v>
      </c>
      <c r="C1052" s="23">
        <v>1352.319</v>
      </c>
    </row>
    <row r="1053" spans="1:3" x14ac:dyDescent="0.25">
      <c r="A1053">
        <v>1052</v>
      </c>
      <c r="B1053" s="23">
        <v>1611.558</v>
      </c>
      <c r="C1053" s="23">
        <v>1352</v>
      </c>
    </row>
    <row r="1054" spans="1:3" x14ac:dyDescent="0.25">
      <c r="A1054">
        <v>1053</v>
      </c>
      <c r="B1054" s="23">
        <v>1611.0829719999999</v>
      </c>
      <c r="C1054" s="23">
        <v>1351.886</v>
      </c>
    </row>
    <row r="1055" spans="1:3" x14ac:dyDescent="0.25">
      <c r="A1055">
        <v>1054</v>
      </c>
      <c r="B1055" s="23">
        <v>1610.9349999999999</v>
      </c>
      <c r="C1055" s="23">
        <v>1351.8720000000001</v>
      </c>
    </row>
    <row r="1056" spans="1:3" x14ac:dyDescent="0.25">
      <c r="A1056">
        <v>1055</v>
      </c>
      <c r="B1056" s="23">
        <v>1610.809</v>
      </c>
      <c r="C1056" s="23">
        <v>1351.5219999999999</v>
      </c>
    </row>
    <row r="1057" spans="1:3" x14ac:dyDescent="0.25">
      <c r="A1057">
        <v>1056</v>
      </c>
      <c r="B1057" s="23">
        <v>1610.3070560000001</v>
      </c>
      <c r="C1057" s="23">
        <v>1351.2</v>
      </c>
    </row>
    <row r="1058" spans="1:3" x14ac:dyDescent="0.25">
      <c r="A1058">
        <v>1057</v>
      </c>
      <c r="B1058" s="23">
        <v>1610.2570000000001</v>
      </c>
      <c r="C1058" s="23">
        <v>1351.2</v>
      </c>
    </row>
    <row r="1059" spans="1:3" x14ac:dyDescent="0.25">
      <c r="A1059">
        <v>1058</v>
      </c>
      <c r="B1059" s="23">
        <v>1610.069831</v>
      </c>
      <c r="C1059" s="23">
        <v>1351.0550000000001</v>
      </c>
    </row>
    <row r="1060" spans="1:3" x14ac:dyDescent="0.25">
      <c r="A1060">
        <v>1059</v>
      </c>
      <c r="B1060" s="23">
        <v>1610.0630000000001</v>
      </c>
      <c r="C1060" s="23">
        <v>1350.4</v>
      </c>
    </row>
    <row r="1061" spans="1:3" x14ac:dyDescent="0.25">
      <c r="A1061">
        <v>1060</v>
      </c>
      <c r="B1061" s="23">
        <v>1609.89148</v>
      </c>
      <c r="C1061" s="23">
        <v>1350.4</v>
      </c>
    </row>
    <row r="1062" spans="1:3" x14ac:dyDescent="0.25">
      <c r="A1062">
        <v>1061</v>
      </c>
      <c r="B1062" s="23">
        <v>1609.75</v>
      </c>
      <c r="C1062" s="23">
        <v>1350.4</v>
      </c>
    </row>
    <row r="1063" spans="1:3" x14ac:dyDescent="0.25">
      <c r="A1063">
        <v>1062</v>
      </c>
      <c r="B1063" s="23">
        <v>1609.7142200000001</v>
      </c>
      <c r="C1063" s="23">
        <v>1350.2370000000001</v>
      </c>
    </row>
    <row r="1064" spans="1:3" x14ac:dyDescent="0.25">
      <c r="A1064">
        <v>1063</v>
      </c>
      <c r="B1064" s="23">
        <v>1609.667402</v>
      </c>
      <c r="C1064" s="23">
        <v>1349.6790000000001</v>
      </c>
    </row>
    <row r="1065" spans="1:3" x14ac:dyDescent="0.25">
      <c r="A1065">
        <v>1064</v>
      </c>
      <c r="B1065" s="23">
        <v>1609.6</v>
      </c>
      <c r="C1065" s="23">
        <v>1349.6</v>
      </c>
    </row>
    <row r="1066" spans="1:3" x14ac:dyDescent="0.25">
      <c r="A1066">
        <v>1065</v>
      </c>
      <c r="B1066" s="23">
        <v>1609.3489999999999</v>
      </c>
      <c r="C1066" s="23">
        <v>1349.1320000000001</v>
      </c>
    </row>
    <row r="1067" spans="1:3" x14ac:dyDescent="0.25">
      <c r="A1067">
        <v>1066</v>
      </c>
      <c r="B1067" s="23">
        <v>1609.172</v>
      </c>
      <c r="C1067" s="23">
        <v>1348.944</v>
      </c>
    </row>
    <row r="1068" spans="1:3" x14ac:dyDescent="0.25">
      <c r="A1068">
        <v>1067</v>
      </c>
      <c r="B1068" s="23">
        <v>1609.0447999999999</v>
      </c>
      <c r="C1068" s="23">
        <v>1348.873</v>
      </c>
    </row>
    <row r="1069" spans="1:3" x14ac:dyDescent="0.25">
      <c r="A1069">
        <v>1068</v>
      </c>
      <c r="B1069" s="23">
        <v>1608.9549999999999</v>
      </c>
      <c r="C1069" s="23">
        <v>1348.8</v>
      </c>
    </row>
    <row r="1070" spans="1:3" x14ac:dyDescent="0.25">
      <c r="A1070">
        <v>1069</v>
      </c>
      <c r="B1070" s="23">
        <v>1608.8247389999999</v>
      </c>
      <c r="C1070" s="23">
        <v>1348.8</v>
      </c>
    </row>
    <row r="1071" spans="1:3" x14ac:dyDescent="0.25">
      <c r="A1071">
        <v>1070</v>
      </c>
      <c r="B1071" s="23">
        <v>1608.7860000000001</v>
      </c>
      <c r="C1071" s="23">
        <v>1348.8</v>
      </c>
    </row>
    <row r="1072" spans="1:3" x14ac:dyDescent="0.25">
      <c r="A1072">
        <v>1071</v>
      </c>
      <c r="B1072" s="23">
        <v>1608.759</v>
      </c>
      <c r="C1072" s="23">
        <v>1348</v>
      </c>
    </row>
    <row r="1073" spans="1:3" x14ac:dyDescent="0.25">
      <c r="A1073">
        <v>1072</v>
      </c>
      <c r="B1073" s="23">
        <v>1608.7589499999999</v>
      </c>
      <c r="C1073" s="23">
        <v>1347.7840000000001</v>
      </c>
    </row>
    <row r="1074" spans="1:3" x14ac:dyDescent="0.25">
      <c r="A1074">
        <v>1073</v>
      </c>
      <c r="B1074" s="23">
        <v>1608.326</v>
      </c>
      <c r="C1074" s="23">
        <v>1347.2</v>
      </c>
    </row>
    <row r="1075" spans="1:3" x14ac:dyDescent="0.25">
      <c r="A1075">
        <v>1074</v>
      </c>
      <c r="B1075" s="23">
        <v>1608.296</v>
      </c>
      <c r="C1075" s="23">
        <v>1347.2</v>
      </c>
    </row>
    <row r="1076" spans="1:3" x14ac:dyDescent="0.25">
      <c r="A1076">
        <v>1075</v>
      </c>
      <c r="B1076" s="23">
        <v>1608.087</v>
      </c>
      <c r="C1076" s="23">
        <v>1347.2</v>
      </c>
    </row>
    <row r="1077" spans="1:3" x14ac:dyDescent="0.25">
      <c r="A1077">
        <v>1076</v>
      </c>
      <c r="B1077" s="23">
        <v>1607.957081</v>
      </c>
      <c r="C1077" s="23">
        <v>1346.434</v>
      </c>
    </row>
    <row r="1078" spans="1:3" x14ac:dyDescent="0.25">
      <c r="A1078">
        <v>1077</v>
      </c>
      <c r="B1078" s="23">
        <v>1607.779773</v>
      </c>
      <c r="C1078" s="23">
        <v>1346.4</v>
      </c>
    </row>
    <row r="1079" spans="1:3" x14ac:dyDescent="0.25">
      <c r="A1079">
        <v>1078</v>
      </c>
      <c r="B1079" s="23">
        <v>1607.6891270000001</v>
      </c>
      <c r="C1079" s="23">
        <v>1345.6</v>
      </c>
    </row>
    <row r="1080" spans="1:3" x14ac:dyDescent="0.25">
      <c r="A1080">
        <v>1079</v>
      </c>
      <c r="B1080" s="23">
        <v>1607.655</v>
      </c>
      <c r="C1080" s="23">
        <v>1345.6</v>
      </c>
    </row>
    <row r="1081" spans="1:3" x14ac:dyDescent="0.25">
      <c r="A1081">
        <v>1080</v>
      </c>
      <c r="B1081" s="23">
        <v>1607.3969999999999</v>
      </c>
      <c r="C1081" s="23">
        <v>1345.6</v>
      </c>
    </row>
    <row r="1082" spans="1:3" x14ac:dyDescent="0.25">
      <c r="A1082">
        <v>1081</v>
      </c>
      <c r="B1082" s="23">
        <v>1607.2</v>
      </c>
      <c r="C1082" s="23">
        <v>1345.6</v>
      </c>
    </row>
    <row r="1083" spans="1:3" x14ac:dyDescent="0.25">
      <c r="A1083">
        <v>1082</v>
      </c>
      <c r="B1083" s="23">
        <v>1606.8240000000001</v>
      </c>
      <c r="C1083" s="23">
        <v>1345.1469999999999</v>
      </c>
    </row>
    <row r="1084" spans="1:3" x14ac:dyDescent="0.25">
      <c r="A1084">
        <v>1083</v>
      </c>
      <c r="B1084" s="23">
        <v>1606.752</v>
      </c>
      <c r="C1084" s="23">
        <v>1345.1020000000001</v>
      </c>
    </row>
    <row r="1085" spans="1:3" x14ac:dyDescent="0.25">
      <c r="A1085">
        <v>1084</v>
      </c>
      <c r="B1085" s="23">
        <v>1606.691</v>
      </c>
      <c r="C1085" s="23">
        <v>1344.8</v>
      </c>
    </row>
    <row r="1086" spans="1:3" x14ac:dyDescent="0.25">
      <c r="A1086">
        <v>1085</v>
      </c>
      <c r="B1086" s="23">
        <v>1606.6790000000001</v>
      </c>
      <c r="C1086" s="23">
        <v>1344.8</v>
      </c>
    </row>
    <row r="1087" spans="1:3" x14ac:dyDescent="0.25">
      <c r="A1087">
        <v>1086</v>
      </c>
      <c r="B1087" s="23">
        <v>1606.5070000000001</v>
      </c>
      <c r="C1087" s="23">
        <v>1344.8</v>
      </c>
    </row>
    <row r="1088" spans="1:3" x14ac:dyDescent="0.25">
      <c r="A1088">
        <v>1087</v>
      </c>
      <c r="B1088" s="23">
        <v>1606.5007680000001</v>
      </c>
      <c r="C1088" s="23">
        <v>1344.8</v>
      </c>
    </row>
    <row r="1089" spans="1:3" x14ac:dyDescent="0.25">
      <c r="A1089">
        <v>1088</v>
      </c>
      <c r="B1089" s="23">
        <v>1605.867</v>
      </c>
      <c r="C1089" s="23">
        <v>1344</v>
      </c>
    </row>
    <row r="1090" spans="1:3" x14ac:dyDescent="0.25">
      <c r="A1090">
        <v>1089</v>
      </c>
      <c r="B1090" s="23">
        <v>1605.7639999999999</v>
      </c>
      <c r="C1090" s="23">
        <v>1343.38</v>
      </c>
    </row>
    <row r="1091" spans="1:3" x14ac:dyDescent="0.25">
      <c r="A1091">
        <v>1090</v>
      </c>
      <c r="B1091" s="23">
        <v>1605.5446930000001</v>
      </c>
      <c r="C1091" s="23">
        <v>1343.2</v>
      </c>
    </row>
    <row r="1092" spans="1:3" x14ac:dyDescent="0.25">
      <c r="A1092">
        <v>1091</v>
      </c>
      <c r="B1092" s="23">
        <v>1605.5219999999999</v>
      </c>
      <c r="C1092" s="23">
        <v>1342.549</v>
      </c>
    </row>
    <row r="1093" spans="1:3" x14ac:dyDescent="0.25">
      <c r="A1093">
        <v>1092</v>
      </c>
      <c r="B1093" s="23">
        <v>1605.2894980000001</v>
      </c>
      <c r="C1093" s="23">
        <v>1341.96</v>
      </c>
    </row>
    <row r="1094" spans="1:3" x14ac:dyDescent="0.25">
      <c r="A1094">
        <v>1093</v>
      </c>
      <c r="B1094" s="23">
        <v>1605.270822</v>
      </c>
      <c r="C1094" s="23">
        <v>1341.96</v>
      </c>
    </row>
    <row r="1095" spans="1:3" x14ac:dyDescent="0.25">
      <c r="A1095">
        <v>1094</v>
      </c>
      <c r="B1095" s="23">
        <v>1605.1610800000001</v>
      </c>
      <c r="C1095" s="23">
        <v>1341.829</v>
      </c>
    </row>
    <row r="1096" spans="1:3" x14ac:dyDescent="0.25">
      <c r="A1096">
        <v>1095</v>
      </c>
      <c r="B1096" s="23">
        <v>1604.8989999999999</v>
      </c>
      <c r="C1096" s="23">
        <v>1341.6</v>
      </c>
    </row>
    <row r="1097" spans="1:3" x14ac:dyDescent="0.25">
      <c r="A1097">
        <v>1096</v>
      </c>
      <c r="B1097" s="23">
        <v>1604.627</v>
      </c>
      <c r="C1097" s="23">
        <v>1341.6</v>
      </c>
    </row>
    <row r="1098" spans="1:3" x14ac:dyDescent="0.25">
      <c r="A1098">
        <v>1097</v>
      </c>
      <c r="B1098" s="23">
        <v>1604.4169999999999</v>
      </c>
      <c r="C1098" s="23">
        <v>1341.163</v>
      </c>
    </row>
    <row r="1099" spans="1:3" x14ac:dyDescent="0.25">
      <c r="A1099">
        <v>1098</v>
      </c>
      <c r="B1099" s="23">
        <v>1604.172</v>
      </c>
      <c r="C1099" s="23">
        <v>1340.366</v>
      </c>
    </row>
    <row r="1100" spans="1:3" x14ac:dyDescent="0.25">
      <c r="A1100">
        <v>1099</v>
      </c>
      <c r="B1100" s="23">
        <v>1604.1110000000001</v>
      </c>
      <c r="C1100" s="23">
        <v>1340.366</v>
      </c>
    </row>
    <row r="1101" spans="1:3" x14ac:dyDescent="0.25">
      <c r="A1101">
        <v>1100</v>
      </c>
      <c r="B1101" s="23">
        <v>1603.942</v>
      </c>
      <c r="C1101" s="23">
        <v>1340</v>
      </c>
    </row>
    <row r="1102" spans="1:3" x14ac:dyDescent="0.25">
      <c r="A1102">
        <v>1101</v>
      </c>
      <c r="B1102" s="23">
        <v>1603.7739999999999</v>
      </c>
      <c r="C1102" s="23">
        <v>1340</v>
      </c>
    </row>
    <row r="1103" spans="1:3" x14ac:dyDescent="0.25">
      <c r="A1103">
        <v>1102</v>
      </c>
      <c r="B1103" s="23">
        <v>1603.619829</v>
      </c>
      <c r="C1103" s="23">
        <v>1339.569</v>
      </c>
    </row>
    <row r="1104" spans="1:3" x14ac:dyDescent="0.25">
      <c r="A1104">
        <v>1103</v>
      </c>
      <c r="B1104" s="23">
        <v>1603.4885300000001</v>
      </c>
      <c r="C1104" s="23">
        <v>1339.569</v>
      </c>
    </row>
    <row r="1105" spans="1:3" x14ac:dyDescent="0.25">
      <c r="A1105">
        <v>1104</v>
      </c>
      <c r="B1105" s="23">
        <v>1603.4559999999999</v>
      </c>
      <c r="C1105" s="23">
        <v>1339.4169999999999</v>
      </c>
    </row>
    <row r="1106" spans="1:3" x14ac:dyDescent="0.25">
      <c r="A1106">
        <v>1105</v>
      </c>
      <c r="B1106" s="23">
        <v>1603.433614</v>
      </c>
      <c r="C1106" s="23">
        <v>1339.2360000000001</v>
      </c>
    </row>
    <row r="1107" spans="1:3" x14ac:dyDescent="0.25">
      <c r="A1107">
        <v>1106</v>
      </c>
      <c r="B1107" s="23">
        <v>1603.201</v>
      </c>
      <c r="C1107" s="23">
        <v>1338.664</v>
      </c>
    </row>
    <row r="1108" spans="1:3" x14ac:dyDescent="0.25">
      <c r="A1108">
        <v>1107</v>
      </c>
      <c r="B1108" s="23">
        <v>1603.2</v>
      </c>
      <c r="C1108" s="23">
        <v>1338.646</v>
      </c>
    </row>
    <row r="1109" spans="1:3" x14ac:dyDescent="0.25">
      <c r="A1109">
        <v>1108</v>
      </c>
      <c r="B1109" s="23">
        <v>1603.2</v>
      </c>
      <c r="C1109" s="23">
        <v>1338.4</v>
      </c>
    </row>
    <row r="1110" spans="1:3" x14ac:dyDescent="0.25">
      <c r="A1110">
        <v>1109</v>
      </c>
      <c r="B1110" s="23">
        <v>1603.039</v>
      </c>
      <c r="C1110" s="23">
        <v>1337.8879999999999</v>
      </c>
    </row>
    <row r="1111" spans="1:3" x14ac:dyDescent="0.25">
      <c r="A1111">
        <v>1110</v>
      </c>
      <c r="B1111" s="23">
        <v>1602.9960000000001</v>
      </c>
      <c r="C1111" s="23">
        <v>1337.6</v>
      </c>
    </row>
    <row r="1112" spans="1:3" x14ac:dyDescent="0.25">
      <c r="A1112">
        <v>1111</v>
      </c>
      <c r="B1112" s="23">
        <v>1602.9465869999999</v>
      </c>
      <c r="C1112" s="23">
        <v>1337.6</v>
      </c>
    </row>
    <row r="1113" spans="1:3" x14ac:dyDescent="0.25">
      <c r="A1113">
        <v>1112</v>
      </c>
      <c r="B1113" s="23">
        <v>1602.912779</v>
      </c>
      <c r="C1113" s="23">
        <v>1337.0619999999999</v>
      </c>
    </row>
    <row r="1114" spans="1:3" x14ac:dyDescent="0.25">
      <c r="A1114">
        <v>1113</v>
      </c>
      <c r="B1114" s="23">
        <v>1602.8810000000001</v>
      </c>
      <c r="C1114" s="23">
        <v>1336.8</v>
      </c>
    </row>
    <row r="1115" spans="1:3" x14ac:dyDescent="0.25">
      <c r="A1115">
        <v>1114</v>
      </c>
      <c r="B1115" s="23">
        <v>1602.5830000000001</v>
      </c>
      <c r="C1115" s="23">
        <v>1336.473</v>
      </c>
    </row>
    <row r="1116" spans="1:3" x14ac:dyDescent="0.25">
      <c r="A1116">
        <v>1115</v>
      </c>
      <c r="B1116" s="23">
        <v>1602.4359999999999</v>
      </c>
      <c r="C1116" s="23">
        <v>1336</v>
      </c>
    </row>
    <row r="1117" spans="1:3" x14ac:dyDescent="0.25">
      <c r="A1117">
        <v>1116</v>
      </c>
      <c r="B1117" s="23">
        <v>1602.4</v>
      </c>
      <c r="C1117" s="23">
        <v>1335.2</v>
      </c>
    </row>
    <row r="1118" spans="1:3" x14ac:dyDescent="0.25">
      <c r="A1118">
        <v>1117</v>
      </c>
      <c r="B1118" s="23">
        <v>1602.3009999999999</v>
      </c>
      <c r="C1118" s="23">
        <v>1335.0920000000001</v>
      </c>
    </row>
    <row r="1119" spans="1:3" x14ac:dyDescent="0.25">
      <c r="A1119">
        <v>1118</v>
      </c>
      <c r="B1119" s="23">
        <v>1602.2650000000001</v>
      </c>
      <c r="C1119" s="23">
        <v>1335.0920000000001</v>
      </c>
    </row>
    <row r="1120" spans="1:3" x14ac:dyDescent="0.25">
      <c r="A1120">
        <v>1119</v>
      </c>
      <c r="B1120" s="23">
        <v>1602.1426750000001</v>
      </c>
      <c r="C1120" s="23">
        <v>1334.6980000000001</v>
      </c>
    </row>
    <row r="1121" spans="1:3" x14ac:dyDescent="0.25">
      <c r="A1121">
        <v>1120</v>
      </c>
      <c r="B1121" s="23">
        <v>1602.043907</v>
      </c>
      <c r="C1121" s="23">
        <v>1334.4</v>
      </c>
    </row>
    <row r="1122" spans="1:3" x14ac:dyDescent="0.25">
      <c r="A1122">
        <v>1121</v>
      </c>
      <c r="B1122" s="23">
        <v>1601.831999</v>
      </c>
      <c r="C1122" s="23">
        <v>1333.6</v>
      </c>
    </row>
    <row r="1123" spans="1:3" x14ac:dyDescent="0.25">
      <c r="A1123">
        <v>1122</v>
      </c>
      <c r="B1123" s="23">
        <v>1601.6</v>
      </c>
      <c r="C1123" s="23">
        <v>1333.6</v>
      </c>
    </row>
    <row r="1124" spans="1:3" x14ac:dyDescent="0.25">
      <c r="A1124">
        <v>1123</v>
      </c>
      <c r="B1124" s="23">
        <v>1601.6</v>
      </c>
      <c r="C1124" s="23">
        <v>1333.6</v>
      </c>
    </row>
    <row r="1125" spans="1:3" x14ac:dyDescent="0.25">
      <c r="A1125">
        <v>1124</v>
      </c>
      <c r="B1125" s="23">
        <v>1601.6</v>
      </c>
      <c r="C1125" s="23">
        <v>1333.02</v>
      </c>
    </row>
    <row r="1126" spans="1:3" x14ac:dyDescent="0.25">
      <c r="A1126">
        <v>1125</v>
      </c>
      <c r="B1126" s="23">
        <v>1601.4670000000001</v>
      </c>
      <c r="C1126" s="23">
        <v>1332.8</v>
      </c>
    </row>
    <row r="1127" spans="1:3" x14ac:dyDescent="0.25">
      <c r="A1127">
        <v>1126</v>
      </c>
      <c r="B1127" s="23">
        <v>1601.404</v>
      </c>
      <c r="C1127" s="23">
        <v>1332.8</v>
      </c>
    </row>
    <row r="1128" spans="1:3" x14ac:dyDescent="0.25">
      <c r="A1128">
        <v>1127</v>
      </c>
      <c r="B1128" s="23">
        <v>1601.327</v>
      </c>
      <c r="C1128" s="23">
        <v>1332.451</v>
      </c>
    </row>
    <row r="1129" spans="1:3" x14ac:dyDescent="0.25">
      <c r="A1129">
        <v>1128</v>
      </c>
      <c r="B1129" s="23">
        <v>1601.227099</v>
      </c>
      <c r="C1129" s="23">
        <v>1332</v>
      </c>
    </row>
    <row r="1130" spans="1:3" x14ac:dyDescent="0.25">
      <c r="A1130">
        <v>1129</v>
      </c>
      <c r="B1130" s="23">
        <v>1601.1341950000001</v>
      </c>
      <c r="C1130" s="23">
        <v>1331.6389999999999</v>
      </c>
    </row>
    <row r="1131" spans="1:3" x14ac:dyDescent="0.25">
      <c r="A1131">
        <v>1130</v>
      </c>
      <c r="B1131" s="23">
        <v>1601.039</v>
      </c>
      <c r="C1131" s="23">
        <v>1331.63</v>
      </c>
    </row>
    <row r="1132" spans="1:3" x14ac:dyDescent="0.25">
      <c r="A1132">
        <v>1131</v>
      </c>
      <c r="B1132" s="23">
        <v>1600.8</v>
      </c>
      <c r="C1132" s="23">
        <v>1331.4269999999999</v>
      </c>
    </row>
    <row r="1133" spans="1:3" x14ac:dyDescent="0.25">
      <c r="A1133">
        <v>1132</v>
      </c>
      <c r="B1133" s="23">
        <v>1600.5360000000001</v>
      </c>
      <c r="C1133" s="23">
        <v>1331.2</v>
      </c>
    </row>
    <row r="1134" spans="1:3" x14ac:dyDescent="0.25">
      <c r="A1134">
        <v>1133</v>
      </c>
      <c r="B1134" s="23">
        <v>1600.335</v>
      </c>
      <c r="C1134" s="23">
        <v>1331.2</v>
      </c>
    </row>
    <row r="1135" spans="1:3" x14ac:dyDescent="0.25">
      <c r="A1135">
        <v>1134</v>
      </c>
      <c r="B1135" s="23">
        <v>1600</v>
      </c>
      <c r="C1135" s="23">
        <v>1330.3109999999999</v>
      </c>
    </row>
    <row r="1136" spans="1:3" x14ac:dyDescent="0.25">
      <c r="A1136">
        <v>1135</v>
      </c>
      <c r="B1136" s="23">
        <v>1600</v>
      </c>
      <c r="C1136" s="23">
        <v>1329.82</v>
      </c>
    </row>
    <row r="1137" spans="1:3" x14ac:dyDescent="0.25">
      <c r="A1137">
        <v>1136</v>
      </c>
      <c r="B1137" s="23">
        <v>1599.883</v>
      </c>
      <c r="C1137" s="23">
        <v>1329.82</v>
      </c>
    </row>
    <row r="1138" spans="1:3" x14ac:dyDescent="0.25">
      <c r="A1138">
        <v>1137</v>
      </c>
      <c r="B1138" s="23">
        <v>1599.8309999999999</v>
      </c>
      <c r="C1138" s="23">
        <v>1329.6</v>
      </c>
    </row>
    <row r="1139" spans="1:3" x14ac:dyDescent="0.25">
      <c r="A1139">
        <v>1138</v>
      </c>
      <c r="B1139" s="23">
        <v>1599.7157139999999</v>
      </c>
      <c r="C1139" s="23">
        <v>1329.6</v>
      </c>
    </row>
    <row r="1140" spans="1:3" x14ac:dyDescent="0.25">
      <c r="A1140">
        <v>1139</v>
      </c>
      <c r="B1140" s="23">
        <v>1599.6752670000001</v>
      </c>
      <c r="C1140" s="23">
        <v>1329.085</v>
      </c>
    </row>
    <row r="1141" spans="1:3" x14ac:dyDescent="0.25">
      <c r="A1141">
        <v>1140</v>
      </c>
      <c r="B1141" s="23">
        <v>1599.5180350000001</v>
      </c>
      <c r="C1141" s="23">
        <v>1328.8</v>
      </c>
    </row>
    <row r="1142" spans="1:3" x14ac:dyDescent="0.25">
      <c r="A1142">
        <v>1141</v>
      </c>
      <c r="B1142" s="23">
        <v>1599.501</v>
      </c>
      <c r="C1142" s="23">
        <v>1328.8</v>
      </c>
    </row>
    <row r="1143" spans="1:3" x14ac:dyDescent="0.25">
      <c r="A1143">
        <v>1142</v>
      </c>
      <c r="B1143" s="23">
        <v>1599.2</v>
      </c>
      <c r="C1143" s="23">
        <v>1328.5640000000001</v>
      </c>
    </row>
    <row r="1144" spans="1:3" x14ac:dyDescent="0.25">
      <c r="A1144">
        <v>1143</v>
      </c>
      <c r="B1144" s="23">
        <v>1599.2</v>
      </c>
      <c r="C1144" s="23">
        <v>1328.413</v>
      </c>
    </row>
    <row r="1145" spans="1:3" x14ac:dyDescent="0.25">
      <c r="A1145">
        <v>1144</v>
      </c>
      <c r="B1145" s="23">
        <v>1598.971</v>
      </c>
      <c r="C1145" s="23">
        <v>1328.1559999999999</v>
      </c>
    </row>
    <row r="1146" spans="1:3" x14ac:dyDescent="0.25">
      <c r="A1146">
        <v>1145</v>
      </c>
      <c r="B1146" s="23">
        <v>1598.4</v>
      </c>
      <c r="C1146" s="23">
        <v>1327.9559999999999</v>
      </c>
    </row>
    <row r="1147" spans="1:3" x14ac:dyDescent="0.25">
      <c r="A1147">
        <v>1146</v>
      </c>
      <c r="B1147" s="23">
        <v>1598.4</v>
      </c>
      <c r="C1147" s="23">
        <v>1327.751</v>
      </c>
    </row>
    <row r="1148" spans="1:3" x14ac:dyDescent="0.25">
      <c r="A1148">
        <v>1147</v>
      </c>
      <c r="B1148" s="23">
        <v>1598.3854570000001</v>
      </c>
      <c r="C1148" s="23">
        <v>1327.2</v>
      </c>
    </row>
    <row r="1149" spans="1:3" x14ac:dyDescent="0.25">
      <c r="A1149">
        <v>1148</v>
      </c>
      <c r="B1149" s="23">
        <v>1598.239</v>
      </c>
      <c r="C1149" s="23">
        <v>1326.819</v>
      </c>
    </row>
    <row r="1150" spans="1:3" x14ac:dyDescent="0.25">
      <c r="A1150">
        <v>1149</v>
      </c>
      <c r="B1150" s="23">
        <v>1597.991</v>
      </c>
      <c r="C1150" s="23">
        <v>1326.5170000000001</v>
      </c>
    </row>
    <row r="1151" spans="1:3" x14ac:dyDescent="0.25">
      <c r="A1151">
        <v>1150</v>
      </c>
      <c r="B1151" s="23">
        <v>1597.92</v>
      </c>
      <c r="C1151" s="23">
        <v>1326.4</v>
      </c>
    </row>
    <row r="1152" spans="1:3" x14ac:dyDescent="0.25">
      <c r="A1152">
        <v>1151</v>
      </c>
      <c r="B1152" s="23">
        <v>1597.642261</v>
      </c>
      <c r="C1152" s="23">
        <v>1326.4</v>
      </c>
    </row>
    <row r="1153" spans="1:3" x14ac:dyDescent="0.25">
      <c r="A1153">
        <v>1152</v>
      </c>
      <c r="B1153" s="23">
        <v>1597.6</v>
      </c>
      <c r="C1153" s="23">
        <v>1326.0219999999999</v>
      </c>
    </row>
    <row r="1154" spans="1:3" x14ac:dyDescent="0.25">
      <c r="A1154">
        <v>1153</v>
      </c>
      <c r="B1154" s="23">
        <v>1597.596</v>
      </c>
      <c r="C1154" s="23">
        <v>1325.702</v>
      </c>
    </row>
    <row r="1155" spans="1:3" x14ac:dyDescent="0.25">
      <c r="A1155">
        <v>1154</v>
      </c>
      <c r="B1155" s="23">
        <v>1597.549454</v>
      </c>
      <c r="C1155" s="23">
        <v>1325.6</v>
      </c>
    </row>
    <row r="1156" spans="1:3" x14ac:dyDescent="0.25">
      <c r="A1156">
        <v>1155</v>
      </c>
      <c r="B1156" s="23">
        <v>1597.412</v>
      </c>
      <c r="C1156" s="23">
        <v>1325.6</v>
      </c>
    </row>
    <row r="1157" spans="1:3" x14ac:dyDescent="0.25">
      <c r="A1157">
        <v>1156</v>
      </c>
      <c r="B1157" s="23">
        <v>1596.3166100000001</v>
      </c>
      <c r="C1157" s="23">
        <v>1325.6</v>
      </c>
    </row>
    <row r="1158" spans="1:3" x14ac:dyDescent="0.25">
      <c r="A1158">
        <v>1157</v>
      </c>
      <c r="B1158" s="23">
        <v>1595.5861179999999</v>
      </c>
      <c r="C1158" s="23">
        <v>1325.4570000000001</v>
      </c>
    </row>
    <row r="1159" spans="1:3" x14ac:dyDescent="0.25">
      <c r="A1159">
        <v>1158</v>
      </c>
      <c r="B1159" s="23">
        <v>1595.3702310000001</v>
      </c>
      <c r="C1159" s="23">
        <v>1324.8</v>
      </c>
    </row>
    <row r="1160" spans="1:3" x14ac:dyDescent="0.25">
      <c r="A1160">
        <v>1159</v>
      </c>
      <c r="B1160" s="23">
        <v>1595.193951</v>
      </c>
      <c r="C1160" s="23">
        <v>1324.8</v>
      </c>
    </row>
    <row r="1161" spans="1:3" x14ac:dyDescent="0.25">
      <c r="A1161">
        <v>1160</v>
      </c>
      <c r="B1161" s="23">
        <v>1595.174994</v>
      </c>
      <c r="C1161" s="23">
        <v>1324.067</v>
      </c>
    </row>
    <row r="1162" spans="1:3" x14ac:dyDescent="0.25">
      <c r="A1162">
        <v>1161</v>
      </c>
      <c r="B1162" s="23">
        <v>1595.054085</v>
      </c>
      <c r="C1162" s="23">
        <v>1324</v>
      </c>
    </row>
    <row r="1163" spans="1:3" x14ac:dyDescent="0.25">
      <c r="A1163">
        <v>1162</v>
      </c>
      <c r="B1163" s="23">
        <v>1594.663</v>
      </c>
      <c r="C1163" s="23">
        <v>1324</v>
      </c>
    </row>
    <row r="1164" spans="1:3" x14ac:dyDescent="0.25">
      <c r="A1164">
        <v>1163</v>
      </c>
      <c r="B1164" s="23">
        <v>1594.6539620000001</v>
      </c>
      <c r="C1164" s="23">
        <v>1324</v>
      </c>
    </row>
    <row r="1165" spans="1:3" x14ac:dyDescent="0.25">
      <c r="A1165">
        <v>1164</v>
      </c>
      <c r="B1165" s="23">
        <v>1594.4069999999999</v>
      </c>
      <c r="C1165" s="23">
        <v>1324</v>
      </c>
    </row>
    <row r="1166" spans="1:3" x14ac:dyDescent="0.25">
      <c r="A1166">
        <v>1165</v>
      </c>
      <c r="B1166" s="23">
        <v>1593.999</v>
      </c>
      <c r="C1166" s="23">
        <v>1324</v>
      </c>
    </row>
    <row r="1167" spans="1:3" x14ac:dyDescent="0.25">
      <c r="A1167">
        <v>1166</v>
      </c>
      <c r="B1167" s="23">
        <v>1593.7705350000001</v>
      </c>
      <c r="C1167" s="23">
        <v>1323.903</v>
      </c>
    </row>
    <row r="1168" spans="1:3" x14ac:dyDescent="0.25">
      <c r="A1168">
        <v>1167</v>
      </c>
      <c r="B1168" s="23">
        <v>1593.6599100000001</v>
      </c>
      <c r="C1168" s="23">
        <v>1323.8989999999999</v>
      </c>
    </row>
    <row r="1169" spans="1:3" x14ac:dyDescent="0.25">
      <c r="A1169">
        <v>1168</v>
      </c>
      <c r="B1169" s="23">
        <v>1593.6320000000001</v>
      </c>
      <c r="C1169" s="23">
        <v>1323.126</v>
      </c>
    </row>
    <row r="1170" spans="1:3" x14ac:dyDescent="0.25">
      <c r="A1170">
        <v>1169</v>
      </c>
      <c r="B1170" s="23">
        <v>1593.500209</v>
      </c>
      <c r="C1170" s="23">
        <v>1322.4</v>
      </c>
    </row>
    <row r="1171" spans="1:3" x14ac:dyDescent="0.25">
      <c r="A1171">
        <v>1170</v>
      </c>
      <c r="B1171" s="23">
        <v>1593.2819999999999</v>
      </c>
      <c r="C1171" s="23">
        <v>1321.6130000000001</v>
      </c>
    </row>
    <row r="1172" spans="1:3" x14ac:dyDescent="0.25">
      <c r="A1172">
        <v>1171</v>
      </c>
      <c r="B1172" s="23">
        <v>1593.2360000000001</v>
      </c>
      <c r="C1172" s="23">
        <v>1321.6</v>
      </c>
    </row>
    <row r="1173" spans="1:3" x14ac:dyDescent="0.25">
      <c r="A1173">
        <v>1172</v>
      </c>
      <c r="B1173" s="23">
        <v>1593.1659999999999</v>
      </c>
      <c r="C1173" s="23">
        <v>1321.6</v>
      </c>
    </row>
    <row r="1174" spans="1:3" x14ac:dyDescent="0.25">
      <c r="A1174">
        <v>1173</v>
      </c>
      <c r="B1174" s="23">
        <v>1593.0840000000001</v>
      </c>
      <c r="C1174" s="23">
        <v>1321.6</v>
      </c>
    </row>
    <row r="1175" spans="1:3" x14ac:dyDescent="0.25">
      <c r="A1175">
        <v>1174</v>
      </c>
      <c r="B1175" s="23">
        <v>1593.0229999999999</v>
      </c>
      <c r="C1175" s="23">
        <v>1320.9939999999999</v>
      </c>
    </row>
    <row r="1176" spans="1:3" x14ac:dyDescent="0.25">
      <c r="A1176">
        <v>1175</v>
      </c>
      <c r="B1176" s="23">
        <v>1592.847</v>
      </c>
      <c r="C1176" s="23">
        <v>1320.8</v>
      </c>
    </row>
    <row r="1177" spans="1:3" x14ac:dyDescent="0.25">
      <c r="A1177">
        <v>1176</v>
      </c>
      <c r="B1177" s="23">
        <v>1592.548</v>
      </c>
      <c r="C1177" s="23">
        <v>1320.8</v>
      </c>
    </row>
    <row r="1178" spans="1:3" x14ac:dyDescent="0.25">
      <c r="A1178">
        <v>1177</v>
      </c>
      <c r="B1178" s="23">
        <v>1592.4209559999999</v>
      </c>
      <c r="C1178" s="23">
        <v>1320.8</v>
      </c>
    </row>
    <row r="1179" spans="1:3" x14ac:dyDescent="0.25">
      <c r="A1179">
        <v>1178</v>
      </c>
      <c r="B1179" s="23">
        <v>1592.395</v>
      </c>
      <c r="C1179" s="23">
        <v>1319.4580000000001</v>
      </c>
    </row>
    <row r="1180" spans="1:3" x14ac:dyDescent="0.25">
      <c r="A1180">
        <v>1179</v>
      </c>
      <c r="B1180" s="23">
        <v>1592.2819999999999</v>
      </c>
      <c r="C1180" s="23">
        <v>1319.2</v>
      </c>
    </row>
    <row r="1181" spans="1:3" x14ac:dyDescent="0.25">
      <c r="A1181">
        <v>1180</v>
      </c>
      <c r="B1181" s="23">
        <v>1592.239</v>
      </c>
      <c r="C1181" s="23">
        <v>1319.2</v>
      </c>
    </row>
    <row r="1182" spans="1:3" x14ac:dyDescent="0.25">
      <c r="A1182">
        <v>1181</v>
      </c>
      <c r="B1182" s="23">
        <v>1592.0898950000001</v>
      </c>
      <c r="C1182" s="23">
        <v>1319.16</v>
      </c>
    </row>
    <row r="1183" spans="1:3" x14ac:dyDescent="0.25">
      <c r="A1183">
        <v>1182</v>
      </c>
      <c r="B1183" s="23">
        <v>1591.6165759999999</v>
      </c>
      <c r="C1183" s="23">
        <v>1318.787</v>
      </c>
    </row>
    <row r="1184" spans="1:3" x14ac:dyDescent="0.25">
      <c r="A1184">
        <v>1183</v>
      </c>
      <c r="B1184" s="23">
        <v>1591.2</v>
      </c>
      <c r="C1184" s="23">
        <v>1318.4</v>
      </c>
    </row>
    <row r="1185" spans="1:3" x14ac:dyDescent="0.25">
      <c r="A1185">
        <v>1184</v>
      </c>
      <c r="B1185" s="23">
        <v>1591.079</v>
      </c>
      <c r="C1185" s="23">
        <v>1318.4</v>
      </c>
    </row>
    <row r="1186" spans="1:3" x14ac:dyDescent="0.25">
      <c r="A1186">
        <v>1185</v>
      </c>
      <c r="B1186" s="23">
        <v>1590.8467929999999</v>
      </c>
      <c r="C1186" s="23">
        <v>1318.4</v>
      </c>
    </row>
    <row r="1187" spans="1:3" x14ac:dyDescent="0.25">
      <c r="A1187">
        <v>1186</v>
      </c>
      <c r="B1187" s="23">
        <v>1590.8052049999999</v>
      </c>
      <c r="C1187" s="23">
        <v>1318.375</v>
      </c>
    </row>
    <row r="1188" spans="1:3" x14ac:dyDescent="0.25">
      <c r="A1188">
        <v>1187</v>
      </c>
      <c r="B1188" s="23">
        <v>1590.4</v>
      </c>
      <c r="C1188" s="23">
        <v>1318.0519999999999</v>
      </c>
    </row>
    <row r="1189" spans="1:3" x14ac:dyDescent="0.25">
      <c r="A1189">
        <v>1188</v>
      </c>
      <c r="B1189" s="23">
        <v>1589.617</v>
      </c>
      <c r="C1189" s="23">
        <v>1317.825</v>
      </c>
    </row>
    <row r="1190" spans="1:3" x14ac:dyDescent="0.25">
      <c r="A1190">
        <v>1189</v>
      </c>
      <c r="B1190" s="23">
        <v>1589.6</v>
      </c>
      <c r="C1190" s="23">
        <v>1317.6869999999999</v>
      </c>
    </row>
    <row r="1191" spans="1:3" x14ac:dyDescent="0.25">
      <c r="A1191">
        <v>1190</v>
      </c>
      <c r="B1191" s="23">
        <v>1589.6</v>
      </c>
      <c r="C1191" s="23">
        <v>1317.22</v>
      </c>
    </row>
    <row r="1192" spans="1:3" x14ac:dyDescent="0.25">
      <c r="A1192">
        <v>1191</v>
      </c>
      <c r="B1192" s="23">
        <v>1589.6</v>
      </c>
      <c r="C1192" s="23">
        <v>1316.91</v>
      </c>
    </row>
    <row r="1193" spans="1:3" x14ac:dyDescent="0.25">
      <c r="A1193">
        <v>1192</v>
      </c>
      <c r="B1193" s="23">
        <v>1589.6</v>
      </c>
      <c r="C1193" s="23">
        <v>1316.8</v>
      </c>
    </row>
    <row r="1194" spans="1:3" x14ac:dyDescent="0.25">
      <c r="A1194">
        <v>1193</v>
      </c>
      <c r="B1194" s="23">
        <v>1589.6</v>
      </c>
      <c r="C1194" s="23">
        <v>1316</v>
      </c>
    </row>
    <row r="1195" spans="1:3" x14ac:dyDescent="0.25">
      <c r="A1195">
        <v>1194</v>
      </c>
      <c r="B1195" s="23">
        <v>1589.5170000000001</v>
      </c>
      <c r="C1195" s="23">
        <v>1315.8879999999999</v>
      </c>
    </row>
    <row r="1196" spans="1:3" x14ac:dyDescent="0.25">
      <c r="A1196">
        <v>1195</v>
      </c>
      <c r="B1196" s="23">
        <v>1589.396033</v>
      </c>
      <c r="C1196" s="23">
        <v>1315.845</v>
      </c>
    </row>
    <row r="1197" spans="1:3" x14ac:dyDescent="0.25">
      <c r="A1197">
        <v>1196</v>
      </c>
      <c r="B1197" s="23">
        <v>1589.0909999999999</v>
      </c>
      <c r="C1197" s="23">
        <v>1315.492</v>
      </c>
    </row>
    <row r="1198" spans="1:3" x14ac:dyDescent="0.25">
      <c r="A1198">
        <v>1197</v>
      </c>
      <c r="B1198" s="23">
        <v>1588.8</v>
      </c>
      <c r="C1198" s="23">
        <v>1315.11</v>
      </c>
    </row>
    <row r="1199" spans="1:3" x14ac:dyDescent="0.25">
      <c r="A1199">
        <v>1198</v>
      </c>
      <c r="B1199" s="23">
        <v>1588.7750000000001</v>
      </c>
      <c r="C1199" s="23">
        <v>1314.4</v>
      </c>
    </row>
    <row r="1200" spans="1:3" x14ac:dyDescent="0.25">
      <c r="A1200">
        <v>1199</v>
      </c>
      <c r="B1200" s="23">
        <v>1588.6233179999999</v>
      </c>
      <c r="C1200" s="23">
        <v>1314.374</v>
      </c>
    </row>
    <row r="1201" spans="1:3" x14ac:dyDescent="0.25">
      <c r="A1201">
        <v>1200</v>
      </c>
      <c r="B1201" s="23">
        <v>1588.328</v>
      </c>
      <c r="C1201" s="23">
        <v>1314.059</v>
      </c>
    </row>
    <row r="1202" spans="1:3" x14ac:dyDescent="0.25">
      <c r="A1202">
        <v>1201</v>
      </c>
      <c r="B1202" s="23">
        <v>1588.2694730000001</v>
      </c>
      <c r="C1202" s="23">
        <v>1313.6</v>
      </c>
    </row>
    <row r="1203" spans="1:3" x14ac:dyDescent="0.25">
      <c r="A1203">
        <v>1202</v>
      </c>
      <c r="B1203" s="23">
        <v>1588.2052100000001</v>
      </c>
      <c r="C1203" s="23">
        <v>1313.6</v>
      </c>
    </row>
    <row r="1204" spans="1:3" x14ac:dyDescent="0.25">
      <c r="A1204">
        <v>1203</v>
      </c>
      <c r="B1204" s="23">
        <v>1588.152</v>
      </c>
      <c r="C1204" s="23">
        <v>1313.2719999999999</v>
      </c>
    </row>
    <row r="1205" spans="1:3" x14ac:dyDescent="0.25">
      <c r="A1205">
        <v>1204</v>
      </c>
      <c r="B1205" s="23">
        <v>1588.0616419999999</v>
      </c>
      <c r="C1205" s="23">
        <v>1313.1079999999999</v>
      </c>
    </row>
    <row r="1206" spans="1:3" x14ac:dyDescent="0.25">
      <c r="A1206">
        <v>1205</v>
      </c>
      <c r="B1206" s="23">
        <v>1587.9010000000001</v>
      </c>
      <c r="C1206" s="23">
        <v>1313.059</v>
      </c>
    </row>
    <row r="1207" spans="1:3" x14ac:dyDescent="0.25">
      <c r="A1207">
        <v>1206</v>
      </c>
      <c r="B1207" s="23">
        <v>1587.586</v>
      </c>
      <c r="C1207" s="23">
        <v>1313.0260000000001</v>
      </c>
    </row>
    <row r="1208" spans="1:3" x14ac:dyDescent="0.25">
      <c r="A1208">
        <v>1207</v>
      </c>
      <c r="B1208" s="23">
        <v>1587.433225</v>
      </c>
      <c r="C1208" s="23">
        <v>1312.8</v>
      </c>
    </row>
    <row r="1209" spans="1:3" x14ac:dyDescent="0.25">
      <c r="A1209">
        <v>1208</v>
      </c>
      <c r="B1209" s="23">
        <v>1587.2847039999999</v>
      </c>
      <c r="C1209" s="23">
        <v>1312.8</v>
      </c>
    </row>
    <row r="1210" spans="1:3" x14ac:dyDescent="0.25">
      <c r="A1210">
        <v>1209</v>
      </c>
      <c r="B1210" s="23">
        <v>1587.2847039999999</v>
      </c>
      <c r="C1210" s="23">
        <v>1312.249</v>
      </c>
    </row>
    <row r="1211" spans="1:3" x14ac:dyDescent="0.25">
      <c r="A1211">
        <v>1210</v>
      </c>
      <c r="B1211" s="23">
        <v>1587.2</v>
      </c>
      <c r="C1211" s="23">
        <v>1312.249</v>
      </c>
    </row>
    <row r="1212" spans="1:3" x14ac:dyDescent="0.25">
      <c r="A1212">
        <v>1211</v>
      </c>
      <c r="B1212" s="23">
        <v>1587.2</v>
      </c>
      <c r="C1212" s="23">
        <v>1312</v>
      </c>
    </row>
    <row r="1213" spans="1:3" x14ac:dyDescent="0.25">
      <c r="A1213">
        <v>1212</v>
      </c>
      <c r="B1213" s="23">
        <v>1587.2</v>
      </c>
      <c r="C1213" s="23">
        <v>1310.4000000000001</v>
      </c>
    </row>
    <row r="1214" spans="1:3" x14ac:dyDescent="0.25">
      <c r="A1214">
        <v>1213</v>
      </c>
      <c r="B1214" s="23">
        <v>1587.193413</v>
      </c>
      <c r="C1214" s="23">
        <v>1310.4000000000001</v>
      </c>
    </row>
    <row r="1215" spans="1:3" x14ac:dyDescent="0.25">
      <c r="A1215">
        <v>1214</v>
      </c>
      <c r="B1215" s="23">
        <v>1586.689151</v>
      </c>
      <c r="C1215" s="23">
        <v>1310.4000000000001</v>
      </c>
    </row>
    <row r="1216" spans="1:3" x14ac:dyDescent="0.25">
      <c r="A1216">
        <v>1215</v>
      </c>
      <c r="B1216" s="23">
        <v>1586.4580000000001</v>
      </c>
      <c r="C1216" s="23">
        <v>1310.163</v>
      </c>
    </row>
    <row r="1217" spans="1:3" x14ac:dyDescent="0.25">
      <c r="A1217">
        <v>1216</v>
      </c>
      <c r="B1217" s="23">
        <v>1585.9658509999999</v>
      </c>
      <c r="C1217" s="23">
        <v>1309.9179999999999</v>
      </c>
    </row>
    <row r="1218" spans="1:3" x14ac:dyDescent="0.25">
      <c r="A1218">
        <v>1217</v>
      </c>
      <c r="B1218" s="23">
        <v>1585.9435140000001</v>
      </c>
      <c r="C1218" s="23">
        <v>1309.9179999999999</v>
      </c>
    </row>
    <row r="1219" spans="1:3" x14ac:dyDescent="0.25">
      <c r="A1219">
        <v>1218</v>
      </c>
      <c r="B1219" s="23">
        <v>1585.7721590000001</v>
      </c>
      <c r="C1219" s="23">
        <v>1308.846</v>
      </c>
    </row>
    <row r="1220" spans="1:3" x14ac:dyDescent="0.25">
      <c r="A1220">
        <v>1219</v>
      </c>
      <c r="B1220" s="23">
        <v>1585.6</v>
      </c>
      <c r="C1220" s="23">
        <v>1308.643</v>
      </c>
    </row>
    <row r="1221" spans="1:3" x14ac:dyDescent="0.25">
      <c r="A1221">
        <v>1220</v>
      </c>
      <c r="B1221" s="23">
        <v>1585.6</v>
      </c>
      <c r="C1221" s="23">
        <v>1308</v>
      </c>
    </row>
    <row r="1222" spans="1:3" x14ac:dyDescent="0.25">
      <c r="A1222">
        <v>1221</v>
      </c>
      <c r="B1222" s="23">
        <v>1585.4112909999999</v>
      </c>
      <c r="C1222" s="23">
        <v>1307.2</v>
      </c>
    </row>
    <row r="1223" spans="1:3" x14ac:dyDescent="0.25">
      <c r="A1223">
        <v>1222</v>
      </c>
      <c r="B1223" s="23">
        <v>1584.9706859999999</v>
      </c>
      <c r="C1223" s="23">
        <v>1306.9090000000001</v>
      </c>
    </row>
    <row r="1224" spans="1:3" x14ac:dyDescent="0.25">
      <c r="A1224">
        <v>1223</v>
      </c>
      <c r="B1224" s="23">
        <v>1584.9543289999999</v>
      </c>
      <c r="C1224" s="23">
        <v>1306.2840000000001</v>
      </c>
    </row>
    <row r="1225" spans="1:3" x14ac:dyDescent="0.25">
      <c r="A1225">
        <v>1224</v>
      </c>
      <c r="B1225" s="23">
        <v>1584.8</v>
      </c>
      <c r="C1225" s="23">
        <v>1306.0329999999999</v>
      </c>
    </row>
    <row r="1226" spans="1:3" x14ac:dyDescent="0.25">
      <c r="A1226">
        <v>1225</v>
      </c>
      <c r="B1226" s="23">
        <v>1584.519775</v>
      </c>
      <c r="C1226" s="23">
        <v>1306.0329999999999</v>
      </c>
    </row>
    <row r="1227" spans="1:3" x14ac:dyDescent="0.25">
      <c r="A1227">
        <v>1226</v>
      </c>
      <c r="B1227" s="23">
        <v>1584.4090000000001</v>
      </c>
      <c r="C1227" s="23">
        <v>1305.5999999999999</v>
      </c>
    </row>
    <row r="1228" spans="1:3" x14ac:dyDescent="0.25">
      <c r="A1228">
        <v>1227</v>
      </c>
      <c r="B1228" s="23">
        <v>1584.3585599999999</v>
      </c>
      <c r="C1228" s="23">
        <v>1305.5999999999999</v>
      </c>
    </row>
    <row r="1229" spans="1:3" x14ac:dyDescent="0.25">
      <c r="A1229">
        <v>1228</v>
      </c>
      <c r="B1229" s="23">
        <v>1584.287</v>
      </c>
      <c r="C1229" s="23">
        <v>1305.5999999999999</v>
      </c>
    </row>
    <row r="1230" spans="1:3" x14ac:dyDescent="0.25">
      <c r="A1230">
        <v>1229</v>
      </c>
      <c r="B1230" s="23">
        <v>1584.170153</v>
      </c>
      <c r="C1230" s="23">
        <v>1305.548</v>
      </c>
    </row>
    <row r="1231" spans="1:3" x14ac:dyDescent="0.25">
      <c r="A1231">
        <v>1230</v>
      </c>
      <c r="B1231" s="23">
        <v>1584.0139999999999</v>
      </c>
      <c r="C1231" s="23">
        <v>1304.8</v>
      </c>
    </row>
    <row r="1232" spans="1:3" x14ac:dyDescent="0.25">
      <c r="A1232">
        <v>1231</v>
      </c>
      <c r="B1232" s="23">
        <v>1583.2</v>
      </c>
      <c r="C1232" s="23">
        <v>1304.4390000000001</v>
      </c>
    </row>
    <row r="1233" spans="1:3" x14ac:dyDescent="0.25">
      <c r="A1233">
        <v>1232</v>
      </c>
      <c r="B1233" s="23">
        <v>1583.2</v>
      </c>
      <c r="C1233" s="23">
        <v>1304</v>
      </c>
    </row>
    <row r="1234" spans="1:3" x14ac:dyDescent="0.25">
      <c r="A1234">
        <v>1233</v>
      </c>
      <c r="B1234" s="23">
        <v>1583.009</v>
      </c>
      <c r="C1234" s="23">
        <v>1304</v>
      </c>
    </row>
    <row r="1235" spans="1:3" x14ac:dyDescent="0.25">
      <c r="A1235">
        <v>1234</v>
      </c>
      <c r="B1235" s="23">
        <v>1582.693</v>
      </c>
      <c r="C1235" s="23">
        <v>1304</v>
      </c>
    </row>
    <row r="1236" spans="1:3" x14ac:dyDescent="0.25">
      <c r="A1236">
        <v>1235</v>
      </c>
      <c r="B1236" s="23">
        <v>1582.6230740000001</v>
      </c>
      <c r="C1236" s="23">
        <v>1304</v>
      </c>
    </row>
    <row r="1237" spans="1:3" x14ac:dyDescent="0.25">
      <c r="A1237">
        <v>1236</v>
      </c>
      <c r="B1237" s="23">
        <v>1582.537</v>
      </c>
      <c r="C1237" s="23">
        <v>1304</v>
      </c>
    </row>
    <row r="1238" spans="1:3" x14ac:dyDescent="0.25">
      <c r="A1238">
        <v>1237</v>
      </c>
      <c r="B1238" s="23">
        <v>1582.4</v>
      </c>
      <c r="C1238" s="23">
        <v>1303.2</v>
      </c>
    </row>
    <row r="1239" spans="1:3" x14ac:dyDescent="0.25">
      <c r="A1239">
        <v>1238</v>
      </c>
      <c r="B1239" s="23">
        <v>1582.2750000000001</v>
      </c>
      <c r="C1239" s="23">
        <v>1302.8030000000001</v>
      </c>
    </row>
    <row r="1240" spans="1:3" x14ac:dyDescent="0.25">
      <c r="A1240">
        <v>1239</v>
      </c>
      <c r="B1240" s="23">
        <v>1582.149856</v>
      </c>
      <c r="C1240" s="23">
        <v>1302.6300000000001</v>
      </c>
    </row>
    <row r="1241" spans="1:3" x14ac:dyDescent="0.25">
      <c r="A1241">
        <v>1240</v>
      </c>
      <c r="B1241" s="23">
        <v>1581.6</v>
      </c>
      <c r="C1241" s="23">
        <v>1302.606</v>
      </c>
    </row>
    <row r="1242" spans="1:3" x14ac:dyDescent="0.25">
      <c r="A1242">
        <v>1241</v>
      </c>
      <c r="B1242" s="23">
        <v>1581.4449999999999</v>
      </c>
      <c r="C1242" s="23">
        <v>1302.4000000000001</v>
      </c>
    </row>
    <row r="1243" spans="1:3" x14ac:dyDescent="0.25">
      <c r="A1243">
        <v>1242</v>
      </c>
      <c r="B1243" s="23">
        <v>1581.08</v>
      </c>
      <c r="C1243" s="23">
        <v>1301.9390000000001</v>
      </c>
    </row>
    <row r="1244" spans="1:3" x14ac:dyDescent="0.25">
      <c r="A1244">
        <v>1243</v>
      </c>
      <c r="B1244" s="23">
        <v>1580.9303199999999</v>
      </c>
      <c r="C1244" s="23">
        <v>1300.8</v>
      </c>
    </row>
    <row r="1245" spans="1:3" x14ac:dyDescent="0.25">
      <c r="A1245">
        <v>1244</v>
      </c>
      <c r="B1245" s="23">
        <v>1580.825</v>
      </c>
      <c r="C1245" s="23">
        <v>1300</v>
      </c>
    </row>
    <row r="1246" spans="1:3" x14ac:dyDescent="0.25">
      <c r="A1246">
        <v>1245</v>
      </c>
      <c r="B1246" s="23">
        <v>1580.8</v>
      </c>
      <c r="C1246" s="23">
        <v>1300</v>
      </c>
    </row>
    <row r="1247" spans="1:3" x14ac:dyDescent="0.25">
      <c r="A1247">
        <v>1246</v>
      </c>
      <c r="B1247" s="23">
        <v>1580.8</v>
      </c>
      <c r="C1247" s="23">
        <v>1300</v>
      </c>
    </row>
    <row r="1248" spans="1:3" x14ac:dyDescent="0.25">
      <c r="A1248">
        <v>1247</v>
      </c>
      <c r="B1248" s="23">
        <v>1580.7302380000001</v>
      </c>
      <c r="C1248" s="23">
        <v>1300</v>
      </c>
    </row>
    <row r="1249" spans="1:3" x14ac:dyDescent="0.25">
      <c r="A1249">
        <v>1248</v>
      </c>
      <c r="B1249" s="23">
        <v>1580.6990000000001</v>
      </c>
      <c r="C1249" s="23">
        <v>1299.5319999999999</v>
      </c>
    </row>
    <row r="1250" spans="1:3" x14ac:dyDescent="0.25">
      <c r="A1250">
        <v>1249</v>
      </c>
      <c r="B1250" s="23">
        <v>1580.662</v>
      </c>
      <c r="C1250" s="23">
        <v>1299.258</v>
      </c>
    </row>
    <row r="1251" spans="1:3" x14ac:dyDescent="0.25">
      <c r="A1251">
        <v>1250</v>
      </c>
      <c r="B1251" s="23">
        <v>1580.4767099999999</v>
      </c>
      <c r="C1251" s="23">
        <v>1299.2</v>
      </c>
    </row>
    <row r="1252" spans="1:3" x14ac:dyDescent="0.25">
      <c r="A1252">
        <v>1251</v>
      </c>
      <c r="B1252" s="23">
        <v>1580.403</v>
      </c>
      <c r="C1252" s="23">
        <v>1299.0409999999999</v>
      </c>
    </row>
    <row r="1253" spans="1:3" x14ac:dyDescent="0.25">
      <c r="A1253">
        <v>1252</v>
      </c>
      <c r="B1253" s="23">
        <v>1580.373</v>
      </c>
      <c r="C1253" s="23">
        <v>1298.9280000000001</v>
      </c>
    </row>
    <row r="1254" spans="1:3" x14ac:dyDescent="0.25">
      <c r="A1254">
        <v>1253</v>
      </c>
      <c r="B1254" s="23">
        <v>1580.0429999999999</v>
      </c>
      <c r="C1254" s="23">
        <v>1298.5619999999999</v>
      </c>
    </row>
    <row r="1255" spans="1:3" x14ac:dyDescent="0.25">
      <c r="A1255">
        <v>1254</v>
      </c>
      <c r="B1255" s="23">
        <v>1580</v>
      </c>
      <c r="C1255" s="23">
        <v>1298.4000000000001</v>
      </c>
    </row>
    <row r="1256" spans="1:3" x14ac:dyDescent="0.25">
      <c r="A1256">
        <v>1255</v>
      </c>
      <c r="B1256" s="23">
        <v>1579.999</v>
      </c>
      <c r="C1256" s="23">
        <v>1298.193</v>
      </c>
    </row>
    <row r="1257" spans="1:3" x14ac:dyDescent="0.25">
      <c r="A1257">
        <v>1256</v>
      </c>
      <c r="B1257" s="23">
        <v>1579.9010000000001</v>
      </c>
      <c r="C1257" s="23">
        <v>1298.1310000000001</v>
      </c>
    </row>
    <row r="1258" spans="1:3" x14ac:dyDescent="0.25">
      <c r="A1258">
        <v>1257</v>
      </c>
      <c r="B1258" s="23">
        <v>1579.896974</v>
      </c>
      <c r="C1258" s="23">
        <v>1296.8</v>
      </c>
    </row>
    <row r="1259" spans="1:3" x14ac:dyDescent="0.25">
      <c r="A1259">
        <v>1258</v>
      </c>
      <c r="B1259" s="23">
        <v>1579.4376279999999</v>
      </c>
      <c r="C1259" s="23">
        <v>1296.71</v>
      </c>
    </row>
    <row r="1260" spans="1:3" x14ac:dyDescent="0.25">
      <c r="A1260">
        <v>1259</v>
      </c>
      <c r="B1260" s="23">
        <v>1579.2</v>
      </c>
      <c r="C1260" s="23">
        <v>1295.933</v>
      </c>
    </row>
    <row r="1261" spans="1:3" x14ac:dyDescent="0.25">
      <c r="A1261">
        <v>1260</v>
      </c>
      <c r="B1261" s="23">
        <v>1579.2</v>
      </c>
      <c r="C1261" s="23">
        <v>1295.74</v>
      </c>
    </row>
    <row r="1262" spans="1:3" x14ac:dyDescent="0.25">
      <c r="A1262">
        <v>1261</v>
      </c>
      <c r="B1262" s="23">
        <v>1578.924849</v>
      </c>
      <c r="C1262" s="23">
        <v>1295.2</v>
      </c>
    </row>
    <row r="1263" spans="1:3" x14ac:dyDescent="0.25">
      <c r="A1263">
        <v>1262</v>
      </c>
      <c r="B1263" s="23">
        <v>1578.7459779999999</v>
      </c>
      <c r="C1263" s="23">
        <v>1294.5150000000001</v>
      </c>
    </row>
    <row r="1264" spans="1:3" x14ac:dyDescent="0.25">
      <c r="A1264">
        <v>1263</v>
      </c>
      <c r="B1264" s="23">
        <v>1578.4</v>
      </c>
      <c r="C1264" s="23">
        <v>1294.4000000000001</v>
      </c>
    </row>
    <row r="1265" spans="1:3" x14ac:dyDescent="0.25">
      <c r="A1265">
        <v>1264</v>
      </c>
      <c r="B1265" s="23">
        <v>1578.4</v>
      </c>
      <c r="C1265" s="23">
        <v>1294.4000000000001</v>
      </c>
    </row>
    <row r="1266" spans="1:3" x14ac:dyDescent="0.25">
      <c r="A1266">
        <v>1265</v>
      </c>
      <c r="B1266" s="23">
        <v>1577.9614449999999</v>
      </c>
      <c r="C1266" s="23">
        <v>1294.146</v>
      </c>
    </row>
    <row r="1267" spans="1:3" x14ac:dyDescent="0.25">
      <c r="A1267">
        <v>1266</v>
      </c>
      <c r="B1267" s="23">
        <v>1577.8526360000001</v>
      </c>
      <c r="C1267" s="23">
        <v>1293.5999999999999</v>
      </c>
    </row>
    <row r="1268" spans="1:3" x14ac:dyDescent="0.25">
      <c r="A1268">
        <v>1267</v>
      </c>
      <c r="B1268" s="23">
        <v>1577.6</v>
      </c>
      <c r="C1268" s="23">
        <v>1293.3499999999999</v>
      </c>
    </row>
    <row r="1269" spans="1:3" x14ac:dyDescent="0.25">
      <c r="A1269">
        <v>1268</v>
      </c>
      <c r="B1269" s="23">
        <v>1577.6</v>
      </c>
      <c r="C1269" s="23">
        <v>1292.96</v>
      </c>
    </row>
    <row r="1270" spans="1:3" x14ac:dyDescent="0.25">
      <c r="A1270">
        <v>1269</v>
      </c>
      <c r="B1270" s="23">
        <v>1577.5496680000001</v>
      </c>
      <c r="C1270" s="23">
        <v>1292.8</v>
      </c>
    </row>
    <row r="1271" spans="1:3" x14ac:dyDescent="0.25">
      <c r="A1271">
        <v>1270</v>
      </c>
      <c r="B1271" s="23">
        <v>1576.944</v>
      </c>
      <c r="C1271" s="23">
        <v>1292.8</v>
      </c>
    </row>
    <row r="1272" spans="1:3" x14ac:dyDescent="0.25">
      <c r="A1272">
        <v>1271</v>
      </c>
      <c r="B1272" s="23">
        <v>1576.816</v>
      </c>
      <c r="C1272" s="23">
        <v>1292.665</v>
      </c>
    </row>
    <row r="1273" spans="1:3" x14ac:dyDescent="0.25">
      <c r="A1273">
        <v>1272</v>
      </c>
      <c r="B1273" s="23">
        <v>1576.8</v>
      </c>
      <c r="C1273" s="23">
        <v>1292.662</v>
      </c>
    </row>
    <row r="1274" spans="1:3" x14ac:dyDescent="0.25">
      <c r="A1274">
        <v>1273</v>
      </c>
      <c r="B1274" s="23">
        <v>1576.8</v>
      </c>
      <c r="C1274" s="23">
        <v>1292</v>
      </c>
    </row>
    <row r="1275" spans="1:3" x14ac:dyDescent="0.25">
      <c r="A1275">
        <v>1274</v>
      </c>
      <c r="B1275" s="23">
        <v>1576.550358</v>
      </c>
      <c r="C1275" s="23">
        <v>1292</v>
      </c>
    </row>
    <row r="1276" spans="1:3" x14ac:dyDescent="0.25">
      <c r="A1276">
        <v>1275</v>
      </c>
      <c r="B1276" s="23">
        <v>1576.451272</v>
      </c>
      <c r="C1276" s="23">
        <v>1291.2</v>
      </c>
    </row>
    <row r="1277" spans="1:3" x14ac:dyDescent="0.25">
      <c r="A1277">
        <v>1276</v>
      </c>
      <c r="B1277" s="23">
        <v>1576</v>
      </c>
      <c r="C1277" s="23">
        <v>1290.9390000000001</v>
      </c>
    </row>
    <row r="1278" spans="1:3" x14ac:dyDescent="0.25">
      <c r="A1278">
        <v>1277</v>
      </c>
      <c r="B1278" s="23">
        <v>1575.9590000000001</v>
      </c>
      <c r="C1278" s="23">
        <v>1290.5360000000001</v>
      </c>
    </row>
    <row r="1279" spans="1:3" x14ac:dyDescent="0.25">
      <c r="A1279">
        <v>1278</v>
      </c>
      <c r="B1279" s="23">
        <v>1575.5306</v>
      </c>
      <c r="C1279" s="23">
        <v>1290.4939999999999</v>
      </c>
    </row>
    <row r="1280" spans="1:3" x14ac:dyDescent="0.25">
      <c r="A1280">
        <v>1279</v>
      </c>
      <c r="B1280" s="23">
        <v>1575.2</v>
      </c>
      <c r="C1280" s="23">
        <v>1290.4000000000001</v>
      </c>
    </row>
    <row r="1281" spans="1:3" x14ac:dyDescent="0.25">
      <c r="A1281">
        <v>1280</v>
      </c>
      <c r="B1281" s="23">
        <v>1574.858219</v>
      </c>
      <c r="C1281" s="23">
        <v>1290.4000000000001</v>
      </c>
    </row>
    <row r="1282" spans="1:3" x14ac:dyDescent="0.25">
      <c r="A1282">
        <v>1281</v>
      </c>
      <c r="B1282" s="23">
        <v>1574.853693</v>
      </c>
      <c r="C1282" s="23">
        <v>1290.4000000000001</v>
      </c>
    </row>
    <row r="1283" spans="1:3" x14ac:dyDescent="0.25">
      <c r="A1283">
        <v>1282</v>
      </c>
      <c r="B1283" s="23">
        <v>1574.6130000000001</v>
      </c>
      <c r="C1283" s="23">
        <v>1290.3989999999999</v>
      </c>
    </row>
    <row r="1284" spans="1:3" x14ac:dyDescent="0.25">
      <c r="A1284">
        <v>1283</v>
      </c>
      <c r="B1284" s="23">
        <v>1574.4</v>
      </c>
      <c r="C1284" s="23">
        <v>1290.1980000000001</v>
      </c>
    </row>
    <row r="1285" spans="1:3" x14ac:dyDescent="0.25">
      <c r="A1285">
        <v>1284</v>
      </c>
      <c r="B1285" s="23">
        <v>1574.4</v>
      </c>
      <c r="C1285" s="23">
        <v>1290.1980000000001</v>
      </c>
    </row>
    <row r="1286" spans="1:3" x14ac:dyDescent="0.25">
      <c r="A1286">
        <v>1285</v>
      </c>
      <c r="B1286" s="23">
        <v>1574.2257979999999</v>
      </c>
      <c r="C1286" s="23">
        <v>1289.367</v>
      </c>
    </row>
    <row r="1287" spans="1:3" x14ac:dyDescent="0.25">
      <c r="A1287">
        <v>1286</v>
      </c>
      <c r="B1287" s="23">
        <v>1573.75</v>
      </c>
      <c r="C1287" s="23">
        <v>1288.8</v>
      </c>
    </row>
    <row r="1288" spans="1:3" x14ac:dyDescent="0.25">
      <c r="A1288">
        <v>1287</v>
      </c>
      <c r="B1288" s="23">
        <v>1573.299816</v>
      </c>
      <c r="C1288" s="23">
        <v>1288.7170000000001</v>
      </c>
    </row>
    <row r="1289" spans="1:3" x14ac:dyDescent="0.25">
      <c r="A1289">
        <v>1288</v>
      </c>
      <c r="B1289" s="23">
        <v>1572.9449999999999</v>
      </c>
      <c r="C1289" s="23">
        <v>1288.125</v>
      </c>
    </row>
    <row r="1290" spans="1:3" x14ac:dyDescent="0.25">
      <c r="A1290">
        <v>1289</v>
      </c>
      <c r="B1290" s="23">
        <v>1572.7909219999999</v>
      </c>
      <c r="C1290" s="23">
        <v>1288</v>
      </c>
    </row>
    <row r="1291" spans="1:3" x14ac:dyDescent="0.25">
      <c r="A1291">
        <v>1290</v>
      </c>
      <c r="B1291" s="23">
        <v>1572.7349999999999</v>
      </c>
      <c r="C1291" s="23">
        <v>1288</v>
      </c>
    </row>
    <row r="1292" spans="1:3" x14ac:dyDescent="0.25">
      <c r="A1292">
        <v>1291</v>
      </c>
      <c r="B1292" s="23">
        <v>1572.2080000000001</v>
      </c>
      <c r="C1292" s="23">
        <v>1288</v>
      </c>
    </row>
    <row r="1293" spans="1:3" x14ac:dyDescent="0.25">
      <c r="A1293">
        <v>1292</v>
      </c>
      <c r="B1293" s="23">
        <v>1572.1279999999999</v>
      </c>
      <c r="C1293" s="23">
        <v>1288</v>
      </c>
    </row>
    <row r="1294" spans="1:3" x14ac:dyDescent="0.25">
      <c r="A1294">
        <v>1293</v>
      </c>
      <c r="B1294" s="23">
        <v>1572</v>
      </c>
      <c r="C1294" s="23">
        <v>1287.4349999999999</v>
      </c>
    </row>
    <row r="1295" spans="1:3" x14ac:dyDescent="0.25">
      <c r="A1295">
        <v>1294</v>
      </c>
      <c r="B1295" s="23">
        <v>1572</v>
      </c>
      <c r="C1295" s="23">
        <v>1287.32</v>
      </c>
    </row>
    <row r="1296" spans="1:3" x14ac:dyDescent="0.25">
      <c r="A1296">
        <v>1295</v>
      </c>
      <c r="B1296" s="23">
        <v>1571.8690509999999</v>
      </c>
      <c r="C1296" s="23">
        <v>1287.2</v>
      </c>
    </row>
    <row r="1297" spans="1:3" x14ac:dyDescent="0.25">
      <c r="A1297">
        <v>1296</v>
      </c>
      <c r="B1297" s="23">
        <v>1571.8690509999999</v>
      </c>
      <c r="C1297" s="23">
        <v>1287.2</v>
      </c>
    </row>
    <row r="1298" spans="1:3" x14ac:dyDescent="0.25">
      <c r="A1298">
        <v>1297</v>
      </c>
      <c r="B1298" s="23">
        <v>1571.8130000000001</v>
      </c>
      <c r="C1298" s="23">
        <v>1287.2</v>
      </c>
    </row>
    <row r="1299" spans="1:3" x14ac:dyDescent="0.25">
      <c r="A1299">
        <v>1298</v>
      </c>
      <c r="B1299" s="23">
        <v>1571.3058860000001</v>
      </c>
      <c r="C1299" s="23">
        <v>1287.2</v>
      </c>
    </row>
    <row r="1300" spans="1:3" x14ac:dyDescent="0.25">
      <c r="A1300">
        <v>1299</v>
      </c>
      <c r="B1300" s="23">
        <v>1571.2</v>
      </c>
      <c r="C1300" s="23">
        <v>1286.77</v>
      </c>
    </row>
    <row r="1301" spans="1:3" x14ac:dyDescent="0.25">
      <c r="A1301">
        <v>1300</v>
      </c>
      <c r="B1301" s="23">
        <v>1571.2</v>
      </c>
      <c r="C1301" s="23">
        <v>1286.7439999999999</v>
      </c>
    </row>
    <row r="1302" spans="1:3" x14ac:dyDescent="0.25">
      <c r="A1302">
        <v>1301</v>
      </c>
      <c r="B1302" s="23">
        <v>1571.0512209999999</v>
      </c>
      <c r="C1302" s="23">
        <v>1286.7349999999999</v>
      </c>
    </row>
    <row r="1303" spans="1:3" x14ac:dyDescent="0.25">
      <c r="A1303">
        <v>1302</v>
      </c>
      <c r="B1303" s="23">
        <v>1570.8409999999999</v>
      </c>
      <c r="C1303" s="23">
        <v>1286.6099999999999</v>
      </c>
    </row>
    <row r="1304" spans="1:3" x14ac:dyDescent="0.25">
      <c r="A1304">
        <v>1303</v>
      </c>
      <c r="B1304" s="23">
        <v>1570.749</v>
      </c>
      <c r="C1304" s="23">
        <v>1286.4459999999999</v>
      </c>
    </row>
    <row r="1305" spans="1:3" x14ac:dyDescent="0.25">
      <c r="A1305">
        <v>1304</v>
      </c>
      <c r="B1305" s="23">
        <v>1570.4</v>
      </c>
      <c r="C1305" s="23">
        <v>1286.4000000000001</v>
      </c>
    </row>
    <row r="1306" spans="1:3" x14ac:dyDescent="0.25">
      <c r="A1306">
        <v>1305</v>
      </c>
      <c r="B1306" s="23">
        <v>1570.2739999999999</v>
      </c>
      <c r="C1306" s="23">
        <v>1285.8330000000001</v>
      </c>
    </row>
    <row r="1307" spans="1:3" x14ac:dyDescent="0.25">
      <c r="A1307">
        <v>1306</v>
      </c>
      <c r="B1307" s="23">
        <v>1570.0419999999999</v>
      </c>
      <c r="C1307" s="23">
        <v>1285.8330000000001</v>
      </c>
    </row>
    <row r="1308" spans="1:3" x14ac:dyDescent="0.25">
      <c r="A1308">
        <v>1307</v>
      </c>
      <c r="B1308" s="23">
        <v>1569.997243</v>
      </c>
      <c r="C1308" s="23">
        <v>1285.6890000000001</v>
      </c>
    </row>
    <row r="1309" spans="1:3" x14ac:dyDescent="0.25">
      <c r="A1309">
        <v>1308</v>
      </c>
      <c r="B1309" s="23">
        <v>1569.8620000000001</v>
      </c>
      <c r="C1309" s="23">
        <v>1285.5999999999999</v>
      </c>
    </row>
    <row r="1310" spans="1:3" x14ac:dyDescent="0.25">
      <c r="A1310">
        <v>1309</v>
      </c>
      <c r="B1310" s="23">
        <v>1569.6980000000001</v>
      </c>
      <c r="C1310" s="23">
        <v>1285.5999999999999</v>
      </c>
    </row>
    <row r="1311" spans="1:3" x14ac:dyDescent="0.25">
      <c r="A1311">
        <v>1310</v>
      </c>
      <c r="B1311" s="23">
        <v>1569.6</v>
      </c>
      <c r="C1311" s="23">
        <v>1284.1320000000001</v>
      </c>
    </row>
    <row r="1312" spans="1:3" x14ac:dyDescent="0.25">
      <c r="A1312">
        <v>1311</v>
      </c>
      <c r="B1312" s="23">
        <v>1569.6</v>
      </c>
      <c r="C1312" s="23">
        <v>1284</v>
      </c>
    </row>
    <row r="1313" spans="1:3" x14ac:dyDescent="0.25">
      <c r="A1313">
        <v>1312</v>
      </c>
      <c r="B1313" s="23">
        <v>1569.6</v>
      </c>
      <c r="C1313" s="23">
        <v>1284</v>
      </c>
    </row>
    <row r="1314" spans="1:3" x14ac:dyDescent="0.25">
      <c r="A1314">
        <v>1313</v>
      </c>
      <c r="B1314" s="23">
        <v>1569.6</v>
      </c>
      <c r="C1314" s="23">
        <v>1283.787</v>
      </c>
    </row>
    <row r="1315" spans="1:3" x14ac:dyDescent="0.25">
      <c r="A1315">
        <v>1314</v>
      </c>
      <c r="B1315" s="23">
        <v>1569.14</v>
      </c>
      <c r="C1315" s="23">
        <v>1283.482</v>
      </c>
    </row>
    <row r="1316" spans="1:3" x14ac:dyDescent="0.25">
      <c r="A1316">
        <v>1315</v>
      </c>
      <c r="B1316" s="23">
        <v>1568.9949999999999</v>
      </c>
      <c r="C1316" s="23">
        <v>1283.2</v>
      </c>
    </row>
    <row r="1317" spans="1:3" x14ac:dyDescent="0.25">
      <c r="A1317">
        <v>1316</v>
      </c>
      <c r="B1317" s="23">
        <v>1568.8</v>
      </c>
      <c r="C1317" s="23">
        <v>1282.7249999999999</v>
      </c>
    </row>
    <row r="1318" spans="1:3" x14ac:dyDescent="0.25">
      <c r="A1318">
        <v>1317</v>
      </c>
      <c r="B1318" s="23">
        <v>1568.8</v>
      </c>
      <c r="C1318" s="23">
        <v>1282.357</v>
      </c>
    </row>
    <row r="1319" spans="1:3" x14ac:dyDescent="0.25">
      <c r="A1319">
        <v>1318</v>
      </c>
      <c r="B1319" s="23">
        <v>1568.5977310000001</v>
      </c>
      <c r="C1319" s="23">
        <v>1282.193</v>
      </c>
    </row>
    <row r="1320" spans="1:3" x14ac:dyDescent="0.25">
      <c r="A1320">
        <v>1319</v>
      </c>
      <c r="B1320" s="23">
        <v>1568.4882030000001</v>
      </c>
      <c r="C1320" s="23">
        <v>1282.011</v>
      </c>
    </row>
    <row r="1321" spans="1:3" x14ac:dyDescent="0.25">
      <c r="A1321">
        <v>1320</v>
      </c>
      <c r="B1321" s="23">
        <v>1568.38</v>
      </c>
      <c r="C1321" s="23">
        <v>1281.93</v>
      </c>
    </row>
    <row r="1322" spans="1:3" x14ac:dyDescent="0.25">
      <c r="A1322">
        <v>1321</v>
      </c>
      <c r="B1322" s="23">
        <v>1568</v>
      </c>
      <c r="C1322" s="23">
        <v>1281.4570000000001</v>
      </c>
    </row>
    <row r="1323" spans="1:3" x14ac:dyDescent="0.25">
      <c r="A1323">
        <v>1322</v>
      </c>
      <c r="B1323" s="23">
        <v>1568</v>
      </c>
      <c r="C1323" s="23">
        <v>1280.8</v>
      </c>
    </row>
    <row r="1324" spans="1:3" x14ac:dyDescent="0.25">
      <c r="A1324">
        <v>1323</v>
      </c>
      <c r="B1324" s="23">
        <v>1567.9680000000001</v>
      </c>
      <c r="C1324" s="23">
        <v>1280.5989999999999</v>
      </c>
    </row>
    <row r="1325" spans="1:3" x14ac:dyDescent="0.25">
      <c r="A1325">
        <v>1324</v>
      </c>
      <c r="B1325" s="23">
        <v>1567.5485120000001</v>
      </c>
      <c r="C1325" s="23">
        <v>1280.18</v>
      </c>
    </row>
    <row r="1326" spans="1:3" x14ac:dyDescent="0.25">
      <c r="A1326">
        <v>1325</v>
      </c>
      <c r="B1326" s="23">
        <v>1567.2</v>
      </c>
      <c r="C1326" s="23">
        <v>1280</v>
      </c>
    </row>
    <row r="1327" spans="1:3" x14ac:dyDescent="0.25">
      <c r="A1327">
        <v>1326</v>
      </c>
      <c r="B1327" s="23">
        <v>1567.2</v>
      </c>
      <c r="C1327" s="23">
        <v>1280</v>
      </c>
    </row>
    <row r="1328" spans="1:3" x14ac:dyDescent="0.25">
      <c r="A1328">
        <v>1327</v>
      </c>
      <c r="B1328" s="23">
        <v>1567.16</v>
      </c>
      <c r="C1328" s="23">
        <v>1280</v>
      </c>
    </row>
    <row r="1329" spans="1:3" x14ac:dyDescent="0.25">
      <c r="A1329">
        <v>1328</v>
      </c>
      <c r="B1329" s="23">
        <v>1567.117</v>
      </c>
      <c r="C1329" s="23">
        <v>1279.8050000000001</v>
      </c>
    </row>
    <row r="1330" spans="1:3" x14ac:dyDescent="0.25">
      <c r="A1330">
        <v>1329</v>
      </c>
      <c r="B1330" s="23">
        <v>1567.0843110000001</v>
      </c>
      <c r="C1330" s="23">
        <v>1278.268</v>
      </c>
    </row>
    <row r="1331" spans="1:3" x14ac:dyDescent="0.25">
      <c r="A1331">
        <v>1330</v>
      </c>
      <c r="B1331" s="23">
        <v>1567.0843110000001</v>
      </c>
      <c r="C1331" s="23">
        <v>1277.5999999999999</v>
      </c>
    </row>
    <row r="1332" spans="1:3" x14ac:dyDescent="0.25">
      <c r="A1332">
        <v>1331</v>
      </c>
      <c r="B1332" s="23">
        <v>1566.8579999999999</v>
      </c>
      <c r="C1332" s="23">
        <v>1277.598</v>
      </c>
    </row>
    <row r="1333" spans="1:3" x14ac:dyDescent="0.25">
      <c r="A1333">
        <v>1332</v>
      </c>
      <c r="B1333" s="23">
        <v>1566.4</v>
      </c>
      <c r="C1333" s="23">
        <v>1277.105</v>
      </c>
    </row>
    <row r="1334" spans="1:3" x14ac:dyDescent="0.25">
      <c r="A1334">
        <v>1333</v>
      </c>
      <c r="B1334" s="23">
        <v>1566.4</v>
      </c>
      <c r="C1334" s="23">
        <v>1276.8630000000001</v>
      </c>
    </row>
    <row r="1335" spans="1:3" x14ac:dyDescent="0.25">
      <c r="A1335">
        <v>1334</v>
      </c>
      <c r="B1335" s="23">
        <v>1566.318</v>
      </c>
      <c r="C1335" s="23">
        <v>1276.8</v>
      </c>
    </row>
    <row r="1336" spans="1:3" x14ac:dyDescent="0.25">
      <c r="A1336">
        <v>1335</v>
      </c>
      <c r="B1336" s="23">
        <v>1566.144241</v>
      </c>
      <c r="C1336" s="23">
        <v>1276</v>
      </c>
    </row>
    <row r="1337" spans="1:3" x14ac:dyDescent="0.25">
      <c r="A1337">
        <v>1336</v>
      </c>
      <c r="B1337" s="23">
        <v>1566.0840000000001</v>
      </c>
      <c r="C1337" s="23">
        <v>1276</v>
      </c>
    </row>
    <row r="1338" spans="1:3" x14ac:dyDescent="0.25">
      <c r="A1338">
        <v>1337</v>
      </c>
      <c r="B1338" s="23">
        <v>1566.0128689999999</v>
      </c>
      <c r="C1338" s="23">
        <v>1275.732</v>
      </c>
    </row>
    <row r="1339" spans="1:3" x14ac:dyDescent="0.25">
      <c r="A1339">
        <v>1338</v>
      </c>
      <c r="B1339" s="23">
        <v>1565.6</v>
      </c>
      <c r="C1339" s="23">
        <v>1275.3920000000001</v>
      </c>
    </row>
    <row r="1340" spans="1:3" x14ac:dyDescent="0.25">
      <c r="A1340">
        <v>1339</v>
      </c>
      <c r="B1340" s="23">
        <v>1565.3264119999999</v>
      </c>
      <c r="C1340" s="23">
        <v>1275.2</v>
      </c>
    </row>
    <row r="1341" spans="1:3" x14ac:dyDescent="0.25">
      <c r="A1341">
        <v>1340</v>
      </c>
      <c r="B1341" s="23">
        <v>1565.3264119999999</v>
      </c>
      <c r="C1341" s="23">
        <v>1275.021</v>
      </c>
    </row>
    <row r="1342" spans="1:3" x14ac:dyDescent="0.25">
      <c r="A1342">
        <v>1341</v>
      </c>
      <c r="B1342" s="23">
        <v>1565.3264119999999</v>
      </c>
      <c r="C1342" s="23">
        <v>1274.9559999999999</v>
      </c>
    </row>
    <row r="1343" spans="1:3" x14ac:dyDescent="0.25">
      <c r="A1343">
        <v>1342</v>
      </c>
      <c r="B1343" s="23">
        <v>1565.0319999999999</v>
      </c>
      <c r="C1343" s="23">
        <v>1274.6559999999999</v>
      </c>
    </row>
    <row r="1344" spans="1:3" x14ac:dyDescent="0.25">
      <c r="A1344">
        <v>1343</v>
      </c>
      <c r="B1344" s="23">
        <v>1564.8336690000001</v>
      </c>
      <c r="C1344" s="23">
        <v>1274.4000000000001</v>
      </c>
    </row>
    <row r="1345" spans="1:3" x14ac:dyDescent="0.25">
      <c r="A1345">
        <v>1344</v>
      </c>
      <c r="B1345" s="23">
        <v>1564.8</v>
      </c>
      <c r="C1345" s="23">
        <v>1274.4000000000001</v>
      </c>
    </row>
    <row r="1346" spans="1:3" x14ac:dyDescent="0.25">
      <c r="A1346">
        <v>1345</v>
      </c>
      <c r="B1346" s="23">
        <v>1564.0050000000001</v>
      </c>
      <c r="C1346" s="23">
        <v>1274.4000000000001</v>
      </c>
    </row>
    <row r="1347" spans="1:3" x14ac:dyDescent="0.25">
      <c r="A1347">
        <v>1346</v>
      </c>
      <c r="B1347" s="23">
        <v>1564</v>
      </c>
      <c r="C1347" s="23">
        <v>1274.4000000000001</v>
      </c>
    </row>
    <row r="1348" spans="1:3" x14ac:dyDescent="0.25">
      <c r="A1348">
        <v>1347</v>
      </c>
      <c r="B1348" s="23">
        <v>1564</v>
      </c>
      <c r="C1348" s="23">
        <v>1274.4000000000001</v>
      </c>
    </row>
    <row r="1349" spans="1:3" x14ac:dyDescent="0.25">
      <c r="A1349">
        <v>1348</v>
      </c>
      <c r="B1349" s="23">
        <v>1563.9349830000001</v>
      </c>
      <c r="C1349" s="23">
        <v>1274.3879999999999</v>
      </c>
    </row>
    <row r="1350" spans="1:3" x14ac:dyDescent="0.25">
      <c r="A1350">
        <v>1349</v>
      </c>
      <c r="B1350" s="23">
        <v>1563.6280710000001</v>
      </c>
      <c r="C1350" s="23">
        <v>1274.3119999999999</v>
      </c>
    </row>
    <row r="1351" spans="1:3" x14ac:dyDescent="0.25">
      <c r="A1351">
        <v>1350</v>
      </c>
      <c r="B1351" s="23">
        <v>1563.6020000000001</v>
      </c>
      <c r="C1351" s="23">
        <v>1274.3119999999999</v>
      </c>
    </row>
    <row r="1352" spans="1:3" x14ac:dyDescent="0.25">
      <c r="A1352">
        <v>1351</v>
      </c>
      <c r="B1352" s="23">
        <v>1563.494702</v>
      </c>
      <c r="C1352" s="23">
        <v>1273.3610000000001</v>
      </c>
    </row>
    <row r="1353" spans="1:3" x14ac:dyDescent="0.25">
      <c r="A1353">
        <v>1352</v>
      </c>
      <c r="B1353" s="23">
        <v>1563.3979999999999</v>
      </c>
      <c r="C1353" s="23">
        <v>1272.8</v>
      </c>
    </row>
    <row r="1354" spans="1:3" x14ac:dyDescent="0.25">
      <c r="A1354">
        <v>1353</v>
      </c>
      <c r="B1354" s="23">
        <v>1562.955856</v>
      </c>
      <c r="C1354" s="23">
        <v>1272.8</v>
      </c>
    </row>
    <row r="1355" spans="1:3" x14ac:dyDescent="0.25">
      <c r="A1355">
        <v>1354</v>
      </c>
      <c r="B1355" s="23">
        <v>1562.8989999999999</v>
      </c>
      <c r="C1355" s="23">
        <v>1272.8</v>
      </c>
    </row>
    <row r="1356" spans="1:3" x14ac:dyDescent="0.25">
      <c r="A1356">
        <v>1355</v>
      </c>
      <c r="B1356" s="23">
        <v>1562.6978140000001</v>
      </c>
      <c r="C1356" s="23">
        <v>1272.45</v>
      </c>
    </row>
    <row r="1357" spans="1:3" x14ac:dyDescent="0.25">
      <c r="A1357">
        <v>1356</v>
      </c>
      <c r="B1357" s="23">
        <v>1562.4</v>
      </c>
      <c r="C1357" s="23">
        <v>1272</v>
      </c>
    </row>
    <row r="1358" spans="1:3" x14ac:dyDescent="0.25">
      <c r="A1358">
        <v>1357</v>
      </c>
      <c r="B1358" s="23">
        <v>1562.1610000000001</v>
      </c>
      <c r="C1358" s="23">
        <v>1271.2</v>
      </c>
    </row>
    <row r="1359" spans="1:3" x14ac:dyDescent="0.25">
      <c r="A1359">
        <v>1358</v>
      </c>
      <c r="B1359" s="23">
        <v>1561.962346</v>
      </c>
      <c r="C1359" s="23">
        <v>1270.9079999999999</v>
      </c>
    </row>
    <row r="1360" spans="1:3" x14ac:dyDescent="0.25">
      <c r="A1360">
        <v>1359</v>
      </c>
      <c r="B1360" s="23">
        <v>1561.86905</v>
      </c>
      <c r="C1360" s="23">
        <v>1270.8579999999999</v>
      </c>
    </row>
    <row r="1361" spans="1:3" x14ac:dyDescent="0.25">
      <c r="A1361">
        <v>1360</v>
      </c>
      <c r="B1361" s="23">
        <v>1561.8230000000001</v>
      </c>
      <c r="C1361" s="23">
        <v>1270.4000000000001</v>
      </c>
    </row>
    <row r="1362" spans="1:3" x14ac:dyDescent="0.25">
      <c r="A1362">
        <v>1361</v>
      </c>
      <c r="B1362" s="23">
        <v>1561.3106889999999</v>
      </c>
      <c r="C1362" s="23">
        <v>1270.2940000000001</v>
      </c>
    </row>
    <row r="1363" spans="1:3" x14ac:dyDescent="0.25">
      <c r="A1363">
        <v>1362</v>
      </c>
      <c r="B1363" s="23">
        <v>1561.2840000000001</v>
      </c>
      <c r="C1363" s="23">
        <v>1270.2909999999999</v>
      </c>
    </row>
    <row r="1364" spans="1:3" x14ac:dyDescent="0.25">
      <c r="A1364">
        <v>1363</v>
      </c>
      <c r="B1364" s="23">
        <v>1561.2180000000001</v>
      </c>
      <c r="C1364" s="23">
        <v>1270.2429999999999</v>
      </c>
    </row>
    <row r="1365" spans="1:3" x14ac:dyDescent="0.25">
      <c r="A1365">
        <v>1364</v>
      </c>
      <c r="B1365" s="23">
        <v>1560.8</v>
      </c>
      <c r="C1365" s="23">
        <v>1270.07</v>
      </c>
    </row>
    <row r="1366" spans="1:3" x14ac:dyDescent="0.25">
      <c r="A1366">
        <v>1365</v>
      </c>
      <c r="B1366" s="23">
        <v>1560.43372</v>
      </c>
      <c r="C1366" s="23">
        <v>1269.443</v>
      </c>
    </row>
    <row r="1367" spans="1:3" x14ac:dyDescent="0.25">
      <c r="A1367">
        <v>1366</v>
      </c>
      <c r="B1367" s="23">
        <v>1560.4090000000001</v>
      </c>
      <c r="C1367" s="23">
        <v>1268.8</v>
      </c>
    </row>
    <row r="1368" spans="1:3" x14ac:dyDescent="0.25">
      <c r="A1368">
        <v>1367</v>
      </c>
      <c r="B1368" s="23">
        <v>1560.354</v>
      </c>
      <c r="C1368" s="23">
        <v>1268.8</v>
      </c>
    </row>
    <row r="1369" spans="1:3" x14ac:dyDescent="0.25">
      <c r="A1369">
        <v>1368</v>
      </c>
      <c r="B1369" s="23">
        <v>1560.347</v>
      </c>
      <c r="C1369" s="23">
        <v>1268.8</v>
      </c>
    </row>
    <row r="1370" spans="1:3" x14ac:dyDescent="0.25">
      <c r="A1370">
        <v>1369</v>
      </c>
      <c r="B1370" s="23">
        <v>1559.601602</v>
      </c>
      <c r="C1370" s="23">
        <v>1268.8</v>
      </c>
    </row>
    <row r="1371" spans="1:3" x14ac:dyDescent="0.25">
      <c r="A1371">
        <v>1370</v>
      </c>
      <c r="B1371" s="23">
        <v>1559.5596889999999</v>
      </c>
      <c r="C1371" s="23">
        <v>1268.7719999999999</v>
      </c>
    </row>
    <row r="1372" spans="1:3" x14ac:dyDescent="0.25">
      <c r="A1372">
        <v>1371</v>
      </c>
      <c r="B1372" s="23">
        <v>1559.029</v>
      </c>
      <c r="C1372" s="23">
        <v>1268</v>
      </c>
    </row>
    <row r="1373" spans="1:3" x14ac:dyDescent="0.25">
      <c r="A1373">
        <v>1372</v>
      </c>
      <c r="B1373" s="23">
        <v>1559.0239999999999</v>
      </c>
      <c r="C1373" s="23">
        <v>1267.963</v>
      </c>
    </row>
    <row r="1374" spans="1:3" x14ac:dyDescent="0.25">
      <c r="A1374">
        <v>1373</v>
      </c>
      <c r="B1374" s="23">
        <v>1558.944471</v>
      </c>
      <c r="C1374" s="23">
        <v>1267.2</v>
      </c>
    </row>
    <row r="1375" spans="1:3" x14ac:dyDescent="0.25">
      <c r="A1375">
        <v>1374</v>
      </c>
      <c r="B1375" s="23">
        <v>1558.5830000000001</v>
      </c>
      <c r="C1375" s="23">
        <v>1267.2</v>
      </c>
    </row>
    <row r="1376" spans="1:3" x14ac:dyDescent="0.25">
      <c r="A1376">
        <v>1375</v>
      </c>
      <c r="B1376" s="23">
        <v>1558.4</v>
      </c>
      <c r="C1376" s="23">
        <v>1267.0519999999999</v>
      </c>
    </row>
    <row r="1377" spans="1:3" x14ac:dyDescent="0.25">
      <c r="A1377">
        <v>1376</v>
      </c>
      <c r="B1377" s="23">
        <v>1558.3309999999999</v>
      </c>
      <c r="C1377" s="23">
        <v>1266.819</v>
      </c>
    </row>
    <row r="1378" spans="1:3" x14ac:dyDescent="0.25">
      <c r="A1378">
        <v>1377</v>
      </c>
      <c r="B1378" s="23">
        <v>1558.0540000000001</v>
      </c>
      <c r="C1378" s="23">
        <v>1266.4090000000001</v>
      </c>
    </row>
    <row r="1379" spans="1:3" x14ac:dyDescent="0.25">
      <c r="A1379">
        <v>1378</v>
      </c>
      <c r="B1379" s="23">
        <v>1557.9659429999999</v>
      </c>
      <c r="C1379" s="23">
        <v>1266.4090000000001</v>
      </c>
    </row>
    <row r="1380" spans="1:3" x14ac:dyDescent="0.25">
      <c r="A1380">
        <v>1379</v>
      </c>
      <c r="B1380" s="23">
        <v>1557.9214649999999</v>
      </c>
      <c r="C1380" s="23">
        <v>1266.4000000000001</v>
      </c>
    </row>
    <row r="1381" spans="1:3" x14ac:dyDescent="0.25">
      <c r="A1381">
        <v>1380</v>
      </c>
      <c r="B1381" s="23">
        <v>1557.654145</v>
      </c>
      <c r="C1381" s="23">
        <v>1266.4000000000001</v>
      </c>
    </row>
    <row r="1382" spans="1:3" x14ac:dyDescent="0.25">
      <c r="A1382">
        <v>1381</v>
      </c>
      <c r="B1382" s="23">
        <v>1557.6</v>
      </c>
      <c r="C1382" s="23">
        <v>1266.3</v>
      </c>
    </row>
    <row r="1383" spans="1:3" x14ac:dyDescent="0.25">
      <c r="A1383">
        <v>1382</v>
      </c>
      <c r="B1383" s="23">
        <v>1557.6</v>
      </c>
      <c r="C1383" s="23">
        <v>1265.3389999999999</v>
      </c>
    </row>
    <row r="1384" spans="1:3" x14ac:dyDescent="0.25">
      <c r="A1384">
        <v>1383</v>
      </c>
      <c r="B1384" s="23">
        <v>1557.5415680000001</v>
      </c>
      <c r="C1384" s="23">
        <v>1265.0940000000001</v>
      </c>
    </row>
    <row r="1385" spans="1:3" x14ac:dyDescent="0.25">
      <c r="A1385">
        <v>1384</v>
      </c>
      <c r="B1385" s="23">
        <v>1557.38</v>
      </c>
      <c r="C1385" s="23">
        <v>1264.8</v>
      </c>
    </row>
    <row r="1386" spans="1:3" x14ac:dyDescent="0.25">
      <c r="A1386">
        <v>1385</v>
      </c>
      <c r="B1386" s="23">
        <v>1557.232735</v>
      </c>
      <c r="C1386" s="23">
        <v>1264</v>
      </c>
    </row>
    <row r="1387" spans="1:3" x14ac:dyDescent="0.25">
      <c r="A1387">
        <v>1386</v>
      </c>
      <c r="B1387" s="23">
        <v>1557.127</v>
      </c>
      <c r="C1387" s="23">
        <v>1263.865</v>
      </c>
    </row>
    <row r="1388" spans="1:3" x14ac:dyDescent="0.25">
      <c r="A1388">
        <v>1387</v>
      </c>
      <c r="B1388" s="23">
        <v>1556.9169999999999</v>
      </c>
      <c r="C1388" s="23">
        <v>1263.865</v>
      </c>
    </row>
    <row r="1389" spans="1:3" x14ac:dyDescent="0.25">
      <c r="A1389">
        <v>1388</v>
      </c>
      <c r="B1389" s="23">
        <v>1556.8</v>
      </c>
      <c r="C1389" s="23">
        <v>1263.865</v>
      </c>
    </row>
    <row r="1390" spans="1:3" x14ac:dyDescent="0.25">
      <c r="A1390">
        <v>1389</v>
      </c>
      <c r="B1390" s="23">
        <v>1556.8</v>
      </c>
      <c r="C1390" s="23">
        <v>1263.261</v>
      </c>
    </row>
    <row r="1391" spans="1:3" x14ac:dyDescent="0.25">
      <c r="A1391">
        <v>1390</v>
      </c>
      <c r="B1391" s="23">
        <v>1556.6279999999999</v>
      </c>
      <c r="C1391" s="23">
        <v>1263.2</v>
      </c>
    </row>
    <row r="1392" spans="1:3" x14ac:dyDescent="0.25">
      <c r="A1392">
        <v>1391</v>
      </c>
      <c r="B1392" s="23">
        <v>1556.4</v>
      </c>
      <c r="C1392" s="23">
        <v>1263.155</v>
      </c>
    </row>
    <row r="1393" spans="1:3" x14ac:dyDescent="0.25">
      <c r="A1393">
        <v>1392</v>
      </c>
      <c r="B1393" s="23">
        <v>1556.242139</v>
      </c>
      <c r="C1393" s="23">
        <v>1262.5250000000001</v>
      </c>
    </row>
    <row r="1394" spans="1:3" x14ac:dyDescent="0.25">
      <c r="A1394">
        <v>1393</v>
      </c>
      <c r="B1394" s="23">
        <v>1556.164</v>
      </c>
      <c r="C1394" s="23">
        <v>1262.5250000000001</v>
      </c>
    </row>
    <row r="1395" spans="1:3" x14ac:dyDescent="0.25">
      <c r="A1395">
        <v>1394</v>
      </c>
      <c r="B1395" s="23">
        <v>1556.11</v>
      </c>
      <c r="C1395" s="23">
        <v>1262.4000000000001</v>
      </c>
    </row>
    <row r="1396" spans="1:3" x14ac:dyDescent="0.25">
      <c r="A1396">
        <v>1395</v>
      </c>
      <c r="B1396" s="23">
        <v>1556.084638</v>
      </c>
      <c r="C1396" s="23">
        <v>1262.4000000000001</v>
      </c>
    </row>
    <row r="1397" spans="1:3" x14ac:dyDescent="0.25">
      <c r="A1397">
        <v>1396</v>
      </c>
      <c r="B1397" s="23">
        <v>1556</v>
      </c>
      <c r="C1397" s="23">
        <v>1262.4000000000001</v>
      </c>
    </row>
    <row r="1398" spans="1:3" x14ac:dyDescent="0.25">
      <c r="A1398">
        <v>1397</v>
      </c>
      <c r="B1398" s="23">
        <v>1556</v>
      </c>
      <c r="C1398" s="23">
        <v>1261.5999999999999</v>
      </c>
    </row>
    <row r="1399" spans="1:3" x14ac:dyDescent="0.25">
      <c r="A1399">
        <v>1398</v>
      </c>
      <c r="B1399" s="23">
        <v>1555.5124530000001</v>
      </c>
      <c r="C1399" s="23">
        <v>1261.4960000000001</v>
      </c>
    </row>
    <row r="1400" spans="1:3" x14ac:dyDescent="0.25">
      <c r="A1400">
        <v>1399</v>
      </c>
      <c r="B1400" s="23">
        <v>1555.4302379999999</v>
      </c>
      <c r="C1400" s="23">
        <v>1260.2760000000001</v>
      </c>
    </row>
    <row r="1401" spans="1:3" x14ac:dyDescent="0.25">
      <c r="A1401">
        <v>1400</v>
      </c>
      <c r="B1401" s="23">
        <v>1555.2760000000001</v>
      </c>
      <c r="C1401" s="23">
        <v>1260</v>
      </c>
    </row>
    <row r="1402" spans="1:3" x14ac:dyDescent="0.25">
      <c r="A1402">
        <v>1401</v>
      </c>
      <c r="B1402" s="23">
        <v>1555.2</v>
      </c>
      <c r="C1402" s="23">
        <v>1260</v>
      </c>
    </row>
    <row r="1403" spans="1:3" x14ac:dyDescent="0.25">
      <c r="A1403">
        <v>1402</v>
      </c>
      <c r="B1403" s="23">
        <v>1555.098</v>
      </c>
      <c r="C1403" s="23">
        <v>1259.807</v>
      </c>
    </row>
    <row r="1404" spans="1:3" x14ac:dyDescent="0.25">
      <c r="A1404">
        <v>1403</v>
      </c>
      <c r="B1404" s="23">
        <v>1554.491</v>
      </c>
      <c r="C1404" s="23">
        <v>1259.4549999999999</v>
      </c>
    </row>
    <row r="1405" spans="1:3" x14ac:dyDescent="0.25">
      <c r="A1405">
        <v>1404</v>
      </c>
      <c r="B1405" s="23">
        <v>1554.4</v>
      </c>
      <c r="C1405" s="23">
        <v>1259.433</v>
      </c>
    </row>
    <row r="1406" spans="1:3" x14ac:dyDescent="0.25">
      <c r="A1406">
        <v>1405</v>
      </c>
      <c r="B1406" s="23">
        <v>1554.4</v>
      </c>
      <c r="C1406" s="23">
        <v>1259.21</v>
      </c>
    </row>
    <row r="1407" spans="1:3" x14ac:dyDescent="0.25">
      <c r="A1407">
        <v>1406</v>
      </c>
      <c r="B1407" s="23">
        <v>1554.339453</v>
      </c>
      <c r="C1407" s="23">
        <v>1259.2</v>
      </c>
    </row>
    <row r="1408" spans="1:3" x14ac:dyDescent="0.25">
      <c r="A1408">
        <v>1407</v>
      </c>
      <c r="B1408" s="23">
        <v>1554.326</v>
      </c>
      <c r="C1408" s="23">
        <v>1259.117</v>
      </c>
    </row>
    <row r="1409" spans="1:3" x14ac:dyDescent="0.25">
      <c r="A1409">
        <v>1408</v>
      </c>
      <c r="B1409" s="23">
        <v>1554.2017049999999</v>
      </c>
      <c r="C1409" s="23">
        <v>1258.4259999999999</v>
      </c>
    </row>
    <row r="1410" spans="1:3" x14ac:dyDescent="0.25">
      <c r="A1410">
        <v>1409</v>
      </c>
      <c r="B1410" s="23">
        <v>1554.1528539999999</v>
      </c>
      <c r="C1410" s="23">
        <v>1258.4259999999999</v>
      </c>
    </row>
    <row r="1411" spans="1:3" x14ac:dyDescent="0.25">
      <c r="A1411">
        <v>1410</v>
      </c>
      <c r="B1411" s="23">
        <v>1554.145</v>
      </c>
      <c r="C1411" s="23">
        <v>1258.4000000000001</v>
      </c>
    </row>
    <row r="1412" spans="1:3" x14ac:dyDescent="0.25">
      <c r="A1412">
        <v>1411</v>
      </c>
      <c r="B1412" s="23">
        <v>1554.021958</v>
      </c>
      <c r="C1412" s="23">
        <v>1258.4000000000001</v>
      </c>
    </row>
    <row r="1413" spans="1:3" x14ac:dyDescent="0.25">
      <c r="A1413">
        <v>1412</v>
      </c>
      <c r="B1413" s="23">
        <v>1553.989</v>
      </c>
      <c r="C1413" s="23">
        <v>1257.5999999999999</v>
      </c>
    </row>
    <row r="1414" spans="1:3" x14ac:dyDescent="0.25">
      <c r="A1414">
        <v>1413</v>
      </c>
      <c r="B1414" s="23">
        <v>1553.979</v>
      </c>
      <c r="C1414" s="23">
        <v>1257.5999999999999</v>
      </c>
    </row>
    <row r="1415" spans="1:3" x14ac:dyDescent="0.25">
      <c r="A1415">
        <v>1414</v>
      </c>
      <c r="B1415" s="23">
        <v>1553.876362</v>
      </c>
      <c r="C1415" s="23">
        <v>1257.49</v>
      </c>
    </row>
    <row r="1416" spans="1:3" x14ac:dyDescent="0.25">
      <c r="A1416">
        <v>1415</v>
      </c>
      <c r="B1416" s="23">
        <v>1553.6</v>
      </c>
      <c r="C1416" s="23">
        <v>1257.086</v>
      </c>
    </row>
    <row r="1417" spans="1:3" x14ac:dyDescent="0.25">
      <c r="A1417">
        <v>1416</v>
      </c>
      <c r="B1417" s="23">
        <v>1553.6</v>
      </c>
      <c r="C1417" s="23">
        <v>1257.0039999999999</v>
      </c>
    </row>
    <row r="1418" spans="1:3" x14ac:dyDescent="0.25">
      <c r="A1418">
        <v>1417</v>
      </c>
      <c r="B1418" s="23">
        <v>1553.3917469999999</v>
      </c>
      <c r="C1418" s="23">
        <v>1256.8</v>
      </c>
    </row>
    <row r="1419" spans="1:3" x14ac:dyDescent="0.25">
      <c r="A1419">
        <v>1418</v>
      </c>
      <c r="B1419" s="23">
        <v>1553.3050000000001</v>
      </c>
      <c r="C1419" s="23">
        <v>1256.8</v>
      </c>
    </row>
    <row r="1420" spans="1:3" x14ac:dyDescent="0.25">
      <c r="A1420">
        <v>1419</v>
      </c>
      <c r="B1420" s="23">
        <v>1553.0947430000001</v>
      </c>
      <c r="C1420" s="23">
        <v>1256.268</v>
      </c>
    </row>
    <row r="1421" spans="1:3" x14ac:dyDescent="0.25">
      <c r="A1421">
        <v>1420</v>
      </c>
      <c r="B1421" s="23">
        <v>1552.9577569999999</v>
      </c>
      <c r="C1421" s="23">
        <v>1256.268</v>
      </c>
    </row>
    <row r="1422" spans="1:3" x14ac:dyDescent="0.25">
      <c r="A1422">
        <v>1421</v>
      </c>
      <c r="B1422" s="23">
        <v>1552.3009999999999</v>
      </c>
      <c r="C1422" s="23">
        <v>1256</v>
      </c>
    </row>
    <row r="1423" spans="1:3" x14ac:dyDescent="0.25">
      <c r="A1423">
        <v>1422</v>
      </c>
      <c r="B1423" s="23">
        <v>1552.269536</v>
      </c>
      <c r="C1423" s="23">
        <v>1256</v>
      </c>
    </row>
    <row r="1424" spans="1:3" x14ac:dyDescent="0.25">
      <c r="A1424">
        <v>1423</v>
      </c>
      <c r="B1424" s="23">
        <v>1552.097</v>
      </c>
      <c r="C1424" s="23">
        <v>1255.6400000000001</v>
      </c>
    </row>
    <row r="1425" spans="1:3" x14ac:dyDescent="0.25">
      <c r="A1425">
        <v>1424</v>
      </c>
      <c r="B1425" s="23">
        <v>1551.856323</v>
      </c>
      <c r="C1425" s="23">
        <v>1255.5329999999999</v>
      </c>
    </row>
    <row r="1426" spans="1:3" x14ac:dyDescent="0.25">
      <c r="A1426">
        <v>1425</v>
      </c>
      <c r="B1426" s="23">
        <v>1551.5661399999999</v>
      </c>
      <c r="C1426" s="23">
        <v>1255.3689999999999</v>
      </c>
    </row>
    <row r="1427" spans="1:3" x14ac:dyDescent="0.25">
      <c r="A1427">
        <v>1426</v>
      </c>
      <c r="B1427" s="23">
        <v>1551.5070000000001</v>
      </c>
      <c r="C1427" s="23">
        <v>1255.0989999999999</v>
      </c>
    </row>
    <row r="1428" spans="1:3" x14ac:dyDescent="0.25">
      <c r="A1428">
        <v>1427</v>
      </c>
      <c r="B1428" s="23">
        <v>1551.423303</v>
      </c>
      <c r="C1428" s="23">
        <v>1254.973</v>
      </c>
    </row>
    <row r="1429" spans="1:3" x14ac:dyDescent="0.25">
      <c r="A1429">
        <v>1428</v>
      </c>
      <c r="B1429" s="23">
        <v>1551.362967</v>
      </c>
      <c r="C1429" s="23">
        <v>1254.973</v>
      </c>
    </row>
    <row r="1430" spans="1:3" x14ac:dyDescent="0.25">
      <c r="A1430">
        <v>1429</v>
      </c>
      <c r="B1430" s="23">
        <v>1551.2</v>
      </c>
      <c r="C1430" s="23">
        <v>1254.4000000000001</v>
      </c>
    </row>
    <row r="1431" spans="1:3" x14ac:dyDescent="0.25">
      <c r="A1431">
        <v>1430</v>
      </c>
      <c r="B1431" s="23">
        <v>1551.2</v>
      </c>
      <c r="C1431" s="23">
        <v>1254.4000000000001</v>
      </c>
    </row>
    <row r="1432" spans="1:3" x14ac:dyDescent="0.25">
      <c r="A1432">
        <v>1431</v>
      </c>
      <c r="B1432" s="23">
        <v>1551.1410000000001</v>
      </c>
      <c r="C1432" s="23">
        <v>1254.4000000000001</v>
      </c>
    </row>
    <row r="1433" spans="1:3" x14ac:dyDescent="0.25">
      <c r="A1433">
        <v>1432</v>
      </c>
      <c r="B1433" s="23">
        <v>1551.070219</v>
      </c>
      <c r="C1433" s="23">
        <v>1254.2909999999999</v>
      </c>
    </row>
    <row r="1434" spans="1:3" x14ac:dyDescent="0.25">
      <c r="A1434">
        <v>1433</v>
      </c>
      <c r="B1434" s="23">
        <v>1550.943</v>
      </c>
      <c r="C1434" s="23">
        <v>1253.6849999999999</v>
      </c>
    </row>
    <row r="1435" spans="1:3" x14ac:dyDescent="0.25">
      <c r="A1435">
        <v>1434</v>
      </c>
      <c r="B1435" s="23">
        <v>1550.847</v>
      </c>
      <c r="C1435" s="23">
        <v>1252.915</v>
      </c>
    </row>
    <row r="1436" spans="1:3" x14ac:dyDescent="0.25">
      <c r="A1436">
        <v>1435</v>
      </c>
      <c r="B1436" s="23">
        <v>1550.7729999999999</v>
      </c>
      <c r="C1436" s="23">
        <v>1252.9010000000001</v>
      </c>
    </row>
    <row r="1437" spans="1:3" x14ac:dyDescent="0.25">
      <c r="A1437">
        <v>1436</v>
      </c>
      <c r="B1437" s="23">
        <v>1550.7355930000001</v>
      </c>
      <c r="C1437" s="23">
        <v>1252.8</v>
      </c>
    </row>
    <row r="1438" spans="1:3" x14ac:dyDescent="0.25">
      <c r="A1438">
        <v>1437</v>
      </c>
      <c r="B1438" s="23">
        <v>1550.4159999999999</v>
      </c>
      <c r="C1438" s="23">
        <v>1252.8</v>
      </c>
    </row>
    <row r="1439" spans="1:3" x14ac:dyDescent="0.25">
      <c r="A1439">
        <v>1438</v>
      </c>
      <c r="B1439" s="23">
        <v>1550.4</v>
      </c>
      <c r="C1439" s="23">
        <v>1251.519</v>
      </c>
    </row>
    <row r="1440" spans="1:3" x14ac:dyDescent="0.25">
      <c r="A1440">
        <v>1439</v>
      </c>
      <c r="B1440" s="23">
        <v>1550.4</v>
      </c>
      <c r="C1440" s="23">
        <v>1251.1199999999999</v>
      </c>
    </row>
    <row r="1441" spans="1:3" x14ac:dyDescent="0.25">
      <c r="A1441">
        <v>1440</v>
      </c>
      <c r="B1441" s="23">
        <v>1549.6790000000001</v>
      </c>
      <c r="C1441" s="23">
        <v>1251.115</v>
      </c>
    </row>
    <row r="1442" spans="1:3" x14ac:dyDescent="0.25">
      <c r="A1442">
        <v>1441</v>
      </c>
      <c r="B1442" s="23">
        <v>1549.6</v>
      </c>
      <c r="C1442" s="23">
        <v>1250.4000000000001</v>
      </c>
    </row>
    <row r="1443" spans="1:3" x14ac:dyDescent="0.25">
      <c r="A1443">
        <v>1442</v>
      </c>
      <c r="B1443" s="23">
        <v>1548.969814</v>
      </c>
      <c r="C1443" s="23">
        <v>1250.4000000000001</v>
      </c>
    </row>
    <row r="1444" spans="1:3" x14ac:dyDescent="0.25">
      <c r="A1444">
        <v>1443</v>
      </c>
      <c r="B1444" s="23">
        <v>1548.9033649999999</v>
      </c>
      <c r="C1444" s="23">
        <v>1248.913</v>
      </c>
    </row>
    <row r="1445" spans="1:3" x14ac:dyDescent="0.25">
      <c r="A1445">
        <v>1444</v>
      </c>
      <c r="B1445" s="23">
        <v>1548.8</v>
      </c>
      <c r="C1445" s="23">
        <v>1248.8</v>
      </c>
    </row>
    <row r="1446" spans="1:3" x14ac:dyDescent="0.25">
      <c r="A1446">
        <v>1445</v>
      </c>
      <c r="B1446" s="23">
        <v>1548.8</v>
      </c>
      <c r="C1446" s="23">
        <v>1248.8</v>
      </c>
    </row>
    <row r="1447" spans="1:3" x14ac:dyDescent="0.25">
      <c r="A1447">
        <v>1446</v>
      </c>
      <c r="B1447" s="23">
        <v>1548.768</v>
      </c>
      <c r="C1447" s="23">
        <v>1248.8</v>
      </c>
    </row>
    <row r="1448" spans="1:3" x14ac:dyDescent="0.25">
      <c r="A1448">
        <v>1447</v>
      </c>
      <c r="B1448" s="23">
        <v>1548.5915669999999</v>
      </c>
      <c r="C1448" s="23">
        <v>1248.8</v>
      </c>
    </row>
    <row r="1449" spans="1:3" x14ac:dyDescent="0.25">
      <c r="A1449">
        <v>1448</v>
      </c>
      <c r="B1449" s="23">
        <v>1548.048354</v>
      </c>
      <c r="C1449" s="23">
        <v>1248.8</v>
      </c>
    </row>
    <row r="1450" spans="1:3" x14ac:dyDescent="0.25">
      <c r="A1450">
        <v>1449</v>
      </c>
      <c r="B1450" s="23">
        <v>1548</v>
      </c>
      <c r="C1450" s="23">
        <v>1248.008</v>
      </c>
    </row>
    <row r="1451" spans="1:3" x14ac:dyDescent="0.25">
      <c r="A1451">
        <v>1450</v>
      </c>
      <c r="B1451" s="23">
        <v>1547.990462</v>
      </c>
      <c r="C1451" s="23">
        <v>1248</v>
      </c>
    </row>
    <row r="1452" spans="1:3" x14ac:dyDescent="0.25">
      <c r="A1452">
        <v>1451</v>
      </c>
      <c r="B1452" s="23">
        <v>1547.8869999999999</v>
      </c>
      <c r="C1452" s="23">
        <v>1248</v>
      </c>
    </row>
    <row r="1453" spans="1:3" x14ac:dyDescent="0.25">
      <c r="A1453">
        <v>1452</v>
      </c>
      <c r="B1453" s="23">
        <v>1547.5340940000001</v>
      </c>
      <c r="C1453" s="23">
        <v>1247.2</v>
      </c>
    </row>
    <row r="1454" spans="1:3" x14ac:dyDescent="0.25">
      <c r="A1454">
        <v>1453</v>
      </c>
      <c r="B1454" s="23">
        <v>1547.5219999999999</v>
      </c>
      <c r="C1454" s="23">
        <v>1246.9860000000001</v>
      </c>
    </row>
    <row r="1455" spans="1:3" x14ac:dyDescent="0.25">
      <c r="A1455">
        <v>1454</v>
      </c>
      <c r="B1455" s="23">
        <v>1547.461</v>
      </c>
      <c r="C1455" s="23">
        <v>1246.9459999999999</v>
      </c>
    </row>
    <row r="1456" spans="1:3" x14ac:dyDescent="0.25">
      <c r="A1456">
        <v>1455</v>
      </c>
      <c r="B1456" s="23">
        <v>1547.415</v>
      </c>
      <c r="C1456" s="23">
        <v>1246.7059999999999</v>
      </c>
    </row>
    <row r="1457" spans="1:3" x14ac:dyDescent="0.25">
      <c r="A1457">
        <v>1456</v>
      </c>
      <c r="B1457" s="23">
        <v>1547.10049</v>
      </c>
      <c r="C1457" s="23">
        <v>1246.4000000000001</v>
      </c>
    </row>
    <row r="1458" spans="1:3" x14ac:dyDescent="0.25">
      <c r="A1458">
        <v>1457</v>
      </c>
      <c r="B1458" s="23">
        <v>1546.8022510000001</v>
      </c>
      <c r="C1458" s="23">
        <v>1246.4000000000001</v>
      </c>
    </row>
    <row r="1459" spans="1:3" x14ac:dyDescent="0.25">
      <c r="A1459">
        <v>1458</v>
      </c>
      <c r="B1459" s="23">
        <v>1546.639183</v>
      </c>
      <c r="C1459" s="23">
        <v>1246.4000000000001</v>
      </c>
    </row>
    <row r="1460" spans="1:3" x14ac:dyDescent="0.25">
      <c r="A1460">
        <v>1459</v>
      </c>
      <c r="B1460" s="23">
        <v>1546.546</v>
      </c>
      <c r="C1460" s="23">
        <v>1245.5999999999999</v>
      </c>
    </row>
    <row r="1461" spans="1:3" x14ac:dyDescent="0.25">
      <c r="A1461">
        <v>1460</v>
      </c>
      <c r="B1461" s="23">
        <v>1546.5163239999999</v>
      </c>
      <c r="C1461" s="23">
        <v>1245.5999999999999</v>
      </c>
    </row>
    <row r="1462" spans="1:3" x14ac:dyDescent="0.25">
      <c r="A1462">
        <v>1461</v>
      </c>
      <c r="B1462" s="23">
        <v>1546.4283150000001</v>
      </c>
      <c r="C1462" s="23">
        <v>1244.8</v>
      </c>
    </row>
    <row r="1463" spans="1:3" x14ac:dyDescent="0.25">
      <c r="A1463">
        <v>1462</v>
      </c>
      <c r="B1463" s="23">
        <v>1546.4</v>
      </c>
      <c r="C1463" s="23">
        <v>1244.8</v>
      </c>
    </row>
    <row r="1464" spans="1:3" x14ac:dyDescent="0.25">
      <c r="A1464">
        <v>1463</v>
      </c>
      <c r="B1464" s="23">
        <v>1546.4</v>
      </c>
      <c r="C1464" s="23">
        <v>1244.8</v>
      </c>
    </row>
    <row r="1465" spans="1:3" x14ac:dyDescent="0.25">
      <c r="A1465">
        <v>1464</v>
      </c>
      <c r="B1465" s="23">
        <v>1546.4</v>
      </c>
      <c r="C1465" s="23">
        <v>1244.01</v>
      </c>
    </row>
    <row r="1466" spans="1:3" x14ac:dyDescent="0.25">
      <c r="A1466">
        <v>1465</v>
      </c>
      <c r="B1466" s="23">
        <v>1546.268</v>
      </c>
      <c r="C1466" s="23">
        <v>1243.943</v>
      </c>
    </row>
    <row r="1467" spans="1:3" x14ac:dyDescent="0.25">
      <c r="A1467">
        <v>1466</v>
      </c>
      <c r="B1467" s="23">
        <v>1546.267908</v>
      </c>
      <c r="C1467" s="23">
        <v>1243.943</v>
      </c>
    </row>
    <row r="1468" spans="1:3" x14ac:dyDescent="0.25">
      <c r="A1468">
        <v>1467</v>
      </c>
      <c r="B1468" s="23">
        <v>1546.2629910000001</v>
      </c>
      <c r="C1468" s="23">
        <v>1243.2</v>
      </c>
    </row>
    <row r="1469" spans="1:3" x14ac:dyDescent="0.25">
      <c r="A1469">
        <v>1468</v>
      </c>
      <c r="B1469" s="23">
        <v>1546.02</v>
      </c>
      <c r="C1469" s="23">
        <v>1243.2</v>
      </c>
    </row>
    <row r="1470" spans="1:3" x14ac:dyDescent="0.25">
      <c r="A1470">
        <v>1469</v>
      </c>
      <c r="B1470" s="23">
        <v>1545.6</v>
      </c>
      <c r="C1470" s="23">
        <v>1243.029</v>
      </c>
    </row>
    <row r="1471" spans="1:3" x14ac:dyDescent="0.25">
      <c r="A1471">
        <v>1470</v>
      </c>
      <c r="B1471" s="23">
        <v>1545.6</v>
      </c>
      <c r="C1471" s="23">
        <v>1242.4000000000001</v>
      </c>
    </row>
    <row r="1472" spans="1:3" x14ac:dyDescent="0.25">
      <c r="A1472">
        <v>1471</v>
      </c>
      <c r="B1472" s="23">
        <v>1545.3430000000001</v>
      </c>
      <c r="C1472" s="23">
        <v>1242.3489999999999</v>
      </c>
    </row>
    <row r="1473" spans="1:3" x14ac:dyDescent="0.25">
      <c r="A1473">
        <v>1472</v>
      </c>
      <c r="B1473" s="23">
        <v>1545.3275329999999</v>
      </c>
      <c r="C1473" s="23">
        <v>1240.8</v>
      </c>
    </row>
    <row r="1474" spans="1:3" x14ac:dyDescent="0.25">
      <c r="A1474">
        <v>1473</v>
      </c>
      <c r="B1474" s="23">
        <v>1545.107503</v>
      </c>
      <c r="C1474" s="23">
        <v>1240.77</v>
      </c>
    </row>
    <row r="1475" spans="1:3" x14ac:dyDescent="0.25">
      <c r="A1475">
        <v>1474</v>
      </c>
      <c r="B1475" s="23">
        <v>1545.1010000000001</v>
      </c>
      <c r="C1475" s="23">
        <v>1240.0920000000001</v>
      </c>
    </row>
    <row r="1476" spans="1:3" x14ac:dyDescent="0.25">
      <c r="A1476">
        <v>1475</v>
      </c>
      <c r="B1476" s="23">
        <v>1544.910273</v>
      </c>
      <c r="C1476" s="23">
        <v>1240.087</v>
      </c>
    </row>
    <row r="1477" spans="1:3" x14ac:dyDescent="0.25">
      <c r="A1477">
        <v>1476</v>
      </c>
      <c r="B1477" s="23">
        <v>1544.8</v>
      </c>
      <c r="C1477" s="23">
        <v>1240</v>
      </c>
    </row>
    <row r="1478" spans="1:3" x14ac:dyDescent="0.25">
      <c r="A1478">
        <v>1477</v>
      </c>
      <c r="B1478" s="23">
        <v>1544.8</v>
      </c>
      <c r="C1478" s="23">
        <v>1240</v>
      </c>
    </row>
    <row r="1479" spans="1:3" x14ac:dyDescent="0.25">
      <c r="A1479">
        <v>1478</v>
      </c>
      <c r="B1479" s="23">
        <v>1544.713</v>
      </c>
      <c r="C1479" s="23">
        <v>1240</v>
      </c>
    </row>
    <row r="1480" spans="1:3" x14ac:dyDescent="0.25">
      <c r="A1480">
        <v>1479</v>
      </c>
      <c r="B1480" s="23">
        <v>1544.646</v>
      </c>
      <c r="C1480" s="23">
        <v>1239.848</v>
      </c>
    </row>
    <row r="1481" spans="1:3" x14ac:dyDescent="0.25">
      <c r="A1481">
        <v>1480</v>
      </c>
      <c r="B1481" s="23">
        <v>1544.6189999999999</v>
      </c>
      <c r="C1481" s="23">
        <v>1239.2</v>
      </c>
    </row>
    <row r="1482" spans="1:3" x14ac:dyDescent="0.25">
      <c r="A1482">
        <v>1481</v>
      </c>
      <c r="B1482" s="23">
        <v>1544.5989999999999</v>
      </c>
      <c r="C1482" s="23">
        <v>1239.2</v>
      </c>
    </row>
    <row r="1483" spans="1:3" x14ac:dyDescent="0.25">
      <c r="A1483">
        <v>1482</v>
      </c>
      <c r="B1483" s="23">
        <v>1544.327</v>
      </c>
      <c r="C1483" s="23">
        <v>1239.2</v>
      </c>
    </row>
    <row r="1484" spans="1:3" x14ac:dyDescent="0.25">
      <c r="A1484">
        <v>1483</v>
      </c>
      <c r="B1484" s="23">
        <v>1544.0628340000001</v>
      </c>
      <c r="C1484" s="23">
        <v>1238.616</v>
      </c>
    </row>
    <row r="1485" spans="1:3" x14ac:dyDescent="0.25">
      <c r="A1485">
        <v>1484</v>
      </c>
      <c r="B1485" s="23">
        <v>1544.0628340000001</v>
      </c>
      <c r="C1485" s="23">
        <v>1238.4390000000001</v>
      </c>
    </row>
    <row r="1486" spans="1:3" x14ac:dyDescent="0.25">
      <c r="A1486">
        <v>1485</v>
      </c>
      <c r="B1486" s="23">
        <v>1544</v>
      </c>
      <c r="C1486" s="23">
        <v>1238.4000000000001</v>
      </c>
    </row>
    <row r="1487" spans="1:3" x14ac:dyDescent="0.25">
      <c r="A1487">
        <v>1486</v>
      </c>
      <c r="B1487" s="23">
        <v>1543.776165</v>
      </c>
      <c r="C1487" s="23">
        <v>1238.194</v>
      </c>
    </row>
    <row r="1488" spans="1:3" x14ac:dyDescent="0.25">
      <c r="A1488">
        <v>1487</v>
      </c>
      <c r="B1488" s="23">
        <v>1543.6955579999999</v>
      </c>
      <c r="C1488" s="23">
        <v>1237.7059999999999</v>
      </c>
    </row>
    <row r="1489" spans="1:3" x14ac:dyDescent="0.25">
      <c r="A1489">
        <v>1488</v>
      </c>
      <c r="B1489" s="23">
        <v>1543.651875</v>
      </c>
      <c r="C1489" s="23">
        <v>1237.7059999999999</v>
      </c>
    </row>
    <row r="1490" spans="1:3" x14ac:dyDescent="0.25">
      <c r="A1490">
        <v>1489</v>
      </c>
      <c r="B1490" s="23">
        <v>1543.5340000000001</v>
      </c>
      <c r="C1490" s="23">
        <v>1237.7059999999999</v>
      </c>
    </row>
    <row r="1491" spans="1:3" x14ac:dyDescent="0.25">
      <c r="A1491">
        <v>1490</v>
      </c>
      <c r="B1491" s="23">
        <v>1543.2</v>
      </c>
      <c r="C1491" s="23">
        <v>1237.663</v>
      </c>
    </row>
    <row r="1492" spans="1:3" x14ac:dyDescent="0.25">
      <c r="A1492">
        <v>1491</v>
      </c>
      <c r="B1492" s="23">
        <v>1542.974948</v>
      </c>
      <c r="C1492" s="23">
        <v>1237.567</v>
      </c>
    </row>
    <row r="1493" spans="1:3" x14ac:dyDescent="0.25">
      <c r="A1493">
        <v>1492</v>
      </c>
      <c r="B1493" s="23">
        <v>1542.9505859999999</v>
      </c>
      <c r="C1493" s="23">
        <v>1237.145</v>
      </c>
    </row>
    <row r="1494" spans="1:3" x14ac:dyDescent="0.25">
      <c r="A1494">
        <v>1493</v>
      </c>
      <c r="B1494" s="23">
        <v>1542.7756079999999</v>
      </c>
      <c r="C1494" s="23">
        <v>1237.145</v>
      </c>
    </row>
    <row r="1495" spans="1:3" x14ac:dyDescent="0.25">
      <c r="A1495">
        <v>1494</v>
      </c>
      <c r="B1495" s="23">
        <v>1542.743733</v>
      </c>
      <c r="C1495" s="23">
        <v>1237.0150000000001</v>
      </c>
    </row>
    <row r="1496" spans="1:3" x14ac:dyDescent="0.25">
      <c r="A1496">
        <v>1495</v>
      </c>
      <c r="B1496" s="23">
        <v>1542.4</v>
      </c>
      <c r="C1496" s="23">
        <v>1236.8</v>
      </c>
    </row>
    <row r="1497" spans="1:3" x14ac:dyDescent="0.25">
      <c r="A1497">
        <v>1496</v>
      </c>
      <c r="B1497" s="23">
        <v>1542.4</v>
      </c>
      <c r="C1497" s="23">
        <v>1236.559</v>
      </c>
    </row>
    <row r="1498" spans="1:3" x14ac:dyDescent="0.25">
      <c r="A1498">
        <v>1497</v>
      </c>
      <c r="B1498" s="23">
        <v>1542.4</v>
      </c>
      <c r="C1498" s="23">
        <v>1236.3240000000001</v>
      </c>
    </row>
    <row r="1499" spans="1:3" x14ac:dyDescent="0.25">
      <c r="A1499">
        <v>1498</v>
      </c>
      <c r="B1499" s="23">
        <v>1542.1992049999999</v>
      </c>
      <c r="C1499" s="23">
        <v>1236.1089999999999</v>
      </c>
    </row>
    <row r="1500" spans="1:3" x14ac:dyDescent="0.25">
      <c r="A1500">
        <v>1499</v>
      </c>
      <c r="B1500" s="23">
        <v>1542.126143</v>
      </c>
      <c r="C1500" s="23">
        <v>1235.288</v>
      </c>
    </row>
    <row r="1501" spans="1:3" x14ac:dyDescent="0.25">
      <c r="A1501">
        <v>1500</v>
      </c>
      <c r="B1501" s="23">
        <v>1542.057</v>
      </c>
      <c r="C1501" s="23">
        <v>1235.2</v>
      </c>
    </row>
    <row r="1502" spans="1:3" x14ac:dyDescent="0.25">
      <c r="A1502">
        <v>1501</v>
      </c>
      <c r="B1502" s="23">
        <v>1541.713</v>
      </c>
      <c r="C1502" s="23">
        <v>1234.4000000000001</v>
      </c>
    </row>
    <row r="1503" spans="1:3" x14ac:dyDescent="0.25">
      <c r="A1503">
        <v>1502</v>
      </c>
      <c r="B1503" s="23">
        <v>1541.6</v>
      </c>
      <c r="C1503" s="23">
        <v>1234.4000000000001</v>
      </c>
    </row>
    <row r="1504" spans="1:3" x14ac:dyDescent="0.25">
      <c r="A1504">
        <v>1503</v>
      </c>
      <c r="B1504" s="23">
        <v>1541.5025800000001</v>
      </c>
      <c r="C1504" s="23">
        <v>1233.778</v>
      </c>
    </row>
    <row r="1505" spans="1:3" x14ac:dyDescent="0.25">
      <c r="A1505">
        <v>1504</v>
      </c>
      <c r="B1505" s="23">
        <v>1540.8240000000001</v>
      </c>
      <c r="C1505" s="23">
        <v>1233.4670000000001</v>
      </c>
    </row>
    <row r="1506" spans="1:3" x14ac:dyDescent="0.25">
      <c r="A1506">
        <v>1505</v>
      </c>
      <c r="B1506" s="23">
        <v>1540.8</v>
      </c>
      <c r="C1506" s="23">
        <v>1233.287</v>
      </c>
    </row>
    <row r="1507" spans="1:3" x14ac:dyDescent="0.25">
      <c r="A1507">
        <v>1506</v>
      </c>
      <c r="B1507" s="23">
        <v>1540.8</v>
      </c>
      <c r="C1507" s="23">
        <v>1233.287</v>
      </c>
    </row>
    <row r="1508" spans="1:3" x14ac:dyDescent="0.25">
      <c r="A1508">
        <v>1507</v>
      </c>
      <c r="B1508" s="23">
        <v>1540.8</v>
      </c>
      <c r="C1508" s="23">
        <v>1233.252</v>
      </c>
    </row>
    <row r="1509" spans="1:3" x14ac:dyDescent="0.25">
      <c r="A1509">
        <v>1508</v>
      </c>
      <c r="B1509" s="23">
        <v>1540.681</v>
      </c>
      <c r="C1509" s="23">
        <v>1232.8</v>
      </c>
    </row>
    <row r="1510" spans="1:3" x14ac:dyDescent="0.25">
      <c r="A1510">
        <v>1509</v>
      </c>
      <c r="B1510" s="23">
        <v>1540.5239999999999</v>
      </c>
      <c r="C1510" s="23">
        <v>1232.8</v>
      </c>
    </row>
    <row r="1511" spans="1:3" x14ac:dyDescent="0.25">
      <c r="A1511">
        <v>1510</v>
      </c>
      <c r="B1511" s="23">
        <v>1540.0610730000001</v>
      </c>
      <c r="C1511" s="23">
        <v>1232.8</v>
      </c>
    </row>
    <row r="1512" spans="1:3" x14ac:dyDescent="0.25">
      <c r="A1512">
        <v>1511</v>
      </c>
      <c r="B1512" s="23">
        <v>1540.0450000000001</v>
      </c>
      <c r="C1512" s="23">
        <v>1232.2239999999999</v>
      </c>
    </row>
    <row r="1513" spans="1:3" x14ac:dyDescent="0.25">
      <c r="A1513">
        <v>1512</v>
      </c>
      <c r="B1513" s="23">
        <v>1539.8914749999999</v>
      </c>
      <c r="C1513" s="23">
        <v>1232.18</v>
      </c>
    </row>
    <row r="1514" spans="1:3" x14ac:dyDescent="0.25">
      <c r="A1514">
        <v>1513</v>
      </c>
      <c r="B1514" s="23">
        <v>1539.86</v>
      </c>
      <c r="C1514" s="23">
        <v>1232.086</v>
      </c>
    </row>
    <row r="1515" spans="1:3" x14ac:dyDescent="0.25">
      <c r="A1515">
        <v>1514</v>
      </c>
      <c r="B1515" s="23">
        <v>1539.8240000000001</v>
      </c>
      <c r="C1515" s="23">
        <v>1232</v>
      </c>
    </row>
    <row r="1516" spans="1:3" x14ac:dyDescent="0.25">
      <c r="A1516">
        <v>1515</v>
      </c>
      <c r="B1516" s="23">
        <v>1539.8109999999999</v>
      </c>
      <c r="C1516" s="23">
        <v>1231.989</v>
      </c>
    </row>
    <row r="1517" spans="1:3" x14ac:dyDescent="0.25">
      <c r="A1517">
        <v>1516</v>
      </c>
      <c r="B1517" s="23">
        <v>1539.509</v>
      </c>
      <c r="C1517" s="23">
        <v>1230.981</v>
      </c>
    </row>
    <row r="1518" spans="1:3" x14ac:dyDescent="0.25">
      <c r="A1518">
        <v>1517</v>
      </c>
      <c r="B1518" s="23">
        <v>1539.2</v>
      </c>
      <c r="C1518" s="23">
        <v>1230.9190000000001</v>
      </c>
    </row>
    <row r="1519" spans="1:3" x14ac:dyDescent="0.25">
      <c r="A1519">
        <v>1518</v>
      </c>
      <c r="B1519" s="23">
        <v>1539.2</v>
      </c>
      <c r="C1519" s="23">
        <v>1230.67</v>
      </c>
    </row>
    <row r="1520" spans="1:3" x14ac:dyDescent="0.25">
      <c r="A1520">
        <v>1519</v>
      </c>
      <c r="B1520" s="23">
        <v>1539.01</v>
      </c>
      <c r="C1520" s="23">
        <v>1230.47</v>
      </c>
    </row>
    <row r="1521" spans="1:3" x14ac:dyDescent="0.25">
      <c r="A1521">
        <v>1520</v>
      </c>
      <c r="B1521" s="23">
        <v>1538.8330000000001</v>
      </c>
      <c r="C1521" s="23">
        <v>1230.4000000000001</v>
      </c>
    </row>
    <row r="1522" spans="1:3" x14ac:dyDescent="0.25">
      <c r="A1522">
        <v>1521</v>
      </c>
      <c r="B1522" s="23">
        <v>1538.7348079999999</v>
      </c>
      <c r="C1522" s="23">
        <v>1230.3389999999999</v>
      </c>
    </row>
    <row r="1523" spans="1:3" x14ac:dyDescent="0.25">
      <c r="A1523">
        <v>1522</v>
      </c>
      <c r="B1523" s="23">
        <v>1538.6406219999999</v>
      </c>
      <c r="C1523" s="23">
        <v>1230.1079999999999</v>
      </c>
    </row>
    <row r="1524" spans="1:3" x14ac:dyDescent="0.25">
      <c r="A1524">
        <v>1523</v>
      </c>
      <c r="B1524" s="23">
        <v>1538.616325</v>
      </c>
      <c r="C1524" s="23">
        <v>1230.1079999999999</v>
      </c>
    </row>
    <row r="1525" spans="1:3" x14ac:dyDescent="0.25">
      <c r="A1525">
        <v>1524</v>
      </c>
      <c r="B1525" s="23">
        <v>1538.4639999999999</v>
      </c>
      <c r="C1525" s="23">
        <v>1229.5989999999999</v>
      </c>
    </row>
    <row r="1526" spans="1:3" x14ac:dyDescent="0.25">
      <c r="A1526">
        <v>1525</v>
      </c>
      <c r="B1526" s="23">
        <v>1538.4</v>
      </c>
      <c r="C1526" s="23">
        <v>1229.116</v>
      </c>
    </row>
    <row r="1527" spans="1:3" x14ac:dyDescent="0.25">
      <c r="A1527">
        <v>1526</v>
      </c>
      <c r="B1527" s="23">
        <v>1538.3489999999999</v>
      </c>
      <c r="C1527" s="23">
        <v>1228.8</v>
      </c>
    </row>
    <row r="1528" spans="1:3" x14ac:dyDescent="0.25">
      <c r="A1528">
        <v>1527</v>
      </c>
      <c r="B1528" s="23">
        <v>1538.1880000000001</v>
      </c>
      <c r="C1528" s="23">
        <v>1228.7360000000001</v>
      </c>
    </row>
    <row r="1529" spans="1:3" x14ac:dyDescent="0.25">
      <c r="A1529">
        <v>1528</v>
      </c>
      <c r="B1529" s="23">
        <v>1538.105</v>
      </c>
      <c r="C1529" s="23">
        <v>1228.3800000000001</v>
      </c>
    </row>
    <row r="1530" spans="1:3" x14ac:dyDescent="0.25">
      <c r="A1530">
        <v>1529</v>
      </c>
      <c r="B1530" s="23">
        <v>1537.6079999999999</v>
      </c>
      <c r="C1530" s="23">
        <v>1228.3800000000001</v>
      </c>
    </row>
    <row r="1531" spans="1:3" x14ac:dyDescent="0.25">
      <c r="A1531">
        <v>1530</v>
      </c>
      <c r="B1531" s="23">
        <v>1537.6</v>
      </c>
      <c r="C1531" s="23">
        <v>1228</v>
      </c>
    </row>
    <row r="1532" spans="1:3" x14ac:dyDescent="0.25">
      <c r="A1532">
        <v>1531</v>
      </c>
      <c r="B1532" s="23">
        <v>1537.6</v>
      </c>
      <c r="C1532" s="23">
        <v>1228</v>
      </c>
    </row>
    <row r="1533" spans="1:3" x14ac:dyDescent="0.25">
      <c r="A1533">
        <v>1532</v>
      </c>
      <c r="B1533" s="23">
        <v>1537.5606600000001</v>
      </c>
      <c r="C1533" s="23">
        <v>1227.345</v>
      </c>
    </row>
    <row r="1534" spans="1:3" x14ac:dyDescent="0.25">
      <c r="A1534">
        <v>1533</v>
      </c>
      <c r="B1534" s="23">
        <v>1537.530092</v>
      </c>
      <c r="C1534" s="23">
        <v>1226.847</v>
      </c>
    </row>
    <row r="1535" spans="1:3" x14ac:dyDescent="0.25">
      <c r="A1535">
        <v>1534</v>
      </c>
      <c r="B1535" s="23">
        <v>1537.528</v>
      </c>
      <c r="C1535" s="23">
        <v>1226.4000000000001</v>
      </c>
    </row>
    <row r="1536" spans="1:3" x14ac:dyDescent="0.25">
      <c r="A1536">
        <v>1535</v>
      </c>
      <c r="B1536" s="23">
        <v>1537.375166</v>
      </c>
      <c r="C1536" s="23">
        <v>1226.4000000000001</v>
      </c>
    </row>
    <row r="1537" spans="1:3" x14ac:dyDescent="0.25">
      <c r="A1537">
        <v>1536</v>
      </c>
      <c r="B1537" s="23">
        <v>1537.2629999999999</v>
      </c>
      <c r="C1537" s="23">
        <v>1226.4000000000001</v>
      </c>
    </row>
    <row r="1538" spans="1:3" x14ac:dyDescent="0.25">
      <c r="A1538">
        <v>1537</v>
      </c>
      <c r="B1538" s="23">
        <v>1537.183</v>
      </c>
      <c r="C1538" s="23">
        <v>1226.4000000000001</v>
      </c>
    </row>
    <row r="1539" spans="1:3" x14ac:dyDescent="0.25">
      <c r="A1539">
        <v>1538</v>
      </c>
      <c r="B1539" s="23">
        <v>1537.0519879999999</v>
      </c>
      <c r="C1539" s="23">
        <v>1226.008</v>
      </c>
    </row>
    <row r="1540" spans="1:3" x14ac:dyDescent="0.25">
      <c r="A1540">
        <v>1539</v>
      </c>
      <c r="B1540" s="23">
        <v>1536.916772</v>
      </c>
      <c r="C1540" s="23">
        <v>1225.5999999999999</v>
      </c>
    </row>
    <row r="1541" spans="1:3" x14ac:dyDescent="0.25">
      <c r="A1541">
        <v>1540</v>
      </c>
      <c r="B1541" s="23">
        <v>1536.8076610000001</v>
      </c>
      <c r="C1541" s="23">
        <v>1225.5999999999999</v>
      </c>
    </row>
    <row r="1542" spans="1:3" x14ac:dyDescent="0.25">
      <c r="A1542">
        <v>1541</v>
      </c>
      <c r="B1542" s="23">
        <v>1536.8040000000001</v>
      </c>
      <c r="C1542" s="23">
        <v>1225.5999999999999</v>
      </c>
    </row>
    <row r="1543" spans="1:3" x14ac:dyDescent="0.25">
      <c r="A1543">
        <v>1542</v>
      </c>
      <c r="B1543" s="23">
        <v>1536.8</v>
      </c>
      <c r="C1543" s="23">
        <v>1225.376</v>
      </c>
    </row>
    <row r="1544" spans="1:3" x14ac:dyDescent="0.25">
      <c r="A1544">
        <v>1543</v>
      </c>
      <c r="B1544" s="23">
        <v>1536.621605</v>
      </c>
      <c r="C1544" s="23">
        <v>1225.2729999999999</v>
      </c>
    </row>
    <row r="1545" spans="1:3" x14ac:dyDescent="0.25">
      <c r="A1545">
        <v>1544</v>
      </c>
      <c r="B1545" s="23">
        <v>1536.546</v>
      </c>
      <c r="C1545" s="23">
        <v>1225.232</v>
      </c>
    </row>
    <row r="1546" spans="1:3" x14ac:dyDescent="0.25">
      <c r="A1546">
        <v>1545</v>
      </c>
      <c r="B1546" s="23">
        <v>1536.423</v>
      </c>
      <c r="C1546" s="23">
        <v>1224.8</v>
      </c>
    </row>
    <row r="1547" spans="1:3" x14ac:dyDescent="0.25">
      <c r="A1547">
        <v>1546</v>
      </c>
      <c r="B1547" s="23">
        <v>1536.183</v>
      </c>
      <c r="C1547" s="23">
        <v>1223.548</v>
      </c>
    </row>
    <row r="1548" spans="1:3" x14ac:dyDescent="0.25">
      <c r="A1548">
        <v>1547</v>
      </c>
      <c r="B1548" s="23">
        <v>1536</v>
      </c>
      <c r="C1548" s="23">
        <v>1223.2</v>
      </c>
    </row>
    <row r="1549" spans="1:3" x14ac:dyDescent="0.25">
      <c r="A1549">
        <v>1548</v>
      </c>
      <c r="B1549" s="23">
        <v>1535.971</v>
      </c>
      <c r="C1549" s="23">
        <v>1223.2</v>
      </c>
    </row>
    <row r="1550" spans="1:3" x14ac:dyDescent="0.25">
      <c r="A1550">
        <v>1549</v>
      </c>
      <c r="B1550" s="23">
        <v>1535.884536</v>
      </c>
      <c r="C1550" s="23">
        <v>1222.511</v>
      </c>
    </row>
    <row r="1551" spans="1:3" x14ac:dyDescent="0.25">
      <c r="A1551">
        <v>1550</v>
      </c>
      <c r="B1551" s="23">
        <v>1535.856</v>
      </c>
      <c r="C1551" s="23">
        <v>1222.4000000000001</v>
      </c>
    </row>
    <row r="1552" spans="1:3" x14ac:dyDescent="0.25">
      <c r="A1552">
        <v>1551</v>
      </c>
      <c r="B1552" s="23">
        <v>1535.769</v>
      </c>
      <c r="C1552" s="23">
        <v>1222.4000000000001</v>
      </c>
    </row>
    <row r="1553" spans="1:3" x14ac:dyDescent="0.25">
      <c r="A1553">
        <v>1552</v>
      </c>
      <c r="B1553" s="23">
        <v>1535.5758049999999</v>
      </c>
      <c r="C1553" s="23">
        <v>1222.4000000000001</v>
      </c>
    </row>
    <row r="1554" spans="1:3" x14ac:dyDescent="0.25">
      <c r="A1554">
        <v>1553</v>
      </c>
      <c r="B1554" s="23">
        <v>1535.5124229999999</v>
      </c>
      <c r="C1554" s="23">
        <v>1222.4000000000001</v>
      </c>
    </row>
    <row r="1555" spans="1:3" x14ac:dyDescent="0.25">
      <c r="A1555">
        <v>1554</v>
      </c>
      <c r="B1555" s="23">
        <v>1535.2541249999999</v>
      </c>
      <c r="C1555" s="23">
        <v>1222.124</v>
      </c>
    </row>
    <row r="1556" spans="1:3" x14ac:dyDescent="0.25">
      <c r="A1556">
        <v>1555</v>
      </c>
      <c r="B1556" s="23">
        <v>1535.2298450000001</v>
      </c>
      <c r="C1556" s="23">
        <v>1221.838</v>
      </c>
    </row>
    <row r="1557" spans="1:3" x14ac:dyDescent="0.25">
      <c r="A1557">
        <v>1556</v>
      </c>
      <c r="B1557" s="23">
        <v>1534.806726</v>
      </c>
      <c r="C1557" s="23">
        <v>1221.6990000000001</v>
      </c>
    </row>
    <row r="1558" spans="1:3" x14ac:dyDescent="0.25">
      <c r="A1558">
        <v>1557</v>
      </c>
      <c r="B1558" s="23">
        <v>1534.4519359999999</v>
      </c>
      <c r="C1558" s="23">
        <v>1221.6300000000001</v>
      </c>
    </row>
    <row r="1559" spans="1:3" x14ac:dyDescent="0.25">
      <c r="A1559">
        <v>1558</v>
      </c>
      <c r="B1559" s="23">
        <v>1534.4</v>
      </c>
      <c r="C1559" s="23">
        <v>1221.5999999999999</v>
      </c>
    </row>
    <row r="1560" spans="1:3" x14ac:dyDescent="0.25">
      <c r="A1560">
        <v>1559</v>
      </c>
      <c r="B1560" s="23">
        <v>1534.4</v>
      </c>
      <c r="C1560" s="23">
        <v>1221.1289999999999</v>
      </c>
    </row>
    <row r="1561" spans="1:3" x14ac:dyDescent="0.25">
      <c r="A1561">
        <v>1560</v>
      </c>
      <c r="B1561" s="23">
        <v>1534.4</v>
      </c>
      <c r="C1561" s="23">
        <v>1220.8330000000001</v>
      </c>
    </row>
    <row r="1562" spans="1:3" x14ac:dyDescent="0.25">
      <c r="A1562">
        <v>1561</v>
      </c>
      <c r="B1562" s="23">
        <v>1534.356761</v>
      </c>
      <c r="C1562" s="23">
        <v>1220.8</v>
      </c>
    </row>
    <row r="1563" spans="1:3" x14ac:dyDescent="0.25">
      <c r="A1563">
        <v>1562</v>
      </c>
      <c r="B1563" s="23">
        <v>1534.3209999999999</v>
      </c>
      <c r="C1563" s="23">
        <v>1220.8</v>
      </c>
    </row>
    <row r="1564" spans="1:3" x14ac:dyDescent="0.25">
      <c r="A1564">
        <v>1563</v>
      </c>
      <c r="B1564" s="23">
        <v>1534.229</v>
      </c>
      <c r="C1564" s="23">
        <v>1220.57</v>
      </c>
    </row>
    <row r="1565" spans="1:3" x14ac:dyDescent="0.25">
      <c r="A1565">
        <v>1564</v>
      </c>
      <c r="B1565" s="23">
        <v>1534.1990000000001</v>
      </c>
      <c r="C1565" s="23">
        <v>1220.0360000000001</v>
      </c>
    </row>
    <row r="1566" spans="1:3" x14ac:dyDescent="0.25">
      <c r="A1566">
        <v>1565</v>
      </c>
      <c r="B1566" s="23">
        <v>1534.0546629999999</v>
      </c>
      <c r="C1566" s="23">
        <v>1220</v>
      </c>
    </row>
    <row r="1567" spans="1:3" x14ac:dyDescent="0.25">
      <c r="A1567">
        <v>1566</v>
      </c>
      <c r="B1567" s="23">
        <v>1533.6</v>
      </c>
      <c r="C1567" s="23">
        <v>1220</v>
      </c>
    </row>
    <row r="1568" spans="1:3" x14ac:dyDescent="0.25">
      <c r="A1568">
        <v>1567</v>
      </c>
      <c r="B1568" s="23">
        <v>1533.5207479999999</v>
      </c>
      <c r="C1568" s="23">
        <v>1220</v>
      </c>
    </row>
    <row r="1569" spans="1:3" x14ac:dyDescent="0.25">
      <c r="A1569">
        <v>1568</v>
      </c>
      <c r="B1569" s="23">
        <v>1533.158095</v>
      </c>
      <c r="C1569" s="23">
        <v>1219.9849999999999</v>
      </c>
    </row>
    <row r="1570" spans="1:3" x14ac:dyDescent="0.25">
      <c r="A1570">
        <v>1569</v>
      </c>
      <c r="B1570" s="23">
        <v>1533.0236890000001</v>
      </c>
      <c r="C1570" s="23">
        <v>1219.2</v>
      </c>
    </row>
    <row r="1571" spans="1:3" x14ac:dyDescent="0.25">
      <c r="A1571">
        <v>1570</v>
      </c>
      <c r="B1571" s="23">
        <v>1532.8</v>
      </c>
      <c r="C1571" s="23">
        <v>1219.057</v>
      </c>
    </row>
    <row r="1572" spans="1:3" x14ac:dyDescent="0.25">
      <c r="A1572">
        <v>1571</v>
      </c>
      <c r="B1572" s="23">
        <v>1532.8</v>
      </c>
      <c r="C1572" s="23">
        <v>1218.7570000000001</v>
      </c>
    </row>
    <row r="1573" spans="1:3" x14ac:dyDescent="0.25">
      <c r="A1573">
        <v>1572</v>
      </c>
      <c r="B1573" s="23">
        <v>1532.1980000000001</v>
      </c>
      <c r="C1573" s="23">
        <v>1218.567</v>
      </c>
    </row>
    <row r="1574" spans="1:3" x14ac:dyDescent="0.25">
      <c r="A1574">
        <v>1573</v>
      </c>
      <c r="B1574" s="23">
        <v>1532</v>
      </c>
      <c r="C1574" s="23">
        <v>1218.4000000000001</v>
      </c>
    </row>
    <row r="1575" spans="1:3" x14ac:dyDescent="0.25">
      <c r="A1575">
        <v>1574</v>
      </c>
      <c r="B1575" s="23">
        <v>1532</v>
      </c>
      <c r="C1575" s="23">
        <v>1218.239</v>
      </c>
    </row>
    <row r="1576" spans="1:3" x14ac:dyDescent="0.25">
      <c r="A1576">
        <v>1575</v>
      </c>
      <c r="B1576" s="23">
        <v>1532</v>
      </c>
      <c r="C1576" s="23">
        <v>1217.5999999999999</v>
      </c>
    </row>
    <row r="1577" spans="1:3" x14ac:dyDescent="0.25">
      <c r="A1577">
        <v>1576</v>
      </c>
      <c r="B1577" s="23">
        <v>1532</v>
      </c>
      <c r="C1577" s="23">
        <v>1217.2860000000001</v>
      </c>
    </row>
    <row r="1578" spans="1:3" x14ac:dyDescent="0.25">
      <c r="A1578">
        <v>1577</v>
      </c>
      <c r="B1578" s="23">
        <v>1531.3526529999999</v>
      </c>
      <c r="C1578" s="23">
        <v>1217.2860000000001</v>
      </c>
    </row>
    <row r="1579" spans="1:3" x14ac:dyDescent="0.25">
      <c r="A1579">
        <v>1578</v>
      </c>
      <c r="B1579" s="23">
        <v>1531.346</v>
      </c>
      <c r="C1579" s="23">
        <v>1216.931</v>
      </c>
    </row>
    <row r="1580" spans="1:3" x14ac:dyDescent="0.25">
      <c r="A1580">
        <v>1579</v>
      </c>
      <c r="B1580" s="23">
        <v>1531.2</v>
      </c>
      <c r="C1580" s="23">
        <v>1216.848</v>
      </c>
    </row>
    <row r="1581" spans="1:3" x14ac:dyDescent="0.25">
      <c r="A1581">
        <v>1580</v>
      </c>
      <c r="B1581" s="23">
        <v>1531.2</v>
      </c>
      <c r="C1581" s="23">
        <v>1216.6849999999999</v>
      </c>
    </row>
    <row r="1582" spans="1:3" x14ac:dyDescent="0.25">
      <c r="A1582">
        <v>1581</v>
      </c>
      <c r="B1582" s="23">
        <v>1531.2</v>
      </c>
      <c r="C1582" s="23">
        <v>1216.2940000000001</v>
      </c>
    </row>
    <row r="1583" spans="1:3" x14ac:dyDescent="0.25">
      <c r="A1583">
        <v>1582</v>
      </c>
      <c r="B1583" s="23">
        <v>1531.0129999999999</v>
      </c>
      <c r="C1583" s="23">
        <v>1216</v>
      </c>
    </row>
    <row r="1584" spans="1:3" x14ac:dyDescent="0.25">
      <c r="A1584">
        <v>1583</v>
      </c>
      <c r="B1584" s="23">
        <v>1530.977556</v>
      </c>
      <c r="C1584" s="23">
        <v>1216</v>
      </c>
    </row>
    <row r="1585" spans="1:3" x14ac:dyDescent="0.25">
      <c r="A1585">
        <v>1584</v>
      </c>
      <c r="B1585" s="23">
        <v>1530.86</v>
      </c>
      <c r="C1585" s="23">
        <v>1216</v>
      </c>
    </row>
    <row r="1586" spans="1:3" x14ac:dyDescent="0.25">
      <c r="A1586">
        <v>1585</v>
      </c>
      <c r="B1586" s="23">
        <v>1530.7180000000001</v>
      </c>
      <c r="C1586" s="23">
        <v>1215.604</v>
      </c>
    </row>
    <row r="1587" spans="1:3" x14ac:dyDescent="0.25">
      <c r="A1587">
        <v>1586</v>
      </c>
      <c r="B1587" s="23">
        <v>1530.0640000000001</v>
      </c>
      <c r="C1587" s="23">
        <v>1215.3430000000001</v>
      </c>
    </row>
    <row r="1588" spans="1:3" x14ac:dyDescent="0.25">
      <c r="A1588">
        <v>1587</v>
      </c>
      <c r="B1588" s="23">
        <v>1529.9045980000001</v>
      </c>
      <c r="C1588" s="23">
        <v>1215.2950000000001</v>
      </c>
    </row>
    <row r="1589" spans="1:3" x14ac:dyDescent="0.25">
      <c r="A1589">
        <v>1588</v>
      </c>
      <c r="B1589" s="23">
        <v>1529.712</v>
      </c>
      <c r="C1589" s="23">
        <v>1215.2</v>
      </c>
    </row>
    <row r="1590" spans="1:3" x14ac:dyDescent="0.25">
      <c r="A1590">
        <v>1589</v>
      </c>
      <c r="B1590" s="23">
        <v>1529.6</v>
      </c>
      <c r="C1590" s="23">
        <v>1215.079</v>
      </c>
    </row>
    <row r="1591" spans="1:3" x14ac:dyDescent="0.25">
      <c r="A1591">
        <v>1590</v>
      </c>
      <c r="B1591" s="23">
        <v>1529.6</v>
      </c>
      <c r="C1591" s="23">
        <v>1214.808</v>
      </c>
    </row>
    <row r="1592" spans="1:3" x14ac:dyDescent="0.25">
      <c r="A1592">
        <v>1591</v>
      </c>
      <c r="B1592" s="23">
        <v>1529.6</v>
      </c>
      <c r="C1592" s="23">
        <v>1214.4000000000001</v>
      </c>
    </row>
    <row r="1593" spans="1:3" x14ac:dyDescent="0.25">
      <c r="A1593">
        <v>1592</v>
      </c>
      <c r="B1593" s="23">
        <v>1529.6</v>
      </c>
      <c r="C1593" s="23">
        <v>1214.3440000000001</v>
      </c>
    </row>
    <row r="1594" spans="1:3" x14ac:dyDescent="0.25">
      <c r="A1594">
        <v>1593</v>
      </c>
      <c r="B1594" s="23">
        <v>1529.519</v>
      </c>
      <c r="C1594" s="23">
        <v>1213.5999999999999</v>
      </c>
    </row>
    <row r="1595" spans="1:3" x14ac:dyDescent="0.25">
      <c r="A1595">
        <v>1594</v>
      </c>
      <c r="B1595" s="23">
        <v>1528.819706</v>
      </c>
      <c r="C1595" s="23">
        <v>1212.979</v>
      </c>
    </row>
    <row r="1596" spans="1:3" x14ac:dyDescent="0.25">
      <c r="A1596">
        <v>1595</v>
      </c>
      <c r="B1596" s="23">
        <v>1528.819</v>
      </c>
      <c r="C1596" s="23">
        <v>1212.8409999999999</v>
      </c>
    </row>
    <row r="1597" spans="1:3" x14ac:dyDescent="0.25">
      <c r="A1597">
        <v>1596</v>
      </c>
      <c r="B1597" s="23">
        <v>1528.4749999999999</v>
      </c>
      <c r="C1597" s="23">
        <v>1212.8</v>
      </c>
    </row>
    <row r="1598" spans="1:3" x14ac:dyDescent="0.25">
      <c r="A1598">
        <v>1597</v>
      </c>
      <c r="B1598" s="23">
        <v>1528.352928</v>
      </c>
      <c r="C1598" s="23">
        <v>1212.8</v>
      </c>
    </row>
    <row r="1599" spans="1:3" x14ac:dyDescent="0.25">
      <c r="A1599">
        <v>1598</v>
      </c>
      <c r="B1599" s="23">
        <v>1528.29</v>
      </c>
      <c r="C1599" s="23">
        <v>1212</v>
      </c>
    </row>
    <row r="1600" spans="1:3" x14ac:dyDescent="0.25">
      <c r="A1600">
        <v>1599</v>
      </c>
      <c r="B1600" s="23">
        <v>1528.2070000000001</v>
      </c>
      <c r="C1600" s="23">
        <v>1212</v>
      </c>
    </row>
    <row r="1601" spans="1:3" x14ac:dyDescent="0.25">
      <c r="A1601">
        <v>1600</v>
      </c>
      <c r="B1601" s="23">
        <v>1528.0967499999999</v>
      </c>
      <c r="C1601" s="23">
        <v>1211.46</v>
      </c>
    </row>
    <row r="1602" spans="1:3" x14ac:dyDescent="0.25">
      <c r="A1602">
        <v>1601</v>
      </c>
      <c r="B1602" s="23">
        <v>1528.0060000000001</v>
      </c>
      <c r="C1602" s="23">
        <v>1211.2</v>
      </c>
    </row>
    <row r="1603" spans="1:3" x14ac:dyDescent="0.25">
      <c r="A1603">
        <v>1602</v>
      </c>
      <c r="B1603" s="23">
        <v>1528</v>
      </c>
      <c r="C1603" s="23">
        <v>1211.2</v>
      </c>
    </row>
    <row r="1604" spans="1:3" x14ac:dyDescent="0.25">
      <c r="A1604">
        <v>1603</v>
      </c>
      <c r="B1604" s="23">
        <v>1527.8810000000001</v>
      </c>
      <c r="C1604" s="23">
        <v>1210.769</v>
      </c>
    </row>
    <row r="1605" spans="1:3" x14ac:dyDescent="0.25">
      <c r="A1605">
        <v>1604</v>
      </c>
      <c r="B1605" s="23">
        <v>1527.7062370000001</v>
      </c>
      <c r="C1605" s="23">
        <v>1210.6659999999999</v>
      </c>
    </row>
    <row r="1606" spans="1:3" x14ac:dyDescent="0.25">
      <c r="A1606">
        <v>1605</v>
      </c>
      <c r="B1606" s="23">
        <v>1527.7062370000001</v>
      </c>
      <c r="C1606" s="23">
        <v>1210.4000000000001</v>
      </c>
    </row>
    <row r="1607" spans="1:3" x14ac:dyDescent="0.25">
      <c r="A1607">
        <v>1606</v>
      </c>
      <c r="B1607" s="23">
        <v>1527.3320000000001</v>
      </c>
      <c r="C1607" s="23">
        <v>1209.693</v>
      </c>
    </row>
    <row r="1608" spans="1:3" x14ac:dyDescent="0.25">
      <c r="A1608">
        <v>1607</v>
      </c>
      <c r="B1608" s="23">
        <v>1527.327</v>
      </c>
      <c r="C1608" s="23">
        <v>1209.6759999999999</v>
      </c>
    </row>
    <row r="1609" spans="1:3" x14ac:dyDescent="0.25">
      <c r="A1609">
        <v>1608</v>
      </c>
      <c r="B1609" s="23">
        <v>1527.2199499999999</v>
      </c>
      <c r="C1609" s="23">
        <v>1209.5999999999999</v>
      </c>
    </row>
    <row r="1610" spans="1:3" x14ac:dyDescent="0.25">
      <c r="A1610">
        <v>1609</v>
      </c>
      <c r="B1610" s="23">
        <v>1526.8884069999999</v>
      </c>
      <c r="C1610" s="23">
        <v>1208.9159999999999</v>
      </c>
    </row>
    <row r="1611" spans="1:3" x14ac:dyDescent="0.25">
      <c r="A1611">
        <v>1610</v>
      </c>
      <c r="B1611" s="23">
        <v>1526.8884069999999</v>
      </c>
      <c r="C1611" s="23">
        <v>1208.8</v>
      </c>
    </row>
    <row r="1612" spans="1:3" x14ac:dyDescent="0.25">
      <c r="A1612">
        <v>1611</v>
      </c>
      <c r="B1612" s="23">
        <v>1526.8378439999999</v>
      </c>
      <c r="C1612" s="23">
        <v>1208.7529999999999</v>
      </c>
    </row>
    <row r="1613" spans="1:3" x14ac:dyDescent="0.25">
      <c r="A1613">
        <v>1612</v>
      </c>
      <c r="B1613" s="23">
        <v>1526.73</v>
      </c>
      <c r="C1613" s="23">
        <v>1208.0830000000001</v>
      </c>
    </row>
    <row r="1614" spans="1:3" x14ac:dyDescent="0.25">
      <c r="A1614">
        <v>1613</v>
      </c>
      <c r="B1614" s="23">
        <v>1526.413</v>
      </c>
      <c r="C1614" s="23">
        <v>1208</v>
      </c>
    </row>
    <row r="1615" spans="1:3" x14ac:dyDescent="0.25">
      <c r="A1615">
        <v>1614</v>
      </c>
      <c r="B1615" s="23">
        <v>1526.4</v>
      </c>
      <c r="C1615" s="23">
        <v>1207.7239999999999</v>
      </c>
    </row>
    <row r="1616" spans="1:3" x14ac:dyDescent="0.25">
      <c r="A1616">
        <v>1615</v>
      </c>
      <c r="B1616" s="23">
        <v>1526.4</v>
      </c>
      <c r="C1616" s="23">
        <v>1207.3630000000001</v>
      </c>
    </row>
    <row r="1617" spans="1:3" x14ac:dyDescent="0.25">
      <c r="A1617">
        <v>1616</v>
      </c>
      <c r="B1617" s="23">
        <v>1526.204013</v>
      </c>
      <c r="C1617" s="23">
        <v>1207.2</v>
      </c>
    </row>
    <row r="1618" spans="1:3" x14ac:dyDescent="0.25">
      <c r="A1618">
        <v>1617</v>
      </c>
      <c r="B1618" s="23">
        <v>1526.0409560000001</v>
      </c>
      <c r="C1618" s="23">
        <v>1207.2</v>
      </c>
    </row>
    <row r="1619" spans="1:3" x14ac:dyDescent="0.25">
      <c r="A1619">
        <v>1618</v>
      </c>
      <c r="B1619" s="23">
        <v>1525.9327900000001</v>
      </c>
      <c r="C1619" s="23">
        <v>1206.6600000000001</v>
      </c>
    </row>
    <row r="1620" spans="1:3" x14ac:dyDescent="0.25">
      <c r="A1620">
        <v>1619</v>
      </c>
      <c r="B1620" s="23">
        <v>1525.6</v>
      </c>
      <c r="C1620" s="23">
        <v>1206.489</v>
      </c>
    </row>
    <row r="1621" spans="1:3" x14ac:dyDescent="0.25">
      <c r="A1621">
        <v>1620</v>
      </c>
      <c r="B1621" s="23">
        <v>1525.6</v>
      </c>
      <c r="C1621" s="23">
        <v>1206.4000000000001</v>
      </c>
    </row>
    <row r="1622" spans="1:3" x14ac:dyDescent="0.25">
      <c r="A1622">
        <v>1621</v>
      </c>
      <c r="B1622" s="23">
        <v>1525.559</v>
      </c>
      <c r="C1622" s="23">
        <v>1206.4000000000001</v>
      </c>
    </row>
    <row r="1623" spans="1:3" x14ac:dyDescent="0.25">
      <c r="A1623">
        <v>1622</v>
      </c>
      <c r="B1623" s="23">
        <v>1525.4623160000001</v>
      </c>
      <c r="C1623" s="23">
        <v>1206.4000000000001</v>
      </c>
    </row>
    <row r="1624" spans="1:3" x14ac:dyDescent="0.25">
      <c r="A1624">
        <v>1623</v>
      </c>
      <c r="B1624" s="23">
        <v>1525.3618429999999</v>
      </c>
      <c r="C1624" s="23">
        <v>1205.933</v>
      </c>
    </row>
    <row r="1625" spans="1:3" x14ac:dyDescent="0.25">
      <c r="A1625">
        <v>1624</v>
      </c>
      <c r="B1625" s="23">
        <v>1525.3581389999999</v>
      </c>
      <c r="C1625" s="23">
        <v>1204.8</v>
      </c>
    </row>
    <row r="1626" spans="1:3" x14ac:dyDescent="0.25">
      <c r="A1626">
        <v>1625</v>
      </c>
      <c r="B1626" s="23">
        <v>1525.0440000000001</v>
      </c>
      <c r="C1626" s="23">
        <v>1204.7819999999999</v>
      </c>
    </row>
    <row r="1627" spans="1:3" x14ac:dyDescent="0.25">
      <c r="A1627">
        <v>1626</v>
      </c>
      <c r="B1627" s="23">
        <v>1524.5</v>
      </c>
      <c r="C1627" s="23">
        <v>1204.663</v>
      </c>
    </row>
    <row r="1628" spans="1:3" x14ac:dyDescent="0.25">
      <c r="A1628">
        <v>1627</v>
      </c>
      <c r="B1628" s="23">
        <v>1524</v>
      </c>
      <c r="C1628" s="23">
        <v>1204.4760000000001</v>
      </c>
    </row>
    <row r="1629" spans="1:3" x14ac:dyDescent="0.25">
      <c r="A1629">
        <v>1628</v>
      </c>
      <c r="B1629" s="23">
        <v>1524</v>
      </c>
      <c r="C1629" s="23">
        <v>1204</v>
      </c>
    </row>
    <row r="1630" spans="1:3" x14ac:dyDescent="0.25">
      <c r="A1630">
        <v>1629</v>
      </c>
      <c r="B1630" s="23">
        <v>1524</v>
      </c>
      <c r="C1630" s="23">
        <v>1204</v>
      </c>
    </row>
    <row r="1631" spans="1:3" x14ac:dyDescent="0.25">
      <c r="A1631">
        <v>1630</v>
      </c>
      <c r="B1631" s="23">
        <v>1523.6949999999999</v>
      </c>
      <c r="C1631" s="23">
        <v>1204</v>
      </c>
    </row>
    <row r="1632" spans="1:3" x14ac:dyDescent="0.25">
      <c r="A1632">
        <v>1631</v>
      </c>
      <c r="B1632" s="23">
        <v>1523.623</v>
      </c>
      <c r="C1632" s="23">
        <v>1204</v>
      </c>
    </row>
    <row r="1633" spans="1:3" x14ac:dyDescent="0.25">
      <c r="A1633">
        <v>1632</v>
      </c>
      <c r="B1633" s="23">
        <v>1523.6220000000001</v>
      </c>
      <c r="C1633" s="23">
        <v>1203.8620000000001</v>
      </c>
    </row>
    <row r="1634" spans="1:3" x14ac:dyDescent="0.25">
      <c r="A1634">
        <v>1633</v>
      </c>
      <c r="B1634" s="23">
        <v>1523.569606</v>
      </c>
      <c r="C1634" s="23">
        <v>1203.5440000000001</v>
      </c>
    </row>
    <row r="1635" spans="1:3" x14ac:dyDescent="0.25">
      <c r="A1635">
        <v>1634</v>
      </c>
      <c r="B1635" s="23">
        <v>1522.9570000000001</v>
      </c>
      <c r="C1635" s="23">
        <v>1203.4770000000001</v>
      </c>
    </row>
    <row r="1636" spans="1:3" x14ac:dyDescent="0.25">
      <c r="A1636">
        <v>1635</v>
      </c>
      <c r="B1636" s="23">
        <v>1522.874</v>
      </c>
      <c r="C1636" s="23">
        <v>1203.4770000000001</v>
      </c>
    </row>
    <row r="1637" spans="1:3" x14ac:dyDescent="0.25">
      <c r="A1637">
        <v>1636</v>
      </c>
      <c r="B1637" s="23">
        <v>1522.828</v>
      </c>
      <c r="C1637" s="23">
        <v>1203.2</v>
      </c>
    </row>
    <row r="1638" spans="1:3" x14ac:dyDescent="0.25">
      <c r="A1638">
        <v>1637</v>
      </c>
      <c r="B1638" s="23">
        <v>1522.7988350000001</v>
      </c>
      <c r="C1638" s="23">
        <v>1203.028</v>
      </c>
    </row>
    <row r="1639" spans="1:3" x14ac:dyDescent="0.25">
      <c r="A1639">
        <v>1638</v>
      </c>
      <c r="B1639" s="23">
        <v>1522.665</v>
      </c>
      <c r="C1639" s="23">
        <v>1202.5039999999999</v>
      </c>
    </row>
    <row r="1640" spans="1:3" x14ac:dyDescent="0.25">
      <c r="A1640">
        <v>1639</v>
      </c>
      <c r="B1640" s="23">
        <v>1522.4280000000001</v>
      </c>
      <c r="C1640" s="23">
        <v>1202.4000000000001</v>
      </c>
    </row>
    <row r="1641" spans="1:3" x14ac:dyDescent="0.25">
      <c r="A1641">
        <v>1640</v>
      </c>
      <c r="B1641" s="23">
        <v>1522.4</v>
      </c>
      <c r="C1641" s="23">
        <v>1202.1199999999999</v>
      </c>
    </row>
    <row r="1642" spans="1:3" x14ac:dyDescent="0.25">
      <c r="A1642">
        <v>1641</v>
      </c>
      <c r="B1642" s="23">
        <v>1522.3453870000001</v>
      </c>
      <c r="C1642" s="23">
        <v>1201.951</v>
      </c>
    </row>
    <row r="1643" spans="1:3" x14ac:dyDescent="0.25">
      <c r="A1643">
        <v>1642</v>
      </c>
      <c r="B1643" s="23">
        <v>1522.0624909999999</v>
      </c>
      <c r="C1643" s="23">
        <v>1201.5999999999999</v>
      </c>
    </row>
    <row r="1644" spans="1:3" x14ac:dyDescent="0.25">
      <c r="A1644">
        <v>1643</v>
      </c>
      <c r="B1644" s="23">
        <v>1521.9830489999999</v>
      </c>
      <c r="C1644" s="23">
        <v>1201.1130000000001</v>
      </c>
    </row>
    <row r="1645" spans="1:3" x14ac:dyDescent="0.25">
      <c r="A1645">
        <v>1644</v>
      </c>
      <c r="B1645" s="23">
        <v>1521.9814269999999</v>
      </c>
      <c r="C1645" s="23">
        <v>1200.8</v>
      </c>
    </row>
    <row r="1646" spans="1:3" x14ac:dyDescent="0.25">
      <c r="A1646">
        <v>1645</v>
      </c>
      <c r="B1646" s="23">
        <v>1521.9814269999999</v>
      </c>
      <c r="C1646" s="23">
        <v>1200.8</v>
      </c>
    </row>
    <row r="1647" spans="1:3" x14ac:dyDescent="0.25">
      <c r="A1647">
        <v>1646</v>
      </c>
      <c r="B1647" s="23">
        <v>1521.977241</v>
      </c>
      <c r="C1647" s="23">
        <v>1200.8</v>
      </c>
    </row>
    <row r="1648" spans="1:3" x14ac:dyDescent="0.25">
      <c r="A1648">
        <v>1647</v>
      </c>
      <c r="B1648" s="23">
        <v>1521.6</v>
      </c>
      <c r="C1648" s="23">
        <v>1200.8</v>
      </c>
    </row>
    <row r="1649" spans="1:3" x14ac:dyDescent="0.25">
      <c r="A1649">
        <v>1648</v>
      </c>
      <c r="B1649" s="23">
        <v>1521.6</v>
      </c>
      <c r="C1649" s="23">
        <v>1200.3689999999999</v>
      </c>
    </row>
    <row r="1650" spans="1:3" x14ac:dyDescent="0.25">
      <c r="A1650">
        <v>1649</v>
      </c>
      <c r="B1650" s="23">
        <v>1521.6</v>
      </c>
      <c r="C1650" s="23">
        <v>1200.114</v>
      </c>
    </row>
    <row r="1651" spans="1:3" x14ac:dyDescent="0.25">
      <c r="A1651">
        <v>1650</v>
      </c>
      <c r="B1651" s="23">
        <v>1521.163597</v>
      </c>
      <c r="C1651" s="23">
        <v>1200.0540000000001</v>
      </c>
    </row>
    <row r="1652" spans="1:3" x14ac:dyDescent="0.25">
      <c r="A1652">
        <v>1651</v>
      </c>
      <c r="B1652" s="23">
        <v>1520.8</v>
      </c>
      <c r="C1652" s="23">
        <v>1200</v>
      </c>
    </row>
    <row r="1653" spans="1:3" x14ac:dyDescent="0.25">
      <c r="A1653">
        <v>1652</v>
      </c>
      <c r="B1653" s="23">
        <v>1520.7914539999999</v>
      </c>
      <c r="C1653" s="23">
        <v>1199.5930000000001</v>
      </c>
    </row>
    <row r="1654" spans="1:3" x14ac:dyDescent="0.25">
      <c r="A1654">
        <v>1653</v>
      </c>
      <c r="B1654" s="23">
        <v>1520.475688</v>
      </c>
      <c r="C1654" s="23">
        <v>1199.317</v>
      </c>
    </row>
    <row r="1655" spans="1:3" x14ac:dyDescent="0.25">
      <c r="A1655">
        <v>1654</v>
      </c>
      <c r="B1655" s="23">
        <v>1520.337</v>
      </c>
      <c r="C1655" s="23">
        <v>1199.317</v>
      </c>
    </row>
    <row r="1656" spans="1:3" x14ac:dyDescent="0.25">
      <c r="A1656">
        <v>1655</v>
      </c>
      <c r="B1656" s="23">
        <v>1520.1420000000001</v>
      </c>
      <c r="C1656" s="23">
        <v>1199.2</v>
      </c>
    </row>
    <row r="1657" spans="1:3" x14ac:dyDescent="0.25">
      <c r="A1657">
        <v>1656</v>
      </c>
      <c r="B1657" s="23">
        <v>1520.027</v>
      </c>
      <c r="C1657" s="23">
        <v>1199.2</v>
      </c>
    </row>
    <row r="1658" spans="1:3" x14ac:dyDescent="0.25">
      <c r="A1658">
        <v>1657</v>
      </c>
      <c r="B1658" s="23">
        <v>1519.8932520000001</v>
      </c>
      <c r="C1658" s="23">
        <v>1199.2</v>
      </c>
    </row>
    <row r="1659" spans="1:3" x14ac:dyDescent="0.25">
      <c r="A1659">
        <v>1658</v>
      </c>
      <c r="B1659" s="23">
        <v>1519.876</v>
      </c>
      <c r="C1659" s="23">
        <v>1198.8979999999999</v>
      </c>
    </row>
    <row r="1660" spans="1:3" x14ac:dyDescent="0.25">
      <c r="A1660">
        <v>1659</v>
      </c>
      <c r="B1660" s="23">
        <v>1519.6658500000001</v>
      </c>
      <c r="C1660" s="23">
        <v>1198.816</v>
      </c>
    </row>
    <row r="1661" spans="1:3" x14ac:dyDescent="0.25">
      <c r="A1661">
        <v>1660</v>
      </c>
      <c r="B1661" s="23">
        <v>1519.513539</v>
      </c>
      <c r="C1661" s="23">
        <v>1198.4000000000001</v>
      </c>
    </row>
    <row r="1662" spans="1:3" x14ac:dyDescent="0.25">
      <c r="A1662">
        <v>1661</v>
      </c>
      <c r="B1662" s="23">
        <v>1519.2349999999999</v>
      </c>
      <c r="C1662" s="23">
        <v>1198.337</v>
      </c>
    </row>
    <row r="1663" spans="1:3" x14ac:dyDescent="0.25">
      <c r="A1663">
        <v>1662</v>
      </c>
      <c r="B1663" s="23">
        <v>1519.2</v>
      </c>
      <c r="C1663" s="23">
        <v>1198.1210000000001</v>
      </c>
    </row>
    <row r="1664" spans="1:3" x14ac:dyDescent="0.25">
      <c r="A1664">
        <v>1663</v>
      </c>
      <c r="B1664" s="23">
        <v>1519.172</v>
      </c>
      <c r="C1664" s="23">
        <v>1197.3030000000001</v>
      </c>
    </row>
    <row r="1665" spans="1:3" x14ac:dyDescent="0.25">
      <c r="A1665">
        <v>1664</v>
      </c>
      <c r="B1665" s="23">
        <v>1519.1010000000001</v>
      </c>
      <c r="C1665" s="23">
        <v>1197.2619999999999</v>
      </c>
    </row>
    <row r="1666" spans="1:3" x14ac:dyDescent="0.25">
      <c r="A1666">
        <v>1665</v>
      </c>
      <c r="B1666" s="23">
        <v>1518.9141440000001</v>
      </c>
      <c r="C1666" s="23">
        <v>1197.0719999999999</v>
      </c>
    </row>
    <row r="1667" spans="1:3" x14ac:dyDescent="0.25">
      <c r="A1667">
        <v>1666</v>
      </c>
      <c r="B1667" s="23">
        <v>1518.9094540000001</v>
      </c>
      <c r="C1667" s="23">
        <v>1196.8</v>
      </c>
    </row>
    <row r="1668" spans="1:3" x14ac:dyDescent="0.25">
      <c r="A1668">
        <v>1667</v>
      </c>
      <c r="B1668" s="23">
        <v>1518.813909</v>
      </c>
      <c r="C1668" s="23">
        <v>1196.29</v>
      </c>
    </row>
    <row r="1669" spans="1:3" x14ac:dyDescent="0.25">
      <c r="A1669">
        <v>1668</v>
      </c>
      <c r="B1669" s="23">
        <v>1518.813909</v>
      </c>
      <c r="C1669" s="23">
        <v>1196</v>
      </c>
    </row>
    <row r="1670" spans="1:3" x14ac:dyDescent="0.25">
      <c r="A1670">
        <v>1669</v>
      </c>
      <c r="B1670" s="23">
        <v>1518.710108</v>
      </c>
      <c r="C1670" s="23">
        <v>1196</v>
      </c>
    </row>
    <row r="1671" spans="1:3" x14ac:dyDescent="0.25">
      <c r="A1671">
        <v>1670</v>
      </c>
      <c r="B1671" s="23">
        <v>1518.4</v>
      </c>
      <c r="C1671" s="23">
        <v>1195.6669999999999</v>
      </c>
    </row>
    <row r="1672" spans="1:3" x14ac:dyDescent="0.25">
      <c r="A1672">
        <v>1671</v>
      </c>
      <c r="B1672" s="23">
        <v>1518.4</v>
      </c>
      <c r="C1672" s="23">
        <v>1195.5740000000001</v>
      </c>
    </row>
    <row r="1673" spans="1:3" x14ac:dyDescent="0.25">
      <c r="A1673">
        <v>1672</v>
      </c>
      <c r="B1673" s="23">
        <v>1518.4</v>
      </c>
      <c r="C1673" s="23">
        <v>1195.548</v>
      </c>
    </row>
    <row r="1674" spans="1:3" x14ac:dyDescent="0.25">
      <c r="A1674">
        <v>1673</v>
      </c>
      <c r="B1674" s="23">
        <v>1517.9190000000001</v>
      </c>
      <c r="C1674" s="23">
        <v>1195.2</v>
      </c>
    </row>
    <row r="1675" spans="1:3" x14ac:dyDescent="0.25">
      <c r="A1675">
        <v>1674</v>
      </c>
      <c r="B1675" s="23">
        <v>1517.8448820000001</v>
      </c>
      <c r="C1675" s="23">
        <v>1194.4000000000001</v>
      </c>
    </row>
    <row r="1676" spans="1:3" x14ac:dyDescent="0.25">
      <c r="A1676">
        <v>1675</v>
      </c>
      <c r="B1676" s="23">
        <v>1517.6</v>
      </c>
      <c r="C1676" s="23">
        <v>1194.4000000000001</v>
      </c>
    </row>
    <row r="1677" spans="1:3" x14ac:dyDescent="0.25">
      <c r="A1677">
        <v>1676</v>
      </c>
      <c r="B1677" s="23">
        <v>1517.6</v>
      </c>
      <c r="C1677" s="23">
        <v>1193.5999999999999</v>
      </c>
    </row>
    <row r="1678" spans="1:3" x14ac:dyDescent="0.25">
      <c r="A1678">
        <v>1677</v>
      </c>
      <c r="B1678" s="23">
        <v>1517.6</v>
      </c>
      <c r="C1678" s="23">
        <v>1193.5999999999999</v>
      </c>
    </row>
    <row r="1679" spans="1:3" x14ac:dyDescent="0.25">
      <c r="A1679">
        <v>1678</v>
      </c>
      <c r="B1679" s="23">
        <v>1517.360267</v>
      </c>
      <c r="C1679" s="23">
        <v>1193.2139999999999</v>
      </c>
    </row>
    <row r="1680" spans="1:3" x14ac:dyDescent="0.25">
      <c r="A1680">
        <v>1679</v>
      </c>
      <c r="B1680" s="23">
        <v>1517.328</v>
      </c>
      <c r="C1680" s="23">
        <v>1192.8109999999999</v>
      </c>
    </row>
    <row r="1681" spans="1:3" x14ac:dyDescent="0.25">
      <c r="A1681">
        <v>1680</v>
      </c>
      <c r="B1681" s="23">
        <v>1517.155</v>
      </c>
      <c r="C1681" s="23">
        <v>1192</v>
      </c>
    </row>
    <row r="1682" spans="1:3" x14ac:dyDescent="0.25">
      <c r="A1682">
        <v>1681</v>
      </c>
      <c r="B1682" s="23">
        <v>1517.038</v>
      </c>
      <c r="C1682" s="23">
        <v>1192</v>
      </c>
    </row>
    <row r="1683" spans="1:3" x14ac:dyDescent="0.25">
      <c r="A1683">
        <v>1682</v>
      </c>
      <c r="B1683" s="23">
        <v>1516.8</v>
      </c>
      <c r="C1683" s="23">
        <v>1192</v>
      </c>
    </row>
    <row r="1684" spans="1:3" x14ac:dyDescent="0.25">
      <c r="A1684">
        <v>1683</v>
      </c>
      <c r="B1684" s="23">
        <v>1516.8</v>
      </c>
      <c r="C1684" s="23">
        <v>1191.2</v>
      </c>
    </row>
    <row r="1685" spans="1:3" x14ac:dyDescent="0.25">
      <c r="A1685">
        <v>1684</v>
      </c>
      <c r="B1685" s="23">
        <v>1516.4782970000001</v>
      </c>
      <c r="C1685" s="23">
        <v>1191.2</v>
      </c>
    </row>
    <row r="1686" spans="1:3" x14ac:dyDescent="0.25">
      <c r="A1686">
        <v>1685</v>
      </c>
      <c r="B1686" s="23">
        <v>1516.32</v>
      </c>
      <c r="C1686" s="23">
        <v>1189.7539999999999</v>
      </c>
    </row>
    <row r="1687" spans="1:3" x14ac:dyDescent="0.25">
      <c r="A1687">
        <v>1686</v>
      </c>
      <c r="B1687" s="23">
        <v>1516</v>
      </c>
      <c r="C1687" s="23">
        <v>1189.5999999999999</v>
      </c>
    </row>
    <row r="1688" spans="1:3" x14ac:dyDescent="0.25">
      <c r="A1688">
        <v>1687</v>
      </c>
      <c r="B1688" s="23">
        <v>1515.751</v>
      </c>
      <c r="C1688" s="23">
        <v>1189.336</v>
      </c>
    </row>
    <row r="1689" spans="1:3" x14ac:dyDescent="0.25">
      <c r="A1689">
        <v>1688</v>
      </c>
      <c r="B1689" s="23">
        <v>1515.3155589999999</v>
      </c>
      <c r="C1689" s="23">
        <v>1188.8</v>
      </c>
    </row>
    <row r="1690" spans="1:3" x14ac:dyDescent="0.25">
      <c r="A1690">
        <v>1689</v>
      </c>
      <c r="B1690" s="23">
        <v>1515.2</v>
      </c>
      <c r="C1690" s="23">
        <v>1188.6669999999999</v>
      </c>
    </row>
    <row r="1691" spans="1:3" x14ac:dyDescent="0.25">
      <c r="A1691">
        <v>1690</v>
      </c>
      <c r="B1691" s="23">
        <v>1515.2</v>
      </c>
      <c r="C1691" s="23">
        <v>1188</v>
      </c>
    </row>
    <row r="1692" spans="1:3" x14ac:dyDescent="0.25">
      <c r="A1692">
        <v>1691</v>
      </c>
      <c r="B1692" s="23">
        <v>1515.2</v>
      </c>
      <c r="C1692" s="23">
        <v>1187.9380000000001</v>
      </c>
    </row>
    <row r="1693" spans="1:3" x14ac:dyDescent="0.25">
      <c r="A1693">
        <v>1692</v>
      </c>
      <c r="B1693" s="23">
        <v>1515.135</v>
      </c>
      <c r="C1693" s="23">
        <v>1187.865</v>
      </c>
    </row>
    <row r="1694" spans="1:3" x14ac:dyDescent="0.25">
      <c r="A1694">
        <v>1693</v>
      </c>
      <c r="B1694" s="23">
        <v>1514.83</v>
      </c>
      <c r="C1694" s="23">
        <v>1187.2860000000001</v>
      </c>
    </row>
    <row r="1695" spans="1:3" x14ac:dyDescent="0.25">
      <c r="A1695">
        <v>1694</v>
      </c>
      <c r="B1695" s="23">
        <v>1514.7519669999999</v>
      </c>
      <c r="C1695" s="23">
        <v>1187.2</v>
      </c>
    </row>
    <row r="1696" spans="1:3" x14ac:dyDescent="0.25">
      <c r="A1696">
        <v>1695</v>
      </c>
      <c r="B1696" s="23">
        <v>1514.7370000000001</v>
      </c>
      <c r="C1696" s="23">
        <v>1185.5319999999999</v>
      </c>
    </row>
    <row r="1697" spans="1:3" x14ac:dyDescent="0.25">
      <c r="A1697">
        <v>1696</v>
      </c>
      <c r="B1697" s="23">
        <v>1514.4</v>
      </c>
      <c r="C1697" s="23">
        <v>1184.973</v>
      </c>
    </row>
    <row r="1698" spans="1:3" x14ac:dyDescent="0.25">
      <c r="A1698">
        <v>1697</v>
      </c>
      <c r="B1698" s="23">
        <v>1514.4</v>
      </c>
      <c r="C1698" s="23">
        <v>1184.973</v>
      </c>
    </row>
    <row r="1699" spans="1:3" x14ac:dyDescent="0.25">
      <c r="A1699">
        <v>1698</v>
      </c>
      <c r="B1699" s="23">
        <v>1514.373</v>
      </c>
      <c r="C1699" s="23">
        <v>1184.9110000000001</v>
      </c>
    </row>
    <row r="1700" spans="1:3" x14ac:dyDescent="0.25">
      <c r="A1700">
        <v>1699</v>
      </c>
      <c r="B1700" s="23">
        <v>1514.242</v>
      </c>
      <c r="C1700" s="23">
        <v>1184.8309999999999</v>
      </c>
    </row>
    <row r="1701" spans="1:3" x14ac:dyDescent="0.25">
      <c r="A1701">
        <v>1700</v>
      </c>
      <c r="B1701" s="23">
        <v>1514.182</v>
      </c>
      <c r="C1701" s="23">
        <v>1184.8309999999999</v>
      </c>
    </row>
    <row r="1702" spans="1:3" x14ac:dyDescent="0.25">
      <c r="A1702">
        <v>1701</v>
      </c>
      <c r="B1702" s="23">
        <v>1513.803128</v>
      </c>
      <c r="C1702" s="23">
        <v>1184.8309999999999</v>
      </c>
    </row>
    <row r="1703" spans="1:3" x14ac:dyDescent="0.25">
      <c r="A1703">
        <v>1702</v>
      </c>
      <c r="B1703" s="23">
        <v>1513.6533010000001</v>
      </c>
      <c r="C1703" s="23">
        <v>1184.8</v>
      </c>
    </row>
    <row r="1704" spans="1:3" x14ac:dyDescent="0.25">
      <c r="A1704">
        <v>1703</v>
      </c>
      <c r="B1704" s="23">
        <v>1513.4914690000001</v>
      </c>
      <c r="C1704" s="23">
        <v>1184.1869999999999</v>
      </c>
    </row>
    <row r="1705" spans="1:3" x14ac:dyDescent="0.25">
      <c r="A1705">
        <v>1704</v>
      </c>
      <c r="B1705" s="23">
        <v>1513.475576</v>
      </c>
      <c r="C1705" s="23">
        <v>1184.1869999999999</v>
      </c>
    </row>
    <row r="1706" spans="1:3" x14ac:dyDescent="0.25">
      <c r="A1706">
        <v>1705</v>
      </c>
      <c r="B1706" s="23">
        <v>1513.3230000000001</v>
      </c>
      <c r="C1706" s="23">
        <v>1184.1220000000001</v>
      </c>
    </row>
    <row r="1707" spans="1:3" x14ac:dyDescent="0.25">
      <c r="A1707">
        <v>1706</v>
      </c>
      <c r="B1707" s="23">
        <v>1512.8</v>
      </c>
      <c r="C1707" s="23">
        <v>1184</v>
      </c>
    </row>
    <row r="1708" spans="1:3" x14ac:dyDescent="0.25">
      <c r="A1708">
        <v>1707</v>
      </c>
      <c r="B1708" s="23">
        <v>1512.8</v>
      </c>
      <c r="C1708" s="23">
        <v>1184</v>
      </c>
    </row>
    <row r="1709" spans="1:3" x14ac:dyDescent="0.25">
      <c r="A1709">
        <v>1708</v>
      </c>
      <c r="B1709" s="23">
        <v>1512.8</v>
      </c>
      <c r="C1709" s="23">
        <v>1183.461</v>
      </c>
    </row>
    <row r="1710" spans="1:3" x14ac:dyDescent="0.25">
      <c r="A1710">
        <v>1709</v>
      </c>
      <c r="B1710" s="23">
        <v>1512.8</v>
      </c>
      <c r="C1710" s="23">
        <v>1183.452</v>
      </c>
    </row>
    <row r="1711" spans="1:3" x14ac:dyDescent="0.25">
      <c r="A1711">
        <v>1710</v>
      </c>
      <c r="B1711" s="23">
        <v>1512.557</v>
      </c>
      <c r="C1711" s="23">
        <v>1183.2</v>
      </c>
    </row>
    <row r="1712" spans="1:3" x14ac:dyDescent="0.25">
      <c r="A1712">
        <v>1711</v>
      </c>
      <c r="B1712" s="23">
        <v>1512.4938560000001</v>
      </c>
      <c r="C1712" s="23">
        <v>1183.155</v>
      </c>
    </row>
    <row r="1713" spans="1:3" x14ac:dyDescent="0.25">
      <c r="A1713">
        <v>1712</v>
      </c>
      <c r="B1713" s="23">
        <v>1512.1189999999999</v>
      </c>
      <c r="C1713" s="23">
        <v>1182.4000000000001</v>
      </c>
    </row>
    <row r="1714" spans="1:3" x14ac:dyDescent="0.25">
      <c r="A1714">
        <v>1713</v>
      </c>
      <c r="B1714" s="23">
        <v>1512.014727</v>
      </c>
      <c r="C1714" s="23">
        <v>1182.4000000000001</v>
      </c>
    </row>
    <row r="1715" spans="1:3" x14ac:dyDescent="0.25">
      <c r="A1715">
        <v>1714</v>
      </c>
      <c r="B1715" s="23">
        <v>1511.9217000000001</v>
      </c>
      <c r="C1715" s="23">
        <v>1182.3330000000001</v>
      </c>
    </row>
    <row r="1716" spans="1:3" x14ac:dyDescent="0.25">
      <c r="A1716">
        <v>1715</v>
      </c>
      <c r="B1716" s="23">
        <v>1511.5332309999999</v>
      </c>
      <c r="C1716" s="23">
        <v>1181.981</v>
      </c>
    </row>
    <row r="1717" spans="1:3" x14ac:dyDescent="0.25">
      <c r="A1717">
        <v>1716</v>
      </c>
      <c r="B1717" s="23">
        <v>1511.507071</v>
      </c>
      <c r="C1717" s="23">
        <v>1181.981</v>
      </c>
    </row>
    <row r="1718" spans="1:3" x14ac:dyDescent="0.25">
      <c r="A1718">
        <v>1717</v>
      </c>
      <c r="B1718" s="23">
        <v>1511.4079999999999</v>
      </c>
      <c r="C1718" s="23">
        <v>1181.76</v>
      </c>
    </row>
    <row r="1719" spans="1:3" x14ac:dyDescent="0.25">
      <c r="A1719">
        <v>1718</v>
      </c>
      <c r="B1719" s="23">
        <v>1511.251591</v>
      </c>
      <c r="C1719" s="23">
        <v>1181.655</v>
      </c>
    </row>
    <row r="1720" spans="1:3" x14ac:dyDescent="0.25">
      <c r="A1720">
        <v>1719</v>
      </c>
      <c r="B1720" s="23">
        <v>1510.972</v>
      </c>
      <c r="C1720" s="23">
        <v>1181.5999999999999</v>
      </c>
    </row>
    <row r="1721" spans="1:3" x14ac:dyDescent="0.25">
      <c r="A1721">
        <v>1720</v>
      </c>
      <c r="B1721" s="23">
        <v>1510.8356470000001</v>
      </c>
      <c r="C1721" s="23">
        <v>1180.9459999999999</v>
      </c>
    </row>
    <row r="1722" spans="1:3" x14ac:dyDescent="0.25">
      <c r="A1722">
        <v>1721</v>
      </c>
      <c r="B1722" s="23">
        <v>1510.7832920000001</v>
      </c>
      <c r="C1722" s="23">
        <v>1180.8</v>
      </c>
    </row>
    <row r="1723" spans="1:3" x14ac:dyDescent="0.25">
      <c r="A1723">
        <v>1722</v>
      </c>
      <c r="B1723" s="23">
        <v>1510.4219459999999</v>
      </c>
      <c r="C1723" s="23">
        <v>1180.8</v>
      </c>
    </row>
    <row r="1724" spans="1:3" x14ac:dyDescent="0.25">
      <c r="A1724">
        <v>1723</v>
      </c>
      <c r="B1724" s="23">
        <v>1510.4</v>
      </c>
      <c r="C1724" s="23">
        <v>1180.51</v>
      </c>
    </row>
    <row r="1725" spans="1:3" x14ac:dyDescent="0.25">
      <c r="A1725">
        <v>1724</v>
      </c>
      <c r="B1725" s="23">
        <v>1510.4</v>
      </c>
      <c r="C1725" s="23">
        <v>1180.4770000000001</v>
      </c>
    </row>
    <row r="1726" spans="1:3" x14ac:dyDescent="0.25">
      <c r="A1726">
        <v>1725</v>
      </c>
      <c r="B1726" s="23">
        <v>1510.3678239999999</v>
      </c>
      <c r="C1726" s="23">
        <v>1180.461</v>
      </c>
    </row>
    <row r="1727" spans="1:3" x14ac:dyDescent="0.25">
      <c r="A1727">
        <v>1726</v>
      </c>
      <c r="B1727" s="23">
        <v>1510.0440000000001</v>
      </c>
      <c r="C1727" s="23">
        <v>1180.114</v>
      </c>
    </row>
    <row r="1728" spans="1:3" x14ac:dyDescent="0.25">
      <c r="A1728">
        <v>1727</v>
      </c>
      <c r="B1728" s="23">
        <v>1509.998</v>
      </c>
      <c r="C1728" s="23">
        <v>1179.7739999999999</v>
      </c>
    </row>
    <row r="1729" spans="1:3" x14ac:dyDescent="0.25">
      <c r="A1729">
        <v>1728</v>
      </c>
      <c r="B1729" s="23">
        <v>1509.9939999999999</v>
      </c>
      <c r="C1729" s="23">
        <v>1179.2</v>
      </c>
    </row>
    <row r="1730" spans="1:3" x14ac:dyDescent="0.25">
      <c r="A1730">
        <v>1729</v>
      </c>
      <c r="B1730" s="23">
        <v>1509.8551600000001</v>
      </c>
      <c r="C1730" s="23">
        <v>1179.2</v>
      </c>
    </row>
    <row r="1731" spans="1:3" x14ac:dyDescent="0.25">
      <c r="A1731">
        <v>1730</v>
      </c>
      <c r="B1731" s="23">
        <v>1509.6792620000001</v>
      </c>
      <c r="C1731" s="23">
        <v>1179.039</v>
      </c>
    </row>
    <row r="1732" spans="1:3" x14ac:dyDescent="0.25">
      <c r="A1732">
        <v>1731</v>
      </c>
      <c r="B1732" s="23">
        <v>1509.6</v>
      </c>
      <c r="C1732" s="23">
        <v>1178.4000000000001</v>
      </c>
    </row>
    <row r="1733" spans="1:3" x14ac:dyDescent="0.25">
      <c r="A1733">
        <v>1732</v>
      </c>
      <c r="B1733" s="23">
        <v>1509.5908850000001</v>
      </c>
      <c r="C1733" s="23">
        <v>1178.4000000000001</v>
      </c>
    </row>
    <row r="1734" spans="1:3" x14ac:dyDescent="0.25">
      <c r="A1734">
        <v>1733</v>
      </c>
      <c r="B1734" s="23">
        <v>1509.5908850000001</v>
      </c>
      <c r="C1734" s="23">
        <v>1177.616</v>
      </c>
    </row>
    <row r="1735" spans="1:3" x14ac:dyDescent="0.25">
      <c r="A1735">
        <v>1734</v>
      </c>
      <c r="B1735" s="23">
        <v>1509.5258779999999</v>
      </c>
      <c r="C1735" s="23">
        <v>1177.568</v>
      </c>
    </row>
    <row r="1736" spans="1:3" x14ac:dyDescent="0.25">
      <c r="A1736">
        <v>1735</v>
      </c>
      <c r="B1736" s="23">
        <v>1509.4159999999999</v>
      </c>
      <c r="C1736" s="23">
        <v>1177.0609999999999</v>
      </c>
    </row>
    <row r="1737" spans="1:3" x14ac:dyDescent="0.25">
      <c r="A1737">
        <v>1736</v>
      </c>
      <c r="B1737" s="23">
        <v>1509.3432359999999</v>
      </c>
      <c r="C1737" s="23">
        <v>1176.8320000000001</v>
      </c>
    </row>
    <row r="1738" spans="1:3" x14ac:dyDescent="0.25">
      <c r="A1738">
        <v>1737</v>
      </c>
      <c r="B1738" s="23">
        <v>1509.3119999999999</v>
      </c>
      <c r="C1738" s="23">
        <v>1176.8</v>
      </c>
    </row>
    <row r="1739" spans="1:3" x14ac:dyDescent="0.25">
      <c r="A1739">
        <v>1738</v>
      </c>
      <c r="B1739" s="23">
        <v>1509.175</v>
      </c>
      <c r="C1739" s="23">
        <v>1176.8</v>
      </c>
    </row>
    <row r="1740" spans="1:3" x14ac:dyDescent="0.25">
      <c r="A1740">
        <v>1739</v>
      </c>
      <c r="B1740" s="23">
        <v>1509.1443340000001</v>
      </c>
      <c r="C1740" s="23">
        <v>1176.8</v>
      </c>
    </row>
    <row r="1741" spans="1:3" x14ac:dyDescent="0.25">
      <c r="A1741">
        <v>1740</v>
      </c>
      <c r="B1741" s="23">
        <v>1508.8</v>
      </c>
      <c r="C1741" s="23">
        <v>1176.2070000000001</v>
      </c>
    </row>
    <row r="1742" spans="1:3" x14ac:dyDescent="0.25">
      <c r="A1742">
        <v>1741</v>
      </c>
      <c r="B1742" s="23">
        <v>1508.6610000000001</v>
      </c>
      <c r="C1742" s="23">
        <v>1176.039</v>
      </c>
    </row>
    <row r="1743" spans="1:3" x14ac:dyDescent="0.25">
      <c r="A1743">
        <v>1742</v>
      </c>
      <c r="B1743" s="23">
        <v>1508.577</v>
      </c>
      <c r="C1743" s="23">
        <v>1176</v>
      </c>
    </row>
    <row r="1744" spans="1:3" x14ac:dyDescent="0.25">
      <c r="A1744">
        <v>1743</v>
      </c>
      <c r="B1744" s="23">
        <v>1508.509415</v>
      </c>
      <c r="C1744" s="23">
        <v>1175.5440000000001</v>
      </c>
    </row>
    <row r="1745" spans="1:3" x14ac:dyDescent="0.25">
      <c r="A1745">
        <v>1744</v>
      </c>
      <c r="B1745" s="23">
        <v>1508.3330000000001</v>
      </c>
      <c r="C1745" s="23">
        <v>1175.2</v>
      </c>
    </row>
    <row r="1746" spans="1:3" x14ac:dyDescent="0.25">
      <c r="A1746">
        <v>1745</v>
      </c>
      <c r="B1746" s="23">
        <v>1508</v>
      </c>
      <c r="C1746" s="23">
        <v>1174.6130000000001</v>
      </c>
    </row>
    <row r="1747" spans="1:3" x14ac:dyDescent="0.25">
      <c r="A1747">
        <v>1746</v>
      </c>
      <c r="B1747" s="23">
        <v>1508</v>
      </c>
      <c r="C1747" s="23">
        <v>1173.954</v>
      </c>
    </row>
    <row r="1748" spans="1:3" x14ac:dyDescent="0.25">
      <c r="A1748">
        <v>1747</v>
      </c>
      <c r="B1748" s="23">
        <v>1508</v>
      </c>
      <c r="C1748" s="23">
        <v>1173.816</v>
      </c>
    </row>
    <row r="1749" spans="1:3" x14ac:dyDescent="0.25">
      <c r="A1749">
        <v>1748</v>
      </c>
      <c r="B1749" s="23">
        <v>1508</v>
      </c>
      <c r="C1749" s="23">
        <v>1172.4000000000001</v>
      </c>
    </row>
    <row r="1750" spans="1:3" x14ac:dyDescent="0.25">
      <c r="A1750">
        <v>1749</v>
      </c>
      <c r="B1750" s="23">
        <v>1507.7629669999999</v>
      </c>
      <c r="C1750" s="23">
        <v>1172</v>
      </c>
    </row>
    <row r="1751" spans="1:3" x14ac:dyDescent="0.25">
      <c r="A1751">
        <v>1750</v>
      </c>
      <c r="B1751" s="23">
        <v>1507.2</v>
      </c>
      <c r="C1751" s="23">
        <v>1171.95</v>
      </c>
    </row>
    <row r="1752" spans="1:3" x14ac:dyDescent="0.25">
      <c r="A1752">
        <v>1751</v>
      </c>
      <c r="B1752" s="23">
        <v>1507.155</v>
      </c>
      <c r="C1752" s="23">
        <v>1171.7660000000001</v>
      </c>
    </row>
    <row r="1753" spans="1:3" x14ac:dyDescent="0.25">
      <c r="A1753">
        <v>1752</v>
      </c>
      <c r="B1753" s="23">
        <v>1507.1489999999999</v>
      </c>
      <c r="C1753" s="23">
        <v>1171.2</v>
      </c>
    </row>
    <row r="1754" spans="1:3" x14ac:dyDescent="0.25">
      <c r="A1754">
        <v>1753</v>
      </c>
      <c r="B1754" s="23">
        <v>1506.9949999999999</v>
      </c>
      <c r="C1754" s="23">
        <v>1170.7090000000001</v>
      </c>
    </row>
    <row r="1755" spans="1:3" x14ac:dyDescent="0.25">
      <c r="A1755">
        <v>1754</v>
      </c>
      <c r="B1755" s="23">
        <v>1506.9156379999999</v>
      </c>
      <c r="C1755" s="23">
        <v>1170.212</v>
      </c>
    </row>
    <row r="1756" spans="1:3" x14ac:dyDescent="0.25">
      <c r="A1756">
        <v>1755</v>
      </c>
      <c r="B1756" s="23">
        <v>1506.8789999999999</v>
      </c>
      <c r="C1756" s="23">
        <v>1169.5999999999999</v>
      </c>
    </row>
    <row r="1757" spans="1:3" x14ac:dyDescent="0.25">
      <c r="A1757">
        <v>1756</v>
      </c>
      <c r="B1757" s="23">
        <v>1506.781283</v>
      </c>
      <c r="C1757" s="23">
        <v>1169.5999999999999</v>
      </c>
    </row>
    <row r="1758" spans="1:3" x14ac:dyDescent="0.25">
      <c r="A1758">
        <v>1757</v>
      </c>
      <c r="B1758" s="23">
        <v>1506.4</v>
      </c>
      <c r="C1758" s="23">
        <v>1169.5999999999999</v>
      </c>
    </row>
    <row r="1759" spans="1:3" x14ac:dyDescent="0.25">
      <c r="A1759">
        <v>1758</v>
      </c>
      <c r="B1759" s="23">
        <v>1506.384</v>
      </c>
      <c r="C1759" s="23">
        <v>1168.8</v>
      </c>
    </row>
    <row r="1760" spans="1:3" x14ac:dyDescent="0.25">
      <c r="A1760">
        <v>1759</v>
      </c>
      <c r="B1760" s="23">
        <v>1506.1590000000001</v>
      </c>
      <c r="C1760" s="23">
        <v>1168.8</v>
      </c>
    </row>
    <row r="1761" spans="1:3" x14ac:dyDescent="0.25">
      <c r="A1761">
        <v>1760</v>
      </c>
      <c r="B1761" s="23">
        <v>1505.9818660000001</v>
      </c>
      <c r="C1761" s="23">
        <v>1168.6199999999999</v>
      </c>
    </row>
    <row r="1762" spans="1:3" x14ac:dyDescent="0.25">
      <c r="A1762">
        <v>1761</v>
      </c>
      <c r="B1762" s="23">
        <v>1505.706195</v>
      </c>
      <c r="C1762" s="23">
        <v>1168.5150000000001</v>
      </c>
    </row>
    <row r="1763" spans="1:3" x14ac:dyDescent="0.25">
      <c r="A1763">
        <v>1762</v>
      </c>
      <c r="B1763" s="23">
        <v>1505.6</v>
      </c>
      <c r="C1763" s="23">
        <v>1168.0409999999999</v>
      </c>
    </row>
    <row r="1764" spans="1:3" x14ac:dyDescent="0.25">
      <c r="A1764">
        <v>1763</v>
      </c>
      <c r="B1764" s="23">
        <v>1505.134</v>
      </c>
      <c r="C1764" s="23">
        <v>1168</v>
      </c>
    </row>
    <row r="1765" spans="1:3" x14ac:dyDescent="0.25">
      <c r="A1765">
        <v>1764</v>
      </c>
      <c r="B1765" s="23">
        <v>1505.096</v>
      </c>
      <c r="C1765" s="23">
        <v>1168</v>
      </c>
    </row>
    <row r="1766" spans="1:3" x14ac:dyDescent="0.25">
      <c r="A1766">
        <v>1765</v>
      </c>
      <c r="B1766" s="23">
        <v>1504.309</v>
      </c>
      <c r="C1766" s="23">
        <v>1167.2</v>
      </c>
    </row>
    <row r="1767" spans="1:3" x14ac:dyDescent="0.25">
      <c r="A1767">
        <v>1766</v>
      </c>
      <c r="B1767" s="23">
        <v>1504</v>
      </c>
      <c r="C1767" s="23">
        <v>1167.2</v>
      </c>
    </row>
    <row r="1768" spans="1:3" x14ac:dyDescent="0.25">
      <c r="A1768">
        <v>1767</v>
      </c>
      <c r="B1768" s="23">
        <v>1504</v>
      </c>
      <c r="C1768" s="23">
        <v>1167.2</v>
      </c>
    </row>
    <row r="1769" spans="1:3" x14ac:dyDescent="0.25">
      <c r="A1769">
        <v>1768</v>
      </c>
      <c r="B1769" s="23">
        <v>1504</v>
      </c>
      <c r="C1769" s="23">
        <v>1167.1420000000001</v>
      </c>
    </row>
    <row r="1770" spans="1:3" x14ac:dyDescent="0.25">
      <c r="A1770">
        <v>1769</v>
      </c>
      <c r="B1770" s="23">
        <v>1504</v>
      </c>
      <c r="C1770" s="23">
        <v>1166.4000000000001</v>
      </c>
    </row>
    <row r="1771" spans="1:3" x14ac:dyDescent="0.25">
      <c r="A1771">
        <v>1770</v>
      </c>
      <c r="B1771" s="23">
        <v>1503.829</v>
      </c>
      <c r="C1771" s="23">
        <v>1166.2249999999999</v>
      </c>
    </row>
    <row r="1772" spans="1:3" x14ac:dyDescent="0.25">
      <c r="A1772">
        <v>1771</v>
      </c>
      <c r="B1772" s="23">
        <v>1503.6577139999999</v>
      </c>
      <c r="C1772" s="23">
        <v>1165.874</v>
      </c>
    </row>
    <row r="1773" spans="1:3" x14ac:dyDescent="0.25">
      <c r="A1773">
        <v>1772</v>
      </c>
      <c r="B1773" s="23">
        <v>1503.5419999999999</v>
      </c>
      <c r="C1773" s="23">
        <v>1165.874</v>
      </c>
    </row>
    <row r="1774" spans="1:3" x14ac:dyDescent="0.25">
      <c r="A1774">
        <v>1773</v>
      </c>
      <c r="B1774" s="23">
        <v>1503.5029999999999</v>
      </c>
      <c r="C1774" s="23">
        <v>1165.5999999999999</v>
      </c>
    </row>
    <row r="1775" spans="1:3" x14ac:dyDescent="0.25">
      <c r="A1775">
        <v>1774</v>
      </c>
      <c r="B1775" s="23">
        <v>1503.3030000000001</v>
      </c>
      <c r="C1775" s="23">
        <v>1165.5999999999999</v>
      </c>
    </row>
    <row r="1776" spans="1:3" x14ac:dyDescent="0.25">
      <c r="A1776">
        <v>1775</v>
      </c>
      <c r="B1776" s="23">
        <v>1503.2</v>
      </c>
      <c r="C1776" s="23">
        <v>1165.4079999999999</v>
      </c>
    </row>
    <row r="1777" spans="1:3" x14ac:dyDescent="0.25">
      <c r="A1777">
        <v>1776</v>
      </c>
      <c r="B1777" s="23">
        <v>1503.2</v>
      </c>
      <c r="C1777" s="23">
        <v>1165.184</v>
      </c>
    </row>
    <row r="1778" spans="1:3" x14ac:dyDescent="0.25">
      <c r="A1778">
        <v>1777</v>
      </c>
      <c r="B1778" s="23">
        <v>1503.1713400000001</v>
      </c>
      <c r="C1778" s="23">
        <v>1165.0640000000001</v>
      </c>
    </row>
    <row r="1779" spans="1:3" x14ac:dyDescent="0.25">
      <c r="A1779">
        <v>1778</v>
      </c>
      <c r="B1779" s="23">
        <v>1503.1713400000001</v>
      </c>
      <c r="C1779" s="23">
        <v>1164.9179999999999</v>
      </c>
    </row>
    <row r="1780" spans="1:3" x14ac:dyDescent="0.25">
      <c r="A1780">
        <v>1779</v>
      </c>
      <c r="B1780" s="23">
        <v>1503.1210000000001</v>
      </c>
      <c r="C1780" s="23">
        <v>1164.8</v>
      </c>
    </row>
    <row r="1781" spans="1:3" x14ac:dyDescent="0.25">
      <c r="A1781">
        <v>1780</v>
      </c>
      <c r="B1781" s="23">
        <v>1502.9147459999999</v>
      </c>
      <c r="C1781" s="23">
        <v>1164.328</v>
      </c>
    </row>
    <row r="1782" spans="1:3" x14ac:dyDescent="0.25">
      <c r="A1782">
        <v>1781</v>
      </c>
      <c r="B1782" s="23">
        <v>1502.4</v>
      </c>
      <c r="C1782" s="23">
        <v>1164.328</v>
      </c>
    </row>
    <row r="1783" spans="1:3" x14ac:dyDescent="0.25">
      <c r="A1783">
        <v>1782</v>
      </c>
      <c r="B1783" s="23">
        <v>1502.098</v>
      </c>
      <c r="C1783" s="23">
        <v>1163.2</v>
      </c>
    </row>
    <row r="1784" spans="1:3" x14ac:dyDescent="0.25">
      <c r="A1784">
        <v>1783</v>
      </c>
      <c r="B1784" s="23">
        <v>1502.0360000000001</v>
      </c>
      <c r="C1784" s="23">
        <v>1163.1120000000001</v>
      </c>
    </row>
    <row r="1785" spans="1:3" x14ac:dyDescent="0.25">
      <c r="A1785">
        <v>1784</v>
      </c>
      <c r="B1785" s="23">
        <v>1502.0319999999999</v>
      </c>
      <c r="C1785" s="23">
        <v>1163.02</v>
      </c>
    </row>
    <row r="1786" spans="1:3" x14ac:dyDescent="0.25">
      <c r="A1786">
        <v>1785</v>
      </c>
      <c r="B1786" s="23">
        <v>1501.880367</v>
      </c>
      <c r="C1786" s="23">
        <v>1162.857</v>
      </c>
    </row>
    <row r="1787" spans="1:3" x14ac:dyDescent="0.25">
      <c r="A1787">
        <v>1786</v>
      </c>
      <c r="B1787" s="23">
        <v>1501.821504</v>
      </c>
      <c r="C1787" s="23">
        <v>1162.857</v>
      </c>
    </row>
    <row r="1788" spans="1:3" x14ac:dyDescent="0.25">
      <c r="A1788">
        <v>1787</v>
      </c>
      <c r="B1788" s="23">
        <v>1501.8019999999999</v>
      </c>
      <c r="C1788" s="23">
        <v>1162.377</v>
      </c>
    </row>
    <row r="1789" spans="1:3" x14ac:dyDescent="0.25">
      <c r="A1789">
        <v>1788</v>
      </c>
      <c r="B1789" s="23">
        <v>1501.38</v>
      </c>
      <c r="C1789" s="23">
        <v>1162.3</v>
      </c>
    </row>
    <row r="1790" spans="1:3" x14ac:dyDescent="0.25">
      <c r="A1790">
        <v>1789</v>
      </c>
      <c r="B1790" s="23">
        <v>1501.283488</v>
      </c>
      <c r="C1790" s="23">
        <v>1162.1220000000001</v>
      </c>
    </row>
    <row r="1791" spans="1:3" x14ac:dyDescent="0.25">
      <c r="A1791">
        <v>1790</v>
      </c>
      <c r="B1791" s="23">
        <v>1500.8</v>
      </c>
      <c r="C1791" s="23">
        <v>1161.066</v>
      </c>
    </row>
    <row r="1792" spans="1:3" x14ac:dyDescent="0.25">
      <c r="A1792">
        <v>1791</v>
      </c>
      <c r="B1792" s="23">
        <v>1500.8</v>
      </c>
      <c r="C1792" s="23">
        <v>1160.8</v>
      </c>
    </row>
    <row r="1793" spans="1:3" x14ac:dyDescent="0.25">
      <c r="A1793">
        <v>1792</v>
      </c>
      <c r="B1793" s="23">
        <v>1500.540532</v>
      </c>
      <c r="C1793" s="23">
        <v>1160.3489999999999</v>
      </c>
    </row>
    <row r="1794" spans="1:3" x14ac:dyDescent="0.25">
      <c r="A1794">
        <v>1793</v>
      </c>
      <c r="B1794" s="23">
        <v>1500.2676269999999</v>
      </c>
      <c r="C1794" s="23">
        <v>1159.2</v>
      </c>
    </row>
    <row r="1795" spans="1:3" x14ac:dyDescent="0.25">
      <c r="A1795">
        <v>1794</v>
      </c>
      <c r="B1795" s="23">
        <v>1500.0918449999999</v>
      </c>
      <c r="C1795" s="23">
        <v>1159.2</v>
      </c>
    </row>
    <row r="1796" spans="1:3" x14ac:dyDescent="0.25">
      <c r="A1796">
        <v>1795</v>
      </c>
      <c r="B1796" s="23">
        <v>1500.0640000000001</v>
      </c>
      <c r="C1796" s="23">
        <v>1158.5820000000001</v>
      </c>
    </row>
    <row r="1797" spans="1:3" x14ac:dyDescent="0.25">
      <c r="A1797">
        <v>1796</v>
      </c>
      <c r="B1797" s="23">
        <v>1500</v>
      </c>
      <c r="C1797" s="23">
        <v>1158.444</v>
      </c>
    </row>
    <row r="1798" spans="1:3" x14ac:dyDescent="0.25">
      <c r="A1798">
        <v>1797</v>
      </c>
      <c r="B1798" s="23">
        <v>1500</v>
      </c>
      <c r="C1798" s="23">
        <v>1158.4000000000001</v>
      </c>
    </row>
    <row r="1799" spans="1:3" x14ac:dyDescent="0.25">
      <c r="A1799">
        <v>1798</v>
      </c>
      <c r="B1799" s="23">
        <v>1500</v>
      </c>
      <c r="C1799" s="23">
        <v>1158.277</v>
      </c>
    </row>
    <row r="1800" spans="1:3" x14ac:dyDescent="0.25">
      <c r="A1800">
        <v>1799</v>
      </c>
      <c r="B1800" s="23">
        <v>1499.82</v>
      </c>
      <c r="C1800" s="23">
        <v>1158.277</v>
      </c>
    </row>
    <row r="1801" spans="1:3" x14ac:dyDescent="0.25">
      <c r="A1801">
        <v>1800</v>
      </c>
      <c r="B1801" s="23">
        <v>1499.779</v>
      </c>
      <c r="C1801" s="23">
        <v>1157.6379999999999</v>
      </c>
    </row>
    <row r="1802" spans="1:3" x14ac:dyDescent="0.25">
      <c r="A1802">
        <v>1801</v>
      </c>
      <c r="B1802" s="23">
        <v>1499.7329999999999</v>
      </c>
      <c r="C1802" s="23">
        <v>1156.896</v>
      </c>
    </row>
    <row r="1803" spans="1:3" x14ac:dyDescent="0.25">
      <c r="A1803">
        <v>1802</v>
      </c>
      <c r="B1803" s="23">
        <v>1499.6905979999999</v>
      </c>
      <c r="C1803" s="23">
        <v>1156</v>
      </c>
    </row>
    <row r="1804" spans="1:3" x14ac:dyDescent="0.25">
      <c r="A1804">
        <v>1803</v>
      </c>
      <c r="B1804" s="23">
        <v>1499.2</v>
      </c>
      <c r="C1804" s="23">
        <v>1156</v>
      </c>
    </row>
    <row r="1805" spans="1:3" x14ac:dyDescent="0.25">
      <c r="A1805">
        <v>1804</v>
      </c>
      <c r="B1805" s="23">
        <v>1499.0821900000001</v>
      </c>
      <c r="C1805" s="23">
        <v>1155.7249999999999</v>
      </c>
    </row>
    <row r="1806" spans="1:3" x14ac:dyDescent="0.25">
      <c r="A1806">
        <v>1805</v>
      </c>
      <c r="B1806" s="23">
        <v>1498.8989999999999</v>
      </c>
      <c r="C1806" s="23">
        <v>1155.502</v>
      </c>
    </row>
    <row r="1807" spans="1:3" x14ac:dyDescent="0.25">
      <c r="A1807">
        <v>1806</v>
      </c>
      <c r="B1807" s="23">
        <v>1498.8230000000001</v>
      </c>
      <c r="C1807" s="23">
        <v>1155.2</v>
      </c>
    </row>
    <row r="1808" spans="1:3" x14ac:dyDescent="0.25">
      <c r="A1808">
        <v>1807</v>
      </c>
      <c r="B1808" s="23">
        <v>1498.713751</v>
      </c>
      <c r="C1808" s="23">
        <v>1155.2</v>
      </c>
    </row>
    <row r="1809" spans="1:3" x14ac:dyDescent="0.25">
      <c r="A1809">
        <v>1808</v>
      </c>
      <c r="B1809" s="23">
        <v>1498.4</v>
      </c>
      <c r="C1809" s="23">
        <v>1154.691</v>
      </c>
    </row>
    <row r="1810" spans="1:3" x14ac:dyDescent="0.25">
      <c r="A1810">
        <v>1809</v>
      </c>
      <c r="B1810" s="23">
        <v>1498.264361</v>
      </c>
      <c r="C1810" s="23">
        <v>1154.133</v>
      </c>
    </row>
    <row r="1811" spans="1:3" x14ac:dyDescent="0.25">
      <c r="A1811">
        <v>1810</v>
      </c>
      <c r="B1811" s="23">
        <v>1498.248</v>
      </c>
      <c r="C1811" s="23">
        <v>1153.5999999999999</v>
      </c>
    </row>
    <row r="1812" spans="1:3" x14ac:dyDescent="0.25">
      <c r="A1812">
        <v>1811</v>
      </c>
      <c r="B1812" s="23">
        <v>1497.729</v>
      </c>
      <c r="C1812" s="23">
        <v>1152.9760000000001</v>
      </c>
    </row>
    <row r="1813" spans="1:3" x14ac:dyDescent="0.25">
      <c r="A1813">
        <v>1812</v>
      </c>
      <c r="B1813" s="23">
        <v>1497.6559999999999</v>
      </c>
      <c r="C1813" s="23">
        <v>1152.8</v>
      </c>
    </row>
    <row r="1814" spans="1:3" x14ac:dyDescent="0.25">
      <c r="A1814">
        <v>1813</v>
      </c>
      <c r="B1814" s="23">
        <v>1497.6</v>
      </c>
      <c r="C1814" s="23">
        <v>1152</v>
      </c>
    </row>
    <row r="1815" spans="1:3" x14ac:dyDescent="0.25">
      <c r="A1815">
        <v>1814</v>
      </c>
      <c r="B1815" s="23">
        <v>1497.6</v>
      </c>
      <c r="C1815" s="23">
        <v>1152</v>
      </c>
    </row>
    <row r="1816" spans="1:3" x14ac:dyDescent="0.25">
      <c r="A1816">
        <v>1815</v>
      </c>
      <c r="B1816" s="23">
        <v>1497.6</v>
      </c>
      <c r="C1816" s="23">
        <v>1151.8240000000001</v>
      </c>
    </row>
    <row r="1817" spans="1:3" x14ac:dyDescent="0.25">
      <c r="A1817">
        <v>1816</v>
      </c>
      <c r="B1817" s="23">
        <v>1497.5930000000001</v>
      </c>
      <c r="C1817" s="23">
        <v>1151.404</v>
      </c>
    </row>
    <row r="1818" spans="1:3" x14ac:dyDescent="0.25">
      <c r="A1818">
        <v>1817</v>
      </c>
      <c r="B1818" s="23">
        <v>1497.352979</v>
      </c>
      <c r="C1818" s="23">
        <v>1150.645</v>
      </c>
    </row>
    <row r="1819" spans="1:3" x14ac:dyDescent="0.25">
      <c r="A1819">
        <v>1818</v>
      </c>
      <c r="B1819" s="23">
        <v>1497.2629999999999</v>
      </c>
      <c r="C1819" s="23">
        <v>1150.4000000000001</v>
      </c>
    </row>
    <row r="1820" spans="1:3" x14ac:dyDescent="0.25">
      <c r="A1820">
        <v>1819</v>
      </c>
      <c r="B1820" s="23">
        <v>1497.0150619999999</v>
      </c>
      <c r="C1820" s="23">
        <v>1150.4000000000001</v>
      </c>
    </row>
    <row r="1821" spans="1:3" x14ac:dyDescent="0.25">
      <c r="A1821">
        <v>1820</v>
      </c>
      <c r="B1821" s="23">
        <v>1496.8</v>
      </c>
      <c r="C1821" s="23">
        <v>1150.4000000000001</v>
      </c>
    </row>
    <row r="1822" spans="1:3" x14ac:dyDescent="0.25">
      <c r="A1822">
        <v>1821</v>
      </c>
      <c r="B1822" s="23">
        <v>1496.6679999999999</v>
      </c>
      <c r="C1822" s="23">
        <v>1149.6179999999999</v>
      </c>
    </row>
    <row r="1823" spans="1:3" x14ac:dyDescent="0.25">
      <c r="A1823">
        <v>1822</v>
      </c>
      <c r="B1823" s="23">
        <v>1496.6287010000001</v>
      </c>
      <c r="C1823" s="23">
        <v>1149.5999999999999</v>
      </c>
    </row>
    <row r="1824" spans="1:3" x14ac:dyDescent="0.25">
      <c r="A1824">
        <v>1823</v>
      </c>
      <c r="B1824" s="23">
        <v>1496.27</v>
      </c>
      <c r="C1824" s="23">
        <v>1149.5999999999999</v>
      </c>
    </row>
    <row r="1825" spans="1:3" x14ac:dyDescent="0.25">
      <c r="A1825">
        <v>1824</v>
      </c>
      <c r="B1825" s="23">
        <v>1496.2673669999999</v>
      </c>
      <c r="C1825" s="23">
        <v>1149.425</v>
      </c>
    </row>
    <row r="1826" spans="1:3" x14ac:dyDescent="0.25">
      <c r="A1826">
        <v>1825</v>
      </c>
      <c r="B1826" s="23">
        <v>1496</v>
      </c>
      <c r="C1826" s="23">
        <v>1148.1469999999999</v>
      </c>
    </row>
    <row r="1827" spans="1:3" x14ac:dyDescent="0.25">
      <c r="A1827">
        <v>1826</v>
      </c>
      <c r="B1827" s="23">
        <v>1495.960417</v>
      </c>
      <c r="C1827" s="23">
        <v>1148.1469999999999</v>
      </c>
    </row>
    <row r="1828" spans="1:3" x14ac:dyDescent="0.25">
      <c r="A1828">
        <v>1827</v>
      </c>
      <c r="B1828" s="23">
        <v>1495.2</v>
      </c>
      <c r="C1828" s="23">
        <v>1148.1469999999999</v>
      </c>
    </row>
    <row r="1829" spans="1:3" x14ac:dyDescent="0.25">
      <c r="A1829">
        <v>1828</v>
      </c>
      <c r="B1829" s="23">
        <v>1495.0219999999999</v>
      </c>
      <c r="C1829" s="23">
        <v>1148</v>
      </c>
    </row>
    <row r="1830" spans="1:3" x14ac:dyDescent="0.25">
      <c r="A1830">
        <v>1829</v>
      </c>
      <c r="B1830" s="23">
        <v>1494.9690000000001</v>
      </c>
      <c r="C1830" s="23">
        <v>1148</v>
      </c>
    </row>
    <row r="1831" spans="1:3" x14ac:dyDescent="0.25">
      <c r="A1831">
        <v>1830</v>
      </c>
      <c r="B1831" s="23">
        <v>1494.962315</v>
      </c>
      <c r="C1831" s="23">
        <v>1147.9169999999999</v>
      </c>
    </row>
    <row r="1832" spans="1:3" x14ac:dyDescent="0.25">
      <c r="A1832">
        <v>1831</v>
      </c>
      <c r="B1832" s="23">
        <v>1494.82906</v>
      </c>
      <c r="C1832" s="23">
        <v>1147.538</v>
      </c>
    </row>
    <row r="1833" spans="1:3" x14ac:dyDescent="0.25">
      <c r="A1833">
        <v>1832</v>
      </c>
      <c r="B1833" s="23">
        <v>1494.7819999999999</v>
      </c>
      <c r="C1833" s="23">
        <v>1147.4110000000001</v>
      </c>
    </row>
    <row r="1834" spans="1:3" x14ac:dyDescent="0.25">
      <c r="A1834">
        <v>1833</v>
      </c>
      <c r="B1834" s="23">
        <v>1494.729</v>
      </c>
      <c r="C1834" s="23">
        <v>1147.2</v>
      </c>
    </row>
    <row r="1835" spans="1:3" x14ac:dyDescent="0.25">
      <c r="A1835">
        <v>1834</v>
      </c>
      <c r="B1835" s="23">
        <v>1494.49</v>
      </c>
      <c r="C1835" s="23">
        <v>1147.2</v>
      </c>
    </row>
    <row r="1836" spans="1:3" x14ac:dyDescent="0.25">
      <c r="A1836">
        <v>1835</v>
      </c>
      <c r="B1836" s="23">
        <v>1494.4</v>
      </c>
      <c r="C1836" s="23">
        <v>1146.944</v>
      </c>
    </row>
    <row r="1837" spans="1:3" x14ac:dyDescent="0.25">
      <c r="A1837">
        <v>1836</v>
      </c>
      <c r="B1837" s="23">
        <v>1494.4</v>
      </c>
      <c r="C1837" s="23">
        <v>1146.875</v>
      </c>
    </row>
    <row r="1838" spans="1:3" x14ac:dyDescent="0.25">
      <c r="A1838">
        <v>1837</v>
      </c>
      <c r="B1838" s="23">
        <v>1494.4</v>
      </c>
      <c r="C1838" s="23">
        <v>1146.8119999999999</v>
      </c>
    </row>
    <row r="1839" spans="1:3" x14ac:dyDescent="0.25">
      <c r="A1839">
        <v>1838</v>
      </c>
      <c r="B1839" s="23">
        <v>1494.4</v>
      </c>
      <c r="C1839" s="23">
        <v>1146.4000000000001</v>
      </c>
    </row>
    <row r="1840" spans="1:3" x14ac:dyDescent="0.25">
      <c r="A1840">
        <v>1839</v>
      </c>
      <c r="B1840" s="23">
        <v>1494.4</v>
      </c>
      <c r="C1840" s="23">
        <v>1146.4000000000001</v>
      </c>
    </row>
    <row r="1841" spans="1:3" x14ac:dyDescent="0.25">
      <c r="A1841">
        <v>1840</v>
      </c>
      <c r="B1841" s="23">
        <v>1494.3067169999999</v>
      </c>
      <c r="C1841" s="23">
        <v>1145.845</v>
      </c>
    </row>
    <row r="1842" spans="1:3" x14ac:dyDescent="0.25">
      <c r="A1842">
        <v>1841</v>
      </c>
      <c r="B1842" s="23">
        <v>1494.1654269999999</v>
      </c>
      <c r="C1842" s="23">
        <v>1145.5999999999999</v>
      </c>
    </row>
    <row r="1843" spans="1:3" x14ac:dyDescent="0.25">
      <c r="A1843">
        <v>1842</v>
      </c>
      <c r="B1843" s="23">
        <v>1494.1654269999999</v>
      </c>
      <c r="C1843" s="23">
        <v>1145.5999999999999</v>
      </c>
    </row>
    <row r="1844" spans="1:3" x14ac:dyDescent="0.25">
      <c r="A1844">
        <v>1843</v>
      </c>
      <c r="B1844" s="23">
        <v>1494.002592</v>
      </c>
      <c r="C1844" s="23">
        <v>1145.154</v>
      </c>
    </row>
    <row r="1845" spans="1:3" x14ac:dyDescent="0.25">
      <c r="A1845">
        <v>1844</v>
      </c>
      <c r="B1845" s="23">
        <v>1494.002</v>
      </c>
      <c r="C1845" s="23">
        <v>1145.07</v>
      </c>
    </row>
    <row r="1846" spans="1:3" x14ac:dyDescent="0.25">
      <c r="A1846">
        <v>1845</v>
      </c>
      <c r="B1846" s="23">
        <v>1493.8664799999999</v>
      </c>
      <c r="C1846" s="23">
        <v>1144.8</v>
      </c>
    </row>
    <row r="1847" spans="1:3" x14ac:dyDescent="0.25">
      <c r="A1847">
        <v>1846</v>
      </c>
      <c r="B1847" s="23">
        <v>1493.8309999999999</v>
      </c>
      <c r="C1847" s="23">
        <v>1144.463</v>
      </c>
    </row>
    <row r="1848" spans="1:3" x14ac:dyDescent="0.25">
      <c r="A1848">
        <v>1847</v>
      </c>
      <c r="B1848" s="23">
        <v>1493.7656260000001</v>
      </c>
      <c r="C1848" s="23">
        <v>1144.1559999999999</v>
      </c>
    </row>
    <row r="1849" spans="1:3" x14ac:dyDescent="0.25">
      <c r="A1849">
        <v>1848</v>
      </c>
      <c r="B1849" s="23">
        <v>1493.6</v>
      </c>
      <c r="C1849" s="23">
        <v>1144</v>
      </c>
    </row>
    <row r="1850" spans="1:3" x14ac:dyDescent="0.25">
      <c r="A1850">
        <v>1849</v>
      </c>
      <c r="B1850" s="23">
        <v>1493.6</v>
      </c>
      <c r="C1850" s="23">
        <v>1143.2470000000001</v>
      </c>
    </row>
    <row r="1851" spans="1:3" x14ac:dyDescent="0.25">
      <c r="A1851">
        <v>1850</v>
      </c>
      <c r="B1851" s="23">
        <v>1493.4010000000001</v>
      </c>
      <c r="C1851" s="23">
        <v>1143.106</v>
      </c>
    </row>
    <row r="1852" spans="1:3" x14ac:dyDescent="0.25">
      <c r="A1852">
        <v>1851</v>
      </c>
      <c r="B1852" s="23">
        <v>1493.357381</v>
      </c>
      <c r="C1852" s="23">
        <v>1142.4000000000001</v>
      </c>
    </row>
    <row r="1853" spans="1:3" x14ac:dyDescent="0.25">
      <c r="A1853">
        <v>1852</v>
      </c>
      <c r="B1853" s="23">
        <v>1493.258605</v>
      </c>
      <c r="C1853" s="23">
        <v>1142.4000000000001</v>
      </c>
    </row>
    <row r="1854" spans="1:3" x14ac:dyDescent="0.25">
      <c r="A1854">
        <v>1853</v>
      </c>
      <c r="B1854" s="23">
        <v>1493.2052590000001</v>
      </c>
      <c r="C1854" s="23">
        <v>1142.4000000000001</v>
      </c>
    </row>
    <row r="1855" spans="1:3" x14ac:dyDescent="0.25">
      <c r="A1855">
        <v>1854</v>
      </c>
      <c r="B1855" s="23">
        <v>1493.1959999999999</v>
      </c>
      <c r="C1855" s="23">
        <v>1141.7</v>
      </c>
    </row>
    <row r="1856" spans="1:3" x14ac:dyDescent="0.25">
      <c r="A1856">
        <v>1855</v>
      </c>
      <c r="B1856" s="23">
        <v>1493.145505</v>
      </c>
      <c r="C1856" s="23">
        <v>1141.5999999999999</v>
      </c>
    </row>
    <row r="1857" spans="1:3" x14ac:dyDescent="0.25">
      <c r="A1857">
        <v>1856</v>
      </c>
      <c r="B1857" s="23">
        <v>1493.09</v>
      </c>
      <c r="C1857" s="23">
        <v>1141.3219999999999</v>
      </c>
    </row>
    <row r="1858" spans="1:3" x14ac:dyDescent="0.25">
      <c r="A1858">
        <v>1857</v>
      </c>
      <c r="B1858" s="23">
        <v>1493.0687089999999</v>
      </c>
      <c r="C1858" s="23">
        <v>1141.01</v>
      </c>
    </row>
    <row r="1859" spans="1:3" x14ac:dyDescent="0.25">
      <c r="A1859">
        <v>1858</v>
      </c>
      <c r="B1859" s="23">
        <v>1493.0530000000001</v>
      </c>
      <c r="C1859" s="23">
        <v>1141.01</v>
      </c>
    </row>
    <row r="1860" spans="1:3" x14ac:dyDescent="0.25">
      <c r="A1860">
        <v>1859</v>
      </c>
      <c r="B1860" s="23">
        <v>1493.0139999999999</v>
      </c>
      <c r="C1860" s="23">
        <v>1140.8</v>
      </c>
    </row>
    <row r="1861" spans="1:3" x14ac:dyDescent="0.25">
      <c r="A1861">
        <v>1860</v>
      </c>
      <c r="B1861" s="23">
        <v>1492.8</v>
      </c>
      <c r="C1861" s="23">
        <v>1140.0809999999999</v>
      </c>
    </row>
    <row r="1862" spans="1:3" x14ac:dyDescent="0.25">
      <c r="A1862">
        <v>1861</v>
      </c>
      <c r="B1862" s="23">
        <v>1492.56</v>
      </c>
      <c r="C1862" s="23">
        <v>1140.056</v>
      </c>
    </row>
    <row r="1863" spans="1:3" x14ac:dyDescent="0.25">
      <c r="A1863">
        <v>1862</v>
      </c>
      <c r="B1863" s="23">
        <v>1492.5395510000001</v>
      </c>
      <c r="C1863" s="23">
        <v>1140</v>
      </c>
    </row>
    <row r="1864" spans="1:3" x14ac:dyDescent="0.25">
      <c r="A1864">
        <v>1863</v>
      </c>
      <c r="B1864" s="23">
        <v>1492.3969999999999</v>
      </c>
      <c r="C1864" s="23">
        <v>1140</v>
      </c>
    </row>
    <row r="1865" spans="1:3" x14ac:dyDescent="0.25">
      <c r="A1865">
        <v>1864</v>
      </c>
      <c r="B1865" s="23">
        <v>1492.2515679999999</v>
      </c>
      <c r="C1865" s="23">
        <v>1140</v>
      </c>
    </row>
    <row r="1866" spans="1:3" x14ac:dyDescent="0.25">
      <c r="A1866">
        <v>1865</v>
      </c>
      <c r="B1866" s="23">
        <v>1492.2049999999999</v>
      </c>
      <c r="C1866" s="23">
        <v>1139.2</v>
      </c>
    </row>
    <row r="1867" spans="1:3" x14ac:dyDescent="0.25">
      <c r="A1867">
        <v>1866</v>
      </c>
      <c r="B1867" s="23">
        <v>1492.134</v>
      </c>
      <c r="C1867" s="23">
        <v>1138.9570000000001</v>
      </c>
    </row>
    <row r="1868" spans="1:3" x14ac:dyDescent="0.25">
      <c r="A1868">
        <v>1867</v>
      </c>
      <c r="B1868" s="23">
        <v>1492</v>
      </c>
      <c r="C1868" s="23">
        <v>1138.585</v>
      </c>
    </row>
    <row r="1869" spans="1:3" x14ac:dyDescent="0.25">
      <c r="A1869">
        <v>1868</v>
      </c>
      <c r="B1869" s="23">
        <v>1492</v>
      </c>
      <c r="C1869" s="23">
        <v>1138.2470000000001</v>
      </c>
    </row>
    <row r="1870" spans="1:3" x14ac:dyDescent="0.25">
      <c r="A1870">
        <v>1869</v>
      </c>
      <c r="B1870" s="23">
        <v>1491.9849999999999</v>
      </c>
      <c r="C1870" s="23">
        <v>1137.963</v>
      </c>
    </row>
    <row r="1871" spans="1:3" x14ac:dyDescent="0.25">
      <c r="A1871">
        <v>1870</v>
      </c>
      <c r="B1871" s="23">
        <v>1491.9659999999999</v>
      </c>
      <c r="C1871" s="23">
        <v>1137.9559999999999</v>
      </c>
    </row>
    <row r="1872" spans="1:3" x14ac:dyDescent="0.25">
      <c r="A1872">
        <v>1871</v>
      </c>
      <c r="B1872" s="23">
        <v>1491.899032</v>
      </c>
      <c r="C1872" s="23">
        <v>1137.5999999999999</v>
      </c>
    </row>
    <row r="1873" spans="1:3" x14ac:dyDescent="0.25">
      <c r="A1873">
        <v>1872</v>
      </c>
      <c r="B1873" s="23">
        <v>1491.774762</v>
      </c>
      <c r="C1873" s="23">
        <v>1136.8</v>
      </c>
    </row>
    <row r="1874" spans="1:3" x14ac:dyDescent="0.25">
      <c r="A1874">
        <v>1873</v>
      </c>
      <c r="B1874" s="23">
        <v>1491.7217209999999</v>
      </c>
      <c r="C1874" s="23">
        <v>1136.5309999999999</v>
      </c>
    </row>
    <row r="1875" spans="1:3" x14ac:dyDescent="0.25">
      <c r="A1875">
        <v>1874</v>
      </c>
      <c r="B1875" s="23">
        <v>1491.7217209999999</v>
      </c>
      <c r="C1875" s="23">
        <v>1136.175</v>
      </c>
    </row>
    <row r="1876" spans="1:3" x14ac:dyDescent="0.25">
      <c r="A1876">
        <v>1875</v>
      </c>
      <c r="B1876" s="23">
        <v>1491.721307</v>
      </c>
      <c r="C1876" s="23">
        <v>1135.9659999999999</v>
      </c>
    </row>
    <row r="1877" spans="1:3" x14ac:dyDescent="0.25">
      <c r="A1877">
        <v>1876</v>
      </c>
      <c r="B1877" s="23">
        <v>1491.710609</v>
      </c>
      <c r="C1877" s="23">
        <v>1135.2</v>
      </c>
    </row>
    <row r="1878" spans="1:3" x14ac:dyDescent="0.25">
      <c r="A1878">
        <v>1877</v>
      </c>
      <c r="B1878" s="23">
        <v>1491.693143</v>
      </c>
      <c r="C1878" s="23">
        <v>1134.769</v>
      </c>
    </row>
    <row r="1879" spans="1:3" x14ac:dyDescent="0.25">
      <c r="A1879">
        <v>1878</v>
      </c>
      <c r="B1879" s="23">
        <v>1491.5814580000001</v>
      </c>
      <c r="C1879" s="23">
        <v>1134.4000000000001</v>
      </c>
    </row>
    <row r="1880" spans="1:3" x14ac:dyDescent="0.25">
      <c r="A1880">
        <v>1879</v>
      </c>
      <c r="B1880" s="23">
        <v>1491.336319</v>
      </c>
      <c r="C1880" s="23">
        <v>1134.33</v>
      </c>
    </row>
    <row r="1881" spans="1:3" x14ac:dyDescent="0.25">
      <c r="A1881">
        <v>1880</v>
      </c>
      <c r="B1881" s="23">
        <v>1491.287</v>
      </c>
      <c r="C1881" s="23">
        <v>1134.1320000000001</v>
      </c>
    </row>
    <row r="1882" spans="1:3" x14ac:dyDescent="0.25">
      <c r="A1882">
        <v>1881</v>
      </c>
      <c r="B1882" s="23">
        <v>1491.2</v>
      </c>
      <c r="C1882" s="23">
        <v>1133.8130000000001</v>
      </c>
    </row>
    <row r="1883" spans="1:3" x14ac:dyDescent="0.25">
      <c r="A1883">
        <v>1882</v>
      </c>
      <c r="B1883" s="23">
        <v>1490.991808</v>
      </c>
      <c r="C1883" s="23">
        <v>1133.69</v>
      </c>
    </row>
    <row r="1884" spans="1:3" x14ac:dyDescent="0.25">
      <c r="A1884">
        <v>1883</v>
      </c>
      <c r="B1884" s="23">
        <v>1490.9597329999999</v>
      </c>
      <c r="C1884" s="23">
        <v>1133.5999999999999</v>
      </c>
    </row>
    <row r="1885" spans="1:3" x14ac:dyDescent="0.25">
      <c r="A1885">
        <v>1884</v>
      </c>
      <c r="B1885" s="23">
        <v>1490.549681</v>
      </c>
      <c r="C1885" s="23">
        <v>1133.5530000000001</v>
      </c>
    </row>
    <row r="1886" spans="1:3" x14ac:dyDescent="0.25">
      <c r="A1886">
        <v>1885</v>
      </c>
      <c r="B1886" s="23">
        <v>1490.471532</v>
      </c>
      <c r="C1886" s="23">
        <v>1133.4359999999999</v>
      </c>
    </row>
    <row r="1887" spans="1:3" x14ac:dyDescent="0.25">
      <c r="A1887">
        <v>1886</v>
      </c>
      <c r="B1887" s="23">
        <v>1490.4359999999999</v>
      </c>
      <c r="C1887" s="23">
        <v>1133.412</v>
      </c>
    </row>
    <row r="1888" spans="1:3" x14ac:dyDescent="0.25">
      <c r="A1888">
        <v>1887</v>
      </c>
      <c r="B1888" s="23">
        <v>1490.4</v>
      </c>
      <c r="C1888" s="23">
        <v>1132.8</v>
      </c>
    </row>
    <row r="1889" spans="1:3" x14ac:dyDescent="0.25">
      <c r="A1889">
        <v>1888</v>
      </c>
      <c r="B1889" s="23">
        <v>1490.4</v>
      </c>
      <c r="C1889" s="23">
        <v>1132.701</v>
      </c>
    </row>
    <row r="1890" spans="1:3" x14ac:dyDescent="0.25">
      <c r="A1890">
        <v>1889</v>
      </c>
      <c r="B1890" s="23">
        <v>1490.238004</v>
      </c>
      <c r="C1890" s="23">
        <v>1132.213</v>
      </c>
    </row>
    <row r="1891" spans="1:3" x14ac:dyDescent="0.25">
      <c r="A1891">
        <v>1890</v>
      </c>
      <c r="B1891" s="23">
        <v>1490.1674310000001</v>
      </c>
      <c r="C1891" s="23">
        <v>1132</v>
      </c>
    </row>
    <row r="1892" spans="1:3" x14ac:dyDescent="0.25">
      <c r="A1892">
        <v>1891</v>
      </c>
      <c r="B1892" s="23">
        <v>1490.1331929999999</v>
      </c>
      <c r="C1892" s="23">
        <v>1131.3399999999999</v>
      </c>
    </row>
    <row r="1893" spans="1:3" x14ac:dyDescent="0.25">
      <c r="A1893">
        <v>1892</v>
      </c>
      <c r="B1893" s="23">
        <v>1489.7844869999999</v>
      </c>
      <c r="C1893" s="23">
        <v>1131.2</v>
      </c>
    </row>
    <row r="1894" spans="1:3" x14ac:dyDescent="0.25">
      <c r="A1894">
        <v>1893</v>
      </c>
      <c r="B1894" s="23">
        <v>1489.6</v>
      </c>
      <c r="C1894" s="23">
        <v>1131.2</v>
      </c>
    </row>
    <row r="1895" spans="1:3" x14ac:dyDescent="0.25">
      <c r="A1895">
        <v>1894</v>
      </c>
      <c r="B1895" s="23">
        <v>1489.50892</v>
      </c>
      <c r="C1895" s="23">
        <v>1131.2</v>
      </c>
    </row>
    <row r="1896" spans="1:3" x14ac:dyDescent="0.25">
      <c r="A1896">
        <v>1895</v>
      </c>
      <c r="B1896" s="23">
        <v>1489.3904930000001</v>
      </c>
      <c r="C1896" s="23">
        <v>1131.2</v>
      </c>
    </row>
    <row r="1897" spans="1:3" x14ac:dyDescent="0.25">
      <c r="A1897">
        <v>1896</v>
      </c>
      <c r="B1897" s="23">
        <v>1489.3620000000001</v>
      </c>
      <c r="C1897" s="23">
        <v>1130.4000000000001</v>
      </c>
    </row>
    <row r="1898" spans="1:3" x14ac:dyDescent="0.25">
      <c r="A1898">
        <v>1897</v>
      </c>
      <c r="B1898" s="23">
        <v>1489.14249</v>
      </c>
      <c r="C1898" s="23">
        <v>1128.8</v>
      </c>
    </row>
    <row r="1899" spans="1:3" x14ac:dyDescent="0.25">
      <c r="A1899">
        <v>1898</v>
      </c>
      <c r="B1899" s="23">
        <v>1489.1289999999999</v>
      </c>
      <c r="C1899" s="23">
        <v>1128.8</v>
      </c>
    </row>
    <row r="1900" spans="1:3" x14ac:dyDescent="0.25">
      <c r="A1900">
        <v>1899</v>
      </c>
      <c r="B1900" s="23">
        <v>1488.8</v>
      </c>
      <c r="C1900" s="23">
        <v>1128.578</v>
      </c>
    </row>
    <row r="1901" spans="1:3" x14ac:dyDescent="0.25">
      <c r="A1901">
        <v>1900</v>
      </c>
      <c r="B1901" s="23">
        <v>1488.8</v>
      </c>
      <c r="C1901" s="23">
        <v>1128.5650000000001</v>
      </c>
    </row>
    <row r="1902" spans="1:3" x14ac:dyDescent="0.25">
      <c r="A1902">
        <v>1901</v>
      </c>
      <c r="B1902" s="23">
        <v>1488.8</v>
      </c>
      <c r="C1902" s="23">
        <v>1128</v>
      </c>
    </row>
    <row r="1903" spans="1:3" x14ac:dyDescent="0.25">
      <c r="A1903">
        <v>1902</v>
      </c>
      <c r="B1903" s="23">
        <v>1488.8</v>
      </c>
      <c r="C1903" s="23">
        <v>1128</v>
      </c>
    </row>
    <row r="1904" spans="1:3" x14ac:dyDescent="0.25">
      <c r="A1904">
        <v>1903</v>
      </c>
      <c r="B1904" s="23">
        <v>1488.8</v>
      </c>
      <c r="C1904" s="23">
        <v>1127.798</v>
      </c>
    </row>
    <row r="1905" spans="1:3" x14ac:dyDescent="0.25">
      <c r="A1905">
        <v>1904</v>
      </c>
      <c r="B1905" s="23">
        <v>1488.8</v>
      </c>
      <c r="C1905" s="23">
        <v>1127.787</v>
      </c>
    </row>
    <row r="1906" spans="1:3" x14ac:dyDescent="0.25">
      <c r="A1906">
        <v>1905</v>
      </c>
      <c r="B1906" s="23">
        <v>1488.6510000000001</v>
      </c>
      <c r="C1906" s="23">
        <v>1127.5519999999999</v>
      </c>
    </row>
    <row r="1907" spans="1:3" x14ac:dyDescent="0.25">
      <c r="A1907">
        <v>1906</v>
      </c>
      <c r="B1907" s="23">
        <v>1488.6135549999999</v>
      </c>
      <c r="C1907" s="23">
        <v>1127.2</v>
      </c>
    </row>
    <row r="1908" spans="1:3" x14ac:dyDescent="0.25">
      <c r="A1908">
        <v>1907</v>
      </c>
      <c r="B1908" s="23">
        <v>1488.587209</v>
      </c>
      <c r="C1908" s="23">
        <v>1127.2</v>
      </c>
    </row>
    <row r="1909" spans="1:3" x14ac:dyDescent="0.25">
      <c r="A1909">
        <v>1908</v>
      </c>
      <c r="B1909" s="23">
        <v>1488.4238170000001</v>
      </c>
      <c r="C1909" s="23">
        <v>1126.97</v>
      </c>
    </row>
    <row r="1910" spans="1:3" x14ac:dyDescent="0.25">
      <c r="A1910">
        <v>1909</v>
      </c>
      <c r="B1910" s="23">
        <v>1488.288</v>
      </c>
      <c r="C1910" s="23">
        <v>1126.8</v>
      </c>
    </row>
    <row r="1911" spans="1:3" x14ac:dyDescent="0.25">
      <c r="A1911">
        <v>1910</v>
      </c>
      <c r="B1911" s="23">
        <v>1488.271</v>
      </c>
      <c r="C1911" s="23">
        <v>1126.4000000000001</v>
      </c>
    </row>
    <row r="1912" spans="1:3" x14ac:dyDescent="0.25">
      <c r="A1912">
        <v>1911</v>
      </c>
      <c r="B1912" s="23">
        <v>1488.1212250000001</v>
      </c>
      <c r="C1912" s="23">
        <v>1125.423</v>
      </c>
    </row>
    <row r="1913" spans="1:3" x14ac:dyDescent="0.25">
      <c r="A1913">
        <v>1912</v>
      </c>
      <c r="B1913" s="23">
        <v>1488</v>
      </c>
      <c r="C1913" s="23">
        <v>1124.8</v>
      </c>
    </row>
    <row r="1914" spans="1:3" x14ac:dyDescent="0.25">
      <c r="A1914">
        <v>1913</v>
      </c>
      <c r="B1914" s="23">
        <v>1488</v>
      </c>
      <c r="C1914" s="23">
        <v>1124.23</v>
      </c>
    </row>
    <row r="1915" spans="1:3" x14ac:dyDescent="0.25">
      <c r="A1915">
        <v>1914</v>
      </c>
      <c r="B1915" s="23">
        <v>1488</v>
      </c>
      <c r="C1915" s="23">
        <v>1124</v>
      </c>
    </row>
    <row r="1916" spans="1:3" x14ac:dyDescent="0.25">
      <c r="A1916">
        <v>1915</v>
      </c>
      <c r="B1916" s="23">
        <v>1487.954592</v>
      </c>
      <c r="C1916" s="23">
        <v>1123.875</v>
      </c>
    </row>
    <row r="1917" spans="1:3" x14ac:dyDescent="0.25">
      <c r="A1917">
        <v>1916</v>
      </c>
      <c r="B1917" s="23">
        <v>1487.923</v>
      </c>
      <c r="C1917" s="23">
        <v>1122.6759999999999</v>
      </c>
    </row>
    <row r="1918" spans="1:3" x14ac:dyDescent="0.25">
      <c r="A1918">
        <v>1917</v>
      </c>
      <c r="B1918" s="23">
        <v>1487.855</v>
      </c>
      <c r="C1918" s="23">
        <v>1122.404</v>
      </c>
    </row>
    <row r="1919" spans="1:3" x14ac:dyDescent="0.25">
      <c r="A1919">
        <v>1918</v>
      </c>
      <c r="B1919" s="23">
        <v>1487.836616</v>
      </c>
      <c r="C1919" s="23">
        <v>1122.4000000000001</v>
      </c>
    </row>
    <row r="1920" spans="1:3" x14ac:dyDescent="0.25">
      <c r="A1920">
        <v>1919</v>
      </c>
      <c r="B1920" s="23">
        <v>1487.7950000000001</v>
      </c>
      <c r="C1920" s="23">
        <v>1121.8989999999999</v>
      </c>
    </row>
    <row r="1921" spans="1:3" x14ac:dyDescent="0.25">
      <c r="A1921">
        <v>1920</v>
      </c>
      <c r="B1921" s="23">
        <v>1487.592095</v>
      </c>
      <c r="C1921" s="23">
        <v>1121.5999999999999</v>
      </c>
    </row>
    <row r="1922" spans="1:3" x14ac:dyDescent="0.25">
      <c r="A1922">
        <v>1921</v>
      </c>
      <c r="B1922" s="23">
        <v>1487.3860259999999</v>
      </c>
      <c r="C1922" s="23">
        <v>1121.5999999999999</v>
      </c>
    </row>
    <row r="1923" spans="1:3" x14ac:dyDescent="0.25">
      <c r="A1923">
        <v>1922</v>
      </c>
      <c r="B1923" s="23">
        <v>1487.2729999999999</v>
      </c>
      <c r="C1923" s="23">
        <v>1121.5999999999999</v>
      </c>
    </row>
    <row r="1924" spans="1:3" x14ac:dyDescent="0.25">
      <c r="A1924">
        <v>1923</v>
      </c>
      <c r="B1924" s="23">
        <v>1486.7247809999999</v>
      </c>
      <c r="C1924" s="23">
        <v>1120.963</v>
      </c>
    </row>
    <row r="1925" spans="1:3" x14ac:dyDescent="0.25">
      <c r="A1925">
        <v>1924</v>
      </c>
      <c r="B1925" s="23">
        <v>1486.4829999999999</v>
      </c>
      <c r="C1925" s="23">
        <v>1120.8</v>
      </c>
    </row>
    <row r="1926" spans="1:3" x14ac:dyDescent="0.25">
      <c r="A1926">
        <v>1925</v>
      </c>
      <c r="B1926" s="23">
        <v>1486.4190000000001</v>
      </c>
      <c r="C1926" s="23">
        <v>1120.451</v>
      </c>
    </row>
    <row r="1927" spans="1:3" x14ac:dyDescent="0.25">
      <c r="A1927">
        <v>1926</v>
      </c>
      <c r="B1927" s="23">
        <v>1486.351766</v>
      </c>
      <c r="C1927" s="23">
        <v>1120.1969999999999</v>
      </c>
    </row>
    <row r="1928" spans="1:3" x14ac:dyDescent="0.25">
      <c r="A1928">
        <v>1927</v>
      </c>
      <c r="B1928" s="23">
        <v>1486.3309999999999</v>
      </c>
      <c r="C1928" s="23">
        <v>1120</v>
      </c>
    </row>
    <row r="1929" spans="1:3" x14ac:dyDescent="0.25">
      <c r="A1929">
        <v>1928</v>
      </c>
      <c r="B1929" s="23">
        <v>1485.876</v>
      </c>
      <c r="C1929" s="23">
        <v>1120</v>
      </c>
    </row>
    <row r="1930" spans="1:3" x14ac:dyDescent="0.25">
      <c r="A1930">
        <v>1929</v>
      </c>
      <c r="B1930" s="23">
        <v>1485.7950000000001</v>
      </c>
      <c r="C1930" s="23">
        <v>1119.2</v>
      </c>
    </row>
    <row r="1931" spans="1:3" x14ac:dyDescent="0.25">
      <c r="A1931">
        <v>1930</v>
      </c>
      <c r="B1931" s="23">
        <v>1485.6</v>
      </c>
      <c r="C1931" s="23">
        <v>1118.4000000000001</v>
      </c>
    </row>
    <row r="1932" spans="1:3" x14ac:dyDescent="0.25">
      <c r="A1932">
        <v>1931</v>
      </c>
      <c r="B1932" s="23">
        <v>1485.5058019999999</v>
      </c>
      <c r="C1932" s="23">
        <v>1118.4000000000001</v>
      </c>
    </row>
    <row r="1933" spans="1:3" x14ac:dyDescent="0.25">
      <c r="A1933">
        <v>1932</v>
      </c>
      <c r="B1933" s="23">
        <v>1485.5058019999999</v>
      </c>
      <c r="C1933" s="23">
        <v>1118.0340000000001</v>
      </c>
    </row>
    <row r="1934" spans="1:3" x14ac:dyDescent="0.25">
      <c r="A1934">
        <v>1933</v>
      </c>
      <c r="B1934" s="23">
        <v>1485.364</v>
      </c>
      <c r="C1934" s="23">
        <v>1117.527</v>
      </c>
    </row>
    <row r="1935" spans="1:3" x14ac:dyDescent="0.25">
      <c r="A1935">
        <v>1934</v>
      </c>
      <c r="B1935" s="23">
        <v>1485.3420000000001</v>
      </c>
      <c r="C1935" s="23">
        <v>1116.46</v>
      </c>
    </row>
    <row r="1936" spans="1:3" x14ac:dyDescent="0.25">
      <c r="A1936">
        <v>1935</v>
      </c>
      <c r="B1936" s="23">
        <v>1484.4960000000001</v>
      </c>
      <c r="C1936" s="23">
        <v>1116.432</v>
      </c>
    </row>
    <row r="1937" spans="1:3" x14ac:dyDescent="0.25">
      <c r="A1937">
        <v>1936</v>
      </c>
      <c r="B1937" s="23">
        <v>1484.237081</v>
      </c>
      <c r="C1937" s="23">
        <v>1115.644</v>
      </c>
    </row>
    <row r="1938" spans="1:3" x14ac:dyDescent="0.25">
      <c r="A1938">
        <v>1937</v>
      </c>
      <c r="B1938" s="23">
        <v>1484.1529579999999</v>
      </c>
      <c r="C1938" s="23">
        <v>1115.4549999999999</v>
      </c>
    </row>
    <row r="1939" spans="1:3" x14ac:dyDescent="0.25">
      <c r="A1939">
        <v>1938</v>
      </c>
      <c r="B1939" s="23">
        <v>1484</v>
      </c>
      <c r="C1939" s="23">
        <v>1115.2</v>
      </c>
    </row>
    <row r="1940" spans="1:3" x14ac:dyDescent="0.25">
      <c r="A1940">
        <v>1939</v>
      </c>
      <c r="B1940" s="23">
        <v>1484</v>
      </c>
      <c r="C1940" s="23">
        <v>1115.2</v>
      </c>
    </row>
    <row r="1941" spans="1:3" x14ac:dyDescent="0.25">
      <c r="A1941">
        <v>1940</v>
      </c>
      <c r="B1941" s="23">
        <v>1483.6559999999999</v>
      </c>
      <c r="C1941" s="23">
        <v>1114.1289999999999</v>
      </c>
    </row>
    <row r="1942" spans="1:3" x14ac:dyDescent="0.25">
      <c r="A1942">
        <v>1941</v>
      </c>
      <c r="B1942" s="23">
        <v>1483.5890300000001</v>
      </c>
      <c r="C1942" s="23">
        <v>1114.0730000000001</v>
      </c>
    </row>
    <row r="1943" spans="1:3" x14ac:dyDescent="0.25">
      <c r="A1943">
        <v>1942</v>
      </c>
      <c r="B1943" s="23">
        <v>1483.2</v>
      </c>
      <c r="C1943" s="23">
        <v>1114.0730000000001</v>
      </c>
    </row>
    <row r="1944" spans="1:3" x14ac:dyDescent="0.25">
      <c r="A1944">
        <v>1943</v>
      </c>
      <c r="B1944" s="23">
        <v>1483.2</v>
      </c>
      <c r="C1944" s="23">
        <v>1114.05</v>
      </c>
    </row>
    <row r="1945" spans="1:3" x14ac:dyDescent="0.25">
      <c r="A1945">
        <v>1944</v>
      </c>
      <c r="B1945" s="23">
        <v>1483.0089909999999</v>
      </c>
      <c r="C1945" s="23">
        <v>1113.798</v>
      </c>
    </row>
    <row r="1946" spans="1:3" x14ac:dyDescent="0.25">
      <c r="A1946">
        <v>1945</v>
      </c>
      <c r="B1946" s="23">
        <v>1483.0089909999999</v>
      </c>
      <c r="C1946" s="23">
        <v>1113.577</v>
      </c>
    </row>
    <row r="1947" spans="1:3" x14ac:dyDescent="0.25">
      <c r="A1947">
        <v>1946</v>
      </c>
      <c r="B1947" s="23">
        <v>1482.886</v>
      </c>
      <c r="C1947" s="23">
        <v>1113.3520000000001</v>
      </c>
    </row>
    <row r="1948" spans="1:3" x14ac:dyDescent="0.25">
      <c r="A1948">
        <v>1947</v>
      </c>
      <c r="B1948" s="23">
        <v>1482.4</v>
      </c>
      <c r="C1948" s="23">
        <v>1113.2529999999999</v>
      </c>
    </row>
    <row r="1949" spans="1:3" x14ac:dyDescent="0.25">
      <c r="A1949">
        <v>1948</v>
      </c>
      <c r="B1949" s="23">
        <v>1482.2121030000001</v>
      </c>
      <c r="C1949" s="23">
        <v>1113.066</v>
      </c>
    </row>
    <row r="1950" spans="1:3" x14ac:dyDescent="0.25">
      <c r="A1950">
        <v>1949</v>
      </c>
      <c r="B1950" s="23">
        <v>1482.1510000000001</v>
      </c>
      <c r="C1950" s="23">
        <v>1112.9580000000001</v>
      </c>
    </row>
    <row r="1951" spans="1:3" x14ac:dyDescent="0.25">
      <c r="A1951">
        <v>1950</v>
      </c>
      <c r="B1951" s="23">
        <v>1482.091109</v>
      </c>
      <c r="C1951" s="23">
        <v>1112.8</v>
      </c>
    </row>
    <row r="1952" spans="1:3" x14ac:dyDescent="0.25">
      <c r="A1952">
        <v>1951</v>
      </c>
      <c r="B1952" s="23">
        <v>1481.7139999999999</v>
      </c>
      <c r="C1952" s="23">
        <v>1112.595</v>
      </c>
    </row>
    <row r="1953" spans="1:3" x14ac:dyDescent="0.25">
      <c r="A1953">
        <v>1952</v>
      </c>
      <c r="B1953" s="23">
        <v>1481.4690000000001</v>
      </c>
      <c r="C1953" s="23">
        <v>1112.575</v>
      </c>
    </row>
    <row r="1954" spans="1:3" x14ac:dyDescent="0.25">
      <c r="A1954">
        <v>1953</v>
      </c>
      <c r="B1954" s="23">
        <v>1481.3710000000001</v>
      </c>
      <c r="C1954" s="23">
        <v>1112.001</v>
      </c>
    </row>
    <row r="1955" spans="1:3" x14ac:dyDescent="0.25">
      <c r="A1955">
        <v>1954</v>
      </c>
      <c r="B1955" s="23">
        <v>1480.9778080000001</v>
      </c>
      <c r="C1955" s="23">
        <v>1111.31</v>
      </c>
    </row>
    <row r="1956" spans="1:3" x14ac:dyDescent="0.25">
      <c r="A1956">
        <v>1955</v>
      </c>
      <c r="B1956" s="23">
        <v>1480.833339</v>
      </c>
      <c r="C1956" s="23">
        <v>1111.2</v>
      </c>
    </row>
    <row r="1957" spans="1:3" x14ac:dyDescent="0.25">
      <c r="A1957">
        <v>1956</v>
      </c>
      <c r="B1957" s="23">
        <v>1480.8</v>
      </c>
      <c r="C1957" s="23">
        <v>1111.2</v>
      </c>
    </row>
    <row r="1958" spans="1:3" x14ac:dyDescent="0.25">
      <c r="A1958">
        <v>1957</v>
      </c>
      <c r="B1958" s="23">
        <v>1480.8</v>
      </c>
      <c r="C1958" s="23">
        <v>1111.2</v>
      </c>
    </row>
    <row r="1959" spans="1:3" x14ac:dyDescent="0.25">
      <c r="A1959">
        <v>1958</v>
      </c>
      <c r="B1959" s="23">
        <v>1480.787</v>
      </c>
      <c r="C1959" s="23">
        <v>1111.0219999999999</v>
      </c>
    </row>
    <row r="1960" spans="1:3" x14ac:dyDescent="0.25">
      <c r="A1960">
        <v>1959</v>
      </c>
      <c r="B1960" s="23">
        <v>1480.7750000000001</v>
      </c>
      <c r="C1960" s="23">
        <v>1110.6199999999999</v>
      </c>
    </row>
    <row r="1961" spans="1:3" x14ac:dyDescent="0.25">
      <c r="A1961">
        <v>1960</v>
      </c>
      <c r="B1961" s="23">
        <v>1480.701108</v>
      </c>
      <c r="C1961" s="23">
        <v>1109.5999999999999</v>
      </c>
    </row>
    <row r="1962" spans="1:3" x14ac:dyDescent="0.25">
      <c r="A1962">
        <v>1961</v>
      </c>
      <c r="B1962" s="23">
        <v>1480.6329029999999</v>
      </c>
      <c r="C1962" s="23">
        <v>1109.5999999999999</v>
      </c>
    </row>
    <row r="1963" spans="1:3" x14ac:dyDescent="0.25">
      <c r="A1963">
        <v>1962</v>
      </c>
      <c r="B1963" s="23">
        <v>1480.4755379999999</v>
      </c>
      <c r="C1963" s="23">
        <v>1109.529</v>
      </c>
    </row>
    <row r="1964" spans="1:3" x14ac:dyDescent="0.25">
      <c r="A1964">
        <v>1963</v>
      </c>
      <c r="B1964" s="23">
        <v>1480.067235</v>
      </c>
      <c r="C1964" s="23">
        <v>1109.306</v>
      </c>
    </row>
    <row r="1965" spans="1:3" x14ac:dyDescent="0.25">
      <c r="A1965">
        <v>1964</v>
      </c>
      <c r="B1965" s="23">
        <v>1479.701102</v>
      </c>
      <c r="C1965" s="23">
        <v>1109.164</v>
      </c>
    </row>
    <row r="1966" spans="1:3" x14ac:dyDescent="0.25">
      <c r="A1966">
        <v>1965</v>
      </c>
      <c r="B1966" s="23">
        <v>1479.656448</v>
      </c>
      <c r="C1966" s="23">
        <v>1108.249</v>
      </c>
    </row>
    <row r="1967" spans="1:3" x14ac:dyDescent="0.25">
      <c r="A1967">
        <v>1966</v>
      </c>
      <c r="B1967" s="23">
        <v>1479.4542730000001</v>
      </c>
      <c r="C1967" s="23">
        <v>1108</v>
      </c>
    </row>
    <row r="1968" spans="1:3" x14ac:dyDescent="0.25">
      <c r="A1968">
        <v>1967</v>
      </c>
      <c r="B1968" s="23">
        <v>1479.4059999999999</v>
      </c>
      <c r="C1968" s="23">
        <v>1108</v>
      </c>
    </row>
    <row r="1969" spans="1:3" x14ac:dyDescent="0.25">
      <c r="A1969">
        <v>1968</v>
      </c>
      <c r="B1969" s="23">
        <v>1479.27324</v>
      </c>
      <c r="C1969" s="23">
        <v>1107.2</v>
      </c>
    </row>
    <row r="1970" spans="1:3" x14ac:dyDescent="0.25">
      <c r="A1970">
        <v>1969</v>
      </c>
      <c r="B1970" s="23">
        <v>1479.2</v>
      </c>
      <c r="C1970" s="23">
        <v>1106.8779999999999</v>
      </c>
    </row>
    <row r="1971" spans="1:3" x14ac:dyDescent="0.25">
      <c r="A1971">
        <v>1970</v>
      </c>
      <c r="B1971" s="23">
        <v>1479.2</v>
      </c>
      <c r="C1971" s="23">
        <v>1106.5239999999999</v>
      </c>
    </row>
    <row r="1972" spans="1:3" x14ac:dyDescent="0.25">
      <c r="A1972">
        <v>1971</v>
      </c>
      <c r="B1972" s="23">
        <v>1479.0540000000001</v>
      </c>
      <c r="C1972" s="23">
        <v>1106.5239999999999</v>
      </c>
    </row>
    <row r="1973" spans="1:3" x14ac:dyDescent="0.25">
      <c r="A1973">
        <v>1972</v>
      </c>
      <c r="B1973" s="23">
        <v>1478.5540000000001</v>
      </c>
      <c r="C1973" s="23">
        <v>1106.4000000000001</v>
      </c>
    </row>
    <row r="1974" spans="1:3" x14ac:dyDescent="0.25">
      <c r="A1974">
        <v>1973</v>
      </c>
      <c r="B1974" s="23">
        <v>1478.4</v>
      </c>
      <c r="C1974" s="23">
        <v>1106.3489999999999</v>
      </c>
    </row>
    <row r="1975" spans="1:3" x14ac:dyDescent="0.25">
      <c r="A1975">
        <v>1974</v>
      </c>
      <c r="B1975" s="23">
        <v>1478.3889999999999</v>
      </c>
      <c r="C1975" s="23">
        <v>1105.7850000000001</v>
      </c>
    </row>
    <row r="1976" spans="1:3" x14ac:dyDescent="0.25">
      <c r="A1976">
        <v>1975</v>
      </c>
      <c r="B1976" s="23">
        <v>1478.227662</v>
      </c>
      <c r="C1976" s="23">
        <v>1105.5999999999999</v>
      </c>
    </row>
    <row r="1977" spans="1:3" x14ac:dyDescent="0.25">
      <c r="A1977">
        <v>1976</v>
      </c>
      <c r="B1977" s="23">
        <v>1478.1010000000001</v>
      </c>
      <c r="C1977" s="23">
        <v>1105.2840000000001</v>
      </c>
    </row>
    <row r="1978" spans="1:3" x14ac:dyDescent="0.25">
      <c r="A1978">
        <v>1977</v>
      </c>
      <c r="B1978" s="23">
        <v>1477.914</v>
      </c>
      <c r="C1978" s="23">
        <v>1105.0940000000001</v>
      </c>
    </row>
    <row r="1979" spans="1:3" x14ac:dyDescent="0.25">
      <c r="A1979">
        <v>1978</v>
      </c>
      <c r="B1979" s="23">
        <v>1477.846</v>
      </c>
      <c r="C1979" s="23">
        <v>1104.806</v>
      </c>
    </row>
    <row r="1980" spans="1:3" x14ac:dyDescent="0.25">
      <c r="A1980">
        <v>1979</v>
      </c>
      <c r="B1980" s="23">
        <v>1477.6</v>
      </c>
      <c r="C1980" s="23">
        <v>1104.53</v>
      </c>
    </row>
    <row r="1981" spans="1:3" x14ac:dyDescent="0.25">
      <c r="A1981">
        <v>1980</v>
      </c>
      <c r="B1981" s="23">
        <v>1477.6</v>
      </c>
      <c r="C1981" s="23">
        <v>1104.0160000000001</v>
      </c>
    </row>
    <row r="1982" spans="1:3" x14ac:dyDescent="0.25">
      <c r="A1982">
        <v>1981</v>
      </c>
      <c r="B1982" s="23">
        <v>1477.577</v>
      </c>
      <c r="C1982" s="23">
        <v>1104</v>
      </c>
    </row>
    <row r="1983" spans="1:3" x14ac:dyDescent="0.25">
      <c r="A1983">
        <v>1982</v>
      </c>
      <c r="B1983" s="23">
        <v>1476.959482</v>
      </c>
      <c r="C1983" s="23">
        <v>1103.788</v>
      </c>
    </row>
    <row r="1984" spans="1:3" x14ac:dyDescent="0.25">
      <c r="A1984">
        <v>1983</v>
      </c>
      <c r="B1984" s="23">
        <v>1476.8720000000001</v>
      </c>
      <c r="C1984" s="23">
        <v>1103.2</v>
      </c>
    </row>
    <row r="1985" spans="1:3" x14ac:dyDescent="0.25">
      <c r="A1985">
        <v>1984</v>
      </c>
      <c r="B1985" s="23">
        <v>1476.864</v>
      </c>
      <c r="C1985" s="23">
        <v>1103.2</v>
      </c>
    </row>
    <row r="1986" spans="1:3" x14ac:dyDescent="0.25">
      <c r="A1986">
        <v>1985</v>
      </c>
      <c r="B1986" s="23">
        <v>1476.806</v>
      </c>
      <c r="C1986" s="23">
        <v>1102.6289999999999</v>
      </c>
    </row>
    <row r="1987" spans="1:3" x14ac:dyDescent="0.25">
      <c r="A1987">
        <v>1986</v>
      </c>
      <c r="B1987" s="23">
        <v>1476.6338860000001</v>
      </c>
      <c r="C1987" s="23">
        <v>1102.5440000000001</v>
      </c>
    </row>
    <row r="1988" spans="1:3" x14ac:dyDescent="0.25">
      <c r="A1988">
        <v>1987</v>
      </c>
      <c r="B1988" s="23">
        <v>1476.616</v>
      </c>
      <c r="C1988" s="23">
        <v>1102.4749999999999</v>
      </c>
    </row>
    <row r="1989" spans="1:3" x14ac:dyDescent="0.25">
      <c r="A1989">
        <v>1988</v>
      </c>
      <c r="B1989" s="23">
        <v>1476.182953</v>
      </c>
      <c r="C1989" s="23">
        <v>1102.4000000000001</v>
      </c>
    </row>
    <row r="1990" spans="1:3" x14ac:dyDescent="0.25">
      <c r="A1990">
        <v>1989</v>
      </c>
      <c r="B1990" s="23">
        <v>1476</v>
      </c>
      <c r="C1990" s="23">
        <v>1102.4000000000001</v>
      </c>
    </row>
    <row r="1991" spans="1:3" x14ac:dyDescent="0.25">
      <c r="A1991">
        <v>1990</v>
      </c>
      <c r="B1991" s="23">
        <v>1476</v>
      </c>
      <c r="C1991" s="23">
        <v>1101.6410000000001</v>
      </c>
    </row>
    <row r="1992" spans="1:3" x14ac:dyDescent="0.25">
      <c r="A1992">
        <v>1991</v>
      </c>
      <c r="B1992" s="23">
        <v>1475.7070000000001</v>
      </c>
      <c r="C1992" s="23">
        <v>1101.5999999999999</v>
      </c>
    </row>
    <row r="1993" spans="1:3" x14ac:dyDescent="0.25">
      <c r="A1993">
        <v>1992</v>
      </c>
      <c r="B1993" s="23">
        <v>1475.608888</v>
      </c>
      <c r="C1993" s="23">
        <v>1100.8</v>
      </c>
    </row>
    <row r="1994" spans="1:3" x14ac:dyDescent="0.25">
      <c r="A1994">
        <v>1993</v>
      </c>
      <c r="B1994" s="23">
        <v>1475.405606</v>
      </c>
      <c r="C1994" s="23">
        <v>1100.259</v>
      </c>
    </row>
    <row r="1995" spans="1:3" x14ac:dyDescent="0.25">
      <c r="A1995">
        <v>1994</v>
      </c>
      <c r="B1995" s="23">
        <v>1475.2</v>
      </c>
      <c r="C1995" s="23">
        <v>1100.152</v>
      </c>
    </row>
    <row r="1996" spans="1:3" x14ac:dyDescent="0.25">
      <c r="A1996">
        <v>1995</v>
      </c>
      <c r="B1996" s="23">
        <v>1475.2</v>
      </c>
      <c r="C1996" s="23">
        <v>1100</v>
      </c>
    </row>
    <row r="1997" spans="1:3" x14ac:dyDescent="0.25">
      <c r="A1997">
        <v>1996</v>
      </c>
      <c r="B1997" s="23">
        <v>1475.2</v>
      </c>
      <c r="C1997" s="23">
        <v>1099.6020000000001</v>
      </c>
    </row>
    <row r="1998" spans="1:3" x14ac:dyDescent="0.25">
      <c r="A1998">
        <v>1997</v>
      </c>
      <c r="B1998" s="23">
        <v>1475.0420810000001</v>
      </c>
      <c r="C1998" s="23">
        <v>1098.9090000000001</v>
      </c>
    </row>
    <row r="1999" spans="1:3" x14ac:dyDescent="0.25">
      <c r="A1999">
        <v>1998</v>
      </c>
      <c r="B1999" s="23">
        <v>1475.040109</v>
      </c>
      <c r="C1999" s="23">
        <v>1098.8779999999999</v>
      </c>
    </row>
    <row r="2000" spans="1:3" x14ac:dyDescent="0.25">
      <c r="A2000">
        <v>1999</v>
      </c>
      <c r="B2000" s="23">
        <v>1474.9059999999999</v>
      </c>
      <c r="C2000" s="23">
        <v>1097.396</v>
      </c>
    </row>
    <row r="2001" spans="1:3" x14ac:dyDescent="0.25">
      <c r="A2001">
        <v>2000</v>
      </c>
      <c r="B2001" s="23">
        <v>1474.877</v>
      </c>
      <c r="C2001" s="23">
        <v>1096.71</v>
      </c>
    </row>
    <row r="2002" spans="1:3" x14ac:dyDescent="0.25">
      <c r="A2002">
        <v>2001</v>
      </c>
      <c r="B2002" s="23">
        <v>1474.5840000000001</v>
      </c>
      <c r="C2002" s="23">
        <v>1096.6279999999999</v>
      </c>
    </row>
    <row r="2003" spans="1:3" x14ac:dyDescent="0.25">
      <c r="A2003">
        <v>2002</v>
      </c>
      <c r="B2003" s="23">
        <v>1474.4</v>
      </c>
      <c r="C2003" s="23">
        <v>1096.569</v>
      </c>
    </row>
    <row r="2004" spans="1:3" x14ac:dyDescent="0.25">
      <c r="A2004">
        <v>2003</v>
      </c>
      <c r="B2004" s="23">
        <v>1474.1469999999999</v>
      </c>
      <c r="C2004" s="23">
        <v>1096.431</v>
      </c>
    </row>
    <row r="2005" spans="1:3" x14ac:dyDescent="0.25">
      <c r="A2005">
        <v>2004</v>
      </c>
      <c r="B2005" s="23">
        <v>1473.941077</v>
      </c>
      <c r="C2005" s="23">
        <v>1096.26</v>
      </c>
    </row>
    <row r="2006" spans="1:3" x14ac:dyDescent="0.25">
      <c r="A2006">
        <v>2005</v>
      </c>
      <c r="B2006" s="23">
        <v>1473.8869999999999</v>
      </c>
      <c r="C2006" s="23">
        <v>1096.201</v>
      </c>
    </row>
    <row r="2007" spans="1:3" x14ac:dyDescent="0.25">
      <c r="A2007">
        <v>2006</v>
      </c>
      <c r="B2007" s="23">
        <v>1473.834069</v>
      </c>
      <c r="C2007" s="23">
        <v>1094.518</v>
      </c>
    </row>
    <row r="2008" spans="1:3" x14ac:dyDescent="0.25">
      <c r="A2008">
        <v>2007</v>
      </c>
      <c r="B2008" s="23">
        <v>1473.5875699999999</v>
      </c>
      <c r="C2008" s="23">
        <v>1093.5999999999999</v>
      </c>
    </row>
    <row r="2009" spans="1:3" x14ac:dyDescent="0.25">
      <c r="A2009">
        <v>2008</v>
      </c>
      <c r="B2009" s="23">
        <v>1473.30593</v>
      </c>
      <c r="C2009" s="23">
        <v>1093.3530000000001</v>
      </c>
    </row>
    <row r="2010" spans="1:3" x14ac:dyDescent="0.25">
      <c r="A2010">
        <v>2009</v>
      </c>
      <c r="B2010" s="23">
        <v>1473.0830000000001</v>
      </c>
      <c r="C2010" s="23">
        <v>1093.261</v>
      </c>
    </row>
    <row r="2011" spans="1:3" x14ac:dyDescent="0.25">
      <c r="A2011">
        <v>2010</v>
      </c>
      <c r="B2011" s="23">
        <v>1472.911634</v>
      </c>
      <c r="C2011" s="23">
        <v>1092.8</v>
      </c>
    </row>
    <row r="2012" spans="1:3" x14ac:dyDescent="0.25">
      <c r="A2012">
        <v>2011</v>
      </c>
      <c r="B2012" s="23">
        <v>1472.893</v>
      </c>
      <c r="C2012" s="23">
        <v>1092</v>
      </c>
    </row>
    <row r="2013" spans="1:3" x14ac:dyDescent="0.25">
      <c r="A2013">
        <v>2012</v>
      </c>
      <c r="B2013" s="23">
        <v>1472.8</v>
      </c>
      <c r="C2013" s="23">
        <v>1091.598</v>
      </c>
    </row>
    <row r="2014" spans="1:3" x14ac:dyDescent="0.25">
      <c r="A2014">
        <v>2013</v>
      </c>
      <c r="B2014" s="23">
        <v>1472.8</v>
      </c>
      <c r="C2014" s="23">
        <v>1090.5899999999999</v>
      </c>
    </row>
    <row r="2015" spans="1:3" x14ac:dyDescent="0.25">
      <c r="A2015">
        <v>2014</v>
      </c>
      <c r="B2015" s="23">
        <v>1472.6790000000001</v>
      </c>
      <c r="C2015" s="23">
        <v>1090.5899999999999</v>
      </c>
    </row>
    <row r="2016" spans="1:3" x14ac:dyDescent="0.25">
      <c r="A2016">
        <v>2015</v>
      </c>
      <c r="B2016" s="23">
        <v>1472.454</v>
      </c>
      <c r="C2016" s="23">
        <v>1090.4000000000001</v>
      </c>
    </row>
    <row r="2017" spans="1:3" x14ac:dyDescent="0.25">
      <c r="A2017">
        <v>2016</v>
      </c>
      <c r="B2017" s="23">
        <v>1472.4090000000001</v>
      </c>
      <c r="C2017" s="23">
        <v>1090.3430000000001</v>
      </c>
    </row>
    <row r="2018" spans="1:3" x14ac:dyDescent="0.25">
      <c r="A2018">
        <v>2017</v>
      </c>
      <c r="B2018" s="23">
        <v>1472</v>
      </c>
      <c r="C2018" s="23">
        <v>1089.364</v>
      </c>
    </row>
    <row r="2019" spans="1:3" x14ac:dyDescent="0.25">
      <c r="A2019">
        <v>2018</v>
      </c>
      <c r="B2019" s="23">
        <v>1472</v>
      </c>
      <c r="C2019" s="23">
        <v>1089.3520000000001</v>
      </c>
    </row>
    <row r="2020" spans="1:3" x14ac:dyDescent="0.25">
      <c r="A2020">
        <v>2019</v>
      </c>
      <c r="B2020" s="23">
        <v>1472</v>
      </c>
      <c r="C2020" s="23">
        <v>1089.2670000000001</v>
      </c>
    </row>
    <row r="2021" spans="1:3" x14ac:dyDescent="0.25">
      <c r="A2021">
        <v>2020</v>
      </c>
      <c r="B2021" s="23">
        <v>1472</v>
      </c>
      <c r="C2021" s="23">
        <v>1088.8</v>
      </c>
    </row>
    <row r="2022" spans="1:3" x14ac:dyDescent="0.25">
      <c r="A2022">
        <v>2021</v>
      </c>
      <c r="B2022" s="23">
        <v>1471.9557950000001</v>
      </c>
      <c r="C2022" s="23">
        <v>1088.8</v>
      </c>
    </row>
    <row r="2023" spans="1:3" x14ac:dyDescent="0.25">
      <c r="A2023">
        <v>2022</v>
      </c>
      <c r="B2023" s="23">
        <v>1471.92</v>
      </c>
      <c r="C2023" s="23">
        <v>1088.8</v>
      </c>
    </row>
    <row r="2024" spans="1:3" x14ac:dyDescent="0.25">
      <c r="A2024">
        <v>2023</v>
      </c>
      <c r="B2024" s="23">
        <v>1471.905248</v>
      </c>
      <c r="C2024" s="23">
        <v>1088.8</v>
      </c>
    </row>
    <row r="2025" spans="1:3" x14ac:dyDescent="0.25">
      <c r="A2025">
        <v>2024</v>
      </c>
      <c r="B2025" s="23">
        <v>1471.852556</v>
      </c>
      <c r="C2025" s="23">
        <v>1088.644</v>
      </c>
    </row>
    <row r="2026" spans="1:3" x14ac:dyDescent="0.25">
      <c r="A2026">
        <v>2025</v>
      </c>
      <c r="B2026" s="23">
        <v>1471.8474040000001</v>
      </c>
      <c r="C2026" s="23">
        <v>1088.57</v>
      </c>
    </row>
    <row r="2027" spans="1:3" x14ac:dyDescent="0.25">
      <c r="A2027">
        <v>2026</v>
      </c>
      <c r="B2027" s="23">
        <v>1471.8330000000001</v>
      </c>
      <c r="C2027" s="23">
        <v>1088</v>
      </c>
    </row>
    <row r="2028" spans="1:3" x14ac:dyDescent="0.25">
      <c r="A2028">
        <v>2027</v>
      </c>
      <c r="B2028" s="23">
        <v>1471.768</v>
      </c>
      <c r="C2028" s="23">
        <v>1088</v>
      </c>
    </row>
    <row r="2029" spans="1:3" x14ac:dyDescent="0.25">
      <c r="A2029">
        <v>2028</v>
      </c>
      <c r="B2029" s="23">
        <v>1471.2</v>
      </c>
      <c r="C2029" s="23">
        <v>1087.8340000000001</v>
      </c>
    </row>
    <row r="2030" spans="1:3" x14ac:dyDescent="0.25">
      <c r="A2030">
        <v>2029</v>
      </c>
      <c r="B2030" s="23">
        <v>1471.2</v>
      </c>
      <c r="C2030" s="23">
        <v>1087.827</v>
      </c>
    </row>
    <row r="2031" spans="1:3" x14ac:dyDescent="0.25">
      <c r="A2031">
        <v>2030</v>
      </c>
      <c r="B2031" s="23">
        <v>1471.040013</v>
      </c>
      <c r="C2031" s="23">
        <v>1087.2</v>
      </c>
    </row>
    <row r="2032" spans="1:3" x14ac:dyDescent="0.25">
      <c r="A2032">
        <v>2031</v>
      </c>
      <c r="B2032" s="23">
        <v>1470.6379999999999</v>
      </c>
      <c r="C2032" s="23">
        <v>1086.9639999999999</v>
      </c>
    </row>
    <row r="2033" spans="1:3" x14ac:dyDescent="0.25">
      <c r="A2033">
        <v>2032</v>
      </c>
      <c r="B2033" s="23">
        <v>1470.4</v>
      </c>
      <c r="C2033" s="23">
        <v>1086.4000000000001</v>
      </c>
    </row>
    <row r="2034" spans="1:3" x14ac:dyDescent="0.25">
      <c r="A2034">
        <v>2033</v>
      </c>
      <c r="B2034" s="23">
        <v>1470.4</v>
      </c>
      <c r="C2034" s="23">
        <v>1085.895</v>
      </c>
    </row>
    <row r="2035" spans="1:3" x14ac:dyDescent="0.25">
      <c r="A2035">
        <v>2034</v>
      </c>
      <c r="B2035" s="23">
        <v>1470.4</v>
      </c>
      <c r="C2035" s="23">
        <v>1085.7550000000001</v>
      </c>
    </row>
    <row r="2036" spans="1:3" x14ac:dyDescent="0.25">
      <c r="A2036">
        <v>2035</v>
      </c>
      <c r="B2036" s="23">
        <v>1470.4</v>
      </c>
      <c r="C2036" s="23">
        <v>1084.8</v>
      </c>
    </row>
    <row r="2037" spans="1:3" x14ac:dyDescent="0.25">
      <c r="A2037">
        <v>2036</v>
      </c>
      <c r="B2037" s="23">
        <v>1470.4</v>
      </c>
      <c r="C2037" s="23">
        <v>1084.473</v>
      </c>
    </row>
    <row r="2038" spans="1:3" x14ac:dyDescent="0.25">
      <c r="A2038">
        <v>2037</v>
      </c>
      <c r="B2038" s="23">
        <v>1470.3044930000001</v>
      </c>
      <c r="C2038" s="23">
        <v>1083.414</v>
      </c>
    </row>
    <row r="2039" spans="1:3" x14ac:dyDescent="0.25">
      <c r="A2039">
        <v>2038</v>
      </c>
      <c r="B2039" s="23">
        <v>1470.1489999999999</v>
      </c>
      <c r="C2039" s="23">
        <v>1083.2</v>
      </c>
    </row>
    <row r="2040" spans="1:3" x14ac:dyDescent="0.25">
      <c r="A2040">
        <v>2039</v>
      </c>
      <c r="B2040" s="23">
        <v>1470.106</v>
      </c>
      <c r="C2040" s="23">
        <v>1082.992</v>
      </c>
    </row>
    <row r="2041" spans="1:3" x14ac:dyDescent="0.25">
      <c r="A2041">
        <v>2040</v>
      </c>
      <c r="B2041" s="23">
        <v>1469.7753520000001</v>
      </c>
      <c r="C2041" s="23">
        <v>1082.7809999999999</v>
      </c>
    </row>
    <row r="2042" spans="1:3" x14ac:dyDescent="0.25">
      <c r="A2042">
        <v>2041</v>
      </c>
      <c r="B2042" s="23">
        <v>1469.7753520000001</v>
      </c>
      <c r="C2042" s="23">
        <v>1082.4000000000001</v>
      </c>
    </row>
    <row r="2043" spans="1:3" x14ac:dyDescent="0.25">
      <c r="A2043">
        <v>2042</v>
      </c>
      <c r="B2043" s="23">
        <v>1469.6</v>
      </c>
      <c r="C2043" s="23">
        <v>1082.4000000000001</v>
      </c>
    </row>
    <row r="2044" spans="1:3" x14ac:dyDescent="0.25">
      <c r="A2044">
        <v>2043</v>
      </c>
      <c r="B2044" s="23">
        <v>1469.6</v>
      </c>
      <c r="C2044" s="23">
        <v>1081.95</v>
      </c>
    </row>
    <row r="2045" spans="1:3" x14ac:dyDescent="0.25">
      <c r="A2045">
        <v>2044</v>
      </c>
      <c r="B2045" s="23">
        <v>1469.461892</v>
      </c>
      <c r="C2045" s="23">
        <v>1081.3030000000001</v>
      </c>
    </row>
    <row r="2046" spans="1:3" x14ac:dyDescent="0.25">
      <c r="A2046">
        <v>2045</v>
      </c>
      <c r="B2046" s="23">
        <v>1469.461892</v>
      </c>
      <c r="C2046" s="23">
        <v>1081.171</v>
      </c>
    </row>
    <row r="2047" spans="1:3" x14ac:dyDescent="0.25">
      <c r="A2047">
        <v>2046</v>
      </c>
      <c r="B2047" s="23">
        <v>1469.4209490000001</v>
      </c>
      <c r="C2047" s="23">
        <v>1080.9059999999999</v>
      </c>
    </row>
    <row r="2048" spans="1:3" x14ac:dyDescent="0.25">
      <c r="A2048">
        <v>2047</v>
      </c>
      <c r="B2048" s="23">
        <v>1469.3409999999999</v>
      </c>
      <c r="C2048" s="23">
        <v>1080.8</v>
      </c>
    </row>
    <row r="2049" spans="1:3" x14ac:dyDescent="0.25">
      <c r="A2049">
        <v>2048</v>
      </c>
      <c r="B2049" s="23">
        <v>1469.1901</v>
      </c>
      <c r="C2049" s="23">
        <v>1080.8</v>
      </c>
    </row>
    <row r="2050" spans="1:3" x14ac:dyDescent="0.25">
      <c r="A2050">
        <v>2049</v>
      </c>
      <c r="B2050" s="23">
        <v>1468.833453</v>
      </c>
      <c r="C2050" s="23">
        <v>1080.6379999999999</v>
      </c>
    </row>
    <row r="2051" spans="1:3" x14ac:dyDescent="0.25">
      <c r="A2051">
        <v>2050</v>
      </c>
      <c r="B2051" s="23">
        <v>1468.8</v>
      </c>
      <c r="C2051" s="23">
        <v>1080.58</v>
      </c>
    </row>
    <row r="2052" spans="1:3" x14ac:dyDescent="0.25">
      <c r="A2052">
        <v>2051</v>
      </c>
      <c r="B2052" s="23">
        <v>1468.701</v>
      </c>
      <c r="C2052" s="23">
        <v>1080</v>
      </c>
    </row>
    <row r="2053" spans="1:3" x14ac:dyDescent="0.25">
      <c r="A2053">
        <v>2052</v>
      </c>
      <c r="B2053" s="23">
        <v>1468.2570000000001</v>
      </c>
      <c r="C2053" s="23">
        <v>1079.2</v>
      </c>
    </row>
    <row r="2054" spans="1:3" x14ac:dyDescent="0.25">
      <c r="A2054">
        <v>2053</v>
      </c>
      <c r="B2054" s="23">
        <v>1468.1539990000001</v>
      </c>
      <c r="C2054" s="23">
        <v>1078.9870000000001</v>
      </c>
    </row>
    <row r="2055" spans="1:3" x14ac:dyDescent="0.25">
      <c r="A2055">
        <v>2054</v>
      </c>
      <c r="B2055" s="23">
        <v>1468.1130000000001</v>
      </c>
      <c r="C2055" s="23">
        <v>1078.9749999999999</v>
      </c>
    </row>
    <row r="2056" spans="1:3" x14ac:dyDescent="0.25">
      <c r="A2056">
        <v>2055</v>
      </c>
      <c r="B2056" s="23">
        <v>1468.004655</v>
      </c>
      <c r="C2056" s="23">
        <v>1078.4000000000001</v>
      </c>
    </row>
    <row r="2057" spans="1:3" x14ac:dyDescent="0.25">
      <c r="A2057">
        <v>2056</v>
      </c>
      <c r="B2057" s="23">
        <v>1468</v>
      </c>
      <c r="C2057" s="23">
        <v>1078.2719999999999</v>
      </c>
    </row>
    <row r="2058" spans="1:3" x14ac:dyDescent="0.25">
      <c r="A2058">
        <v>2057</v>
      </c>
      <c r="B2058" s="23">
        <v>1467.423573</v>
      </c>
      <c r="C2058" s="23">
        <v>1077.9000000000001</v>
      </c>
    </row>
    <row r="2059" spans="1:3" x14ac:dyDescent="0.25">
      <c r="A2059">
        <v>2058</v>
      </c>
      <c r="B2059" s="23">
        <v>1467.39</v>
      </c>
      <c r="C2059" s="23">
        <v>1077.5999999999999</v>
      </c>
    </row>
    <row r="2060" spans="1:3" x14ac:dyDescent="0.25">
      <c r="A2060">
        <v>2059</v>
      </c>
      <c r="B2060" s="23">
        <v>1467.239</v>
      </c>
      <c r="C2060" s="23">
        <v>1077.5999999999999</v>
      </c>
    </row>
    <row r="2061" spans="1:3" x14ac:dyDescent="0.25">
      <c r="A2061">
        <v>2060</v>
      </c>
      <c r="B2061" s="23">
        <v>1467.2</v>
      </c>
      <c r="C2061" s="23">
        <v>1077.537</v>
      </c>
    </row>
    <row r="2062" spans="1:3" x14ac:dyDescent="0.25">
      <c r="A2062">
        <v>2061</v>
      </c>
      <c r="B2062" s="23">
        <v>1467.0712269999999</v>
      </c>
      <c r="C2062" s="23">
        <v>1077.4670000000001</v>
      </c>
    </row>
    <row r="2063" spans="1:3" x14ac:dyDescent="0.25">
      <c r="A2063">
        <v>2062</v>
      </c>
      <c r="B2063" s="23">
        <v>1466.806</v>
      </c>
      <c r="C2063" s="23">
        <v>1077.3979999999999</v>
      </c>
    </row>
    <row r="2064" spans="1:3" x14ac:dyDescent="0.25">
      <c r="A2064">
        <v>2063</v>
      </c>
      <c r="B2064" s="23">
        <v>1466.4</v>
      </c>
      <c r="C2064" s="23">
        <v>1076.086</v>
      </c>
    </row>
    <row r="2065" spans="1:3" x14ac:dyDescent="0.25">
      <c r="A2065">
        <v>2064</v>
      </c>
      <c r="B2065" s="23">
        <v>1466.4</v>
      </c>
      <c r="C2065" s="23">
        <v>1076.086</v>
      </c>
    </row>
    <row r="2066" spans="1:3" x14ac:dyDescent="0.25">
      <c r="A2066">
        <v>2065</v>
      </c>
      <c r="B2066" s="23">
        <v>1466.4</v>
      </c>
      <c r="C2066" s="23">
        <v>1076.086</v>
      </c>
    </row>
    <row r="2067" spans="1:3" x14ac:dyDescent="0.25">
      <c r="A2067">
        <v>2066</v>
      </c>
      <c r="B2067" s="23">
        <v>1466.4</v>
      </c>
      <c r="C2067" s="23">
        <v>1076.059</v>
      </c>
    </row>
    <row r="2068" spans="1:3" x14ac:dyDescent="0.25">
      <c r="A2068">
        <v>2067</v>
      </c>
      <c r="B2068" s="23">
        <v>1466.368995</v>
      </c>
      <c r="C2068" s="23">
        <v>1076</v>
      </c>
    </row>
    <row r="2069" spans="1:3" x14ac:dyDescent="0.25">
      <c r="A2069">
        <v>2068</v>
      </c>
      <c r="B2069" s="23">
        <v>1466.2743390000001</v>
      </c>
      <c r="C2069" s="23">
        <v>1076</v>
      </c>
    </row>
    <row r="2070" spans="1:3" x14ac:dyDescent="0.25">
      <c r="A2070">
        <v>2069</v>
      </c>
      <c r="B2070" s="23">
        <v>1466.1103559999999</v>
      </c>
      <c r="C2070" s="23">
        <v>1075.33</v>
      </c>
    </row>
    <row r="2071" spans="1:3" x14ac:dyDescent="0.25">
      <c r="A2071">
        <v>2070</v>
      </c>
      <c r="B2071" s="23">
        <v>1466.082347</v>
      </c>
      <c r="C2071" s="23">
        <v>1075.33</v>
      </c>
    </row>
    <row r="2072" spans="1:3" x14ac:dyDescent="0.25">
      <c r="A2072">
        <v>2071</v>
      </c>
      <c r="B2072" s="23">
        <v>1465.9979040000001</v>
      </c>
      <c r="C2072" s="23">
        <v>1075.2</v>
      </c>
    </row>
    <row r="2073" spans="1:3" x14ac:dyDescent="0.25">
      <c r="A2073">
        <v>2072</v>
      </c>
      <c r="B2073" s="23">
        <v>1465.8320000000001</v>
      </c>
      <c r="C2073" s="23">
        <v>1075.2</v>
      </c>
    </row>
    <row r="2074" spans="1:3" x14ac:dyDescent="0.25">
      <c r="A2074">
        <v>2073</v>
      </c>
      <c r="B2074" s="23">
        <v>1465.729</v>
      </c>
      <c r="C2074" s="23">
        <v>1074.595</v>
      </c>
    </row>
    <row r="2075" spans="1:3" x14ac:dyDescent="0.25">
      <c r="A2075">
        <v>2074</v>
      </c>
      <c r="B2075" s="23">
        <v>1465.6695990000001</v>
      </c>
      <c r="C2075" s="23">
        <v>1074.4000000000001</v>
      </c>
    </row>
    <row r="2076" spans="1:3" x14ac:dyDescent="0.25">
      <c r="A2076">
        <v>2075</v>
      </c>
      <c r="B2076" s="23">
        <v>1465.6</v>
      </c>
      <c r="C2076" s="23">
        <v>1073.5999999999999</v>
      </c>
    </row>
    <row r="2077" spans="1:3" x14ac:dyDescent="0.25">
      <c r="A2077">
        <v>2076</v>
      </c>
      <c r="B2077" s="23">
        <v>1465.6</v>
      </c>
      <c r="C2077" s="23">
        <v>1073.5999999999999</v>
      </c>
    </row>
    <row r="2078" spans="1:3" x14ac:dyDescent="0.25">
      <c r="A2078">
        <v>2077</v>
      </c>
      <c r="B2078" s="23">
        <v>1465.4774500000001</v>
      </c>
      <c r="C2078" s="23">
        <v>1073.4079999999999</v>
      </c>
    </row>
    <row r="2079" spans="1:3" x14ac:dyDescent="0.25">
      <c r="A2079">
        <v>2078</v>
      </c>
      <c r="B2079" s="23">
        <v>1465.4480000000001</v>
      </c>
      <c r="C2079" s="23">
        <v>1073.3230000000001</v>
      </c>
    </row>
    <row r="2080" spans="1:3" x14ac:dyDescent="0.25">
      <c r="A2080">
        <v>2079</v>
      </c>
      <c r="B2080" s="23">
        <v>1464.8</v>
      </c>
      <c r="C2080" s="23">
        <v>1072.8</v>
      </c>
    </row>
    <row r="2081" spans="1:3" x14ac:dyDescent="0.25">
      <c r="A2081">
        <v>2080</v>
      </c>
      <c r="B2081" s="23">
        <v>1464.7333349999999</v>
      </c>
      <c r="C2081" s="23">
        <v>1072.8</v>
      </c>
    </row>
    <row r="2082" spans="1:3" x14ac:dyDescent="0.25">
      <c r="A2082">
        <v>2081</v>
      </c>
      <c r="B2082" s="23">
        <v>1464.6869999999999</v>
      </c>
      <c r="C2082" s="23">
        <v>1072</v>
      </c>
    </row>
    <row r="2083" spans="1:3" x14ac:dyDescent="0.25">
      <c r="A2083">
        <v>2082</v>
      </c>
      <c r="B2083" s="23">
        <v>1464.5284710000001</v>
      </c>
      <c r="C2083" s="23">
        <v>1072</v>
      </c>
    </row>
    <row r="2084" spans="1:3" x14ac:dyDescent="0.25">
      <c r="A2084">
        <v>2083</v>
      </c>
      <c r="B2084" s="23">
        <v>1464.5284710000001</v>
      </c>
      <c r="C2084" s="23">
        <v>1071.8150000000001</v>
      </c>
    </row>
    <row r="2085" spans="1:3" x14ac:dyDescent="0.25">
      <c r="A2085">
        <v>2084</v>
      </c>
      <c r="B2085" s="23">
        <v>1464.0060000000001</v>
      </c>
      <c r="C2085" s="23">
        <v>1071.653</v>
      </c>
    </row>
    <row r="2086" spans="1:3" x14ac:dyDescent="0.25">
      <c r="A2086">
        <v>2085</v>
      </c>
      <c r="B2086" s="23">
        <v>1464</v>
      </c>
      <c r="C2086" s="23">
        <v>1071.5350000000001</v>
      </c>
    </row>
    <row r="2087" spans="1:3" x14ac:dyDescent="0.25">
      <c r="A2087">
        <v>2086</v>
      </c>
      <c r="B2087" s="23">
        <v>1464</v>
      </c>
      <c r="C2087" s="23">
        <v>1071.357</v>
      </c>
    </row>
    <row r="2088" spans="1:3" x14ac:dyDescent="0.25">
      <c r="A2088">
        <v>2087</v>
      </c>
      <c r="B2088" s="23">
        <v>1463.944084</v>
      </c>
      <c r="C2088" s="23">
        <v>1071.251</v>
      </c>
    </row>
    <row r="2089" spans="1:3" x14ac:dyDescent="0.25">
      <c r="A2089">
        <v>2088</v>
      </c>
      <c r="B2089" s="23">
        <v>1463.8836739999999</v>
      </c>
      <c r="C2089" s="23">
        <v>1070.1510000000001</v>
      </c>
    </row>
    <row r="2090" spans="1:3" x14ac:dyDescent="0.25">
      <c r="A2090">
        <v>2089</v>
      </c>
      <c r="B2090" s="23">
        <v>1463.7515330000001</v>
      </c>
      <c r="C2090" s="23">
        <v>1069.5999999999999</v>
      </c>
    </row>
    <row r="2091" spans="1:3" x14ac:dyDescent="0.25">
      <c r="A2091">
        <v>2090</v>
      </c>
      <c r="B2091" s="23">
        <v>1463.7020030000001</v>
      </c>
      <c r="C2091" s="23">
        <v>1069.4459999999999</v>
      </c>
    </row>
    <row r="2092" spans="1:3" x14ac:dyDescent="0.25">
      <c r="A2092">
        <v>2091</v>
      </c>
      <c r="B2092" s="23">
        <v>1463.6590000000001</v>
      </c>
      <c r="C2092" s="23">
        <v>1069.424</v>
      </c>
    </row>
    <row r="2093" spans="1:3" x14ac:dyDescent="0.25">
      <c r="A2093">
        <v>2092</v>
      </c>
      <c r="B2093" s="23">
        <v>1463.2</v>
      </c>
      <c r="C2093" s="23">
        <v>1068.711</v>
      </c>
    </row>
    <row r="2094" spans="1:3" x14ac:dyDescent="0.25">
      <c r="A2094">
        <v>2093</v>
      </c>
      <c r="B2094" s="23">
        <v>1463.2</v>
      </c>
      <c r="C2094" s="23">
        <v>1068.2739999999999</v>
      </c>
    </row>
    <row r="2095" spans="1:3" x14ac:dyDescent="0.25">
      <c r="A2095">
        <v>2094</v>
      </c>
      <c r="B2095" s="23">
        <v>1463.2</v>
      </c>
      <c r="C2095" s="23">
        <v>1068.086</v>
      </c>
    </row>
    <row r="2096" spans="1:3" x14ac:dyDescent="0.25">
      <c r="A2096">
        <v>2095</v>
      </c>
      <c r="B2096" s="23">
        <v>1463.1949999999999</v>
      </c>
      <c r="C2096" s="23">
        <v>1067.681</v>
      </c>
    </row>
    <row r="2097" spans="1:3" x14ac:dyDescent="0.25">
      <c r="A2097">
        <v>2096</v>
      </c>
      <c r="B2097" s="23">
        <v>1462.838045</v>
      </c>
      <c r="C2097" s="23">
        <v>1067.5429999999999</v>
      </c>
    </row>
    <row r="2098" spans="1:3" x14ac:dyDescent="0.25">
      <c r="A2098">
        <v>2097</v>
      </c>
      <c r="B2098" s="23">
        <v>1462.819</v>
      </c>
      <c r="C2098" s="23">
        <v>1067.338</v>
      </c>
    </row>
    <row r="2099" spans="1:3" x14ac:dyDescent="0.25">
      <c r="A2099">
        <v>2098</v>
      </c>
      <c r="B2099" s="23">
        <v>1462.402458</v>
      </c>
      <c r="C2099" s="23">
        <v>1067.24</v>
      </c>
    </row>
    <row r="2100" spans="1:3" x14ac:dyDescent="0.25">
      <c r="A2100">
        <v>2099</v>
      </c>
      <c r="B2100" s="23">
        <v>1462.4</v>
      </c>
      <c r="C2100" s="23">
        <v>1067.2</v>
      </c>
    </row>
    <row r="2101" spans="1:3" x14ac:dyDescent="0.25">
      <c r="A2101">
        <v>2100</v>
      </c>
      <c r="B2101" s="23">
        <v>1462.36</v>
      </c>
      <c r="C2101" s="23">
        <v>1066.0630000000001</v>
      </c>
    </row>
    <row r="2102" spans="1:3" x14ac:dyDescent="0.25">
      <c r="A2102">
        <v>2101</v>
      </c>
      <c r="B2102" s="23">
        <v>1462.0709999999999</v>
      </c>
      <c r="C2102" s="23">
        <v>1065.2149999999999</v>
      </c>
    </row>
    <row r="2103" spans="1:3" x14ac:dyDescent="0.25">
      <c r="A2103">
        <v>2102</v>
      </c>
      <c r="B2103" s="23">
        <v>1461.828</v>
      </c>
      <c r="C2103" s="23">
        <v>1065.192</v>
      </c>
    </row>
    <row r="2104" spans="1:3" x14ac:dyDescent="0.25">
      <c r="A2104">
        <v>2103</v>
      </c>
      <c r="B2104" s="23">
        <v>1461.6</v>
      </c>
      <c r="C2104" s="23">
        <v>1064.8</v>
      </c>
    </row>
    <row r="2105" spans="1:3" x14ac:dyDescent="0.25">
      <c r="A2105">
        <v>2104</v>
      </c>
      <c r="B2105" s="23">
        <v>1461.6</v>
      </c>
      <c r="C2105" s="23">
        <v>1063.798</v>
      </c>
    </row>
    <row r="2106" spans="1:3" x14ac:dyDescent="0.25">
      <c r="A2106">
        <v>2105</v>
      </c>
      <c r="B2106" s="23">
        <v>1461.4938830000001</v>
      </c>
      <c r="C2106" s="23">
        <v>1063.7370000000001</v>
      </c>
    </row>
    <row r="2107" spans="1:3" x14ac:dyDescent="0.25">
      <c r="A2107">
        <v>2106</v>
      </c>
      <c r="B2107" s="23">
        <v>1461.478253</v>
      </c>
      <c r="C2107" s="23">
        <v>1062.8440000000001</v>
      </c>
    </row>
    <row r="2108" spans="1:3" x14ac:dyDescent="0.25">
      <c r="A2108">
        <v>2107</v>
      </c>
      <c r="B2108" s="23">
        <v>1461.4620150000001</v>
      </c>
      <c r="C2108" s="23">
        <v>1062.5640000000001</v>
      </c>
    </row>
    <row r="2109" spans="1:3" x14ac:dyDescent="0.25">
      <c r="A2109">
        <v>2108</v>
      </c>
      <c r="B2109" s="23">
        <v>1461.298</v>
      </c>
      <c r="C2109" s="23">
        <v>1062.098</v>
      </c>
    </row>
    <row r="2110" spans="1:3" x14ac:dyDescent="0.25">
      <c r="A2110">
        <v>2109</v>
      </c>
      <c r="B2110" s="23">
        <v>1461.2439999999999</v>
      </c>
      <c r="C2110" s="23">
        <v>1061.5999999999999</v>
      </c>
    </row>
    <row r="2111" spans="1:3" x14ac:dyDescent="0.25">
      <c r="A2111">
        <v>2110</v>
      </c>
      <c r="B2111" s="23">
        <v>1461.008</v>
      </c>
      <c r="C2111" s="23">
        <v>1061.317</v>
      </c>
    </row>
    <row r="2112" spans="1:3" x14ac:dyDescent="0.25">
      <c r="A2112">
        <v>2111</v>
      </c>
      <c r="B2112" s="23">
        <v>1460.9438720000001</v>
      </c>
      <c r="C2112" s="23">
        <v>1060.8900000000001</v>
      </c>
    </row>
    <row r="2113" spans="1:3" x14ac:dyDescent="0.25">
      <c r="A2113">
        <v>2112</v>
      </c>
      <c r="B2113" s="23">
        <v>1460.8</v>
      </c>
      <c r="C2113" s="23">
        <v>1060.2</v>
      </c>
    </row>
    <row r="2114" spans="1:3" x14ac:dyDescent="0.25">
      <c r="A2114">
        <v>2113</v>
      </c>
      <c r="B2114" s="23">
        <v>1460.8</v>
      </c>
      <c r="C2114" s="23">
        <v>1059.4549999999999</v>
      </c>
    </row>
    <row r="2115" spans="1:3" x14ac:dyDescent="0.25">
      <c r="A2115">
        <v>2114</v>
      </c>
      <c r="B2115" s="23">
        <v>1460.6961209999999</v>
      </c>
      <c r="C2115" s="23">
        <v>1058.818</v>
      </c>
    </row>
    <row r="2116" spans="1:3" x14ac:dyDescent="0.25">
      <c r="A2116">
        <v>2115</v>
      </c>
      <c r="B2116" s="23">
        <v>1460.6437800000001</v>
      </c>
      <c r="C2116" s="23">
        <v>1057.6780000000001</v>
      </c>
    </row>
    <row r="2117" spans="1:3" x14ac:dyDescent="0.25">
      <c r="A2117">
        <v>2116</v>
      </c>
      <c r="B2117" s="23">
        <v>1460.39</v>
      </c>
      <c r="C2117" s="23">
        <v>1057.5999999999999</v>
      </c>
    </row>
    <row r="2118" spans="1:3" x14ac:dyDescent="0.25">
      <c r="A2118">
        <v>2117</v>
      </c>
      <c r="B2118" s="23">
        <v>1460.105777</v>
      </c>
      <c r="C2118" s="23">
        <v>1057.5999999999999</v>
      </c>
    </row>
    <row r="2119" spans="1:3" x14ac:dyDescent="0.25">
      <c r="A2119">
        <v>2118</v>
      </c>
      <c r="B2119" s="23">
        <v>1460</v>
      </c>
      <c r="C2119" s="23">
        <v>1057.413</v>
      </c>
    </row>
    <row r="2120" spans="1:3" x14ac:dyDescent="0.25">
      <c r="A2120">
        <v>2119</v>
      </c>
      <c r="B2120" s="23">
        <v>1460</v>
      </c>
      <c r="C2120" s="23">
        <v>1057.0830000000001</v>
      </c>
    </row>
    <row r="2121" spans="1:3" x14ac:dyDescent="0.25">
      <c r="A2121">
        <v>2120</v>
      </c>
      <c r="B2121" s="23">
        <v>1459.9883609999999</v>
      </c>
      <c r="C2121" s="23">
        <v>1056</v>
      </c>
    </row>
    <row r="2122" spans="1:3" x14ac:dyDescent="0.25">
      <c r="A2122">
        <v>2121</v>
      </c>
      <c r="B2122" s="23">
        <v>1459.826356</v>
      </c>
      <c r="C2122" s="23">
        <v>1056</v>
      </c>
    </row>
    <row r="2123" spans="1:3" x14ac:dyDescent="0.25">
      <c r="A2123">
        <v>2122</v>
      </c>
      <c r="B2123" s="23">
        <v>1459.662</v>
      </c>
      <c r="C2123" s="23">
        <v>1055.8589999999999</v>
      </c>
    </row>
    <row r="2124" spans="1:3" x14ac:dyDescent="0.25">
      <c r="A2124">
        <v>2123</v>
      </c>
      <c r="B2124" s="23">
        <v>1459.4150930000001</v>
      </c>
      <c r="C2124" s="23">
        <v>1055.365</v>
      </c>
    </row>
    <row r="2125" spans="1:3" x14ac:dyDescent="0.25">
      <c r="A2125">
        <v>2124</v>
      </c>
      <c r="B2125" s="23">
        <v>1459.2</v>
      </c>
      <c r="C2125" s="23">
        <v>1055.0820000000001</v>
      </c>
    </row>
    <row r="2126" spans="1:3" x14ac:dyDescent="0.25">
      <c r="A2126">
        <v>2125</v>
      </c>
      <c r="B2126" s="23">
        <v>1459.2</v>
      </c>
      <c r="C2126" s="23">
        <v>1054.825</v>
      </c>
    </row>
    <row r="2127" spans="1:3" x14ac:dyDescent="0.25">
      <c r="A2127">
        <v>2126</v>
      </c>
      <c r="B2127" s="23">
        <v>1459.2</v>
      </c>
      <c r="C2127" s="23">
        <v>1054.7360000000001</v>
      </c>
    </row>
    <row r="2128" spans="1:3" x14ac:dyDescent="0.25">
      <c r="A2128">
        <v>2127</v>
      </c>
      <c r="B2128" s="23">
        <v>1459.2</v>
      </c>
      <c r="C2128" s="23">
        <v>1054.605</v>
      </c>
    </row>
    <row r="2129" spans="1:3" x14ac:dyDescent="0.25">
      <c r="A2129">
        <v>2128</v>
      </c>
      <c r="B2129" s="23">
        <v>1459.2</v>
      </c>
      <c r="C2129" s="23">
        <v>1054.4000000000001</v>
      </c>
    </row>
    <row r="2130" spans="1:3" x14ac:dyDescent="0.25">
      <c r="A2130">
        <v>2129</v>
      </c>
      <c r="B2130" s="23">
        <v>1459.2</v>
      </c>
      <c r="C2130" s="23">
        <v>1054.4000000000001</v>
      </c>
    </row>
    <row r="2131" spans="1:3" x14ac:dyDescent="0.25">
      <c r="A2131">
        <v>2130</v>
      </c>
      <c r="B2131" s="23">
        <v>1459.2</v>
      </c>
      <c r="C2131" s="23">
        <v>1052</v>
      </c>
    </row>
    <row r="2132" spans="1:3" x14ac:dyDescent="0.25">
      <c r="A2132">
        <v>2131</v>
      </c>
      <c r="B2132" s="23">
        <v>1459.102345</v>
      </c>
      <c r="C2132" s="23">
        <v>1051.221</v>
      </c>
    </row>
    <row r="2133" spans="1:3" x14ac:dyDescent="0.25">
      <c r="A2133">
        <v>2132</v>
      </c>
      <c r="B2133" s="23">
        <v>1458.87</v>
      </c>
      <c r="C2133" s="23">
        <v>1051.2</v>
      </c>
    </row>
    <row r="2134" spans="1:3" x14ac:dyDescent="0.25">
      <c r="A2134">
        <v>2133</v>
      </c>
      <c r="B2134" s="23">
        <v>1458.8230000000001</v>
      </c>
      <c r="C2134" s="23">
        <v>1051.2</v>
      </c>
    </row>
    <row r="2135" spans="1:3" x14ac:dyDescent="0.25">
      <c r="A2135">
        <v>2134</v>
      </c>
      <c r="B2135" s="23">
        <v>1458.605</v>
      </c>
      <c r="C2135" s="23">
        <v>1051.2</v>
      </c>
    </row>
    <row r="2136" spans="1:3" x14ac:dyDescent="0.25">
      <c r="A2136">
        <v>2135</v>
      </c>
      <c r="B2136" s="23">
        <v>1458.4860000000001</v>
      </c>
      <c r="C2136" s="23">
        <v>1050.9110000000001</v>
      </c>
    </row>
    <row r="2137" spans="1:3" x14ac:dyDescent="0.25">
      <c r="A2137">
        <v>2136</v>
      </c>
      <c r="B2137" s="23">
        <v>1458.461</v>
      </c>
      <c r="C2137" s="23">
        <v>1050.4000000000001</v>
      </c>
    </row>
    <row r="2138" spans="1:3" x14ac:dyDescent="0.25">
      <c r="A2138">
        <v>2137</v>
      </c>
      <c r="B2138" s="23">
        <v>1458.4472900000001</v>
      </c>
      <c r="C2138" s="23">
        <v>1050.3230000000001</v>
      </c>
    </row>
    <row r="2139" spans="1:3" x14ac:dyDescent="0.25">
      <c r="A2139">
        <v>2138</v>
      </c>
      <c r="B2139" s="23">
        <v>1458.4</v>
      </c>
      <c r="C2139" s="23">
        <v>1050.3230000000001</v>
      </c>
    </row>
    <row r="2140" spans="1:3" x14ac:dyDescent="0.25">
      <c r="A2140">
        <v>2139</v>
      </c>
      <c r="B2140" s="23">
        <v>1458.4</v>
      </c>
      <c r="C2140" s="23">
        <v>1050.1769999999999</v>
      </c>
    </row>
    <row r="2141" spans="1:3" x14ac:dyDescent="0.25">
      <c r="A2141">
        <v>2140</v>
      </c>
      <c r="B2141" s="23">
        <v>1458.305456</v>
      </c>
      <c r="C2141" s="23">
        <v>1049.8399999999999</v>
      </c>
    </row>
    <row r="2142" spans="1:3" x14ac:dyDescent="0.25">
      <c r="A2142">
        <v>2141</v>
      </c>
      <c r="B2142" s="23">
        <v>1458.2360000000001</v>
      </c>
      <c r="C2142" s="23">
        <v>1049.3440000000001</v>
      </c>
    </row>
    <row r="2143" spans="1:3" x14ac:dyDescent="0.25">
      <c r="A2143">
        <v>2142</v>
      </c>
      <c r="B2143" s="23">
        <v>1458.1119799999999</v>
      </c>
      <c r="C2143" s="23">
        <v>1049.2760000000001</v>
      </c>
    </row>
    <row r="2144" spans="1:3" x14ac:dyDescent="0.25">
      <c r="A2144">
        <v>2143</v>
      </c>
      <c r="B2144" s="23">
        <v>1457.6</v>
      </c>
      <c r="C2144" s="23">
        <v>1049.193</v>
      </c>
    </row>
    <row r="2145" spans="1:3" x14ac:dyDescent="0.25">
      <c r="A2145">
        <v>2144</v>
      </c>
      <c r="B2145" s="23">
        <v>1457.6</v>
      </c>
      <c r="C2145" s="23">
        <v>1048.4649999999999</v>
      </c>
    </row>
    <row r="2146" spans="1:3" x14ac:dyDescent="0.25">
      <c r="A2146">
        <v>2145</v>
      </c>
      <c r="B2146" s="23">
        <v>1457.6</v>
      </c>
      <c r="C2146" s="23">
        <v>1048.3430000000001</v>
      </c>
    </row>
    <row r="2147" spans="1:3" x14ac:dyDescent="0.25">
      <c r="A2147">
        <v>2146</v>
      </c>
      <c r="B2147" s="23">
        <v>1457.5360270000001</v>
      </c>
      <c r="C2147" s="23">
        <v>1048.116</v>
      </c>
    </row>
    <row r="2148" spans="1:3" x14ac:dyDescent="0.25">
      <c r="A2148">
        <v>2147</v>
      </c>
      <c r="B2148" s="23">
        <v>1457.5078080000001</v>
      </c>
      <c r="C2148" s="23">
        <v>1048</v>
      </c>
    </row>
    <row r="2149" spans="1:3" x14ac:dyDescent="0.25">
      <c r="A2149">
        <v>2148</v>
      </c>
      <c r="B2149" s="23">
        <v>1457.42</v>
      </c>
      <c r="C2149" s="23">
        <v>1047.7670000000001</v>
      </c>
    </row>
    <row r="2150" spans="1:3" x14ac:dyDescent="0.25">
      <c r="A2150">
        <v>2149</v>
      </c>
      <c r="B2150" s="23">
        <v>1457.3050000000001</v>
      </c>
      <c r="C2150" s="23">
        <v>1046.855</v>
      </c>
    </row>
    <row r="2151" spans="1:3" x14ac:dyDescent="0.25">
      <c r="A2151">
        <v>2150</v>
      </c>
      <c r="B2151" s="23">
        <v>1457.0651330000001</v>
      </c>
      <c r="C2151" s="23">
        <v>1046.5360000000001</v>
      </c>
    </row>
    <row r="2152" spans="1:3" x14ac:dyDescent="0.25">
      <c r="A2152">
        <v>2151</v>
      </c>
      <c r="B2152" s="23">
        <v>1456.8</v>
      </c>
      <c r="C2152" s="23">
        <v>1046.4000000000001</v>
      </c>
    </row>
    <row r="2153" spans="1:3" x14ac:dyDescent="0.25">
      <c r="A2153">
        <v>2152</v>
      </c>
      <c r="B2153" s="23">
        <v>1456.702</v>
      </c>
      <c r="C2153" s="23">
        <v>1046.4000000000001</v>
      </c>
    </row>
    <row r="2154" spans="1:3" x14ac:dyDescent="0.25">
      <c r="A2154">
        <v>2153</v>
      </c>
      <c r="B2154" s="23">
        <v>1456.6769999999999</v>
      </c>
      <c r="C2154" s="23">
        <v>1046.3140000000001</v>
      </c>
    </row>
    <row r="2155" spans="1:3" x14ac:dyDescent="0.25">
      <c r="A2155">
        <v>2154</v>
      </c>
      <c r="B2155" s="23">
        <v>1456.6718350000001</v>
      </c>
      <c r="C2155" s="23">
        <v>1046.0650000000001</v>
      </c>
    </row>
    <row r="2156" spans="1:3" x14ac:dyDescent="0.25">
      <c r="A2156">
        <v>2155</v>
      </c>
      <c r="B2156" s="23">
        <v>1456.6469999999999</v>
      </c>
      <c r="C2156" s="23">
        <v>1045.759</v>
      </c>
    </row>
    <row r="2157" spans="1:3" x14ac:dyDescent="0.25">
      <c r="A2157">
        <v>2156</v>
      </c>
      <c r="B2157" s="23">
        <v>1456.5940000000001</v>
      </c>
      <c r="C2157" s="23">
        <v>1045.174</v>
      </c>
    </row>
    <row r="2158" spans="1:3" x14ac:dyDescent="0.25">
      <c r="A2158">
        <v>2157</v>
      </c>
      <c r="B2158" s="23">
        <v>1456.5444600000001</v>
      </c>
      <c r="C2158" s="23">
        <v>1044</v>
      </c>
    </row>
    <row r="2159" spans="1:3" x14ac:dyDescent="0.25">
      <c r="A2159">
        <v>2158</v>
      </c>
      <c r="B2159" s="23">
        <v>1456.3979999999999</v>
      </c>
      <c r="C2159" s="23">
        <v>1043.4870000000001</v>
      </c>
    </row>
    <row r="2160" spans="1:3" x14ac:dyDescent="0.25">
      <c r="A2160">
        <v>2159</v>
      </c>
      <c r="B2160" s="23">
        <v>1456.248</v>
      </c>
      <c r="C2160" s="23">
        <v>1042.9670000000001</v>
      </c>
    </row>
    <row r="2161" spans="1:3" x14ac:dyDescent="0.25">
      <c r="A2161">
        <v>2160</v>
      </c>
      <c r="B2161" s="23">
        <v>1456.141905</v>
      </c>
      <c r="C2161" s="23">
        <v>1042.933</v>
      </c>
    </row>
    <row r="2162" spans="1:3" x14ac:dyDescent="0.25">
      <c r="A2162">
        <v>2161</v>
      </c>
      <c r="B2162" s="23">
        <v>1456.088</v>
      </c>
      <c r="C2162" s="23">
        <v>1042.232</v>
      </c>
    </row>
    <row r="2163" spans="1:3" x14ac:dyDescent="0.25">
      <c r="A2163">
        <v>2162</v>
      </c>
      <c r="B2163" s="23">
        <v>1456</v>
      </c>
      <c r="C2163" s="23">
        <v>1041.874</v>
      </c>
    </row>
    <row r="2164" spans="1:3" x14ac:dyDescent="0.25">
      <c r="A2164">
        <v>2163</v>
      </c>
      <c r="B2164" s="23">
        <v>1455.9616739999999</v>
      </c>
      <c r="C2164" s="23">
        <v>1041.4960000000001</v>
      </c>
    </row>
    <row r="2165" spans="1:3" x14ac:dyDescent="0.25">
      <c r="A2165">
        <v>2164</v>
      </c>
      <c r="B2165" s="23">
        <v>1455.6780000000001</v>
      </c>
      <c r="C2165" s="23">
        <v>1040.5940000000001</v>
      </c>
    </row>
    <row r="2166" spans="1:3" x14ac:dyDescent="0.25">
      <c r="A2166">
        <v>2165</v>
      </c>
      <c r="B2166" s="23">
        <v>1455.5940929999999</v>
      </c>
      <c r="C2166" s="23">
        <v>1040.0250000000001</v>
      </c>
    </row>
    <row r="2167" spans="1:3" x14ac:dyDescent="0.25">
      <c r="A2167">
        <v>2166</v>
      </c>
      <c r="B2167" s="23">
        <v>1455.5150000000001</v>
      </c>
      <c r="C2167" s="23">
        <v>1040.0250000000001</v>
      </c>
    </row>
    <row r="2168" spans="1:3" x14ac:dyDescent="0.25">
      <c r="A2168">
        <v>2167</v>
      </c>
      <c r="B2168" s="23">
        <v>1455.5</v>
      </c>
      <c r="C2168" s="23">
        <v>1040.0250000000001</v>
      </c>
    </row>
    <row r="2169" spans="1:3" x14ac:dyDescent="0.25">
      <c r="A2169">
        <v>2168</v>
      </c>
      <c r="B2169" s="23">
        <v>1455.4829999999999</v>
      </c>
      <c r="C2169" s="23">
        <v>1040</v>
      </c>
    </row>
    <row r="2170" spans="1:3" x14ac:dyDescent="0.25">
      <c r="A2170">
        <v>2169</v>
      </c>
      <c r="B2170" s="23">
        <v>1455.3230000000001</v>
      </c>
      <c r="C2170" s="23">
        <v>1039.779</v>
      </c>
    </row>
    <row r="2171" spans="1:3" x14ac:dyDescent="0.25">
      <c r="A2171">
        <v>2170</v>
      </c>
      <c r="B2171" s="23">
        <v>1454.847</v>
      </c>
      <c r="C2171" s="23">
        <v>1039.5429999999999</v>
      </c>
    </row>
    <row r="2172" spans="1:3" x14ac:dyDescent="0.25">
      <c r="A2172">
        <v>2171</v>
      </c>
      <c r="B2172" s="23">
        <v>1454.836</v>
      </c>
      <c r="C2172" s="23">
        <v>1039.479</v>
      </c>
    </row>
    <row r="2173" spans="1:3" x14ac:dyDescent="0.25">
      <c r="A2173">
        <v>2172</v>
      </c>
      <c r="B2173" s="23">
        <v>1454.3119999999999</v>
      </c>
      <c r="C2173" s="23">
        <v>1038.7660000000001</v>
      </c>
    </row>
    <row r="2174" spans="1:3" x14ac:dyDescent="0.25">
      <c r="A2174">
        <v>2173</v>
      </c>
      <c r="B2174" s="23">
        <v>1454.100989</v>
      </c>
      <c r="C2174" s="23">
        <v>1038.098</v>
      </c>
    </row>
    <row r="2175" spans="1:3" x14ac:dyDescent="0.25">
      <c r="A2175">
        <v>2174</v>
      </c>
      <c r="B2175" s="23">
        <v>1453.973</v>
      </c>
      <c r="C2175" s="23">
        <v>1037.9559999999999</v>
      </c>
    </row>
    <row r="2176" spans="1:3" x14ac:dyDescent="0.25">
      <c r="A2176">
        <v>2175</v>
      </c>
      <c r="B2176" s="23">
        <v>1453.8589999999999</v>
      </c>
      <c r="C2176" s="23">
        <v>1037.4010000000001</v>
      </c>
    </row>
    <row r="2177" spans="1:3" x14ac:dyDescent="0.25">
      <c r="A2177">
        <v>2176</v>
      </c>
      <c r="B2177" s="23">
        <v>1453.6320000000001</v>
      </c>
      <c r="C2177" s="23">
        <v>1036.8</v>
      </c>
    </row>
    <row r="2178" spans="1:3" x14ac:dyDescent="0.25">
      <c r="A2178">
        <v>2177</v>
      </c>
      <c r="B2178" s="23">
        <v>1453.6</v>
      </c>
      <c r="C2178" s="23">
        <v>1036.8</v>
      </c>
    </row>
    <row r="2179" spans="1:3" x14ac:dyDescent="0.25">
      <c r="A2179">
        <v>2178</v>
      </c>
      <c r="B2179" s="23">
        <v>1453.6</v>
      </c>
      <c r="C2179" s="23">
        <v>1036.7170000000001</v>
      </c>
    </row>
    <row r="2180" spans="1:3" x14ac:dyDescent="0.25">
      <c r="A2180">
        <v>2179</v>
      </c>
      <c r="B2180" s="23">
        <v>1453.6</v>
      </c>
      <c r="C2180" s="23">
        <v>1036.4359999999999</v>
      </c>
    </row>
    <row r="2181" spans="1:3" x14ac:dyDescent="0.25">
      <c r="A2181">
        <v>2180</v>
      </c>
      <c r="B2181" s="23">
        <v>1453.283717</v>
      </c>
      <c r="C2181" s="23">
        <v>1036.348</v>
      </c>
    </row>
    <row r="2182" spans="1:3" x14ac:dyDescent="0.25">
      <c r="A2182">
        <v>2181</v>
      </c>
      <c r="B2182" s="23">
        <v>1453.1366149999999</v>
      </c>
      <c r="C2182" s="23">
        <v>1035.944</v>
      </c>
    </row>
    <row r="2183" spans="1:3" x14ac:dyDescent="0.25">
      <c r="A2183">
        <v>2182</v>
      </c>
      <c r="B2183" s="23">
        <v>1453.0225310000001</v>
      </c>
      <c r="C2183" s="23">
        <v>1035.529</v>
      </c>
    </row>
    <row r="2184" spans="1:3" x14ac:dyDescent="0.25">
      <c r="A2184">
        <v>2183</v>
      </c>
      <c r="B2184" s="23">
        <v>1452.7272390000001</v>
      </c>
      <c r="C2184" s="23">
        <v>1035.335</v>
      </c>
    </row>
    <row r="2185" spans="1:3" x14ac:dyDescent="0.25">
      <c r="A2185">
        <v>2184</v>
      </c>
      <c r="B2185" s="23">
        <v>1452.682</v>
      </c>
      <c r="C2185" s="23">
        <v>1035.326</v>
      </c>
    </row>
    <row r="2186" spans="1:3" x14ac:dyDescent="0.25">
      <c r="A2186">
        <v>2185</v>
      </c>
      <c r="B2186" s="23">
        <v>1452.636</v>
      </c>
      <c r="C2186" s="23">
        <v>1034.877</v>
      </c>
    </row>
    <row r="2187" spans="1:3" x14ac:dyDescent="0.25">
      <c r="A2187">
        <v>2186</v>
      </c>
      <c r="B2187" s="23">
        <v>1452.1690000000001</v>
      </c>
      <c r="C2187" s="23">
        <v>1034.4000000000001</v>
      </c>
    </row>
    <row r="2188" spans="1:3" x14ac:dyDescent="0.25">
      <c r="A2188">
        <v>2187</v>
      </c>
      <c r="B2188" s="23">
        <v>1451.9164929999999</v>
      </c>
      <c r="C2188" s="23">
        <v>1034.1410000000001</v>
      </c>
    </row>
    <row r="2189" spans="1:3" x14ac:dyDescent="0.25">
      <c r="A2189">
        <v>2188</v>
      </c>
      <c r="B2189" s="23">
        <v>1451.9164929999999</v>
      </c>
      <c r="C2189" s="23">
        <v>1034.0150000000001</v>
      </c>
    </row>
    <row r="2190" spans="1:3" x14ac:dyDescent="0.25">
      <c r="A2190">
        <v>2189</v>
      </c>
      <c r="B2190" s="23">
        <v>1451.8731190000001</v>
      </c>
      <c r="C2190" s="23">
        <v>1033.701</v>
      </c>
    </row>
    <row r="2191" spans="1:3" x14ac:dyDescent="0.25">
      <c r="A2191">
        <v>2190</v>
      </c>
      <c r="B2191" s="23">
        <v>1451.78</v>
      </c>
      <c r="C2191" s="23">
        <v>1033.328</v>
      </c>
    </row>
    <row r="2192" spans="1:3" x14ac:dyDescent="0.25">
      <c r="A2192">
        <v>2191</v>
      </c>
      <c r="B2192" s="23">
        <v>1451.75</v>
      </c>
      <c r="C2192" s="23">
        <v>1031.191</v>
      </c>
    </row>
    <row r="2193" spans="1:3" x14ac:dyDescent="0.25">
      <c r="A2193">
        <v>2192</v>
      </c>
      <c r="B2193" s="23">
        <v>1451.2</v>
      </c>
      <c r="C2193" s="23">
        <v>1030.5</v>
      </c>
    </row>
    <row r="2194" spans="1:3" x14ac:dyDescent="0.25">
      <c r="A2194">
        <v>2193</v>
      </c>
      <c r="B2194" s="23">
        <v>1450.922</v>
      </c>
      <c r="C2194" s="23">
        <v>1029.1189999999999</v>
      </c>
    </row>
    <row r="2195" spans="1:3" x14ac:dyDescent="0.25">
      <c r="A2195">
        <v>2194</v>
      </c>
      <c r="B2195" s="23">
        <v>1450.7679250000001</v>
      </c>
      <c r="C2195" s="23">
        <v>1029.0640000000001</v>
      </c>
    </row>
    <row r="2196" spans="1:3" x14ac:dyDescent="0.25">
      <c r="A2196">
        <v>2195</v>
      </c>
      <c r="B2196" s="23">
        <v>1450.7650000000001</v>
      </c>
      <c r="C2196" s="23">
        <v>1028.83</v>
      </c>
    </row>
    <row r="2197" spans="1:3" x14ac:dyDescent="0.25">
      <c r="A2197">
        <v>2196</v>
      </c>
      <c r="B2197" s="23">
        <v>1450.7619999999999</v>
      </c>
      <c r="C2197" s="23">
        <v>1028.2570000000001</v>
      </c>
    </row>
    <row r="2198" spans="1:3" x14ac:dyDescent="0.25">
      <c r="A2198">
        <v>2197</v>
      </c>
      <c r="B2198" s="23">
        <v>1450.739</v>
      </c>
      <c r="C2198" s="23">
        <v>1028</v>
      </c>
    </row>
    <row r="2199" spans="1:3" x14ac:dyDescent="0.25">
      <c r="A2199">
        <v>2198</v>
      </c>
      <c r="B2199" s="23">
        <v>1450.668445</v>
      </c>
      <c r="C2199" s="23">
        <v>1028</v>
      </c>
    </row>
    <row r="2200" spans="1:3" x14ac:dyDescent="0.25">
      <c r="A2200">
        <v>2199</v>
      </c>
      <c r="B2200" s="23">
        <v>1450.445453</v>
      </c>
      <c r="C2200" s="23">
        <v>1027.8630000000001</v>
      </c>
    </row>
    <row r="2201" spans="1:3" x14ac:dyDescent="0.25">
      <c r="A2201">
        <v>2200</v>
      </c>
      <c r="B2201" s="23">
        <v>1450.012352</v>
      </c>
      <c r="C2201" s="23">
        <v>1027.857</v>
      </c>
    </row>
    <row r="2202" spans="1:3" x14ac:dyDescent="0.25">
      <c r="A2202">
        <v>2201</v>
      </c>
      <c r="B2202" s="23">
        <v>1449.6</v>
      </c>
      <c r="C2202" s="23">
        <v>1026.4000000000001</v>
      </c>
    </row>
    <row r="2203" spans="1:3" x14ac:dyDescent="0.25">
      <c r="A2203">
        <v>2202</v>
      </c>
      <c r="B2203" s="23">
        <v>1449.6</v>
      </c>
      <c r="C2203" s="23">
        <v>1026.4000000000001</v>
      </c>
    </row>
    <row r="2204" spans="1:3" x14ac:dyDescent="0.25">
      <c r="A2204">
        <v>2203</v>
      </c>
      <c r="B2204" s="23">
        <v>1449.6</v>
      </c>
      <c r="C2204" s="23">
        <v>1026.377</v>
      </c>
    </row>
    <row r="2205" spans="1:3" x14ac:dyDescent="0.25">
      <c r="A2205">
        <v>2204</v>
      </c>
      <c r="B2205" s="23">
        <v>1449.5830000000001</v>
      </c>
      <c r="C2205" s="23">
        <v>1025.712</v>
      </c>
    </row>
    <row r="2206" spans="1:3" x14ac:dyDescent="0.25">
      <c r="A2206">
        <v>2205</v>
      </c>
      <c r="B2206" s="23">
        <v>1449.3752629999999</v>
      </c>
      <c r="C2206" s="23">
        <v>1025.3150000000001</v>
      </c>
    </row>
    <row r="2207" spans="1:3" x14ac:dyDescent="0.25">
      <c r="A2207">
        <v>2206</v>
      </c>
      <c r="B2207" s="23">
        <v>1449.0809999999999</v>
      </c>
      <c r="C2207" s="23">
        <v>1024.0050000000001</v>
      </c>
    </row>
    <row r="2208" spans="1:3" x14ac:dyDescent="0.25">
      <c r="A2208">
        <v>2207</v>
      </c>
      <c r="B2208" s="23">
        <v>1448.923661</v>
      </c>
      <c r="C2208" s="23">
        <v>1024</v>
      </c>
    </row>
    <row r="2209" spans="1:3" x14ac:dyDescent="0.25">
      <c r="A2209">
        <v>2208</v>
      </c>
      <c r="B2209" s="23">
        <v>1448.8</v>
      </c>
      <c r="C2209" s="23">
        <v>1023.903</v>
      </c>
    </row>
    <row r="2210" spans="1:3" x14ac:dyDescent="0.25">
      <c r="A2210">
        <v>2209</v>
      </c>
      <c r="B2210" s="23">
        <v>1448.8</v>
      </c>
      <c r="C2210" s="23">
        <v>1023.228</v>
      </c>
    </row>
    <row r="2211" spans="1:3" x14ac:dyDescent="0.25">
      <c r="A2211">
        <v>2210</v>
      </c>
      <c r="B2211" s="23">
        <v>1448.694</v>
      </c>
      <c r="C2211" s="23">
        <v>1022.388</v>
      </c>
    </row>
    <row r="2212" spans="1:3" x14ac:dyDescent="0.25">
      <c r="A2212">
        <v>2211</v>
      </c>
      <c r="B2212" s="23">
        <v>1448.549</v>
      </c>
      <c r="C2212" s="23">
        <v>1022.212</v>
      </c>
    </row>
    <row r="2213" spans="1:3" x14ac:dyDescent="0.25">
      <c r="A2213">
        <v>2212</v>
      </c>
      <c r="B2213" s="23">
        <v>1448.412</v>
      </c>
      <c r="C2213" s="23">
        <v>1021.6369999999999</v>
      </c>
    </row>
    <row r="2214" spans="1:3" x14ac:dyDescent="0.25">
      <c r="A2214">
        <v>2213</v>
      </c>
      <c r="B2214" s="23">
        <v>1448.203902</v>
      </c>
      <c r="C2214" s="23">
        <v>1021.6</v>
      </c>
    </row>
    <row r="2215" spans="1:3" x14ac:dyDescent="0.25">
      <c r="A2215">
        <v>2214</v>
      </c>
      <c r="B2215" s="23">
        <v>1448.1990000000001</v>
      </c>
      <c r="C2215" s="23">
        <v>1020.897</v>
      </c>
    </row>
    <row r="2216" spans="1:3" x14ac:dyDescent="0.25">
      <c r="A2216">
        <v>2215</v>
      </c>
      <c r="B2216" s="23">
        <v>1448.14</v>
      </c>
      <c r="C2216" s="23">
        <v>1020.897</v>
      </c>
    </row>
    <row r="2217" spans="1:3" x14ac:dyDescent="0.25">
      <c r="A2217">
        <v>2216</v>
      </c>
      <c r="B2217" s="23">
        <v>1447.945909</v>
      </c>
      <c r="C2217" s="23">
        <v>1020.8</v>
      </c>
    </row>
    <row r="2218" spans="1:3" x14ac:dyDescent="0.25">
      <c r="A2218">
        <v>2217</v>
      </c>
      <c r="B2218" s="23">
        <v>1447.7080000000001</v>
      </c>
      <c r="C2218" s="23">
        <v>1020.076</v>
      </c>
    </row>
    <row r="2219" spans="1:3" x14ac:dyDescent="0.25">
      <c r="A2219">
        <v>2218</v>
      </c>
      <c r="B2219" s="23">
        <v>1447.5589070000001</v>
      </c>
      <c r="C2219" s="23">
        <v>1020</v>
      </c>
    </row>
    <row r="2220" spans="1:3" x14ac:dyDescent="0.25">
      <c r="A2220">
        <v>2219</v>
      </c>
      <c r="B2220" s="23">
        <v>1447.547</v>
      </c>
      <c r="C2220" s="23">
        <v>1019.8339999999999</v>
      </c>
    </row>
    <row r="2221" spans="1:3" x14ac:dyDescent="0.25">
      <c r="A2221">
        <v>2220</v>
      </c>
      <c r="B2221" s="23">
        <v>1447.357</v>
      </c>
      <c r="C2221" s="23">
        <v>1019.449</v>
      </c>
    </row>
    <row r="2222" spans="1:3" x14ac:dyDescent="0.25">
      <c r="A2222">
        <v>2221</v>
      </c>
      <c r="B2222" s="23">
        <v>1447.2</v>
      </c>
      <c r="C2222" s="23">
        <v>1019.414</v>
      </c>
    </row>
    <row r="2223" spans="1:3" x14ac:dyDescent="0.25">
      <c r="A2223">
        <v>2222</v>
      </c>
      <c r="B2223" s="23">
        <v>1447.2</v>
      </c>
      <c r="C2223" s="23">
        <v>1019.202</v>
      </c>
    </row>
    <row r="2224" spans="1:3" x14ac:dyDescent="0.25">
      <c r="A2224">
        <v>2223</v>
      </c>
      <c r="B2224" s="23">
        <v>1447.2</v>
      </c>
      <c r="C2224" s="23">
        <v>1018.6950000000001</v>
      </c>
    </row>
    <row r="2225" spans="1:3" x14ac:dyDescent="0.25">
      <c r="A2225">
        <v>2224</v>
      </c>
      <c r="B2225" s="23">
        <v>1446.5650000000001</v>
      </c>
      <c r="C2225" s="23">
        <v>1018.4</v>
      </c>
    </row>
    <row r="2226" spans="1:3" x14ac:dyDescent="0.25">
      <c r="A2226">
        <v>2225</v>
      </c>
      <c r="B2226" s="23">
        <v>1446.5204759999999</v>
      </c>
      <c r="C2226" s="23">
        <v>1017.789</v>
      </c>
    </row>
    <row r="2227" spans="1:3" x14ac:dyDescent="0.25">
      <c r="A2227">
        <v>2226</v>
      </c>
      <c r="B2227" s="23">
        <v>1446.4</v>
      </c>
      <c r="C2227" s="23">
        <v>1016</v>
      </c>
    </row>
    <row r="2228" spans="1:3" x14ac:dyDescent="0.25">
      <c r="A2228">
        <v>2227</v>
      </c>
      <c r="B2228" s="23">
        <v>1446.4</v>
      </c>
      <c r="C2228" s="23">
        <v>1016</v>
      </c>
    </row>
    <row r="2229" spans="1:3" x14ac:dyDescent="0.25">
      <c r="A2229">
        <v>2228</v>
      </c>
      <c r="B2229" s="23">
        <v>1446.4</v>
      </c>
      <c r="C2229" s="23">
        <v>1015.996</v>
      </c>
    </row>
    <row r="2230" spans="1:3" x14ac:dyDescent="0.25">
      <c r="A2230">
        <v>2229</v>
      </c>
      <c r="B2230" s="23">
        <v>1446.4</v>
      </c>
      <c r="C2230" s="23">
        <v>1015.418</v>
      </c>
    </row>
    <row r="2231" spans="1:3" x14ac:dyDescent="0.25">
      <c r="A2231">
        <v>2230</v>
      </c>
      <c r="B2231" s="23">
        <v>1446.20147</v>
      </c>
      <c r="C2231" s="23">
        <v>1015.152</v>
      </c>
    </row>
    <row r="2232" spans="1:3" x14ac:dyDescent="0.25">
      <c r="A2232">
        <v>2231</v>
      </c>
      <c r="B2232" s="23">
        <v>1446.0809999999999</v>
      </c>
      <c r="C2232" s="23">
        <v>1015.025</v>
      </c>
    </row>
    <row r="2233" spans="1:3" x14ac:dyDescent="0.25">
      <c r="A2233">
        <v>2232</v>
      </c>
      <c r="B2233" s="23">
        <v>1445.9232469999999</v>
      </c>
      <c r="C2233" s="23">
        <v>1015.024</v>
      </c>
    </row>
    <row r="2234" spans="1:3" x14ac:dyDescent="0.25">
      <c r="A2234">
        <v>2233</v>
      </c>
      <c r="B2234" s="23">
        <v>1445.8819550000001</v>
      </c>
      <c r="C2234" s="23">
        <v>1015.018</v>
      </c>
    </row>
    <row r="2235" spans="1:3" x14ac:dyDescent="0.25">
      <c r="A2235">
        <v>2234</v>
      </c>
      <c r="B2235" s="23">
        <v>1445.7529999999999</v>
      </c>
      <c r="C2235" s="23">
        <v>1014.799</v>
      </c>
    </row>
    <row r="2236" spans="1:3" x14ac:dyDescent="0.25">
      <c r="A2236">
        <v>2235</v>
      </c>
      <c r="B2236" s="23">
        <v>1445.6</v>
      </c>
      <c r="C2236" s="23">
        <v>1014.4</v>
      </c>
    </row>
    <row r="2237" spans="1:3" x14ac:dyDescent="0.25">
      <c r="A2237">
        <v>2236</v>
      </c>
      <c r="B2237" s="23">
        <v>1445.4880479999999</v>
      </c>
      <c r="C2237" s="23">
        <v>1014.283</v>
      </c>
    </row>
    <row r="2238" spans="1:3" x14ac:dyDescent="0.25">
      <c r="A2238">
        <v>2237</v>
      </c>
      <c r="B2238" s="23">
        <v>1445.4280000000001</v>
      </c>
      <c r="C2238" s="23">
        <v>1013.904</v>
      </c>
    </row>
    <row r="2239" spans="1:3" x14ac:dyDescent="0.25">
      <c r="A2239">
        <v>2238</v>
      </c>
      <c r="B2239" s="23">
        <v>1445.3682040000001</v>
      </c>
      <c r="C2239" s="23">
        <v>1012.811</v>
      </c>
    </row>
    <row r="2240" spans="1:3" x14ac:dyDescent="0.25">
      <c r="A2240">
        <v>2239</v>
      </c>
      <c r="B2240" s="23">
        <v>1445.2968129999999</v>
      </c>
      <c r="C2240" s="23">
        <v>1012.401</v>
      </c>
    </row>
    <row r="2241" spans="1:3" x14ac:dyDescent="0.25">
      <c r="A2241">
        <v>2240</v>
      </c>
      <c r="B2241" s="23">
        <v>1445.1054180000001</v>
      </c>
      <c r="C2241" s="23">
        <v>1011.616</v>
      </c>
    </row>
    <row r="2242" spans="1:3" x14ac:dyDescent="0.25">
      <c r="A2242">
        <v>2241</v>
      </c>
      <c r="B2242" s="23">
        <v>1444.8</v>
      </c>
      <c r="C2242" s="23">
        <v>1010.905</v>
      </c>
    </row>
    <row r="2243" spans="1:3" x14ac:dyDescent="0.25">
      <c r="A2243">
        <v>2242</v>
      </c>
      <c r="B2243" s="23">
        <v>1444.8</v>
      </c>
      <c r="C2243" s="23">
        <v>1009.0890000000001</v>
      </c>
    </row>
    <row r="2244" spans="1:3" x14ac:dyDescent="0.25">
      <c r="A2244">
        <v>2243</v>
      </c>
      <c r="B2244" s="23">
        <v>1444.561293</v>
      </c>
      <c r="C2244" s="23">
        <v>1008.399</v>
      </c>
    </row>
    <row r="2245" spans="1:3" x14ac:dyDescent="0.25">
      <c r="A2245">
        <v>2244</v>
      </c>
      <c r="B2245" s="23">
        <v>1444</v>
      </c>
      <c r="C2245" s="23">
        <v>1007.686</v>
      </c>
    </row>
    <row r="2246" spans="1:3" x14ac:dyDescent="0.25">
      <c r="A2246">
        <v>2245</v>
      </c>
      <c r="B2246" s="23">
        <v>1444</v>
      </c>
      <c r="C2246" s="23">
        <v>1007.0170000000001</v>
      </c>
    </row>
    <row r="2247" spans="1:3" x14ac:dyDescent="0.25">
      <c r="A2247">
        <v>2246</v>
      </c>
      <c r="B2247" s="23">
        <v>1444</v>
      </c>
      <c r="C2247" s="23">
        <v>1006.927</v>
      </c>
    </row>
    <row r="2248" spans="1:3" x14ac:dyDescent="0.25">
      <c r="A2248">
        <v>2247</v>
      </c>
      <c r="B2248" s="23">
        <v>1444</v>
      </c>
      <c r="C2248" s="23">
        <v>1006.4</v>
      </c>
    </row>
    <row r="2249" spans="1:3" x14ac:dyDescent="0.25">
      <c r="A2249">
        <v>2248</v>
      </c>
      <c r="B2249" s="23">
        <v>1444</v>
      </c>
      <c r="C2249" s="23">
        <v>1006.4</v>
      </c>
    </row>
    <row r="2250" spans="1:3" x14ac:dyDescent="0.25">
      <c r="A2250">
        <v>2249</v>
      </c>
      <c r="B2250" s="23">
        <v>1444</v>
      </c>
      <c r="C2250" s="23">
        <v>1005.636</v>
      </c>
    </row>
    <row r="2251" spans="1:3" x14ac:dyDescent="0.25">
      <c r="A2251">
        <v>2250</v>
      </c>
      <c r="B2251" s="23">
        <v>1444</v>
      </c>
      <c r="C2251" s="23">
        <v>1005.386</v>
      </c>
    </row>
    <row r="2252" spans="1:3" x14ac:dyDescent="0.25">
      <c r="A2252">
        <v>2251</v>
      </c>
      <c r="B2252" s="23">
        <v>1443.709928</v>
      </c>
      <c r="C2252" s="23">
        <v>1004.72</v>
      </c>
    </row>
    <row r="2253" spans="1:3" x14ac:dyDescent="0.25">
      <c r="A2253">
        <v>2252</v>
      </c>
      <c r="B2253" s="23">
        <v>1443.6317469999999</v>
      </c>
      <c r="C2253" s="23">
        <v>1004.038</v>
      </c>
    </row>
    <row r="2254" spans="1:3" x14ac:dyDescent="0.25">
      <c r="A2254">
        <v>2253</v>
      </c>
      <c r="B2254" s="23">
        <v>1443.606</v>
      </c>
      <c r="C2254" s="23">
        <v>1004</v>
      </c>
    </row>
    <row r="2255" spans="1:3" x14ac:dyDescent="0.25">
      <c r="A2255">
        <v>2254</v>
      </c>
      <c r="B2255" s="23">
        <v>1443.6020000000001</v>
      </c>
      <c r="C2255" s="23">
        <v>1003.985</v>
      </c>
    </row>
    <row r="2256" spans="1:3" x14ac:dyDescent="0.25">
      <c r="A2256">
        <v>2255</v>
      </c>
      <c r="B2256" s="23">
        <v>1443.5695920000001</v>
      </c>
      <c r="C2256" s="23">
        <v>1002.848</v>
      </c>
    </row>
    <row r="2257" spans="1:3" x14ac:dyDescent="0.25">
      <c r="A2257">
        <v>2256</v>
      </c>
      <c r="B2257" s="23">
        <v>1443.53368</v>
      </c>
      <c r="C2257" s="23">
        <v>1002.452</v>
      </c>
    </row>
    <row r="2258" spans="1:3" x14ac:dyDescent="0.25">
      <c r="A2258">
        <v>2257</v>
      </c>
      <c r="B2258" s="23">
        <v>1443.4841289999999</v>
      </c>
      <c r="C2258" s="23">
        <v>1001.778</v>
      </c>
    </row>
    <row r="2259" spans="1:3" x14ac:dyDescent="0.25">
      <c r="A2259">
        <v>2258</v>
      </c>
      <c r="B2259" s="23">
        <v>1443.3311349999999</v>
      </c>
      <c r="C2259" s="23">
        <v>1001.2380000000001</v>
      </c>
    </row>
    <row r="2260" spans="1:3" x14ac:dyDescent="0.25">
      <c r="A2260">
        <v>2259</v>
      </c>
      <c r="B2260" s="23">
        <v>1443.0902530000001</v>
      </c>
      <c r="C2260" s="23">
        <v>1001.043</v>
      </c>
    </row>
    <row r="2261" spans="1:3" x14ac:dyDescent="0.25">
      <c r="A2261">
        <v>2260</v>
      </c>
      <c r="B2261" s="23">
        <v>1443.0720879999999</v>
      </c>
      <c r="C2261" s="23">
        <v>1000.307</v>
      </c>
    </row>
    <row r="2262" spans="1:3" x14ac:dyDescent="0.25">
      <c r="A2262">
        <v>2261</v>
      </c>
      <c r="B2262" s="23">
        <v>1443.042246</v>
      </c>
      <c r="C2262" s="23">
        <v>999.2</v>
      </c>
    </row>
    <row r="2263" spans="1:3" x14ac:dyDescent="0.25">
      <c r="A2263">
        <v>2262</v>
      </c>
      <c r="B2263" s="23">
        <v>1442.884</v>
      </c>
      <c r="C2263" s="23">
        <v>998.4</v>
      </c>
    </row>
    <row r="2264" spans="1:3" x14ac:dyDescent="0.25">
      <c r="A2264">
        <v>2263</v>
      </c>
      <c r="B2264" s="23">
        <v>1442.523639</v>
      </c>
      <c r="C2264" s="23">
        <v>997.6</v>
      </c>
    </row>
    <row r="2265" spans="1:3" x14ac:dyDescent="0.25">
      <c r="A2265">
        <v>2264</v>
      </c>
      <c r="B2265" s="23">
        <v>1442.4</v>
      </c>
      <c r="C2265" s="23">
        <v>996.81200000000001</v>
      </c>
    </row>
    <row r="2266" spans="1:3" x14ac:dyDescent="0.25">
      <c r="A2266">
        <v>2265</v>
      </c>
      <c r="B2266" s="23">
        <v>1441.9685850000001</v>
      </c>
      <c r="C2266" s="23">
        <v>995.64200000000005</v>
      </c>
    </row>
    <row r="2267" spans="1:3" x14ac:dyDescent="0.25">
      <c r="A2267">
        <v>2266</v>
      </c>
      <c r="B2267" s="23">
        <v>1441.807</v>
      </c>
      <c r="C2267" s="23">
        <v>995.27599999999995</v>
      </c>
    </row>
    <row r="2268" spans="1:3" x14ac:dyDescent="0.25">
      <c r="A2268">
        <v>2267</v>
      </c>
      <c r="B2268" s="23">
        <v>1441.6</v>
      </c>
      <c r="C2268" s="23">
        <v>995.2</v>
      </c>
    </row>
    <row r="2269" spans="1:3" x14ac:dyDescent="0.25">
      <c r="A2269">
        <v>2268</v>
      </c>
      <c r="B2269" s="23">
        <v>1441.570804</v>
      </c>
      <c r="C2269" s="23">
        <v>994.4</v>
      </c>
    </row>
    <row r="2270" spans="1:3" x14ac:dyDescent="0.25">
      <c r="A2270">
        <v>2269</v>
      </c>
      <c r="B2270" s="23">
        <v>1441.52639</v>
      </c>
      <c r="C2270" s="23">
        <v>993.6</v>
      </c>
    </row>
    <row r="2271" spans="1:3" x14ac:dyDescent="0.25">
      <c r="A2271">
        <v>2270</v>
      </c>
      <c r="B2271" s="23">
        <v>1441.2677510000001</v>
      </c>
      <c r="C2271" s="23">
        <v>992.21600000000001</v>
      </c>
    </row>
    <row r="2272" spans="1:3" x14ac:dyDescent="0.25">
      <c r="A2272">
        <v>2271</v>
      </c>
      <c r="B2272" s="23">
        <v>1441.018313</v>
      </c>
      <c r="C2272" s="23">
        <v>992</v>
      </c>
    </row>
    <row r="2273" spans="1:3" x14ac:dyDescent="0.25">
      <c r="A2273">
        <v>2272</v>
      </c>
      <c r="B2273" s="23">
        <v>1440.8</v>
      </c>
      <c r="C2273" s="23">
        <v>991.37300000000005</v>
      </c>
    </row>
    <row r="2274" spans="1:3" x14ac:dyDescent="0.25">
      <c r="A2274">
        <v>2273</v>
      </c>
      <c r="B2274" s="23">
        <v>1440.8</v>
      </c>
      <c r="C2274" s="23">
        <v>991.13099999999997</v>
      </c>
    </row>
    <row r="2275" spans="1:3" x14ac:dyDescent="0.25">
      <c r="A2275">
        <v>2274</v>
      </c>
      <c r="B2275" s="23">
        <v>1440.8</v>
      </c>
      <c r="C2275" s="23">
        <v>990.58600000000001</v>
      </c>
    </row>
    <row r="2276" spans="1:3" x14ac:dyDescent="0.25">
      <c r="A2276">
        <v>2275</v>
      </c>
      <c r="B2276" s="23">
        <v>1440.773915</v>
      </c>
      <c r="C2276" s="23">
        <v>990.01400000000001</v>
      </c>
    </row>
    <row r="2277" spans="1:3" x14ac:dyDescent="0.25">
      <c r="A2277">
        <v>2276</v>
      </c>
      <c r="B2277" s="23">
        <v>1440.7666280000001</v>
      </c>
      <c r="C2277" s="23">
        <v>989.274</v>
      </c>
    </row>
    <row r="2278" spans="1:3" x14ac:dyDescent="0.25">
      <c r="A2278">
        <v>2277</v>
      </c>
      <c r="B2278" s="23">
        <v>1440.758</v>
      </c>
      <c r="C2278" s="23">
        <v>989.23900000000003</v>
      </c>
    </row>
    <row r="2279" spans="1:3" x14ac:dyDescent="0.25">
      <c r="A2279">
        <v>2278</v>
      </c>
      <c r="B2279" s="23">
        <v>1440.6010000000001</v>
      </c>
      <c r="C2279" s="23">
        <v>988.53899999999999</v>
      </c>
    </row>
    <row r="2280" spans="1:3" x14ac:dyDescent="0.25">
      <c r="A2280">
        <v>2279</v>
      </c>
      <c r="B2280" s="23">
        <v>1440.0619999999999</v>
      </c>
      <c r="C2280" s="23">
        <v>988.36500000000001</v>
      </c>
    </row>
    <row r="2281" spans="1:3" x14ac:dyDescent="0.25">
      <c r="A2281">
        <v>2280</v>
      </c>
      <c r="B2281" s="23">
        <v>1440</v>
      </c>
      <c r="C2281" s="23">
        <v>988.06899999999996</v>
      </c>
    </row>
    <row r="2282" spans="1:3" x14ac:dyDescent="0.25">
      <c r="A2282">
        <v>2281</v>
      </c>
      <c r="B2282" s="23">
        <v>1440</v>
      </c>
      <c r="C2282" s="23">
        <v>985.60599999999999</v>
      </c>
    </row>
    <row r="2283" spans="1:3" x14ac:dyDescent="0.25">
      <c r="A2283">
        <v>2282</v>
      </c>
      <c r="B2283" s="23">
        <v>1439.8743730000001</v>
      </c>
      <c r="C2283" s="23">
        <v>985.6</v>
      </c>
    </row>
    <row r="2284" spans="1:3" x14ac:dyDescent="0.25">
      <c r="A2284">
        <v>2283</v>
      </c>
      <c r="B2284" s="23">
        <v>1439.865</v>
      </c>
      <c r="C2284" s="23">
        <v>985.6</v>
      </c>
    </row>
    <row r="2285" spans="1:3" x14ac:dyDescent="0.25">
      <c r="A2285">
        <v>2284</v>
      </c>
      <c r="B2285" s="23">
        <v>1439.8056959999999</v>
      </c>
      <c r="C2285" s="23">
        <v>984.86099999999999</v>
      </c>
    </row>
    <row r="2286" spans="1:3" x14ac:dyDescent="0.25">
      <c r="A2286">
        <v>2285</v>
      </c>
      <c r="B2286" s="23">
        <v>1439.5050000000001</v>
      </c>
      <c r="C2286" s="23">
        <v>983.89200000000005</v>
      </c>
    </row>
    <row r="2287" spans="1:3" x14ac:dyDescent="0.25">
      <c r="A2287">
        <v>2286</v>
      </c>
      <c r="B2287" s="23">
        <v>1439.2</v>
      </c>
      <c r="C2287" s="23">
        <v>982.84299999999996</v>
      </c>
    </row>
    <row r="2288" spans="1:3" x14ac:dyDescent="0.25">
      <c r="A2288">
        <v>2287</v>
      </c>
      <c r="B2288" s="23">
        <v>1439.1789180000001</v>
      </c>
      <c r="C2288" s="23">
        <v>982.4</v>
      </c>
    </row>
    <row r="2289" spans="1:3" x14ac:dyDescent="0.25">
      <c r="A2289">
        <v>2288</v>
      </c>
      <c r="B2289" s="23">
        <v>1439.0239999999999</v>
      </c>
      <c r="C2289" s="23">
        <v>981.6</v>
      </c>
    </row>
    <row r="2290" spans="1:3" x14ac:dyDescent="0.25">
      <c r="A2290">
        <v>2289</v>
      </c>
      <c r="B2290" s="23">
        <v>1438.896</v>
      </c>
      <c r="C2290" s="23">
        <v>980.26499999999999</v>
      </c>
    </row>
    <row r="2291" spans="1:3" x14ac:dyDescent="0.25">
      <c r="A2291">
        <v>2290</v>
      </c>
      <c r="B2291" s="23">
        <v>1438.562778</v>
      </c>
      <c r="C2291" s="23">
        <v>979.2</v>
      </c>
    </row>
    <row r="2292" spans="1:3" x14ac:dyDescent="0.25">
      <c r="A2292">
        <v>2291</v>
      </c>
      <c r="B2292" s="23">
        <v>1438.383251</v>
      </c>
      <c r="C2292" s="23">
        <v>978.4</v>
      </c>
    </row>
    <row r="2293" spans="1:3" x14ac:dyDescent="0.25">
      <c r="A2293">
        <v>2292</v>
      </c>
      <c r="B2293" s="23">
        <v>1438.0640000000001</v>
      </c>
      <c r="C2293" s="23">
        <v>976.03499999999997</v>
      </c>
    </row>
    <row r="2294" spans="1:3" x14ac:dyDescent="0.25">
      <c r="A2294">
        <v>2293</v>
      </c>
      <c r="B2294" s="23">
        <v>1438.0530000000001</v>
      </c>
      <c r="C2294" s="23">
        <v>975.93600000000004</v>
      </c>
    </row>
    <row r="2295" spans="1:3" x14ac:dyDescent="0.25">
      <c r="A2295">
        <v>2294</v>
      </c>
      <c r="B2295" s="23">
        <v>1438.0039999999999</v>
      </c>
      <c r="C2295" s="23">
        <v>975.60599999999999</v>
      </c>
    </row>
    <row r="2296" spans="1:3" x14ac:dyDescent="0.25">
      <c r="A2296">
        <v>2295</v>
      </c>
      <c r="B2296" s="23">
        <v>1437.990783</v>
      </c>
      <c r="C2296" s="23">
        <v>975.48699999999997</v>
      </c>
    </row>
    <row r="2297" spans="1:3" x14ac:dyDescent="0.25">
      <c r="A2297">
        <v>2296</v>
      </c>
      <c r="B2297" s="23">
        <v>1437.913</v>
      </c>
      <c r="C2297" s="23">
        <v>974.79100000000005</v>
      </c>
    </row>
    <row r="2298" spans="1:3" x14ac:dyDescent="0.25">
      <c r="A2298">
        <v>2297</v>
      </c>
      <c r="B2298" s="23">
        <v>1437.6</v>
      </c>
      <c r="C2298" s="23">
        <v>974.57299999999998</v>
      </c>
    </row>
    <row r="2299" spans="1:3" x14ac:dyDescent="0.25">
      <c r="A2299">
        <v>2298</v>
      </c>
      <c r="B2299" s="23">
        <v>1437.172</v>
      </c>
      <c r="C2299" s="23">
        <v>974.55499999999995</v>
      </c>
    </row>
    <row r="2300" spans="1:3" x14ac:dyDescent="0.25">
      <c r="A2300">
        <v>2299</v>
      </c>
      <c r="B2300" s="23">
        <v>1436.8197789999999</v>
      </c>
      <c r="C2300" s="23">
        <v>973.86400000000003</v>
      </c>
    </row>
    <row r="2301" spans="1:3" x14ac:dyDescent="0.25">
      <c r="A2301">
        <v>2300</v>
      </c>
      <c r="B2301" s="23">
        <v>1436.8</v>
      </c>
      <c r="C2301" s="23">
        <v>973.86400000000003</v>
      </c>
    </row>
    <row r="2302" spans="1:3" x14ac:dyDescent="0.25">
      <c r="A2302">
        <v>2301</v>
      </c>
      <c r="B2302" s="23">
        <v>1436.8</v>
      </c>
      <c r="C2302" s="23">
        <v>973.17399999999998</v>
      </c>
    </row>
    <row r="2303" spans="1:3" x14ac:dyDescent="0.25">
      <c r="A2303">
        <v>2302</v>
      </c>
      <c r="B2303" s="23">
        <v>1436.8</v>
      </c>
      <c r="C2303" s="23">
        <v>972.95799999999997</v>
      </c>
    </row>
    <row r="2304" spans="1:3" x14ac:dyDescent="0.25">
      <c r="A2304">
        <v>2303</v>
      </c>
      <c r="B2304" s="23">
        <v>1436.7718850000001</v>
      </c>
      <c r="C2304" s="23">
        <v>972.35699999999997</v>
      </c>
    </row>
    <row r="2305" spans="1:3" x14ac:dyDescent="0.25">
      <c r="A2305">
        <v>2304</v>
      </c>
      <c r="B2305" s="23">
        <v>1436.7587579999999</v>
      </c>
      <c r="C2305" s="23">
        <v>972.32600000000002</v>
      </c>
    </row>
    <row r="2306" spans="1:3" x14ac:dyDescent="0.25">
      <c r="A2306">
        <v>2305</v>
      </c>
      <c r="B2306" s="23">
        <v>1436.5586960000001</v>
      </c>
      <c r="C2306" s="23">
        <v>972</v>
      </c>
    </row>
    <row r="2307" spans="1:3" x14ac:dyDescent="0.25">
      <c r="A2307">
        <v>2306</v>
      </c>
      <c r="B2307" s="23">
        <v>1436.5586960000001</v>
      </c>
      <c r="C2307" s="23">
        <v>971.2</v>
      </c>
    </row>
    <row r="2308" spans="1:3" x14ac:dyDescent="0.25">
      <c r="A2308">
        <v>2307</v>
      </c>
      <c r="B2308" s="23">
        <v>1436.28</v>
      </c>
      <c r="C2308" s="23">
        <v>970.88599999999997</v>
      </c>
    </row>
    <row r="2309" spans="1:3" x14ac:dyDescent="0.25">
      <c r="A2309">
        <v>2308</v>
      </c>
      <c r="B2309" s="23">
        <v>1436.12</v>
      </c>
      <c r="C2309" s="23">
        <v>970.74900000000002</v>
      </c>
    </row>
    <row r="2310" spans="1:3" x14ac:dyDescent="0.25">
      <c r="A2310">
        <v>2309</v>
      </c>
      <c r="B2310" s="23">
        <v>1436.0909999999999</v>
      </c>
      <c r="C2310" s="23">
        <v>970.4</v>
      </c>
    </row>
    <row r="2311" spans="1:3" x14ac:dyDescent="0.25">
      <c r="A2311">
        <v>2310</v>
      </c>
      <c r="B2311" s="23">
        <v>1436</v>
      </c>
      <c r="C2311" s="23">
        <v>970.35500000000002</v>
      </c>
    </row>
    <row r="2312" spans="1:3" x14ac:dyDescent="0.25">
      <c r="A2312">
        <v>2311</v>
      </c>
      <c r="B2312" s="23">
        <v>1436</v>
      </c>
      <c r="C2312" s="23">
        <v>969.774</v>
      </c>
    </row>
    <row r="2313" spans="1:3" x14ac:dyDescent="0.25">
      <c r="A2313">
        <v>2312</v>
      </c>
      <c r="B2313" s="23">
        <v>1436</v>
      </c>
      <c r="C2313" s="23">
        <v>968.8</v>
      </c>
    </row>
    <row r="2314" spans="1:3" x14ac:dyDescent="0.25">
      <c r="A2314">
        <v>2313</v>
      </c>
      <c r="B2314" s="23">
        <v>1436</v>
      </c>
      <c r="C2314" s="23">
        <v>967.95699999999999</v>
      </c>
    </row>
    <row r="2315" spans="1:3" x14ac:dyDescent="0.25">
      <c r="A2315">
        <v>2314</v>
      </c>
      <c r="B2315" s="23">
        <v>1435.9960000000001</v>
      </c>
      <c r="C2315" s="23">
        <v>967.20899999999995</v>
      </c>
    </row>
    <row r="2316" spans="1:3" x14ac:dyDescent="0.25">
      <c r="A2316">
        <v>2315</v>
      </c>
      <c r="B2316" s="23">
        <v>1435.98</v>
      </c>
      <c r="C2316" s="23">
        <v>967.2</v>
      </c>
    </row>
    <row r="2317" spans="1:3" x14ac:dyDescent="0.25">
      <c r="A2317">
        <v>2316</v>
      </c>
      <c r="B2317" s="23">
        <v>1435.7909999999999</v>
      </c>
      <c r="C2317" s="23">
        <v>966.95699999999999</v>
      </c>
    </row>
    <row r="2318" spans="1:3" x14ac:dyDescent="0.25">
      <c r="A2318">
        <v>2317</v>
      </c>
      <c r="B2318" s="23">
        <v>1435.7710750000001</v>
      </c>
      <c r="C2318" s="23">
        <v>966.66300000000001</v>
      </c>
    </row>
    <row r="2319" spans="1:3" x14ac:dyDescent="0.25">
      <c r="A2319">
        <v>2318</v>
      </c>
      <c r="B2319" s="23">
        <v>1435.6380140000001</v>
      </c>
      <c r="C2319" s="23">
        <v>966.51099999999997</v>
      </c>
    </row>
    <row r="2320" spans="1:3" x14ac:dyDescent="0.25">
      <c r="A2320">
        <v>2319</v>
      </c>
      <c r="B2320" s="23">
        <v>1435.444522</v>
      </c>
      <c r="C2320" s="23">
        <v>966.26700000000005</v>
      </c>
    </row>
    <row r="2321" spans="1:3" x14ac:dyDescent="0.25">
      <c r="A2321">
        <v>2320</v>
      </c>
      <c r="B2321" s="23">
        <v>1435.047</v>
      </c>
      <c r="C2321" s="23">
        <v>964.697</v>
      </c>
    </row>
    <row r="2322" spans="1:3" x14ac:dyDescent="0.25">
      <c r="A2322">
        <v>2321</v>
      </c>
      <c r="B2322" s="23">
        <v>1435.0329999999999</v>
      </c>
      <c r="C2322" s="23">
        <v>964</v>
      </c>
    </row>
    <row r="2323" spans="1:3" x14ac:dyDescent="0.25">
      <c r="A2323">
        <v>2322</v>
      </c>
      <c r="B2323" s="23">
        <v>1434.997472</v>
      </c>
      <c r="C2323" s="23">
        <v>963.74699999999996</v>
      </c>
    </row>
    <row r="2324" spans="1:3" x14ac:dyDescent="0.25">
      <c r="A2324">
        <v>2323</v>
      </c>
      <c r="B2324" s="23">
        <v>1434.587</v>
      </c>
      <c r="C2324" s="23">
        <v>963.2</v>
      </c>
    </row>
    <row r="2325" spans="1:3" x14ac:dyDescent="0.25">
      <c r="A2325">
        <v>2324</v>
      </c>
      <c r="B2325" s="23">
        <v>1434.4</v>
      </c>
      <c r="C2325" s="23">
        <v>962.06</v>
      </c>
    </row>
    <row r="2326" spans="1:3" x14ac:dyDescent="0.25">
      <c r="A2326">
        <v>2325</v>
      </c>
      <c r="B2326" s="23">
        <v>1434.4</v>
      </c>
      <c r="C2326" s="23">
        <v>961.99400000000003</v>
      </c>
    </row>
    <row r="2327" spans="1:3" x14ac:dyDescent="0.25">
      <c r="A2327">
        <v>2326</v>
      </c>
      <c r="B2327" s="23">
        <v>1434.3988099999999</v>
      </c>
      <c r="C2327" s="23">
        <v>960.25</v>
      </c>
    </row>
    <row r="2328" spans="1:3" x14ac:dyDescent="0.25">
      <c r="A2328">
        <v>2327</v>
      </c>
      <c r="B2328" s="23">
        <v>1434.311085</v>
      </c>
      <c r="C2328" s="23">
        <v>960</v>
      </c>
    </row>
    <row r="2329" spans="1:3" x14ac:dyDescent="0.25">
      <c r="A2329">
        <v>2328</v>
      </c>
      <c r="B2329" s="23">
        <v>1434.297806</v>
      </c>
      <c r="C2329" s="23">
        <v>959.85400000000004</v>
      </c>
    </row>
    <row r="2330" spans="1:3" x14ac:dyDescent="0.25">
      <c r="A2330">
        <v>2329</v>
      </c>
      <c r="B2330" s="23">
        <v>1434.290037</v>
      </c>
      <c r="C2330" s="23">
        <v>959.38499999999999</v>
      </c>
    </row>
    <row r="2331" spans="1:3" x14ac:dyDescent="0.25">
      <c r="A2331">
        <v>2330</v>
      </c>
      <c r="B2331" s="23">
        <v>1434.1469999999999</v>
      </c>
      <c r="C2331" s="23">
        <v>958.15700000000004</v>
      </c>
    </row>
    <row r="2332" spans="1:3" x14ac:dyDescent="0.25">
      <c r="A2332">
        <v>2331</v>
      </c>
      <c r="B2332" s="23">
        <v>1434.1010000000001</v>
      </c>
      <c r="C2332" s="23">
        <v>957.6</v>
      </c>
    </row>
    <row r="2333" spans="1:3" x14ac:dyDescent="0.25">
      <c r="A2333">
        <v>2332</v>
      </c>
      <c r="B2333" s="23">
        <v>1434.037</v>
      </c>
      <c r="C2333" s="23">
        <v>956.86099999999999</v>
      </c>
    </row>
    <row r="2334" spans="1:3" x14ac:dyDescent="0.25">
      <c r="A2334">
        <v>2333</v>
      </c>
      <c r="B2334" s="23">
        <v>1433.920572</v>
      </c>
      <c r="C2334" s="23">
        <v>956.46199999999999</v>
      </c>
    </row>
    <row r="2335" spans="1:3" x14ac:dyDescent="0.25">
      <c r="A2335">
        <v>2334</v>
      </c>
      <c r="B2335" s="23">
        <v>1433.6019209999999</v>
      </c>
      <c r="C2335" s="23">
        <v>956.17600000000004</v>
      </c>
    </row>
    <row r="2336" spans="1:3" x14ac:dyDescent="0.25">
      <c r="A2336">
        <v>2335</v>
      </c>
      <c r="B2336" s="23">
        <v>1433.6</v>
      </c>
      <c r="C2336" s="23">
        <v>956.17600000000004</v>
      </c>
    </row>
    <row r="2337" spans="1:3" x14ac:dyDescent="0.25">
      <c r="A2337">
        <v>2336</v>
      </c>
      <c r="B2337" s="23">
        <v>1433.6</v>
      </c>
      <c r="C2337" s="23">
        <v>955.90700000000004</v>
      </c>
    </row>
    <row r="2338" spans="1:3" x14ac:dyDescent="0.25">
      <c r="A2338">
        <v>2337</v>
      </c>
      <c r="B2338" s="23">
        <v>1433.6</v>
      </c>
      <c r="C2338" s="23">
        <v>955.21600000000001</v>
      </c>
    </row>
    <row r="2339" spans="1:3" x14ac:dyDescent="0.25">
      <c r="A2339">
        <v>2338</v>
      </c>
      <c r="B2339" s="23">
        <v>1433.6</v>
      </c>
      <c r="C2339" s="23">
        <v>955.04399999999998</v>
      </c>
    </row>
    <row r="2340" spans="1:3" x14ac:dyDescent="0.25">
      <c r="A2340">
        <v>2339</v>
      </c>
      <c r="B2340" s="23">
        <v>1433.6</v>
      </c>
      <c r="C2340" s="23">
        <v>954.52499999999998</v>
      </c>
    </row>
    <row r="2341" spans="1:3" x14ac:dyDescent="0.25">
      <c r="A2341">
        <v>2340</v>
      </c>
      <c r="B2341" s="23">
        <v>1433.371275</v>
      </c>
      <c r="C2341" s="23">
        <v>954.40700000000004</v>
      </c>
    </row>
    <row r="2342" spans="1:3" x14ac:dyDescent="0.25">
      <c r="A2342">
        <v>2341</v>
      </c>
      <c r="B2342" s="23">
        <v>1433.37</v>
      </c>
      <c r="C2342" s="23">
        <v>954.4</v>
      </c>
    </row>
    <row r="2343" spans="1:3" x14ac:dyDescent="0.25">
      <c r="A2343">
        <v>2342</v>
      </c>
      <c r="B2343" s="23">
        <v>1433.2991039999999</v>
      </c>
      <c r="C2343" s="23">
        <v>954.21299999999997</v>
      </c>
    </row>
    <row r="2344" spans="1:3" x14ac:dyDescent="0.25">
      <c r="A2344">
        <v>2343</v>
      </c>
      <c r="B2344" s="23">
        <v>1432.8</v>
      </c>
      <c r="C2344" s="23">
        <v>953.6</v>
      </c>
    </row>
    <row r="2345" spans="1:3" x14ac:dyDescent="0.25">
      <c r="A2345">
        <v>2344</v>
      </c>
      <c r="B2345" s="23">
        <v>1432.8</v>
      </c>
      <c r="C2345" s="23">
        <v>952.8</v>
      </c>
    </row>
    <row r="2346" spans="1:3" x14ac:dyDescent="0.25">
      <c r="A2346">
        <v>2345</v>
      </c>
      <c r="B2346" s="23">
        <v>1432.8</v>
      </c>
      <c r="C2346" s="23">
        <v>950.4</v>
      </c>
    </row>
    <row r="2347" spans="1:3" x14ac:dyDescent="0.25">
      <c r="A2347">
        <v>2346</v>
      </c>
      <c r="B2347" s="23">
        <v>1432.8</v>
      </c>
      <c r="C2347" s="23">
        <v>950.4</v>
      </c>
    </row>
    <row r="2348" spans="1:3" x14ac:dyDescent="0.25">
      <c r="A2348">
        <v>2347</v>
      </c>
      <c r="B2348" s="23">
        <v>1432.020139</v>
      </c>
      <c r="C2348" s="23">
        <v>949.6</v>
      </c>
    </row>
    <row r="2349" spans="1:3" x14ac:dyDescent="0.25">
      <c r="A2349">
        <v>2348</v>
      </c>
      <c r="B2349" s="23">
        <v>1432.008145</v>
      </c>
      <c r="C2349" s="23">
        <v>949.6</v>
      </c>
    </row>
    <row r="2350" spans="1:3" x14ac:dyDescent="0.25">
      <c r="A2350">
        <v>2349</v>
      </c>
      <c r="B2350" s="23">
        <v>1432</v>
      </c>
      <c r="C2350" s="23">
        <v>949.6</v>
      </c>
    </row>
    <row r="2351" spans="1:3" x14ac:dyDescent="0.25">
      <c r="A2351">
        <v>2350</v>
      </c>
      <c r="B2351" s="23">
        <v>1431.8520000000001</v>
      </c>
      <c r="C2351" s="23">
        <v>949.6</v>
      </c>
    </row>
    <row r="2352" spans="1:3" x14ac:dyDescent="0.25">
      <c r="A2352">
        <v>2351</v>
      </c>
      <c r="B2352" s="23">
        <v>1431.8140000000001</v>
      </c>
      <c r="C2352" s="23">
        <v>949.57500000000005</v>
      </c>
    </row>
    <row r="2353" spans="1:3" x14ac:dyDescent="0.25">
      <c r="A2353">
        <v>2352</v>
      </c>
      <c r="B2353" s="23">
        <v>1431.431</v>
      </c>
      <c r="C2353" s="23">
        <v>949.52300000000002</v>
      </c>
    </row>
    <row r="2354" spans="1:3" x14ac:dyDescent="0.25">
      <c r="A2354">
        <v>2353</v>
      </c>
      <c r="B2354" s="23">
        <v>1431.3985889999999</v>
      </c>
      <c r="C2354" s="23">
        <v>948.64200000000005</v>
      </c>
    </row>
    <row r="2355" spans="1:3" x14ac:dyDescent="0.25">
      <c r="A2355">
        <v>2354</v>
      </c>
      <c r="B2355" s="23">
        <v>1431.2112569999999</v>
      </c>
      <c r="C2355" s="23">
        <v>946.45799999999997</v>
      </c>
    </row>
    <row r="2356" spans="1:3" x14ac:dyDescent="0.25">
      <c r="A2356">
        <v>2355</v>
      </c>
      <c r="B2356" s="23">
        <v>1431.202309</v>
      </c>
      <c r="C2356" s="23">
        <v>945.90599999999995</v>
      </c>
    </row>
    <row r="2357" spans="1:3" x14ac:dyDescent="0.25">
      <c r="A2357">
        <v>2356</v>
      </c>
      <c r="B2357" s="23">
        <v>1431.202309</v>
      </c>
      <c r="C2357" s="23">
        <v>945.90599999999995</v>
      </c>
    </row>
    <row r="2358" spans="1:3" x14ac:dyDescent="0.25">
      <c r="A2358">
        <v>2357</v>
      </c>
      <c r="B2358" s="23">
        <v>1431.2</v>
      </c>
      <c r="C2358" s="23">
        <v>945.14300000000003</v>
      </c>
    </row>
    <row r="2359" spans="1:3" x14ac:dyDescent="0.25">
      <c r="A2359">
        <v>2358</v>
      </c>
      <c r="B2359" s="23">
        <v>1431.2</v>
      </c>
      <c r="C2359" s="23">
        <v>944.51700000000005</v>
      </c>
    </row>
    <row r="2360" spans="1:3" x14ac:dyDescent="0.25">
      <c r="A2360">
        <v>2359</v>
      </c>
      <c r="B2360" s="23">
        <v>1431.18</v>
      </c>
      <c r="C2360" s="23">
        <v>944.16499999999996</v>
      </c>
    </row>
    <row r="2361" spans="1:3" x14ac:dyDescent="0.25">
      <c r="A2361">
        <v>2360</v>
      </c>
      <c r="B2361" s="23">
        <v>1431.1559999999999</v>
      </c>
      <c r="C2361" s="23">
        <v>943.98</v>
      </c>
    </row>
    <row r="2362" spans="1:3" x14ac:dyDescent="0.25">
      <c r="A2362">
        <v>2361</v>
      </c>
      <c r="B2362" s="23">
        <v>1430.954</v>
      </c>
      <c r="C2362" s="23">
        <v>943.2</v>
      </c>
    </row>
    <row r="2363" spans="1:3" x14ac:dyDescent="0.25">
      <c r="A2363">
        <v>2362</v>
      </c>
      <c r="B2363" s="23">
        <v>1430.4449999999999</v>
      </c>
      <c r="C2363" s="23">
        <v>942.42600000000004</v>
      </c>
    </row>
    <row r="2364" spans="1:3" x14ac:dyDescent="0.25">
      <c r="A2364">
        <v>2363</v>
      </c>
      <c r="B2364" s="23">
        <v>1430.414368</v>
      </c>
      <c r="C2364" s="23">
        <v>942.4</v>
      </c>
    </row>
    <row r="2365" spans="1:3" x14ac:dyDescent="0.25">
      <c r="A2365">
        <v>2364</v>
      </c>
      <c r="B2365" s="23">
        <v>1430.406369</v>
      </c>
      <c r="C2365" s="23">
        <v>942.4</v>
      </c>
    </row>
    <row r="2366" spans="1:3" x14ac:dyDescent="0.25">
      <c r="A2366">
        <v>2365</v>
      </c>
      <c r="B2366" s="23">
        <v>1430.4</v>
      </c>
      <c r="C2366" s="23">
        <v>941.40200000000004</v>
      </c>
    </row>
    <row r="2367" spans="1:3" x14ac:dyDescent="0.25">
      <c r="A2367">
        <v>2366</v>
      </c>
      <c r="B2367" s="23">
        <v>1430.4</v>
      </c>
      <c r="C2367" s="23">
        <v>940.8</v>
      </c>
    </row>
    <row r="2368" spans="1:3" x14ac:dyDescent="0.25">
      <c r="A2368">
        <v>2367</v>
      </c>
      <c r="B2368" s="23">
        <v>1430.203</v>
      </c>
      <c r="C2368" s="23">
        <v>940.18700000000001</v>
      </c>
    </row>
    <row r="2369" spans="1:3" x14ac:dyDescent="0.25">
      <c r="A2369">
        <v>2368</v>
      </c>
      <c r="B2369" s="23">
        <v>1430.007165</v>
      </c>
      <c r="C2369" s="23">
        <v>939.33</v>
      </c>
    </row>
    <row r="2370" spans="1:3" x14ac:dyDescent="0.25">
      <c r="A2370">
        <v>2369</v>
      </c>
      <c r="B2370" s="23">
        <v>1429.627</v>
      </c>
      <c r="C2370" s="23">
        <v>939.31799999999998</v>
      </c>
    </row>
    <row r="2371" spans="1:3" x14ac:dyDescent="0.25">
      <c r="A2371">
        <v>2370</v>
      </c>
      <c r="B2371" s="23">
        <v>1429.6</v>
      </c>
      <c r="C2371" s="23">
        <v>939.20500000000004</v>
      </c>
    </row>
    <row r="2372" spans="1:3" x14ac:dyDescent="0.25">
      <c r="A2372">
        <v>2371</v>
      </c>
      <c r="B2372" s="23">
        <v>1429.6</v>
      </c>
      <c r="C2372" s="23">
        <v>937.6</v>
      </c>
    </row>
    <row r="2373" spans="1:3" x14ac:dyDescent="0.25">
      <c r="A2373">
        <v>2372</v>
      </c>
      <c r="B2373" s="23">
        <v>1429.6</v>
      </c>
      <c r="C2373" s="23">
        <v>937.49599999999998</v>
      </c>
    </row>
    <row r="2374" spans="1:3" x14ac:dyDescent="0.25">
      <c r="A2374">
        <v>2373</v>
      </c>
      <c r="B2374" s="23">
        <v>1429.566253</v>
      </c>
      <c r="C2374" s="23">
        <v>936.67100000000005</v>
      </c>
    </row>
    <row r="2375" spans="1:3" x14ac:dyDescent="0.25">
      <c r="A2375">
        <v>2374</v>
      </c>
      <c r="B2375" s="23">
        <v>1429.4650750000001</v>
      </c>
      <c r="C2375" s="23">
        <v>936.56399999999996</v>
      </c>
    </row>
    <row r="2376" spans="1:3" x14ac:dyDescent="0.25">
      <c r="A2376">
        <v>2375</v>
      </c>
      <c r="B2376" s="23">
        <v>1429.4511299999999</v>
      </c>
      <c r="C2376" s="23">
        <v>936</v>
      </c>
    </row>
    <row r="2377" spans="1:3" x14ac:dyDescent="0.25">
      <c r="A2377">
        <v>2376</v>
      </c>
      <c r="B2377" s="23">
        <v>1429.443</v>
      </c>
      <c r="C2377" s="23">
        <v>935.577</v>
      </c>
    </row>
    <row r="2378" spans="1:3" x14ac:dyDescent="0.25">
      <c r="A2378">
        <v>2377</v>
      </c>
      <c r="B2378" s="23">
        <v>1429.3409409999999</v>
      </c>
      <c r="C2378" s="23">
        <v>935.43399999999997</v>
      </c>
    </row>
    <row r="2379" spans="1:3" x14ac:dyDescent="0.25">
      <c r="A2379">
        <v>2378</v>
      </c>
      <c r="B2379" s="23">
        <v>1429.183</v>
      </c>
      <c r="C2379" s="23">
        <v>935.08900000000006</v>
      </c>
    </row>
    <row r="2380" spans="1:3" x14ac:dyDescent="0.25">
      <c r="A2380">
        <v>2379</v>
      </c>
      <c r="B2380" s="23">
        <v>1429.0673059999999</v>
      </c>
      <c r="C2380" s="23">
        <v>934.78499999999997</v>
      </c>
    </row>
    <row r="2381" spans="1:3" x14ac:dyDescent="0.25">
      <c r="A2381">
        <v>2380</v>
      </c>
      <c r="B2381" s="23">
        <v>1428.8</v>
      </c>
      <c r="C2381" s="23">
        <v>934.75400000000002</v>
      </c>
    </row>
    <row r="2382" spans="1:3" x14ac:dyDescent="0.25">
      <c r="A2382">
        <v>2381</v>
      </c>
      <c r="B2382" s="23">
        <v>1428.7283050000001</v>
      </c>
      <c r="C2382" s="23">
        <v>934.4</v>
      </c>
    </row>
    <row r="2383" spans="1:3" x14ac:dyDescent="0.25">
      <c r="A2383">
        <v>2382</v>
      </c>
      <c r="B2383" s="23">
        <v>1428.522755</v>
      </c>
      <c r="C2383" s="23">
        <v>934.11</v>
      </c>
    </row>
    <row r="2384" spans="1:3" x14ac:dyDescent="0.25">
      <c r="A2384">
        <v>2383</v>
      </c>
      <c r="B2384" s="23">
        <v>1428.379852</v>
      </c>
      <c r="C2384" s="23">
        <v>933.6</v>
      </c>
    </row>
    <row r="2385" spans="1:3" x14ac:dyDescent="0.25">
      <c r="A2385">
        <v>2384</v>
      </c>
      <c r="B2385" s="23">
        <v>1428.023704</v>
      </c>
      <c r="C2385" s="23">
        <v>933.11400000000003</v>
      </c>
    </row>
    <row r="2386" spans="1:3" x14ac:dyDescent="0.25">
      <c r="A2386">
        <v>2385</v>
      </c>
      <c r="B2386" s="23">
        <v>1428.0123759999999</v>
      </c>
      <c r="C2386" s="23">
        <v>932</v>
      </c>
    </row>
    <row r="2387" spans="1:3" x14ac:dyDescent="0.25">
      <c r="A2387">
        <v>2386</v>
      </c>
      <c r="B2387" s="23">
        <v>1428</v>
      </c>
      <c r="C2387" s="23">
        <v>931.04200000000003</v>
      </c>
    </row>
    <row r="2388" spans="1:3" x14ac:dyDescent="0.25">
      <c r="A2388">
        <v>2387</v>
      </c>
      <c r="B2388" s="23">
        <v>1428</v>
      </c>
      <c r="C2388" s="23">
        <v>930.78099999999995</v>
      </c>
    </row>
    <row r="2389" spans="1:3" x14ac:dyDescent="0.25">
      <c r="A2389">
        <v>2388</v>
      </c>
      <c r="B2389" s="23">
        <v>1428</v>
      </c>
      <c r="C2389" s="23">
        <v>930.38</v>
      </c>
    </row>
    <row r="2390" spans="1:3" x14ac:dyDescent="0.25">
      <c r="A2390">
        <v>2389</v>
      </c>
      <c r="B2390" s="23">
        <v>1428</v>
      </c>
      <c r="C2390" s="23">
        <v>928.279</v>
      </c>
    </row>
    <row r="2391" spans="1:3" x14ac:dyDescent="0.25">
      <c r="A2391">
        <v>2390</v>
      </c>
      <c r="B2391" s="23">
        <v>1428</v>
      </c>
      <c r="C2391" s="23">
        <v>927.58799999999997</v>
      </c>
    </row>
    <row r="2392" spans="1:3" x14ac:dyDescent="0.25">
      <c r="A2392">
        <v>2391</v>
      </c>
      <c r="B2392" s="23">
        <v>1427.9309900000001</v>
      </c>
      <c r="C2392" s="23">
        <v>926.89800000000002</v>
      </c>
    </row>
    <row r="2393" spans="1:3" x14ac:dyDescent="0.25">
      <c r="A2393">
        <v>2392</v>
      </c>
      <c r="B2393" s="23">
        <v>1427.8979999999999</v>
      </c>
      <c r="C2393" s="23">
        <v>926.88699999999994</v>
      </c>
    </row>
    <row r="2394" spans="1:3" x14ac:dyDescent="0.25">
      <c r="A2394">
        <v>2393</v>
      </c>
      <c r="B2394" s="23">
        <v>1427.726852</v>
      </c>
      <c r="C2394" s="23">
        <v>926.84500000000003</v>
      </c>
    </row>
    <row r="2395" spans="1:3" x14ac:dyDescent="0.25">
      <c r="A2395">
        <v>2394</v>
      </c>
      <c r="B2395" s="23">
        <v>1427.338006</v>
      </c>
      <c r="C2395" s="23">
        <v>926.66700000000003</v>
      </c>
    </row>
    <row r="2396" spans="1:3" x14ac:dyDescent="0.25">
      <c r="A2396">
        <v>2395</v>
      </c>
      <c r="B2396" s="23">
        <v>1427.2354379999999</v>
      </c>
      <c r="C2396" s="23">
        <v>926.601</v>
      </c>
    </row>
    <row r="2397" spans="1:3" x14ac:dyDescent="0.25">
      <c r="A2397">
        <v>2396</v>
      </c>
      <c r="B2397" s="23">
        <v>1427.2</v>
      </c>
      <c r="C2397" s="23">
        <v>926.23599999999999</v>
      </c>
    </row>
    <row r="2398" spans="1:3" x14ac:dyDescent="0.25">
      <c r="A2398">
        <v>2397</v>
      </c>
      <c r="B2398" s="23">
        <v>1427.2</v>
      </c>
      <c r="C2398" s="23">
        <v>925.28399999999999</v>
      </c>
    </row>
    <row r="2399" spans="1:3" x14ac:dyDescent="0.25">
      <c r="A2399">
        <v>2398</v>
      </c>
      <c r="B2399" s="23">
        <v>1427.1131600000001</v>
      </c>
      <c r="C2399" s="23">
        <v>924.96600000000001</v>
      </c>
    </row>
    <row r="2400" spans="1:3" x14ac:dyDescent="0.25">
      <c r="A2400">
        <v>2399</v>
      </c>
      <c r="B2400" s="23">
        <v>1426.6510000000001</v>
      </c>
      <c r="C2400" s="23">
        <v>924.50300000000004</v>
      </c>
    </row>
    <row r="2401" spans="1:3" x14ac:dyDescent="0.25">
      <c r="A2401">
        <v>2400</v>
      </c>
      <c r="B2401" s="23">
        <v>1426.3623540000001</v>
      </c>
      <c r="C2401" s="23">
        <v>924.37900000000002</v>
      </c>
    </row>
    <row r="2402" spans="1:3" x14ac:dyDescent="0.25">
      <c r="A2402">
        <v>2401</v>
      </c>
      <c r="B2402" s="23">
        <v>1426.3230000000001</v>
      </c>
      <c r="C2402" s="23">
        <v>924</v>
      </c>
    </row>
    <row r="2403" spans="1:3" x14ac:dyDescent="0.25">
      <c r="A2403">
        <v>2402</v>
      </c>
      <c r="B2403" s="23">
        <v>1426.2953299999999</v>
      </c>
      <c r="C2403" s="23">
        <v>923.54499999999996</v>
      </c>
    </row>
    <row r="2404" spans="1:3" x14ac:dyDescent="0.25">
      <c r="A2404">
        <v>2403</v>
      </c>
      <c r="B2404" s="23">
        <v>1426.2825029999999</v>
      </c>
      <c r="C2404" s="23">
        <v>923.2</v>
      </c>
    </row>
    <row r="2405" spans="1:3" x14ac:dyDescent="0.25">
      <c r="A2405">
        <v>2404</v>
      </c>
      <c r="B2405" s="23">
        <v>1426.244651</v>
      </c>
      <c r="C2405" s="23">
        <v>923.2</v>
      </c>
    </row>
    <row r="2406" spans="1:3" x14ac:dyDescent="0.25">
      <c r="A2406">
        <v>2405</v>
      </c>
      <c r="B2406" s="23">
        <v>1425.846</v>
      </c>
      <c r="C2406" s="23">
        <v>923.00300000000004</v>
      </c>
    </row>
    <row r="2407" spans="1:3" x14ac:dyDescent="0.25">
      <c r="A2407">
        <v>2406</v>
      </c>
      <c r="B2407" s="23">
        <v>1425.732</v>
      </c>
      <c r="C2407" s="23">
        <v>923.00300000000004</v>
      </c>
    </row>
    <row r="2408" spans="1:3" x14ac:dyDescent="0.25">
      <c r="A2408">
        <v>2407</v>
      </c>
      <c r="B2408" s="23">
        <v>1425.6</v>
      </c>
      <c r="C2408" s="23">
        <v>922.471</v>
      </c>
    </row>
    <row r="2409" spans="1:3" x14ac:dyDescent="0.25">
      <c r="A2409">
        <v>2408</v>
      </c>
      <c r="B2409" s="23">
        <v>1425.6</v>
      </c>
      <c r="C2409" s="23">
        <v>921.6</v>
      </c>
    </row>
    <row r="2410" spans="1:3" x14ac:dyDescent="0.25">
      <c r="A2410">
        <v>2409</v>
      </c>
      <c r="B2410" s="23">
        <v>1425.4775</v>
      </c>
      <c r="C2410" s="23">
        <v>921.6</v>
      </c>
    </row>
    <row r="2411" spans="1:3" x14ac:dyDescent="0.25">
      <c r="A2411">
        <v>2410</v>
      </c>
      <c r="B2411" s="23">
        <v>1425.4722959999999</v>
      </c>
      <c r="C2411" s="23">
        <v>921.221</v>
      </c>
    </row>
    <row r="2412" spans="1:3" x14ac:dyDescent="0.25">
      <c r="A2412">
        <v>2411</v>
      </c>
      <c r="B2412" s="23">
        <v>1425.3879959999999</v>
      </c>
      <c r="C2412" s="23">
        <v>920.83</v>
      </c>
    </row>
    <row r="2413" spans="1:3" x14ac:dyDescent="0.25">
      <c r="A2413">
        <v>2412</v>
      </c>
      <c r="B2413" s="23">
        <v>1425.0429999999999</v>
      </c>
      <c r="C2413" s="23">
        <v>920.35599999999999</v>
      </c>
    </row>
    <row r="2414" spans="1:3" x14ac:dyDescent="0.25">
      <c r="A2414">
        <v>2413</v>
      </c>
      <c r="B2414" s="23">
        <v>1424.9425000000001</v>
      </c>
      <c r="C2414" s="23">
        <v>920</v>
      </c>
    </row>
    <row r="2415" spans="1:3" x14ac:dyDescent="0.25">
      <c r="A2415">
        <v>2414</v>
      </c>
      <c r="B2415" s="23">
        <v>1424.8809759999999</v>
      </c>
      <c r="C2415" s="23">
        <v>919.3</v>
      </c>
    </row>
    <row r="2416" spans="1:3" x14ac:dyDescent="0.25">
      <c r="A2416">
        <v>2415</v>
      </c>
      <c r="B2416" s="23">
        <v>1424.8</v>
      </c>
      <c r="C2416" s="23">
        <v>918.66399999999999</v>
      </c>
    </row>
    <row r="2417" spans="1:3" x14ac:dyDescent="0.25">
      <c r="A2417">
        <v>2416</v>
      </c>
      <c r="B2417" s="23">
        <v>1424.8</v>
      </c>
      <c r="C2417" s="23">
        <v>918.61599999999999</v>
      </c>
    </row>
    <row r="2418" spans="1:3" x14ac:dyDescent="0.25">
      <c r="A2418">
        <v>2417</v>
      </c>
      <c r="B2418" s="23">
        <v>1424.8</v>
      </c>
      <c r="C2418" s="23">
        <v>916.01</v>
      </c>
    </row>
    <row r="2419" spans="1:3" x14ac:dyDescent="0.25">
      <c r="A2419">
        <v>2418</v>
      </c>
      <c r="B2419" s="23">
        <v>1424.639917</v>
      </c>
      <c r="C2419" s="23">
        <v>916</v>
      </c>
    </row>
    <row r="2420" spans="1:3" x14ac:dyDescent="0.25">
      <c r="A2420">
        <v>2419</v>
      </c>
      <c r="B2420" s="23">
        <v>1424.521982</v>
      </c>
      <c r="C2420" s="23">
        <v>914.78800000000001</v>
      </c>
    </row>
    <row r="2421" spans="1:3" x14ac:dyDescent="0.25">
      <c r="A2421">
        <v>2420</v>
      </c>
      <c r="B2421" s="23">
        <v>1424.127686</v>
      </c>
      <c r="C2421" s="23">
        <v>914.33399999999995</v>
      </c>
    </row>
    <row r="2422" spans="1:3" x14ac:dyDescent="0.25">
      <c r="A2422">
        <v>2421</v>
      </c>
      <c r="B2422" s="23">
        <v>1424.117</v>
      </c>
      <c r="C2422" s="23">
        <v>914.25099999999998</v>
      </c>
    </row>
    <row r="2423" spans="1:3" x14ac:dyDescent="0.25">
      <c r="A2423">
        <v>2422</v>
      </c>
      <c r="B2423" s="23">
        <v>1424</v>
      </c>
      <c r="C2423" s="23">
        <v>913.94500000000005</v>
      </c>
    </row>
    <row r="2424" spans="1:3" x14ac:dyDescent="0.25">
      <c r="A2424">
        <v>2423</v>
      </c>
      <c r="B2424" s="23">
        <v>1424</v>
      </c>
      <c r="C2424" s="23">
        <v>913.51599999999996</v>
      </c>
    </row>
    <row r="2425" spans="1:3" x14ac:dyDescent="0.25">
      <c r="A2425">
        <v>2424</v>
      </c>
      <c r="B2425" s="23">
        <v>1423.9667320000001</v>
      </c>
      <c r="C2425" s="23">
        <v>913.49800000000005</v>
      </c>
    </row>
    <row r="2426" spans="1:3" x14ac:dyDescent="0.25">
      <c r="A2426">
        <v>2425</v>
      </c>
      <c r="B2426" s="23">
        <v>1423.882873</v>
      </c>
      <c r="C2426" s="23">
        <v>912.04499999999996</v>
      </c>
    </row>
    <row r="2427" spans="1:3" x14ac:dyDescent="0.25">
      <c r="A2427">
        <v>2426</v>
      </c>
      <c r="B2427" s="23">
        <v>1423.84184</v>
      </c>
      <c r="C2427" s="23">
        <v>911.70299999999997</v>
      </c>
    </row>
    <row r="2428" spans="1:3" x14ac:dyDescent="0.25">
      <c r="A2428">
        <v>2427</v>
      </c>
      <c r="B2428" s="23">
        <v>1423.677252</v>
      </c>
      <c r="C2428" s="23">
        <v>911.70299999999997</v>
      </c>
    </row>
    <row r="2429" spans="1:3" x14ac:dyDescent="0.25">
      <c r="A2429">
        <v>2428</v>
      </c>
      <c r="B2429" s="23">
        <v>1423.45</v>
      </c>
      <c r="C2429" s="23">
        <v>910.84799999999996</v>
      </c>
    </row>
    <row r="2430" spans="1:3" x14ac:dyDescent="0.25">
      <c r="A2430">
        <v>2429</v>
      </c>
      <c r="B2430" s="23">
        <v>1423.39</v>
      </c>
      <c r="C2430" s="23">
        <v>910.32899999999995</v>
      </c>
    </row>
    <row r="2431" spans="1:3" x14ac:dyDescent="0.25">
      <c r="A2431">
        <v>2430</v>
      </c>
      <c r="B2431" s="23">
        <v>1423.350747</v>
      </c>
      <c r="C2431" s="23">
        <v>910.32100000000003</v>
      </c>
    </row>
    <row r="2432" spans="1:3" x14ac:dyDescent="0.25">
      <c r="A2432">
        <v>2431</v>
      </c>
      <c r="B2432" s="23">
        <v>1423.2</v>
      </c>
      <c r="C2432" s="23">
        <v>907.06600000000003</v>
      </c>
    </row>
    <row r="2433" spans="1:3" x14ac:dyDescent="0.25">
      <c r="A2433">
        <v>2432</v>
      </c>
      <c r="B2433" s="23">
        <v>1423.2</v>
      </c>
      <c r="C2433" s="23">
        <v>906.4</v>
      </c>
    </row>
    <row r="2434" spans="1:3" x14ac:dyDescent="0.25">
      <c r="A2434">
        <v>2433</v>
      </c>
      <c r="B2434" s="23">
        <v>1423.2</v>
      </c>
      <c r="C2434" s="23">
        <v>906.16099999999994</v>
      </c>
    </row>
    <row r="2435" spans="1:3" x14ac:dyDescent="0.25">
      <c r="A2435">
        <v>2434</v>
      </c>
      <c r="B2435" s="23">
        <v>1423.2</v>
      </c>
      <c r="C2435" s="23">
        <v>906.16099999999994</v>
      </c>
    </row>
    <row r="2436" spans="1:3" x14ac:dyDescent="0.25">
      <c r="A2436">
        <v>2435</v>
      </c>
      <c r="B2436" s="23">
        <v>1422.7356560000001</v>
      </c>
      <c r="C2436" s="23">
        <v>905.6</v>
      </c>
    </row>
    <row r="2437" spans="1:3" x14ac:dyDescent="0.25">
      <c r="A2437">
        <v>2436</v>
      </c>
      <c r="B2437" s="23">
        <v>1422.6933630000001</v>
      </c>
      <c r="C2437" s="23">
        <v>905.25900000000001</v>
      </c>
    </row>
    <row r="2438" spans="1:3" x14ac:dyDescent="0.25">
      <c r="A2438">
        <v>2437</v>
      </c>
      <c r="B2438" s="23">
        <v>1422.5930000000001</v>
      </c>
      <c r="C2438" s="23">
        <v>905.22400000000005</v>
      </c>
    </row>
    <row r="2439" spans="1:3" x14ac:dyDescent="0.25">
      <c r="A2439">
        <v>2438</v>
      </c>
      <c r="B2439" s="23">
        <v>1422.4939999999999</v>
      </c>
      <c r="C2439" s="23">
        <v>904.85199999999998</v>
      </c>
    </row>
    <row r="2440" spans="1:3" x14ac:dyDescent="0.25">
      <c r="A2440">
        <v>2439</v>
      </c>
      <c r="B2440" s="23">
        <v>1422.415</v>
      </c>
      <c r="C2440" s="23">
        <v>904.8</v>
      </c>
    </row>
    <row r="2441" spans="1:3" x14ac:dyDescent="0.25">
      <c r="A2441">
        <v>2440</v>
      </c>
      <c r="B2441" s="23">
        <v>1422.4</v>
      </c>
      <c r="C2441" s="23">
        <v>904.63699999999994</v>
      </c>
    </row>
    <row r="2442" spans="1:3" x14ac:dyDescent="0.25">
      <c r="A2442">
        <v>2441</v>
      </c>
      <c r="B2442" s="23">
        <v>1422.4</v>
      </c>
      <c r="C2442" s="23">
        <v>904.06399999999996</v>
      </c>
    </row>
    <row r="2443" spans="1:3" x14ac:dyDescent="0.25">
      <c r="A2443">
        <v>2442</v>
      </c>
      <c r="B2443" s="23">
        <v>1422.4</v>
      </c>
      <c r="C2443" s="23">
        <v>903.2</v>
      </c>
    </row>
    <row r="2444" spans="1:3" x14ac:dyDescent="0.25">
      <c r="A2444">
        <v>2443</v>
      </c>
      <c r="B2444" s="23">
        <v>1421.989</v>
      </c>
      <c r="C2444" s="23">
        <v>902.85500000000002</v>
      </c>
    </row>
    <row r="2445" spans="1:3" x14ac:dyDescent="0.25">
      <c r="A2445">
        <v>2444</v>
      </c>
      <c r="B2445" s="23">
        <v>1421.894405</v>
      </c>
      <c r="C2445" s="23">
        <v>902.48299999999995</v>
      </c>
    </row>
    <row r="2446" spans="1:3" x14ac:dyDescent="0.25">
      <c r="A2446">
        <v>2445</v>
      </c>
      <c r="B2446" s="23">
        <v>1421.7170000000001</v>
      </c>
      <c r="C2446" s="23">
        <v>901.68399999999997</v>
      </c>
    </row>
    <row r="2447" spans="1:3" x14ac:dyDescent="0.25">
      <c r="A2447">
        <v>2446</v>
      </c>
      <c r="B2447" s="23">
        <v>1421.665</v>
      </c>
      <c r="C2447" s="23">
        <v>899.99699999999996</v>
      </c>
    </row>
    <row r="2448" spans="1:3" x14ac:dyDescent="0.25">
      <c r="A2448">
        <v>2447</v>
      </c>
      <c r="B2448" s="23">
        <v>1421.648598</v>
      </c>
      <c r="C2448" s="23">
        <v>899.68700000000001</v>
      </c>
    </row>
    <row r="2449" spans="1:3" x14ac:dyDescent="0.25">
      <c r="A2449">
        <v>2448</v>
      </c>
      <c r="B2449" s="23">
        <v>1421.6</v>
      </c>
      <c r="C2449" s="23">
        <v>897.6</v>
      </c>
    </row>
    <row r="2450" spans="1:3" x14ac:dyDescent="0.25">
      <c r="A2450">
        <v>2449</v>
      </c>
      <c r="B2450" s="23">
        <v>1421.6</v>
      </c>
      <c r="C2450" s="23">
        <v>897.34900000000005</v>
      </c>
    </row>
    <row r="2451" spans="1:3" x14ac:dyDescent="0.25">
      <c r="A2451">
        <v>2450</v>
      </c>
      <c r="B2451" s="23">
        <v>1421.6</v>
      </c>
      <c r="C2451" s="23">
        <v>896.58699999999999</v>
      </c>
    </row>
    <row r="2452" spans="1:3" x14ac:dyDescent="0.25">
      <c r="A2452">
        <v>2451</v>
      </c>
      <c r="B2452" s="23">
        <v>1421.2449999999999</v>
      </c>
      <c r="C2452" s="23">
        <v>896</v>
      </c>
    </row>
    <row r="2453" spans="1:3" x14ac:dyDescent="0.25">
      <c r="A2453">
        <v>2452</v>
      </c>
      <c r="B2453" s="23">
        <v>1421.1869999999999</v>
      </c>
      <c r="C2453" s="23">
        <v>895.95699999999999</v>
      </c>
    </row>
    <row r="2454" spans="1:3" x14ac:dyDescent="0.25">
      <c r="A2454">
        <v>2453</v>
      </c>
      <c r="B2454" s="23">
        <v>1421.0246520000001</v>
      </c>
      <c r="C2454" s="23">
        <v>895.12599999999998</v>
      </c>
    </row>
    <row r="2455" spans="1:3" x14ac:dyDescent="0.25">
      <c r="A2455">
        <v>2454</v>
      </c>
      <c r="B2455" s="23">
        <v>1421.019933</v>
      </c>
      <c r="C2455" s="23">
        <v>895.12599999999998</v>
      </c>
    </row>
    <row r="2456" spans="1:3" x14ac:dyDescent="0.25">
      <c r="A2456">
        <v>2455</v>
      </c>
      <c r="B2456" s="23">
        <v>1421.019933</v>
      </c>
      <c r="C2456" s="23">
        <v>895.03300000000002</v>
      </c>
    </row>
    <row r="2457" spans="1:3" x14ac:dyDescent="0.25">
      <c r="A2457">
        <v>2456</v>
      </c>
      <c r="B2457" s="23">
        <v>1420.8680240000001</v>
      </c>
      <c r="C2457" s="23">
        <v>894.4</v>
      </c>
    </row>
    <row r="2458" spans="1:3" x14ac:dyDescent="0.25">
      <c r="A2458">
        <v>2457</v>
      </c>
      <c r="B2458" s="23">
        <v>1420.8</v>
      </c>
      <c r="C2458" s="23">
        <v>892.8</v>
      </c>
    </row>
    <row r="2459" spans="1:3" x14ac:dyDescent="0.25">
      <c r="A2459">
        <v>2458</v>
      </c>
      <c r="B2459" s="23">
        <v>1420.6499160000001</v>
      </c>
      <c r="C2459" s="23">
        <v>892.43100000000004</v>
      </c>
    </row>
    <row r="2460" spans="1:3" x14ac:dyDescent="0.25">
      <c r="A2460">
        <v>2459</v>
      </c>
      <c r="B2460" s="23">
        <v>1420.356</v>
      </c>
      <c r="C2460" s="23">
        <v>891.92499999999995</v>
      </c>
    </row>
    <row r="2461" spans="1:3" x14ac:dyDescent="0.25">
      <c r="A2461">
        <v>2460</v>
      </c>
      <c r="B2461" s="23">
        <v>1420.2429950000001</v>
      </c>
      <c r="C2461" s="23">
        <v>890.71500000000003</v>
      </c>
    </row>
    <row r="2462" spans="1:3" x14ac:dyDescent="0.25">
      <c r="A2462">
        <v>2461</v>
      </c>
      <c r="B2462" s="23">
        <v>1420.209145</v>
      </c>
      <c r="C2462" s="23">
        <v>890.4</v>
      </c>
    </row>
    <row r="2463" spans="1:3" x14ac:dyDescent="0.25">
      <c r="A2463">
        <v>2462</v>
      </c>
      <c r="B2463" s="23">
        <v>1420.104333</v>
      </c>
      <c r="C2463" s="23">
        <v>890.4</v>
      </c>
    </row>
    <row r="2464" spans="1:3" x14ac:dyDescent="0.25">
      <c r="A2464">
        <v>2463</v>
      </c>
      <c r="B2464" s="23">
        <v>1420.0830000000001</v>
      </c>
      <c r="C2464" s="23">
        <v>889.27</v>
      </c>
    </row>
    <row r="2465" spans="1:3" x14ac:dyDescent="0.25">
      <c r="A2465">
        <v>2464</v>
      </c>
      <c r="B2465" s="23">
        <v>1420</v>
      </c>
      <c r="C2465" s="23">
        <v>889.24400000000003</v>
      </c>
    </row>
    <row r="2466" spans="1:3" x14ac:dyDescent="0.25">
      <c r="A2466">
        <v>2465</v>
      </c>
      <c r="B2466" s="23">
        <v>1420</v>
      </c>
      <c r="C2466" s="23">
        <v>888.01400000000001</v>
      </c>
    </row>
    <row r="2467" spans="1:3" x14ac:dyDescent="0.25">
      <c r="A2467">
        <v>2466</v>
      </c>
      <c r="B2467" s="23">
        <v>1419.829</v>
      </c>
      <c r="C2467" s="23">
        <v>888</v>
      </c>
    </row>
    <row r="2468" spans="1:3" x14ac:dyDescent="0.25">
      <c r="A2468">
        <v>2467</v>
      </c>
      <c r="B2468" s="23">
        <v>1419.6089999999999</v>
      </c>
      <c r="C2468" s="23">
        <v>886.71799999999996</v>
      </c>
    </row>
    <row r="2469" spans="1:3" x14ac:dyDescent="0.25">
      <c r="A2469">
        <v>2468</v>
      </c>
      <c r="B2469" s="23">
        <v>1419.53</v>
      </c>
      <c r="C2469" s="23">
        <v>886.15499999999997</v>
      </c>
    </row>
    <row r="2470" spans="1:3" x14ac:dyDescent="0.25">
      <c r="A2470">
        <v>2469</v>
      </c>
      <c r="B2470" s="23">
        <v>1419.466056</v>
      </c>
      <c r="C2470" s="23">
        <v>885.428</v>
      </c>
    </row>
    <row r="2471" spans="1:3" x14ac:dyDescent="0.25">
      <c r="A2471">
        <v>2470</v>
      </c>
      <c r="B2471" s="23">
        <v>1419.2</v>
      </c>
      <c r="C2471" s="23">
        <v>883.23299999999995</v>
      </c>
    </row>
    <row r="2472" spans="1:3" x14ac:dyDescent="0.25">
      <c r="A2472">
        <v>2471</v>
      </c>
      <c r="B2472" s="23">
        <v>1419.0239999999999</v>
      </c>
      <c r="C2472" s="23">
        <v>883.2</v>
      </c>
    </row>
    <row r="2473" spans="1:3" x14ac:dyDescent="0.25">
      <c r="A2473">
        <v>2472</v>
      </c>
      <c r="B2473" s="23">
        <v>1419.01</v>
      </c>
      <c r="C2473" s="23">
        <v>882.62400000000002</v>
      </c>
    </row>
    <row r="2474" spans="1:3" x14ac:dyDescent="0.25">
      <c r="A2474">
        <v>2473</v>
      </c>
      <c r="B2474" s="23">
        <v>1418.787</v>
      </c>
      <c r="C2474" s="23">
        <v>882.45899999999995</v>
      </c>
    </row>
    <row r="2475" spans="1:3" x14ac:dyDescent="0.25">
      <c r="A2475">
        <v>2474</v>
      </c>
      <c r="B2475" s="23">
        <v>1418.689118</v>
      </c>
      <c r="C2475" s="23">
        <v>882.34400000000005</v>
      </c>
    </row>
    <row r="2476" spans="1:3" x14ac:dyDescent="0.25">
      <c r="A2476">
        <v>2475</v>
      </c>
      <c r="B2476" s="23">
        <v>1418.6527100000001</v>
      </c>
      <c r="C2476" s="23">
        <v>880.62199999999996</v>
      </c>
    </row>
    <row r="2477" spans="1:3" x14ac:dyDescent="0.25">
      <c r="A2477">
        <v>2476</v>
      </c>
      <c r="B2477" s="23">
        <v>1418.5775900000001</v>
      </c>
      <c r="C2477" s="23">
        <v>880.17600000000004</v>
      </c>
    </row>
    <row r="2478" spans="1:3" x14ac:dyDescent="0.25">
      <c r="A2478">
        <v>2477</v>
      </c>
      <c r="B2478" s="23">
        <v>1418.4349999999999</v>
      </c>
      <c r="C2478" s="23">
        <v>879.22500000000002</v>
      </c>
    </row>
    <row r="2479" spans="1:3" x14ac:dyDescent="0.25">
      <c r="A2479">
        <v>2478</v>
      </c>
      <c r="B2479" s="23">
        <v>1418.4</v>
      </c>
      <c r="C2479" s="23">
        <v>878.41099999999994</v>
      </c>
    </row>
    <row r="2480" spans="1:3" x14ac:dyDescent="0.25">
      <c r="A2480">
        <v>2479</v>
      </c>
      <c r="B2480" s="23">
        <v>1418.082572</v>
      </c>
      <c r="C2480" s="23">
        <v>878.4</v>
      </c>
    </row>
    <row r="2481" spans="1:3" x14ac:dyDescent="0.25">
      <c r="A2481">
        <v>2480</v>
      </c>
      <c r="B2481" s="23">
        <v>1418.082572</v>
      </c>
      <c r="C2481" s="23">
        <v>878.06</v>
      </c>
    </row>
    <row r="2482" spans="1:3" x14ac:dyDescent="0.25">
      <c r="A2482">
        <v>2481</v>
      </c>
      <c r="B2482" s="23">
        <v>1417.913184</v>
      </c>
      <c r="C2482" s="23">
        <v>877.6</v>
      </c>
    </row>
    <row r="2483" spans="1:3" x14ac:dyDescent="0.25">
      <c r="A2483">
        <v>2482</v>
      </c>
      <c r="B2483" s="23">
        <v>1417.6641569999999</v>
      </c>
      <c r="C2483" s="23">
        <v>876.8</v>
      </c>
    </row>
    <row r="2484" spans="1:3" x14ac:dyDescent="0.25">
      <c r="A2484">
        <v>2483</v>
      </c>
      <c r="B2484" s="23">
        <v>1417.5619999999999</v>
      </c>
      <c r="C2484" s="23">
        <v>876.8</v>
      </c>
    </row>
    <row r="2485" spans="1:3" x14ac:dyDescent="0.25">
      <c r="A2485">
        <v>2484</v>
      </c>
      <c r="B2485" s="23">
        <v>1417.3470520000001</v>
      </c>
      <c r="C2485" s="23">
        <v>876.73299999999995</v>
      </c>
    </row>
    <row r="2486" spans="1:3" x14ac:dyDescent="0.25">
      <c r="A2486">
        <v>2485</v>
      </c>
      <c r="B2486" s="23">
        <v>1417.335</v>
      </c>
      <c r="C2486" s="23">
        <v>876.00400000000002</v>
      </c>
    </row>
    <row r="2487" spans="1:3" x14ac:dyDescent="0.25">
      <c r="A2487">
        <v>2486</v>
      </c>
      <c r="B2487" s="23">
        <v>1417.299201</v>
      </c>
      <c r="C2487" s="23">
        <v>875.78700000000003</v>
      </c>
    </row>
    <row r="2488" spans="1:3" x14ac:dyDescent="0.25">
      <c r="A2488">
        <v>2487</v>
      </c>
      <c r="B2488" s="23">
        <v>1417.283375</v>
      </c>
      <c r="C2488" s="23">
        <v>875.2</v>
      </c>
    </row>
    <row r="2489" spans="1:3" x14ac:dyDescent="0.25">
      <c r="A2489">
        <v>2488</v>
      </c>
      <c r="B2489" s="23">
        <v>1417.1352420000001</v>
      </c>
      <c r="C2489" s="23">
        <v>874.803</v>
      </c>
    </row>
    <row r="2490" spans="1:3" x14ac:dyDescent="0.25">
      <c r="A2490">
        <v>2489</v>
      </c>
      <c r="B2490" s="23">
        <v>1417.1352420000001</v>
      </c>
      <c r="C2490" s="23">
        <v>873.06200000000001</v>
      </c>
    </row>
    <row r="2491" spans="1:3" x14ac:dyDescent="0.25">
      <c r="A2491">
        <v>2490</v>
      </c>
      <c r="B2491" s="23">
        <v>1416.8</v>
      </c>
      <c r="C2491" s="23">
        <v>871.64300000000003</v>
      </c>
    </row>
    <row r="2492" spans="1:3" x14ac:dyDescent="0.25">
      <c r="A2492">
        <v>2491</v>
      </c>
      <c r="B2492" s="23">
        <v>1416.8</v>
      </c>
      <c r="C2492" s="23">
        <v>871.2</v>
      </c>
    </row>
    <row r="2493" spans="1:3" x14ac:dyDescent="0.25">
      <c r="A2493">
        <v>2492</v>
      </c>
      <c r="B2493" s="23">
        <v>1416.8</v>
      </c>
      <c r="C2493" s="23">
        <v>870.54700000000003</v>
      </c>
    </row>
    <row r="2494" spans="1:3" x14ac:dyDescent="0.25">
      <c r="A2494">
        <v>2493</v>
      </c>
      <c r="B2494" s="23">
        <v>1416.8</v>
      </c>
      <c r="C2494" s="23">
        <v>870.26800000000003</v>
      </c>
    </row>
    <row r="2495" spans="1:3" x14ac:dyDescent="0.25">
      <c r="A2495">
        <v>2494</v>
      </c>
      <c r="B2495" s="23">
        <v>1416.4813710000001</v>
      </c>
      <c r="C2495" s="23">
        <v>866.76199999999994</v>
      </c>
    </row>
    <row r="2496" spans="1:3" x14ac:dyDescent="0.25">
      <c r="A2496">
        <v>2495</v>
      </c>
      <c r="B2496" s="23">
        <v>1416.417545</v>
      </c>
      <c r="C2496" s="23">
        <v>864.8</v>
      </c>
    </row>
    <row r="2497" spans="1:3" x14ac:dyDescent="0.25">
      <c r="A2497">
        <v>2496</v>
      </c>
      <c r="B2497" s="23">
        <v>1416.2639999999999</v>
      </c>
      <c r="C2497" s="23">
        <v>863.2</v>
      </c>
    </row>
    <row r="2498" spans="1:3" x14ac:dyDescent="0.25">
      <c r="A2498">
        <v>2497</v>
      </c>
      <c r="B2498" s="23">
        <v>1416.2149999999999</v>
      </c>
      <c r="C2498" s="23">
        <v>862.41300000000001</v>
      </c>
    </row>
    <row r="2499" spans="1:3" x14ac:dyDescent="0.25">
      <c r="A2499">
        <v>2498</v>
      </c>
      <c r="B2499" s="23">
        <v>1416.2125100000001</v>
      </c>
      <c r="C2499" s="23">
        <v>861.97400000000005</v>
      </c>
    </row>
    <row r="2500" spans="1:3" x14ac:dyDescent="0.25">
      <c r="A2500">
        <v>2499</v>
      </c>
      <c r="B2500" s="23">
        <v>1416.186925</v>
      </c>
      <c r="C2500" s="23">
        <v>861.33600000000001</v>
      </c>
    </row>
    <row r="2501" spans="1:3" x14ac:dyDescent="0.25">
      <c r="A2501">
        <v>2500</v>
      </c>
      <c r="B2501" s="23">
        <v>1416</v>
      </c>
      <c r="C2501" s="23">
        <v>860.86699999999996</v>
      </c>
    </row>
    <row r="2502" spans="1:3" x14ac:dyDescent="0.25">
      <c r="A2502">
        <v>2501</v>
      </c>
      <c r="B2502" s="23">
        <v>1416</v>
      </c>
      <c r="C2502" s="23">
        <v>860.8</v>
      </c>
    </row>
    <row r="2503" spans="1:3" x14ac:dyDescent="0.25">
      <c r="A2503">
        <v>2502</v>
      </c>
      <c r="B2503" s="23">
        <v>1416</v>
      </c>
      <c r="C2503" s="23">
        <v>860.8</v>
      </c>
    </row>
    <row r="2504" spans="1:3" x14ac:dyDescent="0.25">
      <c r="A2504">
        <v>2503</v>
      </c>
      <c r="B2504" s="23">
        <v>1415.9020069999999</v>
      </c>
      <c r="C2504" s="23">
        <v>859.97199999999998</v>
      </c>
    </row>
    <row r="2505" spans="1:3" x14ac:dyDescent="0.25">
      <c r="A2505">
        <v>2504</v>
      </c>
      <c r="B2505" s="23">
        <v>1415.7909999999999</v>
      </c>
      <c r="C2505" s="23">
        <v>858.93100000000004</v>
      </c>
    </row>
    <row r="2506" spans="1:3" x14ac:dyDescent="0.25">
      <c r="A2506">
        <v>2505</v>
      </c>
      <c r="B2506" s="23">
        <v>1415.658987</v>
      </c>
      <c r="C2506" s="23">
        <v>858.73</v>
      </c>
    </row>
    <row r="2507" spans="1:3" x14ac:dyDescent="0.25">
      <c r="A2507">
        <v>2506</v>
      </c>
      <c r="B2507" s="23">
        <v>1415.654</v>
      </c>
      <c r="C2507" s="23">
        <v>856</v>
      </c>
    </row>
    <row r="2508" spans="1:3" x14ac:dyDescent="0.25">
      <c r="A2508">
        <v>2507</v>
      </c>
      <c r="B2508" s="23">
        <v>1415.472</v>
      </c>
      <c r="C2508" s="23">
        <v>854.4</v>
      </c>
    </row>
    <row r="2509" spans="1:3" x14ac:dyDescent="0.25">
      <c r="A2509">
        <v>2508</v>
      </c>
      <c r="B2509" s="23">
        <v>1415.406555</v>
      </c>
      <c r="C2509" s="23">
        <v>853.6</v>
      </c>
    </row>
    <row r="2510" spans="1:3" x14ac:dyDescent="0.25">
      <c r="A2510">
        <v>2509</v>
      </c>
      <c r="B2510" s="23">
        <v>1415.346632</v>
      </c>
      <c r="C2510" s="23">
        <v>853.25300000000004</v>
      </c>
    </row>
    <row r="2511" spans="1:3" x14ac:dyDescent="0.25">
      <c r="A2511">
        <v>2510</v>
      </c>
      <c r="B2511" s="23">
        <v>1415.2</v>
      </c>
      <c r="C2511" s="23">
        <v>851.2</v>
      </c>
    </row>
    <row r="2512" spans="1:3" x14ac:dyDescent="0.25">
      <c r="A2512">
        <v>2511</v>
      </c>
      <c r="B2512" s="23">
        <v>1415.2</v>
      </c>
      <c r="C2512" s="23">
        <v>851.06</v>
      </c>
    </row>
    <row r="2513" spans="1:3" x14ac:dyDescent="0.25">
      <c r="A2513">
        <v>2512</v>
      </c>
      <c r="B2513" s="23">
        <v>1414.845712</v>
      </c>
      <c r="C2513" s="23">
        <v>849.97</v>
      </c>
    </row>
    <row r="2514" spans="1:3" x14ac:dyDescent="0.25">
      <c r="A2514">
        <v>2513</v>
      </c>
      <c r="B2514" s="23">
        <v>1414.804427</v>
      </c>
      <c r="C2514" s="23">
        <v>848.79</v>
      </c>
    </row>
    <row r="2515" spans="1:3" x14ac:dyDescent="0.25">
      <c r="A2515">
        <v>2514</v>
      </c>
      <c r="B2515" s="23">
        <v>1414.803073</v>
      </c>
      <c r="C2515" s="23">
        <v>848.36300000000006</v>
      </c>
    </row>
    <row r="2516" spans="1:3" x14ac:dyDescent="0.25">
      <c r="A2516">
        <v>2515</v>
      </c>
      <c r="B2516" s="23">
        <v>1414.7092520000001</v>
      </c>
      <c r="C2516" s="23">
        <v>848.16</v>
      </c>
    </row>
    <row r="2517" spans="1:3" x14ac:dyDescent="0.25">
      <c r="A2517">
        <v>2516</v>
      </c>
      <c r="B2517" s="23">
        <v>1414.404972</v>
      </c>
      <c r="C2517" s="23">
        <v>848</v>
      </c>
    </row>
    <row r="2518" spans="1:3" x14ac:dyDescent="0.25">
      <c r="A2518">
        <v>2517</v>
      </c>
      <c r="B2518" s="23">
        <v>1414.4</v>
      </c>
      <c r="C2518" s="23">
        <v>846.73</v>
      </c>
    </row>
    <row r="2519" spans="1:3" x14ac:dyDescent="0.25">
      <c r="A2519">
        <v>2518</v>
      </c>
      <c r="B2519" s="23">
        <v>1414.4</v>
      </c>
      <c r="C2519" s="23">
        <v>846.51499999999999</v>
      </c>
    </row>
    <row r="2520" spans="1:3" x14ac:dyDescent="0.25">
      <c r="A2520">
        <v>2519</v>
      </c>
      <c r="B2520" s="23">
        <v>1414.4</v>
      </c>
      <c r="C2520" s="23">
        <v>845.6</v>
      </c>
    </row>
    <row r="2521" spans="1:3" x14ac:dyDescent="0.25">
      <c r="A2521">
        <v>2520</v>
      </c>
      <c r="B2521" s="23">
        <v>1414.248683</v>
      </c>
      <c r="C2521" s="23">
        <v>845.29300000000001</v>
      </c>
    </row>
    <row r="2522" spans="1:3" x14ac:dyDescent="0.25">
      <c r="A2522">
        <v>2521</v>
      </c>
      <c r="B2522" s="23">
        <v>1414.2466509999999</v>
      </c>
      <c r="C2522" s="23">
        <v>844.70600000000002</v>
      </c>
    </row>
    <row r="2523" spans="1:3" x14ac:dyDescent="0.25">
      <c r="A2523">
        <v>2522</v>
      </c>
      <c r="B2523" s="23">
        <v>1413.981</v>
      </c>
      <c r="C2523" s="23">
        <v>843.2</v>
      </c>
    </row>
    <row r="2524" spans="1:3" x14ac:dyDescent="0.25">
      <c r="A2524">
        <v>2523</v>
      </c>
      <c r="B2524" s="23">
        <v>1413.61</v>
      </c>
      <c r="C2524" s="23">
        <v>841.40899999999999</v>
      </c>
    </row>
    <row r="2525" spans="1:3" x14ac:dyDescent="0.25">
      <c r="A2525">
        <v>2524</v>
      </c>
      <c r="B2525" s="23">
        <v>1413.6</v>
      </c>
      <c r="C2525" s="23">
        <v>841.17600000000004</v>
      </c>
    </row>
    <row r="2526" spans="1:3" x14ac:dyDescent="0.25">
      <c r="A2526">
        <v>2525</v>
      </c>
      <c r="B2526" s="23">
        <v>1413.2100519999999</v>
      </c>
      <c r="C2526" s="23">
        <v>839.76599999999996</v>
      </c>
    </row>
    <row r="2527" spans="1:3" x14ac:dyDescent="0.25">
      <c r="A2527">
        <v>2526</v>
      </c>
      <c r="B2527" s="23">
        <v>1413.067</v>
      </c>
      <c r="C2527" s="23">
        <v>838.68700000000001</v>
      </c>
    </row>
    <row r="2528" spans="1:3" x14ac:dyDescent="0.25">
      <c r="A2528">
        <v>2527</v>
      </c>
      <c r="B2528" s="23">
        <v>1412.9376099999999</v>
      </c>
      <c r="C2528" s="23">
        <v>837.86699999999996</v>
      </c>
    </row>
    <row r="2529" spans="1:3" x14ac:dyDescent="0.25">
      <c r="A2529">
        <v>2528</v>
      </c>
      <c r="B2529" s="23">
        <v>1412.8970440000001</v>
      </c>
      <c r="C2529" s="23">
        <v>837.38800000000003</v>
      </c>
    </row>
    <row r="2530" spans="1:3" x14ac:dyDescent="0.25">
      <c r="A2530">
        <v>2529</v>
      </c>
      <c r="B2530" s="23">
        <v>1412.8828269999999</v>
      </c>
      <c r="C2530" s="23">
        <v>836.11300000000006</v>
      </c>
    </row>
    <row r="2531" spans="1:3" x14ac:dyDescent="0.25">
      <c r="A2531">
        <v>2530</v>
      </c>
      <c r="B2531" s="23">
        <v>1412.8</v>
      </c>
      <c r="C2531" s="23">
        <v>836.06799999999998</v>
      </c>
    </row>
    <row r="2532" spans="1:3" x14ac:dyDescent="0.25">
      <c r="A2532">
        <v>2531</v>
      </c>
      <c r="B2532" s="23">
        <v>1412.8</v>
      </c>
      <c r="C2532" s="23">
        <v>835.98500000000001</v>
      </c>
    </row>
    <row r="2533" spans="1:3" x14ac:dyDescent="0.25">
      <c r="A2533">
        <v>2532</v>
      </c>
      <c r="B2533" s="23">
        <v>1412.702</v>
      </c>
      <c r="C2533" s="23">
        <v>834.32299999999998</v>
      </c>
    </row>
    <row r="2534" spans="1:3" x14ac:dyDescent="0.25">
      <c r="A2534">
        <v>2533</v>
      </c>
      <c r="B2534" s="23">
        <v>1412</v>
      </c>
      <c r="C2534" s="23">
        <v>830.09699999999998</v>
      </c>
    </row>
    <row r="2535" spans="1:3" x14ac:dyDescent="0.25">
      <c r="A2535">
        <v>2534</v>
      </c>
      <c r="B2535" s="23">
        <v>1412</v>
      </c>
      <c r="C2535" s="23">
        <v>828.77700000000004</v>
      </c>
    </row>
    <row r="2536" spans="1:3" x14ac:dyDescent="0.25">
      <c r="A2536">
        <v>2535</v>
      </c>
      <c r="B2536" s="23">
        <v>1411.9169999999999</v>
      </c>
      <c r="C2536" s="23">
        <v>828.24900000000002</v>
      </c>
    </row>
    <row r="2537" spans="1:3" x14ac:dyDescent="0.25">
      <c r="A2537">
        <v>2536</v>
      </c>
      <c r="B2537" s="23">
        <v>1411.614</v>
      </c>
      <c r="C2537" s="23">
        <v>827.2</v>
      </c>
    </row>
    <row r="2538" spans="1:3" x14ac:dyDescent="0.25">
      <c r="A2538">
        <v>2537</v>
      </c>
      <c r="B2538" s="23">
        <v>1411.6110000000001</v>
      </c>
      <c r="C2538" s="23">
        <v>826.58399999999995</v>
      </c>
    </row>
    <row r="2539" spans="1:3" x14ac:dyDescent="0.25">
      <c r="A2539">
        <v>2538</v>
      </c>
      <c r="B2539" s="23">
        <v>1411.574392</v>
      </c>
      <c r="C2539" s="23">
        <v>825.6</v>
      </c>
    </row>
    <row r="2540" spans="1:3" x14ac:dyDescent="0.25">
      <c r="A2540">
        <v>2539</v>
      </c>
      <c r="B2540" s="23">
        <v>1411.574392</v>
      </c>
      <c r="C2540" s="23">
        <v>823.81399999999996</v>
      </c>
    </row>
    <row r="2541" spans="1:3" x14ac:dyDescent="0.25">
      <c r="A2541">
        <v>2540</v>
      </c>
      <c r="B2541" s="23">
        <v>1411.574392</v>
      </c>
      <c r="C2541" s="23">
        <v>823.78200000000004</v>
      </c>
    </row>
    <row r="2542" spans="1:3" x14ac:dyDescent="0.25">
      <c r="A2542">
        <v>2541</v>
      </c>
      <c r="B2542" s="23">
        <v>1411.289051</v>
      </c>
      <c r="C2542" s="23">
        <v>823.60900000000004</v>
      </c>
    </row>
    <row r="2543" spans="1:3" x14ac:dyDescent="0.25">
      <c r="A2543">
        <v>2542</v>
      </c>
      <c r="B2543" s="23">
        <v>1411.2</v>
      </c>
      <c r="C2543" s="23">
        <v>823.55499999999995</v>
      </c>
    </row>
    <row r="2544" spans="1:3" x14ac:dyDescent="0.25">
      <c r="A2544">
        <v>2543</v>
      </c>
      <c r="B2544" s="23">
        <v>1411.2</v>
      </c>
      <c r="C2544" s="23">
        <v>823.39</v>
      </c>
    </row>
    <row r="2545" spans="1:3" x14ac:dyDescent="0.25">
      <c r="A2545">
        <v>2544</v>
      </c>
      <c r="B2545" s="23">
        <v>1411.1990000000001</v>
      </c>
      <c r="C2545" s="23">
        <v>823.29499999999996</v>
      </c>
    </row>
    <row r="2546" spans="1:3" x14ac:dyDescent="0.25">
      <c r="A2546">
        <v>2545</v>
      </c>
      <c r="B2546" s="23">
        <v>1411.078583</v>
      </c>
      <c r="C2546" s="23">
        <v>823.22799999999995</v>
      </c>
    </row>
    <row r="2547" spans="1:3" x14ac:dyDescent="0.25">
      <c r="A2547">
        <v>2546</v>
      </c>
      <c r="B2547" s="23">
        <v>1411.0387129999999</v>
      </c>
      <c r="C2547" s="23">
        <v>822.05200000000002</v>
      </c>
    </row>
    <row r="2548" spans="1:3" x14ac:dyDescent="0.25">
      <c r="A2548">
        <v>2547</v>
      </c>
      <c r="B2548" s="23">
        <v>1410.943</v>
      </c>
      <c r="C2548" s="23">
        <v>821.69100000000003</v>
      </c>
    </row>
    <row r="2549" spans="1:3" x14ac:dyDescent="0.25">
      <c r="A2549">
        <v>2548</v>
      </c>
      <c r="B2549" s="23">
        <v>1410.7273720000001</v>
      </c>
      <c r="C2549" s="23">
        <v>821.37800000000004</v>
      </c>
    </row>
    <row r="2550" spans="1:3" x14ac:dyDescent="0.25">
      <c r="A2550">
        <v>2549</v>
      </c>
      <c r="B2550" s="23">
        <v>1410.682</v>
      </c>
      <c r="C2550" s="23">
        <v>820.53200000000004</v>
      </c>
    </row>
    <row r="2551" spans="1:3" x14ac:dyDescent="0.25">
      <c r="A2551">
        <v>2550</v>
      </c>
      <c r="B2551" s="23">
        <v>1410.4880000000001</v>
      </c>
      <c r="C2551" s="23">
        <v>820.33699999999999</v>
      </c>
    </row>
    <row r="2552" spans="1:3" x14ac:dyDescent="0.25">
      <c r="A2552">
        <v>2551</v>
      </c>
      <c r="B2552" s="23">
        <v>1410.4</v>
      </c>
      <c r="C2552" s="23">
        <v>819.28800000000001</v>
      </c>
    </row>
    <row r="2553" spans="1:3" x14ac:dyDescent="0.25">
      <c r="A2553">
        <v>2552</v>
      </c>
      <c r="B2553" s="23">
        <v>1410.376536</v>
      </c>
      <c r="C2553" s="23">
        <v>818.79</v>
      </c>
    </row>
    <row r="2554" spans="1:3" x14ac:dyDescent="0.25">
      <c r="A2554">
        <v>2553</v>
      </c>
      <c r="B2554" s="23">
        <v>1410.31</v>
      </c>
      <c r="C2554" s="23">
        <v>818.63400000000001</v>
      </c>
    </row>
    <row r="2555" spans="1:3" x14ac:dyDescent="0.25">
      <c r="A2555">
        <v>2554</v>
      </c>
      <c r="B2555" s="23">
        <v>1410.0989999999999</v>
      </c>
      <c r="C2555" s="23">
        <v>818.55700000000002</v>
      </c>
    </row>
    <row r="2556" spans="1:3" x14ac:dyDescent="0.25">
      <c r="A2556">
        <v>2555</v>
      </c>
      <c r="B2556" s="23">
        <v>1409.846</v>
      </c>
      <c r="C2556" s="23">
        <v>817.976</v>
      </c>
    </row>
    <row r="2557" spans="1:3" x14ac:dyDescent="0.25">
      <c r="A2557">
        <v>2556</v>
      </c>
      <c r="B2557" s="23">
        <v>1409.7760000000001</v>
      </c>
      <c r="C2557" s="23">
        <v>816.42700000000002</v>
      </c>
    </row>
    <row r="2558" spans="1:3" x14ac:dyDescent="0.25">
      <c r="A2558">
        <v>2557</v>
      </c>
      <c r="B2558" s="23">
        <v>1409.71</v>
      </c>
      <c r="C2558" s="23">
        <v>816</v>
      </c>
    </row>
    <row r="2559" spans="1:3" x14ac:dyDescent="0.25">
      <c r="A2559">
        <v>2558</v>
      </c>
      <c r="B2559" s="23">
        <v>1409.6952739999999</v>
      </c>
      <c r="C2559" s="23">
        <v>815.45899999999995</v>
      </c>
    </row>
    <row r="2560" spans="1:3" x14ac:dyDescent="0.25">
      <c r="A2560">
        <v>2559</v>
      </c>
      <c r="B2560" s="23">
        <v>1409.6020000000001</v>
      </c>
      <c r="C2560" s="23">
        <v>815.37599999999998</v>
      </c>
    </row>
    <row r="2561" spans="1:3" x14ac:dyDescent="0.25">
      <c r="A2561">
        <v>2560</v>
      </c>
      <c r="B2561" s="23">
        <v>1409.6</v>
      </c>
      <c r="C2561" s="23">
        <v>814.99300000000005</v>
      </c>
    </row>
    <row r="2562" spans="1:3" x14ac:dyDescent="0.25">
      <c r="A2562">
        <v>2561</v>
      </c>
      <c r="B2562" s="23">
        <v>1409.5840000000001</v>
      </c>
      <c r="C2562" s="23">
        <v>813.6</v>
      </c>
    </row>
    <row r="2563" spans="1:3" x14ac:dyDescent="0.25">
      <c r="A2563">
        <v>2562</v>
      </c>
      <c r="B2563" s="23">
        <v>1409.437811</v>
      </c>
      <c r="C2563" s="23">
        <v>812.322</v>
      </c>
    </row>
    <row r="2564" spans="1:3" x14ac:dyDescent="0.25">
      <c r="A2564">
        <v>2563</v>
      </c>
      <c r="B2564" s="23">
        <v>1409.1959999999999</v>
      </c>
      <c r="C2564" s="23">
        <v>812</v>
      </c>
    </row>
    <row r="2565" spans="1:3" x14ac:dyDescent="0.25">
      <c r="A2565">
        <v>2564</v>
      </c>
      <c r="B2565" s="23">
        <v>1409.1220000000001</v>
      </c>
      <c r="C2565" s="23">
        <v>811.803</v>
      </c>
    </row>
    <row r="2566" spans="1:3" x14ac:dyDescent="0.25">
      <c r="A2566">
        <v>2565</v>
      </c>
      <c r="B2566" s="23">
        <v>1408.9951679999999</v>
      </c>
      <c r="C2566" s="23">
        <v>810.577</v>
      </c>
    </row>
    <row r="2567" spans="1:3" x14ac:dyDescent="0.25">
      <c r="A2567">
        <v>2566</v>
      </c>
      <c r="B2567" s="23">
        <v>1408.8983860000001</v>
      </c>
      <c r="C2567" s="23">
        <v>809.48199999999997</v>
      </c>
    </row>
    <row r="2568" spans="1:3" x14ac:dyDescent="0.25">
      <c r="A2568">
        <v>2567</v>
      </c>
      <c r="B2568" s="23">
        <v>1408.8030000000001</v>
      </c>
      <c r="C2568" s="23">
        <v>807.601</v>
      </c>
    </row>
    <row r="2569" spans="1:3" x14ac:dyDescent="0.25">
      <c r="A2569">
        <v>2568</v>
      </c>
      <c r="B2569" s="23">
        <v>1408.8</v>
      </c>
      <c r="C2569" s="23">
        <v>807.36900000000003</v>
      </c>
    </row>
    <row r="2570" spans="1:3" x14ac:dyDescent="0.25">
      <c r="A2570">
        <v>2569</v>
      </c>
      <c r="B2570" s="23">
        <v>1408.8</v>
      </c>
      <c r="C2570" s="23">
        <v>806.86500000000001</v>
      </c>
    </row>
    <row r="2571" spans="1:3" x14ac:dyDescent="0.25">
      <c r="A2571">
        <v>2570</v>
      </c>
      <c r="B2571" s="23">
        <v>1408.8</v>
      </c>
      <c r="C2571" s="23">
        <v>806.13</v>
      </c>
    </row>
    <row r="2572" spans="1:3" x14ac:dyDescent="0.25">
      <c r="A2572">
        <v>2571</v>
      </c>
      <c r="B2572" s="23">
        <v>1408.691</v>
      </c>
      <c r="C2572" s="23">
        <v>805.6</v>
      </c>
    </row>
    <row r="2573" spans="1:3" x14ac:dyDescent="0.25">
      <c r="A2573">
        <v>2572</v>
      </c>
      <c r="B2573" s="23">
        <v>1408.520812</v>
      </c>
      <c r="C2573" s="23">
        <v>805.00900000000001</v>
      </c>
    </row>
    <row r="2574" spans="1:3" x14ac:dyDescent="0.25">
      <c r="A2574">
        <v>2573</v>
      </c>
      <c r="B2574" s="23">
        <v>1408.4829999999999</v>
      </c>
      <c r="C2574" s="23">
        <v>804.91200000000003</v>
      </c>
    </row>
    <row r="2575" spans="1:3" x14ac:dyDescent="0.25">
      <c r="A2575">
        <v>2574</v>
      </c>
      <c r="B2575" s="23">
        <v>1408.4369999999999</v>
      </c>
      <c r="C2575" s="23">
        <v>804.64700000000005</v>
      </c>
    </row>
    <row r="2576" spans="1:3" x14ac:dyDescent="0.25">
      <c r="A2576">
        <v>2575</v>
      </c>
      <c r="B2576" s="23">
        <v>1408.4359999999999</v>
      </c>
      <c r="C2576" s="23">
        <v>804.35599999999999</v>
      </c>
    </row>
    <row r="2577" spans="1:3" x14ac:dyDescent="0.25">
      <c r="A2577">
        <v>2576</v>
      </c>
      <c r="B2577" s="23">
        <v>1408.1389999999999</v>
      </c>
      <c r="C2577" s="23">
        <v>803.87099999999998</v>
      </c>
    </row>
    <row r="2578" spans="1:3" x14ac:dyDescent="0.25">
      <c r="A2578">
        <v>2577</v>
      </c>
      <c r="B2578" s="23">
        <v>1408.114546</v>
      </c>
      <c r="C2578" s="23">
        <v>799.35900000000004</v>
      </c>
    </row>
    <row r="2579" spans="1:3" x14ac:dyDescent="0.25">
      <c r="A2579">
        <v>2578</v>
      </c>
      <c r="B2579" s="23">
        <v>1408.111459</v>
      </c>
      <c r="C2579" s="23">
        <v>799.2</v>
      </c>
    </row>
    <row r="2580" spans="1:3" x14ac:dyDescent="0.25">
      <c r="A2580">
        <v>2579</v>
      </c>
      <c r="B2580" s="23">
        <v>1408.0029999999999</v>
      </c>
      <c r="C2580" s="23">
        <v>797.74</v>
      </c>
    </row>
    <row r="2581" spans="1:3" x14ac:dyDescent="0.25">
      <c r="A2581">
        <v>2580</v>
      </c>
      <c r="B2581" s="23">
        <v>1408</v>
      </c>
      <c r="C2581" s="23">
        <v>797.6</v>
      </c>
    </row>
    <row r="2582" spans="1:3" x14ac:dyDescent="0.25">
      <c r="A2582">
        <v>2581</v>
      </c>
      <c r="B2582" s="23">
        <v>1408</v>
      </c>
      <c r="C2582" s="23">
        <v>797.35799999999995</v>
      </c>
    </row>
    <row r="2583" spans="1:3" x14ac:dyDescent="0.25">
      <c r="A2583">
        <v>2582</v>
      </c>
      <c r="B2583" s="23">
        <v>1408</v>
      </c>
      <c r="C2583" s="23">
        <v>796.63800000000003</v>
      </c>
    </row>
    <row r="2584" spans="1:3" x14ac:dyDescent="0.25">
      <c r="A2584">
        <v>2583</v>
      </c>
      <c r="B2584" s="23">
        <v>1408</v>
      </c>
      <c r="C2584" s="23">
        <v>795.58299999999997</v>
      </c>
    </row>
    <row r="2585" spans="1:3" x14ac:dyDescent="0.25">
      <c r="A2585">
        <v>2584</v>
      </c>
      <c r="B2585" s="23">
        <v>1408</v>
      </c>
      <c r="C2585" s="23">
        <v>793.64099999999996</v>
      </c>
    </row>
    <row r="2586" spans="1:3" x14ac:dyDescent="0.25">
      <c r="A2586">
        <v>2585</v>
      </c>
      <c r="B2586" s="23">
        <v>1408</v>
      </c>
      <c r="C2586" s="23">
        <v>792</v>
      </c>
    </row>
    <row r="2587" spans="1:3" x14ac:dyDescent="0.25">
      <c r="A2587">
        <v>2586</v>
      </c>
      <c r="B2587" s="23">
        <v>1408</v>
      </c>
      <c r="C2587" s="23">
        <v>790.678</v>
      </c>
    </row>
    <row r="2588" spans="1:3" x14ac:dyDescent="0.25">
      <c r="A2588">
        <v>2587</v>
      </c>
      <c r="B2588" s="23">
        <v>1407.8130000000001</v>
      </c>
      <c r="C2588" s="23">
        <v>788.92399999999998</v>
      </c>
    </row>
    <row r="2589" spans="1:3" x14ac:dyDescent="0.25">
      <c r="A2589">
        <v>2588</v>
      </c>
      <c r="B2589" s="23">
        <v>1407.7380000000001</v>
      </c>
      <c r="C2589" s="23">
        <v>788.16899999999998</v>
      </c>
    </row>
    <row r="2590" spans="1:3" x14ac:dyDescent="0.25">
      <c r="A2590">
        <v>2589</v>
      </c>
      <c r="B2590" s="23">
        <v>1407.71</v>
      </c>
      <c r="C2590" s="23">
        <v>787.94500000000005</v>
      </c>
    </row>
    <row r="2591" spans="1:3" x14ac:dyDescent="0.25">
      <c r="A2591">
        <v>2590</v>
      </c>
      <c r="B2591" s="23">
        <v>1407.4852430000001</v>
      </c>
      <c r="C2591" s="23">
        <v>786.48299999999995</v>
      </c>
    </row>
    <row r="2592" spans="1:3" x14ac:dyDescent="0.25">
      <c r="A2592">
        <v>2591</v>
      </c>
      <c r="B2592" s="23">
        <v>1407.307945</v>
      </c>
      <c r="C2592" s="23">
        <v>785.56799999999998</v>
      </c>
    </row>
    <row r="2593" spans="1:3" x14ac:dyDescent="0.25">
      <c r="A2593">
        <v>2592</v>
      </c>
      <c r="B2593" s="23">
        <v>1407.2</v>
      </c>
      <c r="C2593" s="23">
        <v>784.8</v>
      </c>
    </row>
    <row r="2594" spans="1:3" x14ac:dyDescent="0.25">
      <c r="A2594">
        <v>2593</v>
      </c>
      <c r="B2594" s="23">
        <v>1407.2</v>
      </c>
      <c r="C2594" s="23">
        <v>783.75400000000002</v>
      </c>
    </row>
    <row r="2595" spans="1:3" x14ac:dyDescent="0.25">
      <c r="A2595">
        <v>2594</v>
      </c>
      <c r="B2595" s="23">
        <v>1407.2</v>
      </c>
      <c r="C2595" s="23">
        <v>782.92499999999995</v>
      </c>
    </row>
    <row r="2596" spans="1:3" x14ac:dyDescent="0.25">
      <c r="A2596">
        <v>2595</v>
      </c>
      <c r="B2596" s="23">
        <v>1407.035046</v>
      </c>
      <c r="C2596" s="23">
        <v>782.59299999999996</v>
      </c>
    </row>
    <row r="2597" spans="1:3" x14ac:dyDescent="0.25">
      <c r="A2597">
        <v>2596</v>
      </c>
      <c r="B2597" s="23">
        <v>1407.0070000000001</v>
      </c>
      <c r="C2597" s="23">
        <v>782.54499999999996</v>
      </c>
    </row>
    <row r="2598" spans="1:3" x14ac:dyDescent="0.25">
      <c r="A2598">
        <v>2597</v>
      </c>
      <c r="B2598" s="23">
        <v>1406.8436879999999</v>
      </c>
      <c r="C2598" s="23">
        <v>782.04499999999996</v>
      </c>
    </row>
    <row r="2599" spans="1:3" x14ac:dyDescent="0.25">
      <c r="A2599">
        <v>2598</v>
      </c>
      <c r="B2599" s="23">
        <v>1406.6674129999999</v>
      </c>
      <c r="C2599" s="23">
        <v>781.44399999999996</v>
      </c>
    </row>
    <row r="2600" spans="1:3" x14ac:dyDescent="0.25">
      <c r="A2600">
        <v>2599</v>
      </c>
      <c r="B2600" s="23">
        <v>1406.4549999999999</v>
      </c>
      <c r="C2600" s="23">
        <v>779.73099999999999</v>
      </c>
    </row>
    <row r="2601" spans="1:3" x14ac:dyDescent="0.25">
      <c r="A2601">
        <v>2600</v>
      </c>
      <c r="B2601" s="23">
        <v>1405.7249999999999</v>
      </c>
      <c r="C2601" s="23">
        <v>779.65099999999995</v>
      </c>
    </row>
    <row r="2602" spans="1:3" x14ac:dyDescent="0.25">
      <c r="A2602">
        <v>2601</v>
      </c>
      <c r="B2602" s="23">
        <v>1405.7108330000001</v>
      </c>
      <c r="C2602" s="23">
        <v>779.2</v>
      </c>
    </row>
    <row r="2603" spans="1:3" x14ac:dyDescent="0.25">
      <c r="A2603">
        <v>2602</v>
      </c>
      <c r="B2603" s="23">
        <v>1405.7098370000001</v>
      </c>
      <c r="C2603" s="23">
        <v>779.18399999999997</v>
      </c>
    </row>
    <row r="2604" spans="1:3" x14ac:dyDescent="0.25">
      <c r="A2604">
        <v>2603</v>
      </c>
      <c r="B2604" s="23">
        <v>1405.657393</v>
      </c>
      <c r="C2604" s="23">
        <v>778.57799999999997</v>
      </c>
    </row>
    <row r="2605" spans="1:3" x14ac:dyDescent="0.25">
      <c r="A2605">
        <v>2604</v>
      </c>
      <c r="B2605" s="23">
        <v>1405.6336429999999</v>
      </c>
      <c r="C2605" s="23">
        <v>778.4</v>
      </c>
    </row>
    <row r="2606" spans="1:3" x14ac:dyDescent="0.25">
      <c r="A2606">
        <v>2605</v>
      </c>
      <c r="B2606" s="23">
        <v>1405.6</v>
      </c>
      <c r="C2606" s="23">
        <v>776.35699999999997</v>
      </c>
    </row>
    <row r="2607" spans="1:3" x14ac:dyDescent="0.25">
      <c r="A2607">
        <v>2606</v>
      </c>
      <c r="B2607" s="23">
        <v>1405.4949999999999</v>
      </c>
      <c r="C2607" s="23">
        <v>775.55700000000002</v>
      </c>
    </row>
    <row r="2608" spans="1:3" x14ac:dyDescent="0.25">
      <c r="A2608">
        <v>2607</v>
      </c>
      <c r="B2608" s="23">
        <v>1405.356</v>
      </c>
      <c r="C2608" s="23">
        <v>774.947</v>
      </c>
    </row>
    <row r="2609" spans="1:3" x14ac:dyDescent="0.25">
      <c r="A2609">
        <v>2608</v>
      </c>
      <c r="B2609" s="23">
        <v>1404.9290000000001</v>
      </c>
      <c r="C2609" s="23">
        <v>774.4</v>
      </c>
    </row>
    <row r="2610" spans="1:3" x14ac:dyDescent="0.25">
      <c r="A2610">
        <v>2609</v>
      </c>
      <c r="B2610" s="23">
        <v>1404.9020029999999</v>
      </c>
      <c r="C2610" s="23">
        <v>771.21400000000006</v>
      </c>
    </row>
    <row r="2611" spans="1:3" x14ac:dyDescent="0.25">
      <c r="A2611">
        <v>2610</v>
      </c>
      <c r="B2611" s="23">
        <v>1404.843212</v>
      </c>
      <c r="C2611" s="23">
        <v>771.08600000000001</v>
      </c>
    </row>
    <row r="2612" spans="1:3" x14ac:dyDescent="0.25">
      <c r="A2612">
        <v>2611</v>
      </c>
      <c r="B2612" s="23">
        <v>1404.829</v>
      </c>
      <c r="C2612" s="23">
        <v>770.803</v>
      </c>
    </row>
    <row r="2613" spans="1:3" x14ac:dyDescent="0.25">
      <c r="A2613">
        <v>2612</v>
      </c>
      <c r="B2613" s="23">
        <v>1404.8</v>
      </c>
      <c r="C2613" s="23">
        <v>769.67899999999997</v>
      </c>
    </row>
    <row r="2614" spans="1:3" x14ac:dyDescent="0.25">
      <c r="A2614">
        <v>2613</v>
      </c>
      <c r="B2614" s="23">
        <v>1404.8</v>
      </c>
      <c r="C2614" s="23">
        <v>769.6</v>
      </c>
    </row>
    <row r="2615" spans="1:3" x14ac:dyDescent="0.25">
      <c r="A2615">
        <v>2614</v>
      </c>
      <c r="B2615" s="23">
        <v>1404.7042309999999</v>
      </c>
      <c r="C2615" s="23">
        <v>768.61599999999999</v>
      </c>
    </row>
    <row r="2616" spans="1:3" x14ac:dyDescent="0.25">
      <c r="A2616">
        <v>2615</v>
      </c>
      <c r="B2616" s="23">
        <v>1404.394427</v>
      </c>
      <c r="C2616" s="23">
        <v>768.20899999999995</v>
      </c>
    </row>
    <row r="2617" spans="1:3" x14ac:dyDescent="0.25">
      <c r="A2617">
        <v>2616</v>
      </c>
      <c r="B2617" s="23">
        <v>1404.3389999999999</v>
      </c>
      <c r="C2617" s="23">
        <v>768</v>
      </c>
    </row>
    <row r="2618" spans="1:3" x14ac:dyDescent="0.25">
      <c r="A2618">
        <v>2617</v>
      </c>
      <c r="B2618" s="23">
        <v>1404.316</v>
      </c>
      <c r="C2618" s="23">
        <v>767.81399999999996</v>
      </c>
    </row>
    <row r="2619" spans="1:3" x14ac:dyDescent="0.25">
      <c r="A2619">
        <v>2618</v>
      </c>
      <c r="B2619" s="23">
        <v>1404.2923719999999</v>
      </c>
      <c r="C2619" s="23">
        <v>765.721</v>
      </c>
    </row>
    <row r="2620" spans="1:3" x14ac:dyDescent="0.25">
      <c r="A2620">
        <v>2619</v>
      </c>
      <c r="B2620" s="23">
        <v>1404.229053</v>
      </c>
      <c r="C2620" s="23">
        <v>764.63699999999994</v>
      </c>
    </row>
    <row r="2621" spans="1:3" x14ac:dyDescent="0.25">
      <c r="A2621">
        <v>2620</v>
      </c>
      <c r="B2621" s="23">
        <v>1403.7529999999999</v>
      </c>
      <c r="C2621" s="23">
        <v>764.35299999999995</v>
      </c>
    </row>
    <row r="2622" spans="1:3" x14ac:dyDescent="0.25">
      <c r="A2622">
        <v>2621</v>
      </c>
      <c r="B2622" s="23">
        <v>1403.5350000000001</v>
      </c>
      <c r="C2622" s="23">
        <v>764.06399999999996</v>
      </c>
    </row>
    <row r="2623" spans="1:3" x14ac:dyDescent="0.25">
      <c r="A2623">
        <v>2622</v>
      </c>
      <c r="B2623" s="23">
        <v>1403.2</v>
      </c>
      <c r="C2623" s="23">
        <v>764</v>
      </c>
    </row>
    <row r="2624" spans="1:3" x14ac:dyDescent="0.25">
      <c r="A2624">
        <v>2623</v>
      </c>
      <c r="B2624" s="23">
        <v>1403.2</v>
      </c>
      <c r="C2624" s="23">
        <v>763.49800000000005</v>
      </c>
    </row>
    <row r="2625" spans="1:3" x14ac:dyDescent="0.25">
      <c r="A2625">
        <v>2624</v>
      </c>
      <c r="B2625" s="23">
        <v>1403.1969999999999</v>
      </c>
      <c r="C2625" s="23">
        <v>762.51499999999999</v>
      </c>
    </row>
    <row r="2626" spans="1:3" x14ac:dyDescent="0.25">
      <c r="A2626">
        <v>2625</v>
      </c>
      <c r="B2626" s="23">
        <v>1403.150355</v>
      </c>
      <c r="C2626" s="23">
        <v>762.41399999999999</v>
      </c>
    </row>
    <row r="2627" spans="1:3" x14ac:dyDescent="0.25">
      <c r="A2627">
        <v>2626</v>
      </c>
      <c r="B2627" s="23">
        <v>1403.0409999999999</v>
      </c>
      <c r="C2627" s="23">
        <v>761.22699999999998</v>
      </c>
    </row>
    <row r="2628" spans="1:3" x14ac:dyDescent="0.25">
      <c r="A2628">
        <v>2627</v>
      </c>
      <c r="B2628" s="23">
        <v>1402.9585810000001</v>
      </c>
      <c r="C2628" s="23">
        <v>760</v>
      </c>
    </row>
    <row r="2629" spans="1:3" x14ac:dyDescent="0.25">
      <c r="A2629">
        <v>2628</v>
      </c>
      <c r="B2629" s="23">
        <v>1402.9447769999999</v>
      </c>
      <c r="C2629" s="23">
        <v>759.279</v>
      </c>
    </row>
    <row r="2630" spans="1:3" x14ac:dyDescent="0.25">
      <c r="A2630">
        <v>2629</v>
      </c>
      <c r="B2630" s="23">
        <v>1402.913</v>
      </c>
      <c r="C2630" s="23">
        <v>758.12800000000004</v>
      </c>
    </row>
    <row r="2631" spans="1:3" x14ac:dyDescent="0.25">
      <c r="A2631">
        <v>2630</v>
      </c>
      <c r="B2631" s="23">
        <v>1402.6590000000001</v>
      </c>
      <c r="C2631" s="23">
        <v>756.99</v>
      </c>
    </row>
    <row r="2632" spans="1:3" x14ac:dyDescent="0.25">
      <c r="A2632">
        <v>2631</v>
      </c>
      <c r="B2632" s="23">
        <v>1402.5232800000001</v>
      </c>
      <c r="C2632" s="23">
        <v>756.99</v>
      </c>
    </row>
    <row r="2633" spans="1:3" x14ac:dyDescent="0.25">
      <c r="A2633">
        <v>2632</v>
      </c>
      <c r="B2633" s="23">
        <v>1402.5232800000001</v>
      </c>
      <c r="C2633" s="23">
        <v>755.66899999999998</v>
      </c>
    </row>
    <row r="2634" spans="1:3" x14ac:dyDescent="0.25">
      <c r="A2634">
        <v>2633</v>
      </c>
      <c r="B2634" s="23">
        <v>1402.4</v>
      </c>
      <c r="C2634" s="23">
        <v>754.85699999999997</v>
      </c>
    </row>
    <row r="2635" spans="1:3" x14ac:dyDescent="0.25">
      <c r="A2635">
        <v>2634</v>
      </c>
      <c r="B2635" s="23">
        <v>1402.4</v>
      </c>
      <c r="C2635" s="23">
        <v>754.4</v>
      </c>
    </row>
    <row r="2636" spans="1:3" x14ac:dyDescent="0.25">
      <c r="A2636">
        <v>2635</v>
      </c>
      <c r="B2636" s="23">
        <v>1402.373417</v>
      </c>
      <c r="C2636" s="23">
        <v>754.21600000000001</v>
      </c>
    </row>
    <row r="2637" spans="1:3" x14ac:dyDescent="0.25">
      <c r="A2637">
        <v>2636</v>
      </c>
      <c r="B2637" s="23">
        <v>1402.2623000000001</v>
      </c>
      <c r="C2637" s="23">
        <v>752.8</v>
      </c>
    </row>
    <row r="2638" spans="1:3" x14ac:dyDescent="0.25">
      <c r="A2638">
        <v>2637</v>
      </c>
      <c r="B2638" s="23">
        <v>1401.9868899999999</v>
      </c>
      <c r="C2638" s="23">
        <v>752.15499999999997</v>
      </c>
    </row>
    <row r="2639" spans="1:3" x14ac:dyDescent="0.25">
      <c r="A2639">
        <v>2638</v>
      </c>
      <c r="B2639" s="23">
        <v>1401.9449999999999</v>
      </c>
      <c r="C2639" s="23">
        <v>751.928</v>
      </c>
    </row>
    <row r="2640" spans="1:3" x14ac:dyDescent="0.25">
      <c r="A2640">
        <v>2639</v>
      </c>
      <c r="B2640" s="23">
        <v>1401.7604329999999</v>
      </c>
      <c r="C2640" s="23">
        <v>750.43499999999995</v>
      </c>
    </row>
    <row r="2641" spans="1:3" x14ac:dyDescent="0.25">
      <c r="A2641">
        <v>2640</v>
      </c>
      <c r="B2641" s="23">
        <v>1401.736944</v>
      </c>
      <c r="C2641" s="23">
        <v>750.35699999999997</v>
      </c>
    </row>
    <row r="2642" spans="1:3" x14ac:dyDescent="0.25">
      <c r="A2642">
        <v>2641</v>
      </c>
      <c r="B2642" s="23">
        <v>1401.6759999999999</v>
      </c>
      <c r="C2642" s="23">
        <v>749.74699999999996</v>
      </c>
    </row>
    <row r="2643" spans="1:3" x14ac:dyDescent="0.25">
      <c r="A2643">
        <v>2642</v>
      </c>
      <c r="B2643" s="23">
        <v>1401.6253119999999</v>
      </c>
      <c r="C2643" s="23">
        <v>749.66600000000005</v>
      </c>
    </row>
    <row r="2644" spans="1:3" x14ac:dyDescent="0.25">
      <c r="A2644">
        <v>2643</v>
      </c>
      <c r="B2644" s="23">
        <v>1401.3989999999999</v>
      </c>
      <c r="C2644" s="23">
        <v>747.822</v>
      </c>
    </row>
    <row r="2645" spans="1:3" x14ac:dyDescent="0.25">
      <c r="A2645">
        <v>2644</v>
      </c>
      <c r="B2645" s="23">
        <v>1401.019</v>
      </c>
      <c r="C2645" s="23">
        <v>745.04300000000001</v>
      </c>
    </row>
    <row r="2646" spans="1:3" x14ac:dyDescent="0.25">
      <c r="A2646">
        <v>2645</v>
      </c>
      <c r="B2646" s="23">
        <v>1400.9860000000001</v>
      </c>
      <c r="C2646" s="23">
        <v>743.56600000000003</v>
      </c>
    </row>
    <row r="2647" spans="1:3" x14ac:dyDescent="0.25">
      <c r="A2647">
        <v>2646</v>
      </c>
      <c r="B2647" s="23">
        <v>1400.8</v>
      </c>
      <c r="C2647" s="23">
        <v>743.17600000000004</v>
      </c>
    </row>
    <row r="2648" spans="1:3" x14ac:dyDescent="0.25">
      <c r="A2648">
        <v>2647</v>
      </c>
      <c r="B2648" s="23">
        <v>1400.8</v>
      </c>
      <c r="C2648" s="23">
        <v>743.14099999999996</v>
      </c>
    </row>
    <row r="2649" spans="1:3" x14ac:dyDescent="0.25">
      <c r="A2649">
        <v>2648</v>
      </c>
      <c r="B2649" s="23">
        <v>1400.7069610000001</v>
      </c>
      <c r="C2649" s="23">
        <v>741.77200000000005</v>
      </c>
    </row>
    <row r="2650" spans="1:3" x14ac:dyDescent="0.25">
      <c r="A2650">
        <v>2649</v>
      </c>
      <c r="B2650" s="23">
        <v>1400.25713</v>
      </c>
      <c r="C2650" s="23">
        <v>741.6</v>
      </c>
    </row>
    <row r="2651" spans="1:3" x14ac:dyDescent="0.25">
      <c r="A2651">
        <v>2650</v>
      </c>
      <c r="B2651" s="23">
        <v>1400.201</v>
      </c>
      <c r="C2651" s="23">
        <v>741.41200000000003</v>
      </c>
    </row>
    <row r="2652" spans="1:3" x14ac:dyDescent="0.25">
      <c r="A2652">
        <v>2651</v>
      </c>
      <c r="B2652" s="23">
        <v>1400.192</v>
      </c>
      <c r="C2652" s="23">
        <v>741.41</v>
      </c>
    </row>
    <row r="2653" spans="1:3" x14ac:dyDescent="0.25">
      <c r="A2653">
        <v>2652</v>
      </c>
      <c r="B2653" s="23">
        <v>1400.1247739999999</v>
      </c>
      <c r="C2653" s="23">
        <v>740.71600000000001</v>
      </c>
    </row>
    <row r="2654" spans="1:3" x14ac:dyDescent="0.25">
      <c r="A2654">
        <v>2653</v>
      </c>
      <c r="B2654" s="23">
        <v>1400.042602</v>
      </c>
      <c r="C2654" s="23">
        <v>740.59799999999996</v>
      </c>
    </row>
    <row r="2655" spans="1:3" x14ac:dyDescent="0.25">
      <c r="A2655">
        <v>2654</v>
      </c>
      <c r="B2655" s="23">
        <v>1400</v>
      </c>
      <c r="C2655" s="23">
        <v>739.03200000000004</v>
      </c>
    </row>
    <row r="2656" spans="1:3" x14ac:dyDescent="0.25">
      <c r="A2656">
        <v>2655</v>
      </c>
      <c r="B2656" s="23">
        <v>1400</v>
      </c>
      <c r="C2656" s="23">
        <v>738.4</v>
      </c>
    </row>
    <row r="2657" spans="1:3" x14ac:dyDescent="0.25">
      <c r="A2657">
        <v>2656</v>
      </c>
      <c r="B2657" s="23">
        <v>1400</v>
      </c>
      <c r="C2657" s="23">
        <v>738.30200000000002</v>
      </c>
    </row>
    <row r="2658" spans="1:3" x14ac:dyDescent="0.25">
      <c r="A2658">
        <v>2657</v>
      </c>
      <c r="B2658" s="23">
        <v>1399.92</v>
      </c>
      <c r="C2658" s="23">
        <v>738.09100000000001</v>
      </c>
    </row>
    <row r="2659" spans="1:3" x14ac:dyDescent="0.25">
      <c r="A2659">
        <v>2658</v>
      </c>
      <c r="B2659" s="23">
        <v>1399.808</v>
      </c>
      <c r="C2659" s="23">
        <v>737.68700000000001</v>
      </c>
    </row>
    <row r="2660" spans="1:3" x14ac:dyDescent="0.25">
      <c r="A2660">
        <v>2659</v>
      </c>
      <c r="B2660" s="23">
        <v>1399.720315</v>
      </c>
      <c r="C2660" s="23">
        <v>737.42</v>
      </c>
    </row>
    <row r="2661" spans="1:3" x14ac:dyDescent="0.25">
      <c r="A2661">
        <v>2660</v>
      </c>
      <c r="B2661" s="23">
        <v>1399.4642260000001</v>
      </c>
      <c r="C2661" s="23">
        <v>736.16800000000001</v>
      </c>
    </row>
    <row r="2662" spans="1:3" x14ac:dyDescent="0.25">
      <c r="A2662">
        <v>2661</v>
      </c>
      <c r="B2662" s="23">
        <v>1399.335728</v>
      </c>
      <c r="C2662" s="23">
        <v>735.63199999999995</v>
      </c>
    </row>
    <row r="2663" spans="1:3" x14ac:dyDescent="0.25">
      <c r="A2663">
        <v>2662</v>
      </c>
      <c r="B2663" s="23">
        <v>1399.3069439999999</v>
      </c>
      <c r="C2663" s="23">
        <v>735.55700000000002</v>
      </c>
    </row>
    <row r="2664" spans="1:3" x14ac:dyDescent="0.25">
      <c r="A2664">
        <v>2663</v>
      </c>
      <c r="B2664" s="23">
        <v>1398.5489379999999</v>
      </c>
      <c r="C2664" s="23">
        <v>733.4</v>
      </c>
    </row>
    <row r="2665" spans="1:3" x14ac:dyDescent="0.25">
      <c r="A2665">
        <v>2664</v>
      </c>
      <c r="B2665" s="23">
        <v>1398.488726</v>
      </c>
      <c r="C2665" s="23">
        <v>730.92399999999998</v>
      </c>
    </row>
    <row r="2666" spans="1:3" x14ac:dyDescent="0.25">
      <c r="A2666">
        <v>2665</v>
      </c>
      <c r="B2666" s="23">
        <v>1398.4</v>
      </c>
      <c r="C2666" s="23">
        <v>730.9</v>
      </c>
    </row>
    <row r="2667" spans="1:3" x14ac:dyDescent="0.25">
      <c r="A2667">
        <v>2666</v>
      </c>
      <c r="B2667" s="23">
        <v>1398.4</v>
      </c>
      <c r="C2667" s="23">
        <v>730.55</v>
      </c>
    </row>
    <row r="2668" spans="1:3" x14ac:dyDescent="0.25">
      <c r="A2668">
        <v>2667</v>
      </c>
      <c r="B2668" s="23">
        <v>1398.4</v>
      </c>
      <c r="C2668" s="23">
        <v>730.029</v>
      </c>
    </row>
    <row r="2669" spans="1:3" x14ac:dyDescent="0.25">
      <c r="A2669">
        <v>2668</v>
      </c>
      <c r="B2669" s="23">
        <v>1398.4</v>
      </c>
      <c r="C2669" s="23">
        <v>729.84100000000001</v>
      </c>
    </row>
    <row r="2670" spans="1:3" x14ac:dyDescent="0.25">
      <c r="A2670">
        <v>2669</v>
      </c>
      <c r="B2670" s="23">
        <v>1398.0079949999999</v>
      </c>
      <c r="C2670" s="23">
        <v>729.50400000000002</v>
      </c>
    </row>
    <row r="2671" spans="1:3" x14ac:dyDescent="0.25">
      <c r="A2671">
        <v>2670</v>
      </c>
      <c r="B2671" s="23">
        <v>1397.6</v>
      </c>
      <c r="C2671" s="23">
        <v>728.8</v>
      </c>
    </row>
    <row r="2672" spans="1:3" x14ac:dyDescent="0.25">
      <c r="A2672">
        <v>2671</v>
      </c>
      <c r="B2672" s="23">
        <v>1397.6</v>
      </c>
      <c r="C2672" s="23">
        <v>728.76599999999996</v>
      </c>
    </row>
    <row r="2673" spans="1:3" x14ac:dyDescent="0.25">
      <c r="A2673">
        <v>2672</v>
      </c>
      <c r="B2673" s="23">
        <v>1397.6</v>
      </c>
      <c r="C2673" s="23">
        <v>727.42499999999995</v>
      </c>
    </row>
    <row r="2674" spans="1:3" x14ac:dyDescent="0.25">
      <c r="A2674">
        <v>2673</v>
      </c>
      <c r="B2674" s="23">
        <v>1397.57989</v>
      </c>
      <c r="C2674" s="23">
        <v>726.952</v>
      </c>
    </row>
    <row r="2675" spans="1:3" x14ac:dyDescent="0.25">
      <c r="A2675">
        <v>2674</v>
      </c>
      <c r="B2675" s="23">
        <v>1397.4560670000001</v>
      </c>
      <c r="C2675" s="23">
        <v>725.6</v>
      </c>
    </row>
    <row r="2676" spans="1:3" x14ac:dyDescent="0.25">
      <c r="A2676">
        <v>2675</v>
      </c>
      <c r="B2676" s="23">
        <v>1397.3689999999999</v>
      </c>
      <c r="C2676" s="23">
        <v>724.59699999999998</v>
      </c>
    </row>
    <row r="2677" spans="1:3" x14ac:dyDescent="0.25">
      <c r="A2677">
        <v>2676</v>
      </c>
      <c r="B2677" s="23">
        <v>1396.8</v>
      </c>
      <c r="C2677" s="23">
        <v>724.54300000000001</v>
      </c>
    </row>
    <row r="2678" spans="1:3" x14ac:dyDescent="0.25">
      <c r="A2678">
        <v>2677</v>
      </c>
      <c r="B2678" s="23">
        <v>1396.8</v>
      </c>
      <c r="C2678" s="23">
        <v>723.66899999999998</v>
      </c>
    </row>
    <row r="2679" spans="1:3" x14ac:dyDescent="0.25">
      <c r="A2679">
        <v>2678</v>
      </c>
      <c r="B2679" s="23">
        <v>1396.8</v>
      </c>
      <c r="C2679" s="23">
        <v>720.44899999999996</v>
      </c>
    </row>
    <row r="2680" spans="1:3" x14ac:dyDescent="0.25">
      <c r="A2680">
        <v>2679</v>
      </c>
      <c r="B2680" s="23">
        <v>1396.8</v>
      </c>
      <c r="C2680" s="23">
        <v>717.98</v>
      </c>
    </row>
    <row r="2681" spans="1:3" x14ac:dyDescent="0.25">
      <c r="A2681">
        <v>2680</v>
      </c>
      <c r="B2681" s="23">
        <v>1396.75</v>
      </c>
      <c r="C2681" s="23">
        <v>716.41899999999998</v>
      </c>
    </row>
    <row r="2682" spans="1:3" x14ac:dyDescent="0.25">
      <c r="A2682">
        <v>2681</v>
      </c>
      <c r="B2682" s="23">
        <v>1396.243416</v>
      </c>
      <c r="C2682" s="23">
        <v>716.39599999999996</v>
      </c>
    </row>
    <row r="2683" spans="1:3" x14ac:dyDescent="0.25">
      <c r="A2683">
        <v>2682</v>
      </c>
      <c r="B2683" s="23">
        <v>1396.16</v>
      </c>
      <c r="C2683" s="23">
        <v>715.66099999999994</v>
      </c>
    </row>
    <row r="2684" spans="1:3" x14ac:dyDescent="0.25">
      <c r="A2684">
        <v>2683</v>
      </c>
      <c r="B2684" s="23">
        <v>1396</v>
      </c>
      <c r="C2684" s="23">
        <v>715.54899999999998</v>
      </c>
    </row>
    <row r="2685" spans="1:3" x14ac:dyDescent="0.25">
      <c r="A2685">
        <v>2684</v>
      </c>
      <c r="B2685" s="23">
        <v>1396</v>
      </c>
      <c r="C2685" s="23">
        <v>714.16700000000003</v>
      </c>
    </row>
    <row r="2686" spans="1:3" x14ac:dyDescent="0.25">
      <c r="A2686">
        <v>2685</v>
      </c>
      <c r="B2686" s="23">
        <v>1396</v>
      </c>
      <c r="C2686" s="23">
        <v>713.6</v>
      </c>
    </row>
    <row r="2687" spans="1:3" x14ac:dyDescent="0.25">
      <c r="A2687">
        <v>2686</v>
      </c>
      <c r="B2687" s="23">
        <v>1395.96</v>
      </c>
      <c r="C2687" s="23">
        <v>712.46799999999996</v>
      </c>
    </row>
    <row r="2688" spans="1:3" x14ac:dyDescent="0.25">
      <c r="A2688">
        <v>2687</v>
      </c>
      <c r="B2688" s="23">
        <v>1395.6179999999999</v>
      </c>
      <c r="C2688" s="23">
        <v>711.98299999999995</v>
      </c>
    </row>
    <row r="2689" spans="1:3" x14ac:dyDescent="0.25">
      <c r="A2689">
        <v>2688</v>
      </c>
      <c r="B2689" s="23">
        <v>1395.5694350000001</v>
      </c>
      <c r="C2689" s="23">
        <v>711.76400000000001</v>
      </c>
    </row>
    <row r="2690" spans="1:3" x14ac:dyDescent="0.25">
      <c r="A2690">
        <v>2689</v>
      </c>
      <c r="B2690" s="23">
        <v>1395.4794999999999</v>
      </c>
      <c r="C2690" s="23">
        <v>708.8</v>
      </c>
    </row>
    <row r="2691" spans="1:3" x14ac:dyDescent="0.25">
      <c r="A2691">
        <v>2690</v>
      </c>
      <c r="B2691" s="23">
        <v>1395.380973</v>
      </c>
      <c r="C2691" s="23">
        <v>707.95100000000002</v>
      </c>
    </row>
    <row r="2692" spans="1:3" x14ac:dyDescent="0.25">
      <c r="A2692">
        <v>2691</v>
      </c>
      <c r="B2692" s="23">
        <v>1395.2814519999999</v>
      </c>
      <c r="C2692" s="23">
        <v>706.91800000000001</v>
      </c>
    </row>
    <row r="2693" spans="1:3" x14ac:dyDescent="0.25">
      <c r="A2693">
        <v>2692</v>
      </c>
      <c r="B2693" s="23">
        <v>1395.2</v>
      </c>
      <c r="C2693" s="23">
        <v>705.6</v>
      </c>
    </row>
    <row r="2694" spans="1:3" x14ac:dyDescent="0.25">
      <c r="A2694">
        <v>2693</v>
      </c>
      <c r="B2694" s="23">
        <v>1395.2</v>
      </c>
      <c r="C2694" s="23">
        <v>705.58799999999997</v>
      </c>
    </row>
    <row r="2695" spans="1:3" x14ac:dyDescent="0.25">
      <c r="A2695">
        <v>2694</v>
      </c>
      <c r="B2695" s="23">
        <v>1395.2</v>
      </c>
      <c r="C2695" s="23">
        <v>705.06299999999999</v>
      </c>
    </row>
    <row r="2696" spans="1:3" x14ac:dyDescent="0.25">
      <c r="A2696">
        <v>2695</v>
      </c>
      <c r="B2696" s="23">
        <v>1395.182</v>
      </c>
      <c r="C2696" s="23">
        <v>704.96900000000005</v>
      </c>
    </row>
    <row r="2697" spans="1:3" x14ac:dyDescent="0.25">
      <c r="A2697">
        <v>2696</v>
      </c>
      <c r="B2697" s="23">
        <v>1395.164</v>
      </c>
      <c r="C2697" s="23">
        <v>704.28200000000004</v>
      </c>
    </row>
    <row r="2698" spans="1:3" x14ac:dyDescent="0.25">
      <c r="A2698">
        <v>2697</v>
      </c>
      <c r="B2698" s="23">
        <v>1395.1079999999999</v>
      </c>
      <c r="C2698" s="23">
        <v>704.23199999999997</v>
      </c>
    </row>
    <row r="2699" spans="1:3" x14ac:dyDescent="0.25">
      <c r="A2699">
        <v>2698</v>
      </c>
      <c r="B2699" s="23">
        <v>1394.875963</v>
      </c>
      <c r="C2699" s="23">
        <v>704</v>
      </c>
    </row>
    <row r="2700" spans="1:3" x14ac:dyDescent="0.25">
      <c r="A2700">
        <v>2699</v>
      </c>
      <c r="B2700" s="23">
        <v>1394.6040350000001</v>
      </c>
      <c r="C2700" s="23">
        <v>702.84299999999996</v>
      </c>
    </row>
    <row r="2701" spans="1:3" x14ac:dyDescent="0.25">
      <c r="A2701">
        <v>2700</v>
      </c>
      <c r="B2701" s="23">
        <v>1394.545932</v>
      </c>
      <c r="C2701" s="23">
        <v>702.47900000000004</v>
      </c>
    </row>
    <row r="2702" spans="1:3" x14ac:dyDescent="0.25">
      <c r="A2702">
        <v>2701</v>
      </c>
      <c r="B2702" s="23">
        <v>1394.545932</v>
      </c>
      <c r="C2702" s="23">
        <v>701.75699999999995</v>
      </c>
    </row>
    <row r="2703" spans="1:3" x14ac:dyDescent="0.25">
      <c r="A2703">
        <v>2702</v>
      </c>
      <c r="B2703" s="23">
        <v>1394.490806</v>
      </c>
      <c r="C2703" s="23">
        <v>701.72400000000005</v>
      </c>
    </row>
    <row r="2704" spans="1:3" x14ac:dyDescent="0.25">
      <c r="A2704">
        <v>2703</v>
      </c>
      <c r="B2704" s="23">
        <v>1394.4</v>
      </c>
      <c r="C2704" s="23">
        <v>700.87199999999996</v>
      </c>
    </row>
    <row r="2705" spans="1:3" x14ac:dyDescent="0.25">
      <c r="A2705">
        <v>2704</v>
      </c>
      <c r="B2705" s="23">
        <v>1394.4</v>
      </c>
      <c r="C2705" s="23">
        <v>700.8</v>
      </c>
    </row>
    <row r="2706" spans="1:3" x14ac:dyDescent="0.25">
      <c r="A2706">
        <v>2705</v>
      </c>
      <c r="B2706" s="23">
        <v>1394.4</v>
      </c>
      <c r="C2706" s="23">
        <v>699.88199999999995</v>
      </c>
    </row>
    <row r="2707" spans="1:3" x14ac:dyDescent="0.25">
      <c r="A2707">
        <v>2706</v>
      </c>
      <c r="B2707" s="23">
        <v>1394.4</v>
      </c>
      <c r="C2707" s="23">
        <v>699.01599999999996</v>
      </c>
    </row>
    <row r="2708" spans="1:3" x14ac:dyDescent="0.25">
      <c r="A2708">
        <v>2707</v>
      </c>
      <c r="B2708" s="23">
        <v>1394.368273</v>
      </c>
      <c r="C2708" s="23">
        <v>698.95699999999999</v>
      </c>
    </row>
    <row r="2709" spans="1:3" x14ac:dyDescent="0.25">
      <c r="A2709">
        <v>2708</v>
      </c>
      <c r="B2709" s="23">
        <v>1394.363145</v>
      </c>
      <c r="C2709" s="23">
        <v>698.69100000000003</v>
      </c>
    </row>
    <row r="2710" spans="1:3" x14ac:dyDescent="0.25">
      <c r="A2710">
        <v>2709</v>
      </c>
      <c r="B2710" s="23">
        <v>1394.271</v>
      </c>
      <c r="C2710" s="23">
        <v>698.01400000000001</v>
      </c>
    </row>
    <row r="2711" spans="1:3" x14ac:dyDescent="0.25">
      <c r="A2711">
        <v>2710</v>
      </c>
      <c r="B2711" s="23">
        <v>1394.176545</v>
      </c>
      <c r="C2711" s="23">
        <v>696.31399999999996</v>
      </c>
    </row>
    <row r="2712" spans="1:3" x14ac:dyDescent="0.25">
      <c r="A2712">
        <v>2711</v>
      </c>
      <c r="B2712" s="23">
        <v>1394.1579999999999</v>
      </c>
      <c r="C2712" s="23">
        <v>695.10599999999999</v>
      </c>
    </row>
    <row r="2713" spans="1:3" x14ac:dyDescent="0.25">
      <c r="A2713">
        <v>2712</v>
      </c>
      <c r="B2713" s="23">
        <v>1394.069</v>
      </c>
      <c r="C2713" s="23">
        <v>693.95500000000004</v>
      </c>
    </row>
    <row r="2714" spans="1:3" x14ac:dyDescent="0.25">
      <c r="A2714">
        <v>2713</v>
      </c>
      <c r="B2714" s="23">
        <v>1393.933</v>
      </c>
      <c r="C2714" s="23">
        <v>693.09799999999996</v>
      </c>
    </row>
    <row r="2715" spans="1:3" x14ac:dyDescent="0.25">
      <c r="A2715">
        <v>2714</v>
      </c>
      <c r="B2715" s="23">
        <v>1393.7850000000001</v>
      </c>
      <c r="C2715" s="23">
        <v>692.702</v>
      </c>
    </row>
    <row r="2716" spans="1:3" x14ac:dyDescent="0.25">
      <c r="A2716">
        <v>2715</v>
      </c>
      <c r="B2716" s="23">
        <v>1393.7339999999999</v>
      </c>
      <c r="C2716" s="23">
        <v>692.42700000000002</v>
      </c>
    </row>
    <row r="2717" spans="1:3" x14ac:dyDescent="0.25">
      <c r="A2717">
        <v>2716</v>
      </c>
      <c r="B2717" s="23">
        <v>1393.713</v>
      </c>
      <c r="C2717" s="23">
        <v>690.72699999999998</v>
      </c>
    </row>
    <row r="2718" spans="1:3" x14ac:dyDescent="0.25">
      <c r="A2718">
        <v>2717</v>
      </c>
      <c r="B2718" s="23">
        <v>1393.6</v>
      </c>
      <c r="C2718" s="23">
        <v>690.36599999999999</v>
      </c>
    </row>
    <row r="2719" spans="1:3" x14ac:dyDescent="0.25">
      <c r="A2719">
        <v>2718</v>
      </c>
      <c r="B2719" s="23">
        <v>1393.0748920000001</v>
      </c>
      <c r="C2719" s="23">
        <v>689.6</v>
      </c>
    </row>
    <row r="2720" spans="1:3" x14ac:dyDescent="0.25">
      <c r="A2720">
        <v>2719</v>
      </c>
      <c r="B2720" s="23">
        <v>1393.0748920000001</v>
      </c>
      <c r="C2720" s="23">
        <v>688.79499999999996</v>
      </c>
    </row>
    <row r="2721" spans="1:3" x14ac:dyDescent="0.25">
      <c r="A2721">
        <v>2720</v>
      </c>
      <c r="B2721" s="23">
        <v>1393.0650000000001</v>
      </c>
      <c r="C2721" s="23">
        <v>687.99099999999999</v>
      </c>
    </row>
    <row r="2722" spans="1:3" x14ac:dyDescent="0.25">
      <c r="A2722">
        <v>2721</v>
      </c>
      <c r="B2722" s="23">
        <v>1392.8</v>
      </c>
      <c r="C2722" s="23">
        <v>687</v>
      </c>
    </row>
    <row r="2723" spans="1:3" x14ac:dyDescent="0.25">
      <c r="A2723">
        <v>2722</v>
      </c>
      <c r="B2723" s="23">
        <v>1392.8</v>
      </c>
      <c r="C2723" s="23">
        <v>686.10299999999995</v>
      </c>
    </row>
    <row r="2724" spans="1:3" x14ac:dyDescent="0.25">
      <c r="A2724">
        <v>2723</v>
      </c>
      <c r="B2724" s="23">
        <v>1392.7643049999999</v>
      </c>
      <c r="C2724" s="23">
        <v>684.41300000000001</v>
      </c>
    </row>
    <row r="2725" spans="1:3" x14ac:dyDescent="0.25">
      <c r="A2725">
        <v>2724</v>
      </c>
      <c r="B2725" s="23">
        <v>1392.7643049999999</v>
      </c>
      <c r="C2725" s="23">
        <v>683.351</v>
      </c>
    </row>
    <row r="2726" spans="1:3" x14ac:dyDescent="0.25">
      <c r="A2726">
        <v>2725</v>
      </c>
      <c r="B2726" s="23">
        <v>1392.6590000000001</v>
      </c>
      <c r="C2726" s="23">
        <v>679.76099999999997</v>
      </c>
    </row>
    <row r="2727" spans="1:3" x14ac:dyDescent="0.25">
      <c r="A2727">
        <v>2726</v>
      </c>
      <c r="B2727" s="23">
        <v>1392.6389999999999</v>
      </c>
      <c r="C2727" s="23">
        <v>679.04600000000005</v>
      </c>
    </row>
    <row r="2728" spans="1:3" x14ac:dyDescent="0.25">
      <c r="A2728">
        <v>2727</v>
      </c>
      <c r="B2728" s="23">
        <v>1392.377</v>
      </c>
      <c r="C2728" s="23">
        <v>678.56299999999999</v>
      </c>
    </row>
    <row r="2729" spans="1:3" x14ac:dyDescent="0.25">
      <c r="A2729">
        <v>2728</v>
      </c>
      <c r="B2729" s="23">
        <v>1392.1637330000001</v>
      </c>
      <c r="C2729" s="23">
        <v>678.37300000000005</v>
      </c>
    </row>
    <row r="2730" spans="1:3" x14ac:dyDescent="0.25">
      <c r="A2730">
        <v>2729</v>
      </c>
      <c r="B2730" s="23">
        <v>1392.1637330000001</v>
      </c>
      <c r="C2730" s="23">
        <v>677.6</v>
      </c>
    </row>
    <row r="2731" spans="1:3" x14ac:dyDescent="0.25">
      <c r="A2731">
        <v>2730</v>
      </c>
      <c r="B2731" s="23">
        <v>1392.0498500000001</v>
      </c>
      <c r="C2731" s="23">
        <v>676.55200000000002</v>
      </c>
    </row>
    <row r="2732" spans="1:3" x14ac:dyDescent="0.25">
      <c r="A2732">
        <v>2731</v>
      </c>
      <c r="B2732" s="23">
        <v>1392</v>
      </c>
      <c r="C2732" s="23">
        <v>674.94200000000001</v>
      </c>
    </row>
    <row r="2733" spans="1:3" x14ac:dyDescent="0.25">
      <c r="A2733">
        <v>2732</v>
      </c>
      <c r="B2733" s="23">
        <v>1392</v>
      </c>
      <c r="C2733" s="23">
        <v>674.08399999999995</v>
      </c>
    </row>
    <row r="2734" spans="1:3" x14ac:dyDescent="0.25">
      <c r="A2734">
        <v>2733</v>
      </c>
      <c r="B2734" s="23">
        <v>1392</v>
      </c>
      <c r="C2734" s="23">
        <v>673.47799999999995</v>
      </c>
    </row>
    <row r="2735" spans="1:3" x14ac:dyDescent="0.25">
      <c r="A2735">
        <v>2734</v>
      </c>
      <c r="B2735" s="23">
        <v>1392</v>
      </c>
      <c r="C2735" s="23">
        <v>671.83299999999997</v>
      </c>
    </row>
    <row r="2736" spans="1:3" x14ac:dyDescent="0.25">
      <c r="A2736">
        <v>2735</v>
      </c>
      <c r="B2736" s="23">
        <v>1392</v>
      </c>
      <c r="C2736" s="23">
        <v>670.221</v>
      </c>
    </row>
    <row r="2737" spans="1:3" x14ac:dyDescent="0.25">
      <c r="A2737">
        <v>2736</v>
      </c>
      <c r="B2737" s="23">
        <v>1391.946475</v>
      </c>
      <c r="C2737" s="23">
        <v>668.58799999999997</v>
      </c>
    </row>
    <row r="2738" spans="1:3" x14ac:dyDescent="0.25">
      <c r="A2738">
        <v>2737</v>
      </c>
      <c r="B2738" s="23">
        <v>1391.946475</v>
      </c>
      <c r="C2738" s="23">
        <v>665.81399999999996</v>
      </c>
    </row>
    <row r="2739" spans="1:3" x14ac:dyDescent="0.25">
      <c r="A2739">
        <v>2738</v>
      </c>
      <c r="B2739" s="23">
        <v>1391.920599</v>
      </c>
      <c r="C2739" s="23">
        <v>664.55499999999995</v>
      </c>
    </row>
    <row r="2740" spans="1:3" x14ac:dyDescent="0.25">
      <c r="A2740">
        <v>2739</v>
      </c>
      <c r="B2740" s="23">
        <v>1391.7280699999999</v>
      </c>
      <c r="C2740" s="23">
        <v>663.61400000000003</v>
      </c>
    </row>
    <row r="2741" spans="1:3" x14ac:dyDescent="0.25">
      <c r="A2741">
        <v>2740</v>
      </c>
      <c r="B2741" s="23">
        <v>1391.6790000000001</v>
      </c>
      <c r="C2741" s="23">
        <v>663.43899999999996</v>
      </c>
    </row>
    <row r="2742" spans="1:3" x14ac:dyDescent="0.25">
      <c r="A2742">
        <v>2741</v>
      </c>
      <c r="B2742" s="23">
        <v>1391.4962820000001</v>
      </c>
      <c r="C2742" s="23">
        <v>662.86199999999997</v>
      </c>
    </row>
    <row r="2743" spans="1:3" x14ac:dyDescent="0.25">
      <c r="A2743">
        <v>2742</v>
      </c>
      <c r="B2743" s="23">
        <v>1391.366845</v>
      </c>
      <c r="C2743" s="23">
        <v>660.23400000000004</v>
      </c>
    </row>
    <row r="2744" spans="1:3" x14ac:dyDescent="0.25">
      <c r="A2744">
        <v>2743</v>
      </c>
      <c r="B2744" s="23">
        <v>1391.366845</v>
      </c>
      <c r="C2744" s="23">
        <v>658.846</v>
      </c>
    </row>
    <row r="2745" spans="1:3" x14ac:dyDescent="0.25">
      <c r="A2745">
        <v>2744</v>
      </c>
      <c r="B2745" s="23">
        <v>1391.3491779999999</v>
      </c>
      <c r="C2745" s="23">
        <v>654.35</v>
      </c>
    </row>
    <row r="2746" spans="1:3" x14ac:dyDescent="0.25">
      <c r="A2746">
        <v>2745</v>
      </c>
      <c r="B2746" s="23">
        <v>1391.3030000000001</v>
      </c>
      <c r="C2746" s="23">
        <v>654.31700000000001</v>
      </c>
    </row>
    <row r="2747" spans="1:3" x14ac:dyDescent="0.25">
      <c r="A2747">
        <v>2746</v>
      </c>
      <c r="B2747" s="23">
        <v>1391.249</v>
      </c>
      <c r="C2747" s="23">
        <v>652.92999999999995</v>
      </c>
    </row>
    <row r="2748" spans="1:3" x14ac:dyDescent="0.25">
      <c r="A2748">
        <v>2747</v>
      </c>
      <c r="B2748" s="23">
        <v>1390.4</v>
      </c>
      <c r="C2748" s="23">
        <v>652.00599999999997</v>
      </c>
    </row>
    <row r="2749" spans="1:3" x14ac:dyDescent="0.25">
      <c r="A2749">
        <v>2748</v>
      </c>
      <c r="B2749" s="23">
        <v>1390.166747</v>
      </c>
      <c r="C2749" s="23">
        <v>646.16700000000003</v>
      </c>
    </row>
    <row r="2750" spans="1:3" x14ac:dyDescent="0.25">
      <c r="A2750">
        <v>2749</v>
      </c>
      <c r="B2750" s="23">
        <v>1389.681427</v>
      </c>
      <c r="C2750" s="23">
        <v>645.65099999999995</v>
      </c>
    </row>
    <row r="2751" spans="1:3" x14ac:dyDescent="0.25">
      <c r="A2751">
        <v>2750</v>
      </c>
      <c r="B2751" s="23">
        <v>1389.6</v>
      </c>
      <c r="C2751" s="23">
        <v>639.55499999999995</v>
      </c>
    </row>
    <row r="2752" spans="1:3" x14ac:dyDescent="0.25">
      <c r="A2752">
        <v>2751</v>
      </c>
      <c r="B2752" s="23">
        <v>1389.6</v>
      </c>
      <c r="C2752" s="23">
        <v>637.40499999999997</v>
      </c>
    </row>
    <row r="2753" spans="1:3" x14ac:dyDescent="0.25">
      <c r="A2753">
        <v>2752</v>
      </c>
      <c r="B2753" s="23">
        <v>1389.518</v>
      </c>
      <c r="C2753" s="23">
        <v>636.221</v>
      </c>
    </row>
    <row r="2754" spans="1:3" x14ac:dyDescent="0.25">
      <c r="A2754">
        <v>2753</v>
      </c>
      <c r="B2754" s="23">
        <v>1389.470495</v>
      </c>
      <c r="C2754" s="23">
        <v>635.46400000000006</v>
      </c>
    </row>
    <row r="2755" spans="1:3" x14ac:dyDescent="0.25">
      <c r="A2755">
        <v>2754</v>
      </c>
      <c r="B2755" s="23">
        <v>1388.914</v>
      </c>
      <c r="C2755" s="23">
        <v>635.43499999999995</v>
      </c>
    </row>
    <row r="2756" spans="1:3" x14ac:dyDescent="0.25">
      <c r="A2756">
        <v>2755</v>
      </c>
      <c r="B2756" s="23">
        <v>1388.8340000000001</v>
      </c>
      <c r="C2756" s="23">
        <v>632.72199999999998</v>
      </c>
    </row>
    <row r="2757" spans="1:3" x14ac:dyDescent="0.25">
      <c r="A2757">
        <v>2756</v>
      </c>
      <c r="B2757" s="23">
        <v>1388.8</v>
      </c>
      <c r="C2757" s="23">
        <v>632.44200000000001</v>
      </c>
    </row>
    <row r="2758" spans="1:3" x14ac:dyDescent="0.25">
      <c r="A2758">
        <v>2757</v>
      </c>
      <c r="B2758" s="23">
        <v>1388.8</v>
      </c>
      <c r="C2758" s="23">
        <v>632.11500000000001</v>
      </c>
    </row>
    <row r="2759" spans="1:3" x14ac:dyDescent="0.25">
      <c r="A2759">
        <v>2758</v>
      </c>
      <c r="B2759" s="23">
        <v>1388.6751549999999</v>
      </c>
      <c r="C2759" s="23">
        <v>630.24400000000003</v>
      </c>
    </row>
    <row r="2760" spans="1:3" x14ac:dyDescent="0.25">
      <c r="A2760">
        <v>2759</v>
      </c>
      <c r="B2760" s="23">
        <v>1388.6464679999999</v>
      </c>
      <c r="C2760" s="23">
        <v>630.02599999999995</v>
      </c>
    </row>
    <row r="2761" spans="1:3" x14ac:dyDescent="0.25">
      <c r="A2761">
        <v>2760</v>
      </c>
      <c r="B2761" s="23">
        <v>1388.3885290000001</v>
      </c>
      <c r="C2761" s="23">
        <v>629.90899999999999</v>
      </c>
    </row>
    <row r="2762" spans="1:3" x14ac:dyDescent="0.25">
      <c r="A2762">
        <v>2761</v>
      </c>
      <c r="B2762" s="23">
        <v>1388.338823</v>
      </c>
      <c r="C2762" s="23">
        <v>629.62699999999995</v>
      </c>
    </row>
    <row r="2763" spans="1:3" x14ac:dyDescent="0.25">
      <c r="A2763">
        <v>2762</v>
      </c>
      <c r="B2763" s="23">
        <v>1388</v>
      </c>
      <c r="C2763" s="23">
        <v>625.49</v>
      </c>
    </row>
    <row r="2764" spans="1:3" x14ac:dyDescent="0.25">
      <c r="A2764">
        <v>2763</v>
      </c>
      <c r="B2764" s="23">
        <v>1388</v>
      </c>
      <c r="C2764" s="23">
        <v>624.60299999999995</v>
      </c>
    </row>
    <row r="2765" spans="1:3" x14ac:dyDescent="0.25">
      <c r="A2765">
        <v>2764</v>
      </c>
      <c r="B2765" s="23">
        <v>1388</v>
      </c>
      <c r="C2765" s="23">
        <v>623.09500000000003</v>
      </c>
    </row>
    <row r="2766" spans="1:3" x14ac:dyDescent="0.25">
      <c r="A2766">
        <v>2765</v>
      </c>
      <c r="B2766" s="23">
        <v>1387.757083</v>
      </c>
      <c r="C2766" s="23">
        <v>621.02800000000002</v>
      </c>
    </row>
    <row r="2767" spans="1:3" x14ac:dyDescent="0.25">
      <c r="A2767">
        <v>2766</v>
      </c>
      <c r="B2767" s="23">
        <v>1387.754048</v>
      </c>
      <c r="C2767" s="23">
        <v>620.91399999999999</v>
      </c>
    </row>
    <row r="2768" spans="1:3" x14ac:dyDescent="0.25">
      <c r="A2768">
        <v>2767</v>
      </c>
      <c r="B2768" s="23">
        <v>1387.7239999999999</v>
      </c>
      <c r="C2768" s="23">
        <v>620.38599999999997</v>
      </c>
    </row>
    <row r="2769" spans="1:3" x14ac:dyDescent="0.25">
      <c r="A2769">
        <v>2768</v>
      </c>
      <c r="B2769" s="23">
        <v>1387.644</v>
      </c>
      <c r="C2769" s="23">
        <v>616.428</v>
      </c>
    </row>
    <row r="2770" spans="1:3" x14ac:dyDescent="0.25">
      <c r="A2770">
        <v>2769</v>
      </c>
      <c r="B2770" s="23">
        <v>1387.3226689999999</v>
      </c>
      <c r="C2770" s="23">
        <v>615.82600000000002</v>
      </c>
    </row>
    <row r="2771" spans="1:3" x14ac:dyDescent="0.25">
      <c r="A2771">
        <v>2770</v>
      </c>
      <c r="B2771" s="23">
        <v>1387.202039</v>
      </c>
      <c r="C2771" s="23">
        <v>614.399</v>
      </c>
    </row>
    <row r="2772" spans="1:3" x14ac:dyDescent="0.25">
      <c r="A2772">
        <v>2771</v>
      </c>
      <c r="B2772" s="23">
        <v>1387.2</v>
      </c>
      <c r="C2772" s="23">
        <v>614.33100000000002</v>
      </c>
    </row>
    <row r="2773" spans="1:3" x14ac:dyDescent="0.25">
      <c r="A2773">
        <v>2772</v>
      </c>
      <c r="B2773" s="23">
        <v>1386.8346529999999</v>
      </c>
      <c r="C2773" s="23">
        <v>614.16200000000003</v>
      </c>
    </row>
    <row r="2774" spans="1:3" x14ac:dyDescent="0.25">
      <c r="A2774">
        <v>2773</v>
      </c>
      <c r="B2774" s="23">
        <v>1386.8346529999999</v>
      </c>
      <c r="C2774" s="23">
        <v>610.29999999999995</v>
      </c>
    </row>
    <row r="2775" spans="1:3" x14ac:dyDescent="0.25">
      <c r="A2775">
        <v>2774</v>
      </c>
      <c r="B2775" s="23">
        <v>1386.8346529999999</v>
      </c>
      <c r="C2775" s="23">
        <v>608.654</v>
      </c>
    </row>
    <row r="2776" spans="1:3" x14ac:dyDescent="0.25">
      <c r="A2776">
        <v>2775</v>
      </c>
      <c r="B2776" s="23">
        <v>1386.66</v>
      </c>
      <c r="C2776" s="23">
        <v>607.80200000000002</v>
      </c>
    </row>
    <row r="2777" spans="1:3" x14ac:dyDescent="0.25">
      <c r="A2777">
        <v>2776</v>
      </c>
      <c r="B2777" s="23">
        <v>1386.5855160000001</v>
      </c>
      <c r="C2777" s="23">
        <v>607.32399999999996</v>
      </c>
    </row>
    <row r="2778" spans="1:3" x14ac:dyDescent="0.25">
      <c r="A2778">
        <v>2777</v>
      </c>
      <c r="B2778" s="23">
        <v>1386.4</v>
      </c>
      <c r="C2778" s="23">
        <v>606.46299999999997</v>
      </c>
    </row>
    <row r="2779" spans="1:3" x14ac:dyDescent="0.25">
      <c r="A2779">
        <v>2778</v>
      </c>
      <c r="B2779" s="23">
        <v>1386.4</v>
      </c>
      <c r="C2779" s="23">
        <v>606.01199999999994</v>
      </c>
    </row>
    <row r="2780" spans="1:3" x14ac:dyDescent="0.25">
      <c r="A2780">
        <v>2779</v>
      </c>
      <c r="B2780" s="23">
        <v>1386.4</v>
      </c>
      <c r="C2780" s="23">
        <v>605.346</v>
      </c>
    </row>
    <row r="2781" spans="1:3" x14ac:dyDescent="0.25">
      <c r="A2781">
        <v>2780</v>
      </c>
      <c r="B2781" s="23">
        <v>1386.4</v>
      </c>
      <c r="C2781" s="23">
        <v>602.4</v>
      </c>
    </row>
    <row r="2782" spans="1:3" x14ac:dyDescent="0.25">
      <c r="A2782">
        <v>2781</v>
      </c>
      <c r="B2782" s="23">
        <v>1386.265764</v>
      </c>
      <c r="C2782" s="23">
        <v>602.27599999999995</v>
      </c>
    </row>
    <row r="2783" spans="1:3" x14ac:dyDescent="0.25">
      <c r="A2783">
        <v>2782</v>
      </c>
      <c r="B2783" s="23">
        <v>1386.135258</v>
      </c>
      <c r="C2783" s="23">
        <v>602.14700000000005</v>
      </c>
    </row>
    <row r="2784" spans="1:3" x14ac:dyDescent="0.25">
      <c r="A2784">
        <v>2783</v>
      </c>
      <c r="B2784" s="23">
        <v>1386.057</v>
      </c>
      <c r="C2784" s="23">
        <v>601.654</v>
      </c>
    </row>
    <row r="2785" spans="1:3" x14ac:dyDescent="0.25">
      <c r="A2785">
        <v>2784</v>
      </c>
      <c r="B2785" s="23">
        <v>1385.6</v>
      </c>
      <c r="C2785" s="23">
        <v>596.16200000000003</v>
      </c>
    </row>
    <row r="2786" spans="1:3" x14ac:dyDescent="0.25">
      <c r="A2786">
        <v>2785</v>
      </c>
      <c r="B2786" s="23">
        <v>1385.6</v>
      </c>
      <c r="C2786" s="23">
        <v>595.84</v>
      </c>
    </row>
    <row r="2787" spans="1:3" x14ac:dyDescent="0.25">
      <c r="A2787">
        <v>2786</v>
      </c>
      <c r="B2787" s="23">
        <v>1385.46</v>
      </c>
      <c r="C2787" s="23">
        <v>594.83799999999997</v>
      </c>
    </row>
    <row r="2788" spans="1:3" x14ac:dyDescent="0.25">
      <c r="A2788">
        <v>2787</v>
      </c>
      <c r="B2788" s="23">
        <v>1385.337</v>
      </c>
      <c r="C2788" s="23">
        <v>594.4</v>
      </c>
    </row>
    <row r="2789" spans="1:3" x14ac:dyDescent="0.25">
      <c r="A2789">
        <v>2788</v>
      </c>
      <c r="B2789" s="23">
        <v>1384.917064</v>
      </c>
      <c r="C2789" s="23">
        <v>593.745</v>
      </c>
    </row>
    <row r="2790" spans="1:3" x14ac:dyDescent="0.25">
      <c r="A2790">
        <v>2789</v>
      </c>
      <c r="B2790" s="23">
        <v>1384.8</v>
      </c>
      <c r="C2790" s="23">
        <v>592.79999999999995</v>
      </c>
    </row>
    <row r="2791" spans="1:3" x14ac:dyDescent="0.25">
      <c r="A2791">
        <v>2790</v>
      </c>
      <c r="B2791" s="23">
        <v>1384.8</v>
      </c>
      <c r="C2791" s="23">
        <v>592.39099999999996</v>
      </c>
    </row>
    <row r="2792" spans="1:3" x14ac:dyDescent="0.25">
      <c r="A2792">
        <v>2791</v>
      </c>
      <c r="B2792" s="23">
        <v>1384.8</v>
      </c>
      <c r="C2792" s="23">
        <v>591.428</v>
      </c>
    </row>
    <row r="2793" spans="1:3" x14ac:dyDescent="0.25">
      <c r="A2793">
        <v>2792</v>
      </c>
      <c r="B2793" s="23">
        <v>1384.7729999999999</v>
      </c>
      <c r="C2793" s="23">
        <v>590.91099999999994</v>
      </c>
    </row>
    <row r="2794" spans="1:3" x14ac:dyDescent="0.25">
      <c r="A2794">
        <v>2793</v>
      </c>
      <c r="B2794" s="23">
        <v>1384.7711569999999</v>
      </c>
      <c r="C2794" s="23">
        <v>582.82600000000002</v>
      </c>
    </row>
    <row r="2795" spans="1:3" x14ac:dyDescent="0.25">
      <c r="A2795">
        <v>2794</v>
      </c>
      <c r="B2795" s="23">
        <v>1384.7625969999999</v>
      </c>
      <c r="C2795" s="23">
        <v>582.59199999999998</v>
      </c>
    </row>
    <row r="2796" spans="1:3" x14ac:dyDescent="0.25">
      <c r="A2796">
        <v>2795</v>
      </c>
      <c r="B2796" s="23">
        <v>1384.49</v>
      </c>
      <c r="C2796" s="23">
        <v>580.79999999999995</v>
      </c>
    </row>
    <row r="2797" spans="1:3" x14ac:dyDescent="0.25">
      <c r="A2797">
        <v>2796</v>
      </c>
      <c r="B2797" s="23">
        <v>1384.2118479999999</v>
      </c>
      <c r="C2797" s="23">
        <v>580.19600000000003</v>
      </c>
    </row>
    <row r="2798" spans="1:3" x14ac:dyDescent="0.25">
      <c r="A2798">
        <v>2797</v>
      </c>
      <c r="B2798" s="23">
        <v>1384.1314110000001</v>
      </c>
      <c r="C2798" s="23">
        <v>580.11400000000003</v>
      </c>
    </row>
    <row r="2799" spans="1:3" x14ac:dyDescent="0.25">
      <c r="A2799">
        <v>2798</v>
      </c>
      <c r="B2799" s="23">
        <v>1384.068</v>
      </c>
      <c r="C2799" s="23">
        <v>579.86800000000005</v>
      </c>
    </row>
    <row r="2800" spans="1:3" x14ac:dyDescent="0.25">
      <c r="A2800">
        <v>2799</v>
      </c>
      <c r="B2800" s="23">
        <v>1384.059528</v>
      </c>
      <c r="C2800" s="23">
        <v>579.72400000000005</v>
      </c>
    </row>
    <row r="2801" spans="1:3" x14ac:dyDescent="0.25">
      <c r="A2801">
        <v>2800</v>
      </c>
      <c r="B2801" s="23">
        <v>1384</v>
      </c>
      <c r="C2801" s="23">
        <v>579.48500000000001</v>
      </c>
    </row>
    <row r="2802" spans="1:3" x14ac:dyDescent="0.25">
      <c r="A2802">
        <v>2801</v>
      </c>
      <c r="B2802" s="23">
        <v>1384</v>
      </c>
      <c r="C2802" s="23">
        <v>579.06100000000004</v>
      </c>
    </row>
    <row r="2803" spans="1:3" x14ac:dyDescent="0.25">
      <c r="A2803">
        <v>2802</v>
      </c>
      <c r="B2803" s="23">
        <v>1384</v>
      </c>
      <c r="C2803" s="23">
        <v>577.07500000000005</v>
      </c>
    </row>
    <row r="2804" spans="1:3" x14ac:dyDescent="0.25">
      <c r="A2804">
        <v>2803</v>
      </c>
      <c r="B2804" s="23">
        <v>1383.5978580000001</v>
      </c>
      <c r="C2804" s="23">
        <v>576.79999999999995</v>
      </c>
    </row>
    <row r="2805" spans="1:3" x14ac:dyDescent="0.25">
      <c r="A2805">
        <v>2804</v>
      </c>
      <c r="B2805" s="23">
        <v>1383.5719999999999</v>
      </c>
      <c r="C2805" s="23">
        <v>575.62099999999998</v>
      </c>
    </row>
    <row r="2806" spans="1:3" x14ac:dyDescent="0.25">
      <c r="A2806">
        <v>2805</v>
      </c>
      <c r="B2806" s="23">
        <v>1383.4398639999999</v>
      </c>
      <c r="C2806" s="23">
        <v>575.32899999999995</v>
      </c>
    </row>
    <row r="2807" spans="1:3" x14ac:dyDescent="0.25">
      <c r="A2807">
        <v>2806</v>
      </c>
      <c r="B2807" s="23">
        <v>1383.414</v>
      </c>
      <c r="C2807" s="23">
        <v>574.55600000000004</v>
      </c>
    </row>
    <row r="2808" spans="1:3" x14ac:dyDescent="0.25">
      <c r="A2808">
        <v>2807</v>
      </c>
      <c r="B2808" s="23">
        <v>1383.4079999999999</v>
      </c>
      <c r="C2808" s="23">
        <v>574.22</v>
      </c>
    </row>
    <row r="2809" spans="1:3" x14ac:dyDescent="0.25">
      <c r="A2809">
        <v>2808</v>
      </c>
      <c r="B2809" s="23">
        <v>1383.3979629999999</v>
      </c>
      <c r="C2809" s="23">
        <v>573.52499999999998</v>
      </c>
    </row>
    <row r="2810" spans="1:3" x14ac:dyDescent="0.25">
      <c r="A2810">
        <v>2809</v>
      </c>
      <c r="B2810" s="23">
        <v>1383.0329999999999</v>
      </c>
      <c r="C2810" s="23">
        <v>573.47400000000005</v>
      </c>
    </row>
    <row r="2811" spans="1:3" x14ac:dyDescent="0.25">
      <c r="A2811">
        <v>2810</v>
      </c>
      <c r="B2811" s="23">
        <v>1382.8219999999999</v>
      </c>
      <c r="C2811" s="23">
        <v>568.46</v>
      </c>
    </row>
    <row r="2812" spans="1:3" x14ac:dyDescent="0.25">
      <c r="A2812">
        <v>2811</v>
      </c>
      <c r="B2812" s="23">
        <v>1382.7776120000001</v>
      </c>
      <c r="C2812" s="23">
        <v>567.02499999999998</v>
      </c>
    </row>
    <row r="2813" spans="1:3" x14ac:dyDescent="0.25">
      <c r="A2813">
        <v>2812</v>
      </c>
      <c r="B2813" s="23">
        <v>1382.4059999999999</v>
      </c>
      <c r="C2813" s="23">
        <v>563.48500000000001</v>
      </c>
    </row>
    <row r="2814" spans="1:3" x14ac:dyDescent="0.25">
      <c r="A2814">
        <v>2813</v>
      </c>
      <c r="B2814" s="23">
        <v>1382.4</v>
      </c>
      <c r="C2814" s="23">
        <v>561.98599999999999</v>
      </c>
    </row>
    <row r="2815" spans="1:3" x14ac:dyDescent="0.25">
      <c r="A2815">
        <v>2814</v>
      </c>
      <c r="B2815" s="23">
        <v>1382.4</v>
      </c>
      <c r="C2815" s="23">
        <v>560.94500000000005</v>
      </c>
    </row>
    <row r="2816" spans="1:3" x14ac:dyDescent="0.25">
      <c r="A2816">
        <v>2815</v>
      </c>
      <c r="B2816" s="23">
        <v>1382.2639999999999</v>
      </c>
      <c r="C2816" s="23">
        <v>560.53800000000001</v>
      </c>
    </row>
    <row r="2817" spans="1:3" x14ac:dyDescent="0.25">
      <c r="A2817">
        <v>2816</v>
      </c>
      <c r="B2817" s="23">
        <v>1382.1730239999999</v>
      </c>
      <c r="C2817" s="23">
        <v>556.75099999999998</v>
      </c>
    </row>
    <row r="2818" spans="1:3" x14ac:dyDescent="0.25">
      <c r="A2818">
        <v>2817</v>
      </c>
      <c r="B2818" s="23">
        <v>1382.135</v>
      </c>
      <c r="C2818" s="23">
        <v>556.48500000000001</v>
      </c>
    </row>
    <row r="2819" spans="1:3" x14ac:dyDescent="0.25">
      <c r="A2819">
        <v>2818</v>
      </c>
      <c r="B2819" s="23">
        <v>1381.943</v>
      </c>
      <c r="C2819" s="23">
        <v>554.73699999999997</v>
      </c>
    </row>
    <row r="2820" spans="1:3" x14ac:dyDescent="0.25">
      <c r="A2820">
        <v>2819</v>
      </c>
      <c r="B2820" s="23">
        <v>1381.8305700000001</v>
      </c>
      <c r="C2820" s="23">
        <v>554.197</v>
      </c>
    </row>
    <row r="2821" spans="1:3" x14ac:dyDescent="0.25">
      <c r="A2821">
        <v>2820</v>
      </c>
      <c r="B2821" s="23">
        <v>1381.741</v>
      </c>
      <c r="C2821" s="23">
        <v>551.20000000000005</v>
      </c>
    </row>
    <row r="2822" spans="1:3" x14ac:dyDescent="0.25">
      <c r="A2822">
        <v>2821</v>
      </c>
      <c r="B2822" s="23">
        <v>1381.6</v>
      </c>
      <c r="C2822" s="23">
        <v>547.00400000000002</v>
      </c>
    </row>
    <row r="2823" spans="1:3" x14ac:dyDescent="0.25">
      <c r="A2823">
        <v>2822</v>
      </c>
      <c r="B2823" s="23">
        <v>1381.6</v>
      </c>
      <c r="C2823" s="23">
        <v>545.21600000000001</v>
      </c>
    </row>
    <row r="2824" spans="1:3" x14ac:dyDescent="0.25">
      <c r="A2824">
        <v>2823</v>
      </c>
      <c r="B2824" s="23">
        <v>1381.4480000000001</v>
      </c>
      <c r="C2824" s="23">
        <v>543.33100000000002</v>
      </c>
    </row>
    <row r="2825" spans="1:3" x14ac:dyDescent="0.25">
      <c r="A2825">
        <v>2824</v>
      </c>
      <c r="B2825" s="23">
        <v>1380.9639999999999</v>
      </c>
      <c r="C2825" s="23">
        <v>543.29100000000005</v>
      </c>
    </row>
    <row r="2826" spans="1:3" x14ac:dyDescent="0.25">
      <c r="A2826">
        <v>2825</v>
      </c>
      <c r="B2826" s="23">
        <v>1380.9349999999999</v>
      </c>
      <c r="C2826" s="23">
        <v>543.26099999999997</v>
      </c>
    </row>
    <row r="2827" spans="1:3" x14ac:dyDescent="0.25">
      <c r="A2827">
        <v>2826</v>
      </c>
      <c r="B2827" s="23">
        <v>1380.8</v>
      </c>
      <c r="C2827" s="23">
        <v>538.02099999999996</v>
      </c>
    </row>
    <row r="2828" spans="1:3" x14ac:dyDescent="0.25">
      <c r="A2828">
        <v>2827</v>
      </c>
      <c r="B2828" s="23">
        <v>1380.8</v>
      </c>
      <c r="C2828" s="23">
        <v>535.91</v>
      </c>
    </row>
    <row r="2829" spans="1:3" x14ac:dyDescent="0.25">
      <c r="A2829">
        <v>2828</v>
      </c>
      <c r="B2829" s="23">
        <v>1380.8</v>
      </c>
      <c r="C2829" s="23">
        <v>535.649</v>
      </c>
    </row>
    <row r="2830" spans="1:3" x14ac:dyDescent="0.25">
      <c r="A2830">
        <v>2829</v>
      </c>
      <c r="B2830" s="23">
        <v>1380.768</v>
      </c>
      <c r="C2830" s="23">
        <v>535.28200000000004</v>
      </c>
    </row>
    <row r="2831" spans="1:3" x14ac:dyDescent="0.25">
      <c r="A2831">
        <v>2830</v>
      </c>
      <c r="B2831" s="23">
        <v>1380.682274</v>
      </c>
      <c r="C2831" s="23">
        <v>534.40599999999995</v>
      </c>
    </row>
    <row r="2832" spans="1:3" x14ac:dyDescent="0.25">
      <c r="A2832">
        <v>2831</v>
      </c>
      <c r="B2832" s="23">
        <v>1380.4794199999999</v>
      </c>
      <c r="C2832" s="23">
        <v>534.20299999999997</v>
      </c>
    </row>
    <row r="2833" spans="1:3" x14ac:dyDescent="0.25">
      <c r="A2833">
        <v>2832</v>
      </c>
      <c r="B2833" s="23">
        <v>1380.393</v>
      </c>
      <c r="C2833" s="23">
        <v>533.51</v>
      </c>
    </row>
    <row r="2834" spans="1:3" x14ac:dyDescent="0.25">
      <c r="A2834">
        <v>2833</v>
      </c>
      <c r="B2834" s="23">
        <v>1380.3150000000001</v>
      </c>
      <c r="C2834" s="23">
        <v>528.95299999999997</v>
      </c>
    </row>
    <row r="2835" spans="1:3" x14ac:dyDescent="0.25">
      <c r="A2835">
        <v>2834</v>
      </c>
      <c r="B2835" s="23">
        <v>1380.2760000000001</v>
      </c>
      <c r="C2835" s="23">
        <v>528.04300000000001</v>
      </c>
    </row>
    <row r="2836" spans="1:3" x14ac:dyDescent="0.25">
      <c r="A2836">
        <v>2835</v>
      </c>
      <c r="B2836" s="23">
        <v>1380.2104099999999</v>
      </c>
      <c r="C2836" s="23">
        <v>526.88199999999995</v>
      </c>
    </row>
    <row r="2837" spans="1:3" x14ac:dyDescent="0.25">
      <c r="A2837">
        <v>2836</v>
      </c>
      <c r="B2837" s="23">
        <v>1380</v>
      </c>
      <c r="C2837" s="23">
        <v>526.4</v>
      </c>
    </row>
    <row r="2838" spans="1:3" x14ac:dyDescent="0.25">
      <c r="A2838">
        <v>2837</v>
      </c>
      <c r="B2838" s="23">
        <v>1380</v>
      </c>
      <c r="C2838" s="23">
        <v>525.56299999999999</v>
      </c>
    </row>
    <row r="2839" spans="1:3" x14ac:dyDescent="0.25">
      <c r="A2839">
        <v>2838</v>
      </c>
      <c r="B2839" s="23">
        <v>1379.9864439999999</v>
      </c>
      <c r="C2839" s="23">
        <v>524.755</v>
      </c>
    </row>
    <row r="2840" spans="1:3" x14ac:dyDescent="0.25">
      <c r="A2840">
        <v>2839</v>
      </c>
      <c r="B2840" s="23">
        <v>1379.8209999999999</v>
      </c>
      <c r="C2840" s="23">
        <v>524.35199999999998</v>
      </c>
    </row>
    <row r="2841" spans="1:3" x14ac:dyDescent="0.25">
      <c r="A2841">
        <v>2840</v>
      </c>
      <c r="B2841" s="23">
        <v>1379.816</v>
      </c>
      <c r="C2841" s="23">
        <v>523.75199999999995</v>
      </c>
    </row>
    <row r="2842" spans="1:3" x14ac:dyDescent="0.25">
      <c r="A2842">
        <v>2841</v>
      </c>
      <c r="B2842" s="23">
        <v>1379.6333320000001</v>
      </c>
      <c r="C2842" s="23">
        <v>517.95500000000004</v>
      </c>
    </row>
    <row r="2843" spans="1:3" x14ac:dyDescent="0.25">
      <c r="A2843">
        <v>2842</v>
      </c>
      <c r="B2843" s="23">
        <v>1379.5889999999999</v>
      </c>
      <c r="C2843" s="23">
        <v>513.28800000000001</v>
      </c>
    </row>
    <row r="2844" spans="1:3" x14ac:dyDescent="0.25">
      <c r="A2844">
        <v>2843</v>
      </c>
      <c r="B2844" s="23">
        <v>1379.4135220000001</v>
      </c>
      <c r="C2844" s="23">
        <v>513.197</v>
      </c>
    </row>
    <row r="2845" spans="1:3" x14ac:dyDescent="0.25">
      <c r="A2845">
        <v>2844</v>
      </c>
      <c r="B2845" s="23">
        <v>1379.2</v>
      </c>
      <c r="C2845" s="23">
        <v>512.779</v>
      </c>
    </row>
    <row r="2846" spans="1:3" x14ac:dyDescent="0.25">
      <c r="A2846">
        <v>2845</v>
      </c>
      <c r="B2846" s="23">
        <v>1379.158854</v>
      </c>
      <c r="C2846" s="23">
        <v>508.48599999999999</v>
      </c>
    </row>
    <row r="2847" spans="1:3" x14ac:dyDescent="0.25">
      <c r="A2847">
        <v>2846</v>
      </c>
      <c r="B2847" s="23">
        <v>1379.1000120000001</v>
      </c>
      <c r="C2847" s="23">
        <v>508.46499999999997</v>
      </c>
    </row>
    <row r="2848" spans="1:3" x14ac:dyDescent="0.25">
      <c r="A2848">
        <v>2847</v>
      </c>
      <c r="B2848" s="23">
        <v>1379.0652709999999</v>
      </c>
      <c r="C2848" s="23">
        <v>504</v>
      </c>
    </row>
    <row r="2849" spans="1:3" x14ac:dyDescent="0.25">
      <c r="A2849">
        <v>2848</v>
      </c>
      <c r="B2849" s="23">
        <v>1378.9960000000001</v>
      </c>
      <c r="C2849" s="23">
        <v>504</v>
      </c>
    </row>
    <row r="2850" spans="1:3" x14ac:dyDescent="0.25">
      <c r="A2850">
        <v>2849</v>
      </c>
      <c r="B2850" s="23">
        <v>1378.71</v>
      </c>
      <c r="C2850" s="23">
        <v>503.87299999999999</v>
      </c>
    </row>
    <row r="2851" spans="1:3" x14ac:dyDescent="0.25">
      <c r="A2851">
        <v>2850</v>
      </c>
      <c r="B2851" s="23">
        <v>1378.6088199999999</v>
      </c>
      <c r="C2851" s="23">
        <v>503.32600000000002</v>
      </c>
    </row>
    <row r="2852" spans="1:3" x14ac:dyDescent="0.25">
      <c r="A2852">
        <v>2851</v>
      </c>
      <c r="B2852" s="23">
        <v>1378.5809999999999</v>
      </c>
      <c r="C2852" s="23">
        <v>502.04</v>
      </c>
    </row>
    <row r="2853" spans="1:3" x14ac:dyDescent="0.25">
      <c r="A2853">
        <v>2852</v>
      </c>
      <c r="B2853" s="23">
        <v>1378.4</v>
      </c>
      <c r="C2853" s="23">
        <v>502.04</v>
      </c>
    </row>
    <row r="2854" spans="1:3" x14ac:dyDescent="0.25">
      <c r="A2854">
        <v>2853</v>
      </c>
      <c r="B2854" s="23">
        <v>1378.4</v>
      </c>
      <c r="C2854" s="23">
        <v>501.6</v>
      </c>
    </row>
    <row r="2855" spans="1:3" x14ac:dyDescent="0.25">
      <c r="A2855">
        <v>2854</v>
      </c>
      <c r="B2855" s="23">
        <v>1378.1087930000001</v>
      </c>
      <c r="C2855" s="23">
        <v>501.58</v>
      </c>
    </row>
    <row r="2856" spans="1:3" x14ac:dyDescent="0.25">
      <c r="A2856">
        <v>2855</v>
      </c>
      <c r="B2856" s="23">
        <v>1378.026936</v>
      </c>
      <c r="C2856" s="23">
        <v>498.49099999999999</v>
      </c>
    </row>
    <row r="2857" spans="1:3" x14ac:dyDescent="0.25">
      <c r="A2857">
        <v>2856</v>
      </c>
      <c r="B2857" s="23">
        <v>1377.8610000000001</v>
      </c>
      <c r="C2857" s="23">
        <v>498.46699999999998</v>
      </c>
    </row>
    <row r="2858" spans="1:3" x14ac:dyDescent="0.25">
      <c r="A2858">
        <v>2857</v>
      </c>
      <c r="B2858" s="23">
        <v>1377.713</v>
      </c>
      <c r="C2858" s="23">
        <v>498.4</v>
      </c>
    </row>
    <row r="2859" spans="1:3" x14ac:dyDescent="0.25">
      <c r="A2859">
        <v>2858</v>
      </c>
      <c r="B2859" s="23">
        <v>1377.653395</v>
      </c>
      <c r="C2859" s="23">
        <v>498.4</v>
      </c>
    </row>
    <row r="2860" spans="1:3" x14ac:dyDescent="0.25">
      <c r="A2860">
        <v>2859</v>
      </c>
      <c r="B2860" s="23">
        <v>1377.628972</v>
      </c>
      <c r="C2860" s="23">
        <v>497.327</v>
      </c>
    </row>
    <row r="2861" spans="1:3" x14ac:dyDescent="0.25">
      <c r="A2861">
        <v>2860</v>
      </c>
      <c r="B2861" s="23">
        <v>1377.6</v>
      </c>
      <c r="C2861" s="23">
        <v>496.46100000000001</v>
      </c>
    </row>
    <row r="2862" spans="1:3" x14ac:dyDescent="0.25">
      <c r="A2862">
        <v>2861</v>
      </c>
      <c r="B2862" s="23">
        <v>1377.6</v>
      </c>
      <c r="C2862" s="23">
        <v>496.46100000000001</v>
      </c>
    </row>
    <row r="2863" spans="1:3" x14ac:dyDescent="0.25">
      <c r="A2863">
        <v>2862</v>
      </c>
      <c r="B2863" s="23">
        <v>1377.5940000000001</v>
      </c>
      <c r="C2863" s="23">
        <v>496.27600000000001</v>
      </c>
    </row>
    <row r="2864" spans="1:3" x14ac:dyDescent="0.25">
      <c r="A2864">
        <v>2863</v>
      </c>
      <c r="B2864" s="23">
        <v>1377.545386</v>
      </c>
      <c r="C2864" s="23">
        <v>495.60500000000002</v>
      </c>
    </row>
    <row r="2865" spans="1:3" x14ac:dyDescent="0.25">
      <c r="A2865">
        <v>2864</v>
      </c>
      <c r="B2865" s="23">
        <v>1377.423</v>
      </c>
      <c r="C2865" s="23">
        <v>495.464</v>
      </c>
    </row>
    <row r="2866" spans="1:3" x14ac:dyDescent="0.25">
      <c r="A2866">
        <v>2865</v>
      </c>
      <c r="B2866" s="23">
        <v>1377.225537</v>
      </c>
      <c r="C2866" s="23">
        <v>493.56900000000002</v>
      </c>
    </row>
    <row r="2867" spans="1:3" x14ac:dyDescent="0.25">
      <c r="A2867">
        <v>2866</v>
      </c>
      <c r="B2867" s="23">
        <v>1376.8</v>
      </c>
      <c r="C2867" s="23">
        <v>491.767</v>
      </c>
    </row>
    <row r="2868" spans="1:3" x14ac:dyDescent="0.25">
      <c r="A2868">
        <v>2867</v>
      </c>
      <c r="B2868" s="23">
        <v>1376.8</v>
      </c>
      <c r="C2868" s="23">
        <v>488.66500000000002</v>
      </c>
    </row>
    <row r="2869" spans="1:3" x14ac:dyDescent="0.25">
      <c r="A2869">
        <v>2868</v>
      </c>
      <c r="B2869" s="23">
        <v>1376.8</v>
      </c>
      <c r="C2869" s="23">
        <v>488.24099999999999</v>
      </c>
    </row>
    <row r="2870" spans="1:3" x14ac:dyDescent="0.25">
      <c r="A2870">
        <v>2869</v>
      </c>
      <c r="B2870" s="23">
        <v>1376.8</v>
      </c>
      <c r="C2870" s="23">
        <v>487.2</v>
      </c>
    </row>
    <row r="2871" spans="1:3" x14ac:dyDescent="0.25">
      <c r="A2871">
        <v>2870</v>
      </c>
      <c r="B2871" s="23">
        <v>1376.6975520000001</v>
      </c>
      <c r="C2871" s="23">
        <v>486.28800000000001</v>
      </c>
    </row>
    <row r="2872" spans="1:3" x14ac:dyDescent="0.25">
      <c r="A2872">
        <v>2871</v>
      </c>
      <c r="B2872" s="23">
        <v>1376.5419999999999</v>
      </c>
      <c r="C2872" s="23">
        <v>486.02100000000002</v>
      </c>
    </row>
    <row r="2873" spans="1:3" x14ac:dyDescent="0.25">
      <c r="A2873">
        <v>2872</v>
      </c>
      <c r="B2873" s="23">
        <v>1376.5319999999999</v>
      </c>
      <c r="C2873" s="23">
        <v>485.30500000000001</v>
      </c>
    </row>
    <row r="2874" spans="1:3" x14ac:dyDescent="0.25">
      <c r="A2874">
        <v>2873</v>
      </c>
      <c r="B2874" s="23">
        <v>1376.376</v>
      </c>
      <c r="C2874" s="23">
        <v>483.71100000000001</v>
      </c>
    </row>
    <row r="2875" spans="1:3" x14ac:dyDescent="0.25">
      <c r="A2875">
        <v>2874</v>
      </c>
      <c r="B2875" s="23">
        <v>1376.3664200000001</v>
      </c>
      <c r="C2875" s="23">
        <v>482.524</v>
      </c>
    </row>
    <row r="2876" spans="1:3" x14ac:dyDescent="0.25">
      <c r="A2876">
        <v>2875</v>
      </c>
      <c r="B2876" s="23">
        <v>1376.1579320000001</v>
      </c>
      <c r="C2876" s="23">
        <v>482.52</v>
      </c>
    </row>
    <row r="2877" spans="1:3" x14ac:dyDescent="0.25">
      <c r="A2877">
        <v>2876</v>
      </c>
      <c r="B2877" s="23">
        <v>1376</v>
      </c>
      <c r="C2877" s="23">
        <v>481.79500000000002</v>
      </c>
    </row>
    <row r="2878" spans="1:3" x14ac:dyDescent="0.25">
      <c r="A2878">
        <v>2877</v>
      </c>
      <c r="B2878" s="23">
        <v>1376</v>
      </c>
      <c r="C2878" s="23">
        <v>480.89600000000002</v>
      </c>
    </row>
    <row r="2879" spans="1:3" x14ac:dyDescent="0.25">
      <c r="A2879">
        <v>2878</v>
      </c>
      <c r="B2879" s="23">
        <v>1376</v>
      </c>
      <c r="C2879" s="23">
        <v>480.68799999999999</v>
      </c>
    </row>
    <row r="2880" spans="1:3" x14ac:dyDescent="0.25">
      <c r="A2880">
        <v>2879</v>
      </c>
      <c r="B2880" s="23">
        <v>1375.817</v>
      </c>
      <c r="C2880" s="23">
        <v>479.78899999999999</v>
      </c>
    </row>
    <row r="2881" spans="1:3" x14ac:dyDescent="0.25">
      <c r="A2881">
        <v>2880</v>
      </c>
      <c r="B2881" s="23">
        <v>1375.5898769999999</v>
      </c>
      <c r="C2881" s="23">
        <v>479.56700000000001</v>
      </c>
    </row>
    <row r="2882" spans="1:3" x14ac:dyDescent="0.25">
      <c r="A2882">
        <v>2881</v>
      </c>
      <c r="B2882" s="23">
        <v>1375.5229999999999</v>
      </c>
      <c r="C2882" s="23">
        <v>478.976</v>
      </c>
    </row>
    <row r="2883" spans="1:3" x14ac:dyDescent="0.25">
      <c r="A2883">
        <v>2882</v>
      </c>
      <c r="B2883" s="23">
        <v>1375.396849</v>
      </c>
      <c r="C2883" s="23">
        <v>478.04700000000003</v>
      </c>
    </row>
    <row r="2884" spans="1:3" x14ac:dyDescent="0.25">
      <c r="A2884">
        <v>2883</v>
      </c>
      <c r="B2884" s="23">
        <v>1375.3150000000001</v>
      </c>
      <c r="C2884" s="23">
        <v>477.6</v>
      </c>
    </row>
    <row r="2885" spans="1:3" x14ac:dyDescent="0.25">
      <c r="A2885">
        <v>2884</v>
      </c>
      <c r="B2885" s="23">
        <v>1375.2</v>
      </c>
      <c r="C2885" s="23">
        <v>475.96899999999999</v>
      </c>
    </row>
    <row r="2886" spans="1:3" x14ac:dyDescent="0.25">
      <c r="A2886">
        <v>2885</v>
      </c>
      <c r="B2886" s="23">
        <v>1375.2</v>
      </c>
      <c r="C2886" s="23">
        <v>475.94799999999998</v>
      </c>
    </row>
    <row r="2887" spans="1:3" x14ac:dyDescent="0.25">
      <c r="A2887">
        <v>2886</v>
      </c>
      <c r="B2887" s="23">
        <v>1375.182</v>
      </c>
      <c r="C2887" s="23">
        <v>475.74200000000002</v>
      </c>
    </row>
    <row r="2888" spans="1:3" x14ac:dyDescent="0.25">
      <c r="A2888">
        <v>2887</v>
      </c>
      <c r="B2888" s="23">
        <v>1375.0119999999999</v>
      </c>
      <c r="C2888" s="23">
        <v>475.572</v>
      </c>
    </row>
    <row r="2889" spans="1:3" x14ac:dyDescent="0.25">
      <c r="A2889">
        <v>2888</v>
      </c>
      <c r="B2889" s="23">
        <v>1374.7380000000001</v>
      </c>
      <c r="C2889" s="23">
        <v>475.22699999999998</v>
      </c>
    </row>
    <row r="2890" spans="1:3" x14ac:dyDescent="0.25">
      <c r="A2890">
        <v>2889</v>
      </c>
      <c r="B2890" s="23">
        <v>1374.694</v>
      </c>
      <c r="C2890" s="23">
        <v>474.28899999999999</v>
      </c>
    </row>
    <row r="2891" spans="1:3" x14ac:dyDescent="0.25">
      <c r="A2891">
        <v>2890</v>
      </c>
      <c r="B2891" s="23">
        <v>1374.539</v>
      </c>
      <c r="C2891" s="23">
        <v>472.846</v>
      </c>
    </row>
    <row r="2892" spans="1:3" x14ac:dyDescent="0.25">
      <c r="A2892">
        <v>2891</v>
      </c>
      <c r="B2892" s="23">
        <v>1374.5232390000001</v>
      </c>
      <c r="C2892" s="23">
        <v>472.73599999999999</v>
      </c>
    </row>
    <row r="2893" spans="1:3" x14ac:dyDescent="0.25">
      <c r="A2893">
        <v>2892</v>
      </c>
      <c r="B2893" s="23">
        <v>1374.39</v>
      </c>
      <c r="C2893" s="23">
        <v>472.25299999999999</v>
      </c>
    </row>
    <row r="2894" spans="1:3" x14ac:dyDescent="0.25">
      <c r="A2894">
        <v>2893</v>
      </c>
      <c r="B2894" s="23">
        <v>1374.2538549999999</v>
      </c>
      <c r="C2894" s="23">
        <v>472</v>
      </c>
    </row>
    <row r="2895" spans="1:3" x14ac:dyDescent="0.25">
      <c r="A2895">
        <v>2894</v>
      </c>
      <c r="B2895" s="23">
        <v>1373.6</v>
      </c>
      <c r="C2895" s="23">
        <v>469.68799999999999</v>
      </c>
    </row>
    <row r="2896" spans="1:3" x14ac:dyDescent="0.25">
      <c r="A2896">
        <v>2895</v>
      </c>
      <c r="B2896" s="23">
        <v>1373.6</v>
      </c>
      <c r="C2896" s="23">
        <v>468.78899999999999</v>
      </c>
    </row>
    <row r="2897" spans="1:3" x14ac:dyDescent="0.25">
      <c r="A2897">
        <v>2896</v>
      </c>
      <c r="B2897" s="23">
        <v>1373.5440000000001</v>
      </c>
      <c r="C2897" s="23">
        <v>467.976</v>
      </c>
    </row>
    <row r="2898" spans="1:3" x14ac:dyDescent="0.25">
      <c r="A2898">
        <v>2897</v>
      </c>
      <c r="B2898" s="23">
        <v>1373.2187120000001</v>
      </c>
      <c r="C2898" s="23">
        <v>467.75099999999998</v>
      </c>
    </row>
    <row r="2899" spans="1:3" x14ac:dyDescent="0.25">
      <c r="A2899">
        <v>2898</v>
      </c>
      <c r="B2899" s="23">
        <v>1373.136387</v>
      </c>
      <c r="C2899" s="23">
        <v>465.63499999999999</v>
      </c>
    </row>
    <row r="2900" spans="1:3" x14ac:dyDescent="0.25">
      <c r="A2900">
        <v>2899</v>
      </c>
      <c r="B2900" s="23">
        <v>1372.9369999999999</v>
      </c>
      <c r="C2900" s="23">
        <v>464.44400000000002</v>
      </c>
    </row>
    <row r="2901" spans="1:3" x14ac:dyDescent="0.25">
      <c r="A2901">
        <v>2900</v>
      </c>
      <c r="B2901" s="23">
        <v>1372.877</v>
      </c>
      <c r="C2901" s="23">
        <v>463.97699999999998</v>
      </c>
    </row>
    <row r="2902" spans="1:3" x14ac:dyDescent="0.25">
      <c r="A2902">
        <v>2901</v>
      </c>
      <c r="B2902" s="23">
        <v>1372.8720000000001</v>
      </c>
      <c r="C2902" s="23">
        <v>463.863</v>
      </c>
    </row>
    <row r="2903" spans="1:3" x14ac:dyDescent="0.25">
      <c r="A2903">
        <v>2902</v>
      </c>
      <c r="B2903" s="23">
        <v>1372.8</v>
      </c>
      <c r="C2903" s="23">
        <v>461.78300000000002</v>
      </c>
    </row>
    <row r="2904" spans="1:3" x14ac:dyDescent="0.25">
      <c r="A2904">
        <v>2903</v>
      </c>
      <c r="B2904" s="23">
        <v>1372.8</v>
      </c>
      <c r="C2904" s="23">
        <v>461.40899999999999</v>
      </c>
    </row>
    <row r="2905" spans="1:3" x14ac:dyDescent="0.25">
      <c r="A2905">
        <v>2904</v>
      </c>
      <c r="B2905" s="23">
        <v>1372.623</v>
      </c>
      <c r="C2905" s="23">
        <v>460.56400000000002</v>
      </c>
    </row>
    <row r="2906" spans="1:3" x14ac:dyDescent="0.25">
      <c r="A2906">
        <v>2905</v>
      </c>
      <c r="B2906" s="23">
        <v>1372.388921</v>
      </c>
      <c r="C2906" s="23">
        <v>459.84899999999999</v>
      </c>
    </row>
    <row r="2907" spans="1:3" x14ac:dyDescent="0.25">
      <c r="A2907">
        <v>2906</v>
      </c>
      <c r="B2907" s="23">
        <v>1372.388921</v>
      </c>
      <c r="C2907" s="23">
        <v>459.8</v>
      </c>
    </row>
    <row r="2908" spans="1:3" x14ac:dyDescent="0.25">
      <c r="A2908">
        <v>2907</v>
      </c>
      <c r="B2908" s="23">
        <v>1372.354088</v>
      </c>
      <c r="C2908" s="23">
        <v>459.50099999999998</v>
      </c>
    </row>
    <row r="2909" spans="1:3" x14ac:dyDescent="0.25">
      <c r="A2909">
        <v>2908</v>
      </c>
      <c r="B2909" s="23">
        <v>1372.328</v>
      </c>
      <c r="C2909" s="23">
        <v>459.02600000000001</v>
      </c>
    </row>
    <row r="2910" spans="1:3" x14ac:dyDescent="0.25">
      <c r="A2910">
        <v>2909</v>
      </c>
      <c r="B2910" s="23">
        <v>1372.235551</v>
      </c>
      <c r="C2910" s="23">
        <v>458.96199999999999</v>
      </c>
    </row>
    <row r="2911" spans="1:3" x14ac:dyDescent="0.25">
      <c r="A2911">
        <v>2910</v>
      </c>
      <c r="B2911" s="23">
        <v>1372</v>
      </c>
      <c r="C2911" s="23">
        <v>458.911</v>
      </c>
    </row>
    <row r="2912" spans="1:3" x14ac:dyDescent="0.25">
      <c r="A2912">
        <v>2911</v>
      </c>
      <c r="B2912" s="23">
        <v>1371.9494729999999</v>
      </c>
      <c r="C2912" s="23">
        <v>457.28</v>
      </c>
    </row>
    <row r="2913" spans="1:3" x14ac:dyDescent="0.25">
      <c r="A2913">
        <v>2912</v>
      </c>
      <c r="B2913" s="23">
        <v>1371.9280000000001</v>
      </c>
      <c r="C2913" s="23">
        <v>457.27600000000001</v>
      </c>
    </row>
    <row r="2914" spans="1:3" x14ac:dyDescent="0.25">
      <c r="A2914">
        <v>2913</v>
      </c>
      <c r="B2914" s="23">
        <v>1371.7819999999999</v>
      </c>
      <c r="C2914" s="23">
        <v>455.714</v>
      </c>
    </row>
    <row r="2915" spans="1:3" x14ac:dyDescent="0.25">
      <c r="A2915">
        <v>2914</v>
      </c>
      <c r="B2915" s="23">
        <v>1371.7787900000001</v>
      </c>
      <c r="C2915" s="23">
        <v>454.34800000000001</v>
      </c>
    </row>
    <row r="2916" spans="1:3" x14ac:dyDescent="0.25">
      <c r="A2916">
        <v>2915</v>
      </c>
      <c r="B2916" s="23">
        <v>1371.7310210000001</v>
      </c>
      <c r="C2916" s="23">
        <v>452.84199999999998</v>
      </c>
    </row>
    <row r="2917" spans="1:3" x14ac:dyDescent="0.25">
      <c r="A2917">
        <v>2916</v>
      </c>
      <c r="B2917" s="23">
        <v>1371.4446399999999</v>
      </c>
      <c r="C2917" s="23">
        <v>450.4</v>
      </c>
    </row>
    <row r="2918" spans="1:3" x14ac:dyDescent="0.25">
      <c r="A2918">
        <v>2917</v>
      </c>
      <c r="B2918" s="23">
        <v>1371.414</v>
      </c>
      <c r="C2918" s="23">
        <v>449.74</v>
      </c>
    </row>
    <row r="2919" spans="1:3" x14ac:dyDescent="0.25">
      <c r="A2919">
        <v>2918</v>
      </c>
      <c r="B2919" s="23">
        <v>1371.2114200000001</v>
      </c>
      <c r="C2919" s="23">
        <v>449.18700000000001</v>
      </c>
    </row>
    <row r="2920" spans="1:3" x14ac:dyDescent="0.25">
      <c r="A2920">
        <v>2919</v>
      </c>
      <c r="B2920" s="23">
        <v>1371.2</v>
      </c>
      <c r="C2920" s="23">
        <v>448.64800000000002</v>
      </c>
    </row>
    <row r="2921" spans="1:3" x14ac:dyDescent="0.25">
      <c r="A2921">
        <v>2920</v>
      </c>
      <c r="B2921" s="23">
        <v>1371.1369999999999</v>
      </c>
      <c r="C2921" s="23">
        <v>447.685</v>
      </c>
    </row>
    <row r="2922" spans="1:3" x14ac:dyDescent="0.25">
      <c r="A2922">
        <v>2921</v>
      </c>
      <c r="B2922" s="23">
        <v>1371.022289</v>
      </c>
      <c r="C2922" s="23">
        <v>447.54199999999997</v>
      </c>
    </row>
    <row r="2923" spans="1:3" x14ac:dyDescent="0.25">
      <c r="A2923">
        <v>2922</v>
      </c>
      <c r="B2923" s="23">
        <v>1370.9210169999999</v>
      </c>
      <c r="C2923" s="23">
        <v>447.08800000000002</v>
      </c>
    </row>
    <row r="2924" spans="1:3" x14ac:dyDescent="0.25">
      <c r="A2924">
        <v>2923</v>
      </c>
      <c r="B2924" s="23">
        <v>1370.3068699999999</v>
      </c>
      <c r="C2924" s="23">
        <v>446.791</v>
      </c>
    </row>
    <row r="2925" spans="1:3" x14ac:dyDescent="0.25">
      <c r="A2925">
        <v>2924</v>
      </c>
      <c r="B2925" s="23">
        <v>1370.1089999999999</v>
      </c>
      <c r="C2925" s="23">
        <v>445.995</v>
      </c>
    </row>
    <row r="2926" spans="1:3" x14ac:dyDescent="0.25">
      <c r="A2926">
        <v>2925</v>
      </c>
      <c r="B2926" s="23">
        <v>1369.8508629999999</v>
      </c>
      <c r="C2926" s="23">
        <v>445.25299999999999</v>
      </c>
    </row>
    <row r="2927" spans="1:3" x14ac:dyDescent="0.25">
      <c r="A2927">
        <v>2926</v>
      </c>
      <c r="B2927" s="23">
        <v>1369.7570000000001</v>
      </c>
      <c r="C2927" s="23">
        <v>443.55799999999999</v>
      </c>
    </row>
    <row r="2928" spans="1:3" x14ac:dyDescent="0.25">
      <c r="A2928">
        <v>2927</v>
      </c>
      <c r="B2928" s="23">
        <v>1369.6</v>
      </c>
      <c r="C2928" s="23">
        <v>442.96899999999999</v>
      </c>
    </row>
    <row r="2929" spans="1:3" x14ac:dyDescent="0.25">
      <c r="A2929">
        <v>2928</v>
      </c>
      <c r="B2929" s="23">
        <v>1369.6</v>
      </c>
      <c r="C2929" s="23">
        <v>442.79</v>
      </c>
    </row>
    <row r="2930" spans="1:3" x14ac:dyDescent="0.25">
      <c r="A2930">
        <v>2929</v>
      </c>
      <c r="B2930" s="23">
        <v>1369.6</v>
      </c>
      <c r="C2930" s="23">
        <v>440.81</v>
      </c>
    </row>
    <row r="2931" spans="1:3" x14ac:dyDescent="0.25">
      <c r="A2931">
        <v>2930</v>
      </c>
      <c r="B2931" s="23">
        <v>1369.5382520000001</v>
      </c>
      <c r="C2931" s="23">
        <v>438.94499999999999</v>
      </c>
    </row>
    <row r="2932" spans="1:3" x14ac:dyDescent="0.25">
      <c r="A2932">
        <v>2931</v>
      </c>
      <c r="B2932" s="23">
        <v>1368.8</v>
      </c>
      <c r="C2932" s="23">
        <v>437.654</v>
      </c>
    </row>
    <row r="2933" spans="1:3" x14ac:dyDescent="0.25">
      <c r="A2933">
        <v>2932</v>
      </c>
      <c r="B2933" s="23">
        <v>1368.8</v>
      </c>
      <c r="C2933" s="23">
        <v>437.14299999999997</v>
      </c>
    </row>
    <row r="2934" spans="1:3" x14ac:dyDescent="0.25">
      <c r="A2934">
        <v>2933</v>
      </c>
      <c r="B2934" s="23">
        <v>1368.8</v>
      </c>
      <c r="C2934" s="23">
        <v>436.41199999999998</v>
      </c>
    </row>
    <row r="2935" spans="1:3" x14ac:dyDescent="0.25">
      <c r="A2935">
        <v>2934</v>
      </c>
      <c r="B2935" s="23">
        <v>1368.8</v>
      </c>
      <c r="C2935" s="23">
        <v>436.30099999999999</v>
      </c>
    </row>
    <row r="2936" spans="1:3" x14ac:dyDescent="0.25">
      <c r="A2936">
        <v>2935</v>
      </c>
      <c r="B2936" s="23">
        <v>1368.665741</v>
      </c>
      <c r="C2936" s="23">
        <v>435.38600000000002</v>
      </c>
    </row>
    <row r="2937" spans="1:3" x14ac:dyDescent="0.25">
      <c r="A2937">
        <v>2936</v>
      </c>
      <c r="B2937" s="23">
        <v>1368.572721</v>
      </c>
      <c r="C2937" s="23">
        <v>434.35700000000003</v>
      </c>
    </row>
    <row r="2938" spans="1:3" x14ac:dyDescent="0.25">
      <c r="A2938">
        <v>2937</v>
      </c>
      <c r="B2938" s="23">
        <v>1368.5008539999999</v>
      </c>
      <c r="C2938" s="23">
        <v>433.45</v>
      </c>
    </row>
    <row r="2939" spans="1:3" x14ac:dyDescent="0.25">
      <c r="A2939">
        <v>2938</v>
      </c>
      <c r="B2939" s="23">
        <v>1368.4960000000001</v>
      </c>
      <c r="C2939" s="23">
        <v>433.298</v>
      </c>
    </row>
    <row r="2940" spans="1:3" x14ac:dyDescent="0.25">
      <c r="A2940">
        <v>2939</v>
      </c>
      <c r="B2940" s="23">
        <v>1368.331999</v>
      </c>
      <c r="C2940" s="23">
        <v>432.24900000000002</v>
      </c>
    </row>
    <row r="2941" spans="1:3" x14ac:dyDescent="0.25">
      <c r="A2941">
        <v>2940</v>
      </c>
      <c r="B2941" s="23">
        <v>1368.257087</v>
      </c>
      <c r="C2941" s="23">
        <v>431.2</v>
      </c>
    </row>
    <row r="2942" spans="1:3" x14ac:dyDescent="0.25">
      <c r="A2942">
        <v>2941</v>
      </c>
      <c r="B2942" s="23">
        <v>1368.2013039999999</v>
      </c>
      <c r="C2942" s="23">
        <v>428.47300000000001</v>
      </c>
    </row>
    <row r="2943" spans="1:3" x14ac:dyDescent="0.25">
      <c r="A2943">
        <v>2942</v>
      </c>
      <c r="B2943" s="23">
        <v>1368.0219999999999</v>
      </c>
      <c r="C2943" s="23">
        <v>426.089</v>
      </c>
    </row>
    <row r="2944" spans="1:3" x14ac:dyDescent="0.25">
      <c r="A2944">
        <v>2943</v>
      </c>
      <c r="B2944" s="23">
        <v>1368</v>
      </c>
      <c r="C2944" s="23">
        <v>425.96199999999999</v>
      </c>
    </row>
    <row r="2945" spans="1:3" x14ac:dyDescent="0.25">
      <c r="A2945">
        <v>2944</v>
      </c>
      <c r="B2945" s="23">
        <v>1368</v>
      </c>
      <c r="C2945" s="23">
        <v>425.78800000000001</v>
      </c>
    </row>
    <row r="2946" spans="1:3" x14ac:dyDescent="0.25">
      <c r="A2946">
        <v>2945</v>
      </c>
      <c r="B2946" s="23">
        <v>1367.834805</v>
      </c>
      <c r="C2946" s="23">
        <v>424.928</v>
      </c>
    </row>
    <row r="2947" spans="1:3" x14ac:dyDescent="0.25">
      <c r="A2947">
        <v>2946</v>
      </c>
      <c r="B2947" s="23">
        <v>1367.5966659999999</v>
      </c>
      <c r="C2947" s="23">
        <v>422.39</v>
      </c>
    </row>
    <row r="2948" spans="1:3" x14ac:dyDescent="0.25">
      <c r="A2948">
        <v>2947</v>
      </c>
      <c r="B2948" s="23">
        <v>1367.56</v>
      </c>
      <c r="C2948" s="23">
        <v>422.04599999999999</v>
      </c>
    </row>
    <row r="2949" spans="1:3" x14ac:dyDescent="0.25">
      <c r="A2949">
        <v>2948</v>
      </c>
      <c r="B2949" s="23">
        <v>1367.4141119999999</v>
      </c>
      <c r="C2949" s="23">
        <v>421.6</v>
      </c>
    </row>
    <row r="2950" spans="1:3" x14ac:dyDescent="0.25">
      <c r="A2950">
        <v>2949</v>
      </c>
      <c r="B2950" s="23">
        <v>1367.411578</v>
      </c>
      <c r="C2950" s="23">
        <v>421</v>
      </c>
    </row>
    <row r="2951" spans="1:3" x14ac:dyDescent="0.25">
      <c r="A2951">
        <v>2950</v>
      </c>
      <c r="B2951" s="23">
        <v>1367.3119999999999</v>
      </c>
      <c r="C2951" s="23">
        <v>419.96</v>
      </c>
    </row>
    <row r="2952" spans="1:3" x14ac:dyDescent="0.25">
      <c r="A2952">
        <v>2951</v>
      </c>
      <c r="B2952" s="23">
        <v>1367.211</v>
      </c>
      <c r="C2952" s="23">
        <v>419.262</v>
      </c>
    </row>
    <row r="2953" spans="1:3" x14ac:dyDescent="0.25">
      <c r="A2953">
        <v>2952</v>
      </c>
      <c r="B2953" s="23">
        <v>1367.2</v>
      </c>
      <c r="C2953" s="23">
        <v>416.8</v>
      </c>
    </row>
    <row r="2954" spans="1:3" x14ac:dyDescent="0.25">
      <c r="A2954">
        <v>2953</v>
      </c>
      <c r="B2954" s="23">
        <v>1367.2</v>
      </c>
      <c r="C2954" s="23">
        <v>414.81900000000002</v>
      </c>
    </row>
    <row r="2955" spans="1:3" x14ac:dyDescent="0.25">
      <c r="A2955">
        <v>2954</v>
      </c>
      <c r="B2955" s="23">
        <v>1367.1659999999999</v>
      </c>
      <c r="C2955" s="23">
        <v>411.90800000000002</v>
      </c>
    </row>
    <row r="2956" spans="1:3" x14ac:dyDescent="0.25">
      <c r="A2956">
        <v>2955</v>
      </c>
      <c r="B2956" s="23">
        <v>1367.1295580000001</v>
      </c>
      <c r="C2956" s="23">
        <v>411.67099999999999</v>
      </c>
    </row>
    <row r="2957" spans="1:3" x14ac:dyDescent="0.25">
      <c r="A2957">
        <v>2956</v>
      </c>
      <c r="B2957" s="23">
        <v>1366.848</v>
      </c>
      <c r="C2957" s="23">
        <v>411.16</v>
      </c>
    </row>
    <row r="2958" spans="1:3" x14ac:dyDescent="0.25">
      <c r="A2958">
        <v>2957</v>
      </c>
      <c r="B2958" s="23">
        <v>1366.6633099999999</v>
      </c>
      <c r="C2958" s="23">
        <v>410.4</v>
      </c>
    </row>
    <row r="2959" spans="1:3" x14ac:dyDescent="0.25">
      <c r="A2959">
        <v>2958</v>
      </c>
      <c r="B2959" s="23">
        <v>1366.655</v>
      </c>
      <c r="C2959" s="23">
        <v>409.28800000000001</v>
      </c>
    </row>
    <row r="2960" spans="1:3" x14ac:dyDescent="0.25">
      <c r="A2960">
        <v>2959</v>
      </c>
      <c r="B2960" s="23">
        <v>1366.63426</v>
      </c>
      <c r="C2960" s="23">
        <v>408.80399999999997</v>
      </c>
    </row>
    <row r="2961" spans="1:3" x14ac:dyDescent="0.25">
      <c r="A2961">
        <v>2960</v>
      </c>
      <c r="B2961" s="23">
        <v>1366.63426</v>
      </c>
      <c r="C2961" s="23">
        <v>408.303</v>
      </c>
    </row>
    <row r="2962" spans="1:3" x14ac:dyDescent="0.25">
      <c r="A2962">
        <v>2961</v>
      </c>
      <c r="B2962" s="23">
        <v>1366.4</v>
      </c>
      <c r="C2962" s="23">
        <v>407.04300000000001</v>
      </c>
    </row>
    <row r="2963" spans="1:3" x14ac:dyDescent="0.25">
      <c r="A2963">
        <v>2962</v>
      </c>
      <c r="B2963" s="23">
        <v>1366.4</v>
      </c>
      <c r="C2963" s="23">
        <v>406.46100000000001</v>
      </c>
    </row>
    <row r="2964" spans="1:3" x14ac:dyDescent="0.25">
      <c r="A2964">
        <v>2963</v>
      </c>
      <c r="B2964" s="23">
        <v>1366.4</v>
      </c>
      <c r="C2964" s="23">
        <v>405.02600000000001</v>
      </c>
    </row>
    <row r="2965" spans="1:3" x14ac:dyDescent="0.25">
      <c r="A2965">
        <v>2964</v>
      </c>
      <c r="B2965" s="23">
        <v>1366.0648470000001</v>
      </c>
      <c r="C2965" s="23">
        <v>404.17500000000001</v>
      </c>
    </row>
    <row r="2966" spans="1:3" x14ac:dyDescent="0.25">
      <c r="A2966">
        <v>2965</v>
      </c>
      <c r="B2966" s="23">
        <v>1366.0550000000001</v>
      </c>
      <c r="C2966" s="23">
        <v>403.20400000000001</v>
      </c>
    </row>
    <row r="2967" spans="1:3" x14ac:dyDescent="0.25">
      <c r="A2967">
        <v>2966</v>
      </c>
      <c r="B2967" s="23">
        <v>1365.6</v>
      </c>
      <c r="C2967" s="23">
        <v>403.19</v>
      </c>
    </row>
    <row r="2968" spans="1:3" x14ac:dyDescent="0.25">
      <c r="A2968">
        <v>2967</v>
      </c>
      <c r="B2968" s="23">
        <v>1365.6</v>
      </c>
      <c r="C2968" s="23">
        <v>402.80700000000002</v>
      </c>
    </row>
    <row r="2969" spans="1:3" x14ac:dyDescent="0.25">
      <c r="A2969">
        <v>2968</v>
      </c>
      <c r="B2969" s="23">
        <v>1365.6</v>
      </c>
      <c r="C2969" s="23">
        <v>401.99200000000002</v>
      </c>
    </row>
    <row r="2970" spans="1:3" x14ac:dyDescent="0.25">
      <c r="A2970">
        <v>2969</v>
      </c>
      <c r="B2970" s="23">
        <v>1365.5683939999999</v>
      </c>
      <c r="C2970" s="23">
        <v>401.85500000000002</v>
      </c>
    </row>
    <row r="2971" spans="1:3" x14ac:dyDescent="0.25">
      <c r="A2971">
        <v>2970</v>
      </c>
      <c r="B2971" s="23">
        <v>1365.482082</v>
      </c>
      <c r="C2971" s="23">
        <v>401.17700000000002</v>
      </c>
    </row>
    <row r="2972" spans="1:3" x14ac:dyDescent="0.25">
      <c r="A2972">
        <v>2971</v>
      </c>
      <c r="B2972" s="23">
        <v>1365.2484179999999</v>
      </c>
      <c r="C2972" s="23">
        <v>400.83800000000002</v>
      </c>
    </row>
    <row r="2973" spans="1:3" x14ac:dyDescent="0.25">
      <c r="A2973">
        <v>2972</v>
      </c>
      <c r="B2973" s="23">
        <v>1365.124</v>
      </c>
      <c r="C2973" s="23">
        <v>400.06</v>
      </c>
    </row>
    <row r="2974" spans="1:3" x14ac:dyDescent="0.25">
      <c r="A2974">
        <v>2973</v>
      </c>
      <c r="B2974" s="23">
        <v>1365.056</v>
      </c>
      <c r="C2974" s="23">
        <v>399.18200000000002</v>
      </c>
    </row>
    <row r="2975" spans="1:3" x14ac:dyDescent="0.25">
      <c r="A2975">
        <v>2974</v>
      </c>
      <c r="B2975" s="23">
        <v>1365.0331369999999</v>
      </c>
      <c r="C2975" s="23">
        <v>399.101</v>
      </c>
    </row>
    <row r="2976" spans="1:3" x14ac:dyDescent="0.25">
      <c r="A2976">
        <v>2975</v>
      </c>
      <c r="B2976" s="23">
        <v>1364.9580880000001</v>
      </c>
      <c r="C2976" s="23">
        <v>398.00799999999998</v>
      </c>
    </row>
    <row r="2977" spans="1:3" x14ac:dyDescent="0.25">
      <c r="A2977">
        <v>2976</v>
      </c>
      <c r="B2977" s="23">
        <v>1364.8</v>
      </c>
      <c r="C2977" s="23">
        <v>397.69299999999998</v>
      </c>
    </row>
    <row r="2978" spans="1:3" x14ac:dyDescent="0.25">
      <c r="A2978">
        <v>2977</v>
      </c>
      <c r="B2978" s="23">
        <v>1364.8</v>
      </c>
      <c r="C2978" s="23">
        <v>397.6</v>
      </c>
    </row>
    <row r="2979" spans="1:3" x14ac:dyDescent="0.25">
      <c r="A2979">
        <v>2978</v>
      </c>
      <c r="B2979" s="23">
        <v>1364.8</v>
      </c>
      <c r="C2979" s="23">
        <v>394.4</v>
      </c>
    </row>
    <row r="2980" spans="1:3" x14ac:dyDescent="0.25">
      <c r="A2980">
        <v>2979</v>
      </c>
      <c r="B2980" s="23">
        <v>1364.7796659999999</v>
      </c>
      <c r="C2980" s="23">
        <v>393.964</v>
      </c>
    </row>
    <row r="2981" spans="1:3" x14ac:dyDescent="0.25">
      <c r="A2981">
        <v>2980</v>
      </c>
      <c r="B2981" s="23">
        <v>1364.704199</v>
      </c>
      <c r="C2981" s="23">
        <v>392.55799999999999</v>
      </c>
    </row>
    <row r="2982" spans="1:3" x14ac:dyDescent="0.25">
      <c r="A2982">
        <v>2981</v>
      </c>
      <c r="B2982" s="23">
        <v>1364.272645</v>
      </c>
      <c r="C2982" s="23">
        <v>391.96</v>
      </c>
    </row>
    <row r="2983" spans="1:3" x14ac:dyDescent="0.25">
      <c r="A2983">
        <v>2982</v>
      </c>
      <c r="B2983" s="23">
        <v>1364.1007139999999</v>
      </c>
      <c r="C2983" s="23">
        <v>391.14699999999999</v>
      </c>
    </row>
    <row r="2984" spans="1:3" x14ac:dyDescent="0.25">
      <c r="A2984">
        <v>2983</v>
      </c>
      <c r="B2984" s="23">
        <v>1364</v>
      </c>
      <c r="C2984" s="23">
        <v>390.923</v>
      </c>
    </row>
    <row r="2985" spans="1:3" x14ac:dyDescent="0.25">
      <c r="A2985">
        <v>2984</v>
      </c>
      <c r="B2985" s="23">
        <v>1364</v>
      </c>
      <c r="C2985" s="23">
        <v>390.613</v>
      </c>
    </row>
    <row r="2986" spans="1:3" x14ac:dyDescent="0.25">
      <c r="A2986">
        <v>2985</v>
      </c>
      <c r="B2986" s="23">
        <v>1363.9690000000001</v>
      </c>
      <c r="C2986" s="23">
        <v>390.56</v>
      </c>
    </row>
    <row r="2987" spans="1:3" x14ac:dyDescent="0.25">
      <c r="A2987">
        <v>2986</v>
      </c>
      <c r="B2987" s="23">
        <v>1363.817</v>
      </c>
      <c r="C2987" s="23">
        <v>390.4</v>
      </c>
    </row>
    <row r="2988" spans="1:3" x14ac:dyDescent="0.25">
      <c r="A2988">
        <v>2987</v>
      </c>
      <c r="B2988" s="23">
        <v>1363.693</v>
      </c>
      <c r="C2988" s="23">
        <v>390.29300000000001</v>
      </c>
    </row>
    <row r="2989" spans="1:3" x14ac:dyDescent="0.25">
      <c r="A2989">
        <v>2988</v>
      </c>
      <c r="B2989" s="23">
        <v>1363.654092</v>
      </c>
      <c r="C2989" s="23">
        <v>390.10500000000002</v>
      </c>
    </row>
    <row r="2990" spans="1:3" x14ac:dyDescent="0.25">
      <c r="A2990">
        <v>2989</v>
      </c>
      <c r="B2990" s="23">
        <v>1363.4757569999999</v>
      </c>
      <c r="C2990" s="23">
        <v>389.12799999999999</v>
      </c>
    </row>
    <row r="2991" spans="1:3" x14ac:dyDescent="0.25">
      <c r="A2991">
        <v>2990</v>
      </c>
      <c r="B2991" s="23">
        <v>1363.3224279999999</v>
      </c>
      <c r="C2991" s="23">
        <v>388.46899999999999</v>
      </c>
    </row>
    <row r="2992" spans="1:3" x14ac:dyDescent="0.25">
      <c r="A2992">
        <v>2991</v>
      </c>
      <c r="B2992" s="23">
        <v>1363.3224279999999</v>
      </c>
      <c r="C2992" s="23">
        <v>387.2</v>
      </c>
    </row>
    <row r="2993" spans="1:3" x14ac:dyDescent="0.25">
      <c r="A2993">
        <v>2992</v>
      </c>
      <c r="B2993" s="23">
        <v>1363.2866280000001</v>
      </c>
      <c r="C2993" s="23">
        <v>386.834</v>
      </c>
    </row>
    <row r="2994" spans="1:3" x14ac:dyDescent="0.25">
      <c r="A2994">
        <v>2993</v>
      </c>
      <c r="B2994" s="23">
        <v>1363.2</v>
      </c>
      <c r="C2994" s="23">
        <v>386.26499999999999</v>
      </c>
    </row>
    <row r="2995" spans="1:3" x14ac:dyDescent="0.25">
      <c r="A2995">
        <v>2994</v>
      </c>
      <c r="B2995" s="23">
        <v>1362.6896409999999</v>
      </c>
      <c r="C2995" s="23">
        <v>385.69400000000002</v>
      </c>
    </row>
    <row r="2996" spans="1:3" x14ac:dyDescent="0.25">
      <c r="A2996">
        <v>2995</v>
      </c>
      <c r="B2996" s="23">
        <v>1362.6788690000001</v>
      </c>
      <c r="C2996" s="23">
        <v>383.55099999999999</v>
      </c>
    </row>
    <row r="2997" spans="1:3" x14ac:dyDescent="0.25">
      <c r="A2997">
        <v>2996</v>
      </c>
      <c r="B2997" s="23">
        <v>1362.5045990000001</v>
      </c>
      <c r="C2997" s="23">
        <v>382.4</v>
      </c>
    </row>
    <row r="2998" spans="1:3" x14ac:dyDescent="0.25">
      <c r="A2998">
        <v>2997</v>
      </c>
      <c r="B2998" s="23">
        <v>1362.4</v>
      </c>
      <c r="C2998" s="23">
        <v>382.4</v>
      </c>
    </row>
    <row r="2999" spans="1:3" x14ac:dyDescent="0.25">
      <c r="A2999">
        <v>2998</v>
      </c>
      <c r="B2999" s="23">
        <v>1362.4</v>
      </c>
      <c r="C2999" s="23">
        <v>381.83</v>
      </c>
    </row>
    <row r="3000" spans="1:3" x14ac:dyDescent="0.25">
      <c r="A3000">
        <v>2999</v>
      </c>
      <c r="B3000" s="23">
        <v>1362.4</v>
      </c>
      <c r="C3000" s="23">
        <v>381.6</v>
      </c>
    </row>
    <row r="3001" spans="1:3" x14ac:dyDescent="0.25">
      <c r="A3001">
        <v>3000</v>
      </c>
      <c r="B3001" s="23">
        <v>1362.4</v>
      </c>
      <c r="C3001" s="23">
        <v>380</v>
      </c>
    </row>
    <row r="3002" spans="1:3" x14ac:dyDescent="0.25">
      <c r="A3002">
        <v>3001</v>
      </c>
      <c r="B3002" s="23">
        <v>1362.4</v>
      </c>
      <c r="C3002" s="23">
        <v>378.4</v>
      </c>
    </row>
    <row r="3003" spans="1:3" x14ac:dyDescent="0.25">
      <c r="A3003">
        <v>3002</v>
      </c>
      <c r="B3003" s="23">
        <v>1362.3779999999999</v>
      </c>
      <c r="C3003" s="23">
        <v>378.4</v>
      </c>
    </row>
    <row r="3004" spans="1:3" x14ac:dyDescent="0.25">
      <c r="A3004">
        <v>3003</v>
      </c>
      <c r="B3004" s="23">
        <v>1362.2819999999999</v>
      </c>
      <c r="C3004" s="23">
        <v>378.38900000000001</v>
      </c>
    </row>
    <row r="3005" spans="1:3" x14ac:dyDescent="0.25">
      <c r="A3005">
        <v>3004</v>
      </c>
      <c r="B3005" s="23">
        <v>1362.240581</v>
      </c>
      <c r="C3005" s="23">
        <v>378.28</v>
      </c>
    </row>
    <row r="3006" spans="1:3" x14ac:dyDescent="0.25">
      <c r="A3006">
        <v>3005</v>
      </c>
      <c r="B3006" s="23">
        <v>1361.8610000000001</v>
      </c>
      <c r="C3006" s="23">
        <v>377.25599999999997</v>
      </c>
    </row>
    <row r="3007" spans="1:3" x14ac:dyDescent="0.25">
      <c r="A3007">
        <v>3006</v>
      </c>
      <c r="B3007" s="23">
        <v>1361.769</v>
      </c>
      <c r="C3007" s="23">
        <v>376.928</v>
      </c>
    </row>
    <row r="3008" spans="1:3" x14ac:dyDescent="0.25">
      <c r="A3008">
        <v>3007</v>
      </c>
      <c r="B3008" s="23">
        <v>1361.6</v>
      </c>
      <c r="C3008" s="23">
        <v>376.40199999999999</v>
      </c>
    </row>
    <row r="3009" spans="1:3" x14ac:dyDescent="0.25">
      <c r="A3009">
        <v>3008</v>
      </c>
      <c r="B3009" s="23">
        <v>1361.6</v>
      </c>
      <c r="C3009" s="23">
        <v>375.38400000000001</v>
      </c>
    </row>
    <row r="3010" spans="1:3" x14ac:dyDescent="0.25">
      <c r="A3010">
        <v>3009</v>
      </c>
      <c r="B3010" s="23">
        <v>1361.6</v>
      </c>
      <c r="C3010" s="23">
        <v>374.56900000000002</v>
      </c>
    </row>
    <row r="3011" spans="1:3" x14ac:dyDescent="0.25">
      <c r="A3011">
        <v>3010</v>
      </c>
      <c r="B3011" s="23">
        <v>1361.6</v>
      </c>
      <c r="C3011" s="23">
        <v>372.14299999999997</v>
      </c>
    </row>
    <row r="3012" spans="1:3" x14ac:dyDescent="0.25">
      <c r="A3012">
        <v>3011</v>
      </c>
      <c r="B3012" s="23">
        <v>1361.53135</v>
      </c>
      <c r="C3012" s="23">
        <v>371.37599999999998</v>
      </c>
    </row>
    <row r="3013" spans="1:3" x14ac:dyDescent="0.25">
      <c r="A3013">
        <v>3012</v>
      </c>
      <c r="B3013" s="23">
        <v>1361.5307479999999</v>
      </c>
      <c r="C3013" s="23">
        <v>371.33600000000001</v>
      </c>
    </row>
    <row r="3014" spans="1:3" x14ac:dyDescent="0.25">
      <c r="A3014">
        <v>3013</v>
      </c>
      <c r="B3014" s="23">
        <v>1361.4359999999999</v>
      </c>
      <c r="C3014" s="23">
        <v>369.65899999999999</v>
      </c>
    </row>
    <row r="3015" spans="1:3" x14ac:dyDescent="0.25">
      <c r="A3015">
        <v>3014</v>
      </c>
      <c r="B3015" s="23">
        <v>1361.4245470000001</v>
      </c>
      <c r="C3015" s="23">
        <v>369.6</v>
      </c>
    </row>
    <row r="3016" spans="1:3" x14ac:dyDescent="0.25">
      <c r="A3016">
        <v>3015</v>
      </c>
      <c r="B3016" s="23">
        <v>1361.3379789999999</v>
      </c>
      <c r="C3016" s="23">
        <v>368.54500000000002</v>
      </c>
    </row>
    <row r="3017" spans="1:3" x14ac:dyDescent="0.25">
      <c r="A3017">
        <v>3016</v>
      </c>
      <c r="B3017" s="23">
        <v>1361.3379789999999</v>
      </c>
      <c r="C3017" s="23">
        <v>368.16199999999998</v>
      </c>
    </row>
    <row r="3018" spans="1:3" x14ac:dyDescent="0.25">
      <c r="A3018">
        <v>3017</v>
      </c>
      <c r="B3018" s="23">
        <v>1361.037</v>
      </c>
      <c r="C3018" s="23">
        <v>367.2</v>
      </c>
    </row>
    <row r="3019" spans="1:3" x14ac:dyDescent="0.25">
      <c r="A3019">
        <v>3018</v>
      </c>
      <c r="B3019" s="23">
        <v>1361.0319999999999</v>
      </c>
      <c r="C3019" s="23">
        <v>367.00099999999998</v>
      </c>
    </row>
    <row r="3020" spans="1:3" x14ac:dyDescent="0.25">
      <c r="A3020">
        <v>3019</v>
      </c>
      <c r="B3020" s="23">
        <v>1361.000487</v>
      </c>
      <c r="C3020" s="23">
        <v>365.71300000000002</v>
      </c>
    </row>
    <row r="3021" spans="1:3" x14ac:dyDescent="0.25">
      <c r="A3021">
        <v>3020</v>
      </c>
      <c r="B3021" s="23">
        <v>1360.9590000000001</v>
      </c>
      <c r="C3021" s="23">
        <v>365.57</v>
      </c>
    </row>
    <row r="3022" spans="1:3" x14ac:dyDescent="0.25">
      <c r="A3022">
        <v>3021</v>
      </c>
      <c r="B3022" s="23">
        <v>1360.953</v>
      </c>
      <c r="C3022" s="23">
        <v>365.13099999999997</v>
      </c>
    </row>
    <row r="3023" spans="1:3" x14ac:dyDescent="0.25">
      <c r="A3023">
        <v>3022</v>
      </c>
      <c r="B3023" s="23">
        <v>1360.9390000000001</v>
      </c>
      <c r="C3023" s="23">
        <v>364.02800000000002</v>
      </c>
    </row>
    <row r="3024" spans="1:3" x14ac:dyDescent="0.25">
      <c r="A3024">
        <v>3023</v>
      </c>
      <c r="B3024" s="23">
        <v>1360.868939</v>
      </c>
      <c r="C3024" s="23">
        <v>363.38200000000001</v>
      </c>
    </row>
    <row r="3025" spans="1:3" x14ac:dyDescent="0.25">
      <c r="A3025">
        <v>3024</v>
      </c>
      <c r="B3025" s="23">
        <v>1360.865</v>
      </c>
      <c r="C3025" s="23">
        <v>363.03699999999998</v>
      </c>
    </row>
    <row r="3026" spans="1:3" x14ac:dyDescent="0.25">
      <c r="A3026">
        <v>3025</v>
      </c>
      <c r="B3026" s="23">
        <v>1360.8</v>
      </c>
      <c r="C3026" s="23">
        <v>362.53300000000002</v>
      </c>
    </row>
    <row r="3027" spans="1:3" x14ac:dyDescent="0.25">
      <c r="A3027">
        <v>3026</v>
      </c>
      <c r="B3027" s="23">
        <v>1360.8</v>
      </c>
      <c r="C3027" s="23">
        <v>362.33699999999999</v>
      </c>
    </row>
    <row r="3028" spans="1:3" x14ac:dyDescent="0.25">
      <c r="A3028">
        <v>3027</v>
      </c>
      <c r="B3028" s="23">
        <v>1360.8</v>
      </c>
      <c r="C3028" s="23">
        <v>362.29899999999998</v>
      </c>
    </row>
    <row r="3029" spans="1:3" x14ac:dyDescent="0.25">
      <c r="A3029">
        <v>3028</v>
      </c>
      <c r="B3029" s="23">
        <v>1360.7414349999999</v>
      </c>
      <c r="C3029" s="23">
        <v>362.02499999999998</v>
      </c>
    </row>
    <row r="3030" spans="1:3" x14ac:dyDescent="0.25">
      <c r="A3030">
        <v>3029</v>
      </c>
      <c r="B3030" s="23">
        <v>1360.73</v>
      </c>
      <c r="C3030" s="23">
        <v>361.6</v>
      </c>
    </row>
    <row r="3031" spans="1:3" x14ac:dyDescent="0.25">
      <c r="A3031">
        <v>3030</v>
      </c>
      <c r="B3031" s="23">
        <v>1360.647295</v>
      </c>
      <c r="C3031" s="23">
        <v>361.53500000000003</v>
      </c>
    </row>
    <row r="3032" spans="1:3" x14ac:dyDescent="0.25">
      <c r="A3032">
        <v>3031</v>
      </c>
      <c r="B3032" s="23">
        <v>1360.5050000000001</v>
      </c>
      <c r="C3032" s="23">
        <v>359.42</v>
      </c>
    </row>
    <row r="3033" spans="1:3" x14ac:dyDescent="0.25">
      <c r="A3033">
        <v>3032</v>
      </c>
      <c r="B3033" s="23">
        <v>1360.451</v>
      </c>
      <c r="C3033" s="23">
        <v>358.51299999999998</v>
      </c>
    </row>
    <row r="3034" spans="1:3" x14ac:dyDescent="0.25">
      <c r="A3034">
        <v>3033</v>
      </c>
      <c r="B3034" s="23">
        <v>1359.1780000000001</v>
      </c>
      <c r="C3034" s="23">
        <v>357.6</v>
      </c>
    </row>
    <row r="3035" spans="1:3" x14ac:dyDescent="0.25">
      <c r="A3035">
        <v>3034</v>
      </c>
      <c r="B3035" s="23">
        <v>1359.0239999999999</v>
      </c>
      <c r="C3035" s="23">
        <v>357.30200000000002</v>
      </c>
    </row>
    <row r="3036" spans="1:3" x14ac:dyDescent="0.25">
      <c r="A3036">
        <v>3035</v>
      </c>
      <c r="B3036" s="23">
        <v>1358.4</v>
      </c>
      <c r="C3036" s="23">
        <v>355.80099999999999</v>
      </c>
    </row>
    <row r="3037" spans="1:3" x14ac:dyDescent="0.25">
      <c r="A3037">
        <v>3036</v>
      </c>
      <c r="B3037" s="23">
        <v>1358.4</v>
      </c>
      <c r="C3037" s="23">
        <v>355.78899999999999</v>
      </c>
    </row>
    <row r="3038" spans="1:3" x14ac:dyDescent="0.25">
      <c r="A3038">
        <v>3037</v>
      </c>
      <c r="B3038" s="23">
        <v>1358.4</v>
      </c>
      <c r="C3038" s="23">
        <v>354.4</v>
      </c>
    </row>
    <row r="3039" spans="1:3" x14ac:dyDescent="0.25">
      <c r="A3039">
        <v>3038</v>
      </c>
      <c r="B3039" s="23">
        <v>1358.4</v>
      </c>
      <c r="C3039" s="23">
        <v>354.4</v>
      </c>
    </row>
    <row r="3040" spans="1:3" x14ac:dyDescent="0.25">
      <c r="A3040">
        <v>3039</v>
      </c>
      <c r="B3040" s="23">
        <v>1358.2840000000001</v>
      </c>
      <c r="C3040" s="23">
        <v>354.23899999999998</v>
      </c>
    </row>
    <row r="3041" spans="1:3" x14ac:dyDescent="0.25">
      <c r="A3041">
        <v>3040</v>
      </c>
      <c r="B3041" s="23">
        <v>1358.0879399999999</v>
      </c>
      <c r="C3041" s="23">
        <v>352.94400000000002</v>
      </c>
    </row>
    <row r="3042" spans="1:3" x14ac:dyDescent="0.25">
      <c r="A3042">
        <v>3041</v>
      </c>
      <c r="B3042" s="23">
        <v>1358.0709999999999</v>
      </c>
      <c r="C3042" s="23">
        <v>352.649</v>
      </c>
    </row>
    <row r="3043" spans="1:3" x14ac:dyDescent="0.25">
      <c r="A3043">
        <v>3042</v>
      </c>
      <c r="B3043" s="23">
        <v>1357.8440000000001</v>
      </c>
      <c r="C3043" s="23">
        <v>351.81599999999997</v>
      </c>
    </row>
    <row r="3044" spans="1:3" x14ac:dyDescent="0.25">
      <c r="A3044">
        <v>3043</v>
      </c>
      <c r="B3044" s="23">
        <v>1357.8284410000001</v>
      </c>
      <c r="C3044" s="23">
        <v>350.24099999999999</v>
      </c>
    </row>
    <row r="3045" spans="1:3" x14ac:dyDescent="0.25">
      <c r="A3045">
        <v>3044</v>
      </c>
      <c r="B3045" s="23">
        <v>1357.739</v>
      </c>
      <c r="C3045" s="23">
        <v>349.89499999999998</v>
      </c>
    </row>
    <row r="3046" spans="1:3" x14ac:dyDescent="0.25">
      <c r="A3046">
        <v>3045</v>
      </c>
      <c r="B3046" s="23">
        <v>1357.6</v>
      </c>
      <c r="C3046" s="23">
        <v>349.697</v>
      </c>
    </row>
    <row r="3047" spans="1:3" x14ac:dyDescent="0.25">
      <c r="A3047">
        <v>3046</v>
      </c>
      <c r="B3047" s="23">
        <v>1357.6</v>
      </c>
      <c r="C3047" s="23">
        <v>348.53199999999998</v>
      </c>
    </row>
    <row r="3048" spans="1:3" x14ac:dyDescent="0.25">
      <c r="A3048">
        <v>3047</v>
      </c>
      <c r="B3048" s="23">
        <v>1357.1938749999999</v>
      </c>
      <c r="C3048" s="23">
        <v>345.85300000000001</v>
      </c>
    </row>
    <row r="3049" spans="1:3" x14ac:dyDescent="0.25">
      <c r="A3049">
        <v>3048</v>
      </c>
      <c r="B3049" s="23">
        <v>1357.100651</v>
      </c>
      <c r="C3049" s="23">
        <v>344.75</v>
      </c>
    </row>
    <row r="3050" spans="1:3" x14ac:dyDescent="0.25">
      <c r="A3050">
        <v>3049</v>
      </c>
      <c r="B3050" s="23">
        <v>1357.086661</v>
      </c>
      <c r="C3050" s="23">
        <v>344.70499999999998</v>
      </c>
    </row>
    <row r="3051" spans="1:3" x14ac:dyDescent="0.25">
      <c r="A3051">
        <v>3050</v>
      </c>
      <c r="B3051" s="23">
        <v>1357.077</v>
      </c>
      <c r="C3051" s="23">
        <v>342.4</v>
      </c>
    </row>
    <row r="3052" spans="1:3" x14ac:dyDescent="0.25">
      <c r="A3052">
        <v>3051</v>
      </c>
      <c r="B3052" s="23">
        <v>1356.9590000000001</v>
      </c>
      <c r="C3052" s="23">
        <v>341.06799999999998</v>
      </c>
    </row>
    <row r="3053" spans="1:3" x14ac:dyDescent="0.25">
      <c r="A3053">
        <v>3052</v>
      </c>
      <c r="B3053" s="23">
        <v>1356.8</v>
      </c>
      <c r="C3053" s="23">
        <v>339.60899999999998</v>
      </c>
    </row>
    <row r="3054" spans="1:3" x14ac:dyDescent="0.25">
      <c r="A3054">
        <v>3053</v>
      </c>
      <c r="B3054" s="23">
        <v>1356.8</v>
      </c>
      <c r="C3054" s="23">
        <v>338.36900000000003</v>
      </c>
    </row>
    <row r="3055" spans="1:3" x14ac:dyDescent="0.25">
      <c r="A3055">
        <v>3054</v>
      </c>
      <c r="B3055" s="23">
        <v>1356.8</v>
      </c>
      <c r="C3055" s="23">
        <v>338.07</v>
      </c>
    </row>
    <row r="3056" spans="1:3" x14ac:dyDescent="0.25">
      <c r="A3056">
        <v>3055</v>
      </c>
      <c r="B3056" s="23">
        <v>1356.489</v>
      </c>
      <c r="C3056" s="23">
        <v>333.197</v>
      </c>
    </row>
    <row r="3057" spans="1:3" x14ac:dyDescent="0.25">
      <c r="A3057">
        <v>3056</v>
      </c>
      <c r="B3057" s="23">
        <v>1356.354</v>
      </c>
      <c r="C3057" s="23">
        <v>331.57100000000003</v>
      </c>
    </row>
    <row r="3058" spans="1:3" x14ac:dyDescent="0.25">
      <c r="A3058">
        <v>3057</v>
      </c>
      <c r="B3058" s="23">
        <v>1356.3037629999999</v>
      </c>
      <c r="C3058" s="23">
        <v>331.12400000000002</v>
      </c>
    </row>
    <row r="3059" spans="1:3" x14ac:dyDescent="0.25">
      <c r="A3059">
        <v>3058</v>
      </c>
      <c r="B3059" s="23">
        <v>1356.1404010000001</v>
      </c>
      <c r="C3059" s="23">
        <v>328.935</v>
      </c>
    </row>
    <row r="3060" spans="1:3" x14ac:dyDescent="0.25">
      <c r="A3060">
        <v>3059</v>
      </c>
      <c r="B3060" s="23">
        <v>1356.113818</v>
      </c>
      <c r="C3060" s="23">
        <v>328.56299999999999</v>
      </c>
    </row>
    <row r="3061" spans="1:3" x14ac:dyDescent="0.25">
      <c r="A3061">
        <v>3060</v>
      </c>
      <c r="B3061" s="23">
        <v>1356</v>
      </c>
      <c r="C3061" s="23">
        <v>327.54000000000002</v>
      </c>
    </row>
    <row r="3062" spans="1:3" x14ac:dyDescent="0.25">
      <c r="A3062">
        <v>3061</v>
      </c>
      <c r="B3062" s="23">
        <v>1356</v>
      </c>
      <c r="C3062" s="23">
        <v>320.41399999999999</v>
      </c>
    </row>
    <row r="3063" spans="1:3" x14ac:dyDescent="0.25">
      <c r="A3063">
        <v>3062</v>
      </c>
      <c r="B3063" s="23">
        <v>1356</v>
      </c>
      <c r="C3063" s="23">
        <v>319.16199999999998</v>
      </c>
    </row>
    <row r="3064" spans="1:3" x14ac:dyDescent="0.25">
      <c r="A3064">
        <v>3063</v>
      </c>
      <c r="B3064" s="23">
        <v>1356</v>
      </c>
      <c r="C3064" s="23">
        <v>317.899</v>
      </c>
    </row>
    <row r="3065" spans="1:3" x14ac:dyDescent="0.25">
      <c r="A3065">
        <v>3064</v>
      </c>
      <c r="B3065" s="23">
        <v>1355.757126</v>
      </c>
      <c r="C3065" s="23">
        <v>317.35000000000002</v>
      </c>
    </row>
    <row r="3066" spans="1:3" x14ac:dyDescent="0.25">
      <c r="A3066">
        <v>3065</v>
      </c>
      <c r="B3066" s="23">
        <v>1355.7429529999999</v>
      </c>
      <c r="C3066" s="23">
        <v>316.54199999999997</v>
      </c>
    </row>
    <row r="3067" spans="1:3" x14ac:dyDescent="0.25">
      <c r="A3067">
        <v>3066</v>
      </c>
      <c r="B3067" s="23">
        <v>1355.7182789999999</v>
      </c>
      <c r="C3067" s="23">
        <v>315.49599999999998</v>
      </c>
    </row>
    <row r="3068" spans="1:3" x14ac:dyDescent="0.25">
      <c r="A3068">
        <v>3067</v>
      </c>
      <c r="B3068" s="23">
        <v>1355.6592800000001</v>
      </c>
      <c r="C3068" s="23">
        <v>315.16800000000001</v>
      </c>
    </row>
    <row r="3069" spans="1:3" x14ac:dyDescent="0.25">
      <c r="A3069">
        <v>3068</v>
      </c>
      <c r="B3069" s="23">
        <v>1355.634</v>
      </c>
      <c r="C3069" s="23">
        <v>314.62200000000001</v>
      </c>
    </row>
    <row r="3070" spans="1:3" x14ac:dyDescent="0.25">
      <c r="A3070">
        <v>3069</v>
      </c>
      <c r="B3070" s="23">
        <v>1355.5716219999999</v>
      </c>
      <c r="C3070" s="23">
        <v>314.04700000000003</v>
      </c>
    </row>
    <row r="3071" spans="1:3" x14ac:dyDescent="0.25">
      <c r="A3071">
        <v>3070</v>
      </c>
      <c r="B3071" s="23">
        <v>1355.506875</v>
      </c>
      <c r="C3071" s="23">
        <v>313.45</v>
      </c>
    </row>
    <row r="3072" spans="1:3" x14ac:dyDescent="0.25">
      <c r="A3072">
        <v>3071</v>
      </c>
      <c r="B3072" s="23">
        <v>1355.506875</v>
      </c>
      <c r="C3072" s="23">
        <v>312.45600000000002</v>
      </c>
    </row>
    <row r="3073" spans="1:3" x14ac:dyDescent="0.25">
      <c r="A3073">
        <v>3072</v>
      </c>
      <c r="B3073" s="23">
        <v>1355.422</v>
      </c>
      <c r="C3073" s="23">
        <v>310.50299999999999</v>
      </c>
    </row>
    <row r="3074" spans="1:3" x14ac:dyDescent="0.25">
      <c r="A3074">
        <v>3073</v>
      </c>
      <c r="B3074" s="23">
        <v>1355.330764</v>
      </c>
      <c r="C3074" s="23">
        <v>310.48500000000001</v>
      </c>
    </row>
    <row r="3075" spans="1:3" x14ac:dyDescent="0.25">
      <c r="A3075">
        <v>3074</v>
      </c>
      <c r="B3075" s="23">
        <v>1355.19</v>
      </c>
      <c r="C3075" s="23">
        <v>309.81099999999998</v>
      </c>
    </row>
    <row r="3076" spans="1:3" x14ac:dyDescent="0.25">
      <c r="A3076">
        <v>3075</v>
      </c>
      <c r="B3076" s="23">
        <v>1355.1441299999999</v>
      </c>
      <c r="C3076" s="23">
        <v>309.28899999999999</v>
      </c>
    </row>
    <row r="3077" spans="1:3" x14ac:dyDescent="0.25">
      <c r="A3077">
        <v>3076</v>
      </c>
      <c r="B3077" s="23">
        <v>1355.1218229999999</v>
      </c>
      <c r="C3077" s="23">
        <v>308.8</v>
      </c>
    </row>
    <row r="3078" spans="1:3" x14ac:dyDescent="0.25">
      <c r="A3078">
        <v>3077</v>
      </c>
      <c r="B3078" s="23">
        <v>1354.9829999999999</v>
      </c>
      <c r="C3078" s="23">
        <v>307.88299999999998</v>
      </c>
    </row>
    <row r="3079" spans="1:3" x14ac:dyDescent="0.25">
      <c r="A3079">
        <v>3078</v>
      </c>
      <c r="B3079" s="23">
        <v>1354.9801869999999</v>
      </c>
      <c r="C3079" s="23">
        <v>307.697</v>
      </c>
    </row>
    <row r="3080" spans="1:3" x14ac:dyDescent="0.25">
      <c r="A3080">
        <v>3079</v>
      </c>
      <c r="B3080" s="23">
        <v>1354.962706</v>
      </c>
      <c r="C3080" s="23">
        <v>307.59899999999999</v>
      </c>
    </row>
    <row r="3081" spans="1:3" x14ac:dyDescent="0.25">
      <c r="A3081">
        <v>3080</v>
      </c>
      <c r="B3081" s="23">
        <v>1354.9452249999999</v>
      </c>
      <c r="C3081" s="23">
        <v>305.91300000000001</v>
      </c>
    </row>
    <row r="3082" spans="1:3" x14ac:dyDescent="0.25">
      <c r="A3082">
        <v>3081</v>
      </c>
      <c r="B3082" s="23">
        <v>1354.5340000000001</v>
      </c>
      <c r="C3082" s="23">
        <v>305.60000000000002</v>
      </c>
    </row>
    <row r="3083" spans="1:3" x14ac:dyDescent="0.25">
      <c r="A3083">
        <v>3082</v>
      </c>
      <c r="B3083" s="23">
        <v>1354.4</v>
      </c>
      <c r="C3083" s="23">
        <v>305.34699999999998</v>
      </c>
    </row>
    <row r="3084" spans="1:3" x14ac:dyDescent="0.25">
      <c r="A3084">
        <v>3083</v>
      </c>
      <c r="B3084" s="23">
        <v>1354.3040000000001</v>
      </c>
      <c r="C3084" s="23">
        <v>305.31599999999997</v>
      </c>
    </row>
    <row r="3085" spans="1:3" x14ac:dyDescent="0.25">
      <c r="A3085">
        <v>3084</v>
      </c>
      <c r="B3085" s="23">
        <v>1354.15</v>
      </c>
      <c r="C3085" s="23">
        <v>304.411</v>
      </c>
    </row>
    <row r="3086" spans="1:3" x14ac:dyDescent="0.25">
      <c r="A3086">
        <v>3085</v>
      </c>
      <c r="B3086" s="23">
        <v>1354.0340000000001</v>
      </c>
      <c r="C3086" s="23">
        <v>303.98099999999999</v>
      </c>
    </row>
    <row r="3087" spans="1:3" x14ac:dyDescent="0.25">
      <c r="A3087">
        <v>3086</v>
      </c>
      <c r="B3087" s="23">
        <v>1353.885</v>
      </c>
      <c r="C3087" s="23">
        <v>302.43200000000002</v>
      </c>
    </row>
    <row r="3088" spans="1:3" x14ac:dyDescent="0.25">
      <c r="A3088">
        <v>3087</v>
      </c>
      <c r="B3088" s="23">
        <v>1353.6510000000001</v>
      </c>
      <c r="C3088" s="23">
        <v>299.154</v>
      </c>
    </row>
    <row r="3089" spans="1:3" x14ac:dyDescent="0.25">
      <c r="A3089">
        <v>3088</v>
      </c>
      <c r="B3089" s="23">
        <v>1353.643</v>
      </c>
      <c r="C3089" s="23">
        <v>297.65699999999998</v>
      </c>
    </row>
    <row r="3090" spans="1:3" x14ac:dyDescent="0.25">
      <c r="A3090">
        <v>3089</v>
      </c>
      <c r="B3090" s="23">
        <v>1353.6179999999999</v>
      </c>
      <c r="C3090" s="23">
        <v>295.048</v>
      </c>
    </row>
    <row r="3091" spans="1:3" x14ac:dyDescent="0.25">
      <c r="A3091">
        <v>3090</v>
      </c>
      <c r="B3091" s="23">
        <v>1353.6059780000001</v>
      </c>
      <c r="C3091" s="23">
        <v>294.52300000000002</v>
      </c>
    </row>
    <row r="3092" spans="1:3" x14ac:dyDescent="0.25">
      <c r="A3092">
        <v>3091</v>
      </c>
      <c r="B3092" s="23">
        <v>1353.6</v>
      </c>
      <c r="C3092" s="23">
        <v>293.79500000000002</v>
      </c>
    </row>
    <row r="3093" spans="1:3" x14ac:dyDescent="0.25">
      <c r="A3093">
        <v>3092</v>
      </c>
      <c r="B3093" s="23">
        <v>1353.50847</v>
      </c>
      <c r="C3093" s="23">
        <v>293.30200000000002</v>
      </c>
    </row>
    <row r="3094" spans="1:3" x14ac:dyDescent="0.25">
      <c r="A3094">
        <v>3093</v>
      </c>
      <c r="B3094" s="23">
        <v>1353.4263109999999</v>
      </c>
      <c r="C3094" s="23">
        <v>291.59399999999999</v>
      </c>
    </row>
    <row r="3095" spans="1:3" x14ac:dyDescent="0.25">
      <c r="A3095">
        <v>3094</v>
      </c>
      <c r="B3095" s="23">
        <v>1353.203272</v>
      </c>
      <c r="C3095" s="23">
        <v>286.666</v>
      </c>
    </row>
    <row r="3096" spans="1:3" x14ac:dyDescent="0.25">
      <c r="A3096">
        <v>3095</v>
      </c>
      <c r="B3096" s="23">
        <v>1353.1162099999999</v>
      </c>
      <c r="C3096" s="23">
        <v>286.41800000000001</v>
      </c>
    </row>
    <row r="3097" spans="1:3" x14ac:dyDescent="0.25">
      <c r="A3097">
        <v>3096</v>
      </c>
      <c r="B3097" s="23">
        <v>1353.11</v>
      </c>
      <c r="C3097" s="23">
        <v>285.33</v>
      </c>
    </row>
    <row r="3098" spans="1:3" x14ac:dyDescent="0.25">
      <c r="A3098">
        <v>3097</v>
      </c>
      <c r="B3098" s="23">
        <v>1353.09</v>
      </c>
      <c r="C3098" s="23">
        <v>281.67</v>
      </c>
    </row>
    <row r="3099" spans="1:3" x14ac:dyDescent="0.25">
      <c r="A3099">
        <v>3098</v>
      </c>
      <c r="B3099" s="23">
        <v>1352.8</v>
      </c>
      <c r="C3099" s="23">
        <v>281.608</v>
      </c>
    </row>
    <row r="3100" spans="1:3" x14ac:dyDescent="0.25">
      <c r="A3100">
        <v>3099</v>
      </c>
      <c r="B3100" s="23">
        <v>1352.8</v>
      </c>
      <c r="C3100" s="23">
        <v>281.589</v>
      </c>
    </row>
    <row r="3101" spans="1:3" x14ac:dyDescent="0.25">
      <c r="A3101">
        <v>3100</v>
      </c>
      <c r="B3101" s="23">
        <v>1352.7826460000001</v>
      </c>
      <c r="C3101" s="23">
        <v>277.12299999999999</v>
      </c>
    </row>
    <row r="3102" spans="1:3" x14ac:dyDescent="0.25">
      <c r="A3102">
        <v>3101</v>
      </c>
      <c r="B3102" s="23">
        <v>1352.754504</v>
      </c>
      <c r="C3102" s="23">
        <v>275.96899999999999</v>
      </c>
    </row>
    <row r="3103" spans="1:3" x14ac:dyDescent="0.25">
      <c r="A3103">
        <v>3102</v>
      </c>
      <c r="B3103" s="23">
        <v>1352.649373</v>
      </c>
      <c r="C3103" s="23">
        <v>274.97500000000002</v>
      </c>
    </row>
    <row r="3104" spans="1:3" x14ac:dyDescent="0.25">
      <c r="A3104">
        <v>3103</v>
      </c>
      <c r="B3104" s="23">
        <v>1352.587</v>
      </c>
      <c r="C3104" s="23">
        <v>274.68200000000002</v>
      </c>
    </row>
    <row r="3105" spans="1:3" x14ac:dyDescent="0.25">
      <c r="A3105">
        <v>3104</v>
      </c>
      <c r="B3105" s="23">
        <v>1352.562373</v>
      </c>
      <c r="C3105" s="23">
        <v>274.108</v>
      </c>
    </row>
    <row r="3106" spans="1:3" x14ac:dyDescent="0.25">
      <c r="A3106">
        <v>3105</v>
      </c>
      <c r="B3106" s="23">
        <v>1352.422</v>
      </c>
      <c r="C3106" s="23">
        <v>272.66399999999999</v>
      </c>
    </row>
    <row r="3107" spans="1:3" x14ac:dyDescent="0.25">
      <c r="A3107">
        <v>3106</v>
      </c>
      <c r="B3107" s="23">
        <v>1352.375</v>
      </c>
      <c r="C3107" s="23">
        <v>269.89100000000002</v>
      </c>
    </row>
    <row r="3108" spans="1:3" x14ac:dyDescent="0.25">
      <c r="A3108">
        <v>3107</v>
      </c>
      <c r="B3108" s="23">
        <v>1352.3590879999999</v>
      </c>
      <c r="C3108" s="23">
        <v>269.48099999999999</v>
      </c>
    </row>
    <row r="3109" spans="1:3" x14ac:dyDescent="0.25">
      <c r="A3109">
        <v>3108</v>
      </c>
      <c r="B3109" s="23">
        <v>1352.3193220000001</v>
      </c>
      <c r="C3109" s="23">
        <v>267.72399999999999</v>
      </c>
    </row>
    <row r="3110" spans="1:3" x14ac:dyDescent="0.25">
      <c r="A3110">
        <v>3109</v>
      </c>
      <c r="B3110" s="23">
        <v>1352.3193220000001</v>
      </c>
      <c r="C3110" s="23">
        <v>264.25900000000001</v>
      </c>
    </row>
    <row r="3111" spans="1:3" x14ac:dyDescent="0.25">
      <c r="A3111">
        <v>3110</v>
      </c>
      <c r="B3111" s="23">
        <v>1352.296</v>
      </c>
      <c r="C3111" s="23">
        <v>262.37700000000001</v>
      </c>
    </row>
    <row r="3112" spans="1:3" x14ac:dyDescent="0.25">
      <c r="A3112">
        <v>3111</v>
      </c>
      <c r="B3112" s="23">
        <v>1352.2385670000001</v>
      </c>
      <c r="C3112" s="23">
        <v>262.166</v>
      </c>
    </row>
    <row r="3113" spans="1:3" x14ac:dyDescent="0.25">
      <c r="A3113">
        <v>3112</v>
      </c>
      <c r="B3113" s="23">
        <v>1352</v>
      </c>
      <c r="C3113" s="23">
        <v>260.20699999999999</v>
      </c>
    </row>
    <row r="3114" spans="1:3" x14ac:dyDescent="0.25">
      <c r="A3114">
        <v>3113</v>
      </c>
      <c r="B3114" s="23">
        <v>1352</v>
      </c>
      <c r="C3114" s="23">
        <v>259.36700000000002</v>
      </c>
    </row>
    <row r="3115" spans="1:3" x14ac:dyDescent="0.25">
      <c r="A3115">
        <v>3114</v>
      </c>
      <c r="B3115" s="23">
        <v>1351.8857720000001</v>
      </c>
      <c r="C3115" s="23">
        <v>258.47000000000003</v>
      </c>
    </row>
    <row r="3116" spans="1:3" x14ac:dyDescent="0.25">
      <c r="A3116">
        <v>3115</v>
      </c>
      <c r="B3116" s="23">
        <v>1351.872435</v>
      </c>
      <c r="C3116" s="23">
        <v>255.5</v>
      </c>
    </row>
    <row r="3117" spans="1:3" x14ac:dyDescent="0.25">
      <c r="A3117">
        <v>3116</v>
      </c>
      <c r="B3117" s="23">
        <v>1351.624</v>
      </c>
      <c r="C3117" s="23">
        <v>255.44399999999999</v>
      </c>
    </row>
    <row r="3118" spans="1:3" x14ac:dyDescent="0.25">
      <c r="A3118">
        <v>3117</v>
      </c>
      <c r="B3118" s="23">
        <v>1351.5909999999999</v>
      </c>
      <c r="C3118" s="23">
        <v>255.26499999999999</v>
      </c>
    </row>
    <row r="3119" spans="1:3" x14ac:dyDescent="0.25">
      <c r="A3119">
        <v>3118</v>
      </c>
      <c r="B3119" s="23">
        <v>1351.522434</v>
      </c>
      <c r="C3119" s="23">
        <v>254.15899999999999</v>
      </c>
    </row>
    <row r="3120" spans="1:3" x14ac:dyDescent="0.25">
      <c r="A3120">
        <v>3119</v>
      </c>
      <c r="B3120" s="23">
        <v>1351.25</v>
      </c>
      <c r="C3120" s="23">
        <v>252.506</v>
      </c>
    </row>
    <row r="3121" spans="1:3" x14ac:dyDescent="0.25">
      <c r="A3121">
        <v>3120</v>
      </c>
      <c r="B3121" s="23">
        <v>1351.2</v>
      </c>
      <c r="C3121" s="23">
        <v>251.15100000000001</v>
      </c>
    </row>
    <row r="3122" spans="1:3" x14ac:dyDescent="0.25">
      <c r="A3122">
        <v>3121</v>
      </c>
      <c r="B3122" s="23">
        <v>1351.2</v>
      </c>
      <c r="C3122" s="23">
        <v>250.77</v>
      </c>
    </row>
    <row r="3123" spans="1:3" x14ac:dyDescent="0.25">
      <c r="A3123">
        <v>3122</v>
      </c>
      <c r="B3123" s="23">
        <v>1351.143084</v>
      </c>
      <c r="C3123" s="23">
        <v>250.47399999999999</v>
      </c>
    </row>
    <row r="3124" spans="1:3" x14ac:dyDescent="0.25">
      <c r="A3124">
        <v>3123</v>
      </c>
      <c r="B3124" s="23">
        <v>1351.0549799999999</v>
      </c>
      <c r="C3124" s="23">
        <v>248.87</v>
      </c>
    </row>
    <row r="3125" spans="1:3" x14ac:dyDescent="0.25">
      <c r="A3125">
        <v>3124</v>
      </c>
      <c r="B3125" s="23">
        <v>1350.9121270000001</v>
      </c>
      <c r="C3125" s="23">
        <v>247.72</v>
      </c>
    </row>
    <row r="3126" spans="1:3" x14ac:dyDescent="0.25">
      <c r="A3126">
        <v>3125</v>
      </c>
      <c r="B3126" s="23">
        <v>1350.4</v>
      </c>
      <c r="C3126" s="23">
        <v>246.35900000000001</v>
      </c>
    </row>
    <row r="3127" spans="1:3" x14ac:dyDescent="0.25">
      <c r="A3127">
        <v>3126</v>
      </c>
      <c r="B3127" s="23">
        <v>1350.4</v>
      </c>
      <c r="C3127" s="23">
        <v>245.447</v>
      </c>
    </row>
    <row r="3128" spans="1:3" x14ac:dyDescent="0.25">
      <c r="A3128">
        <v>3127</v>
      </c>
      <c r="B3128" s="23">
        <v>1350.4</v>
      </c>
      <c r="C3128" s="23">
        <v>243.12700000000001</v>
      </c>
    </row>
    <row r="3129" spans="1:3" x14ac:dyDescent="0.25">
      <c r="A3129">
        <v>3128</v>
      </c>
      <c r="B3129" s="23">
        <v>1350.4</v>
      </c>
      <c r="C3129" s="23">
        <v>242.03399999999999</v>
      </c>
    </row>
    <row r="3130" spans="1:3" x14ac:dyDescent="0.25">
      <c r="A3130">
        <v>3129</v>
      </c>
      <c r="B3130" s="23">
        <v>1350.2470000000001</v>
      </c>
      <c r="C3130" s="23">
        <v>239.441</v>
      </c>
    </row>
    <row r="3131" spans="1:3" x14ac:dyDescent="0.25">
      <c r="A3131">
        <v>3130</v>
      </c>
      <c r="B3131" s="23">
        <v>1350.2371499999999</v>
      </c>
      <c r="C3131" s="23">
        <v>238.51</v>
      </c>
    </row>
    <row r="3132" spans="1:3" x14ac:dyDescent="0.25">
      <c r="A3132">
        <v>3131</v>
      </c>
      <c r="B3132" s="23">
        <v>1350.183</v>
      </c>
      <c r="C3132" s="23">
        <v>237.15</v>
      </c>
    </row>
    <row r="3133" spans="1:3" x14ac:dyDescent="0.25">
      <c r="A3133">
        <v>3132</v>
      </c>
      <c r="B3133" s="23">
        <v>1349.9434209999999</v>
      </c>
      <c r="C3133" s="23">
        <v>234.899</v>
      </c>
    </row>
    <row r="3134" spans="1:3" x14ac:dyDescent="0.25">
      <c r="A3134">
        <v>3133</v>
      </c>
      <c r="B3134" s="23">
        <v>1349.767296</v>
      </c>
      <c r="C3134" s="23">
        <v>234.4</v>
      </c>
    </row>
    <row r="3135" spans="1:3" x14ac:dyDescent="0.25">
      <c r="A3135">
        <v>3134</v>
      </c>
      <c r="B3135" s="23">
        <v>1349.679212</v>
      </c>
      <c r="C3135" s="23">
        <v>233.488</v>
      </c>
    </row>
    <row r="3136" spans="1:3" x14ac:dyDescent="0.25">
      <c r="A3136">
        <v>3135</v>
      </c>
      <c r="B3136" s="23">
        <v>1349.6310000000001</v>
      </c>
      <c r="C3136" s="23">
        <v>232.608</v>
      </c>
    </row>
    <row r="3137" spans="1:3" x14ac:dyDescent="0.25">
      <c r="A3137">
        <v>3136</v>
      </c>
      <c r="B3137" s="23">
        <v>1349.6</v>
      </c>
      <c r="C3137" s="23">
        <v>231.249</v>
      </c>
    </row>
    <row r="3138" spans="1:3" x14ac:dyDescent="0.25">
      <c r="A3138">
        <v>3137</v>
      </c>
      <c r="B3138" s="23">
        <v>1349.2180000000001</v>
      </c>
      <c r="C3138" s="23">
        <v>230.80799999999999</v>
      </c>
    </row>
    <row r="3139" spans="1:3" x14ac:dyDescent="0.25">
      <c r="A3139">
        <v>3138</v>
      </c>
      <c r="B3139" s="23">
        <v>1349.1317690000001</v>
      </c>
      <c r="C3139" s="23">
        <v>230.4</v>
      </c>
    </row>
    <row r="3140" spans="1:3" x14ac:dyDescent="0.25">
      <c r="A3140">
        <v>3139</v>
      </c>
      <c r="B3140" s="23">
        <v>1349.1183779999999</v>
      </c>
      <c r="C3140" s="23">
        <v>230.35400000000001</v>
      </c>
    </row>
    <row r="3141" spans="1:3" x14ac:dyDescent="0.25">
      <c r="A3141">
        <v>3140</v>
      </c>
      <c r="B3141" s="23">
        <v>1349.036143</v>
      </c>
      <c r="C3141" s="23">
        <v>228.92699999999999</v>
      </c>
    </row>
    <row r="3142" spans="1:3" x14ac:dyDescent="0.25">
      <c r="A3142">
        <v>3141</v>
      </c>
      <c r="B3142" s="23">
        <v>1349.0060000000001</v>
      </c>
      <c r="C3142" s="23">
        <v>225.76900000000001</v>
      </c>
    </row>
    <row r="3143" spans="1:3" x14ac:dyDescent="0.25">
      <c r="A3143">
        <v>3142</v>
      </c>
      <c r="B3143" s="23">
        <v>1348.9436920000001</v>
      </c>
      <c r="C3143" s="23">
        <v>225.37700000000001</v>
      </c>
    </row>
    <row r="3144" spans="1:3" x14ac:dyDescent="0.25">
      <c r="A3144">
        <v>3143</v>
      </c>
      <c r="B3144" s="23">
        <v>1348.873</v>
      </c>
      <c r="C3144" s="23">
        <v>223.75800000000001</v>
      </c>
    </row>
    <row r="3145" spans="1:3" x14ac:dyDescent="0.25">
      <c r="A3145">
        <v>3144</v>
      </c>
      <c r="B3145" s="23">
        <v>1348.8</v>
      </c>
      <c r="C3145" s="23">
        <v>223.2</v>
      </c>
    </row>
    <row r="3146" spans="1:3" x14ac:dyDescent="0.25">
      <c r="A3146">
        <v>3145</v>
      </c>
      <c r="B3146" s="23">
        <v>1348.8</v>
      </c>
      <c r="C3146" s="23">
        <v>222.47200000000001</v>
      </c>
    </row>
    <row r="3147" spans="1:3" x14ac:dyDescent="0.25">
      <c r="A3147">
        <v>3146</v>
      </c>
      <c r="B3147" s="23">
        <v>1348.8</v>
      </c>
      <c r="C3147" s="23">
        <v>222.41900000000001</v>
      </c>
    </row>
    <row r="3148" spans="1:3" x14ac:dyDescent="0.25">
      <c r="A3148">
        <v>3147</v>
      </c>
      <c r="B3148" s="23">
        <v>1348.6579999999999</v>
      </c>
      <c r="C3148" s="23">
        <v>222.33199999999999</v>
      </c>
    </row>
    <row r="3149" spans="1:3" x14ac:dyDescent="0.25">
      <c r="A3149">
        <v>3148</v>
      </c>
      <c r="B3149" s="23">
        <v>1348.0640000000001</v>
      </c>
      <c r="C3149" s="23">
        <v>220.09899999999999</v>
      </c>
    </row>
    <row r="3150" spans="1:3" x14ac:dyDescent="0.25">
      <c r="A3150">
        <v>3149</v>
      </c>
      <c r="B3150" s="23">
        <v>1348</v>
      </c>
      <c r="C3150" s="23">
        <v>216.68799999999999</v>
      </c>
    </row>
    <row r="3151" spans="1:3" x14ac:dyDescent="0.25">
      <c r="A3151">
        <v>3150</v>
      </c>
      <c r="B3151" s="23">
        <v>1347.9110000000001</v>
      </c>
      <c r="C3151" s="23">
        <v>214.17599999999999</v>
      </c>
    </row>
    <row r="3152" spans="1:3" x14ac:dyDescent="0.25">
      <c r="A3152">
        <v>3151</v>
      </c>
      <c r="B3152" s="23">
        <v>1347.8520000000001</v>
      </c>
      <c r="C3152" s="23">
        <v>214.13900000000001</v>
      </c>
    </row>
    <row r="3153" spans="1:3" x14ac:dyDescent="0.25">
      <c r="A3153">
        <v>3152</v>
      </c>
      <c r="B3153" s="23">
        <v>1347.8467869999999</v>
      </c>
      <c r="C3153" s="23">
        <v>212.24100000000001</v>
      </c>
    </row>
    <row r="3154" spans="1:3" x14ac:dyDescent="0.25">
      <c r="A3154">
        <v>3153</v>
      </c>
      <c r="B3154" s="23">
        <v>1347.7836609999999</v>
      </c>
      <c r="C3154" s="23">
        <v>210.81100000000001</v>
      </c>
    </row>
    <row r="3155" spans="1:3" x14ac:dyDescent="0.25">
      <c r="A3155">
        <v>3154</v>
      </c>
      <c r="B3155" s="23">
        <v>1347.642006</v>
      </c>
      <c r="C3155" s="23">
        <v>210.21899999999999</v>
      </c>
    </row>
    <row r="3156" spans="1:3" x14ac:dyDescent="0.25">
      <c r="A3156">
        <v>3155</v>
      </c>
      <c r="B3156" s="23">
        <v>1347.5912539999999</v>
      </c>
      <c r="C3156" s="23">
        <v>206.89400000000001</v>
      </c>
    </row>
    <row r="3157" spans="1:3" x14ac:dyDescent="0.25">
      <c r="A3157">
        <v>3156</v>
      </c>
      <c r="B3157" s="23">
        <v>1347.5260000000001</v>
      </c>
      <c r="C3157" s="23">
        <v>206.422</v>
      </c>
    </row>
    <row r="3158" spans="1:3" x14ac:dyDescent="0.25">
      <c r="A3158">
        <v>3157</v>
      </c>
      <c r="B3158" s="23">
        <v>1347.201</v>
      </c>
      <c r="C3158" s="23">
        <v>206.102</v>
      </c>
    </row>
    <row r="3159" spans="1:3" x14ac:dyDescent="0.25">
      <c r="A3159">
        <v>3158</v>
      </c>
      <c r="B3159" s="23">
        <v>1347.2</v>
      </c>
      <c r="C3159" s="23">
        <v>204.863</v>
      </c>
    </row>
    <row r="3160" spans="1:3" x14ac:dyDescent="0.25">
      <c r="A3160">
        <v>3159</v>
      </c>
      <c r="B3160" s="23">
        <v>1347.2</v>
      </c>
      <c r="C3160" s="23">
        <v>204.12799999999999</v>
      </c>
    </row>
    <row r="3161" spans="1:3" x14ac:dyDescent="0.25">
      <c r="A3161">
        <v>3160</v>
      </c>
      <c r="B3161" s="23">
        <v>1347.2</v>
      </c>
      <c r="C3161" s="23">
        <v>204.01900000000001</v>
      </c>
    </row>
    <row r="3162" spans="1:3" x14ac:dyDescent="0.25">
      <c r="A3162">
        <v>3161</v>
      </c>
      <c r="B3162" s="23">
        <v>1347.2</v>
      </c>
      <c r="C3162" s="23">
        <v>203.31100000000001</v>
      </c>
    </row>
    <row r="3163" spans="1:3" x14ac:dyDescent="0.25">
      <c r="A3163">
        <v>3162</v>
      </c>
      <c r="B3163" s="23">
        <v>1347.2</v>
      </c>
      <c r="C3163" s="23">
        <v>201.625</v>
      </c>
    </row>
    <row r="3164" spans="1:3" x14ac:dyDescent="0.25">
      <c r="A3164">
        <v>3163</v>
      </c>
      <c r="B3164" s="23">
        <v>1347.2</v>
      </c>
      <c r="C3164" s="23">
        <v>201.11799999999999</v>
      </c>
    </row>
    <row r="3165" spans="1:3" x14ac:dyDescent="0.25">
      <c r="A3165">
        <v>3164</v>
      </c>
      <c r="B3165" s="23">
        <v>1347.1614629999999</v>
      </c>
      <c r="C3165" s="23">
        <v>200.49199999999999</v>
      </c>
    </row>
    <row r="3166" spans="1:3" x14ac:dyDescent="0.25">
      <c r="A3166">
        <v>3165</v>
      </c>
      <c r="B3166" s="23">
        <v>1347.139244</v>
      </c>
      <c r="C3166" s="23">
        <v>199.77500000000001</v>
      </c>
    </row>
    <row r="3167" spans="1:3" x14ac:dyDescent="0.25">
      <c r="A3167">
        <v>3166</v>
      </c>
      <c r="B3167" s="23">
        <v>1347.083394</v>
      </c>
      <c r="C3167" s="23">
        <v>198.571</v>
      </c>
    </row>
    <row r="3168" spans="1:3" x14ac:dyDescent="0.25">
      <c r="A3168">
        <v>3167</v>
      </c>
      <c r="B3168" s="23">
        <v>1346.870758</v>
      </c>
      <c r="C3168" s="23">
        <v>196.57400000000001</v>
      </c>
    </row>
    <row r="3169" spans="1:3" x14ac:dyDescent="0.25">
      <c r="A3169">
        <v>3168</v>
      </c>
      <c r="B3169" s="23">
        <v>1346.761</v>
      </c>
      <c r="C3169" s="23">
        <v>196.24100000000001</v>
      </c>
    </row>
    <row r="3170" spans="1:3" x14ac:dyDescent="0.25">
      <c r="A3170">
        <v>3169</v>
      </c>
      <c r="B3170" s="23">
        <v>1346.5519999999999</v>
      </c>
      <c r="C3170" s="23">
        <v>196.17099999999999</v>
      </c>
    </row>
    <row r="3171" spans="1:3" x14ac:dyDescent="0.25">
      <c r="A3171">
        <v>3170</v>
      </c>
      <c r="B3171" s="23">
        <v>1346.433867</v>
      </c>
      <c r="C3171" s="23">
        <v>195.10300000000001</v>
      </c>
    </row>
    <row r="3172" spans="1:3" x14ac:dyDescent="0.25">
      <c r="A3172">
        <v>3171</v>
      </c>
      <c r="B3172" s="23">
        <v>1346.4</v>
      </c>
      <c r="C3172" s="23">
        <v>194.71799999999999</v>
      </c>
    </row>
    <row r="3173" spans="1:3" x14ac:dyDescent="0.25">
      <c r="A3173">
        <v>3172</v>
      </c>
      <c r="B3173" s="23">
        <v>1346.4</v>
      </c>
      <c r="C3173" s="23">
        <v>192</v>
      </c>
    </row>
    <row r="3174" spans="1:3" x14ac:dyDescent="0.25">
      <c r="A3174">
        <v>3173</v>
      </c>
      <c r="B3174" s="23">
        <v>1346.221</v>
      </c>
      <c r="C3174" s="23">
        <v>187.65</v>
      </c>
    </row>
    <row r="3175" spans="1:3" x14ac:dyDescent="0.25">
      <c r="A3175">
        <v>3174</v>
      </c>
      <c r="B3175" s="23">
        <v>1345.6</v>
      </c>
      <c r="C3175" s="23">
        <v>186.465</v>
      </c>
    </row>
    <row r="3176" spans="1:3" x14ac:dyDescent="0.25">
      <c r="A3176">
        <v>3175</v>
      </c>
      <c r="B3176" s="23">
        <v>1345.6</v>
      </c>
      <c r="C3176" s="23">
        <v>184.82300000000001</v>
      </c>
    </row>
    <row r="3177" spans="1:3" x14ac:dyDescent="0.25">
      <c r="A3177">
        <v>3176</v>
      </c>
      <c r="B3177" s="23">
        <v>1345.6</v>
      </c>
      <c r="C3177" s="23">
        <v>184.63499999999999</v>
      </c>
    </row>
    <row r="3178" spans="1:3" x14ac:dyDescent="0.25">
      <c r="A3178">
        <v>3177</v>
      </c>
      <c r="B3178" s="23">
        <v>1345.6</v>
      </c>
      <c r="C3178" s="23">
        <v>184.63200000000001</v>
      </c>
    </row>
    <row r="3179" spans="1:3" x14ac:dyDescent="0.25">
      <c r="A3179">
        <v>3178</v>
      </c>
      <c r="B3179" s="23">
        <v>1345.6</v>
      </c>
      <c r="C3179" s="23">
        <v>184.62899999999999</v>
      </c>
    </row>
    <row r="3180" spans="1:3" x14ac:dyDescent="0.25">
      <c r="A3180">
        <v>3179</v>
      </c>
      <c r="B3180" s="23">
        <v>1345.6</v>
      </c>
      <c r="C3180" s="23">
        <v>184.351</v>
      </c>
    </row>
    <row r="3181" spans="1:3" x14ac:dyDescent="0.25">
      <c r="A3181">
        <v>3180</v>
      </c>
      <c r="B3181" s="23">
        <v>1345.557</v>
      </c>
      <c r="C3181" s="23">
        <v>183.38200000000001</v>
      </c>
    </row>
    <row r="3182" spans="1:3" x14ac:dyDescent="0.25">
      <c r="A3182">
        <v>3181</v>
      </c>
      <c r="B3182" s="23">
        <v>1345.4860000000001</v>
      </c>
      <c r="C3182" s="23">
        <v>183.37299999999999</v>
      </c>
    </row>
    <row r="3183" spans="1:3" x14ac:dyDescent="0.25">
      <c r="A3183">
        <v>3182</v>
      </c>
      <c r="B3183" s="23">
        <v>1345.155</v>
      </c>
      <c r="C3183" s="23">
        <v>182.07400000000001</v>
      </c>
    </row>
    <row r="3184" spans="1:3" x14ac:dyDescent="0.25">
      <c r="A3184">
        <v>3183</v>
      </c>
      <c r="B3184" s="23">
        <v>1345.1535280000001</v>
      </c>
      <c r="C3184" s="23">
        <v>181.738</v>
      </c>
    </row>
    <row r="3185" spans="1:3" x14ac:dyDescent="0.25">
      <c r="A3185">
        <v>3184</v>
      </c>
      <c r="B3185" s="23">
        <v>1345.147328</v>
      </c>
      <c r="C3185" s="23">
        <v>180.48</v>
      </c>
    </row>
    <row r="3186" spans="1:3" x14ac:dyDescent="0.25">
      <c r="A3186">
        <v>3185</v>
      </c>
      <c r="B3186" s="23">
        <v>1345.147328</v>
      </c>
      <c r="C3186" s="23">
        <v>180.16399999999999</v>
      </c>
    </row>
    <row r="3187" spans="1:3" x14ac:dyDescent="0.25">
      <c r="A3187">
        <v>3186</v>
      </c>
      <c r="B3187" s="23">
        <v>1345.146</v>
      </c>
      <c r="C3187" s="23">
        <v>179.28</v>
      </c>
    </row>
    <row r="3188" spans="1:3" x14ac:dyDescent="0.25">
      <c r="A3188">
        <v>3187</v>
      </c>
      <c r="B3188" s="23">
        <v>1344.8</v>
      </c>
      <c r="C3188" s="23">
        <v>177.06399999999999</v>
      </c>
    </row>
    <row r="3189" spans="1:3" x14ac:dyDescent="0.25">
      <c r="A3189">
        <v>3188</v>
      </c>
      <c r="B3189" s="23">
        <v>1344.8</v>
      </c>
      <c r="C3189" s="23">
        <v>176.4</v>
      </c>
    </row>
    <row r="3190" spans="1:3" x14ac:dyDescent="0.25">
      <c r="A3190">
        <v>3189</v>
      </c>
      <c r="B3190" s="23">
        <v>1344.8</v>
      </c>
      <c r="C3190" s="23">
        <v>173.6</v>
      </c>
    </row>
    <row r="3191" spans="1:3" x14ac:dyDescent="0.25">
      <c r="A3191">
        <v>3190</v>
      </c>
      <c r="B3191" s="23">
        <v>1344.8</v>
      </c>
      <c r="C3191" s="23">
        <v>172.56</v>
      </c>
    </row>
    <row r="3192" spans="1:3" x14ac:dyDescent="0.25">
      <c r="A3192">
        <v>3191</v>
      </c>
      <c r="B3192" s="23">
        <v>1344.8</v>
      </c>
      <c r="C3192" s="23">
        <v>172.274</v>
      </c>
    </row>
    <row r="3193" spans="1:3" x14ac:dyDescent="0.25">
      <c r="A3193">
        <v>3192</v>
      </c>
      <c r="B3193" s="23">
        <v>1344.761565</v>
      </c>
      <c r="C3193" s="23">
        <v>171.2</v>
      </c>
    </row>
    <row r="3194" spans="1:3" x14ac:dyDescent="0.25">
      <c r="A3194">
        <v>3193</v>
      </c>
      <c r="B3194" s="23">
        <v>1344.335</v>
      </c>
      <c r="C3194" s="23">
        <v>168.10599999999999</v>
      </c>
    </row>
    <row r="3195" spans="1:3" x14ac:dyDescent="0.25">
      <c r="A3195">
        <v>3194</v>
      </c>
      <c r="B3195" s="23">
        <v>1344</v>
      </c>
      <c r="C3195" s="23">
        <v>167.03299999999999</v>
      </c>
    </row>
    <row r="3196" spans="1:3" x14ac:dyDescent="0.25">
      <c r="A3196">
        <v>3195</v>
      </c>
      <c r="B3196" s="23">
        <v>1344</v>
      </c>
      <c r="C3196" s="23">
        <v>163.76599999999999</v>
      </c>
    </row>
    <row r="3197" spans="1:3" x14ac:dyDescent="0.25">
      <c r="A3197">
        <v>3196</v>
      </c>
      <c r="B3197" s="23">
        <v>1343.9870000000001</v>
      </c>
      <c r="C3197" s="23">
        <v>162.07300000000001</v>
      </c>
    </row>
    <row r="3198" spans="1:3" x14ac:dyDescent="0.25">
      <c r="A3198">
        <v>3197</v>
      </c>
      <c r="B3198" s="23">
        <v>1343.380197</v>
      </c>
      <c r="C3198" s="23">
        <v>161.84100000000001</v>
      </c>
    </row>
    <row r="3199" spans="1:3" x14ac:dyDescent="0.25">
      <c r="A3199">
        <v>3198</v>
      </c>
      <c r="B3199" s="23">
        <v>1343.34</v>
      </c>
      <c r="C3199" s="23">
        <v>161.66</v>
      </c>
    </row>
    <row r="3200" spans="1:3" x14ac:dyDescent="0.25">
      <c r="A3200">
        <v>3199</v>
      </c>
      <c r="B3200" s="23">
        <v>1343.2</v>
      </c>
      <c r="C3200" s="23">
        <v>161.64400000000001</v>
      </c>
    </row>
    <row r="3201" spans="1:3" x14ac:dyDescent="0.25">
      <c r="A3201">
        <v>3200</v>
      </c>
      <c r="B3201" s="23">
        <v>1343.0630000000001</v>
      </c>
      <c r="C3201" s="23">
        <v>159.773</v>
      </c>
    </row>
    <row r="3202" spans="1:3" x14ac:dyDescent="0.25">
      <c r="A3202">
        <v>3201</v>
      </c>
      <c r="B3202" s="23">
        <v>1343.0150000000001</v>
      </c>
      <c r="C3202" s="23">
        <v>159.328</v>
      </c>
    </row>
    <row r="3203" spans="1:3" x14ac:dyDescent="0.25">
      <c r="A3203">
        <v>3202</v>
      </c>
      <c r="B3203" s="23">
        <v>1342.5491770000001</v>
      </c>
      <c r="C3203" s="23">
        <v>158.78200000000001</v>
      </c>
    </row>
    <row r="3204" spans="1:3" x14ac:dyDescent="0.25">
      <c r="A3204">
        <v>3203</v>
      </c>
      <c r="B3204" s="23">
        <v>1342.539</v>
      </c>
      <c r="C3204" s="23">
        <v>158.68799999999999</v>
      </c>
    </row>
    <row r="3205" spans="1:3" x14ac:dyDescent="0.25">
      <c r="A3205">
        <v>3204</v>
      </c>
      <c r="B3205" s="23">
        <v>1342.5199030000001</v>
      </c>
      <c r="C3205" s="23">
        <v>157.40100000000001</v>
      </c>
    </row>
    <row r="3206" spans="1:3" x14ac:dyDescent="0.25">
      <c r="A3206">
        <v>3205</v>
      </c>
      <c r="B3206" s="23">
        <v>1342.417097</v>
      </c>
      <c r="C3206" s="23">
        <v>156.16499999999999</v>
      </c>
    </row>
    <row r="3207" spans="1:3" x14ac:dyDescent="0.25">
      <c r="A3207">
        <v>3206</v>
      </c>
      <c r="B3207" s="23">
        <v>1342.0132550000001</v>
      </c>
      <c r="C3207" s="23">
        <v>153.74700000000001</v>
      </c>
    </row>
    <row r="3208" spans="1:3" x14ac:dyDescent="0.25">
      <c r="A3208">
        <v>3207</v>
      </c>
      <c r="B3208" s="23">
        <v>1341.959775</v>
      </c>
      <c r="C3208" s="23">
        <v>153.08199999999999</v>
      </c>
    </row>
    <row r="3209" spans="1:3" x14ac:dyDescent="0.25">
      <c r="A3209">
        <v>3208</v>
      </c>
      <c r="B3209" s="23">
        <v>1341.959775</v>
      </c>
      <c r="C3209" s="23">
        <v>152.24100000000001</v>
      </c>
    </row>
    <row r="3210" spans="1:3" x14ac:dyDescent="0.25">
      <c r="A3210">
        <v>3209</v>
      </c>
      <c r="B3210" s="23">
        <v>1341.8720000000001</v>
      </c>
      <c r="C3210" s="23">
        <v>150.89099999999999</v>
      </c>
    </row>
    <row r="3211" spans="1:3" x14ac:dyDescent="0.25">
      <c r="A3211">
        <v>3210</v>
      </c>
      <c r="B3211" s="23">
        <v>1341.6669999999999</v>
      </c>
      <c r="C3211" s="23">
        <v>150.52699999999999</v>
      </c>
    </row>
    <row r="3212" spans="1:3" x14ac:dyDescent="0.25">
      <c r="A3212">
        <v>3211</v>
      </c>
      <c r="B3212" s="23">
        <v>1341.6</v>
      </c>
      <c r="C3212" s="23">
        <v>149.964</v>
      </c>
    </row>
    <row r="3213" spans="1:3" x14ac:dyDescent="0.25">
      <c r="A3213">
        <v>3212</v>
      </c>
      <c r="B3213" s="23">
        <v>1341.6</v>
      </c>
      <c r="C3213" s="23">
        <v>149.01499999999999</v>
      </c>
    </row>
    <row r="3214" spans="1:3" x14ac:dyDescent="0.25">
      <c r="A3214">
        <v>3213</v>
      </c>
      <c r="B3214" s="23">
        <v>1341.6</v>
      </c>
      <c r="C3214" s="23">
        <v>147.00399999999999</v>
      </c>
    </row>
    <row r="3215" spans="1:3" x14ac:dyDescent="0.25">
      <c r="A3215">
        <v>3214</v>
      </c>
      <c r="B3215" s="23">
        <v>1341.6</v>
      </c>
      <c r="C3215" s="23">
        <v>145.916</v>
      </c>
    </row>
    <row r="3216" spans="1:3" x14ac:dyDescent="0.25">
      <c r="A3216">
        <v>3215</v>
      </c>
      <c r="B3216" s="23">
        <v>1341.6</v>
      </c>
      <c r="C3216" s="23">
        <v>145.76499999999999</v>
      </c>
    </row>
    <row r="3217" spans="1:3" x14ac:dyDescent="0.25">
      <c r="A3217">
        <v>3216</v>
      </c>
      <c r="B3217" s="23">
        <v>1341.317</v>
      </c>
      <c r="C3217" s="23">
        <v>145.185</v>
      </c>
    </row>
    <row r="3218" spans="1:3" x14ac:dyDescent="0.25">
      <c r="A3218">
        <v>3217</v>
      </c>
      <c r="B3218" s="23">
        <v>1341.162887</v>
      </c>
      <c r="C3218" s="23">
        <v>145.083</v>
      </c>
    </row>
    <row r="3219" spans="1:3" x14ac:dyDescent="0.25">
      <c r="A3219">
        <v>3218</v>
      </c>
      <c r="B3219" s="23">
        <v>1341.162887</v>
      </c>
      <c r="C3219" s="23">
        <v>143.28299999999999</v>
      </c>
    </row>
    <row r="3220" spans="1:3" x14ac:dyDescent="0.25">
      <c r="A3220">
        <v>3219</v>
      </c>
      <c r="B3220" s="23">
        <v>1341.153</v>
      </c>
      <c r="C3220" s="23">
        <v>141.48500000000001</v>
      </c>
    </row>
    <row r="3221" spans="1:3" x14ac:dyDescent="0.25">
      <c r="A3221">
        <v>3220</v>
      </c>
      <c r="B3221" s="23">
        <v>1340.9079999999999</v>
      </c>
      <c r="C3221" s="23">
        <v>139.84899999999999</v>
      </c>
    </row>
    <row r="3222" spans="1:3" x14ac:dyDescent="0.25">
      <c r="A3222">
        <v>3221</v>
      </c>
      <c r="B3222" s="23">
        <v>1340.724766</v>
      </c>
      <c r="C3222" s="23">
        <v>139.65100000000001</v>
      </c>
    </row>
    <row r="3223" spans="1:3" x14ac:dyDescent="0.25">
      <c r="A3223">
        <v>3222</v>
      </c>
      <c r="B3223" s="23">
        <v>1340.3659990000001</v>
      </c>
      <c r="C3223" s="23">
        <v>139.643</v>
      </c>
    </row>
    <row r="3224" spans="1:3" x14ac:dyDescent="0.25">
      <c r="A3224">
        <v>3223</v>
      </c>
      <c r="B3224" s="23">
        <v>1340.3659990000001</v>
      </c>
      <c r="C3224" s="23">
        <v>138.64599999999999</v>
      </c>
    </row>
    <row r="3225" spans="1:3" x14ac:dyDescent="0.25">
      <c r="A3225">
        <v>3224</v>
      </c>
      <c r="B3225" s="23">
        <v>1340.192</v>
      </c>
      <c r="C3225" s="23">
        <v>138.4</v>
      </c>
    </row>
    <row r="3226" spans="1:3" x14ac:dyDescent="0.25">
      <c r="A3226">
        <v>3225</v>
      </c>
      <c r="B3226" s="23">
        <v>1340.07</v>
      </c>
      <c r="C3226" s="23">
        <v>137.47300000000001</v>
      </c>
    </row>
    <row r="3227" spans="1:3" x14ac:dyDescent="0.25">
      <c r="A3227">
        <v>3226</v>
      </c>
      <c r="B3227" s="23">
        <v>1340</v>
      </c>
      <c r="C3227" s="23">
        <v>137.02500000000001</v>
      </c>
    </row>
    <row r="3228" spans="1:3" x14ac:dyDescent="0.25">
      <c r="A3228">
        <v>3227</v>
      </c>
      <c r="B3228" s="23">
        <v>1340</v>
      </c>
      <c r="C3228" s="23">
        <v>136.80000000000001</v>
      </c>
    </row>
    <row r="3229" spans="1:3" x14ac:dyDescent="0.25">
      <c r="A3229">
        <v>3228</v>
      </c>
      <c r="B3229" s="23">
        <v>1340</v>
      </c>
      <c r="C3229" s="23">
        <v>135.078</v>
      </c>
    </row>
    <row r="3230" spans="1:3" x14ac:dyDescent="0.25">
      <c r="A3230">
        <v>3229</v>
      </c>
      <c r="B3230" s="23">
        <v>1339.5730000000001</v>
      </c>
      <c r="C3230" s="23">
        <v>134.44800000000001</v>
      </c>
    </row>
    <row r="3231" spans="1:3" x14ac:dyDescent="0.25">
      <c r="A3231">
        <v>3230</v>
      </c>
      <c r="B3231" s="23">
        <v>1339.5691099999999</v>
      </c>
      <c r="C3231" s="23">
        <v>133.56200000000001</v>
      </c>
    </row>
    <row r="3232" spans="1:3" x14ac:dyDescent="0.25">
      <c r="A3232">
        <v>3231</v>
      </c>
      <c r="B3232" s="23">
        <v>1339.5691099999999</v>
      </c>
      <c r="C3232" s="23">
        <v>133.124</v>
      </c>
    </row>
    <row r="3233" spans="1:3" x14ac:dyDescent="0.25">
      <c r="A3233">
        <v>3232</v>
      </c>
      <c r="B3233" s="23">
        <v>1339.569</v>
      </c>
      <c r="C3233" s="23">
        <v>129.99600000000001</v>
      </c>
    </row>
    <row r="3234" spans="1:3" x14ac:dyDescent="0.25">
      <c r="A3234">
        <v>3233</v>
      </c>
      <c r="B3234" s="23">
        <v>1339.3869999999999</v>
      </c>
      <c r="C3234" s="23">
        <v>129.85</v>
      </c>
    </row>
    <row r="3235" spans="1:3" x14ac:dyDescent="0.25">
      <c r="A3235">
        <v>3234</v>
      </c>
      <c r="B3235" s="23">
        <v>1339.3240000000001</v>
      </c>
      <c r="C3235" s="23">
        <v>129.68199999999999</v>
      </c>
    </row>
    <row r="3236" spans="1:3" x14ac:dyDescent="0.25">
      <c r="A3236">
        <v>3235</v>
      </c>
      <c r="B3236" s="23">
        <v>1339.2412629999999</v>
      </c>
      <c r="C3236" s="23">
        <v>129.333</v>
      </c>
    </row>
    <row r="3237" spans="1:3" x14ac:dyDescent="0.25">
      <c r="A3237">
        <v>3236</v>
      </c>
      <c r="B3237" s="23">
        <v>1339.2360940000001</v>
      </c>
      <c r="C3237" s="23">
        <v>128.488</v>
      </c>
    </row>
    <row r="3238" spans="1:3" x14ac:dyDescent="0.25">
      <c r="A3238">
        <v>3237</v>
      </c>
      <c r="B3238" s="23">
        <v>1339.1925349999999</v>
      </c>
      <c r="C3238" s="23">
        <v>128.21700000000001</v>
      </c>
    </row>
    <row r="3239" spans="1:3" x14ac:dyDescent="0.25">
      <c r="A3239">
        <v>3238</v>
      </c>
      <c r="B3239" s="23">
        <v>1339.1880000000001</v>
      </c>
      <c r="C3239" s="23">
        <v>127.937</v>
      </c>
    </row>
    <row r="3240" spans="1:3" x14ac:dyDescent="0.25">
      <c r="A3240">
        <v>3239</v>
      </c>
      <c r="B3240" s="23">
        <v>1339.0123329999999</v>
      </c>
      <c r="C3240" s="23">
        <v>127.754</v>
      </c>
    </row>
    <row r="3241" spans="1:3" x14ac:dyDescent="0.25">
      <c r="A3241">
        <v>3240</v>
      </c>
      <c r="B3241" s="23">
        <v>1338.9079999999999</v>
      </c>
      <c r="C3241" s="23">
        <v>127.2</v>
      </c>
    </row>
    <row r="3242" spans="1:3" x14ac:dyDescent="0.25">
      <c r="A3242">
        <v>3241</v>
      </c>
      <c r="B3242" s="23">
        <v>1338.874423</v>
      </c>
      <c r="C3242" s="23">
        <v>126.4</v>
      </c>
    </row>
    <row r="3243" spans="1:3" x14ac:dyDescent="0.25">
      <c r="A3243">
        <v>3242</v>
      </c>
      <c r="B3243" s="23">
        <v>1338.7850000000001</v>
      </c>
      <c r="C3243" s="23">
        <v>125.512</v>
      </c>
    </row>
    <row r="3244" spans="1:3" x14ac:dyDescent="0.25">
      <c r="A3244">
        <v>3243</v>
      </c>
      <c r="B3244" s="23">
        <v>1338.6644859999999</v>
      </c>
      <c r="C3244" s="23">
        <v>124.8</v>
      </c>
    </row>
    <row r="3245" spans="1:3" x14ac:dyDescent="0.25">
      <c r="A3245">
        <v>3244</v>
      </c>
      <c r="B3245" s="23">
        <v>1338.6464120000001</v>
      </c>
      <c r="C3245" s="23">
        <v>124.774</v>
      </c>
    </row>
    <row r="3246" spans="1:3" x14ac:dyDescent="0.25">
      <c r="A3246">
        <v>3245</v>
      </c>
      <c r="B3246" s="23">
        <v>1338.6320000000001</v>
      </c>
      <c r="C3246" s="23">
        <v>123.533</v>
      </c>
    </row>
    <row r="3247" spans="1:3" x14ac:dyDescent="0.25">
      <c r="A3247">
        <v>3246</v>
      </c>
      <c r="B3247" s="23">
        <v>1338.4</v>
      </c>
      <c r="C3247" s="23">
        <v>122.756</v>
      </c>
    </row>
    <row r="3248" spans="1:3" x14ac:dyDescent="0.25">
      <c r="A3248">
        <v>3247</v>
      </c>
      <c r="B3248" s="23">
        <v>1338.4</v>
      </c>
      <c r="C3248" s="23">
        <v>121.84399999999999</v>
      </c>
    </row>
    <row r="3249" spans="1:3" x14ac:dyDescent="0.25">
      <c r="A3249">
        <v>3248</v>
      </c>
      <c r="B3249" s="23">
        <v>1338.2339999999999</v>
      </c>
      <c r="C3249" s="23">
        <v>121.67</v>
      </c>
    </row>
    <row r="3250" spans="1:3" x14ac:dyDescent="0.25">
      <c r="A3250">
        <v>3249</v>
      </c>
      <c r="B3250" s="23">
        <v>1338.153</v>
      </c>
      <c r="C3250" s="23">
        <v>121.202</v>
      </c>
    </row>
    <row r="3251" spans="1:3" x14ac:dyDescent="0.25">
      <c r="A3251">
        <v>3250</v>
      </c>
      <c r="B3251" s="23">
        <v>1338.141024</v>
      </c>
      <c r="C3251" s="23">
        <v>121.197</v>
      </c>
    </row>
    <row r="3252" spans="1:3" x14ac:dyDescent="0.25">
      <c r="A3252">
        <v>3251</v>
      </c>
      <c r="B3252" s="23">
        <v>1338.0139999999999</v>
      </c>
      <c r="C3252" s="23">
        <v>120.206</v>
      </c>
    </row>
    <row r="3253" spans="1:3" x14ac:dyDescent="0.25">
      <c r="A3253">
        <v>3252</v>
      </c>
      <c r="B3253" s="23">
        <v>1337.9229310000001</v>
      </c>
      <c r="C3253" s="23">
        <v>120</v>
      </c>
    </row>
    <row r="3254" spans="1:3" x14ac:dyDescent="0.25">
      <c r="A3254">
        <v>3253</v>
      </c>
      <c r="B3254" s="23">
        <v>1337.8875479999999</v>
      </c>
      <c r="C3254" s="23">
        <v>119.40300000000001</v>
      </c>
    </row>
    <row r="3255" spans="1:3" x14ac:dyDescent="0.25">
      <c r="A3255">
        <v>3254</v>
      </c>
      <c r="B3255" s="23">
        <v>1337.607</v>
      </c>
      <c r="C3255" s="23">
        <v>118.52200000000001</v>
      </c>
    </row>
    <row r="3256" spans="1:3" x14ac:dyDescent="0.25">
      <c r="A3256">
        <v>3255</v>
      </c>
      <c r="B3256" s="23">
        <v>1337.6</v>
      </c>
      <c r="C3256" s="23">
        <v>118.4</v>
      </c>
    </row>
    <row r="3257" spans="1:3" x14ac:dyDescent="0.25">
      <c r="A3257">
        <v>3256</v>
      </c>
      <c r="B3257" s="23">
        <v>1337.6</v>
      </c>
      <c r="C3257" s="23">
        <v>116.95</v>
      </c>
    </row>
    <row r="3258" spans="1:3" x14ac:dyDescent="0.25">
      <c r="A3258">
        <v>3257</v>
      </c>
      <c r="B3258" s="23">
        <v>1337.6</v>
      </c>
      <c r="C3258" s="23">
        <v>116.8</v>
      </c>
    </row>
    <row r="3259" spans="1:3" x14ac:dyDescent="0.25">
      <c r="A3259">
        <v>3258</v>
      </c>
      <c r="B3259" s="23">
        <v>1337.421</v>
      </c>
      <c r="C3259" s="23">
        <v>116.541</v>
      </c>
    </row>
    <row r="3260" spans="1:3" x14ac:dyDescent="0.25">
      <c r="A3260">
        <v>3259</v>
      </c>
      <c r="B3260" s="23">
        <v>1337.3169049999999</v>
      </c>
      <c r="C3260" s="23">
        <v>116.13200000000001</v>
      </c>
    </row>
    <row r="3261" spans="1:3" x14ac:dyDescent="0.25">
      <c r="A3261">
        <v>3260</v>
      </c>
      <c r="B3261" s="23">
        <v>1337.162</v>
      </c>
      <c r="C3261" s="23">
        <v>116</v>
      </c>
    </row>
    <row r="3262" spans="1:3" x14ac:dyDescent="0.25">
      <c r="A3262">
        <v>3261</v>
      </c>
      <c r="B3262" s="23">
        <v>1337.0619999999999</v>
      </c>
      <c r="C3262" s="23">
        <v>115.538</v>
      </c>
    </row>
    <row r="3263" spans="1:3" x14ac:dyDescent="0.25">
      <c r="A3263">
        <v>3262</v>
      </c>
      <c r="B3263" s="23">
        <v>1336.8</v>
      </c>
      <c r="C3263" s="23">
        <v>114.98699999999999</v>
      </c>
    </row>
    <row r="3264" spans="1:3" x14ac:dyDescent="0.25">
      <c r="A3264">
        <v>3263</v>
      </c>
      <c r="B3264" s="23">
        <v>1336.8</v>
      </c>
      <c r="C3264" s="23">
        <v>114.81699999999999</v>
      </c>
    </row>
    <row r="3265" spans="1:3" x14ac:dyDescent="0.25">
      <c r="A3265">
        <v>3264</v>
      </c>
      <c r="B3265" s="23">
        <v>1336.782788</v>
      </c>
      <c r="C3265" s="23">
        <v>114.4</v>
      </c>
    </row>
    <row r="3266" spans="1:3" x14ac:dyDescent="0.25">
      <c r="A3266">
        <v>3265</v>
      </c>
      <c r="B3266" s="23">
        <v>1336.752</v>
      </c>
      <c r="C3266" s="23">
        <v>114.4</v>
      </c>
    </row>
    <row r="3267" spans="1:3" x14ac:dyDescent="0.25">
      <c r="A3267">
        <v>3266</v>
      </c>
      <c r="B3267" s="23">
        <v>1336.473358</v>
      </c>
      <c r="C3267" s="23">
        <v>113.747</v>
      </c>
    </row>
    <row r="3268" spans="1:3" x14ac:dyDescent="0.25">
      <c r="A3268">
        <v>3267</v>
      </c>
      <c r="B3268" s="23">
        <v>1336.469272</v>
      </c>
      <c r="C3268" s="23">
        <v>113.678</v>
      </c>
    </row>
    <row r="3269" spans="1:3" x14ac:dyDescent="0.25">
      <c r="A3269">
        <v>3268</v>
      </c>
      <c r="B3269" s="23">
        <v>1336.4482969999999</v>
      </c>
      <c r="C3269" s="23">
        <v>113.6</v>
      </c>
    </row>
    <row r="3270" spans="1:3" x14ac:dyDescent="0.25">
      <c r="A3270">
        <v>3269</v>
      </c>
      <c r="B3270" s="23">
        <v>1336.381558</v>
      </c>
      <c r="C3270" s="23">
        <v>112.861</v>
      </c>
    </row>
    <row r="3271" spans="1:3" x14ac:dyDescent="0.25">
      <c r="A3271">
        <v>3270</v>
      </c>
      <c r="B3271" s="23">
        <v>1336</v>
      </c>
      <c r="C3271" s="23">
        <v>112.861</v>
      </c>
    </row>
    <row r="3272" spans="1:3" x14ac:dyDescent="0.25">
      <c r="A3272">
        <v>3271</v>
      </c>
      <c r="B3272" s="23">
        <v>1335.9659999999999</v>
      </c>
      <c r="C3272" s="23">
        <v>112.65600000000001</v>
      </c>
    </row>
    <row r="3273" spans="1:3" x14ac:dyDescent="0.25">
      <c r="A3273">
        <v>3272</v>
      </c>
      <c r="B3273" s="23">
        <v>1335.8779999999999</v>
      </c>
      <c r="C3273" s="23">
        <v>111.2</v>
      </c>
    </row>
    <row r="3274" spans="1:3" x14ac:dyDescent="0.25">
      <c r="A3274">
        <v>3273</v>
      </c>
      <c r="B3274" s="23">
        <v>1335.808</v>
      </c>
      <c r="C3274" s="23">
        <v>111.114</v>
      </c>
    </row>
    <row r="3275" spans="1:3" x14ac:dyDescent="0.25">
      <c r="A3275">
        <v>3274</v>
      </c>
      <c r="B3275" s="23">
        <v>1335.797</v>
      </c>
      <c r="C3275" s="23">
        <v>111.014</v>
      </c>
    </row>
    <row r="3276" spans="1:3" x14ac:dyDescent="0.25">
      <c r="A3276">
        <v>3275</v>
      </c>
      <c r="B3276" s="23">
        <v>1335.6922489999999</v>
      </c>
      <c r="C3276" s="23">
        <v>110.4</v>
      </c>
    </row>
    <row r="3277" spans="1:3" x14ac:dyDescent="0.25">
      <c r="A3277">
        <v>3276</v>
      </c>
      <c r="B3277" s="23">
        <v>1335.4839999999999</v>
      </c>
      <c r="C3277" s="23">
        <v>110.4</v>
      </c>
    </row>
    <row r="3278" spans="1:3" x14ac:dyDescent="0.25">
      <c r="A3278">
        <v>3277</v>
      </c>
      <c r="B3278" s="23">
        <v>1335.2</v>
      </c>
      <c r="C3278" s="23">
        <v>110.4</v>
      </c>
    </row>
    <row r="3279" spans="1:3" x14ac:dyDescent="0.25">
      <c r="A3279">
        <v>3278</v>
      </c>
      <c r="B3279" s="23">
        <v>1335.2</v>
      </c>
      <c r="C3279" s="23">
        <v>110.4</v>
      </c>
    </row>
    <row r="3280" spans="1:3" x14ac:dyDescent="0.25">
      <c r="A3280">
        <v>3279</v>
      </c>
      <c r="B3280" s="23">
        <v>1335.1559999999999</v>
      </c>
      <c r="C3280" s="23">
        <v>109.6</v>
      </c>
    </row>
    <row r="3281" spans="1:3" x14ac:dyDescent="0.25">
      <c r="A3281">
        <v>3280</v>
      </c>
      <c r="B3281" s="23">
        <v>1335.0919899999999</v>
      </c>
      <c r="C3281" s="23">
        <v>108.8</v>
      </c>
    </row>
    <row r="3282" spans="1:3" x14ac:dyDescent="0.25">
      <c r="A3282">
        <v>3281</v>
      </c>
      <c r="B3282" s="23">
        <v>1335.0919899999999</v>
      </c>
      <c r="C3282" s="23">
        <v>108.614</v>
      </c>
    </row>
    <row r="3283" spans="1:3" x14ac:dyDescent="0.25">
      <c r="A3283">
        <v>3282</v>
      </c>
      <c r="B3283" s="23">
        <v>1334.698382</v>
      </c>
      <c r="C3283" s="23">
        <v>108.377</v>
      </c>
    </row>
    <row r="3284" spans="1:3" x14ac:dyDescent="0.25">
      <c r="A3284">
        <v>3283</v>
      </c>
      <c r="B3284" s="23">
        <v>1334.591042</v>
      </c>
      <c r="C3284" s="23">
        <v>108.301</v>
      </c>
    </row>
    <row r="3285" spans="1:3" x14ac:dyDescent="0.25">
      <c r="A3285">
        <v>3284</v>
      </c>
      <c r="B3285" s="23">
        <v>1334.4</v>
      </c>
      <c r="C3285" s="23">
        <v>108.018</v>
      </c>
    </row>
    <row r="3286" spans="1:3" x14ac:dyDescent="0.25">
      <c r="A3286">
        <v>3285</v>
      </c>
      <c r="B3286" s="23">
        <v>1334.4</v>
      </c>
      <c r="C3286" s="23">
        <v>107.217</v>
      </c>
    </row>
    <row r="3287" spans="1:3" x14ac:dyDescent="0.25">
      <c r="A3287">
        <v>3286</v>
      </c>
      <c r="B3287" s="23">
        <v>1334.239</v>
      </c>
      <c r="C3287" s="23">
        <v>107.217</v>
      </c>
    </row>
    <row r="3288" spans="1:3" x14ac:dyDescent="0.25">
      <c r="A3288">
        <v>3287</v>
      </c>
      <c r="B3288" s="23">
        <v>1334.1679999999999</v>
      </c>
      <c r="C3288" s="23">
        <v>107.2</v>
      </c>
    </row>
    <row r="3289" spans="1:3" x14ac:dyDescent="0.25">
      <c r="A3289">
        <v>3288</v>
      </c>
      <c r="B3289" s="23">
        <v>1333.7106220000001</v>
      </c>
      <c r="C3289" s="23">
        <v>107.136</v>
      </c>
    </row>
    <row r="3290" spans="1:3" x14ac:dyDescent="0.25">
      <c r="A3290">
        <v>3289</v>
      </c>
      <c r="B3290" s="23">
        <v>1333.6</v>
      </c>
      <c r="C3290" s="23">
        <v>106.78</v>
      </c>
    </row>
    <row r="3291" spans="1:3" x14ac:dyDescent="0.25">
      <c r="A3291">
        <v>3290</v>
      </c>
      <c r="B3291" s="23">
        <v>1333.6</v>
      </c>
      <c r="C3291" s="23">
        <v>106.502</v>
      </c>
    </row>
    <row r="3292" spans="1:3" x14ac:dyDescent="0.25">
      <c r="A3292">
        <v>3291</v>
      </c>
      <c r="B3292" s="23">
        <v>1333.6</v>
      </c>
      <c r="C3292" s="23">
        <v>106.4</v>
      </c>
    </row>
    <row r="3293" spans="1:3" x14ac:dyDescent="0.25">
      <c r="A3293">
        <v>3292</v>
      </c>
      <c r="B3293" s="23">
        <v>1333.1940050000001</v>
      </c>
      <c r="C3293" s="23">
        <v>105.986</v>
      </c>
    </row>
    <row r="3294" spans="1:3" x14ac:dyDescent="0.25">
      <c r="A3294">
        <v>3293</v>
      </c>
      <c r="B3294" s="23">
        <v>1333.0199379999999</v>
      </c>
      <c r="C3294" s="23">
        <v>105.6</v>
      </c>
    </row>
    <row r="3295" spans="1:3" x14ac:dyDescent="0.25">
      <c r="A3295">
        <v>3294</v>
      </c>
      <c r="B3295" s="23">
        <v>1332.9479650000001</v>
      </c>
      <c r="C3295" s="23">
        <v>105.6</v>
      </c>
    </row>
    <row r="3296" spans="1:3" x14ac:dyDescent="0.25">
      <c r="A3296">
        <v>3295</v>
      </c>
      <c r="B3296" s="23">
        <v>1332.8</v>
      </c>
      <c r="C3296" s="23">
        <v>105.5</v>
      </c>
    </row>
    <row r="3297" spans="1:3" x14ac:dyDescent="0.25">
      <c r="A3297">
        <v>3296</v>
      </c>
      <c r="B3297" s="23">
        <v>1332.8</v>
      </c>
      <c r="C3297" s="23">
        <v>105.18899999999999</v>
      </c>
    </row>
    <row r="3298" spans="1:3" x14ac:dyDescent="0.25">
      <c r="A3298">
        <v>3297</v>
      </c>
      <c r="B3298" s="23">
        <v>1332.8</v>
      </c>
      <c r="C3298" s="23">
        <v>105.179</v>
      </c>
    </row>
    <row r="3299" spans="1:3" x14ac:dyDescent="0.25">
      <c r="A3299">
        <v>3298</v>
      </c>
      <c r="B3299" s="23">
        <v>1332.8</v>
      </c>
      <c r="C3299" s="23">
        <v>104.887</v>
      </c>
    </row>
    <row r="3300" spans="1:3" x14ac:dyDescent="0.25">
      <c r="A3300">
        <v>3299</v>
      </c>
      <c r="B3300" s="23">
        <v>1332.7466219999999</v>
      </c>
      <c r="C3300" s="23">
        <v>104.8</v>
      </c>
    </row>
    <row r="3301" spans="1:3" x14ac:dyDescent="0.25">
      <c r="A3301">
        <v>3300</v>
      </c>
      <c r="B3301" s="23">
        <v>1332.4069999999999</v>
      </c>
      <c r="C3301" s="23">
        <v>104.8</v>
      </c>
    </row>
    <row r="3302" spans="1:3" x14ac:dyDescent="0.25">
      <c r="A3302">
        <v>3301</v>
      </c>
      <c r="B3302" s="23">
        <v>1332.3971160000001</v>
      </c>
      <c r="C3302" s="23">
        <v>104.548</v>
      </c>
    </row>
    <row r="3303" spans="1:3" x14ac:dyDescent="0.25">
      <c r="A3303">
        <v>3302</v>
      </c>
      <c r="B3303" s="23">
        <v>1332.1890000000001</v>
      </c>
      <c r="C3303" s="23">
        <v>104.54</v>
      </c>
    </row>
    <row r="3304" spans="1:3" x14ac:dyDescent="0.25">
      <c r="A3304">
        <v>3303</v>
      </c>
      <c r="B3304" s="23">
        <v>1332.16</v>
      </c>
      <c r="C3304" s="23">
        <v>104.32</v>
      </c>
    </row>
    <row r="3305" spans="1:3" x14ac:dyDescent="0.25">
      <c r="A3305">
        <v>3304</v>
      </c>
      <c r="B3305" s="23">
        <v>1332.026732</v>
      </c>
      <c r="C3305" s="23">
        <v>104.11</v>
      </c>
    </row>
    <row r="3306" spans="1:3" x14ac:dyDescent="0.25">
      <c r="A3306">
        <v>3305</v>
      </c>
      <c r="B3306" s="23">
        <v>1332</v>
      </c>
      <c r="C3306" s="23">
        <v>103.351</v>
      </c>
    </row>
    <row r="3307" spans="1:3" x14ac:dyDescent="0.25">
      <c r="A3307">
        <v>3306</v>
      </c>
      <c r="B3307" s="23">
        <v>1331.8492670000001</v>
      </c>
      <c r="C3307" s="23">
        <v>103.333</v>
      </c>
    </row>
    <row r="3308" spans="1:3" x14ac:dyDescent="0.25">
      <c r="A3308">
        <v>3307</v>
      </c>
      <c r="B3308" s="23">
        <v>1331.638571</v>
      </c>
      <c r="C3308" s="23">
        <v>103.09699999999999</v>
      </c>
    </row>
    <row r="3309" spans="1:3" x14ac:dyDescent="0.25">
      <c r="A3309">
        <v>3308</v>
      </c>
      <c r="B3309" s="23">
        <v>1331.5524150000001</v>
      </c>
      <c r="C3309" s="23">
        <v>102.229</v>
      </c>
    </row>
    <row r="3310" spans="1:3" x14ac:dyDescent="0.25">
      <c r="A3310">
        <v>3309</v>
      </c>
      <c r="B3310" s="23">
        <v>1331.4270630000001</v>
      </c>
      <c r="C3310" s="23">
        <v>101.779</v>
      </c>
    </row>
    <row r="3311" spans="1:3" x14ac:dyDescent="0.25">
      <c r="A3311">
        <v>3310</v>
      </c>
      <c r="B3311" s="23">
        <v>1331.419928</v>
      </c>
      <c r="C3311" s="23">
        <v>101.779</v>
      </c>
    </row>
    <row r="3312" spans="1:3" x14ac:dyDescent="0.25">
      <c r="A3312">
        <v>3311</v>
      </c>
      <c r="B3312" s="23">
        <v>1331.2729999999999</v>
      </c>
      <c r="C3312" s="23">
        <v>101.6</v>
      </c>
    </row>
    <row r="3313" spans="1:3" x14ac:dyDescent="0.25">
      <c r="A3313">
        <v>3312</v>
      </c>
      <c r="B3313" s="23">
        <v>1331.2</v>
      </c>
      <c r="C3313" s="23">
        <v>101.49299999999999</v>
      </c>
    </row>
    <row r="3314" spans="1:3" x14ac:dyDescent="0.25">
      <c r="A3314">
        <v>3313</v>
      </c>
      <c r="B3314" s="23">
        <v>1331.2</v>
      </c>
      <c r="C3314" s="23">
        <v>101.205</v>
      </c>
    </row>
    <row r="3315" spans="1:3" x14ac:dyDescent="0.25">
      <c r="A3315">
        <v>3314</v>
      </c>
      <c r="B3315" s="23">
        <v>1331.1489999999999</v>
      </c>
      <c r="C3315" s="23">
        <v>101.002</v>
      </c>
    </row>
    <row r="3316" spans="1:3" x14ac:dyDescent="0.25">
      <c r="A3316">
        <v>3315</v>
      </c>
      <c r="B3316" s="23">
        <v>1330.681814</v>
      </c>
      <c r="C3316" s="23">
        <v>100.875</v>
      </c>
    </row>
    <row r="3317" spans="1:3" x14ac:dyDescent="0.25">
      <c r="A3317">
        <v>3316</v>
      </c>
      <c r="B3317" s="23">
        <v>1330.5556919999999</v>
      </c>
      <c r="C3317" s="23">
        <v>100.76600000000001</v>
      </c>
    </row>
    <row r="3318" spans="1:3" x14ac:dyDescent="0.25">
      <c r="A3318">
        <v>3317</v>
      </c>
      <c r="B3318" s="23">
        <v>1330.2779230000001</v>
      </c>
      <c r="C3318" s="23">
        <v>100.593</v>
      </c>
    </row>
    <row r="3319" spans="1:3" x14ac:dyDescent="0.25">
      <c r="A3319">
        <v>3318</v>
      </c>
      <c r="B3319" s="23">
        <v>1330.27064</v>
      </c>
      <c r="C3319" s="23">
        <v>100</v>
      </c>
    </row>
    <row r="3320" spans="1:3" x14ac:dyDescent="0.25">
      <c r="A3320">
        <v>3319</v>
      </c>
      <c r="B3320" s="23">
        <v>1330.2572029999999</v>
      </c>
      <c r="C3320" s="23">
        <v>99.775000000000006</v>
      </c>
    </row>
    <row r="3321" spans="1:3" x14ac:dyDescent="0.25">
      <c r="A3321">
        <v>3320</v>
      </c>
      <c r="B3321" s="23">
        <v>1329.971873</v>
      </c>
      <c r="C3321" s="23">
        <v>99.683000000000007</v>
      </c>
    </row>
    <row r="3322" spans="1:3" x14ac:dyDescent="0.25">
      <c r="A3322">
        <v>3321</v>
      </c>
      <c r="B3322" s="23">
        <v>1329.820172</v>
      </c>
      <c r="C3322" s="23">
        <v>99.63</v>
      </c>
    </row>
    <row r="3323" spans="1:3" x14ac:dyDescent="0.25">
      <c r="A3323">
        <v>3322</v>
      </c>
      <c r="B3323" s="23">
        <v>1329.820172</v>
      </c>
      <c r="C3323" s="23">
        <v>99.447999999999993</v>
      </c>
    </row>
    <row r="3324" spans="1:3" x14ac:dyDescent="0.25">
      <c r="A3324">
        <v>3323</v>
      </c>
      <c r="B3324" s="23">
        <v>1329.6</v>
      </c>
      <c r="C3324" s="23">
        <v>99.2</v>
      </c>
    </row>
    <row r="3325" spans="1:3" x14ac:dyDescent="0.25">
      <c r="A3325">
        <v>3324</v>
      </c>
      <c r="B3325" s="23">
        <v>1329.6</v>
      </c>
      <c r="C3325" s="23">
        <v>99.07</v>
      </c>
    </row>
    <row r="3326" spans="1:3" x14ac:dyDescent="0.25">
      <c r="A3326">
        <v>3325</v>
      </c>
      <c r="B3326" s="23">
        <v>1329.4033449999999</v>
      </c>
      <c r="C3326" s="23">
        <v>98.956999999999994</v>
      </c>
    </row>
    <row r="3327" spans="1:3" x14ac:dyDescent="0.25">
      <c r="A3327">
        <v>3326</v>
      </c>
      <c r="B3327" s="23">
        <v>1329.287415</v>
      </c>
      <c r="C3327" s="23">
        <v>98.671000000000006</v>
      </c>
    </row>
    <row r="3328" spans="1:3" x14ac:dyDescent="0.25">
      <c r="A3328">
        <v>3327</v>
      </c>
      <c r="B3328" s="23">
        <v>1329.22532</v>
      </c>
      <c r="C3328" s="23">
        <v>98.4</v>
      </c>
    </row>
    <row r="3329" spans="1:3" x14ac:dyDescent="0.25">
      <c r="A3329">
        <v>3328</v>
      </c>
      <c r="B3329" s="23">
        <v>1329.084652</v>
      </c>
      <c r="C3329" s="23">
        <v>98.013000000000005</v>
      </c>
    </row>
    <row r="3330" spans="1:3" x14ac:dyDescent="0.25">
      <c r="A3330">
        <v>3329</v>
      </c>
      <c r="B3330" s="23">
        <v>1329.045991</v>
      </c>
      <c r="C3330" s="23">
        <v>97.6</v>
      </c>
    </row>
    <row r="3331" spans="1:3" x14ac:dyDescent="0.25">
      <c r="A3331">
        <v>3330</v>
      </c>
      <c r="B3331" s="23">
        <v>1328.98</v>
      </c>
      <c r="C3331" s="23">
        <v>96.8</v>
      </c>
    </row>
    <row r="3332" spans="1:3" x14ac:dyDescent="0.25">
      <c r="A3332">
        <v>3331</v>
      </c>
      <c r="B3332" s="23">
        <v>1328.8758350000001</v>
      </c>
      <c r="C3332" s="23">
        <v>96.69</v>
      </c>
    </row>
    <row r="3333" spans="1:3" x14ac:dyDescent="0.25">
      <c r="A3333">
        <v>3332</v>
      </c>
      <c r="B3333" s="23">
        <v>1328.8</v>
      </c>
      <c r="C3333" s="23">
        <v>96.504000000000005</v>
      </c>
    </row>
    <row r="3334" spans="1:3" x14ac:dyDescent="0.25">
      <c r="A3334">
        <v>3333</v>
      </c>
      <c r="B3334" s="23">
        <v>1328.8</v>
      </c>
      <c r="C3334" s="23">
        <v>96.213999999999999</v>
      </c>
    </row>
    <row r="3335" spans="1:3" x14ac:dyDescent="0.25">
      <c r="A3335">
        <v>3334</v>
      </c>
      <c r="B3335" s="23">
        <v>1328.616</v>
      </c>
      <c r="C3335" s="23">
        <v>95.396000000000001</v>
      </c>
    </row>
    <row r="3336" spans="1:3" x14ac:dyDescent="0.25">
      <c r="A3336">
        <v>3335</v>
      </c>
      <c r="B3336" s="23">
        <v>1328.5642889999999</v>
      </c>
      <c r="C3336" s="23">
        <v>94.867999999999995</v>
      </c>
    </row>
    <row r="3337" spans="1:3" x14ac:dyDescent="0.25">
      <c r="A3337">
        <v>3336</v>
      </c>
      <c r="B3337" s="23">
        <v>1328.412675</v>
      </c>
      <c r="C3337" s="23">
        <v>94.641000000000005</v>
      </c>
    </row>
    <row r="3338" spans="1:3" x14ac:dyDescent="0.25">
      <c r="A3338">
        <v>3337</v>
      </c>
      <c r="B3338" s="23">
        <v>1328.3489999999999</v>
      </c>
      <c r="C3338" s="23">
        <v>94.4</v>
      </c>
    </row>
    <row r="3339" spans="1:3" x14ac:dyDescent="0.25">
      <c r="A3339">
        <v>3338</v>
      </c>
      <c r="B3339" s="23">
        <v>1328.345</v>
      </c>
      <c r="C3339" s="23">
        <v>94.305000000000007</v>
      </c>
    </row>
    <row r="3340" spans="1:3" x14ac:dyDescent="0.25">
      <c r="A3340">
        <v>3339</v>
      </c>
      <c r="B3340" s="23">
        <v>1328.155743</v>
      </c>
      <c r="C3340" s="23">
        <v>94.033000000000001</v>
      </c>
    </row>
    <row r="3341" spans="1:3" x14ac:dyDescent="0.25">
      <c r="A3341">
        <v>3340</v>
      </c>
      <c r="B3341" s="23">
        <v>1327.845</v>
      </c>
      <c r="C3341" s="23">
        <v>94.031000000000006</v>
      </c>
    </row>
    <row r="3342" spans="1:3" x14ac:dyDescent="0.25">
      <c r="A3342">
        <v>3341</v>
      </c>
      <c r="B3342" s="23">
        <v>1327.7543310000001</v>
      </c>
      <c r="C3342" s="23">
        <v>93.808999999999997</v>
      </c>
    </row>
    <row r="3343" spans="1:3" x14ac:dyDescent="0.25">
      <c r="A3343">
        <v>3342</v>
      </c>
      <c r="B3343" s="23">
        <v>1327.615</v>
      </c>
      <c r="C3343" s="23">
        <v>93.379000000000005</v>
      </c>
    </row>
    <row r="3344" spans="1:3" x14ac:dyDescent="0.25">
      <c r="A3344">
        <v>3343</v>
      </c>
      <c r="B3344" s="23">
        <v>1327.6136120000001</v>
      </c>
      <c r="C3344" s="23">
        <v>92</v>
      </c>
    </row>
    <row r="3345" spans="1:3" x14ac:dyDescent="0.25">
      <c r="A3345">
        <v>3344</v>
      </c>
      <c r="B3345" s="23">
        <v>1327.605</v>
      </c>
      <c r="C3345" s="23">
        <v>91.641999999999996</v>
      </c>
    </row>
    <row r="3346" spans="1:3" x14ac:dyDescent="0.25">
      <c r="A3346">
        <v>3345</v>
      </c>
      <c r="B3346" s="23">
        <v>1327.2</v>
      </c>
      <c r="C3346" s="23">
        <v>91.2</v>
      </c>
    </row>
    <row r="3347" spans="1:3" x14ac:dyDescent="0.25">
      <c r="A3347">
        <v>3346</v>
      </c>
      <c r="B3347" s="23">
        <v>1327.1579999999999</v>
      </c>
      <c r="C3347" s="23">
        <v>90.951999999999998</v>
      </c>
    </row>
    <row r="3348" spans="1:3" x14ac:dyDescent="0.25">
      <c r="A3348">
        <v>3347</v>
      </c>
      <c r="B3348" s="23">
        <v>1327.134448</v>
      </c>
      <c r="C3348" s="23">
        <v>90.513999999999996</v>
      </c>
    </row>
    <row r="3349" spans="1:3" x14ac:dyDescent="0.25">
      <c r="A3349">
        <v>3348</v>
      </c>
      <c r="B3349" s="23">
        <v>1327.1211880000001</v>
      </c>
      <c r="C3349" s="23">
        <v>89.710999999999999</v>
      </c>
    </row>
    <row r="3350" spans="1:3" x14ac:dyDescent="0.25">
      <c r="A3350">
        <v>3349</v>
      </c>
      <c r="B3350" s="23">
        <v>1326.8188990000001</v>
      </c>
      <c r="C3350" s="23">
        <v>89.6</v>
      </c>
    </row>
    <row r="3351" spans="1:3" x14ac:dyDescent="0.25">
      <c r="A3351">
        <v>3350</v>
      </c>
      <c r="B3351" s="23">
        <v>1326.7750000000001</v>
      </c>
      <c r="C3351" s="23">
        <v>89.397999999999996</v>
      </c>
    </row>
    <row r="3352" spans="1:3" x14ac:dyDescent="0.25">
      <c r="A3352">
        <v>3351</v>
      </c>
      <c r="B3352" s="23">
        <v>1326.4</v>
      </c>
      <c r="C3352" s="23">
        <v>88.8</v>
      </c>
    </row>
    <row r="3353" spans="1:3" x14ac:dyDescent="0.25">
      <c r="A3353">
        <v>3352</v>
      </c>
      <c r="B3353" s="23">
        <v>1326.4</v>
      </c>
      <c r="C3353" s="23">
        <v>88.695999999999998</v>
      </c>
    </row>
    <row r="3354" spans="1:3" x14ac:dyDescent="0.25">
      <c r="A3354">
        <v>3353</v>
      </c>
      <c r="B3354" s="23">
        <v>1326.022011</v>
      </c>
      <c r="C3354" s="23">
        <v>88.292000000000002</v>
      </c>
    </row>
    <row r="3355" spans="1:3" x14ac:dyDescent="0.25">
      <c r="A3355">
        <v>3354</v>
      </c>
      <c r="B3355" s="23">
        <v>1325.8320000000001</v>
      </c>
      <c r="C3355" s="23">
        <v>88.262</v>
      </c>
    </row>
    <row r="3356" spans="1:3" x14ac:dyDescent="0.25">
      <c r="A3356">
        <v>3355</v>
      </c>
      <c r="B3356" s="23">
        <v>1325.723</v>
      </c>
      <c r="C3356" s="23">
        <v>88</v>
      </c>
    </row>
    <row r="3357" spans="1:3" x14ac:dyDescent="0.25">
      <c r="A3357">
        <v>3356</v>
      </c>
      <c r="B3357" s="23">
        <v>1325.7022529999999</v>
      </c>
      <c r="C3357" s="23">
        <v>88</v>
      </c>
    </row>
    <row r="3358" spans="1:3" x14ac:dyDescent="0.25">
      <c r="A3358">
        <v>3357</v>
      </c>
      <c r="B3358" s="23">
        <v>1325.6</v>
      </c>
      <c r="C3358" s="23">
        <v>87.846999999999994</v>
      </c>
    </row>
    <row r="3359" spans="1:3" x14ac:dyDescent="0.25">
      <c r="A3359">
        <v>3358</v>
      </c>
      <c r="B3359" s="23">
        <v>1325.6</v>
      </c>
      <c r="C3359" s="23">
        <v>87.658000000000001</v>
      </c>
    </row>
    <row r="3360" spans="1:3" x14ac:dyDescent="0.25">
      <c r="A3360">
        <v>3359</v>
      </c>
      <c r="B3360" s="23">
        <v>1325.6</v>
      </c>
      <c r="C3360" s="23">
        <v>87.658000000000001</v>
      </c>
    </row>
    <row r="3361" spans="1:3" x14ac:dyDescent="0.25">
      <c r="A3361">
        <v>3360</v>
      </c>
      <c r="B3361" s="23">
        <v>1325.456537</v>
      </c>
      <c r="C3361" s="23">
        <v>87.460999999999999</v>
      </c>
    </row>
    <row r="3362" spans="1:3" x14ac:dyDescent="0.25">
      <c r="A3362">
        <v>3361</v>
      </c>
      <c r="B3362" s="23">
        <v>1324.9259999999999</v>
      </c>
      <c r="C3362" s="23">
        <v>87.325000000000003</v>
      </c>
    </row>
    <row r="3363" spans="1:3" x14ac:dyDescent="0.25">
      <c r="A3363">
        <v>3362</v>
      </c>
      <c r="B3363" s="23">
        <v>1324.8</v>
      </c>
      <c r="C3363" s="23">
        <v>87.2</v>
      </c>
    </row>
    <row r="3364" spans="1:3" x14ac:dyDescent="0.25">
      <c r="A3364">
        <v>3363</v>
      </c>
      <c r="B3364" s="23">
        <v>1324.8</v>
      </c>
      <c r="C3364" s="23">
        <v>86.641000000000005</v>
      </c>
    </row>
    <row r="3365" spans="1:3" x14ac:dyDescent="0.25">
      <c r="A3365">
        <v>3364</v>
      </c>
      <c r="B3365" s="23">
        <v>1324.8</v>
      </c>
      <c r="C3365" s="23">
        <v>85.828000000000003</v>
      </c>
    </row>
    <row r="3366" spans="1:3" x14ac:dyDescent="0.25">
      <c r="A3366">
        <v>3365</v>
      </c>
      <c r="B3366" s="23">
        <v>1324.6715320000001</v>
      </c>
      <c r="C3366" s="23">
        <v>85.6</v>
      </c>
    </row>
    <row r="3367" spans="1:3" x14ac:dyDescent="0.25">
      <c r="A3367">
        <v>3366</v>
      </c>
      <c r="B3367" s="23">
        <v>1324.0665939999999</v>
      </c>
      <c r="C3367" s="23">
        <v>85.6</v>
      </c>
    </row>
    <row r="3368" spans="1:3" x14ac:dyDescent="0.25">
      <c r="A3368">
        <v>3367</v>
      </c>
      <c r="B3368" s="23">
        <v>1324</v>
      </c>
      <c r="C3368" s="23">
        <v>84</v>
      </c>
    </row>
    <row r="3369" spans="1:3" x14ac:dyDescent="0.25">
      <c r="A3369">
        <v>3368</v>
      </c>
      <c r="B3369" s="23">
        <v>1324</v>
      </c>
      <c r="C3369" s="23">
        <v>82.665999999999997</v>
      </c>
    </row>
    <row r="3370" spans="1:3" x14ac:dyDescent="0.25">
      <c r="A3370">
        <v>3369</v>
      </c>
      <c r="B3370" s="23">
        <v>1324</v>
      </c>
      <c r="C3370" s="23">
        <v>82.635999999999996</v>
      </c>
    </row>
    <row r="3371" spans="1:3" x14ac:dyDescent="0.25">
      <c r="A3371">
        <v>3370</v>
      </c>
      <c r="B3371" s="23">
        <v>1324</v>
      </c>
      <c r="C3371" s="23">
        <v>82.378</v>
      </c>
    </row>
    <row r="3372" spans="1:3" x14ac:dyDescent="0.25">
      <c r="A3372">
        <v>3371</v>
      </c>
      <c r="B3372" s="23">
        <v>1324</v>
      </c>
      <c r="C3372" s="23">
        <v>82.378</v>
      </c>
    </row>
    <row r="3373" spans="1:3" x14ac:dyDescent="0.25">
      <c r="A3373">
        <v>3372</v>
      </c>
      <c r="B3373" s="23">
        <v>1324</v>
      </c>
      <c r="C3373" s="23">
        <v>82.378</v>
      </c>
    </row>
    <row r="3374" spans="1:3" x14ac:dyDescent="0.25">
      <c r="A3374">
        <v>3373</v>
      </c>
      <c r="B3374" s="23">
        <v>1323.90266</v>
      </c>
      <c r="C3374" s="23">
        <v>82.378</v>
      </c>
    </row>
    <row r="3375" spans="1:3" x14ac:dyDescent="0.25">
      <c r="A3375">
        <v>3374</v>
      </c>
      <c r="B3375" s="23">
        <v>1323.5150000000001</v>
      </c>
      <c r="C3375" s="23">
        <v>81.396000000000001</v>
      </c>
    </row>
    <row r="3376" spans="1:3" x14ac:dyDescent="0.25">
      <c r="A3376">
        <v>3375</v>
      </c>
      <c r="B3376" s="23">
        <v>1323.308</v>
      </c>
      <c r="C3376" s="23">
        <v>80.826999999999998</v>
      </c>
    </row>
    <row r="3377" spans="1:3" x14ac:dyDescent="0.25">
      <c r="A3377">
        <v>3376</v>
      </c>
      <c r="B3377" s="23">
        <v>1323.29</v>
      </c>
      <c r="C3377" s="23">
        <v>80.554000000000002</v>
      </c>
    </row>
    <row r="3378" spans="1:3" x14ac:dyDescent="0.25">
      <c r="A3378">
        <v>3377</v>
      </c>
      <c r="B3378" s="23">
        <v>1323.125722</v>
      </c>
      <c r="C3378" s="23">
        <v>80.281999999999996</v>
      </c>
    </row>
    <row r="3379" spans="1:3" x14ac:dyDescent="0.25">
      <c r="A3379">
        <v>3378</v>
      </c>
      <c r="B3379" s="23">
        <v>1322.5029999999999</v>
      </c>
      <c r="C3379" s="23">
        <v>78.641000000000005</v>
      </c>
    </row>
    <row r="3380" spans="1:3" x14ac:dyDescent="0.25">
      <c r="A3380">
        <v>3379</v>
      </c>
      <c r="B3380" s="23">
        <v>1322.4</v>
      </c>
      <c r="C3380" s="23">
        <v>76.94</v>
      </c>
    </row>
    <row r="3381" spans="1:3" x14ac:dyDescent="0.25">
      <c r="A3381">
        <v>3380</v>
      </c>
      <c r="B3381" s="23">
        <v>1322.0172239999999</v>
      </c>
      <c r="C3381" s="23">
        <v>75.570999999999998</v>
      </c>
    </row>
    <row r="3382" spans="1:3" x14ac:dyDescent="0.25">
      <c r="A3382">
        <v>3381</v>
      </c>
      <c r="B3382" s="23">
        <v>1321.9690000000001</v>
      </c>
      <c r="C3382" s="23">
        <v>75.442999999999998</v>
      </c>
    </row>
    <row r="3383" spans="1:3" x14ac:dyDescent="0.25">
      <c r="A3383">
        <v>3382</v>
      </c>
      <c r="B3383" s="23">
        <v>1321.613104</v>
      </c>
      <c r="C3383" s="23">
        <v>74.429000000000002</v>
      </c>
    </row>
    <row r="3384" spans="1:3" x14ac:dyDescent="0.25">
      <c r="A3384">
        <v>3383</v>
      </c>
      <c r="B3384" s="23">
        <v>1321.6110000000001</v>
      </c>
      <c r="C3384" s="23">
        <v>73.840999999999994</v>
      </c>
    </row>
    <row r="3385" spans="1:3" x14ac:dyDescent="0.25">
      <c r="A3385">
        <v>3384</v>
      </c>
      <c r="B3385" s="23">
        <v>1321.6</v>
      </c>
      <c r="C3385" s="23">
        <v>73.126999999999995</v>
      </c>
    </row>
    <row r="3386" spans="1:3" x14ac:dyDescent="0.25">
      <c r="A3386">
        <v>3385</v>
      </c>
      <c r="B3386" s="23">
        <v>1321.6</v>
      </c>
      <c r="C3386" s="23">
        <v>72.893000000000001</v>
      </c>
    </row>
    <row r="3387" spans="1:3" x14ac:dyDescent="0.25">
      <c r="A3387">
        <v>3386</v>
      </c>
      <c r="B3387" s="23">
        <v>1321.6</v>
      </c>
      <c r="C3387" s="23">
        <v>71.415999999999997</v>
      </c>
    </row>
    <row r="3388" spans="1:3" x14ac:dyDescent="0.25">
      <c r="A3388">
        <v>3387</v>
      </c>
      <c r="B3388" s="23">
        <v>1321.6</v>
      </c>
      <c r="C3388" s="23">
        <v>71.39</v>
      </c>
    </row>
    <row r="3389" spans="1:3" x14ac:dyDescent="0.25">
      <c r="A3389">
        <v>3388</v>
      </c>
      <c r="B3389" s="23">
        <v>1321.3359479999999</v>
      </c>
      <c r="C3389" s="23">
        <v>71.069999999999993</v>
      </c>
    </row>
    <row r="3390" spans="1:3" x14ac:dyDescent="0.25">
      <c r="A3390">
        <v>3389</v>
      </c>
      <c r="B3390" s="23">
        <v>1320.9939320000001</v>
      </c>
      <c r="C3390" s="23">
        <v>70.891000000000005</v>
      </c>
    </row>
    <row r="3391" spans="1:3" x14ac:dyDescent="0.25">
      <c r="A3391">
        <v>3390</v>
      </c>
      <c r="B3391" s="23">
        <v>1320.8</v>
      </c>
      <c r="C3391" s="23">
        <v>70.484999999999999</v>
      </c>
    </row>
    <row r="3392" spans="1:3" x14ac:dyDescent="0.25">
      <c r="A3392">
        <v>3391</v>
      </c>
      <c r="B3392" s="23">
        <v>1320.8</v>
      </c>
      <c r="C3392" s="23">
        <v>68.596999999999994</v>
      </c>
    </row>
    <row r="3393" spans="1:3" x14ac:dyDescent="0.25">
      <c r="A3393">
        <v>3392</v>
      </c>
      <c r="B3393" s="23">
        <v>1320.8</v>
      </c>
      <c r="C3393" s="23">
        <v>68.088999999999999</v>
      </c>
    </row>
    <row r="3394" spans="1:3" x14ac:dyDescent="0.25">
      <c r="A3394">
        <v>3393</v>
      </c>
      <c r="B3394" s="23">
        <v>1320.7952740000001</v>
      </c>
      <c r="C3394" s="23">
        <v>66.641000000000005</v>
      </c>
    </row>
    <row r="3395" spans="1:3" x14ac:dyDescent="0.25">
      <c r="A3395">
        <v>3394</v>
      </c>
      <c r="B3395" s="23">
        <v>1320.769</v>
      </c>
      <c r="C3395" s="23">
        <v>64.206000000000003</v>
      </c>
    </row>
    <row r="3396" spans="1:3" x14ac:dyDescent="0.25">
      <c r="A3396">
        <v>3395</v>
      </c>
      <c r="B3396" s="23">
        <v>1320.721</v>
      </c>
      <c r="C3396" s="23">
        <v>62.895000000000003</v>
      </c>
    </row>
    <row r="3397" spans="1:3" x14ac:dyDescent="0.25">
      <c r="A3397">
        <v>3396</v>
      </c>
      <c r="B3397" s="23">
        <v>1320.587628</v>
      </c>
      <c r="C3397" s="23">
        <v>61.040999999999997</v>
      </c>
    </row>
    <row r="3398" spans="1:3" x14ac:dyDescent="0.25">
      <c r="A3398">
        <v>3397</v>
      </c>
      <c r="B3398" s="23">
        <v>1320.566315</v>
      </c>
      <c r="C3398" s="23">
        <v>60.69</v>
      </c>
    </row>
    <row r="3399" spans="1:3" x14ac:dyDescent="0.25">
      <c r="A3399">
        <v>3398</v>
      </c>
      <c r="B3399" s="23">
        <v>1320.2584119999999</v>
      </c>
      <c r="C3399" s="23">
        <v>60.503999999999998</v>
      </c>
    </row>
    <row r="3400" spans="1:3" x14ac:dyDescent="0.25">
      <c r="A3400">
        <v>3399</v>
      </c>
      <c r="B3400" s="23">
        <v>1320</v>
      </c>
      <c r="C3400" s="23">
        <v>59.588999999999999</v>
      </c>
    </row>
    <row r="3401" spans="1:3" x14ac:dyDescent="0.25">
      <c r="A3401">
        <v>3400</v>
      </c>
      <c r="B3401" s="23">
        <v>1319.2</v>
      </c>
      <c r="C3401" s="23">
        <v>57.165999999999997</v>
      </c>
    </row>
    <row r="3402" spans="1:3" x14ac:dyDescent="0.25">
      <c r="A3402">
        <v>3401</v>
      </c>
      <c r="B3402" s="23">
        <v>1319.2</v>
      </c>
      <c r="C3402" s="23">
        <v>56.94</v>
      </c>
    </row>
    <row r="3403" spans="1:3" x14ac:dyDescent="0.25">
      <c r="A3403">
        <v>3402</v>
      </c>
      <c r="B3403" s="23">
        <v>1319.1596139999999</v>
      </c>
      <c r="C3403" s="23">
        <v>52.582000000000001</v>
      </c>
    </row>
    <row r="3404" spans="1:3" x14ac:dyDescent="0.25">
      <c r="A3404">
        <v>3403</v>
      </c>
      <c r="B3404" s="23">
        <v>1319.1279999999999</v>
      </c>
      <c r="C3404" s="23">
        <v>52.241</v>
      </c>
    </row>
    <row r="3405" spans="1:3" x14ac:dyDescent="0.25">
      <c r="A3405">
        <v>3404</v>
      </c>
      <c r="B3405" s="23">
        <v>1318.850017</v>
      </c>
      <c r="C3405" s="23">
        <v>52.063000000000002</v>
      </c>
    </row>
    <row r="3406" spans="1:3" x14ac:dyDescent="0.25">
      <c r="A3406">
        <v>3405</v>
      </c>
      <c r="B3406" s="23">
        <v>1318.787372</v>
      </c>
      <c r="C3406" s="23">
        <v>51.692999999999998</v>
      </c>
    </row>
    <row r="3407" spans="1:3" x14ac:dyDescent="0.25">
      <c r="A3407">
        <v>3406</v>
      </c>
      <c r="B3407" s="23">
        <v>1318.43</v>
      </c>
      <c r="C3407" s="23">
        <v>51.366</v>
      </c>
    </row>
    <row r="3408" spans="1:3" x14ac:dyDescent="0.25">
      <c r="A3408">
        <v>3407</v>
      </c>
      <c r="B3408" s="23">
        <v>1318.4</v>
      </c>
      <c r="C3408" s="23">
        <v>50.97</v>
      </c>
    </row>
    <row r="3409" spans="1:3" x14ac:dyDescent="0.25">
      <c r="A3409">
        <v>3408</v>
      </c>
      <c r="B3409" s="23">
        <v>1318.4</v>
      </c>
      <c r="C3409" s="23">
        <v>49.588000000000001</v>
      </c>
    </row>
    <row r="3410" spans="1:3" x14ac:dyDescent="0.25">
      <c r="A3410">
        <v>3409</v>
      </c>
      <c r="B3410" s="23">
        <v>1318.4</v>
      </c>
      <c r="C3410" s="23">
        <v>49.012</v>
      </c>
    </row>
    <row r="3411" spans="1:3" x14ac:dyDescent="0.25">
      <c r="A3411">
        <v>3410</v>
      </c>
      <c r="B3411" s="23">
        <v>1318.0518509999999</v>
      </c>
      <c r="C3411" s="23">
        <v>48.531999999999996</v>
      </c>
    </row>
    <row r="3412" spans="1:3" x14ac:dyDescent="0.25">
      <c r="A3412">
        <v>3411</v>
      </c>
      <c r="B3412" s="23">
        <v>1317.8869999999999</v>
      </c>
      <c r="C3412" s="23">
        <v>47.887999999999998</v>
      </c>
    </row>
    <row r="3413" spans="1:3" x14ac:dyDescent="0.25">
      <c r="A3413">
        <v>3412</v>
      </c>
      <c r="B3413" s="23">
        <v>1317.824893</v>
      </c>
      <c r="C3413" s="23">
        <v>47.305999999999997</v>
      </c>
    </row>
    <row r="3414" spans="1:3" x14ac:dyDescent="0.25">
      <c r="A3414">
        <v>3413</v>
      </c>
      <c r="B3414" s="23">
        <v>1317.824893</v>
      </c>
      <c r="C3414" s="23">
        <v>47.13</v>
      </c>
    </row>
    <row r="3415" spans="1:3" x14ac:dyDescent="0.25">
      <c r="A3415">
        <v>3414</v>
      </c>
      <c r="B3415" s="23">
        <v>1317.7149999999999</v>
      </c>
      <c r="C3415" s="23">
        <v>47.122</v>
      </c>
    </row>
    <row r="3416" spans="1:3" x14ac:dyDescent="0.25">
      <c r="A3416">
        <v>3415</v>
      </c>
      <c r="B3416" s="23">
        <v>1317.6871550000001</v>
      </c>
      <c r="C3416" s="23">
        <v>46.301000000000002</v>
      </c>
    </row>
    <row r="3417" spans="1:3" x14ac:dyDescent="0.25">
      <c r="A3417">
        <v>3416</v>
      </c>
      <c r="B3417" s="23">
        <v>1317.5709999999999</v>
      </c>
      <c r="C3417" s="23">
        <v>45.122</v>
      </c>
    </row>
    <row r="3418" spans="1:3" x14ac:dyDescent="0.25">
      <c r="A3418">
        <v>3417</v>
      </c>
      <c r="B3418" s="23">
        <v>1317.5070000000001</v>
      </c>
      <c r="C3418" s="23">
        <v>45.027000000000001</v>
      </c>
    </row>
    <row r="3419" spans="1:3" x14ac:dyDescent="0.25">
      <c r="A3419">
        <v>3418</v>
      </c>
      <c r="B3419" s="23">
        <v>1317.2719999999999</v>
      </c>
      <c r="C3419" s="23">
        <v>43.212000000000003</v>
      </c>
    </row>
    <row r="3420" spans="1:3" x14ac:dyDescent="0.25">
      <c r="A3420">
        <v>3419</v>
      </c>
      <c r="B3420" s="23">
        <v>1317.2460000000001</v>
      </c>
      <c r="C3420" s="23">
        <v>42.265999999999998</v>
      </c>
    </row>
    <row r="3421" spans="1:3" x14ac:dyDescent="0.25">
      <c r="A3421">
        <v>3420</v>
      </c>
      <c r="B3421" s="23">
        <v>1317.153</v>
      </c>
      <c r="C3421" s="23">
        <v>41.878999999999998</v>
      </c>
    </row>
    <row r="3422" spans="1:3" x14ac:dyDescent="0.25">
      <c r="A3422">
        <v>3421</v>
      </c>
      <c r="B3422" s="23">
        <v>1316.9102170000001</v>
      </c>
      <c r="C3422" s="23">
        <v>41.142000000000003</v>
      </c>
    </row>
    <row r="3423" spans="1:3" x14ac:dyDescent="0.25">
      <c r="A3423">
        <v>3422</v>
      </c>
      <c r="B3423" s="23">
        <v>1316.835</v>
      </c>
      <c r="C3423" s="23">
        <v>41.040999999999997</v>
      </c>
    </row>
    <row r="3424" spans="1:3" x14ac:dyDescent="0.25">
      <c r="A3424">
        <v>3423</v>
      </c>
      <c r="B3424" s="23">
        <v>1316.8</v>
      </c>
      <c r="C3424" s="23">
        <v>39.493000000000002</v>
      </c>
    </row>
    <row r="3425" spans="1:3" x14ac:dyDescent="0.25">
      <c r="A3425">
        <v>3424</v>
      </c>
      <c r="B3425" s="23">
        <v>1316.5329999999999</v>
      </c>
      <c r="C3425" s="23">
        <v>34.328000000000003</v>
      </c>
    </row>
    <row r="3426" spans="1:3" x14ac:dyDescent="0.25">
      <c r="A3426">
        <v>3425</v>
      </c>
      <c r="B3426" s="23">
        <v>1316</v>
      </c>
      <c r="C3426" s="23">
        <v>33.841000000000001</v>
      </c>
    </row>
    <row r="3427" spans="1:3" x14ac:dyDescent="0.25">
      <c r="A3427">
        <v>3426</v>
      </c>
      <c r="B3427" s="23">
        <v>1315.888295</v>
      </c>
      <c r="C3427" s="23">
        <v>33.817</v>
      </c>
    </row>
    <row r="3428" spans="1:3" x14ac:dyDescent="0.25">
      <c r="A3428">
        <v>3427</v>
      </c>
      <c r="B3428" s="23">
        <v>1315.888295</v>
      </c>
      <c r="C3428" s="23">
        <v>33.756</v>
      </c>
    </row>
    <row r="3429" spans="1:3" x14ac:dyDescent="0.25">
      <c r="A3429">
        <v>3428</v>
      </c>
      <c r="B3429" s="23">
        <v>1315.8452910000001</v>
      </c>
      <c r="C3429" s="23">
        <v>32.381</v>
      </c>
    </row>
    <row r="3430" spans="1:3" x14ac:dyDescent="0.25">
      <c r="A3430">
        <v>3429</v>
      </c>
      <c r="B3430" s="23">
        <v>1315.804838</v>
      </c>
      <c r="C3430" s="23">
        <v>30.763999999999999</v>
      </c>
    </row>
    <row r="3431" spans="1:3" x14ac:dyDescent="0.25">
      <c r="A3431">
        <v>3430</v>
      </c>
      <c r="B3431" s="23">
        <v>1315.4864769999999</v>
      </c>
      <c r="C3431" s="23">
        <v>30.692</v>
      </c>
    </row>
    <row r="3432" spans="1:3" x14ac:dyDescent="0.25">
      <c r="A3432">
        <v>3431</v>
      </c>
      <c r="B3432" s="23">
        <v>1315.4264929999999</v>
      </c>
      <c r="C3432" s="23">
        <v>30.672999999999998</v>
      </c>
    </row>
    <row r="3433" spans="1:3" x14ac:dyDescent="0.25">
      <c r="A3433">
        <v>3432</v>
      </c>
      <c r="B3433" s="23">
        <v>1315.27</v>
      </c>
      <c r="C3433" s="23">
        <v>30.495999999999999</v>
      </c>
    </row>
    <row r="3434" spans="1:3" x14ac:dyDescent="0.25">
      <c r="A3434">
        <v>3433</v>
      </c>
      <c r="B3434" s="23">
        <v>1315.2639999999999</v>
      </c>
      <c r="C3434" s="23">
        <v>30.465</v>
      </c>
    </row>
    <row r="3435" spans="1:3" x14ac:dyDescent="0.25">
      <c r="A3435">
        <v>3434</v>
      </c>
      <c r="B3435" s="23">
        <v>1315.2</v>
      </c>
      <c r="C3435" s="23">
        <v>29.231999999999999</v>
      </c>
    </row>
    <row r="3436" spans="1:3" x14ac:dyDescent="0.25">
      <c r="A3436">
        <v>3435</v>
      </c>
      <c r="B3436" s="23">
        <v>1315.1215790000001</v>
      </c>
      <c r="C3436" s="23">
        <v>28.309000000000001</v>
      </c>
    </row>
    <row r="3437" spans="1:3" x14ac:dyDescent="0.25">
      <c r="A3437">
        <v>3436</v>
      </c>
      <c r="B3437" s="23">
        <v>1315.1097709999999</v>
      </c>
      <c r="C3437" s="23">
        <v>28.215</v>
      </c>
    </row>
    <row r="3438" spans="1:3" x14ac:dyDescent="0.25">
      <c r="A3438">
        <v>3437</v>
      </c>
      <c r="B3438" s="23">
        <v>1315.070465</v>
      </c>
      <c r="C3438" s="23">
        <v>27.51</v>
      </c>
    </row>
    <row r="3439" spans="1:3" x14ac:dyDescent="0.25">
      <c r="A3439">
        <v>3438</v>
      </c>
      <c r="B3439" s="23">
        <v>1314.6379999999999</v>
      </c>
      <c r="C3439" s="23">
        <v>25.167000000000002</v>
      </c>
    </row>
    <row r="3440" spans="1:3" x14ac:dyDescent="0.25">
      <c r="A3440">
        <v>3439</v>
      </c>
      <c r="B3440" s="23">
        <v>1314.6289320000001</v>
      </c>
      <c r="C3440" s="23">
        <v>22.640999999999998</v>
      </c>
    </row>
    <row r="3441" spans="1:3" x14ac:dyDescent="0.25">
      <c r="A3441">
        <v>3440</v>
      </c>
      <c r="B3441" s="23">
        <v>1314.6220000000001</v>
      </c>
      <c r="C3441" s="23">
        <v>20.927</v>
      </c>
    </row>
    <row r="3442" spans="1:3" x14ac:dyDescent="0.25">
      <c r="A3442">
        <v>3441</v>
      </c>
      <c r="B3442" s="23">
        <v>1314.5968829999999</v>
      </c>
      <c r="C3442" s="23">
        <v>20.393000000000001</v>
      </c>
    </row>
    <row r="3443" spans="1:3" x14ac:dyDescent="0.25">
      <c r="A3443">
        <v>3442</v>
      </c>
      <c r="B3443" s="23">
        <v>1314.4</v>
      </c>
      <c r="C3443" s="23">
        <v>20.241</v>
      </c>
    </row>
    <row r="3444" spans="1:3" x14ac:dyDescent="0.25">
      <c r="A3444">
        <v>3443</v>
      </c>
      <c r="B3444" s="23">
        <v>1314.399075</v>
      </c>
      <c r="C3444" s="23">
        <v>19.777000000000001</v>
      </c>
    </row>
    <row r="3445" spans="1:3" x14ac:dyDescent="0.25">
      <c r="A3445">
        <v>3444</v>
      </c>
      <c r="B3445" s="23">
        <v>1314.374251</v>
      </c>
      <c r="C3445" s="23">
        <v>19.494</v>
      </c>
    </row>
    <row r="3446" spans="1:3" x14ac:dyDescent="0.25">
      <c r="A3446">
        <v>3445</v>
      </c>
      <c r="B3446" s="23">
        <v>1314.2329999999999</v>
      </c>
      <c r="C3446" s="23">
        <v>17.841000000000001</v>
      </c>
    </row>
    <row r="3447" spans="1:3" x14ac:dyDescent="0.25">
      <c r="A3447">
        <v>3446</v>
      </c>
      <c r="B3447" s="23">
        <v>1314.143</v>
      </c>
      <c r="C3447" s="23">
        <v>15.15</v>
      </c>
    </row>
    <row r="3448" spans="1:3" x14ac:dyDescent="0.25">
      <c r="A3448">
        <v>3447</v>
      </c>
      <c r="B3448" s="23">
        <v>1314.0021750000001</v>
      </c>
      <c r="C3448" s="23">
        <v>13.840999999999999</v>
      </c>
    </row>
    <row r="3449" spans="1:3" x14ac:dyDescent="0.25">
      <c r="A3449">
        <v>3448</v>
      </c>
      <c r="B3449" s="23">
        <v>1313.9908620000001</v>
      </c>
      <c r="C3449" s="23">
        <v>13.752000000000001</v>
      </c>
    </row>
    <row r="3450" spans="1:3" x14ac:dyDescent="0.25">
      <c r="A3450">
        <v>3449</v>
      </c>
      <c r="B3450" s="23">
        <v>1313.7270000000001</v>
      </c>
      <c r="C3450" s="23">
        <v>11.749000000000001</v>
      </c>
    </row>
    <row r="3451" spans="1:3" x14ac:dyDescent="0.25">
      <c r="A3451">
        <v>3450</v>
      </c>
      <c r="B3451" s="23">
        <v>1313.638731</v>
      </c>
      <c r="C3451" s="23">
        <v>10.72</v>
      </c>
    </row>
    <row r="3452" spans="1:3" x14ac:dyDescent="0.25">
      <c r="A3452">
        <v>3451</v>
      </c>
      <c r="B3452" s="23">
        <v>1313.6</v>
      </c>
      <c r="C3452" s="23">
        <v>10.315</v>
      </c>
    </row>
    <row r="3453" spans="1:3" x14ac:dyDescent="0.25">
      <c r="A3453">
        <v>3452</v>
      </c>
      <c r="B3453" s="23">
        <v>1313.6</v>
      </c>
      <c r="C3453" s="23">
        <v>10.116</v>
      </c>
    </row>
    <row r="3454" spans="1:3" x14ac:dyDescent="0.25">
      <c r="A3454">
        <v>3453</v>
      </c>
      <c r="B3454" s="23">
        <v>1313.6</v>
      </c>
      <c r="C3454" s="23">
        <v>9.952</v>
      </c>
    </row>
    <row r="3455" spans="1:3" x14ac:dyDescent="0.25">
      <c r="A3455">
        <v>3454</v>
      </c>
      <c r="B3455" s="23">
        <v>1313.6</v>
      </c>
      <c r="C3455" s="23">
        <v>9.8879999999999999</v>
      </c>
    </row>
    <row r="3456" spans="1:3" x14ac:dyDescent="0.25">
      <c r="A3456">
        <v>3455</v>
      </c>
      <c r="B3456" s="23">
        <v>1313.4059999999999</v>
      </c>
      <c r="C3456" s="23">
        <v>9.83</v>
      </c>
    </row>
    <row r="3457" spans="1:3" x14ac:dyDescent="0.25">
      <c r="A3457">
        <v>3456</v>
      </c>
      <c r="B3457" s="23">
        <v>1313.3620000000001</v>
      </c>
      <c r="C3457" s="23">
        <v>8.8789999999999996</v>
      </c>
    </row>
    <row r="3458" spans="1:3" x14ac:dyDescent="0.25">
      <c r="A3458">
        <v>3457</v>
      </c>
      <c r="B3458" s="23">
        <v>1313.2717990000001</v>
      </c>
      <c r="C3458" s="23">
        <v>8.6120000000000001</v>
      </c>
    </row>
    <row r="3459" spans="1:3" x14ac:dyDescent="0.25">
      <c r="A3459">
        <v>3458</v>
      </c>
      <c r="B3459" s="23">
        <v>1313.251</v>
      </c>
      <c r="C3459" s="23">
        <v>8.3209999999999997</v>
      </c>
    </row>
    <row r="3460" spans="1:3" x14ac:dyDescent="0.25">
      <c r="A3460">
        <v>3459</v>
      </c>
      <c r="B3460" s="23">
        <v>1313.0255259999999</v>
      </c>
      <c r="C3460" s="23">
        <v>6.9560000000000004</v>
      </c>
    </row>
    <row r="3461" spans="1:3" x14ac:dyDescent="0.25">
      <c r="A3461">
        <v>3460</v>
      </c>
      <c r="B3461" s="23">
        <v>1312.8</v>
      </c>
      <c r="C3461" s="23">
        <v>6.657</v>
      </c>
    </row>
    <row r="3462" spans="1:3" x14ac:dyDescent="0.25">
      <c r="A3462">
        <v>3461</v>
      </c>
      <c r="B3462" s="23">
        <v>1312.8</v>
      </c>
      <c r="C3462" s="23">
        <v>5.8689999999999998</v>
      </c>
    </row>
    <row r="3463" spans="1:3" x14ac:dyDescent="0.25">
      <c r="A3463">
        <v>3462</v>
      </c>
      <c r="B3463" s="23">
        <v>1312.8</v>
      </c>
      <c r="C3463" s="23">
        <v>5.1109999999999998</v>
      </c>
    </row>
    <row r="3464" spans="1:3" x14ac:dyDescent="0.25">
      <c r="A3464">
        <v>3463</v>
      </c>
      <c r="B3464" s="23">
        <v>1312.8</v>
      </c>
      <c r="C3464" s="23">
        <v>4.8760000000000003</v>
      </c>
    </row>
    <row r="3465" spans="1:3" x14ac:dyDescent="0.25">
      <c r="A3465">
        <v>3464</v>
      </c>
      <c r="B3465" s="23">
        <v>1312.5903719999999</v>
      </c>
      <c r="C3465" s="23">
        <v>4.2699999999999996</v>
      </c>
    </row>
    <row r="3466" spans="1:3" x14ac:dyDescent="0.25">
      <c r="A3466">
        <v>3465</v>
      </c>
      <c r="B3466" s="23">
        <v>1312.509</v>
      </c>
      <c r="C3466" s="23">
        <v>4.2409999999999997</v>
      </c>
    </row>
    <row r="3467" spans="1:3" x14ac:dyDescent="0.25">
      <c r="A3467">
        <v>3466</v>
      </c>
      <c r="B3467" s="23">
        <v>1312.4559999999999</v>
      </c>
      <c r="C3467" s="23">
        <v>4.194</v>
      </c>
    </row>
    <row r="3468" spans="1:3" x14ac:dyDescent="0.25">
      <c r="A3468">
        <v>3467</v>
      </c>
      <c r="B3468" s="23">
        <v>1312.2971460000001</v>
      </c>
      <c r="C3468" s="23">
        <v>3.5960000000000001</v>
      </c>
    </row>
    <row r="3469" spans="1:3" x14ac:dyDescent="0.25">
      <c r="A3469">
        <v>3468</v>
      </c>
      <c r="B3469" s="23">
        <v>1312.2485879999999</v>
      </c>
      <c r="C3469" s="23">
        <v>3.41</v>
      </c>
    </row>
    <row r="3470" spans="1:3" x14ac:dyDescent="0.25">
      <c r="A3470">
        <v>3469</v>
      </c>
      <c r="B3470" s="23">
        <v>1312.2485879999999</v>
      </c>
      <c r="C3470" s="23">
        <v>3.1040000000000001</v>
      </c>
    </row>
    <row r="3471" spans="1:3" x14ac:dyDescent="0.25">
      <c r="A3471">
        <v>3470</v>
      </c>
      <c r="B3471" s="23">
        <v>1312</v>
      </c>
      <c r="C3471" s="23">
        <v>2.9359999999999999</v>
      </c>
    </row>
    <row r="3472" spans="1:3" x14ac:dyDescent="0.25">
      <c r="A3472">
        <v>3471</v>
      </c>
      <c r="B3472" s="23">
        <v>1311.4949999999999</v>
      </c>
      <c r="C3472" s="23">
        <v>2.86</v>
      </c>
    </row>
    <row r="3473" spans="1:3" x14ac:dyDescent="0.25">
      <c r="A3473">
        <v>3472</v>
      </c>
      <c r="B3473" s="23">
        <v>1311.4301</v>
      </c>
      <c r="C3473" s="23">
        <v>2.641</v>
      </c>
    </row>
    <row r="3474" spans="1:3" x14ac:dyDescent="0.25">
      <c r="A3474">
        <v>3473</v>
      </c>
      <c r="B3474" s="23">
        <v>1311.2</v>
      </c>
      <c r="C3474" s="23">
        <v>2.1930000000000001</v>
      </c>
    </row>
    <row r="3475" spans="1:3" x14ac:dyDescent="0.25">
      <c r="A3475">
        <v>3474</v>
      </c>
      <c r="B3475" s="23">
        <v>1311.2</v>
      </c>
      <c r="C3475" s="23">
        <v>1.2070000000000001</v>
      </c>
    </row>
    <row r="3476" spans="1:3" x14ac:dyDescent="0.25">
      <c r="A3476">
        <v>3475</v>
      </c>
      <c r="B3476" s="23">
        <v>1310.4000000000001</v>
      </c>
      <c r="C3476" s="23">
        <v>0</v>
      </c>
    </row>
    <row r="3477" spans="1:3" x14ac:dyDescent="0.25">
      <c r="A3477">
        <v>3476</v>
      </c>
      <c r="B3477" s="23">
        <v>1310.4000000000001</v>
      </c>
      <c r="C3477" s="23">
        <v>0</v>
      </c>
    </row>
    <row r="3478" spans="1:3" x14ac:dyDescent="0.25">
      <c r="A3478">
        <v>3477</v>
      </c>
      <c r="B3478" s="23">
        <v>1310.4000000000001</v>
      </c>
      <c r="C3478" s="23">
        <v>0</v>
      </c>
    </row>
    <row r="3479" spans="1:3" x14ac:dyDescent="0.25">
      <c r="A3479">
        <v>3478</v>
      </c>
      <c r="B3479" s="23">
        <v>1310.4000000000001</v>
      </c>
      <c r="C3479" s="23">
        <v>0</v>
      </c>
    </row>
    <row r="3480" spans="1:3" x14ac:dyDescent="0.25">
      <c r="A3480">
        <v>3479</v>
      </c>
      <c r="B3480" s="23">
        <v>1310.1634859999999</v>
      </c>
      <c r="C3480" s="23">
        <v>0</v>
      </c>
    </row>
    <row r="3481" spans="1:3" x14ac:dyDescent="0.25">
      <c r="A3481">
        <v>3480</v>
      </c>
      <c r="B3481" s="23">
        <v>1310.147997</v>
      </c>
      <c r="C3481" s="23">
        <v>0</v>
      </c>
    </row>
    <row r="3482" spans="1:3" x14ac:dyDescent="0.25">
      <c r="A3482">
        <v>3481</v>
      </c>
      <c r="B3482" s="23">
        <v>1310.0329999999999</v>
      </c>
      <c r="C3482" s="23">
        <v>0</v>
      </c>
    </row>
    <row r="3483" spans="1:3" x14ac:dyDescent="0.25">
      <c r="A3483">
        <v>3482</v>
      </c>
      <c r="B3483" s="23">
        <v>1309.9177729999999</v>
      </c>
      <c r="C3483" s="23">
        <v>0</v>
      </c>
    </row>
    <row r="3484" spans="1:3" x14ac:dyDescent="0.25">
      <c r="A3484">
        <v>3483</v>
      </c>
      <c r="B3484" s="23">
        <v>1309.9177729999999</v>
      </c>
      <c r="C3484" s="23">
        <v>0</v>
      </c>
    </row>
    <row r="3485" spans="1:3" x14ac:dyDescent="0.25">
      <c r="A3485">
        <v>3484</v>
      </c>
      <c r="B3485" s="23">
        <v>1309.843177</v>
      </c>
      <c r="C3485" s="23">
        <v>0</v>
      </c>
    </row>
    <row r="3486" spans="1:3" x14ac:dyDescent="0.25">
      <c r="A3486">
        <v>3485</v>
      </c>
      <c r="B3486" s="23">
        <v>1309.7798660000001</v>
      </c>
      <c r="C3486" s="23">
        <v>0</v>
      </c>
    </row>
    <row r="3487" spans="1:3" x14ac:dyDescent="0.25">
      <c r="A3487">
        <v>3486</v>
      </c>
      <c r="B3487" s="23">
        <v>1309.4417510000001</v>
      </c>
      <c r="C3487" s="23">
        <v>0</v>
      </c>
    </row>
    <row r="3488" spans="1:3" x14ac:dyDescent="0.25">
      <c r="A3488">
        <v>3487</v>
      </c>
      <c r="B3488" s="23">
        <v>1309.3900000000001</v>
      </c>
      <c r="C3488" s="23">
        <v>0</v>
      </c>
    </row>
    <row r="3489" spans="1:3" x14ac:dyDescent="0.25">
      <c r="A3489">
        <v>3488</v>
      </c>
      <c r="B3489" s="23">
        <v>1309.3610000000001</v>
      </c>
      <c r="C3489" s="23">
        <v>0</v>
      </c>
    </row>
    <row r="3490" spans="1:3" x14ac:dyDescent="0.25">
      <c r="A3490">
        <v>3489</v>
      </c>
      <c r="B3490" s="23">
        <v>1309.2256110000001</v>
      </c>
      <c r="C3490" s="23">
        <v>0</v>
      </c>
    </row>
    <row r="3491" spans="1:3" x14ac:dyDescent="0.25">
      <c r="A3491">
        <v>3490</v>
      </c>
      <c r="B3491" s="23">
        <v>1308.9971009999999</v>
      </c>
      <c r="C3491" s="23">
        <v>0</v>
      </c>
    </row>
    <row r="3492" spans="1:3" x14ac:dyDescent="0.25">
      <c r="A3492">
        <v>3491</v>
      </c>
      <c r="B3492" s="23">
        <v>1308.846002</v>
      </c>
      <c r="C3492" s="23">
        <v>0</v>
      </c>
    </row>
    <row r="3493" spans="1:3" x14ac:dyDescent="0.25">
      <c r="A3493">
        <v>3492</v>
      </c>
      <c r="B3493" s="23">
        <v>1308.643</v>
      </c>
      <c r="C3493" s="23">
        <v>0</v>
      </c>
    </row>
    <row r="3494" spans="1:3" x14ac:dyDescent="0.25">
      <c r="A3494">
        <v>3493</v>
      </c>
      <c r="B3494" s="23">
        <v>1308.586</v>
      </c>
      <c r="C3494" s="23">
        <v>0</v>
      </c>
    </row>
    <row r="3495" spans="1:3" x14ac:dyDescent="0.25">
      <c r="A3495">
        <v>3494</v>
      </c>
      <c r="B3495" s="23">
        <v>1308.4900909999999</v>
      </c>
      <c r="C3495" s="23">
        <v>0</v>
      </c>
    </row>
    <row r="3496" spans="1:3" x14ac:dyDescent="0.25">
      <c r="A3496">
        <v>3495</v>
      </c>
      <c r="B3496" s="23">
        <v>1308.3119999999999</v>
      </c>
      <c r="C3496" s="23">
        <v>0</v>
      </c>
    </row>
    <row r="3497" spans="1:3" x14ac:dyDescent="0.25">
      <c r="A3497">
        <v>3496</v>
      </c>
      <c r="B3497" s="23">
        <v>1308.2249999999999</v>
      </c>
      <c r="C3497" s="23">
        <v>0</v>
      </c>
    </row>
    <row r="3498" spans="1:3" x14ac:dyDescent="0.25">
      <c r="A3498">
        <v>3497</v>
      </c>
      <c r="B3498" s="23">
        <v>1308</v>
      </c>
      <c r="C3498" s="23">
        <v>0</v>
      </c>
    </row>
    <row r="3499" spans="1:3" x14ac:dyDescent="0.25">
      <c r="A3499">
        <v>3498</v>
      </c>
      <c r="B3499" s="23">
        <v>1307.932016</v>
      </c>
      <c r="C3499" s="23">
        <v>0</v>
      </c>
    </row>
    <row r="3500" spans="1:3" x14ac:dyDescent="0.25">
      <c r="A3500">
        <v>3499</v>
      </c>
      <c r="B3500" s="23">
        <v>1307.693581</v>
      </c>
      <c r="C3500" s="23">
        <v>0</v>
      </c>
    </row>
    <row r="3501" spans="1:3" x14ac:dyDescent="0.25">
      <c r="A3501">
        <v>3500</v>
      </c>
      <c r="B3501" s="23">
        <v>1307.693</v>
      </c>
      <c r="C3501" s="23">
        <v>0</v>
      </c>
    </row>
    <row r="3502" spans="1:3" x14ac:dyDescent="0.25">
      <c r="A3502">
        <v>3501</v>
      </c>
      <c r="B3502" s="23">
        <v>1307.4760000000001</v>
      </c>
      <c r="C3502" s="23">
        <v>0</v>
      </c>
    </row>
    <row r="3503" spans="1:3" x14ac:dyDescent="0.25">
      <c r="A3503">
        <v>3502</v>
      </c>
      <c r="B3503" s="23">
        <v>1307.376698</v>
      </c>
      <c r="C3503" s="23">
        <v>0</v>
      </c>
    </row>
    <row r="3504" spans="1:3" x14ac:dyDescent="0.25">
      <c r="A3504">
        <v>3503</v>
      </c>
      <c r="B3504" s="23">
        <v>1307.276423</v>
      </c>
      <c r="C3504" s="23">
        <v>0</v>
      </c>
    </row>
    <row r="3505" spans="1:3" x14ac:dyDescent="0.25">
      <c r="A3505">
        <v>3504</v>
      </c>
      <c r="B3505" s="23">
        <v>1307.2</v>
      </c>
      <c r="C3505" s="23">
        <v>0</v>
      </c>
    </row>
    <row r="3506" spans="1:3" x14ac:dyDescent="0.25">
      <c r="A3506">
        <v>3505</v>
      </c>
      <c r="B3506" s="23">
        <v>1306.7682600000001</v>
      </c>
      <c r="C3506" s="23">
        <v>0</v>
      </c>
    </row>
    <row r="3507" spans="1:3" x14ac:dyDescent="0.25">
      <c r="A3507">
        <v>3506</v>
      </c>
      <c r="B3507" s="23">
        <v>1306.725533</v>
      </c>
      <c r="C3507" s="23">
        <v>0</v>
      </c>
    </row>
    <row r="3508" spans="1:3" x14ac:dyDescent="0.25">
      <c r="A3508">
        <v>3507</v>
      </c>
      <c r="B3508" s="23">
        <v>1306.374</v>
      </c>
      <c r="C3508" s="23">
        <v>0</v>
      </c>
    </row>
    <row r="3509" spans="1:3" x14ac:dyDescent="0.25">
      <c r="A3509">
        <v>3508</v>
      </c>
      <c r="B3509" s="23">
        <v>1306.283531</v>
      </c>
      <c r="C3509" s="23">
        <v>0</v>
      </c>
    </row>
    <row r="3510" spans="1:3" x14ac:dyDescent="0.25">
      <c r="A3510">
        <v>3509</v>
      </c>
      <c r="B3510" s="23">
        <v>1306.162</v>
      </c>
      <c r="C3510" s="23">
        <v>0</v>
      </c>
    </row>
    <row r="3511" spans="1:3" x14ac:dyDescent="0.25">
      <c r="A3511">
        <v>3510</v>
      </c>
      <c r="B3511" s="23">
        <v>1306.0832660000001</v>
      </c>
      <c r="C3511" s="23">
        <v>0</v>
      </c>
    </row>
    <row r="3512" spans="1:3" x14ac:dyDescent="0.25">
      <c r="A3512">
        <v>3511</v>
      </c>
      <c r="B3512" s="23">
        <v>1306.039</v>
      </c>
      <c r="C3512" s="23">
        <v>0</v>
      </c>
    </row>
    <row r="3513" spans="1:3" x14ac:dyDescent="0.25">
      <c r="A3513">
        <v>3512</v>
      </c>
      <c r="B3513" s="23">
        <v>1306.0330819999999</v>
      </c>
      <c r="C3513" s="23">
        <v>0</v>
      </c>
    </row>
    <row r="3514" spans="1:3" x14ac:dyDescent="0.25">
      <c r="A3514">
        <v>3513</v>
      </c>
      <c r="B3514" s="23">
        <v>1306.0330819999999</v>
      </c>
      <c r="C3514" s="23">
        <v>0</v>
      </c>
    </row>
    <row r="3515" spans="1:3" x14ac:dyDescent="0.25">
      <c r="A3515">
        <v>3514</v>
      </c>
      <c r="B3515" s="23">
        <v>1305.5999999999999</v>
      </c>
      <c r="C3515" s="23">
        <v>0</v>
      </c>
    </row>
    <row r="3516" spans="1:3" x14ac:dyDescent="0.25">
      <c r="A3516">
        <v>3515</v>
      </c>
      <c r="B3516" s="23">
        <v>1305.5999999999999</v>
      </c>
      <c r="C3516" s="23">
        <v>0</v>
      </c>
    </row>
    <row r="3517" spans="1:3" x14ac:dyDescent="0.25">
      <c r="A3517">
        <v>3516</v>
      </c>
      <c r="B3517" s="23">
        <v>1305.5999999999999</v>
      </c>
      <c r="C3517" s="23">
        <v>0</v>
      </c>
    </row>
    <row r="3518" spans="1:3" x14ac:dyDescent="0.25">
      <c r="A3518">
        <v>3517</v>
      </c>
      <c r="B3518" s="23">
        <v>1305.5999999999999</v>
      </c>
      <c r="C3518" s="23">
        <v>0</v>
      </c>
    </row>
    <row r="3519" spans="1:3" x14ac:dyDescent="0.25">
      <c r="A3519">
        <v>3518</v>
      </c>
      <c r="B3519" s="23">
        <v>1305.5480110000001</v>
      </c>
      <c r="C3519" s="23">
        <v>0</v>
      </c>
    </row>
    <row r="3520" spans="1:3" x14ac:dyDescent="0.25">
      <c r="A3520">
        <v>3519</v>
      </c>
      <c r="B3520" s="23">
        <v>1305.53</v>
      </c>
      <c r="C3520" s="23">
        <v>0</v>
      </c>
    </row>
    <row r="3521" spans="1:3" x14ac:dyDescent="0.25">
      <c r="A3521">
        <v>3520</v>
      </c>
      <c r="B3521" s="23">
        <v>1305.4949999999999</v>
      </c>
      <c r="C3521" s="23">
        <v>0</v>
      </c>
    </row>
    <row r="3522" spans="1:3" x14ac:dyDescent="0.25">
      <c r="A3522">
        <v>3521</v>
      </c>
      <c r="B3522" s="23">
        <v>1305.4770000000001</v>
      </c>
      <c r="C3522" s="23">
        <v>0</v>
      </c>
    </row>
    <row r="3523" spans="1:3" x14ac:dyDescent="0.25">
      <c r="A3523">
        <v>3522</v>
      </c>
      <c r="B3523" s="23">
        <v>1305.3589999999999</v>
      </c>
      <c r="C3523" s="23">
        <v>0</v>
      </c>
    </row>
    <row r="3524" spans="1:3" x14ac:dyDescent="0.25">
      <c r="A3524">
        <v>3523</v>
      </c>
      <c r="B3524" s="23">
        <v>1305.329</v>
      </c>
      <c r="C3524" s="23">
        <v>0</v>
      </c>
    </row>
    <row r="3525" spans="1:3" x14ac:dyDescent="0.25">
      <c r="A3525">
        <v>3524</v>
      </c>
      <c r="B3525" s="23">
        <v>1305.302917</v>
      </c>
      <c r="C3525" s="23">
        <v>0</v>
      </c>
    </row>
    <row r="3526" spans="1:3" x14ac:dyDescent="0.25">
      <c r="A3526">
        <v>3525</v>
      </c>
      <c r="B3526" s="23">
        <v>1304.8</v>
      </c>
      <c r="C3526" s="23">
        <v>0</v>
      </c>
    </row>
    <row r="3527" spans="1:3" x14ac:dyDescent="0.25">
      <c r="A3527">
        <v>3526</v>
      </c>
      <c r="B3527" s="23">
        <v>1304.8</v>
      </c>
      <c r="C3527" s="23">
        <v>0</v>
      </c>
    </row>
    <row r="3528" spans="1:3" x14ac:dyDescent="0.25">
      <c r="A3528">
        <v>3527</v>
      </c>
      <c r="B3528" s="23">
        <v>1304.8</v>
      </c>
      <c r="C3528" s="23">
        <v>0</v>
      </c>
    </row>
    <row r="3529" spans="1:3" x14ac:dyDescent="0.25">
      <c r="A3529">
        <v>3528</v>
      </c>
      <c r="B3529" s="23">
        <v>1304.6690000000001</v>
      </c>
      <c r="C3529" s="23">
        <v>0</v>
      </c>
    </row>
    <row r="3530" spans="1:3" x14ac:dyDescent="0.25">
      <c r="A3530">
        <v>3529</v>
      </c>
      <c r="B3530" s="23">
        <v>1304.5050530000001</v>
      </c>
      <c r="C3530" s="23">
        <v>0</v>
      </c>
    </row>
    <row r="3531" spans="1:3" x14ac:dyDescent="0.25">
      <c r="A3531">
        <v>3530</v>
      </c>
      <c r="B3531" s="23">
        <v>1304.438676</v>
      </c>
      <c r="C3531" s="23">
        <v>0</v>
      </c>
    </row>
    <row r="3532" spans="1:3" x14ac:dyDescent="0.25">
      <c r="A3532">
        <v>3531</v>
      </c>
      <c r="B3532" s="23">
        <v>1304</v>
      </c>
      <c r="C3532" s="23">
        <v>0</v>
      </c>
    </row>
    <row r="3533" spans="1:3" x14ac:dyDescent="0.25">
      <c r="A3533">
        <v>3532</v>
      </c>
      <c r="B3533" s="23">
        <v>1304</v>
      </c>
      <c r="C3533" s="23">
        <v>0</v>
      </c>
    </row>
    <row r="3534" spans="1:3" x14ac:dyDescent="0.25">
      <c r="A3534">
        <v>3533</v>
      </c>
      <c r="B3534" s="23">
        <v>1304</v>
      </c>
      <c r="C3534" s="23">
        <v>0</v>
      </c>
    </row>
    <row r="3535" spans="1:3" x14ac:dyDescent="0.25">
      <c r="A3535">
        <v>3534</v>
      </c>
      <c r="B3535" s="23">
        <v>1304</v>
      </c>
      <c r="C3535" s="23">
        <v>0</v>
      </c>
    </row>
    <row r="3536" spans="1:3" x14ac:dyDescent="0.25">
      <c r="A3536">
        <v>3535</v>
      </c>
      <c r="B3536" s="23">
        <v>1304</v>
      </c>
      <c r="C3536" s="23">
        <v>0</v>
      </c>
    </row>
    <row r="3537" spans="1:3" x14ac:dyDescent="0.25">
      <c r="A3537">
        <v>3536</v>
      </c>
      <c r="B3537" s="23">
        <v>1303.8879999999999</v>
      </c>
      <c r="C3537" s="23">
        <v>0</v>
      </c>
    </row>
    <row r="3538" spans="1:3" x14ac:dyDescent="0.25">
      <c r="A3538">
        <v>3537</v>
      </c>
      <c r="B3538" s="23">
        <v>1303.8019999999999</v>
      </c>
      <c r="C3538" s="23">
        <v>0</v>
      </c>
    </row>
    <row r="3539" spans="1:3" x14ac:dyDescent="0.25">
      <c r="A3539">
        <v>3538</v>
      </c>
      <c r="B3539" s="23">
        <v>1303.577</v>
      </c>
      <c r="C3539" s="23">
        <v>0</v>
      </c>
    </row>
    <row r="3540" spans="1:3" x14ac:dyDescent="0.25">
      <c r="A3540">
        <v>3539</v>
      </c>
      <c r="B3540" s="23">
        <v>1303.2</v>
      </c>
      <c r="C3540" s="23">
        <v>0</v>
      </c>
    </row>
    <row r="3541" spans="1:3" x14ac:dyDescent="0.25">
      <c r="A3541">
        <v>3540</v>
      </c>
      <c r="B3541" s="23">
        <v>1303.2</v>
      </c>
      <c r="C3541" s="23">
        <v>0</v>
      </c>
    </row>
    <row r="3542" spans="1:3" x14ac:dyDescent="0.25">
      <c r="A3542">
        <v>3541</v>
      </c>
      <c r="B3542" s="23">
        <v>1303.011</v>
      </c>
      <c r="C3542" s="23">
        <v>0</v>
      </c>
    </row>
    <row r="3543" spans="1:3" x14ac:dyDescent="0.25">
      <c r="A3543">
        <v>3542</v>
      </c>
      <c r="B3543" s="23">
        <v>1302.9100000000001</v>
      </c>
      <c r="C3543" s="23">
        <v>0</v>
      </c>
    </row>
    <row r="3544" spans="1:3" x14ac:dyDescent="0.25">
      <c r="A3544">
        <v>3543</v>
      </c>
      <c r="B3544" s="23">
        <v>1302.8130000000001</v>
      </c>
      <c r="C3544" s="23">
        <v>0</v>
      </c>
    </row>
    <row r="3545" spans="1:3" x14ac:dyDescent="0.25">
      <c r="A3545">
        <v>3544</v>
      </c>
      <c r="B3545" s="23">
        <v>1302.803017</v>
      </c>
      <c r="C3545" s="23">
        <v>0</v>
      </c>
    </row>
    <row r="3546" spans="1:3" x14ac:dyDescent="0.25">
      <c r="A3546">
        <v>3545</v>
      </c>
      <c r="B3546" s="23">
        <v>1302.6298469999999</v>
      </c>
      <c r="C3546" s="23">
        <v>0</v>
      </c>
    </row>
    <row r="3547" spans="1:3" x14ac:dyDescent="0.25">
      <c r="A3547">
        <v>3546</v>
      </c>
      <c r="B3547" s="23">
        <v>1302.6059310000001</v>
      </c>
      <c r="C3547" s="23">
        <v>0</v>
      </c>
    </row>
    <row r="3548" spans="1:3" x14ac:dyDescent="0.25">
      <c r="A3548">
        <v>3547</v>
      </c>
      <c r="B3548" s="23">
        <v>1302.5098399999999</v>
      </c>
      <c r="C3548" s="23">
        <v>0</v>
      </c>
    </row>
    <row r="3549" spans="1:3" x14ac:dyDescent="0.25">
      <c r="A3549">
        <v>3548</v>
      </c>
      <c r="B3549" s="23">
        <v>1302.4000000000001</v>
      </c>
      <c r="C3549" s="23">
        <v>0</v>
      </c>
    </row>
    <row r="3550" spans="1:3" x14ac:dyDescent="0.25">
      <c r="A3550">
        <v>3549</v>
      </c>
      <c r="B3550" s="23">
        <v>1302.39029</v>
      </c>
      <c r="C3550" s="23">
        <v>0</v>
      </c>
    </row>
    <row r="3551" spans="1:3" x14ac:dyDescent="0.25">
      <c r="A3551">
        <v>3550</v>
      </c>
      <c r="B3551" s="23">
        <v>1302.1020000000001</v>
      </c>
      <c r="C3551" s="23">
        <v>0</v>
      </c>
    </row>
    <row r="3552" spans="1:3" x14ac:dyDescent="0.25">
      <c r="A3552">
        <v>3551</v>
      </c>
      <c r="B3552" s="23">
        <v>1302.068082</v>
      </c>
      <c r="C3552" s="23">
        <v>0</v>
      </c>
    </row>
    <row r="3553" spans="1:3" x14ac:dyDescent="0.25">
      <c r="A3553">
        <v>3552</v>
      </c>
      <c r="B3553" s="23">
        <v>1301.939163</v>
      </c>
      <c r="C3553" s="23">
        <v>0</v>
      </c>
    </row>
    <row r="3554" spans="1:3" x14ac:dyDescent="0.25">
      <c r="A3554">
        <v>3553</v>
      </c>
      <c r="B3554" s="23">
        <v>1301.865</v>
      </c>
      <c r="C3554" s="23">
        <v>0</v>
      </c>
    </row>
    <row r="3555" spans="1:3" x14ac:dyDescent="0.25">
      <c r="A3555">
        <v>3554</v>
      </c>
      <c r="B3555" s="23">
        <v>1301.678257</v>
      </c>
      <c r="C3555" s="23">
        <v>0</v>
      </c>
    </row>
    <row r="3556" spans="1:3" x14ac:dyDescent="0.25">
      <c r="A3556">
        <v>3555</v>
      </c>
      <c r="B3556" s="23">
        <v>1301.6089999999999</v>
      </c>
      <c r="C3556" s="23">
        <v>0</v>
      </c>
    </row>
    <row r="3557" spans="1:3" x14ac:dyDescent="0.25">
      <c r="A3557">
        <v>3556</v>
      </c>
      <c r="B3557" s="23">
        <v>1301.431</v>
      </c>
      <c r="C3557" s="23">
        <v>0</v>
      </c>
    </row>
    <row r="3558" spans="1:3" x14ac:dyDescent="0.25">
      <c r="A3558">
        <v>3557</v>
      </c>
      <c r="B3558" s="23">
        <v>1301.2096280000001</v>
      </c>
      <c r="C3558" s="23">
        <v>0</v>
      </c>
    </row>
    <row r="3559" spans="1:3" x14ac:dyDescent="0.25">
      <c r="A3559">
        <v>3558</v>
      </c>
      <c r="B3559" s="23">
        <v>1301.174</v>
      </c>
      <c r="C3559" s="23">
        <v>0</v>
      </c>
    </row>
    <row r="3560" spans="1:3" x14ac:dyDescent="0.25">
      <c r="A3560">
        <v>3559</v>
      </c>
      <c r="B3560" s="23">
        <v>1301.0989999999999</v>
      </c>
      <c r="C3560" s="23">
        <v>0</v>
      </c>
    </row>
    <row r="3561" spans="1:3" x14ac:dyDescent="0.25">
      <c r="A3561">
        <v>3560</v>
      </c>
      <c r="B3561" s="23">
        <v>1300.99</v>
      </c>
      <c r="C3561" s="23">
        <v>0</v>
      </c>
    </row>
    <row r="3562" spans="1:3" x14ac:dyDescent="0.25">
      <c r="A3562">
        <v>3561</v>
      </c>
      <c r="B3562" s="23">
        <v>1300.8</v>
      </c>
      <c r="C3562" s="23">
        <v>0</v>
      </c>
    </row>
    <row r="3563" spans="1:3" x14ac:dyDescent="0.25">
      <c r="A3563">
        <v>3562</v>
      </c>
      <c r="B3563" s="23">
        <v>1300.4518599999999</v>
      </c>
      <c r="C3563" s="23">
        <v>0</v>
      </c>
    </row>
    <row r="3564" spans="1:3" x14ac:dyDescent="0.25">
      <c r="A3564">
        <v>3563</v>
      </c>
      <c r="B3564" s="23">
        <v>1300.328</v>
      </c>
      <c r="C3564" s="23">
        <v>0</v>
      </c>
    </row>
    <row r="3565" spans="1:3" x14ac:dyDescent="0.25">
      <c r="A3565">
        <v>3564</v>
      </c>
      <c r="B3565" s="23">
        <v>1300.3109320000001</v>
      </c>
      <c r="C3565" s="23">
        <v>0</v>
      </c>
    </row>
    <row r="3566" spans="1:3" x14ac:dyDescent="0.25">
      <c r="A3566">
        <v>3565</v>
      </c>
      <c r="B3566" s="23">
        <v>1300.307</v>
      </c>
      <c r="C3566" s="23">
        <v>0</v>
      </c>
    </row>
    <row r="3567" spans="1:3" x14ac:dyDescent="0.25">
      <c r="A3567">
        <v>3566</v>
      </c>
      <c r="B3567" s="23">
        <v>1300.2516410000001</v>
      </c>
      <c r="C3567" s="23">
        <v>0</v>
      </c>
    </row>
    <row r="3568" spans="1:3" x14ac:dyDescent="0.25">
      <c r="A3568">
        <v>3567</v>
      </c>
      <c r="B3568" s="23">
        <v>1300</v>
      </c>
      <c r="C3568" s="23">
        <v>0</v>
      </c>
    </row>
    <row r="3569" spans="1:3" x14ac:dyDescent="0.25">
      <c r="A3569">
        <v>3568</v>
      </c>
      <c r="B3569" s="23">
        <v>1300</v>
      </c>
      <c r="C3569" s="23">
        <v>0</v>
      </c>
    </row>
    <row r="3570" spans="1:3" x14ac:dyDescent="0.25">
      <c r="A3570">
        <v>3569</v>
      </c>
      <c r="B3570" s="23">
        <v>1300</v>
      </c>
      <c r="C3570" s="23">
        <v>0</v>
      </c>
    </row>
    <row r="3571" spans="1:3" x14ac:dyDescent="0.25">
      <c r="A3571">
        <v>3570</v>
      </c>
      <c r="B3571" s="23">
        <v>1300</v>
      </c>
      <c r="C3571" s="23">
        <v>0</v>
      </c>
    </row>
    <row r="3572" spans="1:3" x14ac:dyDescent="0.25">
      <c r="A3572">
        <v>3571</v>
      </c>
      <c r="B3572" s="23">
        <v>1300</v>
      </c>
      <c r="C3572" s="23">
        <v>0</v>
      </c>
    </row>
    <row r="3573" spans="1:3" x14ac:dyDescent="0.25">
      <c r="A3573">
        <v>3572</v>
      </c>
      <c r="B3573" s="23">
        <v>1300</v>
      </c>
      <c r="C3573" s="23">
        <v>0</v>
      </c>
    </row>
    <row r="3574" spans="1:3" x14ac:dyDescent="0.25">
      <c r="A3574">
        <v>3573</v>
      </c>
      <c r="B3574" s="23">
        <v>1299.867111</v>
      </c>
      <c r="C3574" s="23">
        <v>0</v>
      </c>
    </row>
    <row r="3575" spans="1:3" x14ac:dyDescent="0.25">
      <c r="A3575">
        <v>3574</v>
      </c>
      <c r="B3575" s="23">
        <v>1299.5316969999999</v>
      </c>
      <c r="C3575" s="23">
        <v>0</v>
      </c>
    </row>
    <row r="3576" spans="1:3" x14ac:dyDescent="0.25">
      <c r="A3576">
        <v>3575</v>
      </c>
      <c r="B3576" s="23">
        <v>1299.5316969999999</v>
      </c>
      <c r="C3576" s="23">
        <v>0</v>
      </c>
    </row>
    <row r="3577" spans="1:3" x14ac:dyDescent="0.25">
      <c r="A3577">
        <v>3576</v>
      </c>
      <c r="B3577" s="23">
        <v>1299.464788</v>
      </c>
      <c r="C3577" s="23">
        <v>0</v>
      </c>
    </row>
    <row r="3578" spans="1:3" x14ac:dyDescent="0.25">
      <c r="A3578">
        <v>3577</v>
      </c>
      <c r="B3578" s="23">
        <v>1299.258</v>
      </c>
      <c r="C3578" s="23">
        <v>0</v>
      </c>
    </row>
    <row r="3579" spans="1:3" x14ac:dyDescent="0.25">
      <c r="A3579">
        <v>3578</v>
      </c>
      <c r="B3579" s="23">
        <v>1299.2</v>
      </c>
      <c r="C3579" s="23">
        <v>0</v>
      </c>
    </row>
    <row r="3580" spans="1:3" x14ac:dyDescent="0.25">
      <c r="A3580">
        <v>3579</v>
      </c>
      <c r="B3580" s="23">
        <v>1299.2</v>
      </c>
      <c r="C3580" s="23">
        <v>0</v>
      </c>
    </row>
    <row r="3581" spans="1:3" x14ac:dyDescent="0.25">
      <c r="A3581">
        <v>3580</v>
      </c>
      <c r="B3581" s="23">
        <v>1299.1880000000001</v>
      </c>
      <c r="C3581" s="23">
        <v>0</v>
      </c>
    </row>
    <row r="3582" spans="1:3" x14ac:dyDescent="0.25">
      <c r="A3582">
        <v>3581</v>
      </c>
      <c r="B3582" s="23">
        <v>1299.0474369999999</v>
      </c>
      <c r="C3582" s="23">
        <v>0</v>
      </c>
    </row>
    <row r="3583" spans="1:3" x14ac:dyDescent="0.25">
      <c r="A3583">
        <v>3582</v>
      </c>
      <c r="B3583" s="23">
        <v>1299.0406379999999</v>
      </c>
      <c r="C3583" s="23">
        <v>0</v>
      </c>
    </row>
    <row r="3584" spans="1:3" x14ac:dyDescent="0.25">
      <c r="A3584">
        <v>3583</v>
      </c>
      <c r="B3584" s="23">
        <v>1298.927811</v>
      </c>
      <c r="C3584" s="23">
        <v>0</v>
      </c>
    </row>
    <row r="3585" spans="1:3" x14ac:dyDescent="0.25">
      <c r="A3585">
        <v>3584</v>
      </c>
      <c r="B3585" s="23">
        <v>1298.730581</v>
      </c>
      <c r="C3585" s="23">
        <v>0</v>
      </c>
    </row>
    <row r="3586" spans="1:3" x14ac:dyDescent="0.25">
      <c r="A3586">
        <v>3585</v>
      </c>
      <c r="B3586" s="23">
        <v>1298.485743</v>
      </c>
      <c r="C3586" s="23">
        <v>0</v>
      </c>
    </row>
    <row r="3587" spans="1:3" x14ac:dyDescent="0.25">
      <c r="A3587">
        <v>3586</v>
      </c>
      <c r="B3587" s="23">
        <v>1298.4069999999999</v>
      </c>
      <c r="C3587" s="23">
        <v>0</v>
      </c>
    </row>
    <row r="3588" spans="1:3" x14ac:dyDescent="0.25">
      <c r="A3588">
        <v>3587</v>
      </c>
      <c r="B3588" s="23">
        <v>1298.4000000000001</v>
      </c>
      <c r="C3588" s="23">
        <v>0</v>
      </c>
    </row>
    <row r="3589" spans="1:3" x14ac:dyDescent="0.25">
      <c r="A3589">
        <v>3588</v>
      </c>
      <c r="B3589" s="23">
        <v>1298.3816240000001</v>
      </c>
      <c r="C3589" s="23">
        <v>0</v>
      </c>
    </row>
    <row r="3590" spans="1:3" x14ac:dyDescent="0.25">
      <c r="A3590">
        <v>3589</v>
      </c>
      <c r="B3590" s="23">
        <v>1298.1928109999999</v>
      </c>
      <c r="C3590" s="23">
        <v>0</v>
      </c>
    </row>
    <row r="3591" spans="1:3" x14ac:dyDescent="0.25">
      <c r="A3591">
        <v>3590</v>
      </c>
      <c r="B3591" s="23">
        <v>1298.1880000000001</v>
      </c>
      <c r="C3591" s="23">
        <v>0</v>
      </c>
    </row>
    <row r="3592" spans="1:3" x14ac:dyDescent="0.25">
      <c r="A3592">
        <v>3591</v>
      </c>
      <c r="B3592" s="23">
        <v>1298.1309229999999</v>
      </c>
      <c r="C3592" s="23">
        <v>0</v>
      </c>
    </row>
    <row r="3593" spans="1:3" x14ac:dyDescent="0.25">
      <c r="A3593">
        <v>3592</v>
      </c>
      <c r="B3593" s="23">
        <v>1297.8800000000001</v>
      </c>
      <c r="C3593" s="23">
        <v>0</v>
      </c>
    </row>
    <row r="3594" spans="1:3" x14ac:dyDescent="0.25">
      <c r="A3594">
        <v>3593</v>
      </c>
      <c r="B3594" s="23">
        <v>1297.795059</v>
      </c>
      <c r="C3594" s="23">
        <v>0</v>
      </c>
    </row>
    <row r="3595" spans="1:3" x14ac:dyDescent="0.25">
      <c r="A3595">
        <v>3594</v>
      </c>
      <c r="B3595" s="23">
        <v>1297.3389999999999</v>
      </c>
      <c r="C3595" s="23">
        <v>0</v>
      </c>
    </row>
    <row r="3596" spans="1:3" x14ac:dyDescent="0.25">
      <c r="A3596">
        <v>3595</v>
      </c>
      <c r="B3596" s="23">
        <v>1296.9810419999999</v>
      </c>
      <c r="C3596" s="23">
        <v>0</v>
      </c>
    </row>
    <row r="3597" spans="1:3" x14ac:dyDescent="0.25">
      <c r="A3597">
        <v>3596</v>
      </c>
      <c r="B3597" s="23">
        <v>1296.8026789999999</v>
      </c>
      <c r="C3597" s="23">
        <v>0</v>
      </c>
    </row>
    <row r="3598" spans="1:3" x14ac:dyDescent="0.25">
      <c r="A3598">
        <v>3597</v>
      </c>
      <c r="B3598" s="23">
        <v>1296.801115</v>
      </c>
      <c r="C3598" s="23">
        <v>0</v>
      </c>
    </row>
    <row r="3599" spans="1:3" x14ac:dyDescent="0.25">
      <c r="A3599">
        <v>3598</v>
      </c>
      <c r="B3599" s="23">
        <v>1296.8</v>
      </c>
      <c r="C3599" s="23">
        <v>0</v>
      </c>
    </row>
    <row r="3600" spans="1:3" x14ac:dyDescent="0.25">
      <c r="A3600">
        <v>3599</v>
      </c>
      <c r="B3600" s="23">
        <v>1296.709824</v>
      </c>
      <c r="C3600" s="23">
        <v>0</v>
      </c>
    </row>
    <row r="3601" spans="1:3" x14ac:dyDescent="0.25">
      <c r="A3601">
        <v>3600</v>
      </c>
      <c r="B3601" s="23">
        <v>1296.6670919999999</v>
      </c>
      <c r="C3601" s="23">
        <v>0</v>
      </c>
    </row>
    <row r="3602" spans="1:3" x14ac:dyDescent="0.25">
      <c r="A3602">
        <v>3601</v>
      </c>
      <c r="B3602" s="23">
        <v>1296.420877</v>
      </c>
      <c r="C3602" s="23">
        <v>0</v>
      </c>
    </row>
    <row r="3603" spans="1:3" x14ac:dyDescent="0.25">
      <c r="A3603">
        <v>3602</v>
      </c>
      <c r="B3603" s="23">
        <v>1296.331938</v>
      </c>
      <c r="C3603" s="23">
        <v>0</v>
      </c>
    </row>
    <row r="3604" spans="1:3" x14ac:dyDescent="0.25">
      <c r="A3604">
        <v>3603</v>
      </c>
      <c r="B3604" s="23">
        <v>1296.223753</v>
      </c>
      <c r="C3604" s="23">
        <v>0</v>
      </c>
    </row>
    <row r="3605" spans="1:3" x14ac:dyDescent="0.25">
      <c r="A3605">
        <v>3604</v>
      </c>
      <c r="B3605" s="23">
        <v>1296.14077</v>
      </c>
      <c r="C3605" s="23">
        <v>0</v>
      </c>
    </row>
    <row r="3606" spans="1:3" x14ac:dyDescent="0.25">
      <c r="A3606">
        <v>3605</v>
      </c>
      <c r="B3606" s="23">
        <v>1296.087385</v>
      </c>
      <c r="C3606" s="23">
        <v>0</v>
      </c>
    </row>
    <row r="3607" spans="1:3" x14ac:dyDescent="0.25">
      <c r="A3607">
        <v>3606</v>
      </c>
      <c r="B3607" s="23">
        <v>1295.9328860000001</v>
      </c>
      <c r="C3607" s="23">
        <v>0</v>
      </c>
    </row>
    <row r="3608" spans="1:3" x14ac:dyDescent="0.25">
      <c r="A3608">
        <v>3607</v>
      </c>
      <c r="B3608" s="23">
        <v>1295.929519</v>
      </c>
      <c r="C3608" s="23">
        <v>0</v>
      </c>
    </row>
    <row r="3609" spans="1:3" x14ac:dyDescent="0.25">
      <c r="A3609">
        <v>3608</v>
      </c>
      <c r="B3609" s="23">
        <v>1295.903599</v>
      </c>
      <c r="C3609" s="23">
        <v>0</v>
      </c>
    </row>
    <row r="3610" spans="1:3" x14ac:dyDescent="0.25">
      <c r="A3610">
        <v>3609</v>
      </c>
      <c r="B3610" s="23">
        <v>1295.7809999999999</v>
      </c>
      <c r="C3610" s="23">
        <v>0</v>
      </c>
    </row>
    <row r="3611" spans="1:3" x14ac:dyDescent="0.25">
      <c r="A3611">
        <v>3610</v>
      </c>
      <c r="B3611" s="23">
        <v>1295.740258</v>
      </c>
      <c r="C3611" s="23">
        <v>0</v>
      </c>
    </row>
    <row r="3612" spans="1:3" x14ac:dyDescent="0.25">
      <c r="A3612">
        <v>3611</v>
      </c>
      <c r="B3612" s="23">
        <v>1295.2534900000001</v>
      </c>
      <c r="C3612" s="23">
        <v>0</v>
      </c>
    </row>
    <row r="3613" spans="1:3" x14ac:dyDescent="0.25">
      <c r="A3613">
        <v>3612</v>
      </c>
      <c r="B3613" s="23">
        <v>1295.2</v>
      </c>
      <c r="C3613" s="23">
        <v>0</v>
      </c>
    </row>
    <row r="3614" spans="1:3" x14ac:dyDescent="0.25">
      <c r="A3614">
        <v>3613</v>
      </c>
      <c r="B3614" s="23">
        <v>1295.2</v>
      </c>
      <c r="C3614" s="23">
        <v>0</v>
      </c>
    </row>
    <row r="3615" spans="1:3" x14ac:dyDescent="0.25">
      <c r="A3615">
        <v>3614</v>
      </c>
      <c r="B3615" s="23">
        <v>1295.150517</v>
      </c>
      <c r="C3615" s="23">
        <v>0</v>
      </c>
    </row>
    <row r="3616" spans="1:3" x14ac:dyDescent="0.25">
      <c r="A3616">
        <v>3615</v>
      </c>
      <c r="B3616" s="23">
        <v>1295.145</v>
      </c>
      <c r="C3616" s="23">
        <v>0</v>
      </c>
    </row>
    <row r="3617" spans="1:3" x14ac:dyDescent="0.25">
      <c r="A3617">
        <v>3616</v>
      </c>
      <c r="B3617" s="23">
        <v>1294.5152109999999</v>
      </c>
      <c r="C3617" s="23">
        <v>0</v>
      </c>
    </row>
    <row r="3618" spans="1:3" x14ac:dyDescent="0.25">
      <c r="A3618">
        <v>3617</v>
      </c>
      <c r="B3618" s="23">
        <v>1294.4000000000001</v>
      </c>
      <c r="C3618" s="23">
        <v>0</v>
      </c>
    </row>
    <row r="3619" spans="1:3" x14ac:dyDescent="0.25">
      <c r="A3619">
        <v>3618</v>
      </c>
      <c r="B3619" s="23">
        <v>1294.4000000000001</v>
      </c>
      <c r="C3619" s="23">
        <v>0</v>
      </c>
    </row>
    <row r="3620" spans="1:3" x14ac:dyDescent="0.25">
      <c r="A3620">
        <v>3619</v>
      </c>
      <c r="B3620" s="23">
        <v>1294.4000000000001</v>
      </c>
      <c r="C3620" s="23">
        <v>0</v>
      </c>
    </row>
    <row r="3621" spans="1:3" x14ac:dyDescent="0.25">
      <c r="A3621">
        <v>3620</v>
      </c>
      <c r="B3621" s="23">
        <v>1294.4000000000001</v>
      </c>
      <c r="C3621" s="23">
        <v>0</v>
      </c>
    </row>
    <row r="3622" spans="1:3" x14ac:dyDescent="0.25">
      <c r="A3622">
        <v>3621</v>
      </c>
      <c r="B3622" s="23">
        <v>1294.379009</v>
      </c>
      <c r="C3622" s="23">
        <v>0</v>
      </c>
    </row>
    <row r="3623" spans="1:3" x14ac:dyDescent="0.25">
      <c r="A3623">
        <v>3622</v>
      </c>
      <c r="B3623" s="23">
        <v>1294.3432829999999</v>
      </c>
      <c r="C3623" s="23">
        <v>0</v>
      </c>
    </row>
    <row r="3624" spans="1:3" x14ac:dyDescent="0.25">
      <c r="A3624">
        <v>3623</v>
      </c>
      <c r="B3624" s="23">
        <v>1294.28</v>
      </c>
      <c r="C3624" s="23">
        <v>0</v>
      </c>
    </row>
    <row r="3625" spans="1:3" x14ac:dyDescent="0.25">
      <c r="A3625">
        <v>3624</v>
      </c>
      <c r="B3625" s="23">
        <v>1294.146481</v>
      </c>
      <c r="C3625" s="23">
        <v>0</v>
      </c>
    </row>
    <row r="3626" spans="1:3" x14ac:dyDescent="0.25">
      <c r="A3626">
        <v>3625</v>
      </c>
      <c r="B3626" s="23">
        <v>1293.998</v>
      </c>
      <c r="C3626" s="23">
        <v>0</v>
      </c>
    </row>
    <row r="3627" spans="1:3" x14ac:dyDescent="0.25">
      <c r="A3627">
        <v>3626</v>
      </c>
      <c r="B3627" s="23">
        <v>1293.5999999999999</v>
      </c>
      <c r="C3627" s="23">
        <v>0</v>
      </c>
    </row>
    <row r="3628" spans="1:3" x14ac:dyDescent="0.25">
      <c r="A3628">
        <v>3627</v>
      </c>
      <c r="B3628" s="23">
        <v>1293.5219999999999</v>
      </c>
      <c r="C3628" s="23">
        <v>0</v>
      </c>
    </row>
    <row r="3629" spans="1:3" x14ac:dyDescent="0.25">
      <c r="A3629">
        <v>3628</v>
      </c>
      <c r="B3629" s="23">
        <v>1293.3495929999999</v>
      </c>
      <c r="C3629" s="23">
        <v>0</v>
      </c>
    </row>
    <row r="3630" spans="1:3" x14ac:dyDescent="0.25">
      <c r="A3630">
        <v>3629</v>
      </c>
      <c r="B3630" s="23">
        <v>1293.3040000000001</v>
      </c>
      <c r="C3630" s="23">
        <v>0</v>
      </c>
    </row>
    <row r="3631" spans="1:3" x14ac:dyDescent="0.25">
      <c r="A3631">
        <v>3630</v>
      </c>
      <c r="B3631" s="23">
        <v>1293.095</v>
      </c>
      <c r="C3631" s="23">
        <v>0</v>
      </c>
    </row>
    <row r="3632" spans="1:3" x14ac:dyDescent="0.25">
      <c r="A3632">
        <v>3631</v>
      </c>
      <c r="B3632" s="23">
        <v>1293.071645</v>
      </c>
      <c r="C3632" s="23">
        <v>0</v>
      </c>
    </row>
    <row r="3633" spans="1:3" x14ac:dyDescent="0.25">
      <c r="A3633">
        <v>3632</v>
      </c>
      <c r="B3633" s="23">
        <v>1292.960272</v>
      </c>
      <c r="C3633" s="23">
        <v>0</v>
      </c>
    </row>
    <row r="3634" spans="1:3" x14ac:dyDescent="0.25">
      <c r="A3634">
        <v>3633</v>
      </c>
      <c r="B3634" s="23">
        <v>1292.903</v>
      </c>
      <c r="C3634" s="23">
        <v>0</v>
      </c>
    </row>
    <row r="3635" spans="1:3" x14ac:dyDescent="0.25">
      <c r="A3635">
        <v>3634</v>
      </c>
      <c r="B3635" s="23">
        <v>1292.8316159999999</v>
      </c>
      <c r="C3635" s="23">
        <v>0</v>
      </c>
    </row>
    <row r="3636" spans="1:3" x14ac:dyDescent="0.25">
      <c r="A3636">
        <v>3635</v>
      </c>
      <c r="B3636" s="23">
        <v>1292.8</v>
      </c>
      <c r="C3636" s="23">
        <v>0</v>
      </c>
    </row>
    <row r="3637" spans="1:3" x14ac:dyDescent="0.25">
      <c r="A3637">
        <v>3636</v>
      </c>
      <c r="B3637" s="23">
        <v>1292.8</v>
      </c>
      <c r="C3637" s="23">
        <v>0</v>
      </c>
    </row>
    <row r="3638" spans="1:3" x14ac:dyDescent="0.25">
      <c r="A3638">
        <v>3637</v>
      </c>
      <c r="B3638" s="23">
        <v>1292.8</v>
      </c>
      <c r="C3638" s="23">
        <v>0</v>
      </c>
    </row>
    <row r="3639" spans="1:3" x14ac:dyDescent="0.25">
      <c r="A3639">
        <v>3638</v>
      </c>
      <c r="B3639" s="23">
        <v>1292.068</v>
      </c>
      <c r="C3639" s="23">
        <v>0</v>
      </c>
    </row>
    <row r="3640" spans="1:3" x14ac:dyDescent="0.25">
      <c r="A3640">
        <v>3639</v>
      </c>
      <c r="B3640" s="23">
        <v>1292</v>
      </c>
      <c r="C3640" s="23">
        <v>0</v>
      </c>
    </row>
    <row r="3641" spans="1:3" x14ac:dyDescent="0.25">
      <c r="A3641">
        <v>3640</v>
      </c>
      <c r="B3641" s="23">
        <v>1292</v>
      </c>
      <c r="C3641" s="23">
        <v>0</v>
      </c>
    </row>
    <row r="3642" spans="1:3" x14ac:dyDescent="0.25">
      <c r="A3642">
        <v>3641</v>
      </c>
      <c r="B3642" s="23">
        <v>1292</v>
      </c>
      <c r="C3642" s="23">
        <v>0</v>
      </c>
    </row>
    <row r="3643" spans="1:3" x14ac:dyDescent="0.25">
      <c r="A3643">
        <v>3642</v>
      </c>
      <c r="B3643" s="23">
        <v>1292</v>
      </c>
      <c r="C3643" s="23">
        <v>0</v>
      </c>
    </row>
    <row r="3644" spans="1:3" x14ac:dyDescent="0.25">
      <c r="A3644">
        <v>3643</v>
      </c>
      <c r="B3644" s="23">
        <v>1292</v>
      </c>
      <c r="C3644" s="23">
        <v>0</v>
      </c>
    </row>
    <row r="3645" spans="1:3" x14ac:dyDescent="0.25">
      <c r="A3645">
        <v>3644</v>
      </c>
      <c r="B3645" s="23">
        <v>1291.599794</v>
      </c>
      <c r="C3645" s="23">
        <v>0</v>
      </c>
    </row>
    <row r="3646" spans="1:3" x14ac:dyDescent="0.25">
      <c r="A3646">
        <v>3645</v>
      </c>
      <c r="B3646" s="23">
        <v>1291.2</v>
      </c>
      <c r="C3646" s="23">
        <v>0</v>
      </c>
    </row>
    <row r="3647" spans="1:3" x14ac:dyDescent="0.25">
      <c r="A3647">
        <v>3646</v>
      </c>
      <c r="B3647" s="23">
        <v>1291.128142</v>
      </c>
      <c r="C3647" s="23">
        <v>0</v>
      </c>
    </row>
    <row r="3648" spans="1:3" x14ac:dyDescent="0.25">
      <c r="A3648">
        <v>3647</v>
      </c>
      <c r="B3648" s="23">
        <v>1290.535568</v>
      </c>
      <c r="C3648" s="23">
        <v>0</v>
      </c>
    </row>
    <row r="3649" spans="1:3" x14ac:dyDescent="0.25">
      <c r="A3649">
        <v>3648</v>
      </c>
      <c r="B3649" s="23">
        <v>1290.494318</v>
      </c>
      <c r="C3649" s="23">
        <v>0</v>
      </c>
    </row>
    <row r="3650" spans="1:3" x14ac:dyDescent="0.25">
      <c r="A3650">
        <v>3649</v>
      </c>
      <c r="B3650" s="23">
        <v>1290.4000000000001</v>
      </c>
      <c r="C3650" s="23">
        <v>0</v>
      </c>
    </row>
    <row r="3651" spans="1:3" x14ac:dyDescent="0.25">
      <c r="A3651">
        <v>3650</v>
      </c>
      <c r="B3651" s="23">
        <v>1290.4000000000001</v>
      </c>
      <c r="C3651" s="23">
        <v>0</v>
      </c>
    </row>
    <row r="3652" spans="1:3" x14ac:dyDescent="0.25">
      <c r="A3652">
        <v>3651</v>
      </c>
      <c r="B3652" s="23">
        <v>1290.4000000000001</v>
      </c>
      <c r="C3652" s="23">
        <v>0</v>
      </c>
    </row>
    <row r="3653" spans="1:3" x14ac:dyDescent="0.25">
      <c r="A3653">
        <v>3652</v>
      </c>
      <c r="B3653" s="23">
        <v>1290.4000000000001</v>
      </c>
      <c r="C3653" s="23">
        <v>0</v>
      </c>
    </row>
    <row r="3654" spans="1:3" x14ac:dyDescent="0.25">
      <c r="A3654">
        <v>3653</v>
      </c>
      <c r="B3654" s="23">
        <v>1290.4000000000001</v>
      </c>
      <c r="C3654" s="23">
        <v>0</v>
      </c>
    </row>
    <row r="3655" spans="1:3" x14ac:dyDescent="0.25">
      <c r="A3655">
        <v>3654</v>
      </c>
      <c r="B3655" s="23">
        <v>1290.1975359999999</v>
      </c>
      <c r="C3655" s="23">
        <v>0</v>
      </c>
    </row>
    <row r="3656" spans="1:3" x14ac:dyDescent="0.25">
      <c r="A3656">
        <v>3655</v>
      </c>
      <c r="B3656" s="23">
        <v>1290.1975359999999</v>
      </c>
      <c r="C3656" s="23">
        <v>0</v>
      </c>
    </row>
    <row r="3657" spans="1:3" x14ac:dyDescent="0.25">
      <c r="A3657">
        <v>3656</v>
      </c>
      <c r="B3657" s="23">
        <v>1290.0993329999999</v>
      </c>
      <c r="C3657" s="23">
        <v>0</v>
      </c>
    </row>
    <row r="3658" spans="1:3" x14ac:dyDescent="0.25">
      <c r="A3658">
        <v>3657</v>
      </c>
      <c r="B3658" s="23">
        <v>1289.566849</v>
      </c>
      <c r="C3658" s="23">
        <v>0</v>
      </c>
    </row>
    <row r="3659" spans="1:3" x14ac:dyDescent="0.25">
      <c r="A3659">
        <v>3658</v>
      </c>
      <c r="B3659" s="23">
        <v>1289.5060000000001</v>
      </c>
      <c r="C3659" s="23">
        <v>0</v>
      </c>
    </row>
    <row r="3660" spans="1:3" x14ac:dyDescent="0.25">
      <c r="A3660">
        <v>3659</v>
      </c>
      <c r="B3660" s="23">
        <v>1289.433542</v>
      </c>
      <c r="C3660" s="23">
        <v>0</v>
      </c>
    </row>
    <row r="3661" spans="1:3" x14ac:dyDescent="0.25">
      <c r="A3661">
        <v>3660</v>
      </c>
      <c r="B3661" s="23">
        <v>1289.366571</v>
      </c>
      <c r="C3661" s="23">
        <v>0</v>
      </c>
    </row>
    <row r="3662" spans="1:3" x14ac:dyDescent="0.25">
      <c r="A3662">
        <v>3661</v>
      </c>
      <c r="B3662" s="23">
        <v>1289.3434789999999</v>
      </c>
      <c r="C3662" s="23">
        <v>0</v>
      </c>
    </row>
    <row r="3663" spans="1:3" x14ac:dyDescent="0.25">
      <c r="A3663">
        <v>3662</v>
      </c>
      <c r="B3663" s="23">
        <v>1289.3337670000001</v>
      </c>
      <c r="C3663" s="23">
        <v>0</v>
      </c>
    </row>
    <row r="3664" spans="1:3" x14ac:dyDescent="0.25">
      <c r="A3664">
        <v>3663</v>
      </c>
      <c r="B3664" s="23">
        <v>1289.21784</v>
      </c>
      <c r="C3664" s="23">
        <v>0</v>
      </c>
    </row>
    <row r="3665" spans="1:3" x14ac:dyDescent="0.25">
      <c r="A3665">
        <v>3664</v>
      </c>
      <c r="B3665" s="23">
        <v>1288.8</v>
      </c>
      <c r="C3665" s="23">
        <v>0</v>
      </c>
    </row>
    <row r="3666" spans="1:3" x14ac:dyDescent="0.25">
      <c r="A3666">
        <v>3665</v>
      </c>
      <c r="B3666" s="23">
        <v>1288.8</v>
      </c>
      <c r="C3666" s="23">
        <v>0</v>
      </c>
    </row>
    <row r="3667" spans="1:3" x14ac:dyDescent="0.25">
      <c r="A3667">
        <v>3666</v>
      </c>
      <c r="B3667" s="23">
        <v>1288.700926</v>
      </c>
      <c r="C3667" s="23">
        <v>0</v>
      </c>
    </row>
    <row r="3668" spans="1:3" x14ac:dyDescent="0.25">
      <c r="A3668">
        <v>3667</v>
      </c>
      <c r="B3668" s="23">
        <v>1288.4639999999999</v>
      </c>
      <c r="C3668" s="23">
        <v>0</v>
      </c>
    </row>
    <row r="3669" spans="1:3" x14ac:dyDescent="0.25">
      <c r="A3669">
        <v>3668</v>
      </c>
      <c r="B3669" s="23">
        <v>1288.241174</v>
      </c>
      <c r="C3669" s="23">
        <v>0</v>
      </c>
    </row>
    <row r="3670" spans="1:3" x14ac:dyDescent="0.25">
      <c r="A3670">
        <v>3669</v>
      </c>
      <c r="B3670" s="23">
        <v>1288.1410000000001</v>
      </c>
      <c r="C3670" s="23">
        <v>0</v>
      </c>
    </row>
    <row r="3671" spans="1:3" x14ac:dyDescent="0.25">
      <c r="A3671">
        <v>3670</v>
      </c>
      <c r="B3671" s="23">
        <v>1288.125485</v>
      </c>
      <c r="C3671" s="23">
        <v>0</v>
      </c>
    </row>
    <row r="3672" spans="1:3" x14ac:dyDescent="0.25">
      <c r="A3672">
        <v>3671</v>
      </c>
      <c r="B3672" s="23">
        <v>1288.096</v>
      </c>
      <c r="C3672" s="23">
        <v>0</v>
      </c>
    </row>
    <row r="3673" spans="1:3" x14ac:dyDescent="0.25">
      <c r="A3673">
        <v>3672</v>
      </c>
      <c r="B3673" s="23">
        <v>1288.0652279999999</v>
      </c>
      <c r="C3673" s="23">
        <v>0</v>
      </c>
    </row>
    <row r="3674" spans="1:3" x14ac:dyDescent="0.25">
      <c r="A3674">
        <v>3673</v>
      </c>
      <c r="B3674" s="23">
        <v>1288</v>
      </c>
      <c r="C3674" s="23">
        <v>0</v>
      </c>
    </row>
    <row r="3675" spans="1:3" x14ac:dyDescent="0.25">
      <c r="A3675">
        <v>3674</v>
      </c>
      <c r="B3675" s="23">
        <v>1288</v>
      </c>
      <c r="C3675" s="23">
        <v>0</v>
      </c>
    </row>
    <row r="3676" spans="1:3" x14ac:dyDescent="0.25">
      <c r="A3676">
        <v>3675</v>
      </c>
      <c r="B3676" s="23">
        <v>1288</v>
      </c>
      <c r="C3676" s="23">
        <v>0</v>
      </c>
    </row>
    <row r="3677" spans="1:3" x14ac:dyDescent="0.25">
      <c r="A3677">
        <v>3676</v>
      </c>
      <c r="B3677" s="23">
        <v>1288</v>
      </c>
      <c r="C3677" s="23">
        <v>0</v>
      </c>
    </row>
    <row r="3678" spans="1:3" x14ac:dyDescent="0.25">
      <c r="A3678">
        <v>3677</v>
      </c>
      <c r="B3678" s="23">
        <v>1287.992</v>
      </c>
      <c r="C3678" s="23">
        <v>0</v>
      </c>
    </row>
    <row r="3679" spans="1:3" x14ac:dyDescent="0.25">
      <c r="A3679">
        <v>3678</v>
      </c>
      <c r="B3679" s="23">
        <v>1287.915</v>
      </c>
      <c r="C3679" s="23">
        <v>0</v>
      </c>
    </row>
    <row r="3680" spans="1:3" x14ac:dyDescent="0.25">
      <c r="A3680">
        <v>3679</v>
      </c>
      <c r="B3680" s="23">
        <v>1287.7713759999999</v>
      </c>
      <c r="C3680" s="23">
        <v>0</v>
      </c>
    </row>
    <row r="3681" spans="1:3" x14ac:dyDescent="0.25">
      <c r="A3681">
        <v>3680</v>
      </c>
      <c r="B3681" s="23">
        <v>1287.5099130000001</v>
      </c>
      <c r="C3681" s="23">
        <v>0</v>
      </c>
    </row>
    <row r="3682" spans="1:3" x14ac:dyDescent="0.25">
      <c r="A3682">
        <v>3681</v>
      </c>
      <c r="B3682" s="23">
        <v>1287.4348010000001</v>
      </c>
      <c r="C3682" s="23">
        <v>0</v>
      </c>
    </row>
    <row r="3683" spans="1:3" x14ac:dyDescent="0.25">
      <c r="A3683">
        <v>3682</v>
      </c>
      <c r="B3683" s="23">
        <v>1287.3140000000001</v>
      </c>
      <c r="C3683" s="23">
        <v>0</v>
      </c>
    </row>
    <row r="3684" spans="1:3" x14ac:dyDescent="0.25">
      <c r="A3684">
        <v>3683</v>
      </c>
      <c r="B3684" s="23">
        <v>1287.2</v>
      </c>
      <c r="C3684" s="23">
        <v>0</v>
      </c>
    </row>
    <row r="3685" spans="1:3" x14ac:dyDescent="0.25">
      <c r="A3685">
        <v>3684</v>
      </c>
      <c r="B3685" s="23">
        <v>1287.2</v>
      </c>
      <c r="C3685" s="23">
        <v>0</v>
      </c>
    </row>
    <row r="3686" spans="1:3" x14ac:dyDescent="0.25">
      <c r="A3686">
        <v>3685</v>
      </c>
      <c r="B3686" s="23">
        <v>1287.2</v>
      </c>
      <c r="C3686" s="23">
        <v>0</v>
      </c>
    </row>
    <row r="3687" spans="1:3" x14ac:dyDescent="0.25">
      <c r="A3687">
        <v>3686</v>
      </c>
      <c r="B3687" s="23">
        <v>1287.2</v>
      </c>
      <c r="C3687" s="23">
        <v>0</v>
      </c>
    </row>
    <row r="3688" spans="1:3" x14ac:dyDescent="0.25">
      <c r="A3688">
        <v>3687</v>
      </c>
      <c r="B3688" s="23">
        <v>1287.2</v>
      </c>
      <c r="C3688" s="23">
        <v>0</v>
      </c>
    </row>
    <row r="3689" spans="1:3" x14ac:dyDescent="0.25">
      <c r="A3689">
        <v>3688</v>
      </c>
      <c r="B3689" s="23">
        <v>1286.744117</v>
      </c>
      <c r="C3689" s="23">
        <v>0</v>
      </c>
    </row>
    <row r="3690" spans="1:3" x14ac:dyDescent="0.25">
      <c r="A3690">
        <v>3689</v>
      </c>
      <c r="B3690" s="23">
        <v>1286.664</v>
      </c>
      <c r="C3690" s="23">
        <v>0</v>
      </c>
    </row>
    <row r="3691" spans="1:3" x14ac:dyDescent="0.25">
      <c r="A3691">
        <v>3690</v>
      </c>
      <c r="B3691" s="23">
        <v>1286.6096279999999</v>
      </c>
      <c r="C3691" s="23">
        <v>0</v>
      </c>
    </row>
    <row r="3692" spans="1:3" x14ac:dyDescent="0.25">
      <c r="A3692">
        <v>3691</v>
      </c>
      <c r="B3692" s="23">
        <v>1286.45</v>
      </c>
      <c r="C3692" s="23">
        <v>0</v>
      </c>
    </row>
    <row r="3693" spans="1:3" x14ac:dyDescent="0.25">
      <c r="A3693">
        <v>3692</v>
      </c>
      <c r="B3693" s="23">
        <v>1286.4464190000001</v>
      </c>
      <c r="C3693" s="23">
        <v>0</v>
      </c>
    </row>
    <row r="3694" spans="1:3" x14ac:dyDescent="0.25">
      <c r="A3694">
        <v>3693</v>
      </c>
      <c r="B3694" s="23">
        <v>1286.4290000000001</v>
      </c>
      <c r="C3694" s="23">
        <v>0</v>
      </c>
    </row>
    <row r="3695" spans="1:3" x14ac:dyDescent="0.25">
      <c r="A3695">
        <v>3694</v>
      </c>
      <c r="B3695" s="23">
        <v>1286.4000000000001</v>
      </c>
      <c r="C3695" s="23">
        <v>0</v>
      </c>
    </row>
    <row r="3696" spans="1:3" x14ac:dyDescent="0.25">
      <c r="A3696">
        <v>3695</v>
      </c>
      <c r="B3696" s="23">
        <v>1286.4000000000001</v>
      </c>
      <c r="C3696" s="23">
        <v>0</v>
      </c>
    </row>
    <row r="3697" spans="1:3" x14ac:dyDescent="0.25">
      <c r="A3697">
        <v>3696</v>
      </c>
      <c r="B3697" s="23">
        <v>1286.4000000000001</v>
      </c>
      <c r="C3697" s="23">
        <v>0</v>
      </c>
    </row>
    <row r="3698" spans="1:3" x14ac:dyDescent="0.25">
      <c r="A3698">
        <v>3697</v>
      </c>
      <c r="B3698" s="23">
        <v>1286.2470000000001</v>
      </c>
      <c r="C3698" s="23">
        <v>0</v>
      </c>
    </row>
    <row r="3699" spans="1:3" x14ac:dyDescent="0.25">
      <c r="A3699">
        <v>3698</v>
      </c>
      <c r="B3699" s="23">
        <v>1285.8326890000001</v>
      </c>
      <c r="C3699" s="23">
        <v>0</v>
      </c>
    </row>
    <row r="3700" spans="1:3" x14ac:dyDescent="0.25">
      <c r="A3700">
        <v>3699</v>
      </c>
      <c r="B3700" s="23">
        <v>1285.8326890000001</v>
      </c>
      <c r="C3700" s="23">
        <v>0</v>
      </c>
    </row>
    <row r="3701" spans="1:3" x14ac:dyDescent="0.25">
      <c r="A3701">
        <v>3700</v>
      </c>
      <c r="B3701" s="23">
        <v>1285.688971</v>
      </c>
      <c r="C3701" s="23">
        <v>0</v>
      </c>
    </row>
    <row r="3702" spans="1:3" x14ac:dyDescent="0.25">
      <c r="A3702">
        <v>3701</v>
      </c>
      <c r="B3702" s="23">
        <v>1285.5999999999999</v>
      </c>
      <c r="C3702" s="23">
        <v>0</v>
      </c>
    </row>
    <row r="3703" spans="1:3" x14ac:dyDescent="0.25">
      <c r="A3703">
        <v>3702</v>
      </c>
      <c r="B3703" s="23">
        <v>1285.5999999999999</v>
      </c>
      <c r="C3703" s="23">
        <v>0</v>
      </c>
    </row>
    <row r="3704" spans="1:3" x14ac:dyDescent="0.25">
      <c r="A3704">
        <v>3703</v>
      </c>
      <c r="B3704" s="23">
        <v>1285.5999999999999</v>
      </c>
      <c r="C3704" s="23">
        <v>0</v>
      </c>
    </row>
    <row r="3705" spans="1:3" x14ac:dyDescent="0.25">
      <c r="A3705">
        <v>3704</v>
      </c>
      <c r="B3705" s="23">
        <v>1285.579</v>
      </c>
      <c r="C3705" s="23">
        <v>0</v>
      </c>
    </row>
    <row r="3706" spans="1:3" x14ac:dyDescent="0.25">
      <c r="A3706">
        <v>3705</v>
      </c>
      <c r="B3706" s="23">
        <v>1285.3627489999999</v>
      </c>
      <c r="C3706" s="23">
        <v>0</v>
      </c>
    </row>
    <row r="3707" spans="1:3" x14ac:dyDescent="0.25">
      <c r="A3707">
        <v>3706</v>
      </c>
      <c r="B3707" s="23">
        <v>1285.355</v>
      </c>
      <c r="C3707" s="23">
        <v>0</v>
      </c>
    </row>
    <row r="3708" spans="1:3" x14ac:dyDescent="0.25">
      <c r="A3708">
        <v>3707</v>
      </c>
      <c r="B3708" s="23">
        <v>1285.1606380000001</v>
      </c>
      <c r="C3708" s="23">
        <v>0</v>
      </c>
    </row>
    <row r="3709" spans="1:3" x14ac:dyDescent="0.25">
      <c r="A3709">
        <v>3708</v>
      </c>
      <c r="B3709" s="23">
        <v>1284.546879</v>
      </c>
      <c r="C3709" s="23">
        <v>0</v>
      </c>
    </row>
    <row r="3710" spans="1:3" x14ac:dyDescent="0.25">
      <c r="A3710">
        <v>3709</v>
      </c>
      <c r="B3710" s="23">
        <v>1284.495077</v>
      </c>
      <c r="C3710" s="23">
        <v>0</v>
      </c>
    </row>
    <row r="3711" spans="1:3" x14ac:dyDescent="0.25">
      <c r="A3711">
        <v>3710</v>
      </c>
      <c r="B3711" s="23">
        <v>1284.490188</v>
      </c>
      <c r="C3711" s="23">
        <v>0</v>
      </c>
    </row>
    <row r="3712" spans="1:3" x14ac:dyDescent="0.25">
      <c r="A3712">
        <v>3711</v>
      </c>
      <c r="B3712" s="23">
        <v>1284.095</v>
      </c>
      <c r="C3712" s="23">
        <v>0</v>
      </c>
    </row>
    <row r="3713" spans="1:3" x14ac:dyDescent="0.25">
      <c r="A3713">
        <v>3712</v>
      </c>
      <c r="B3713" s="23">
        <v>1284.044406</v>
      </c>
      <c r="C3713" s="23">
        <v>0</v>
      </c>
    </row>
    <row r="3714" spans="1:3" x14ac:dyDescent="0.25">
      <c r="A3714">
        <v>3713</v>
      </c>
      <c r="B3714" s="23">
        <v>1284</v>
      </c>
      <c r="C3714" s="23">
        <v>0</v>
      </c>
    </row>
    <row r="3715" spans="1:3" x14ac:dyDescent="0.25">
      <c r="A3715">
        <v>3714</v>
      </c>
      <c r="B3715" s="23">
        <v>1284</v>
      </c>
      <c r="C3715" s="23">
        <v>0</v>
      </c>
    </row>
    <row r="3716" spans="1:3" x14ac:dyDescent="0.25">
      <c r="A3716">
        <v>3715</v>
      </c>
      <c r="B3716" s="23">
        <v>1284</v>
      </c>
      <c r="C3716" s="23">
        <v>0</v>
      </c>
    </row>
    <row r="3717" spans="1:3" x14ac:dyDescent="0.25">
      <c r="A3717">
        <v>3716</v>
      </c>
      <c r="B3717" s="23">
        <v>1283.8</v>
      </c>
      <c r="C3717" s="23">
        <v>0</v>
      </c>
    </row>
    <row r="3718" spans="1:3" x14ac:dyDescent="0.25">
      <c r="A3718">
        <v>3717</v>
      </c>
      <c r="B3718" s="23">
        <v>1283.7869350000001</v>
      </c>
      <c r="C3718" s="23">
        <v>0</v>
      </c>
    </row>
    <row r="3719" spans="1:3" x14ac:dyDescent="0.25">
      <c r="A3719">
        <v>3718</v>
      </c>
      <c r="B3719" s="23">
        <v>1283.7710930000001</v>
      </c>
      <c r="C3719" s="23">
        <v>0</v>
      </c>
    </row>
    <row r="3720" spans="1:3" x14ac:dyDescent="0.25">
      <c r="A3720">
        <v>3719</v>
      </c>
      <c r="B3720" s="23">
        <v>1283.758</v>
      </c>
      <c r="C3720" s="23">
        <v>0</v>
      </c>
    </row>
    <row r="3721" spans="1:3" x14ac:dyDescent="0.25">
      <c r="A3721">
        <v>3720</v>
      </c>
      <c r="B3721" s="23">
        <v>1283.5619999999999</v>
      </c>
      <c r="C3721" s="23">
        <v>0</v>
      </c>
    </row>
    <row r="3722" spans="1:3" x14ac:dyDescent="0.25">
      <c r="A3722">
        <v>3721</v>
      </c>
      <c r="B3722" s="23">
        <v>1283.482411</v>
      </c>
      <c r="C3722" s="23">
        <v>0</v>
      </c>
    </row>
    <row r="3723" spans="1:3" x14ac:dyDescent="0.25">
      <c r="A3723">
        <v>3722</v>
      </c>
      <c r="B3723" s="23">
        <v>1283.48</v>
      </c>
      <c r="C3723" s="23">
        <v>0</v>
      </c>
    </row>
    <row r="3724" spans="1:3" x14ac:dyDescent="0.25">
      <c r="A3724">
        <v>3723</v>
      </c>
      <c r="B3724" s="23">
        <v>1283.2</v>
      </c>
      <c r="C3724" s="23">
        <v>0</v>
      </c>
    </row>
    <row r="3725" spans="1:3" x14ac:dyDescent="0.25">
      <c r="A3725">
        <v>3724</v>
      </c>
      <c r="B3725" s="23">
        <v>1283.2</v>
      </c>
      <c r="C3725" s="23">
        <v>0</v>
      </c>
    </row>
    <row r="3726" spans="1:3" x14ac:dyDescent="0.25">
      <c r="A3726">
        <v>3725</v>
      </c>
      <c r="B3726" s="23">
        <v>1283.0139999999999</v>
      </c>
      <c r="C3726" s="23">
        <v>0</v>
      </c>
    </row>
    <row r="3727" spans="1:3" x14ac:dyDescent="0.25">
      <c r="A3727">
        <v>3726</v>
      </c>
      <c r="B3727" s="23">
        <v>1282.8389999999999</v>
      </c>
      <c r="C3727" s="23">
        <v>0</v>
      </c>
    </row>
    <row r="3728" spans="1:3" x14ac:dyDescent="0.25">
      <c r="A3728">
        <v>3727</v>
      </c>
      <c r="B3728" s="23">
        <v>1282.7529999999999</v>
      </c>
      <c r="C3728" s="23">
        <v>0</v>
      </c>
    </row>
    <row r="3729" spans="1:3" x14ac:dyDescent="0.25">
      <c r="A3729">
        <v>3728</v>
      </c>
      <c r="B3729" s="23">
        <v>1282.7349999999999</v>
      </c>
      <c r="C3729" s="23">
        <v>0</v>
      </c>
    </row>
    <row r="3730" spans="1:3" x14ac:dyDescent="0.25">
      <c r="A3730">
        <v>3729</v>
      </c>
      <c r="B3730" s="23">
        <v>1282.724937</v>
      </c>
      <c r="C3730" s="23">
        <v>0</v>
      </c>
    </row>
    <row r="3731" spans="1:3" x14ac:dyDescent="0.25">
      <c r="A3731">
        <v>3730</v>
      </c>
      <c r="B3731" s="23">
        <v>1282.4000000000001</v>
      </c>
      <c r="C3731" s="23">
        <v>0</v>
      </c>
    </row>
    <row r="3732" spans="1:3" x14ac:dyDescent="0.25">
      <c r="A3732">
        <v>3731</v>
      </c>
      <c r="B3732" s="23">
        <v>1282.3572690000001</v>
      </c>
      <c r="C3732" s="23">
        <v>0</v>
      </c>
    </row>
    <row r="3733" spans="1:3" x14ac:dyDescent="0.25">
      <c r="A3733">
        <v>3732</v>
      </c>
      <c r="B3733" s="23">
        <v>1282.193158</v>
      </c>
      <c r="C3733" s="23">
        <v>0</v>
      </c>
    </row>
    <row r="3734" spans="1:3" x14ac:dyDescent="0.25">
      <c r="A3734">
        <v>3733</v>
      </c>
      <c r="B3734" s="23">
        <v>1282.0170000000001</v>
      </c>
      <c r="C3734" s="23">
        <v>0</v>
      </c>
    </row>
    <row r="3735" spans="1:3" x14ac:dyDescent="0.25">
      <c r="A3735">
        <v>3734</v>
      </c>
      <c r="B3735" s="23">
        <v>1282.0113710000001</v>
      </c>
      <c r="C3735" s="23">
        <v>0</v>
      </c>
    </row>
    <row r="3736" spans="1:3" x14ac:dyDescent="0.25">
      <c r="A3736">
        <v>3735</v>
      </c>
      <c r="B3736" s="23">
        <v>1281.6610000000001</v>
      </c>
      <c r="C3736" s="23">
        <v>0</v>
      </c>
    </row>
    <row r="3737" spans="1:3" x14ac:dyDescent="0.25">
      <c r="A3737">
        <v>3736</v>
      </c>
      <c r="B3737" s="23">
        <v>1281.64687</v>
      </c>
      <c r="C3737" s="23">
        <v>0</v>
      </c>
    </row>
    <row r="3738" spans="1:3" x14ac:dyDescent="0.25">
      <c r="A3738">
        <v>3737</v>
      </c>
      <c r="B3738" s="23">
        <v>1281.5999999999999</v>
      </c>
      <c r="C3738" s="23">
        <v>0</v>
      </c>
    </row>
    <row r="3739" spans="1:3" x14ac:dyDescent="0.25">
      <c r="A3739">
        <v>3738</v>
      </c>
      <c r="B3739" s="23">
        <v>1281.582011</v>
      </c>
      <c r="C3739" s="23">
        <v>0</v>
      </c>
    </row>
    <row r="3740" spans="1:3" x14ac:dyDescent="0.25">
      <c r="A3740">
        <v>3739</v>
      </c>
      <c r="B3740" s="23">
        <v>1281.2940000000001</v>
      </c>
      <c r="C3740" s="23">
        <v>0</v>
      </c>
    </row>
    <row r="3741" spans="1:3" x14ac:dyDescent="0.25">
      <c r="A3741">
        <v>3740</v>
      </c>
      <c r="B3741" s="23">
        <v>1281.2460000000001</v>
      </c>
      <c r="C3741" s="23">
        <v>0</v>
      </c>
    </row>
    <row r="3742" spans="1:3" x14ac:dyDescent="0.25">
      <c r="A3742">
        <v>3741</v>
      </c>
      <c r="B3742" s="23">
        <v>1281.0530000000001</v>
      </c>
      <c r="C3742" s="23">
        <v>0</v>
      </c>
    </row>
    <row r="3743" spans="1:3" x14ac:dyDescent="0.25">
      <c r="A3743">
        <v>3742</v>
      </c>
      <c r="B3743" s="23">
        <v>1280.998</v>
      </c>
      <c r="C3743" s="23">
        <v>0</v>
      </c>
    </row>
    <row r="3744" spans="1:3" x14ac:dyDescent="0.25">
      <c r="A3744">
        <v>3743</v>
      </c>
      <c r="B3744" s="23">
        <v>1280.894</v>
      </c>
      <c r="C3744" s="23">
        <v>0</v>
      </c>
    </row>
    <row r="3745" spans="1:3" x14ac:dyDescent="0.25">
      <c r="A3745">
        <v>3744</v>
      </c>
      <c r="B3745" s="23">
        <v>1280.8</v>
      </c>
      <c r="C3745" s="23">
        <v>0</v>
      </c>
    </row>
    <row r="3746" spans="1:3" x14ac:dyDescent="0.25">
      <c r="A3746">
        <v>3745</v>
      </c>
      <c r="B3746" s="23">
        <v>1280.8</v>
      </c>
      <c r="C3746" s="23">
        <v>0</v>
      </c>
    </row>
    <row r="3747" spans="1:3" x14ac:dyDescent="0.25">
      <c r="A3747">
        <v>3746</v>
      </c>
      <c r="B3747" s="23">
        <v>1280.8</v>
      </c>
      <c r="C3747" s="23">
        <v>0</v>
      </c>
    </row>
    <row r="3748" spans="1:3" x14ac:dyDescent="0.25">
      <c r="A3748">
        <v>3747</v>
      </c>
      <c r="B3748" s="23">
        <v>1280.7829999999999</v>
      </c>
      <c r="C3748" s="23">
        <v>0</v>
      </c>
    </row>
    <row r="3749" spans="1:3" x14ac:dyDescent="0.25">
      <c r="A3749">
        <v>3748</v>
      </c>
      <c r="B3749" s="23">
        <v>1280.5993820000001</v>
      </c>
      <c r="C3749" s="23">
        <v>0</v>
      </c>
    </row>
    <row r="3750" spans="1:3" x14ac:dyDescent="0.25">
      <c r="A3750">
        <v>3749</v>
      </c>
      <c r="B3750" s="23">
        <v>1280.4232569999999</v>
      </c>
      <c r="C3750" s="23">
        <v>0</v>
      </c>
    </row>
    <row r="3751" spans="1:3" x14ac:dyDescent="0.25">
      <c r="A3751">
        <v>3750</v>
      </c>
      <c r="B3751" s="23">
        <v>1280.1089999999999</v>
      </c>
      <c r="C3751" s="23">
        <v>0</v>
      </c>
    </row>
    <row r="3752" spans="1:3" x14ac:dyDescent="0.25">
      <c r="A3752">
        <v>3751</v>
      </c>
      <c r="B3752" s="23">
        <v>1280.0930000000001</v>
      </c>
      <c r="C3752" s="23">
        <v>0</v>
      </c>
    </row>
    <row r="3753" spans="1:3" x14ac:dyDescent="0.25">
      <c r="A3753">
        <v>3752</v>
      </c>
      <c r="B3753" s="23">
        <v>1280</v>
      </c>
      <c r="C3753" s="23">
        <v>0</v>
      </c>
    </row>
    <row r="3754" spans="1:3" x14ac:dyDescent="0.25">
      <c r="A3754">
        <v>3753</v>
      </c>
      <c r="B3754" s="23">
        <v>1280</v>
      </c>
      <c r="C3754" s="23">
        <v>0</v>
      </c>
    </row>
    <row r="3755" spans="1:3" x14ac:dyDescent="0.25">
      <c r="A3755">
        <v>3754</v>
      </c>
      <c r="B3755" s="23">
        <v>1280</v>
      </c>
      <c r="C3755" s="23">
        <v>0</v>
      </c>
    </row>
    <row r="3756" spans="1:3" x14ac:dyDescent="0.25">
      <c r="A3756">
        <v>3755</v>
      </c>
      <c r="B3756" s="23">
        <v>1279.819</v>
      </c>
      <c r="C3756" s="23">
        <v>0</v>
      </c>
    </row>
    <row r="3757" spans="1:3" x14ac:dyDescent="0.25">
      <c r="A3757">
        <v>3756</v>
      </c>
      <c r="B3757" s="23">
        <v>1279.804811</v>
      </c>
      <c r="C3757" s="23">
        <v>0</v>
      </c>
    </row>
    <row r="3758" spans="1:3" x14ac:dyDescent="0.25">
      <c r="A3758">
        <v>3757</v>
      </c>
      <c r="B3758" s="23">
        <v>1279.2450160000001</v>
      </c>
      <c r="C3758" s="23">
        <v>0</v>
      </c>
    </row>
    <row r="3759" spans="1:3" x14ac:dyDescent="0.25">
      <c r="A3759">
        <v>3758</v>
      </c>
      <c r="B3759" s="23">
        <v>1279.100236</v>
      </c>
      <c r="C3759" s="23">
        <v>0</v>
      </c>
    </row>
    <row r="3760" spans="1:3" x14ac:dyDescent="0.25">
      <c r="A3760">
        <v>3759</v>
      </c>
      <c r="B3760" s="23">
        <v>1278.874237</v>
      </c>
      <c r="C3760" s="23">
        <v>0</v>
      </c>
    </row>
    <row r="3761" spans="1:3" x14ac:dyDescent="0.25">
      <c r="A3761">
        <v>3760</v>
      </c>
      <c r="B3761" s="23">
        <v>1278.5809429999999</v>
      </c>
      <c r="C3761" s="23">
        <v>0</v>
      </c>
    </row>
    <row r="3762" spans="1:3" x14ac:dyDescent="0.25">
      <c r="A3762">
        <v>3761</v>
      </c>
      <c r="B3762" s="23">
        <v>1278.412</v>
      </c>
      <c r="C3762" s="23">
        <v>0</v>
      </c>
    </row>
    <row r="3763" spans="1:3" x14ac:dyDescent="0.25">
      <c r="A3763">
        <v>3762</v>
      </c>
      <c r="B3763" s="23">
        <v>1278.26812</v>
      </c>
      <c r="C3763" s="23">
        <v>0</v>
      </c>
    </row>
    <row r="3764" spans="1:3" x14ac:dyDescent="0.25">
      <c r="A3764">
        <v>3763</v>
      </c>
      <c r="B3764" s="23">
        <v>1278.239</v>
      </c>
      <c r="C3764" s="23">
        <v>0</v>
      </c>
    </row>
    <row r="3765" spans="1:3" x14ac:dyDescent="0.25">
      <c r="A3765">
        <v>3764</v>
      </c>
      <c r="B3765" s="23">
        <v>1278.2370000000001</v>
      </c>
      <c r="C3765" s="23">
        <v>0</v>
      </c>
    </row>
    <row r="3766" spans="1:3" x14ac:dyDescent="0.25">
      <c r="A3766">
        <v>3765</v>
      </c>
      <c r="B3766" s="23">
        <v>1278.067</v>
      </c>
      <c r="C3766" s="23">
        <v>0</v>
      </c>
    </row>
    <row r="3767" spans="1:3" x14ac:dyDescent="0.25">
      <c r="A3767">
        <v>3766</v>
      </c>
      <c r="B3767" s="23">
        <v>1278.0219999999999</v>
      </c>
      <c r="C3767" s="23">
        <v>0</v>
      </c>
    </row>
    <row r="3768" spans="1:3" x14ac:dyDescent="0.25">
      <c r="A3768">
        <v>3767</v>
      </c>
      <c r="B3768" s="23">
        <v>1278.001</v>
      </c>
      <c r="C3768" s="23">
        <v>0</v>
      </c>
    </row>
    <row r="3769" spans="1:3" x14ac:dyDescent="0.25">
      <c r="A3769">
        <v>3768</v>
      </c>
      <c r="B3769" s="23">
        <v>1277.5999999999999</v>
      </c>
      <c r="C3769" s="23">
        <v>0</v>
      </c>
    </row>
    <row r="3770" spans="1:3" x14ac:dyDescent="0.25">
      <c r="A3770">
        <v>3769</v>
      </c>
      <c r="B3770" s="23">
        <v>1277.5999999999999</v>
      </c>
      <c r="C3770" s="23">
        <v>0</v>
      </c>
    </row>
    <row r="3771" spans="1:3" x14ac:dyDescent="0.25">
      <c r="A3771">
        <v>3770</v>
      </c>
      <c r="B3771" s="23">
        <v>1277.5982509999999</v>
      </c>
      <c r="C3771" s="23">
        <v>0</v>
      </c>
    </row>
    <row r="3772" spans="1:3" x14ac:dyDescent="0.25">
      <c r="A3772">
        <v>3771</v>
      </c>
      <c r="B3772" s="23">
        <v>1277.595</v>
      </c>
      <c r="C3772" s="23">
        <v>0</v>
      </c>
    </row>
    <row r="3773" spans="1:3" x14ac:dyDescent="0.25">
      <c r="A3773">
        <v>3772</v>
      </c>
      <c r="B3773" s="23">
        <v>1277.5</v>
      </c>
      <c r="C3773" s="23">
        <v>0</v>
      </c>
    </row>
    <row r="3774" spans="1:3" x14ac:dyDescent="0.25">
      <c r="A3774">
        <v>3773</v>
      </c>
      <c r="B3774" s="23">
        <v>1277.059</v>
      </c>
      <c r="C3774" s="23">
        <v>0</v>
      </c>
    </row>
    <row r="3775" spans="1:3" x14ac:dyDescent="0.25">
      <c r="A3775">
        <v>3774</v>
      </c>
      <c r="B3775" s="23">
        <v>1276.967543</v>
      </c>
      <c r="C3775" s="23">
        <v>0</v>
      </c>
    </row>
    <row r="3776" spans="1:3" x14ac:dyDescent="0.25">
      <c r="A3776">
        <v>3775</v>
      </c>
      <c r="B3776" s="23">
        <v>1276.8627309999999</v>
      </c>
      <c r="C3776" s="23">
        <v>0</v>
      </c>
    </row>
    <row r="3777" spans="1:3" x14ac:dyDescent="0.25">
      <c r="A3777">
        <v>3776</v>
      </c>
      <c r="B3777" s="23">
        <v>1276.8</v>
      </c>
      <c r="C3777" s="23">
        <v>0</v>
      </c>
    </row>
    <row r="3778" spans="1:3" x14ac:dyDescent="0.25">
      <c r="A3778">
        <v>3777</v>
      </c>
      <c r="B3778" s="23">
        <v>1276.6757030000001</v>
      </c>
      <c r="C3778" s="23">
        <v>0</v>
      </c>
    </row>
    <row r="3779" spans="1:3" x14ac:dyDescent="0.25">
      <c r="A3779">
        <v>3778</v>
      </c>
      <c r="B3779" s="23">
        <v>1276.4970000000001</v>
      </c>
      <c r="C3779" s="23">
        <v>0</v>
      </c>
    </row>
    <row r="3780" spans="1:3" x14ac:dyDescent="0.25">
      <c r="A3780">
        <v>3779</v>
      </c>
      <c r="B3780" s="23">
        <v>1276.2190000000001</v>
      </c>
      <c r="C3780" s="23">
        <v>0</v>
      </c>
    </row>
    <row r="3781" spans="1:3" x14ac:dyDescent="0.25">
      <c r="A3781">
        <v>3780</v>
      </c>
      <c r="B3781" s="23">
        <v>1276.127211</v>
      </c>
      <c r="C3781" s="23">
        <v>0</v>
      </c>
    </row>
    <row r="3782" spans="1:3" x14ac:dyDescent="0.25">
      <c r="A3782">
        <v>3781</v>
      </c>
      <c r="B3782" s="23">
        <v>1276</v>
      </c>
      <c r="C3782" s="23">
        <v>0</v>
      </c>
    </row>
    <row r="3783" spans="1:3" x14ac:dyDescent="0.25">
      <c r="A3783">
        <v>3782</v>
      </c>
      <c r="B3783" s="23">
        <v>1276</v>
      </c>
      <c r="C3783" s="23">
        <v>0</v>
      </c>
    </row>
    <row r="3784" spans="1:3" x14ac:dyDescent="0.25">
      <c r="A3784">
        <v>3783</v>
      </c>
      <c r="B3784" s="23">
        <v>1276</v>
      </c>
      <c r="C3784" s="23">
        <v>0</v>
      </c>
    </row>
    <row r="3785" spans="1:3" x14ac:dyDescent="0.25">
      <c r="A3785">
        <v>3784</v>
      </c>
      <c r="B3785" s="23">
        <v>1275.9642679999999</v>
      </c>
      <c r="C3785" s="23">
        <v>0</v>
      </c>
    </row>
    <row r="3786" spans="1:3" x14ac:dyDescent="0.25">
      <c r="A3786">
        <v>3785</v>
      </c>
      <c r="B3786" s="23">
        <v>1275.894</v>
      </c>
      <c r="C3786" s="23">
        <v>0</v>
      </c>
    </row>
    <row r="3787" spans="1:3" x14ac:dyDescent="0.25">
      <c r="A3787">
        <v>3786</v>
      </c>
      <c r="B3787" s="23">
        <v>1275.732493</v>
      </c>
      <c r="C3787" s="23">
        <v>0</v>
      </c>
    </row>
    <row r="3788" spans="1:3" x14ac:dyDescent="0.25">
      <c r="A3788">
        <v>3787</v>
      </c>
      <c r="B3788" s="23">
        <v>1275.693174</v>
      </c>
      <c r="C3788" s="23">
        <v>0</v>
      </c>
    </row>
    <row r="3789" spans="1:3" x14ac:dyDescent="0.25">
      <c r="A3789">
        <v>3788</v>
      </c>
      <c r="B3789" s="23">
        <v>1275.614</v>
      </c>
      <c r="C3789" s="23">
        <v>0</v>
      </c>
    </row>
    <row r="3790" spans="1:3" x14ac:dyDescent="0.25">
      <c r="A3790">
        <v>3789</v>
      </c>
      <c r="B3790" s="23">
        <v>1275.5440860000001</v>
      </c>
      <c r="C3790" s="23">
        <v>0</v>
      </c>
    </row>
    <row r="3791" spans="1:3" x14ac:dyDescent="0.25">
      <c r="A3791">
        <v>3790</v>
      </c>
      <c r="B3791" s="23">
        <v>1275.391691</v>
      </c>
      <c r="C3791" s="23">
        <v>0</v>
      </c>
    </row>
    <row r="3792" spans="1:3" x14ac:dyDescent="0.25">
      <c r="A3792">
        <v>3791</v>
      </c>
      <c r="B3792" s="23">
        <v>1275.2</v>
      </c>
      <c r="C3792" s="23">
        <v>0</v>
      </c>
    </row>
    <row r="3793" spans="1:3" x14ac:dyDescent="0.25">
      <c r="A3793">
        <v>3792</v>
      </c>
      <c r="B3793" s="23">
        <v>1275.021164</v>
      </c>
      <c r="C3793" s="23">
        <v>0</v>
      </c>
    </row>
    <row r="3794" spans="1:3" x14ac:dyDescent="0.25">
      <c r="A3794">
        <v>3793</v>
      </c>
      <c r="B3794" s="23">
        <v>1274.955555</v>
      </c>
      <c r="C3794" s="23">
        <v>0</v>
      </c>
    </row>
    <row r="3795" spans="1:3" x14ac:dyDescent="0.25">
      <c r="A3795">
        <v>3794</v>
      </c>
      <c r="B3795" s="23">
        <v>1274.8271010000001</v>
      </c>
      <c r="C3795" s="23">
        <v>0</v>
      </c>
    </row>
    <row r="3796" spans="1:3" x14ac:dyDescent="0.25">
      <c r="A3796">
        <v>3795</v>
      </c>
      <c r="B3796" s="23">
        <v>1274.6729439999999</v>
      </c>
      <c r="C3796" s="23">
        <v>0</v>
      </c>
    </row>
    <row r="3797" spans="1:3" x14ac:dyDescent="0.25">
      <c r="A3797">
        <v>3796</v>
      </c>
      <c r="B3797" s="23">
        <v>1274.6561710000001</v>
      </c>
      <c r="C3797" s="23">
        <v>0</v>
      </c>
    </row>
    <row r="3798" spans="1:3" x14ac:dyDescent="0.25">
      <c r="A3798">
        <v>3797</v>
      </c>
      <c r="B3798" s="23">
        <v>1274.4380000000001</v>
      </c>
      <c r="C3798" s="23">
        <v>0</v>
      </c>
    </row>
    <row r="3799" spans="1:3" x14ac:dyDescent="0.25">
      <c r="A3799">
        <v>3798</v>
      </c>
      <c r="B3799" s="23">
        <v>1274.4000000000001</v>
      </c>
      <c r="C3799" s="23">
        <v>0</v>
      </c>
    </row>
    <row r="3800" spans="1:3" x14ac:dyDescent="0.25">
      <c r="A3800">
        <v>3799</v>
      </c>
      <c r="B3800" s="23">
        <v>1274.4000000000001</v>
      </c>
      <c r="C3800" s="23">
        <v>0</v>
      </c>
    </row>
    <row r="3801" spans="1:3" x14ac:dyDescent="0.25">
      <c r="A3801">
        <v>3800</v>
      </c>
      <c r="B3801" s="23">
        <v>1274.4000000000001</v>
      </c>
      <c r="C3801" s="23">
        <v>0</v>
      </c>
    </row>
    <row r="3802" spans="1:3" x14ac:dyDescent="0.25">
      <c r="A3802">
        <v>3801</v>
      </c>
      <c r="B3802" s="23">
        <v>1274.4000000000001</v>
      </c>
      <c r="C3802" s="23">
        <v>0</v>
      </c>
    </row>
    <row r="3803" spans="1:3" x14ac:dyDescent="0.25">
      <c r="A3803">
        <v>3802</v>
      </c>
      <c r="B3803" s="23">
        <v>1274.4000000000001</v>
      </c>
      <c r="C3803" s="23">
        <v>0</v>
      </c>
    </row>
    <row r="3804" spans="1:3" x14ac:dyDescent="0.25">
      <c r="A3804">
        <v>3803</v>
      </c>
      <c r="B3804" s="23">
        <v>1274.4000000000001</v>
      </c>
      <c r="C3804" s="23">
        <v>0</v>
      </c>
    </row>
    <row r="3805" spans="1:3" x14ac:dyDescent="0.25">
      <c r="A3805">
        <v>3804</v>
      </c>
      <c r="B3805" s="23">
        <v>1274.3118059999999</v>
      </c>
      <c r="C3805" s="23">
        <v>0</v>
      </c>
    </row>
    <row r="3806" spans="1:3" x14ac:dyDescent="0.25">
      <c r="A3806">
        <v>3805</v>
      </c>
      <c r="B3806" s="23">
        <v>1274.3118059999999</v>
      </c>
      <c r="C3806" s="23">
        <v>0</v>
      </c>
    </row>
    <row r="3807" spans="1:3" x14ac:dyDescent="0.25">
      <c r="A3807">
        <v>3806</v>
      </c>
      <c r="B3807" s="23">
        <v>1274.1199999999999</v>
      </c>
      <c r="C3807" s="23">
        <v>0</v>
      </c>
    </row>
    <row r="3808" spans="1:3" x14ac:dyDescent="0.25">
      <c r="A3808">
        <v>3807</v>
      </c>
      <c r="B3808" s="23">
        <v>1274.0129999999999</v>
      </c>
      <c r="C3808" s="23">
        <v>0</v>
      </c>
    </row>
    <row r="3809" spans="1:3" x14ac:dyDescent="0.25">
      <c r="A3809">
        <v>3808</v>
      </c>
      <c r="B3809" s="23">
        <v>1273.6790000000001</v>
      </c>
      <c r="C3809" s="23">
        <v>0</v>
      </c>
    </row>
    <row r="3810" spans="1:3" x14ac:dyDescent="0.25">
      <c r="A3810">
        <v>3809</v>
      </c>
      <c r="B3810" s="23">
        <v>1273.643</v>
      </c>
      <c r="C3810" s="23">
        <v>0</v>
      </c>
    </row>
    <row r="3811" spans="1:3" x14ac:dyDescent="0.25">
      <c r="A3811">
        <v>3810</v>
      </c>
      <c r="B3811" s="23">
        <v>1273.36114</v>
      </c>
      <c r="C3811" s="23">
        <v>0</v>
      </c>
    </row>
    <row r="3812" spans="1:3" x14ac:dyDescent="0.25">
      <c r="A3812">
        <v>3811</v>
      </c>
      <c r="B3812" s="23">
        <v>1273.342259</v>
      </c>
      <c r="C3812" s="23">
        <v>0</v>
      </c>
    </row>
    <row r="3813" spans="1:3" x14ac:dyDescent="0.25">
      <c r="A3813">
        <v>3812</v>
      </c>
      <c r="B3813" s="23">
        <v>1273.22</v>
      </c>
      <c r="C3813" s="23">
        <v>0</v>
      </c>
    </row>
    <row r="3814" spans="1:3" x14ac:dyDescent="0.25">
      <c r="A3814">
        <v>3813</v>
      </c>
      <c r="B3814" s="23">
        <v>1272.8</v>
      </c>
      <c r="C3814" s="23">
        <v>0</v>
      </c>
    </row>
    <row r="3815" spans="1:3" x14ac:dyDescent="0.25">
      <c r="A3815">
        <v>3814</v>
      </c>
      <c r="B3815" s="23">
        <v>1272.8</v>
      </c>
      <c r="C3815" s="23">
        <v>0</v>
      </c>
    </row>
    <row r="3816" spans="1:3" x14ac:dyDescent="0.25">
      <c r="A3816">
        <v>3815</v>
      </c>
      <c r="B3816" s="23">
        <v>1272.8</v>
      </c>
      <c r="C3816" s="23">
        <v>0</v>
      </c>
    </row>
    <row r="3817" spans="1:3" x14ac:dyDescent="0.25">
      <c r="A3817">
        <v>3816</v>
      </c>
      <c r="B3817" s="23">
        <v>1272.8</v>
      </c>
      <c r="C3817" s="23">
        <v>0</v>
      </c>
    </row>
    <row r="3818" spans="1:3" x14ac:dyDescent="0.25">
      <c r="A3818">
        <v>3817</v>
      </c>
      <c r="B3818" s="23">
        <v>1272.5121300000001</v>
      </c>
      <c r="C3818" s="23">
        <v>0</v>
      </c>
    </row>
    <row r="3819" spans="1:3" x14ac:dyDescent="0.25">
      <c r="A3819">
        <v>3818</v>
      </c>
      <c r="B3819" s="23">
        <v>1272.449611</v>
      </c>
      <c r="C3819" s="23">
        <v>0</v>
      </c>
    </row>
    <row r="3820" spans="1:3" x14ac:dyDescent="0.25">
      <c r="A3820">
        <v>3819</v>
      </c>
      <c r="B3820" s="23">
        <v>1272</v>
      </c>
      <c r="C3820" s="23">
        <v>0</v>
      </c>
    </row>
    <row r="3821" spans="1:3" x14ac:dyDescent="0.25">
      <c r="A3821">
        <v>3820</v>
      </c>
      <c r="B3821" s="23">
        <v>1272</v>
      </c>
      <c r="C3821" s="23">
        <v>0</v>
      </c>
    </row>
    <row r="3822" spans="1:3" x14ac:dyDescent="0.25">
      <c r="A3822">
        <v>3821</v>
      </c>
      <c r="B3822" s="23">
        <v>1271.9290000000001</v>
      </c>
      <c r="C3822" s="23">
        <v>0</v>
      </c>
    </row>
    <row r="3823" spans="1:3" x14ac:dyDescent="0.25">
      <c r="A3823">
        <v>3822</v>
      </c>
      <c r="B3823" s="23">
        <v>1271.7254809999999</v>
      </c>
      <c r="C3823" s="23">
        <v>0</v>
      </c>
    </row>
    <row r="3824" spans="1:3" x14ac:dyDescent="0.25">
      <c r="A3824">
        <v>3823</v>
      </c>
      <c r="B3824" s="23">
        <v>1271.683</v>
      </c>
      <c r="C3824" s="23">
        <v>0</v>
      </c>
    </row>
    <row r="3825" spans="1:3" x14ac:dyDescent="0.25">
      <c r="A3825">
        <v>3824</v>
      </c>
      <c r="B3825" s="23">
        <v>1271.2</v>
      </c>
      <c r="C3825" s="23">
        <v>0</v>
      </c>
    </row>
    <row r="3826" spans="1:3" x14ac:dyDescent="0.25">
      <c r="A3826">
        <v>3825</v>
      </c>
      <c r="B3826" s="23">
        <v>1271.2</v>
      </c>
      <c r="C3826" s="23">
        <v>0</v>
      </c>
    </row>
    <row r="3827" spans="1:3" x14ac:dyDescent="0.25">
      <c r="A3827">
        <v>3826</v>
      </c>
      <c r="B3827" s="23">
        <v>1270.931135</v>
      </c>
      <c r="C3827" s="23">
        <v>0</v>
      </c>
    </row>
    <row r="3828" spans="1:3" x14ac:dyDescent="0.25">
      <c r="A3828">
        <v>3827</v>
      </c>
      <c r="B3828" s="23">
        <v>1270.907651</v>
      </c>
      <c r="C3828" s="23">
        <v>0</v>
      </c>
    </row>
    <row r="3829" spans="1:3" x14ac:dyDescent="0.25">
      <c r="A3829">
        <v>3828</v>
      </c>
      <c r="B3829" s="23">
        <v>1270.866</v>
      </c>
      <c r="C3829" s="23">
        <v>0</v>
      </c>
    </row>
    <row r="3830" spans="1:3" x14ac:dyDescent="0.25">
      <c r="A3830">
        <v>3829</v>
      </c>
      <c r="B3830" s="23">
        <v>1270.858387</v>
      </c>
      <c r="C3830" s="23">
        <v>0</v>
      </c>
    </row>
    <row r="3831" spans="1:3" x14ac:dyDescent="0.25">
      <c r="A3831">
        <v>3830</v>
      </c>
      <c r="B3831" s="23">
        <v>1270.7349300000001</v>
      </c>
      <c r="C3831" s="23">
        <v>0</v>
      </c>
    </row>
    <row r="3832" spans="1:3" x14ac:dyDescent="0.25">
      <c r="A3832">
        <v>3831</v>
      </c>
      <c r="B3832" s="23">
        <v>1270.68</v>
      </c>
      <c r="C3832" s="23">
        <v>0</v>
      </c>
    </row>
    <row r="3833" spans="1:3" x14ac:dyDescent="0.25">
      <c r="A3833">
        <v>3832</v>
      </c>
      <c r="B3833" s="23">
        <v>1270.558405</v>
      </c>
      <c r="C3833" s="23">
        <v>0</v>
      </c>
    </row>
    <row r="3834" spans="1:3" x14ac:dyDescent="0.25">
      <c r="A3834">
        <v>3833</v>
      </c>
      <c r="B3834" s="23">
        <v>1270.539</v>
      </c>
      <c r="C3834" s="23">
        <v>0</v>
      </c>
    </row>
    <row r="3835" spans="1:3" x14ac:dyDescent="0.25">
      <c r="A3835">
        <v>3834</v>
      </c>
      <c r="B3835" s="23">
        <v>1270.4000000000001</v>
      </c>
      <c r="C3835" s="23">
        <v>0</v>
      </c>
    </row>
    <row r="3836" spans="1:3" x14ac:dyDescent="0.25">
      <c r="A3836">
        <v>3835</v>
      </c>
      <c r="B3836" s="23">
        <v>1270.4000000000001</v>
      </c>
      <c r="C3836" s="23">
        <v>0</v>
      </c>
    </row>
    <row r="3837" spans="1:3" x14ac:dyDescent="0.25">
      <c r="A3837">
        <v>3836</v>
      </c>
      <c r="B3837" s="23">
        <v>1270.4000000000001</v>
      </c>
      <c r="C3837" s="23">
        <v>0</v>
      </c>
    </row>
    <row r="3838" spans="1:3" x14ac:dyDescent="0.25">
      <c r="A3838">
        <v>3837</v>
      </c>
      <c r="B3838" s="23">
        <v>1270.4000000000001</v>
      </c>
      <c r="C3838" s="23">
        <v>0</v>
      </c>
    </row>
    <row r="3839" spans="1:3" x14ac:dyDescent="0.25">
      <c r="A3839">
        <v>3838</v>
      </c>
      <c r="B3839" s="23">
        <v>1270.3320000000001</v>
      </c>
      <c r="C3839" s="23">
        <v>0</v>
      </c>
    </row>
    <row r="3840" spans="1:3" x14ac:dyDescent="0.25">
      <c r="A3840">
        <v>3839</v>
      </c>
      <c r="B3840" s="23">
        <v>1270.2939260000001</v>
      </c>
      <c r="C3840" s="23">
        <v>0</v>
      </c>
    </row>
    <row r="3841" spans="1:3" x14ac:dyDescent="0.25">
      <c r="A3841">
        <v>3840</v>
      </c>
      <c r="B3841" s="23">
        <v>1270.2430509999999</v>
      </c>
      <c r="C3841" s="23">
        <v>0</v>
      </c>
    </row>
    <row r="3842" spans="1:3" x14ac:dyDescent="0.25">
      <c r="A3842">
        <v>3841</v>
      </c>
      <c r="B3842" s="23">
        <v>1270.1677030000001</v>
      </c>
      <c r="C3842" s="23">
        <v>0</v>
      </c>
    </row>
    <row r="3843" spans="1:3" x14ac:dyDescent="0.25">
      <c r="A3843">
        <v>3842</v>
      </c>
      <c r="B3843" s="23">
        <v>1270.075</v>
      </c>
      <c r="C3843" s="23">
        <v>0</v>
      </c>
    </row>
    <row r="3844" spans="1:3" x14ac:dyDescent="0.25">
      <c r="A3844">
        <v>3843</v>
      </c>
      <c r="B3844" s="23">
        <v>1269.6824979999999</v>
      </c>
      <c r="C3844" s="23">
        <v>0</v>
      </c>
    </row>
    <row r="3845" spans="1:3" x14ac:dyDescent="0.25">
      <c r="A3845">
        <v>3844</v>
      </c>
      <c r="B3845" s="23">
        <v>1269.4807989999999</v>
      </c>
      <c r="C3845" s="23">
        <v>0</v>
      </c>
    </row>
    <row r="3846" spans="1:3" x14ac:dyDescent="0.25">
      <c r="A3846">
        <v>3845</v>
      </c>
      <c r="B3846" s="23">
        <v>1269.47811</v>
      </c>
      <c r="C3846" s="23">
        <v>0</v>
      </c>
    </row>
    <row r="3847" spans="1:3" x14ac:dyDescent="0.25">
      <c r="A3847">
        <v>3846</v>
      </c>
      <c r="B3847" s="23">
        <v>1269.4429459999999</v>
      </c>
      <c r="C3847" s="23">
        <v>0</v>
      </c>
    </row>
    <row r="3848" spans="1:3" x14ac:dyDescent="0.25">
      <c r="A3848">
        <v>3847</v>
      </c>
      <c r="B3848" s="23">
        <v>1269.133335</v>
      </c>
      <c r="C3848" s="23">
        <v>0</v>
      </c>
    </row>
    <row r="3849" spans="1:3" x14ac:dyDescent="0.25">
      <c r="A3849">
        <v>3848</v>
      </c>
      <c r="B3849" s="23">
        <v>1268.8</v>
      </c>
      <c r="C3849" s="23">
        <v>0</v>
      </c>
    </row>
    <row r="3850" spans="1:3" x14ac:dyDescent="0.25">
      <c r="A3850">
        <v>3849</v>
      </c>
      <c r="B3850" s="23">
        <v>1268.8</v>
      </c>
      <c r="C3850" s="23">
        <v>0</v>
      </c>
    </row>
    <row r="3851" spans="1:3" x14ac:dyDescent="0.25">
      <c r="A3851">
        <v>3850</v>
      </c>
      <c r="B3851" s="23">
        <v>1268.8</v>
      </c>
      <c r="C3851" s="23">
        <v>0</v>
      </c>
    </row>
    <row r="3852" spans="1:3" x14ac:dyDescent="0.25">
      <c r="A3852">
        <v>3851</v>
      </c>
      <c r="B3852" s="23">
        <v>1268.8</v>
      </c>
      <c r="C3852" s="23">
        <v>0</v>
      </c>
    </row>
    <row r="3853" spans="1:3" x14ac:dyDescent="0.25">
      <c r="A3853">
        <v>3852</v>
      </c>
      <c r="B3853" s="23">
        <v>1268.772011</v>
      </c>
      <c r="C3853" s="23">
        <v>0</v>
      </c>
    </row>
    <row r="3854" spans="1:3" x14ac:dyDescent="0.25">
      <c r="A3854">
        <v>3853</v>
      </c>
      <c r="B3854" s="23">
        <v>1268.6028409999999</v>
      </c>
      <c r="C3854" s="23">
        <v>0</v>
      </c>
    </row>
    <row r="3855" spans="1:3" x14ac:dyDescent="0.25">
      <c r="A3855">
        <v>3854</v>
      </c>
      <c r="B3855" s="23">
        <v>1268.3941380000001</v>
      </c>
      <c r="C3855" s="23">
        <v>0</v>
      </c>
    </row>
    <row r="3856" spans="1:3" x14ac:dyDescent="0.25">
      <c r="A3856">
        <v>3855</v>
      </c>
      <c r="B3856" s="23">
        <v>1268.221</v>
      </c>
      <c r="C3856" s="23">
        <v>0</v>
      </c>
    </row>
    <row r="3857" spans="1:3" x14ac:dyDescent="0.25">
      <c r="A3857">
        <v>3856</v>
      </c>
      <c r="B3857" s="23">
        <v>1268.1569999999999</v>
      </c>
      <c r="C3857" s="23">
        <v>0</v>
      </c>
    </row>
    <row r="3858" spans="1:3" x14ac:dyDescent="0.25">
      <c r="A3858">
        <v>3857</v>
      </c>
      <c r="B3858" s="23">
        <v>1268.07</v>
      </c>
      <c r="C3858" s="23">
        <v>0</v>
      </c>
    </row>
    <row r="3859" spans="1:3" x14ac:dyDescent="0.25">
      <c r="A3859">
        <v>3858</v>
      </c>
      <c r="B3859" s="23">
        <v>1268</v>
      </c>
      <c r="C3859" s="23">
        <v>0</v>
      </c>
    </row>
    <row r="3860" spans="1:3" x14ac:dyDescent="0.25">
      <c r="A3860">
        <v>3859</v>
      </c>
      <c r="B3860" s="23">
        <v>1268</v>
      </c>
      <c r="C3860" s="23">
        <v>0</v>
      </c>
    </row>
    <row r="3861" spans="1:3" x14ac:dyDescent="0.25">
      <c r="A3861">
        <v>3860</v>
      </c>
      <c r="B3861" s="23">
        <v>1268</v>
      </c>
      <c r="C3861" s="23">
        <v>0</v>
      </c>
    </row>
    <row r="3862" spans="1:3" x14ac:dyDescent="0.25">
      <c r="A3862">
        <v>3861</v>
      </c>
      <c r="B3862" s="23">
        <v>1267.963111</v>
      </c>
      <c r="C3862" s="23">
        <v>0</v>
      </c>
    </row>
    <row r="3863" spans="1:3" x14ac:dyDescent="0.25">
      <c r="A3863">
        <v>3862</v>
      </c>
      <c r="B3863" s="23">
        <v>1267.963111</v>
      </c>
      <c r="C3863" s="23">
        <v>0</v>
      </c>
    </row>
    <row r="3864" spans="1:3" x14ac:dyDescent="0.25">
      <c r="A3864">
        <v>3863</v>
      </c>
      <c r="B3864" s="23">
        <v>1267.883</v>
      </c>
      <c r="C3864" s="23">
        <v>0</v>
      </c>
    </row>
    <row r="3865" spans="1:3" x14ac:dyDescent="0.25">
      <c r="A3865">
        <v>3864</v>
      </c>
      <c r="B3865" s="23">
        <v>1267.674</v>
      </c>
      <c r="C3865" s="23">
        <v>0</v>
      </c>
    </row>
    <row r="3866" spans="1:3" x14ac:dyDescent="0.25">
      <c r="A3866">
        <v>3865</v>
      </c>
      <c r="B3866" s="23">
        <v>1267.6510000000001</v>
      </c>
      <c r="C3866" s="23">
        <v>0</v>
      </c>
    </row>
    <row r="3867" spans="1:3" x14ac:dyDescent="0.25">
      <c r="A3867">
        <v>3866</v>
      </c>
      <c r="B3867" s="23">
        <v>1267.6268500000001</v>
      </c>
      <c r="C3867" s="23">
        <v>0</v>
      </c>
    </row>
    <row r="3868" spans="1:3" x14ac:dyDescent="0.25">
      <c r="A3868">
        <v>3867</v>
      </c>
      <c r="B3868" s="23">
        <v>1267.43</v>
      </c>
      <c r="C3868" s="23">
        <v>0</v>
      </c>
    </row>
    <row r="3869" spans="1:3" x14ac:dyDescent="0.25">
      <c r="A3869">
        <v>3868</v>
      </c>
      <c r="B3869" s="23">
        <v>1267.398138</v>
      </c>
      <c r="C3869" s="23">
        <v>0</v>
      </c>
    </row>
    <row r="3870" spans="1:3" x14ac:dyDescent="0.25">
      <c r="A3870">
        <v>3869</v>
      </c>
      <c r="B3870" s="23">
        <v>1267.2</v>
      </c>
      <c r="C3870" s="23">
        <v>0</v>
      </c>
    </row>
    <row r="3871" spans="1:3" x14ac:dyDescent="0.25">
      <c r="A3871">
        <v>3870</v>
      </c>
      <c r="B3871" s="23">
        <v>1267.2</v>
      </c>
      <c r="C3871" s="23">
        <v>0</v>
      </c>
    </row>
    <row r="3872" spans="1:3" x14ac:dyDescent="0.25">
      <c r="A3872">
        <v>3871</v>
      </c>
      <c r="B3872" s="23">
        <v>1267.0965630000001</v>
      </c>
      <c r="C3872" s="23">
        <v>0</v>
      </c>
    </row>
    <row r="3873" spans="1:3" x14ac:dyDescent="0.25">
      <c r="A3873">
        <v>3872</v>
      </c>
      <c r="B3873" s="23">
        <v>1267.0522820000001</v>
      </c>
      <c r="C3873" s="23">
        <v>0</v>
      </c>
    </row>
    <row r="3874" spans="1:3" x14ac:dyDescent="0.25">
      <c r="A3874">
        <v>3873</v>
      </c>
      <c r="B3874" s="23">
        <v>1267.0522820000001</v>
      </c>
      <c r="C3874" s="23">
        <v>0</v>
      </c>
    </row>
    <row r="3875" spans="1:3" x14ac:dyDescent="0.25">
      <c r="A3875">
        <v>3874</v>
      </c>
      <c r="B3875" s="23">
        <v>1266.818501</v>
      </c>
      <c r="C3875" s="23">
        <v>0</v>
      </c>
    </row>
    <row r="3876" spans="1:3" x14ac:dyDescent="0.25">
      <c r="A3876">
        <v>3875</v>
      </c>
      <c r="B3876" s="23">
        <v>1266.559</v>
      </c>
      <c r="C3876" s="23">
        <v>0</v>
      </c>
    </row>
    <row r="3877" spans="1:3" x14ac:dyDescent="0.25">
      <c r="A3877">
        <v>3876</v>
      </c>
      <c r="B3877" s="23">
        <v>1266.4649999999999</v>
      </c>
      <c r="C3877" s="23">
        <v>0</v>
      </c>
    </row>
    <row r="3878" spans="1:3" x14ac:dyDescent="0.25">
      <c r="A3878">
        <v>3877</v>
      </c>
      <c r="B3878" s="23">
        <v>1266.4218539999999</v>
      </c>
      <c r="C3878" s="23">
        <v>0</v>
      </c>
    </row>
    <row r="3879" spans="1:3" x14ac:dyDescent="0.25">
      <c r="A3879">
        <v>3878</v>
      </c>
      <c r="B3879" s="23">
        <v>1266.4092350000001</v>
      </c>
      <c r="C3879" s="23">
        <v>0</v>
      </c>
    </row>
    <row r="3880" spans="1:3" x14ac:dyDescent="0.25">
      <c r="A3880">
        <v>3879</v>
      </c>
      <c r="B3880" s="23">
        <v>1266.4092350000001</v>
      </c>
      <c r="C3880" s="23">
        <v>0</v>
      </c>
    </row>
    <row r="3881" spans="1:3" x14ac:dyDescent="0.25">
      <c r="A3881">
        <v>3880</v>
      </c>
      <c r="B3881" s="23">
        <v>1266.4000000000001</v>
      </c>
      <c r="C3881" s="23">
        <v>0</v>
      </c>
    </row>
    <row r="3882" spans="1:3" x14ac:dyDescent="0.25">
      <c r="A3882">
        <v>3881</v>
      </c>
      <c r="B3882" s="23">
        <v>1266.4000000000001</v>
      </c>
      <c r="C3882" s="23">
        <v>0</v>
      </c>
    </row>
    <row r="3883" spans="1:3" x14ac:dyDescent="0.25">
      <c r="A3883">
        <v>3882</v>
      </c>
      <c r="B3883" s="23">
        <v>1266.4000000000001</v>
      </c>
      <c r="C3883" s="23">
        <v>0</v>
      </c>
    </row>
    <row r="3884" spans="1:3" x14ac:dyDescent="0.25">
      <c r="A3884">
        <v>3883</v>
      </c>
      <c r="B3884" s="23">
        <v>1266.4000000000001</v>
      </c>
      <c r="C3884" s="23">
        <v>0</v>
      </c>
    </row>
    <row r="3885" spans="1:3" x14ac:dyDescent="0.25">
      <c r="A3885">
        <v>3884</v>
      </c>
      <c r="B3885" s="23">
        <v>1266.3004639999999</v>
      </c>
      <c r="C3885" s="23">
        <v>0</v>
      </c>
    </row>
    <row r="3886" spans="1:3" x14ac:dyDescent="0.25">
      <c r="A3886">
        <v>3885</v>
      </c>
      <c r="B3886" s="23">
        <v>1265.998429</v>
      </c>
      <c r="C3886" s="23">
        <v>0</v>
      </c>
    </row>
    <row r="3887" spans="1:3" x14ac:dyDescent="0.25">
      <c r="A3887">
        <v>3886</v>
      </c>
      <c r="B3887" s="23">
        <v>1265.7870129999999</v>
      </c>
      <c r="C3887" s="23">
        <v>0</v>
      </c>
    </row>
    <row r="3888" spans="1:3" x14ac:dyDescent="0.25">
      <c r="A3888">
        <v>3887</v>
      </c>
      <c r="B3888" s="23">
        <v>1265.5999999999999</v>
      </c>
      <c r="C3888" s="23">
        <v>0</v>
      </c>
    </row>
    <row r="3889" spans="1:3" x14ac:dyDescent="0.25">
      <c r="A3889">
        <v>3888</v>
      </c>
      <c r="B3889" s="23">
        <v>1265.5999999999999</v>
      </c>
      <c r="C3889" s="23">
        <v>0</v>
      </c>
    </row>
    <row r="3890" spans="1:3" x14ac:dyDescent="0.25">
      <c r="A3890">
        <v>3889</v>
      </c>
      <c r="B3890" s="23">
        <v>1265.596965</v>
      </c>
      <c r="C3890" s="23">
        <v>0</v>
      </c>
    </row>
    <row r="3891" spans="1:3" x14ac:dyDescent="0.25">
      <c r="A3891">
        <v>3890</v>
      </c>
      <c r="B3891" s="23">
        <v>1265.5835320000001</v>
      </c>
      <c r="C3891" s="23">
        <v>0</v>
      </c>
    </row>
    <row r="3892" spans="1:3" x14ac:dyDescent="0.25">
      <c r="A3892">
        <v>3891</v>
      </c>
      <c r="B3892" s="23">
        <v>1265.5719999999999</v>
      </c>
      <c r="C3892" s="23">
        <v>0</v>
      </c>
    </row>
    <row r="3893" spans="1:3" x14ac:dyDescent="0.25">
      <c r="A3893">
        <v>3892</v>
      </c>
      <c r="B3893" s="23">
        <v>1265.533214</v>
      </c>
      <c r="C3893" s="23">
        <v>0</v>
      </c>
    </row>
    <row r="3894" spans="1:3" x14ac:dyDescent="0.25">
      <c r="A3894">
        <v>3893</v>
      </c>
      <c r="B3894" s="23">
        <v>1265.4585050000001</v>
      </c>
      <c r="C3894" s="23">
        <v>0</v>
      </c>
    </row>
    <row r="3895" spans="1:3" x14ac:dyDescent="0.25">
      <c r="A3895">
        <v>3894</v>
      </c>
      <c r="B3895" s="23">
        <v>1265.2016860000001</v>
      </c>
      <c r="C3895" s="23">
        <v>0</v>
      </c>
    </row>
    <row r="3896" spans="1:3" x14ac:dyDescent="0.25">
      <c r="A3896">
        <v>3895</v>
      </c>
      <c r="B3896" s="23">
        <v>1265.094411</v>
      </c>
      <c r="C3896" s="23">
        <v>0</v>
      </c>
    </row>
    <row r="3897" spans="1:3" x14ac:dyDescent="0.25">
      <c r="A3897">
        <v>3896</v>
      </c>
      <c r="B3897" s="23">
        <v>1264.8</v>
      </c>
      <c r="C3897" s="23">
        <v>0</v>
      </c>
    </row>
    <row r="3898" spans="1:3" x14ac:dyDescent="0.25">
      <c r="A3898">
        <v>3897</v>
      </c>
      <c r="B3898" s="23">
        <v>1264.8</v>
      </c>
      <c r="C3898" s="23">
        <v>0</v>
      </c>
    </row>
    <row r="3899" spans="1:3" x14ac:dyDescent="0.25">
      <c r="A3899">
        <v>3898</v>
      </c>
      <c r="B3899" s="23">
        <v>1264.8</v>
      </c>
      <c r="C3899" s="23">
        <v>0</v>
      </c>
    </row>
    <row r="3900" spans="1:3" x14ac:dyDescent="0.25">
      <c r="A3900">
        <v>3899</v>
      </c>
      <c r="B3900" s="23">
        <v>1264.732</v>
      </c>
      <c r="C3900" s="23">
        <v>0</v>
      </c>
    </row>
    <row r="3901" spans="1:3" x14ac:dyDescent="0.25">
      <c r="A3901">
        <v>3900</v>
      </c>
      <c r="B3901" s="23">
        <v>1264.5446730000001</v>
      </c>
      <c r="C3901" s="23">
        <v>0</v>
      </c>
    </row>
    <row r="3902" spans="1:3" x14ac:dyDescent="0.25">
      <c r="A3902">
        <v>3901</v>
      </c>
      <c r="B3902" s="23">
        <v>1264.538</v>
      </c>
      <c r="C3902" s="23">
        <v>0</v>
      </c>
    </row>
    <row r="3903" spans="1:3" x14ac:dyDescent="0.25">
      <c r="A3903">
        <v>3902</v>
      </c>
      <c r="B3903" s="23">
        <v>1264.464622</v>
      </c>
      <c r="C3903" s="23">
        <v>0</v>
      </c>
    </row>
    <row r="3904" spans="1:3" x14ac:dyDescent="0.25">
      <c r="A3904">
        <v>3903</v>
      </c>
      <c r="B3904" s="23">
        <v>1264</v>
      </c>
      <c r="C3904" s="23">
        <v>0</v>
      </c>
    </row>
    <row r="3905" spans="1:3" x14ac:dyDescent="0.25">
      <c r="A3905">
        <v>3904</v>
      </c>
      <c r="B3905" s="23">
        <v>1263.9142919999999</v>
      </c>
      <c r="C3905" s="23">
        <v>0</v>
      </c>
    </row>
    <row r="3906" spans="1:3" x14ac:dyDescent="0.25">
      <c r="A3906">
        <v>3905</v>
      </c>
      <c r="B3906" s="23">
        <v>1263.8647289999999</v>
      </c>
      <c r="C3906" s="23">
        <v>0</v>
      </c>
    </row>
    <row r="3907" spans="1:3" x14ac:dyDescent="0.25">
      <c r="A3907">
        <v>3906</v>
      </c>
      <c r="B3907" s="23">
        <v>1263.8647289999999</v>
      </c>
      <c r="C3907" s="23">
        <v>0</v>
      </c>
    </row>
    <row r="3908" spans="1:3" x14ac:dyDescent="0.25">
      <c r="A3908">
        <v>3907</v>
      </c>
      <c r="B3908" s="23">
        <v>1263.8647289999999</v>
      </c>
      <c r="C3908" s="23">
        <v>0</v>
      </c>
    </row>
    <row r="3909" spans="1:3" x14ac:dyDescent="0.25">
      <c r="A3909">
        <v>3908</v>
      </c>
      <c r="B3909" s="23">
        <v>1263.657144</v>
      </c>
      <c r="C3909" s="23">
        <v>0</v>
      </c>
    </row>
    <row r="3910" spans="1:3" x14ac:dyDescent="0.25">
      <c r="A3910">
        <v>3909</v>
      </c>
      <c r="B3910" s="23">
        <v>1263.4749999999999</v>
      </c>
      <c r="C3910" s="23">
        <v>0</v>
      </c>
    </row>
    <row r="3911" spans="1:3" x14ac:dyDescent="0.25">
      <c r="A3911">
        <v>3910</v>
      </c>
      <c r="B3911" s="23">
        <v>1263.2608640000001</v>
      </c>
      <c r="C3911" s="23">
        <v>0</v>
      </c>
    </row>
    <row r="3912" spans="1:3" x14ac:dyDescent="0.25">
      <c r="A3912">
        <v>3911</v>
      </c>
      <c r="B3912" s="23">
        <v>1263.2570000000001</v>
      </c>
      <c r="C3912" s="23">
        <v>0</v>
      </c>
    </row>
    <row r="3913" spans="1:3" x14ac:dyDescent="0.25">
      <c r="A3913">
        <v>3912</v>
      </c>
      <c r="B3913" s="23">
        <v>1263.2</v>
      </c>
      <c r="C3913" s="23">
        <v>0</v>
      </c>
    </row>
    <row r="3914" spans="1:3" x14ac:dyDescent="0.25">
      <c r="A3914">
        <v>3913</v>
      </c>
      <c r="B3914" s="23">
        <v>1262.5245440000001</v>
      </c>
      <c r="C3914" s="23">
        <v>0</v>
      </c>
    </row>
    <row r="3915" spans="1:3" x14ac:dyDescent="0.25">
      <c r="A3915">
        <v>3914</v>
      </c>
      <c r="B3915" s="23">
        <v>1262.5245440000001</v>
      </c>
      <c r="C3915" s="23">
        <v>0</v>
      </c>
    </row>
    <row r="3916" spans="1:3" x14ac:dyDescent="0.25">
      <c r="A3916">
        <v>3915</v>
      </c>
      <c r="B3916" s="23">
        <v>1262.4000000000001</v>
      </c>
      <c r="C3916" s="23">
        <v>0</v>
      </c>
    </row>
    <row r="3917" spans="1:3" x14ac:dyDescent="0.25">
      <c r="A3917">
        <v>3916</v>
      </c>
      <c r="B3917" s="23">
        <v>1262.4000000000001</v>
      </c>
      <c r="C3917" s="23">
        <v>0</v>
      </c>
    </row>
    <row r="3918" spans="1:3" x14ac:dyDescent="0.25">
      <c r="A3918">
        <v>3917</v>
      </c>
      <c r="B3918" s="23">
        <v>1262.4000000000001</v>
      </c>
      <c r="C3918" s="23">
        <v>0</v>
      </c>
    </row>
    <row r="3919" spans="1:3" x14ac:dyDescent="0.25">
      <c r="A3919">
        <v>3918</v>
      </c>
      <c r="B3919" s="23">
        <v>1262.2861359999999</v>
      </c>
      <c r="C3919" s="23">
        <v>0</v>
      </c>
    </row>
    <row r="3920" spans="1:3" x14ac:dyDescent="0.25">
      <c r="A3920">
        <v>3919</v>
      </c>
      <c r="B3920" s="23">
        <v>1262.1949999999999</v>
      </c>
      <c r="C3920" s="23">
        <v>0</v>
      </c>
    </row>
    <row r="3921" spans="1:3" x14ac:dyDescent="0.25">
      <c r="A3921">
        <v>3920</v>
      </c>
      <c r="B3921" s="23">
        <v>1262.152331</v>
      </c>
      <c r="C3921" s="23">
        <v>0</v>
      </c>
    </row>
    <row r="3922" spans="1:3" x14ac:dyDescent="0.25">
      <c r="A3922">
        <v>3921</v>
      </c>
      <c r="B3922" s="23">
        <v>1262.0250000000001</v>
      </c>
      <c r="C3922" s="23">
        <v>0</v>
      </c>
    </row>
    <row r="3923" spans="1:3" x14ac:dyDescent="0.25">
      <c r="A3923">
        <v>3922</v>
      </c>
      <c r="B3923" s="23">
        <v>1261.718374</v>
      </c>
      <c r="C3923" s="23">
        <v>0</v>
      </c>
    </row>
    <row r="3924" spans="1:3" x14ac:dyDescent="0.25">
      <c r="A3924">
        <v>3923</v>
      </c>
      <c r="B3924" s="23">
        <v>1261.7049999999999</v>
      </c>
      <c r="C3924" s="23">
        <v>0</v>
      </c>
    </row>
    <row r="3925" spans="1:3" x14ac:dyDescent="0.25">
      <c r="A3925">
        <v>3924</v>
      </c>
      <c r="B3925" s="23">
        <v>1261.5999999999999</v>
      </c>
      <c r="C3925" s="23">
        <v>0</v>
      </c>
    </row>
    <row r="3926" spans="1:3" x14ac:dyDescent="0.25">
      <c r="A3926">
        <v>3925</v>
      </c>
      <c r="B3926" s="23">
        <v>1261.3219999999999</v>
      </c>
      <c r="C3926" s="23">
        <v>0</v>
      </c>
    </row>
    <row r="3927" spans="1:3" x14ac:dyDescent="0.25">
      <c r="A3927">
        <v>3926</v>
      </c>
      <c r="B3927" s="23">
        <v>1261.1110000000001</v>
      </c>
      <c r="C3927" s="23">
        <v>0</v>
      </c>
    </row>
    <row r="3928" spans="1:3" x14ac:dyDescent="0.25">
      <c r="A3928">
        <v>3927</v>
      </c>
      <c r="B3928" s="23">
        <v>1260.977466</v>
      </c>
      <c r="C3928" s="23">
        <v>0</v>
      </c>
    </row>
    <row r="3929" spans="1:3" x14ac:dyDescent="0.25">
      <c r="A3929">
        <v>3928</v>
      </c>
      <c r="B3929" s="23">
        <v>1260.8348370000001</v>
      </c>
      <c r="C3929" s="23">
        <v>0</v>
      </c>
    </row>
    <row r="3930" spans="1:3" x14ac:dyDescent="0.25">
      <c r="A3930">
        <v>3929</v>
      </c>
      <c r="B3930" s="23">
        <v>1260.6771759999999</v>
      </c>
      <c r="C3930" s="23">
        <v>0</v>
      </c>
    </row>
    <row r="3931" spans="1:3" x14ac:dyDescent="0.25">
      <c r="A3931">
        <v>3930</v>
      </c>
      <c r="B3931" s="23">
        <v>1260.412</v>
      </c>
      <c r="C3931" s="23">
        <v>0</v>
      </c>
    </row>
    <row r="3932" spans="1:3" x14ac:dyDescent="0.25">
      <c r="A3932">
        <v>3931</v>
      </c>
      <c r="B3932" s="23">
        <v>1260.275862</v>
      </c>
      <c r="C3932" s="23">
        <v>0</v>
      </c>
    </row>
    <row r="3933" spans="1:3" x14ac:dyDescent="0.25">
      <c r="A3933">
        <v>3932</v>
      </c>
      <c r="B3933" s="23">
        <v>1260</v>
      </c>
      <c r="C3933" s="23">
        <v>0</v>
      </c>
    </row>
    <row r="3934" spans="1:3" x14ac:dyDescent="0.25">
      <c r="A3934">
        <v>3933</v>
      </c>
      <c r="B3934" s="23">
        <v>1260</v>
      </c>
      <c r="C3934" s="23">
        <v>0</v>
      </c>
    </row>
    <row r="3935" spans="1:3" x14ac:dyDescent="0.25">
      <c r="A3935">
        <v>3934</v>
      </c>
      <c r="B3935" s="23">
        <v>1260</v>
      </c>
      <c r="C3935" s="23">
        <v>0</v>
      </c>
    </row>
    <row r="3936" spans="1:3" x14ac:dyDescent="0.25">
      <c r="A3936">
        <v>3935</v>
      </c>
      <c r="B3936" s="23">
        <v>1259.807444</v>
      </c>
      <c r="C3936" s="23">
        <v>0</v>
      </c>
    </row>
    <row r="3937" spans="1:3" x14ac:dyDescent="0.25">
      <c r="A3937">
        <v>3936</v>
      </c>
      <c r="B3937" s="23">
        <v>1259.6990000000001</v>
      </c>
      <c r="C3937" s="23">
        <v>0</v>
      </c>
    </row>
    <row r="3938" spans="1:3" x14ac:dyDescent="0.25">
      <c r="A3938">
        <v>3937</v>
      </c>
      <c r="B3938" s="23">
        <v>1259.210251</v>
      </c>
      <c r="C3938" s="23">
        <v>0</v>
      </c>
    </row>
    <row r="3939" spans="1:3" x14ac:dyDescent="0.25">
      <c r="A3939">
        <v>3938</v>
      </c>
      <c r="B3939" s="23">
        <v>1259.2</v>
      </c>
      <c r="C3939" s="23">
        <v>0</v>
      </c>
    </row>
    <row r="3940" spans="1:3" x14ac:dyDescent="0.25">
      <c r="A3940">
        <v>3939</v>
      </c>
      <c r="B3940" s="23">
        <v>1259.116761</v>
      </c>
      <c r="C3940" s="23">
        <v>0</v>
      </c>
    </row>
    <row r="3941" spans="1:3" x14ac:dyDescent="0.25">
      <c r="A3941">
        <v>3940</v>
      </c>
      <c r="B3941" s="23">
        <v>1258.8900000000001</v>
      </c>
      <c r="C3941" s="23">
        <v>0</v>
      </c>
    </row>
    <row r="3942" spans="1:3" x14ac:dyDescent="0.25">
      <c r="A3942">
        <v>3941</v>
      </c>
      <c r="B3942" s="23">
        <v>1258.6479999999999</v>
      </c>
      <c r="C3942" s="23">
        <v>0</v>
      </c>
    </row>
    <row r="3943" spans="1:3" x14ac:dyDescent="0.25">
      <c r="A3943">
        <v>3942</v>
      </c>
      <c r="B3943" s="23">
        <v>1258.4260770000001</v>
      </c>
      <c r="C3943" s="23">
        <v>0</v>
      </c>
    </row>
    <row r="3944" spans="1:3" x14ac:dyDescent="0.25">
      <c r="A3944">
        <v>3943</v>
      </c>
      <c r="B3944" s="23">
        <v>1258.4260770000001</v>
      </c>
      <c r="C3944" s="23">
        <v>0</v>
      </c>
    </row>
    <row r="3945" spans="1:3" x14ac:dyDescent="0.25">
      <c r="A3945">
        <v>3944</v>
      </c>
      <c r="B3945" s="23">
        <v>1258.4000000000001</v>
      </c>
      <c r="C3945" s="23">
        <v>0</v>
      </c>
    </row>
    <row r="3946" spans="1:3" x14ac:dyDescent="0.25">
      <c r="A3946">
        <v>3945</v>
      </c>
      <c r="B3946" s="23">
        <v>1258.4000000000001</v>
      </c>
      <c r="C3946" s="23">
        <v>0</v>
      </c>
    </row>
    <row r="3947" spans="1:3" x14ac:dyDescent="0.25">
      <c r="A3947">
        <v>3946</v>
      </c>
      <c r="B3947" s="23">
        <v>1258.144</v>
      </c>
      <c r="C3947" s="23">
        <v>0</v>
      </c>
    </row>
    <row r="3948" spans="1:3" x14ac:dyDescent="0.25">
      <c r="A3948">
        <v>3947</v>
      </c>
      <c r="B3948" s="23">
        <v>1257.9770000000001</v>
      </c>
      <c r="C3948" s="23">
        <v>0</v>
      </c>
    </row>
    <row r="3949" spans="1:3" x14ac:dyDescent="0.25">
      <c r="A3949">
        <v>3948</v>
      </c>
      <c r="B3949" s="23">
        <v>1257.822373</v>
      </c>
      <c r="C3949" s="23">
        <v>0</v>
      </c>
    </row>
    <row r="3950" spans="1:3" x14ac:dyDescent="0.25">
      <c r="A3950">
        <v>3949</v>
      </c>
      <c r="B3950" s="23">
        <v>1257.6959999999999</v>
      </c>
      <c r="C3950" s="23">
        <v>0</v>
      </c>
    </row>
    <row r="3951" spans="1:3" x14ac:dyDescent="0.25">
      <c r="A3951">
        <v>3950</v>
      </c>
      <c r="B3951" s="23">
        <v>1257.5999999999999</v>
      </c>
      <c r="C3951" s="23">
        <v>0</v>
      </c>
    </row>
    <row r="3952" spans="1:3" x14ac:dyDescent="0.25">
      <c r="A3952">
        <v>3951</v>
      </c>
      <c r="B3952" s="23">
        <v>1257.5999999999999</v>
      </c>
      <c r="C3952" s="23">
        <v>0</v>
      </c>
    </row>
    <row r="3953" spans="1:3" x14ac:dyDescent="0.25">
      <c r="A3953">
        <v>3952</v>
      </c>
      <c r="B3953" s="23">
        <v>1257.5245</v>
      </c>
      <c r="C3953" s="23">
        <v>0</v>
      </c>
    </row>
    <row r="3954" spans="1:3" x14ac:dyDescent="0.25">
      <c r="A3954">
        <v>3953</v>
      </c>
      <c r="B3954" s="23">
        <v>1257.4896229999999</v>
      </c>
      <c r="C3954" s="23">
        <v>0</v>
      </c>
    </row>
    <row r="3955" spans="1:3" x14ac:dyDescent="0.25">
      <c r="A3955">
        <v>3954</v>
      </c>
      <c r="B3955" s="23">
        <v>1257.452</v>
      </c>
      <c r="C3955" s="23">
        <v>0</v>
      </c>
    </row>
    <row r="3956" spans="1:3" x14ac:dyDescent="0.25">
      <c r="A3956">
        <v>3955</v>
      </c>
      <c r="B3956" s="23">
        <v>1257.3449639999999</v>
      </c>
      <c r="C3956" s="23">
        <v>0</v>
      </c>
    </row>
    <row r="3957" spans="1:3" x14ac:dyDescent="0.25">
      <c r="A3957">
        <v>3956</v>
      </c>
      <c r="B3957" s="23">
        <v>1257.085977</v>
      </c>
      <c r="C3957" s="23">
        <v>0</v>
      </c>
    </row>
    <row r="3958" spans="1:3" x14ac:dyDescent="0.25">
      <c r="A3958">
        <v>3957</v>
      </c>
      <c r="B3958" s="23">
        <v>1257.085977</v>
      </c>
      <c r="C3958" s="23">
        <v>0</v>
      </c>
    </row>
    <row r="3959" spans="1:3" x14ac:dyDescent="0.25">
      <c r="A3959">
        <v>3958</v>
      </c>
      <c r="B3959" s="23">
        <v>1257.0036909999999</v>
      </c>
      <c r="C3959" s="23">
        <v>0</v>
      </c>
    </row>
    <row r="3960" spans="1:3" x14ac:dyDescent="0.25">
      <c r="A3960">
        <v>3959</v>
      </c>
      <c r="B3960" s="23">
        <v>1256.8</v>
      </c>
      <c r="C3960" s="23">
        <v>0</v>
      </c>
    </row>
    <row r="3961" spans="1:3" x14ac:dyDescent="0.25">
      <c r="A3961">
        <v>3960</v>
      </c>
      <c r="B3961" s="23">
        <v>1256.8</v>
      </c>
      <c r="C3961" s="23">
        <v>0</v>
      </c>
    </row>
    <row r="3962" spans="1:3" x14ac:dyDescent="0.25">
      <c r="A3962">
        <v>3961</v>
      </c>
      <c r="B3962" s="23">
        <v>1256.6030000000001</v>
      </c>
      <c r="C3962" s="23">
        <v>0</v>
      </c>
    </row>
    <row r="3963" spans="1:3" x14ac:dyDescent="0.25">
      <c r="A3963">
        <v>3962</v>
      </c>
      <c r="B3963" s="23">
        <v>1256.2681709999999</v>
      </c>
      <c r="C3963" s="23">
        <v>0</v>
      </c>
    </row>
    <row r="3964" spans="1:3" x14ac:dyDescent="0.25">
      <c r="A3964">
        <v>3963</v>
      </c>
      <c r="B3964" s="23">
        <v>1256.2681709999999</v>
      </c>
      <c r="C3964" s="23">
        <v>0</v>
      </c>
    </row>
    <row r="3965" spans="1:3" x14ac:dyDescent="0.25">
      <c r="A3965">
        <v>3964</v>
      </c>
      <c r="B3965" s="23">
        <v>1256.2681709999999</v>
      </c>
      <c r="C3965" s="23">
        <v>0</v>
      </c>
    </row>
    <row r="3966" spans="1:3" x14ac:dyDescent="0.25">
      <c r="A3966">
        <v>3965</v>
      </c>
      <c r="B3966" s="23">
        <v>1256.233287</v>
      </c>
      <c r="C3966" s="23">
        <v>0</v>
      </c>
    </row>
    <row r="3967" spans="1:3" x14ac:dyDescent="0.25">
      <c r="A3967">
        <v>3966</v>
      </c>
      <c r="B3967" s="23">
        <v>1256.021571</v>
      </c>
      <c r="C3967" s="23">
        <v>0</v>
      </c>
    </row>
    <row r="3968" spans="1:3" x14ac:dyDescent="0.25">
      <c r="A3968">
        <v>3967</v>
      </c>
      <c r="B3968" s="23">
        <v>1256</v>
      </c>
      <c r="C3968" s="23">
        <v>0</v>
      </c>
    </row>
    <row r="3969" spans="1:3" x14ac:dyDescent="0.25">
      <c r="A3969">
        <v>3968</v>
      </c>
      <c r="B3969" s="23">
        <v>1256</v>
      </c>
      <c r="C3969" s="23">
        <v>0</v>
      </c>
    </row>
    <row r="3970" spans="1:3" x14ac:dyDescent="0.25">
      <c r="A3970">
        <v>3969</v>
      </c>
      <c r="B3970" s="23">
        <v>1255.7829999999999</v>
      </c>
      <c r="C3970" s="23">
        <v>0</v>
      </c>
    </row>
    <row r="3971" spans="1:3" x14ac:dyDescent="0.25">
      <c r="A3971">
        <v>3970</v>
      </c>
      <c r="B3971" s="23">
        <v>1255.664</v>
      </c>
      <c r="C3971" s="23">
        <v>0</v>
      </c>
    </row>
    <row r="3972" spans="1:3" x14ac:dyDescent="0.25">
      <c r="A3972">
        <v>3971</v>
      </c>
      <c r="B3972" s="23">
        <v>1255.532651</v>
      </c>
      <c r="C3972" s="23">
        <v>0</v>
      </c>
    </row>
    <row r="3973" spans="1:3" x14ac:dyDescent="0.25">
      <c r="A3973">
        <v>3972</v>
      </c>
      <c r="B3973" s="23">
        <v>1255.509356</v>
      </c>
      <c r="C3973" s="23">
        <v>0</v>
      </c>
    </row>
    <row r="3974" spans="1:3" x14ac:dyDescent="0.25">
      <c r="A3974">
        <v>3973</v>
      </c>
      <c r="B3974" s="23">
        <v>1255.3688830000001</v>
      </c>
      <c r="C3974" s="23">
        <v>0</v>
      </c>
    </row>
    <row r="3975" spans="1:3" x14ac:dyDescent="0.25">
      <c r="A3975">
        <v>3974</v>
      </c>
      <c r="B3975" s="23">
        <v>1255.2650000000001</v>
      </c>
      <c r="C3975" s="23">
        <v>0</v>
      </c>
    </row>
    <row r="3976" spans="1:3" x14ac:dyDescent="0.25">
      <c r="A3976">
        <v>3975</v>
      </c>
      <c r="B3976" s="23">
        <v>1255.2</v>
      </c>
      <c r="C3976" s="23">
        <v>0</v>
      </c>
    </row>
    <row r="3977" spans="1:3" x14ac:dyDescent="0.25">
      <c r="A3977">
        <v>3976</v>
      </c>
      <c r="B3977" s="23">
        <v>1255.1510000000001</v>
      </c>
      <c r="C3977" s="23">
        <v>0</v>
      </c>
    </row>
    <row r="3978" spans="1:3" x14ac:dyDescent="0.25">
      <c r="A3978">
        <v>3977</v>
      </c>
      <c r="B3978" s="23">
        <v>1255.098958</v>
      </c>
      <c r="C3978" s="23">
        <v>0</v>
      </c>
    </row>
    <row r="3979" spans="1:3" x14ac:dyDescent="0.25">
      <c r="A3979">
        <v>3978</v>
      </c>
      <c r="B3979" s="23">
        <v>1254.9929999999999</v>
      </c>
      <c r="C3979" s="23">
        <v>0</v>
      </c>
    </row>
    <row r="3980" spans="1:3" x14ac:dyDescent="0.25">
      <c r="A3980">
        <v>3979</v>
      </c>
      <c r="B3980" s="23">
        <v>1254.972657</v>
      </c>
      <c r="C3980" s="23">
        <v>0</v>
      </c>
    </row>
    <row r="3981" spans="1:3" x14ac:dyDescent="0.25">
      <c r="A3981">
        <v>3980</v>
      </c>
      <c r="B3981" s="23">
        <v>1254.972657</v>
      </c>
      <c r="C3981" s="23">
        <v>0</v>
      </c>
    </row>
    <row r="3982" spans="1:3" x14ac:dyDescent="0.25">
      <c r="A3982">
        <v>3981</v>
      </c>
      <c r="B3982" s="23">
        <v>1254.5550000000001</v>
      </c>
      <c r="C3982" s="23">
        <v>0</v>
      </c>
    </row>
    <row r="3983" spans="1:3" x14ac:dyDescent="0.25">
      <c r="A3983">
        <v>3982</v>
      </c>
      <c r="B3983" s="23">
        <v>1254.4000000000001</v>
      </c>
      <c r="C3983" s="23">
        <v>0</v>
      </c>
    </row>
    <row r="3984" spans="1:3" x14ac:dyDescent="0.25">
      <c r="A3984">
        <v>3983</v>
      </c>
      <c r="B3984" s="23">
        <v>1254.4000000000001</v>
      </c>
      <c r="C3984" s="23">
        <v>0</v>
      </c>
    </row>
    <row r="3985" spans="1:3" x14ac:dyDescent="0.25">
      <c r="A3985">
        <v>3984</v>
      </c>
      <c r="B3985" s="23">
        <v>1254.4000000000001</v>
      </c>
      <c r="C3985" s="23">
        <v>0</v>
      </c>
    </row>
    <row r="3986" spans="1:3" x14ac:dyDescent="0.25">
      <c r="A3986">
        <v>3985</v>
      </c>
      <c r="B3986" s="23">
        <v>1254.2909999999999</v>
      </c>
      <c r="C3986" s="23">
        <v>0</v>
      </c>
    </row>
    <row r="3987" spans="1:3" x14ac:dyDescent="0.25">
      <c r="A3987">
        <v>3986</v>
      </c>
      <c r="B3987" s="23">
        <v>1254.203</v>
      </c>
      <c r="C3987" s="23">
        <v>0</v>
      </c>
    </row>
    <row r="3988" spans="1:3" x14ac:dyDescent="0.25">
      <c r="A3988">
        <v>3987</v>
      </c>
      <c r="B3988" s="23">
        <v>1253.8933609999999</v>
      </c>
      <c r="C3988" s="23">
        <v>0</v>
      </c>
    </row>
    <row r="3989" spans="1:3" x14ac:dyDescent="0.25">
      <c r="A3989">
        <v>3988</v>
      </c>
      <c r="B3989" s="23">
        <v>1253.3754510000001</v>
      </c>
      <c r="C3989" s="23">
        <v>0</v>
      </c>
    </row>
    <row r="3990" spans="1:3" x14ac:dyDescent="0.25">
      <c r="A3990">
        <v>3989</v>
      </c>
      <c r="B3990" s="23">
        <v>1253.1579999999999</v>
      </c>
      <c r="C3990" s="23">
        <v>0</v>
      </c>
    </row>
    <row r="3991" spans="1:3" x14ac:dyDescent="0.25">
      <c r="A3991">
        <v>3990</v>
      </c>
      <c r="B3991" s="23">
        <v>1253.0838269999999</v>
      </c>
      <c r="C3991" s="23">
        <v>0</v>
      </c>
    </row>
    <row r="3992" spans="1:3" x14ac:dyDescent="0.25">
      <c r="A3992">
        <v>3991</v>
      </c>
      <c r="B3992" s="23">
        <v>1252.915393</v>
      </c>
      <c r="C3992" s="23">
        <v>0</v>
      </c>
    </row>
    <row r="3993" spans="1:3" x14ac:dyDescent="0.25">
      <c r="A3993">
        <v>3992</v>
      </c>
      <c r="B3993" s="23">
        <v>1252.900605</v>
      </c>
      <c r="C3993" s="23">
        <v>0</v>
      </c>
    </row>
    <row r="3994" spans="1:3" x14ac:dyDescent="0.25">
      <c r="A3994">
        <v>3993</v>
      </c>
      <c r="B3994" s="23">
        <v>1252.8</v>
      </c>
      <c r="C3994" s="23">
        <v>0</v>
      </c>
    </row>
    <row r="3995" spans="1:3" x14ac:dyDescent="0.25">
      <c r="A3995">
        <v>3994</v>
      </c>
      <c r="B3995" s="23">
        <v>1252.8</v>
      </c>
      <c r="C3995" s="23">
        <v>0</v>
      </c>
    </row>
    <row r="3996" spans="1:3" x14ac:dyDescent="0.25">
      <c r="A3996">
        <v>3995</v>
      </c>
      <c r="B3996" s="23">
        <v>1252.8</v>
      </c>
      <c r="C3996" s="23">
        <v>0</v>
      </c>
    </row>
    <row r="3997" spans="1:3" x14ac:dyDescent="0.25">
      <c r="A3997">
        <v>3996</v>
      </c>
      <c r="B3997" s="23">
        <v>1252.8</v>
      </c>
      <c r="C3997" s="23">
        <v>0</v>
      </c>
    </row>
    <row r="3998" spans="1:3" x14ac:dyDescent="0.25">
      <c r="A3998">
        <v>3997</v>
      </c>
      <c r="B3998" s="23">
        <v>1252.590571</v>
      </c>
      <c r="C3998" s="23">
        <v>0</v>
      </c>
    </row>
    <row r="3999" spans="1:3" x14ac:dyDescent="0.25">
      <c r="A3999">
        <v>3998</v>
      </c>
      <c r="B3999" s="23">
        <v>1252.525046</v>
      </c>
      <c r="C3999" s="23">
        <v>0</v>
      </c>
    </row>
    <row r="4000" spans="1:3" x14ac:dyDescent="0.25">
      <c r="A4000">
        <v>3999</v>
      </c>
      <c r="B4000" s="23">
        <v>1252.246817</v>
      </c>
      <c r="C4000" s="23">
        <v>0</v>
      </c>
    </row>
    <row r="4001" spans="1:3" x14ac:dyDescent="0.25">
      <c r="A4001">
        <v>4000</v>
      </c>
      <c r="B4001" s="23">
        <v>1251.7639999999999</v>
      </c>
      <c r="C4001" s="23">
        <v>0</v>
      </c>
    </row>
    <row r="4002" spans="1:3" x14ac:dyDescent="0.25">
      <c r="A4002">
        <v>4001</v>
      </c>
      <c r="B4002" s="23">
        <v>1251.6489999999999</v>
      </c>
      <c r="C4002" s="23">
        <v>0</v>
      </c>
    </row>
    <row r="4003" spans="1:3" x14ac:dyDescent="0.25">
      <c r="A4003">
        <v>4002</v>
      </c>
      <c r="B4003" s="23">
        <v>1251.5192380000001</v>
      </c>
      <c r="C4003" s="23">
        <v>0</v>
      </c>
    </row>
    <row r="4004" spans="1:3" x14ac:dyDescent="0.25">
      <c r="A4004">
        <v>4003</v>
      </c>
      <c r="B4004" s="23">
        <v>1251.5192380000001</v>
      </c>
      <c r="C4004" s="23">
        <v>0</v>
      </c>
    </row>
    <row r="4005" spans="1:3" x14ac:dyDescent="0.25">
      <c r="A4005">
        <v>4004</v>
      </c>
      <c r="B4005" s="23">
        <v>1251.5192380000001</v>
      </c>
      <c r="C4005" s="23">
        <v>0</v>
      </c>
    </row>
    <row r="4006" spans="1:3" x14ac:dyDescent="0.25">
      <c r="A4006">
        <v>4005</v>
      </c>
      <c r="B4006" s="23">
        <v>1251.3610000000001</v>
      </c>
      <c r="C4006" s="23">
        <v>0</v>
      </c>
    </row>
    <row r="4007" spans="1:3" x14ac:dyDescent="0.25">
      <c r="A4007">
        <v>4006</v>
      </c>
      <c r="B4007" s="23">
        <v>1251.306</v>
      </c>
      <c r="C4007" s="23">
        <v>0</v>
      </c>
    </row>
    <row r="4008" spans="1:3" x14ac:dyDescent="0.25">
      <c r="A4008">
        <v>4007</v>
      </c>
      <c r="B4008" s="23">
        <v>1251.2</v>
      </c>
      <c r="C4008" s="23">
        <v>0</v>
      </c>
    </row>
    <row r="4009" spans="1:3" x14ac:dyDescent="0.25">
      <c r="A4009">
        <v>4008</v>
      </c>
      <c r="B4009" s="23">
        <v>1251.1195310000001</v>
      </c>
      <c r="C4009" s="23">
        <v>0</v>
      </c>
    </row>
    <row r="4010" spans="1:3" x14ac:dyDescent="0.25">
      <c r="A4010">
        <v>4009</v>
      </c>
      <c r="B4010" s="23">
        <v>1251.114517</v>
      </c>
      <c r="C4010" s="23">
        <v>0</v>
      </c>
    </row>
    <row r="4011" spans="1:3" x14ac:dyDescent="0.25">
      <c r="A4011">
        <v>4010</v>
      </c>
      <c r="B4011" s="23">
        <v>1251.0074070000001</v>
      </c>
      <c r="C4011" s="23">
        <v>0</v>
      </c>
    </row>
    <row r="4012" spans="1:3" x14ac:dyDescent="0.25">
      <c r="A4012">
        <v>4011</v>
      </c>
      <c r="B4012" s="23">
        <v>1250.9173000000001</v>
      </c>
      <c r="C4012" s="23">
        <v>0</v>
      </c>
    </row>
    <row r="4013" spans="1:3" x14ac:dyDescent="0.25">
      <c r="A4013">
        <v>4012</v>
      </c>
      <c r="B4013" s="23">
        <v>1250.787922</v>
      </c>
      <c r="C4013" s="23">
        <v>0</v>
      </c>
    </row>
    <row r="4014" spans="1:3" x14ac:dyDescent="0.25">
      <c r="A4014">
        <v>4013</v>
      </c>
      <c r="B4014" s="23">
        <v>1250.4935720000001</v>
      </c>
      <c r="C4014" s="23">
        <v>0</v>
      </c>
    </row>
    <row r="4015" spans="1:3" x14ac:dyDescent="0.25">
      <c r="A4015">
        <v>4014</v>
      </c>
      <c r="B4015" s="23">
        <v>1250.461904</v>
      </c>
      <c r="C4015" s="23">
        <v>0</v>
      </c>
    </row>
    <row r="4016" spans="1:3" x14ac:dyDescent="0.25">
      <c r="A4016">
        <v>4015</v>
      </c>
      <c r="B4016" s="23">
        <v>1250.4000000000001</v>
      </c>
      <c r="C4016" s="23">
        <v>0</v>
      </c>
    </row>
    <row r="4017" spans="1:3" x14ac:dyDescent="0.25">
      <c r="A4017">
        <v>4016</v>
      </c>
      <c r="B4017" s="23">
        <v>1250.4000000000001</v>
      </c>
      <c r="C4017" s="23">
        <v>0</v>
      </c>
    </row>
    <row r="4018" spans="1:3" x14ac:dyDescent="0.25">
      <c r="A4018">
        <v>4017</v>
      </c>
      <c r="B4018" s="23">
        <v>1250.4000000000001</v>
      </c>
      <c r="C4018" s="23">
        <v>0</v>
      </c>
    </row>
    <row r="4019" spans="1:3" x14ac:dyDescent="0.25">
      <c r="A4019">
        <v>4018</v>
      </c>
      <c r="B4019" s="23">
        <v>1250.382376</v>
      </c>
      <c r="C4019" s="23">
        <v>0</v>
      </c>
    </row>
    <row r="4020" spans="1:3" x14ac:dyDescent="0.25">
      <c r="A4020">
        <v>4019</v>
      </c>
      <c r="B4020" s="23">
        <v>1250.2042469999999</v>
      </c>
      <c r="C4020" s="23">
        <v>0</v>
      </c>
    </row>
    <row r="4021" spans="1:3" x14ac:dyDescent="0.25">
      <c r="A4021">
        <v>4020</v>
      </c>
      <c r="B4021" s="23">
        <v>1250.1114339999999</v>
      </c>
      <c r="C4021" s="23">
        <v>0</v>
      </c>
    </row>
    <row r="4022" spans="1:3" x14ac:dyDescent="0.25">
      <c r="A4022">
        <v>4021</v>
      </c>
      <c r="B4022" s="23">
        <v>1249.9333810000001</v>
      </c>
      <c r="C4022" s="23">
        <v>0</v>
      </c>
    </row>
    <row r="4023" spans="1:3" x14ac:dyDescent="0.25">
      <c r="A4023">
        <v>4022</v>
      </c>
      <c r="B4023" s="23">
        <v>1249.8857700000001</v>
      </c>
      <c r="C4023" s="23">
        <v>0</v>
      </c>
    </row>
    <row r="4024" spans="1:3" x14ac:dyDescent="0.25">
      <c r="A4024">
        <v>4023</v>
      </c>
      <c r="B4024" s="23">
        <v>1249.5999999999999</v>
      </c>
      <c r="C4024" s="23">
        <v>0</v>
      </c>
    </row>
    <row r="4025" spans="1:3" x14ac:dyDescent="0.25">
      <c r="A4025">
        <v>4024</v>
      </c>
      <c r="B4025" s="23">
        <v>1249.324507</v>
      </c>
      <c r="C4025" s="23">
        <v>0</v>
      </c>
    </row>
    <row r="4026" spans="1:3" x14ac:dyDescent="0.25">
      <c r="A4026">
        <v>4025</v>
      </c>
      <c r="B4026" s="23">
        <v>1249.2235000000001</v>
      </c>
      <c r="C4026" s="23">
        <v>0</v>
      </c>
    </row>
    <row r="4027" spans="1:3" x14ac:dyDescent="0.25">
      <c r="A4027">
        <v>4026</v>
      </c>
      <c r="B4027" s="23">
        <v>1249.168005</v>
      </c>
      <c r="C4027" s="23">
        <v>0</v>
      </c>
    </row>
    <row r="4028" spans="1:3" x14ac:dyDescent="0.25">
      <c r="A4028">
        <v>4027</v>
      </c>
      <c r="B4028" s="23">
        <v>1248.912971</v>
      </c>
      <c r="C4028" s="23">
        <v>0</v>
      </c>
    </row>
    <row r="4029" spans="1:3" x14ac:dyDescent="0.25">
      <c r="A4029">
        <v>4028</v>
      </c>
      <c r="B4029" s="23">
        <v>1248.912971</v>
      </c>
      <c r="C4029" s="23">
        <v>0</v>
      </c>
    </row>
    <row r="4030" spans="1:3" x14ac:dyDescent="0.25">
      <c r="A4030">
        <v>4029</v>
      </c>
      <c r="B4030" s="23">
        <v>1248.8063199999999</v>
      </c>
      <c r="C4030" s="23">
        <v>0</v>
      </c>
    </row>
    <row r="4031" spans="1:3" x14ac:dyDescent="0.25">
      <c r="A4031">
        <v>4030</v>
      </c>
      <c r="B4031" s="23">
        <v>1248.8</v>
      </c>
      <c r="C4031" s="23">
        <v>0</v>
      </c>
    </row>
    <row r="4032" spans="1:3" x14ac:dyDescent="0.25">
      <c r="A4032">
        <v>4031</v>
      </c>
      <c r="B4032" s="23">
        <v>1248.8</v>
      </c>
      <c r="C4032" s="23">
        <v>0</v>
      </c>
    </row>
    <row r="4033" spans="1:3" x14ac:dyDescent="0.25">
      <c r="A4033">
        <v>4032</v>
      </c>
      <c r="B4033" s="23">
        <v>1248.8</v>
      </c>
      <c r="C4033" s="23">
        <v>0</v>
      </c>
    </row>
    <row r="4034" spans="1:3" x14ac:dyDescent="0.25">
      <c r="A4034">
        <v>4033</v>
      </c>
      <c r="B4034" s="23">
        <v>1248.8</v>
      </c>
      <c r="C4034" s="23">
        <v>0</v>
      </c>
    </row>
    <row r="4035" spans="1:3" x14ac:dyDescent="0.25">
      <c r="A4035">
        <v>4034</v>
      </c>
      <c r="B4035" s="23">
        <v>1248.8</v>
      </c>
      <c r="C4035" s="23">
        <v>0</v>
      </c>
    </row>
    <row r="4036" spans="1:3" x14ac:dyDescent="0.25">
      <c r="A4036">
        <v>4035</v>
      </c>
      <c r="B4036" s="23">
        <v>1248.8</v>
      </c>
      <c r="C4036" s="23">
        <v>0</v>
      </c>
    </row>
    <row r="4037" spans="1:3" x14ac:dyDescent="0.25">
      <c r="A4037">
        <v>4036</v>
      </c>
      <c r="B4037" s="23">
        <v>1248.4169999999999</v>
      </c>
      <c r="C4037" s="23">
        <v>0</v>
      </c>
    </row>
    <row r="4038" spans="1:3" x14ac:dyDescent="0.25">
      <c r="A4038">
        <v>4037</v>
      </c>
      <c r="B4038" s="23">
        <v>1248.305247</v>
      </c>
      <c r="C4038" s="23">
        <v>0</v>
      </c>
    </row>
    <row r="4039" spans="1:3" x14ac:dyDescent="0.25">
      <c r="A4039">
        <v>4038</v>
      </c>
      <c r="B4039" s="23">
        <v>1248.0084139999999</v>
      </c>
      <c r="C4039" s="23">
        <v>0</v>
      </c>
    </row>
    <row r="4040" spans="1:3" x14ac:dyDescent="0.25">
      <c r="A4040">
        <v>4039</v>
      </c>
      <c r="B4040" s="23">
        <v>1248</v>
      </c>
      <c r="C4040" s="23">
        <v>0</v>
      </c>
    </row>
    <row r="4041" spans="1:3" x14ac:dyDescent="0.25">
      <c r="A4041">
        <v>4040</v>
      </c>
      <c r="B4041" s="23">
        <v>1248</v>
      </c>
      <c r="C4041" s="23">
        <v>0</v>
      </c>
    </row>
    <row r="4042" spans="1:3" x14ac:dyDescent="0.25">
      <c r="A4042">
        <v>4041</v>
      </c>
      <c r="B4042" s="23">
        <v>1247.998</v>
      </c>
      <c r="C4042" s="23">
        <v>0</v>
      </c>
    </row>
    <row r="4043" spans="1:3" x14ac:dyDescent="0.25">
      <c r="A4043">
        <v>4042</v>
      </c>
      <c r="B4043" s="23">
        <v>1247.462</v>
      </c>
      <c r="C4043" s="23">
        <v>0</v>
      </c>
    </row>
    <row r="4044" spans="1:3" x14ac:dyDescent="0.25">
      <c r="A4044">
        <v>4043</v>
      </c>
      <c r="B4044" s="23">
        <v>1247.32</v>
      </c>
      <c r="C4044" s="23">
        <v>0</v>
      </c>
    </row>
    <row r="4045" spans="1:3" x14ac:dyDescent="0.25">
      <c r="A4045">
        <v>4044</v>
      </c>
      <c r="B4045" s="23">
        <v>1247.2</v>
      </c>
      <c r="C4045" s="23">
        <v>0</v>
      </c>
    </row>
    <row r="4046" spans="1:3" x14ac:dyDescent="0.25">
      <c r="A4046">
        <v>4045</v>
      </c>
      <c r="B4046" s="23">
        <v>1247.1905839999999</v>
      </c>
      <c r="C4046" s="23">
        <v>0</v>
      </c>
    </row>
    <row r="4047" spans="1:3" x14ac:dyDescent="0.25">
      <c r="A4047">
        <v>4046</v>
      </c>
      <c r="B4047" s="23">
        <v>1247.0340000000001</v>
      </c>
      <c r="C4047" s="23">
        <v>0</v>
      </c>
    </row>
    <row r="4048" spans="1:3" x14ac:dyDescent="0.25">
      <c r="A4048">
        <v>4047</v>
      </c>
      <c r="B4048" s="23">
        <v>1247.031878</v>
      </c>
      <c r="C4048" s="23">
        <v>0</v>
      </c>
    </row>
    <row r="4049" spans="1:3" x14ac:dyDescent="0.25">
      <c r="A4049">
        <v>4048</v>
      </c>
      <c r="B4049" s="23">
        <v>1246.98578</v>
      </c>
      <c r="C4049" s="23">
        <v>0</v>
      </c>
    </row>
    <row r="4050" spans="1:3" x14ac:dyDescent="0.25">
      <c r="A4050">
        <v>4049</v>
      </c>
      <c r="B4050" s="23">
        <v>1246.7915459999999</v>
      </c>
      <c r="C4050" s="23">
        <v>0</v>
      </c>
    </row>
    <row r="4051" spans="1:3" x14ac:dyDescent="0.25">
      <c r="A4051">
        <v>4050</v>
      </c>
      <c r="B4051" s="23">
        <v>1246.7064109999999</v>
      </c>
      <c r="C4051" s="23">
        <v>0</v>
      </c>
    </row>
    <row r="4052" spans="1:3" x14ac:dyDescent="0.25">
      <c r="A4052">
        <v>4051</v>
      </c>
      <c r="B4052" s="23">
        <v>1246.7064109999999</v>
      </c>
      <c r="C4052" s="23">
        <v>0</v>
      </c>
    </row>
    <row r="4053" spans="1:3" x14ac:dyDescent="0.25">
      <c r="A4053">
        <v>4052</v>
      </c>
      <c r="B4053" s="23">
        <v>1246.68445</v>
      </c>
      <c r="C4053" s="23">
        <v>0</v>
      </c>
    </row>
    <row r="4054" spans="1:3" x14ac:dyDescent="0.25">
      <c r="A4054">
        <v>4053</v>
      </c>
      <c r="B4054" s="23">
        <v>1246.6489999999999</v>
      </c>
      <c r="C4054" s="23">
        <v>0</v>
      </c>
    </row>
    <row r="4055" spans="1:3" x14ac:dyDescent="0.25">
      <c r="A4055">
        <v>4054</v>
      </c>
      <c r="B4055" s="23">
        <v>1246.4000000000001</v>
      </c>
      <c r="C4055" s="23">
        <v>0</v>
      </c>
    </row>
    <row r="4056" spans="1:3" x14ac:dyDescent="0.25">
      <c r="A4056">
        <v>4055</v>
      </c>
      <c r="B4056" s="23">
        <v>1246.4000000000001</v>
      </c>
      <c r="C4056" s="23">
        <v>0</v>
      </c>
    </row>
    <row r="4057" spans="1:3" x14ac:dyDescent="0.25">
      <c r="A4057">
        <v>4056</v>
      </c>
      <c r="B4057" s="23">
        <v>1246.4000000000001</v>
      </c>
      <c r="C4057" s="23">
        <v>0</v>
      </c>
    </row>
    <row r="4058" spans="1:3" x14ac:dyDescent="0.25">
      <c r="A4058">
        <v>4057</v>
      </c>
      <c r="B4058" s="23">
        <v>1246.3869999999999</v>
      </c>
      <c r="C4058" s="23">
        <v>0</v>
      </c>
    </row>
    <row r="4059" spans="1:3" x14ac:dyDescent="0.25">
      <c r="A4059">
        <v>4058</v>
      </c>
      <c r="B4059" s="23">
        <v>1246.372754</v>
      </c>
      <c r="C4059" s="23">
        <v>0</v>
      </c>
    </row>
    <row r="4060" spans="1:3" x14ac:dyDescent="0.25">
      <c r="A4060">
        <v>4059</v>
      </c>
      <c r="B4060" s="23">
        <v>1246.3699099999999</v>
      </c>
      <c r="C4060" s="23">
        <v>0</v>
      </c>
    </row>
    <row r="4061" spans="1:3" x14ac:dyDescent="0.25">
      <c r="A4061">
        <v>4060</v>
      </c>
      <c r="B4061" s="23">
        <v>1245.954</v>
      </c>
      <c r="C4061" s="23">
        <v>0</v>
      </c>
    </row>
    <row r="4062" spans="1:3" x14ac:dyDescent="0.25">
      <c r="A4062">
        <v>4061</v>
      </c>
      <c r="B4062" s="23">
        <v>1245.7360000000001</v>
      </c>
      <c r="C4062" s="23">
        <v>0</v>
      </c>
    </row>
    <row r="4063" spans="1:3" x14ac:dyDescent="0.25">
      <c r="A4063">
        <v>4062</v>
      </c>
      <c r="B4063" s="23">
        <v>1245.5999999999999</v>
      </c>
      <c r="C4063" s="23">
        <v>0</v>
      </c>
    </row>
    <row r="4064" spans="1:3" x14ac:dyDescent="0.25">
      <c r="A4064">
        <v>4063</v>
      </c>
      <c r="B4064" s="23">
        <v>1245.5999999999999</v>
      </c>
      <c r="C4064" s="23">
        <v>0</v>
      </c>
    </row>
    <row r="4065" spans="1:3" x14ac:dyDescent="0.25">
      <c r="A4065">
        <v>4064</v>
      </c>
      <c r="B4065" s="23">
        <v>1245.005521</v>
      </c>
      <c r="C4065" s="23">
        <v>0</v>
      </c>
    </row>
    <row r="4066" spans="1:3" x14ac:dyDescent="0.25">
      <c r="A4066">
        <v>4065</v>
      </c>
      <c r="B4066" s="23">
        <v>1244.8</v>
      </c>
      <c r="C4066" s="23">
        <v>0</v>
      </c>
    </row>
    <row r="4067" spans="1:3" x14ac:dyDescent="0.25">
      <c r="A4067">
        <v>4066</v>
      </c>
      <c r="B4067" s="23">
        <v>1244.8</v>
      </c>
      <c r="C4067" s="23">
        <v>0</v>
      </c>
    </row>
    <row r="4068" spans="1:3" x14ac:dyDescent="0.25">
      <c r="A4068">
        <v>4067</v>
      </c>
      <c r="B4068" s="23">
        <v>1244.8</v>
      </c>
      <c r="C4068" s="23">
        <v>0</v>
      </c>
    </row>
    <row r="4069" spans="1:3" x14ac:dyDescent="0.25">
      <c r="A4069">
        <v>4068</v>
      </c>
      <c r="B4069" s="23">
        <v>1244.499851</v>
      </c>
      <c r="C4069" s="23">
        <v>0</v>
      </c>
    </row>
    <row r="4070" spans="1:3" x14ac:dyDescent="0.25">
      <c r="A4070">
        <v>4069</v>
      </c>
      <c r="B4070" s="23">
        <v>1244.499</v>
      </c>
      <c r="C4070" s="23">
        <v>0</v>
      </c>
    </row>
    <row r="4071" spans="1:3" x14ac:dyDescent="0.25">
      <c r="A4071">
        <v>4070</v>
      </c>
      <c r="B4071" s="23">
        <v>1244.374</v>
      </c>
      <c r="C4071" s="23">
        <v>0</v>
      </c>
    </row>
    <row r="4072" spans="1:3" x14ac:dyDescent="0.25">
      <c r="A4072">
        <v>4071</v>
      </c>
      <c r="B4072" s="23">
        <v>1244.1869999999999</v>
      </c>
      <c r="C4072" s="23">
        <v>0</v>
      </c>
    </row>
    <row r="4073" spans="1:3" x14ac:dyDescent="0.25">
      <c r="A4073">
        <v>4072</v>
      </c>
      <c r="B4073" s="23">
        <v>1244</v>
      </c>
      <c r="C4073" s="23">
        <v>0</v>
      </c>
    </row>
    <row r="4074" spans="1:3" x14ac:dyDescent="0.25">
      <c r="A4074">
        <v>4073</v>
      </c>
      <c r="B4074" s="23">
        <v>1243.9425229999999</v>
      </c>
      <c r="C4074" s="23">
        <v>0</v>
      </c>
    </row>
    <row r="4075" spans="1:3" x14ac:dyDescent="0.25">
      <c r="A4075">
        <v>4074</v>
      </c>
      <c r="B4075" s="23">
        <v>1243.9425229999999</v>
      </c>
      <c r="C4075" s="23">
        <v>0</v>
      </c>
    </row>
    <row r="4076" spans="1:3" x14ac:dyDescent="0.25">
      <c r="A4076">
        <v>4075</v>
      </c>
      <c r="B4076" s="23">
        <v>1243.9425229999999</v>
      </c>
      <c r="C4076" s="23">
        <v>0</v>
      </c>
    </row>
    <row r="4077" spans="1:3" x14ac:dyDescent="0.25">
      <c r="A4077">
        <v>4076</v>
      </c>
      <c r="B4077" s="23">
        <v>1243.885454</v>
      </c>
      <c r="C4077" s="23">
        <v>0</v>
      </c>
    </row>
    <row r="4078" spans="1:3" x14ac:dyDescent="0.25">
      <c r="A4078">
        <v>4077</v>
      </c>
      <c r="B4078" s="23">
        <v>1243.5471520000001</v>
      </c>
      <c r="C4078" s="23">
        <v>0</v>
      </c>
    </row>
    <row r="4079" spans="1:3" x14ac:dyDescent="0.25">
      <c r="A4079">
        <v>4078</v>
      </c>
      <c r="B4079" s="23">
        <v>1243.412</v>
      </c>
      <c r="C4079" s="23">
        <v>0</v>
      </c>
    </row>
    <row r="4080" spans="1:3" x14ac:dyDescent="0.25">
      <c r="A4080">
        <v>4079</v>
      </c>
      <c r="B4080" s="23">
        <v>1243.3735859999999</v>
      </c>
      <c r="C4080" s="23">
        <v>0</v>
      </c>
    </row>
    <row r="4081" spans="1:3" x14ac:dyDescent="0.25">
      <c r="A4081">
        <v>4080</v>
      </c>
      <c r="B4081" s="23">
        <v>1243.2</v>
      </c>
      <c r="C4081" s="23">
        <v>0</v>
      </c>
    </row>
    <row r="4082" spans="1:3" x14ac:dyDescent="0.25">
      <c r="A4082">
        <v>4081</v>
      </c>
      <c r="B4082" s="23">
        <v>1243.2</v>
      </c>
      <c r="C4082" s="23">
        <v>0</v>
      </c>
    </row>
    <row r="4083" spans="1:3" x14ac:dyDescent="0.25">
      <c r="A4083">
        <v>4082</v>
      </c>
      <c r="B4083" s="23">
        <v>1243.0288109999999</v>
      </c>
      <c r="C4083" s="23">
        <v>0</v>
      </c>
    </row>
    <row r="4084" spans="1:3" x14ac:dyDescent="0.25">
      <c r="A4084">
        <v>4083</v>
      </c>
      <c r="B4084" s="23">
        <v>1242.7375</v>
      </c>
      <c r="C4084" s="23">
        <v>0</v>
      </c>
    </row>
    <row r="4085" spans="1:3" x14ac:dyDescent="0.25">
      <c r="A4085">
        <v>4084</v>
      </c>
      <c r="B4085" s="23">
        <v>1242.4000000000001</v>
      </c>
      <c r="C4085" s="23">
        <v>0</v>
      </c>
    </row>
    <row r="4086" spans="1:3" x14ac:dyDescent="0.25">
      <c r="A4086">
        <v>4085</v>
      </c>
      <c r="B4086" s="23">
        <v>1242.3883960000001</v>
      </c>
      <c r="C4086" s="23">
        <v>0</v>
      </c>
    </row>
    <row r="4087" spans="1:3" x14ac:dyDescent="0.25">
      <c r="A4087">
        <v>4086</v>
      </c>
      <c r="B4087" s="23">
        <v>1242.348747</v>
      </c>
      <c r="C4087" s="23">
        <v>0</v>
      </c>
    </row>
    <row r="4088" spans="1:3" x14ac:dyDescent="0.25">
      <c r="A4088">
        <v>4087</v>
      </c>
      <c r="B4088" s="23">
        <v>1241.914</v>
      </c>
      <c r="C4088" s="23">
        <v>0</v>
      </c>
    </row>
    <row r="4089" spans="1:3" x14ac:dyDescent="0.25">
      <c r="A4089">
        <v>4088</v>
      </c>
      <c r="B4089" s="23">
        <v>1241.663</v>
      </c>
      <c r="C4089" s="23">
        <v>0</v>
      </c>
    </row>
    <row r="4090" spans="1:3" x14ac:dyDescent="0.25">
      <c r="A4090">
        <v>4089</v>
      </c>
      <c r="B4090" s="23">
        <v>1241.662</v>
      </c>
      <c r="C4090" s="23">
        <v>0</v>
      </c>
    </row>
    <row r="4091" spans="1:3" x14ac:dyDescent="0.25">
      <c r="A4091">
        <v>4090</v>
      </c>
      <c r="B4091" s="23">
        <v>1241.5999999999999</v>
      </c>
      <c r="C4091" s="23">
        <v>0</v>
      </c>
    </row>
    <row r="4092" spans="1:3" x14ac:dyDescent="0.25">
      <c r="A4092">
        <v>4091</v>
      </c>
      <c r="B4092" s="23">
        <v>1241.5595760000001</v>
      </c>
      <c r="C4092" s="23">
        <v>0</v>
      </c>
    </row>
    <row r="4093" spans="1:3" x14ac:dyDescent="0.25">
      <c r="A4093">
        <v>4092</v>
      </c>
      <c r="B4093" s="23">
        <v>1241.5500790000001</v>
      </c>
      <c r="C4093" s="23">
        <v>0</v>
      </c>
    </row>
    <row r="4094" spans="1:3" x14ac:dyDescent="0.25">
      <c r="A4094">
        <v>4093</v>
      </c>
      <c r="B4094" s="23">
        <v>1241.5077739999999</v>
      </c>
      <c r="C4094" s="23">
        <v>0</v>
      </c>
    </row>
    <row r="4095" spans="1:3" x14ac:dyDescent="0.25">
      <c r="A4095">
        <v>4094</v>
      </c>
      <c r="B4095" s="23">
        <v>1241.290964</v>
      </c>
      <c r="C4095" s="23">
        <v>0</v>
      </c>
    </row>
    <row r="4096" spans="1:3" x14ac:dyDescent="0.25">
      <c r="A4096">
        <v>4095</v>
      </c>
      <c r="B4096" s="23">
        <v>1241.1869999999999</v>
      </c>
      <c r="C4096" s="23">
        <v>0</v>
      </c>
    </row>
    <row r="4097" spans="1:3" x14ac:dyDescent="0.25">
      <c r="A4097">
        <v>4096</v>
      </c>
      <c r="B4097" s="23">
        <v>1241.1579999999999</v>
      </c>
      <c r="C4097" s="23">
        <v>0</v>
      </c>
    </row>
    <row r="4098" spans="1:3" x14ac:dyDescent="0.25">
      <c r="A4098">
        <v>4097</v>
      </c>
      <c r="B4098" s="23">
        <v>1240.9648540000001</v>
      </c>
      <c r="C4098" s="23">
        <v>0</v>
      </c>
    </row>
    <row r="4099" spans="1:3" x14ac:dyDescent="0.25">
      <c r="A4099">
        <v>4098</v>
      </c>
      <c r="B4099" s="23">
        <v>1240.8</v>
      </c>
      <c r="C4099" s="23">
        <v>0</v>
      </c>
    </row>
    <row r="4100" spans="1:3" x14ac:dyDescent="0.25">
      <c r="A4100">
        <v>4099</v>
      </c>
      <c r="B4100" s="23">
        <v>1240.7702750000001</v>
      </c>
      <c r="C4100" s="23">
        <v>0</v>
      </c>
    </row>
    <row r="4101" spans="1:3" x14ac:dyDescent="0.25">
      <c r="A4101">
        <v>4100</v>
      </c>
      <c r="B4101" s="23">
        <v>1240.7702750000001</v>
      </c>
      <c r="C4101" s="23">
        <v>0</v>
      </c>
    </row>
    <row r="4102" spans="1:3" x14ac:dyDescent="0.25">
      <c r="A4102">
        <v>4101</v>
      </c>
      <c r="B4102" s="23">
        <v>1240.4710399999999</v>
      </c>
      <c r="C4102" s="23">
        <v>0</v>
      </c>
    </row>
    <row r="4103" spans="1:3" x14ac:dyDescent="0.25">
      <c r="A4103">
        <v>4102</v>
      </c>
      <c r="B4103" s="23">
        <v>1240.2049999999999</v>
      </c>
      <c r="C4103" s="23">
        <v>0</v>
      </c>
    </row>
    <row r="4104" spans="1:3" x14ac:dyDescent="0.25">
      <c r="A4104">
        <v>4103</v>
      </c>
      <c r="B4104" s="23">
        <v>1240.0867310000001</v>
      </c>
      <c r="C4104" s="23">
        <v>0</v>
      </c>
    </row>
    <row r="4105" spans="1:3" x14ac:dyDescent="0.25">
      <c r="A4105">
        <v>4104</v>
      </c>
      <c r="B4105" s="23">
        <v>1240.0192380000001</v>
      </c>
      <c r="C4105" s="23">
        <v>0</v>
      </c>
    </row>
    <row r="4106" spans="1:3" x14ac:dyDescent="0.25">
      <c r="A4106">
        <v>4105</v>
      </c>
      <c r="B4106" s="23">
        <v>1240</v>
      </c>
      <c r="C4106" s="23">
        <v>0</v>
      </c>
    </row>
    <row r="4107" spans="1:3" x14ac:dyDescent="0.25">
      <c r="A4107">
        <v>4106</v>
      </c>
      <c r="B4107" s="23">
        <v>1240</v>
      </c>
      <c r="C4107" s="23">
        <v>0</v>
      </c>
    </row>
    <row r="4108" spans="1:3" x14ac:dyDescent="0.25">
      <c r="A4108">
        <v>4107</v>
      </c>
      <c r="B4108" s="23">
        <v>1240</v>
      </c>
      <c r="C4108" s="23">
        <v>0</v>
      </c>
    </row>
    <row r="4109" spans="1:3" x14ac:dyDescent="0.25">
      <c r="A4109">
        <v>4108</v>
      </c>
      <c r="B4109" s="23">
        <v>1239.8900000000001</v>
      </c>
      <c r="C4109" s="23">
        <v>0</v>
      </c>
    </row>
    <row r="4110" spans="1:3" x14ac:dyDescent="0.25">
      <c r="A4110">
        <v>4109</v>
      </c>
      <c r="B4110" s="23">
        <v>1239.856176</v>
      </c>
      <c r="C4110" s="23">
        <v>0</v>
      </c>
    </row>
    <row r="4111" spans="1:3" x14ac:dyDescent="0.25">
      <c r="A4111">
        <v>4110</v>
      </c>
      <c r="B4111" s="23">
        <v>1239.836249</v>
      </c>
      <c r="C4111" s="23">
        <v>0</v>
      </c>
    </row>
    <row r="4112" spans="1:3" x14ac:dyDescent="0.25">
      <c r="A4112">
        <v>4111</v>
      </c>
      <c r="B4112" s="23">
        <v>1239.7670000000001</v>
      </c>
      <c r="C4112" s="23">
        <v>0</v>
      </c>
    </row>
    <row r="4113" spans="1:3" x14ac:dyDescent="0.25">
      <c r="A4113">
        <v>4112</v>
      </c>
      <c r="B4113" s="23">
        <v>1239.533739</v>
      </c>
      <c r="C4113" s="23">
        <v>0</v>
      </c>
    </row>
    <row r="4114" spans="1:3" x14ac:dyDescent="0.25">
      <c r="A4114">
        <v>4113</v>
      </c>
      <c r="B4114" s="23">
        <v>1239.472</v>
      </c>
      <c r="C4114" s="23">
        <v>0</v>
      </c>
    </row>
    <row r="4115" spans="1:3" x14ac:dyDescent="0.25">
      <c r="A4115">
        <v>4114</v>
      </c>
      <c r="B4115" s="23">
        <v>1239.3474659999999</v>
      </c>
      <c r="C4115" s="23">
        <v>0</v>
      </c>
    </row>
    <row r="4116" spans="1:3" x14ac:dyDescent="0.25">
      <c r="A4116">
        <v>4115</v>
      </c>
      <c r="B4116" s="23">
        <v>1239.2693839999999</v>
      </c>
      <c r="C4116" s="23">
        <v>0</v>
      </c>
    </row>
    <row r="4117" spans="1:3" x14ac:dyDescent="0.25">
      <c r="A4117">
        <v>4116</v>
      </c>
      <c r="B4117" s="23">
        <v>1239.2</v>
      </c>
      <c r="C4117" s="23">
        <v>0</v>
      </c>
    </row>
    <row r="4118" spans="1:3" x14ac:dyDescent="0.25">
      <c r="A4118">
        <v>4117</v>
      </c>
      <c r="B4118" s="23">
        <v>1239.2</v>
      </c>
      <c r="C4118" s="23">
        <v>0</v>
      </c>
    </row>
    <row r="4119" spans="1:3" x14ac:dyDescent="0.25">
      <c r="A4119">
        <v>4118</v>
      </c>
      <c r="B4119" s="23">
        <v>1239.2</v>
      </c>
      <c r="C4119" s="23">
        <v>0</v>
      </c>
    </row>
    <row r="4120" spans="1:3" x14ac:dyDescent="0.25">
      <c r="A4120">
        <v>4119</v>
      </c>
      <c r="B4120" s="23">
        <v>1239.2</v>
      </c>
      <c r="C4120" s="23">
        <v>0</v>
      </c>
    </row>
    <row r="4121" spans="1:3" x14ac:dyDescent="0.25">
      <c r="A4121">
        <v>4120</v>
      </c>
      <c r="B4121" s="23">
        <v>1239.039</v>
      </c>
      <c r="C4121" s="23">
        <v>0</v>
      </c>
    </row>
    <row r="4122" spans="1:3" x14ac:dyDescent="0.25">
      <c r="A4122">
        <v>4121</v>
      </c>
      <c r="B4122" s="23">
        <v>1239.012285</v>
      </c>
      <c r="C4122" s="23">
        <v>0</v>
      </c>
    </row>
    <row r="4123" spans="1:3" x14ac:dyDescent="0.25">
      <c r="A4123">
        <v>4122</v>
      </c>
      <c r="B4123" s="23">
        <v>1238.9154149999999</v>
      </c>
      <c r="C4123" s="23">
        <v>0</v>
      </c>
    </row>
    <row r="4124" spans="1:3" x14ac:dyDescent="0.25">
      <c r="A4124">
        <v>4123</v>
      </c>
      <c r="B4124" s="23">
        <v>1238.8415259999999</v>
      </c>
      <c r="C4124" s="23">
        <v>0</v>
      </c>
    </row>
    <row r="4125" spans="1:3" x14ac:dyDescent="0.25">
      <c r="A4125">
        <v>4124</v>
      </c>
      <c r="B4125" s="23">
        <v>1238.8119999999999</v>
      </c>
      <c r="C4125" s="23">
        <v>0</v>
      </c>
    </row>
    <row r="4126" spans="1:3" x14ac:dyDescent="0.25">
      <c r="A4126">
        <v>4125</v>
      </c>
      <c r="B4126" s="23">
        <v>1238.61661</v>
      </c>
      <c r="C4126" s="23">
        <v>0</v>
      </c>
    </row>
    <row r="4127" spans="1:3" x14ac:dyDescent="0.25">
      <c r="A4127">
        <v>4126</v>
      </c>
      <c r="B4127" s="23">
        <v>1238.615691</v>
      </c>
      <c r="C4127" s="23">
        <v>0</v>
      </c>
    </row>
    <row r="4128" spans="1:3" x14ac:dyDescent="0.25">
      <c r="A4128">
        <v>4127</v>
      </c>
      <c r="B4128" s="23">
        <v>1238.6099999999999</v>
      </c>
      <c r="C4128" s="23">
        <v>0</v>
      </c>
    </row>
    <row r="4129" spans="1:3" x14ac:dyDescent="0.25">
      <c r="A4129">
        <v>4128</v>
      </c>
      <c r="B4129" s="23">
        <v>1238.557691</v>
      </c>
      <c r="C4129" s="23">
        <v>0</v>
      </c>
    </row>
    <row r="4130" spans="1:3" x14ac:dyDescent="0.25">
      <c r="A4130">
        <v>4129</v>
      </c>
      <c r="B4130" s="23">
        <v>1238.4394600000001</v>
      </c>
      <c r="C4130" s="23">
        <v>0</v>
      </c>
    </row>
    <row r="4131" spans="1:3" x14ac:dyDescent="0.25">
      <c r="A4131">
        <v>4130</v>
      </c>
      <c r="B4131" s="23">
        <v>1238.4000000000001</v>
      </c>
      <c r="C4131" s="23">
        <v>0</v>
      </c>
    </row>
    <row r="4132" spans="1:3" x14ac:dyDescent="0.25">
      <c r="A4132">
        <v>4131</v>
      </c>
      <c r="B4132" s="23">
        <v>1238.4000000000001</v>
      </c>
      <c r="C4132" s="23">
        <v>0</v>
      </c>
    </row>
    <row r="4133" spans="1:3" x14ac:dyDescent="0.25">
      <c r="A4133">
        <v>4132</v>
      </c>
      <c r="B4133" s="23">
        <v>1238.1944550000001</v>
      </c>
      <c r="C4133" s="23">
        <v>0</v>
      </c>
    </row>
    <row r="4134" spans="1:3" x14ac:dyDescent="0.25">
      <c r="A4134">
        <v>4133</v>
      </c>
      <c r="B4134" s="23">
        <v>1238.191</v>
      </c>
      <c r="C4134" s="23">
        <v>0</v>
      </c>
    </row>
    <row r="4135" spans="1:3" x14ac:dyDescent="0.25">
      <c r="A4135">
        <v>4134</v>
      </c>
      <c r="B4135" s="23">
        <v>1238.0999999999999</v>
      </c>
      <c r="C4135" s="23">
        <v>0</v>
      </c>
    </row>
    <row r="4136" spans="1:3" x14ac:dyDescent="0.25">
      <c r="A4136">
        <v>4135</v>
      </c>
      <c r="B4136" s="23">
        <v>1238.0554239999999</v>
      </c>
      <c r="C4136" s="23">
        <v>0</v>
      </c>
    </row>
    <row r="4137" spans="1:3" x14ac:dyDescent="0.25">
      <c r="A4137">
        <v>4136</v>
      </c>
      <c r="B4137" s="23">
        <v>1237.715598</v>
      </c>
      <c r="C4137" s="23">
        <v>0</v>
      </c>
    </row>
    <row r="4138" spans="1:3" x14ac:dyDescent="0.25">
      <c r="A4138">
        <v>4137</v>
      </c>
      <c r="B4138" s="23">
        <v>1237.705559</v>
      </c>
      <c r="C4138" s="23">
        <v>0</v>
      </c>
    </row>
    <row r="4139" spans="1:3" x14ac:dyDescent="0.25">
      <c r="A4139">
        <v>4138</v>
      </c>
      <c r="B4139" s="23">
        <v>1237.705559</v>
      </c>
      <c r="C4139" s="23">
        <v>0</v>
      </c>
    </row>
    <row r="4140" spans="1:3" x14ac:dyDescent="0.25">
      <c r="A4140">
        <v>4139</v>
      </c>
      <c r="B4140" s="23">
        <v>1237.705559</v>
      </c>
      <c r="C4140" s="23">
        <v>0</v>
      </c>
    </row>
    <row r="4141" spans="1:3" x14ac:dyDescent="0.25">
      <c r="A4141">
        <v>4140</v>
      </c>
      <c r="B4141" s="23">
        <v>1237.6625220000001</v>
      </c>
      <c r="C4141" s="23">
        <v>0</v>
      </c>
    </row>
    <row r="4142" spans="1:3" x14ac:dyDescent="0.25">
      <c r="A4142">
        <v>4141</v>
      </c>
      <c r="B4142" s="23">
        <v>1237.567417</v>
      </c>
      <c r="C4142" s="23">
        <v>0</v>
      </c>
    </row>
    <row r="4143" spans="1:3" x14ac:dyDescent="0.25">
      <c r="A4143">
        <v>4142</v>
      </c>
      <c r="B4143" s="23">
        <v>1237.5319999999999</v>
      </c>
      <c r="C4143" s="23">
        <v>0</v>
      </c>
    </row>
    <row r="4144" spans="1:3" x14ac:dyDescent="0.25">
      <c r="A4144">
        <v>4143</v>
      </c>
      <c r="B4144" s="23">
        <v>1237.1446510000001</v>
      </c>
      <c r="C4144" s="23">
        <v>0</v>
      </c>
    </row>
    <row r="4145" spans="1:3" x14ac:dyDescent="0.25">
      <c r="A4145">
        <v>4144</v>
      </c>
      <c r="B4145" s="23">
        <v>1237.1446510000001</v>
      </c>
      <c r="C4145" s="23">
        <v>0</v>
      </c>
    </row>
    <row r="4146" spans="1:3" x14ac:dyDescent="0.25">
      <c r="A4146">
        <v>4145</v>
      </c>
      <c r="B4146" s="23">
        <v>1237.014876</v>
      </c>
      <c r="C4146" s="23">
        <v>0</v>
      </c>
    </row>
    <row r="4147" spans="1:3" x14ac:dyDescent="0.25">
      <c r="A4147">
        <v>4146</v>
      </c>
      <c r="B4147" s="23">
        <v>1237.014876</v>
      </c>
      <c r="C4147" s="23">
        <v>0</v>
      </c>
    </row>
    <row r="4148" spans="1:3" x14ac:dyDescent="0.25">
      <c r="A4148">
        <v>4147</v>
      </c>
      <c r="B4148" s="23">
        <v>1236.8920000000001</v>
      </c>
      <c r="C4148" s="23">
        <v>0</v>
      </c>
    </row>
    <row r="4149" spans="1:3" x14ac:dyDescent="0.25">
      <c r="A4149">
        <v>4148</v>
      </c>
      <c r="B4149" s="23">
        <v>1236.833284</v>
      </c>
      <c r="C4149" s="23">
        <v>0</v>
      </c>
    </row>
    <row r="4150" spans="1:3" x14ac:dyDescent="0.25">
      <c r="A4150">
        <v>4149</v>
      </c>
      <c r="B4150" s="23">
        <v>1236.827</v>
      </c>
      <c r="C4150" s="23">
        <v>0</v>
      </c>
    </row>
    <row r="4151" spans="1:3" x14ac:dyDescent="0.25">
      <c r="A4151">
        <v>4150</v>
      </c>
      <c r="B4151" s="23">
        <v>1236.8</v>
      </c>
      <c r="C4151" s="23">
        <v>0</v>
      </c>
    </row>
    <row r="4152" spans="1:3" x14ac:dyDescent="0.25">
      <c r="A4152">
        <v>4151</v>
      </c>
      <c r="B4152" s="23">
        <v>1236.8</v>
      </c>
      <c r="C4152" s="23">
        <v>0</v>
      </c>
    </row>
    <row r="4153" spans="1:3" x14ac:dyDescent="0.25">
      <c r="A4153">
        <v>4152</v>
      </c>
      <c r="B4153" s="23">
        <v>1236.8</v>
      </c>
      <c r="C4153" s="23">
        <v>0</v>
      </c>
    </row>
    <row r="4154" spans="1:3" x14ac:dyDescent="0.25">
      <c r="A4154">
        <v>4153</v>
      </c>
      <c r="B4154" s="23">
        <v>1236.5587949999999</v>
      </c>
      <c r="C4154" s="23">
        <v>0</v>
      </c>
    </row>
    <row r="4155" spans="1:3" x14ac:dyDescent="0.25">
      <c r="A4155">
        <v>4154</v>
      </c>
      <c r="B4155" s="23">
        <v>1236.4091309999999</v>
      </c>
      <c r="C4155" s="23">
        <v>0</v>
      </c>
    </row>
    <row r="4156" spans="1:3" x14ac:dyDescent="0.25">
      <c r="A4156">
        <v>4155</v>
      </c>
      <c r="B4156" s="23">
        <v>1236.324192</v>
      </c>
      <c r="C4156" s="23">
        <v>0</v>
      </c>
    </row>
    <row r="4157" spans="1:3" x14ac:dyDescent="0.25">
      <c r="A4157">
        <v>4156</v>
      </c>
      <c r="B4157" s="23">
        <v>1236.1086459999999</v>
      </c>
      <c r="C4157" s="23">
        <v>0</v>
      </c>
    </row>
    <row r="4158" spans="1:3" x14ac:dyDescent="0.25">
      <c r="A4158">
        <v>4157</v>
      </c>
      <c r="B4158" s="23">
        <v>1236.1086459999999</v>
      </c>
      <c r="C4158" s="23">
        <v>0</v>
      </c>
    </row>
    <row r="4159" spans="1:3" x14ac:dyDescent="0.25">
      <c r="A4159">
        <v>4158</v>
      </c>
      <c r="B4159" s="23">
        <v>1235.9791580000001</v>
      </c>
      <c r="C4159" s="23">
        <v>0</v>
      </c>
    </row>
    <row r="4160" spans="1:3" x14ac:dyDescent="0.25">
      <c r="A4160">
        <v>4159</v>
      </c>
      <c r="B4160" s="23">
        <v>1235.7380000000001</v>
      </c>
      <c r="C4160" s="23">
        <v>0</v>
      </c>
    </row>
    <row r="4161" spans="1:3" x14ac:dyDescent="0.25">
      <c r="A4161">
        <v>4160</v>
      </c>
      <c r="B4161" s="23">
        <v>1235.6616590000001</v>
      </c>
      <c r="C4161" s="23">
        <v>0</v>
      </c>
    </row>
    <row r="4162" spans="1:3" x14ac:dyDescent="0.25">
      <c r="A4162">
        <v>4161</v>
      </c>
      <c r="B4162" s="23">
        <v>1235.3119999999999</v>
      </c>
      <c r="C4162" s="23">
        <v>0</v>
      </c>
    </row>
    <row r="4163" spans="1:3" x14ac:dyDescent="0.25">
      <c r="A4163">
        <v>4162</v>
      </c>
      <c r="B4163" s="23">
        <v>1235.2</v>
      </c>
      <c r="C4163" s="23">
        <v>0</v>
      </c>
    </row>
    <row r="4164" spans="1:3" x14ac:dyDescent="0.25">
      <c r="A4164">
        <v>4163</v>
      </c>
      <c r="B4164" s="23">
        <v>1234.8630000000001</v>
      </c>
      <c r="C4164" s="23">
        <v>0</v>
      </c>
    </row>
    <row r="4165" spans="1:3" x14ac:dyDescent="0.25">
      <c r="A4165">
        <v>4164</v>
      </c>
      <c r="B4165" s="23">
        <v>1234.4000000000001</v>
      </c>
      <c r="C4165" s="23">
        <v>0</v>
      </c>
    </row>
    <row r="4166" spans="1:3" x14ac:dyDescent="0.25">
      <c r="A4166">
        <v>4165</v>
      </c>
      <c r="B4166" s="23">
        <v>1234.4000000000001</v>
      </c>
      <c r="C4166" s="23">
        <v>0</v>
      </c>
    </row>
    <row r="4167" spans="1:3" x14ac:dyDescent="0.25">
      <c r="A4167">
        <v>4166</v>
      </c>
      <c r="B4167" s="23">
        <v>1234.242</v>
      </c>
      <c r="C4167" s="23">
        <v>0</v>
      </c>
    </row>
    <row r="4168" spans="1:3" x14ac:dyDescent="0.25">
      <c r="A4168">
        <v>4167</v>
      </c>
      <c r="B4168" s="23">
        <v>1234.1608000000001</v>
      </c>
      <c r="C4168" s="23">
        <v>0</v>
      </c>
    </row>
    <row r="4169" spans="1:3" x14ac:dyDescent="0.25">
      <c r="A4169">
        <v>4168</v>
      </c>
      <c r="B4169" s="23">
        <v>1234.0497600000001</v>
      </c>
      <c r="C4169" s="23">
        <v>0</v>
      </c>
    </row>
    <row r="4170" spans="1:3" x14ac:dyDescent="0.25">
      <c r="A4170">
        <v>4169</v>
      </c>
      <c r="B4170" s="23">
        <v>1234.0460129999999</v>
      </c>
      <c r="C4170" s="23">
        <v>0</v>
      </c>
    </row>
    <row r="4171" spans="1:3" x14ac:dyDescent="0.25">
      <c r="A4171">
        <v>4170</v>
      </c>
      <c r="B4171" s="23">
        <v>1233.7921590000001</v>
      </c>
      <c r="C4171" s="23">
        <v>0</v>
      </c>
    </row>
    <row r="4172" spans="1:3" x14ac:dyDescent="0.25">
      <c r="A4172">
        <v>4171</v>
      </c>
      <c r="B4172" s="23">
        <v>1233.7778310000001</v>
      </c>
      <c r="C4172" s="23">
        <v>0</v>
      </c>
    </row>
    <row r="4173" spans="1:3" x14ac:dyDescent="0.25">
      <c r="A4173">
        <v>4172</v>
      </c>
      <c r="B4173" s="23">
        <v>1233.7117920000001</v>
      </c>
      <c r="C4173" s="23">
        <v>0</v>
      </c>
    </row>
    <row r="4174" spans="1:3" x14ac:dyDescent="0.25">
      <c r="A4174">
        <v>4173</v>
      </c>
      <c r="B4174" s="23">
        <v>1233.607</v>
      </c>
      <c r="C4174" s="23">
        <v>0</v>
      </c>
    </row>
    <row r="4175" spans="1:3" x14ac:dyDescent="0.25">
      <c r="A4175">
        <v>4174</v>
      </c>
      <c r="B4175" s="23">
        <v>1233.5999999999999</v>
      </c>
      <c r="C4175" s="23">
        <v>0</v>
      </c>
    </row>
    <row r="4176" spans="1:3" x14ac:dyDescent="0.25">
      <c r="A4176">
        <v>4175</v>
      </c>
      <c r="B4176" s="23">
        <v>1233.5999999999999</v>
      </c>
      <c r="C4176" s="23">
        <v>0</v>
      </c>
    </row>
    <row r="4177" spans="1:3" x14ac:dyDescent="0.25">
      <c r="A4177">
        <v>4176</v>
      </c>
      <c r="B4177" s="23">
        <v>1233.4670510000001</v>
      </c>
      <c r="C4177" s="23">
        <v>0</v>
      </c>
    </row>
    <row r="4178" spans="1:3" x14ac:dyDescent="0.25">
      <c r="A4178">
        <v>4177</v>
      </c>
      <c r="B4178" s="23">
        <v>1233.4670510000001</v>
      </c>
      <c r="C4178" s="23">
        <v>0</v>
      </c>
    </row>
    <row r="4179" spans="1:3" x14ac:dyDescent="0.25">
      <c r="A4179">
        <v>4178</v>
      </c>
      <c r="B4179" s="23">
        <v>1233.4290000000001</v>
      </c>
      <c r="C4179" s="23">
        <v>0</v>
      </c>
    </row>
    <row r="4180" spans="1:3" x14ac:dyDescent="0.25">
      <c r="A4180">
        <v>4179</v>
      </c>
      <c r="B4180" s="23">
        <v>1233.287476</v>
      </c>
      <c r="C4180" s="23">
        <v>0</v>
      </c>
    </row>
    <row r="4181" spans="1:3" x14ac:dyDescent="0.25">
      <c r="A4181">
        <v>4180</v>
      </c>
      <c r="B4181" s="23">
        <v>1233.287476</v>
      </c>
      <c r="C4181" s="23">
        <v>0</v>
      </c>
    </row>
    <row r="4182" spans="1:3" x14ac:dyDescent="0.25">
      <c r="A4182">
        <v>4181</v>
      </c>
      <c r="B4182" s="23">
        <v>1233.056079</v>
      </c>
      <c r="C4182" s="23">
        <v>0</v>
      </c>
    </row>
    <row r="4183" spans="1:3" x14ac:dyDescent="0.25">
      <c r="A4183">
        <v>4182</v>
      </c>
      <c r="B4183" s="23">
        <v>1232.870772</v>
      </c>
      <c r="C4183" s="23">
        <v>0</v>
      </c>
    </row>
    <row r="4184" spans="1:3" x14ac:dyDescent="0.25">
      <c r="A4184">
        <v>4183</v>
      </c>
      <c r="B4184" s="23">
        <v>1232.8</v>
      </c>
      <c r="C4184" s="23">
        <v>0</v>
      </c>
    </row>
    <row r="4185" spans="1:3" x14ac:dyDescent="0.25">
      <c r="A4185">
        <v>4184</v>
      </c>
      <c r="B4185" s="23">
        <v>1232.8</v>
      </c>
      <c r="C4185" s="23">
        <v>0</v>
      </c>
    </row>
    <row r="4186" spans="1:3" x14ac:dyDescent="0.25">
      <c r="A4186">
        <v>4185</v>
      </c>
      <c r="B4186" s="23">
        <v>1232.8</v>
      </c>
      <c r="C4186" s="23">
        <v>0</v>
      </c>
    </row>
    <row r="4187" spans="1:3" x14ac:dyDescent="0.25">
      <c r="A4187">
        <v>4186</v>
      </c>
      <c r="B4187" s="23">
        <v>1232.7183520000001</v>
      </c>
      <c r="C4187" s="23">
        <v>0</v>
      </c>
    </row>
    <row r="4188" spans="1:3" x14ac:dyDescent="0.25">
      <c r="A4188">
        <v>4187</v>
      </c>
      <c r="B4188" s="23">
        <v>1232.4093310000001</v>
      </c>
      <c r="C4188" s="23">
        <v>0</v>
      </c>
    </row>
    <row r="4189" spans="1:3" x14ac:dyDescent="0.25">
      <c r="A4189">
        <v>4188</v>
      </c>
      <c r="B4189" s="23">
        <v>1232.2239549999999</v>
      </c>
      <c r="C4189" s="23">
        <v>0</v>
      </c>
    </row>
    <row r="4190" spans="1:3" x14ac:dyDescent="0.25">
      <c r="A4190">
        <v>4189</v>
      </c>
      <c r="B4190" s="23">
        <v>1232.1800880000001</v>
      </c>
      <c r="C4190" s="23">
        <v>0</v>
      </c>
    </row>
    <row r="4191" spans="1:3" x14ac:dyDescent="0.25">
      <c r="A4191">
        <v>4190</v>
      </c>
      <c r="B4191" s="23">
        <v>1232.152</v>
      </c>
      <c r="C4191" s="23">
        <v>0</v>
      </c>
    </row>
    <row r="4192" spans="1:3" x14ac:dyDescent="0.25">
      <c r="A4192">
        <v>4191</v>
      </c>
      <c r="B4192" s="23">
        <v>1232.0808420000001</v>
      </c>
      <c r="C4192" s="23">
        <v>0</v>
      </c>
    </row>
    <row r="4193" spans="1:3" x14ac:dyDescent="0.25">
      <c r="A4193">
        <v>4192</v>
      </c>
      <c r="B4193" s="23">
        <v>1232</v>
      </c>
      <c r="C4193" s="23">
        <v>0</v>
      </c>
    </row>
    <row r="4194" spans="1:3" x14ac:dyDescent="0.25">
      <c r="A4194">
        <v>4193</v>
      </c>
      <c r="B4194" s="23">
        <v>1232</v>
      </c>
      <c r="C4194" s="23">
        <v>0</v>
      </c>
    </row>
    <row r="4195" spans="1:3" x14ac:dyDescent="0.25">
      <c r="A4195">
        <v>4194</v>
      </c>
      <c r="B4195" s="23">
        <v>1231.998</v>
      </c>
      <c r="C4195" s="23">
        <v>0</v>
      </c>
    </row>
    <row r="4196" spans="1:3" x14ac:dyDescent="0.25">
      <c r="A4196">
        <v>4195</v>
      </c>
      <c r="B4196" s="23">
        <v>1231.9892</v>
      </c>
      <c r="C4196" s="23">
        <v>0</v>
      </c>
    </row>
    <row r="4197" spans="1:3" x14ac:dyDescent="0.25">
      <c r="A4197">
        <v>4196</v>
      </c>
      <c r="B4197" s="23">
        <v>1231.626</v>
      </c>
      <c r="C4197" s="23">
        <v>0</v>
      </c>
    </row>
    <row r="4198" spans="1:3" x14ac:dyDescent="0.25">
      <c r="A4198">
        <v>4197</v>
      </c>
      <c r="B4198" s="23">
        <v>1231.447017</v>
      </c>
      <c r="C4198" s="23">
        <v>0</v>
      </c>
    </row>
    <row r="4199" spans="1:3" x14ac:dyDescent="0.25">
      <c r="A4199">
        <v>4198</v>
      </c>
      <c r="B4199" s="23">
        <v>1231.431</v>
      </c>
      <c r="C4199" s="23">
        <v>0</v>
      </c>
    </row>
    <row r="4200" spans="1:3" x14ac:dyDescent="0.25">
      <c r="A4200">
        <v>4199</v>
      </c>
      <c r="B4200" s="23">
        <v>1231.249458</v>
      </c>
      <c r="C4200" s="23">
        <v>0</v>
      </c>
    </row>
    <row r="4201" spans="1:3" x14ac:dyDescent="0.25">
      <c r="A4201">
        <v>4200</v>
      </c>
      <c r="B4201" s="23">
        <v>1231.0896</v>
      </c>
      <c r="C4201" s="23">
        <v>0</v>
      </c>
    </row>
    <row r="4202" spans="1:3" x14ac:dyDescent="0.25">
      <c r="A4202">
        <v>4201</v>
      </c>
      <c r="B4202" s="23">
        <v>1231.0111059999999</v>
      </c>
      <c r="C4202" s="23">
        <v>0</v>
      </c>
    </row>
    <row r="4203" spans="1:3" x14ac:dyDescent="0.25">
      <c r="A4203">
        <v>4202</v>
      </c>
      <c r="B4203" s="23">
        <v>1230.79872</v>
      </c>
      <c r="C4203" s="23">
        <v>0</v>
      </c>
    </row>
    <row r="4204" spans="1:3" x14ac:dyDescent="0.25">
      <c r="A4204">
        <v>4203</v>
      </c>
      <c r="B4204" s="23">
        <v>1230.79872</v>
      </c>
      <c r="C4204" s="23">
        <v>0</v>
      </c>
    </row>
    <row r="4205" spans="1:3" x14ac:dyDescent="0.25">
      <c r="A4205">
        <v>4204</v>
      </c>
      <c r="B4205" s="23">
        <v>1230.748114</v>
      </c>
      <c r="C4205" s="23">
        <v>0</v>
      </c>
    </row>
    <row r="4206" spans="1:3" x14ac:dyDescent="0.25">
      <c r="A4206">
        <v>4205</v>
      </c>
      <c r="B4206" s="23">
        <v>1230.670079</v>
      </c>
      <c r="C4206" s="23">
        <v>0</v>
      </c>
    </row>
    <row r="4207" spans="1:3" x14ac:dyDescent="0.25">
      <c r="A4207">
        <v>4206</v>
      </c>
      <c r="B4207" s="23">
        <v>1230.58</v>
      </c>
      <c r="C4207" s="23">
        <v>0</v>
      </c>
    </row>
    <row r="4208" spans="1:3" x14ac:dyDescent="0.25">
      <c r="A4208">
        <v>4207</v>
      </c>
      <c r="B4208" s="23">
        <v>1230.4931999999999</v>
      </c>
      <c r="C4208" s="23">
        <v>0</v>
      </c>
    </row>
    <row r="4209" spans="1:3" x14ac:dyDescent="0.25">
      <c r="A4209">
        <v>4208</v>
      </c>
      <c r="B4209" s="23">
        <v>1230.4000000000001</v>
      </c>
      <c r="C4209" s="23">
        <v>0</v>
      </c>
    </row>
    <row r="4210" spans="1:3" x14ac:dyDescent="0.25">
      <c r="A4210">
        <v>4209</v>
      </c>
      <c r="B4210" s="23">
        <v>1230.4000000000001</v>
      </c>
      <c r="C4210" s="23">
        <v>0</v>
      </c>
    </row>
    <row r="4211" spans="1:3" x14ac:dyDescent="0.25">
      <c r="A4211">
        <v>4210</v>
      </c>
      <c r="B4211" s="23">
        <v>1230.1080360000001</v>
      </c>
      <c r="C4211" s="23">
        <v>0</v>
      </c>
    </row>
    <row r="4212" spans="1:3" x14ac:dyDescent="0.25">
      <c r="A4212">
        <v>4211</v>
      </c>
      <c r="B4212" s="23">
        <v>1230.1080360000001</v>
      </c>
      <c r="C4212" s="23">
        <v>0</v>
      </c>
    </row>
    <row r="4213" spans="1:3" x14ac:dyDescent="0.25">
      <c r="A4213">
        <v>4212</v>
      </c>
      <c r="B4213" s="23">
        <v>1230.0597339999999</v>
      </c>
      <c r="C4213" s="23">
        <v>0</v>
      </c>
    </row>
    <row r="4214" spans="1:3" x14ac:dyDescent="0.25">
      <c r="A4214">
        <v>4213</v>
      </c>
      <c r="B4214" s="23">
        <v>1229.933</v>
      </c>
      <c r="C4214" s="23">
        <v>0</v>
      </c>
    </row>
    <row r="4215" spans="1:3" x14ac:dyDescent="0.25">
      <c r="A4215">
        <v>4214</v>
      </c>
      <c r="B4215" s="23">
        <v>1229.5999999999999</v>
      </c>
      <c r="C4215" s="23">
        <v>0</v>
      </c>
    </row>
    <row r="4216" spans="1:3" x14ac:dyDescent="0.25">
      <c r="A4216">
        <v>4215</v>
      </c>
      <c r="B4216" s="23">
        <v>1229.5985350000001</v>
      </c>
      <c r="C4216" s="23">
        <v>0</v>
      </c>
    </row>
    <row r="4217" spans="1:3" x14ac:dyDescent="0.25">
      <c r="A4217">
        <v>4216</v>
      </c>
      <c r="B4217" s="23">
        <v>1229.417353</v>
      </c>
      <c r="C4217" s="23">
        <v>0</v>
      </c>
    </row>
    <row r="4218" spans="1:3" x14ac:dyDescent="0.25">
      <c r="A4218">
        <v>4217</v>
      </c>
      <c r="B4218" s="23">
        <v>1229.373</v>
      </c>
      <c r="C4218" s="23">
        <v>0</v>
      </c>
    </row>
    <row r="4219" spans="1:3" x14ac:dyDescent="0.25">
      <c r="A4219">
        <v>4218</v>
      </c>
      <c r="B4219" s="23">
        <v>1229.2948140000001</v>
      </c>
      <c r="C4219" s="23">
        <v>0</v>
      </c>
    </row>
    <row r="4220" spans="1:3" x14ac:dyDescent="0.25">
      <c r="A4220">
        <v>4219</v>
      </c>
      <c r="B4220" s="23">
        <v>1229.1162019999999</v>
      </c>
      <c r="C4220" s="23">
        <v>0</v>
      </c>
    </row>
    <row r="4221" spans="1:3" x14ac:dyDescent="0.25">
      <c r="A4221">
        <v>4220</v>
      </c>
      <c r="B4221" s="23">
        <v>1228.9280000000001</v>
      </c>
      <c r="C4221" s="23">
        <v>0</v>
      </c>
    </row>
    <row r="4222" spans="1:3" x14ac:dyDescent="0.25">
      <c r="A4222">
        <v>4221</v>
      </c>
      <c r="B4222" s="23">
        <v>1228.8030000000001</v>
      </c>
      <c r="C4222" s="23">
        <v>0</v>
      </c>
    </row>
    <row r="4223" spans="1:3" x14ac:dyDescent="0.25">
      <c r="A4223">
        <v>4222</v>
      </c>
      <c r="B4223" s="23">
        <v>1228.8</v>
      </c>
      <c r="C4223" s="23">
        <v>0</v>
      </c>
    </row>
    <row r="4224" spans="1:3" x14ac:dyDescent="0.25">
      <c r="A4224">
        <v>4223</v>
      </c>
      <c r="B4224" s="23">
        <v>1228.631312</v>
      </c>
      <c r="C4224" s="23">
        <v>0</v>
      </c>
    </row>
    <row r="4225" spans="1:3" x14ac:dyDescent="0.25">
      <c r="A4225">
        <v>4224</v>
      </c>
      <c r="B4225" s="23">
        <v>1228.380496</v>
      </c>
      <c r="C4225" s="23">
        <v>0</v>
      </c>
    </row>
    <row r="4226" spans="1:3" x14ac:dyDescent="0.25">
      <c r="A4226">
        <v>4225</v>
      </c>
      <c r="B4226" s="23">
        <v>1228.380496</v>
      </c>
      <c r="C4226" s="23">
        <v>0</v>
      </c>
    </row>
    <row r="4227" spans="1:3" x14ac:dyDescent="0.25">
      <c r="A4227">
        <v>4226</v>
      </c>
      <c r="B4227" s="23">
        <v>1228.318411</v>
      </c>
      <c r="C4227" s="23">
        <v>0</v>
      </c>
    </row>
    <row r="4228" spans="1:3" x14ac:dyDescent="0.25">
      <c r="A4228">
        <v>4227</v>
      </c>
      <c r="B4228" s="23">
        <v>1228.287151</v>
      </c>
      <c r="C4228" s="23">
        <v>0</v>
      </c>
    </row>
    <row r="4229" spans="1:3" x14ac:dyDescent="0.25">
      <c r="A4229">
        <v>4228</v>
      </c>
      <c r="B4229" s="23">
        <v>1228.1418860000001</v>
      </c>
      <c r="C4229" s="23">
        <v>0</v>
      </c>
    </row>
    <row r="4230" spans="1:3" x14ac:dyDescent="0.25">
      <c r="A4230">
        <v>4229</v>
      </c>
      <c r="B4230" s="23">
        <v>1228.0848169999999</v>
      </c>
      <c r="C4230" s="23">
        <v>0</v>
      </c>
    </row>
    <row r="4231" spans="1:3" x14ac:dyDescent="0.25">
      <c r="A4231">
        <v>4230</v>
      </c>
      <c r="B4231" s="23">
        <v>1228.0709999999999</v>
      </c>
      <c r="C4231" s="23">
        <v>0</v>
      </c>
    </row>
    <row r="4232" spans="1:3" x14ac:dyDescent="0.25">
      <c r="A4232">
        <v>4231</v>
      </c>
      <c r="B4232" s="23">
        <v>1228.048935</v>
      </c>
      <c r="C4232" s="23">
        <v>0</v>
      </c>
    </row>
    <row r="4233" spans="1:3" x14ac:dyDescent="0.25">
      <c r="A4233">
        <v>4232</v>
      </c>
      <c r="B4233" s="23">
        <v>1228</v>
      </c>
      <c r="C4233" s="23">
        <v>0</v>
      </c>
    </row>
    <row r="4234" spans="1:3" x14ac:dyDescent="0.25">
      <c r="A4234">
        <v>4233</v>
      </c>
      <c r="B4234" s="23">
        <v>1228</v>
      </c>
      <c r="C4234" s="23">
        <v>0</v>
      </c>
    </row>
    <row r="4235" spans="1:3" x14ac:dyDescent="0.25">
      <c r="A4235">
        <v>4234</v>
      </c>
      <c r="B4235" s="23">
        <v>1227.8969999999999</v>
      </c>
      <c r="C4235" s="23">
        <v>0</v>
      </c>
    </row>
    <row r="4236" spans="1:3" x14ac:dyDescent="0.25">
      <c r="A4236">
        <v>4235</v>
      </c>
      <c r="B4236" s="23">
        <v>1227.421</v>
      </c>
      <c r="C4236" s="23">
        <v>0</v>
      </c>
    </row>
    <row r="4237" spans="1:3" x14ac:dyDescent="0.25">
      <c r="A4237">
        <v>4236</v>
      </c>
      <c r="B4237" s="23">
        <v>1227.3469640000001</v>
      </c>
      <c r="C4237" s="23">
        <v>0</v>
      </c>
    </row>
    <row r="4238" spans="1:3" x14ac:dyDescent="0.25">
      <c r="A4238">
        <v>4237</v>
      </c>
      <c r="B4238" s="23">
        <v>1227.3453010000001</v>
      </c>
      <c r="C4238" s="23">
        <v>0</v>
      </c>
    </row>
    <row r="4239" spans="1:3" x14ac:dyDescent="0.25">
      <c r="A4239">
        <v>4238</v>
      </c>
      <c r="B4239" s="23">
        <v>1227.2909999999999</v>
      </c>
      <c r="C4239" s="23">
        <v>0</v>
      </c>
    </row>
    <row r="4240" spans="1:3" x14ac:dyDescent="0.25">
      <c r="A4240">
        <v>4239</v>
      </c>
      <c r="B4240" s="23">
        <v>1227.2</v>
      </c>
      <c r="C4240" s="23">
        <v>0</v>
      </c>
    </row>
    <row r="4241" spans="1:3" x14ac:dyDescent="0.25">
      <c r="A4241">
        <v>4240</v>
      </c>
      <c r="B4241" s="23">
        <v>1226.9960000000001</v>
      </c>
      <c r="C4241" s="23">
        <v>0</v>
      </c>
    </row>
    <row r="4242" spans="1:3" x14ac:dyDescent="0.25">
      <c r="A4242">
        <v>4241</v>
      </c>
      <c r="B4242" s="23">
        <v>1226.9570000000001</v>
      </c>
      <c r="C4242" s="23">
        <v>0</v>
      </c>
    </row>
    <row r="4243" spans="1:3" x14ac:dyDescent="0.25">
      <c r="A4243">
        <v>4242</v>
      </c>
      <c r="B4243" s="23">
        <v>1226.9441830000001</v>
      </c>
      <c r="C4243" s="23">
        <v>0</v>
      </c>
    </row>
    <row r="4244" spans="1:3" x14ac:dyDescent="0.25">
      <c r="A4244">
        <v>4243</v>
      </c>
      <c r="B4244" s="23">
        <v>1226.8473710000001</v>
      </c>
      <c r="C4244" s="23">
        <v>0</v>
      </c>
    </row>
    <row r="4245" spans="1:3" x14ac:dyDescent="0.25">
      <c r="A4245">
        <v>4244</v>
      </c>
      <c r="B4245" s="23">
        <v>1226.7781</v>
      </c>
      <c r="C4245" s="23">
        <v>0</v>
      </c>
    </row>
    <row r="4246" spans="1:3" x14ac:dyDescent="0.25">
      <c r="A4246">
        <v>4245</v>
      </c>
      <c r="B4246" s="23">
        <v>1226.4000000000001</v>
      </c>
      <c r="C4246" s="23">
        <v>0</v>
      </c>
    </row>
    <row r="4247" spans="1:3" x14ac:dyDescent="0.25">
      <c r="A4247">
        <v>4246</v>
      </c>
      <c r="B4247" s="23">
        <v>1226.4000000000001</v>
      </c>
      <c r="C4247" s="23">
        <v>0</v>
      </c>
    </row>
    <row r="4248" spans="1:3" x14ac:dyDescent="0.25">
      <c r="A4248">
        <v>4247</v>
      </c>
      <c r="B4248" s="23">
        <v>1226.4000000000001</v>
      </c>
      <c r="C4248" s="23">
        <v>0</v>
      </c>
    </row>
    <row r="4249" spans="1:3" x14ac:dyDescent="0.25">
      <c r="A4249">
        <v>4248</v>
      </c>
      <c r="B4249" s="23">
        <v>1226.4000000000001</v>
      </c>
      <c r="C4249" s="23">
        <v>0</v>
      </c>
    </row>
    <row r="4250" spans="1:3" x14ac:dyDescent="0.25">
      <c r="A4250">
        <v>4249</v>
      </c>
      <c r="B4250" s="23">
        <v>1226.4000000000001</v>
      </c>
      <c r="C4250" s="23">
        <v>0</v>
      </c>
    </row>
    <row r="4251" spans="1:3" x14ac:dyDescent="0.25">
      <c r="A4251">
        <v>4250</v>
      </c>
      <c r="B4251" s="23">
        <v>1226.4000000000001</v>
      </c>
      <c r="C4251" s="23">
        <v>0</v>
      </c>
    </row>
    <row r="4252" spans="1:3" x14ac:dyDescent="0.25">
      <c r="A4252">
        <v>4251</v>
      </c>
      <c r="B4252" s="23">
        <v>1226.0084489999999</v>
      </c>
      <c r="C4252" s="23">
        <v>0</v>
      </c>
    </row>
    <row r="4253" spans="1:3" x14ac:dyDescent="0.25">
      <c r="A4253">
        <v>4252</v>
      </c>
      <c r="B4253" s="23">
        <v>1225.8162990000001</v>
      </c>
      <c r="C4253" s="23">
        <v>0</v>
      </c>
    </row>
    <row r="4254" spans="1:3" x14ac:dyDescent="0.25">
      <c r="A4254">
        <v>4253</v>
      </c>
      <c r="B4254" s="23">
        <v>1225.7739999999999</v>
      </c>
      <c r="C4254" s="23">
        <v>0</v>
      </c>
    </row>
    <row r="4255" spans="1:3" x14ac:dyDescent="0.25">
      <c r="A4255">
        <v>4254</v>
      </c>
      <c r="B4255" s="23">
        <v>1225.6263610000001</v>
      </c>
      <c r="C4255" s="23">
        <v>0</v>
      </c>
    </row>
    <row r="4256" spans="1:3" x14ac:dyDescent="0.25">
      <c r="A4256">
        <v>4255</v>
      </c>
      <c r="B4256" s="23">
        <v>1225.5999999999999</v>
      </c>
      <c r="C4256" s="23">
        <v>0</v>
      </c>
    </row>
    <row r="4257" spans="1:3" x14ac:dyDescent="0.25">
      <c r="A4257">
        <v>4256</v>
      </c>
      <c r="B4257" s="23">
        <v>1225.5999999999999</v>
      </c>
      <c r="C4257" s="23">
        <v>0</v>
      </c>
    </row>
    <row r="4258" spans="1:3" x14ac:dyDescent="0.25">
      <c r="A4258">
        <v>4257</v>
      </c>
      <c r="B4258" s="23">
        <v>1225.5999999999999</v>
      </c>
      <c r="C4258" s="23">
        <v>0</v>
      </c>
    </row>
    <row r="4259" spans="1:3" x14ac:dyDescent="0.25">
      <c r="A4259">
        <v>4258</v>
      </c>
      <c r="B4259" s="23">
        <v>1225.5999999999999</v>
      </c>
      <c r="C4259" s="23">
        <v>0</v>
      </c>
    </row>
    <row r="4260" spans="1:3" x14ac:dyDescent="0.25">
      <c r="A4260">
        <v>4259</v>
      </c>
      <c r="B4260" s="23">
        <v>1225.4110000000001</v>
      </c>
      <c r="C4260" s="23">
        <v>0</v>
      </c>
    </row>
    <row r="4261" spans="1:3" x14ac:dyDescent="0.25">
      <c r="A4261">
        <v>4260</v>
      </c>
      <c r="B4261" s="23">
        <v>1225.3763309999999</v>
      </c>
      <c r="C4261" s="23">
        <v>0</v>
      </c>
    </row>
    <row r="4262" spans="1:3" x14ac:dyDescent="0.25">
      <c r="A4262">
        <v>4261</v>
      </c>
      <c r="B4262" s="23">
        <v>1225.2732490000001</v>
      </c>
      <c r="C4262" s="23">
        <v>0</v>
      </c>
    </row>
    <row r="4263" spans="1:3" x14ac:dyDescent="0.25">
      <c r="A4263">
        <v>4262</v>
      </c>
      <c r="B4263" s="23">
        <v>1225.231511</v>
      </c>
      <c r="C4263" s="23">
        <v>0</v>
      </c>
    </row>
    <row r="4264" spans="1:3" x14ac:dyDescent="0.25">
      <c r="A4264">
        <v>4263</v>
      </c>
      <c r="B4264" s="23">
        <v>1224.9459999999999</v>
      </c>
      <c r="C4264" s="23">
        <v>0</v>
      </c>
    </row>
    <row r="4265" spans="1:3" x14ac:dyDescent="0.25">
      <c r="A4265">
        <v>4264</v>
      </c>
      <c r="B4265" s="23">
        <v>1224.916684</v>
      </c>
      <c r="C4265" s="23">
        <v>0</v>
      </c>
    </row>
    <row r="4266" spans="1:3" x14ac:dyDescent="0.25">
      <c r="A4266">
        <v>4265</v>
      </c>
      <c r="B4266" s="23">
        <v>1224.8009999999999</v>
      </c>
      <c r="C4266" s="23">
        <v>0</v>
      </c>
    </row>
    <row r="4267" spans="1:3" x14ac:dyDescent="0.25">
      <c r="A4267">
        <v>4266</v>
      </c>
      <c r="B4267" s="23">
        <v>1224.8</v>
      </c>
      <c r="C4267" s="23">
        <v>0</v>
      </c>
    </row>
    <row r="4268" spans="1:3" x14ac:dyDescent="0.25">
      <c r="A4268">
        <v>4267</v>
      </c>
      <c r="B4268" s="23">
        <v>1224.5440000000001</v>
      </c>
      <c r="C4268" s="23">
        <v>0</v>
      </c>
    </row>
    <row r="4269" spans="1:3" x14ac:dyDescent="0.25">
      <c r="A4269">
        <v>4268</v>
      </c>
      <c r="B4269" s="23">
        <v>1224.4359999999999</v>
      </c>
      <c r="C4269" s="23">
        <v>0</v>
      </c>
    </row>
    <row r="4270" spans="1:3" x14ac:dyDescent="0.25">
      <c r="A4270">
        <v>4269</v>
      </c>
      <c r="B4270" s="23">
        <v>1224.2460000000001</v>
      </c>
      <c r="C4270" s="23">
        <v>0</v>
      </c>
    </row>
    <row r="4271" spans="1:3" x14ac:dyDescent="0.25">
      <c r="A4271">
        <v>4270</v>
      </c>
      <c r="B4271" s="23">
        <v>1223.972407</v>
      </c>
      <c r="C4271" s="23">
        <v>0</v>
      </c>
    </row>
    <row r="4272" spans="1:3" x14ac:dyDescent="0.25">
      <c r="A4272">
        <v>4271</v>
      </c>
      <c r="B4272" s="23">
        <v>1223.3853120000001</v>
      </c>
      <c r="C4272" s="23">
        <v>0</v>
      </c>
    </row>
    <row r="4273" spans="1:3" x14ac:dyDescent="0.25">
      <c r="A4273">
        <v>4272</v>
      </c>
      <c r="B4273" s="23">
        <v>1223.2</v>
      </c>
      <c r="C4273" s="23">
        <v>0</v>
      </c>
    </row>
    <row r="4274" spans="1:3" x14ac:dyDescent="0.25">
      <c r="A4274">
        <v>4273</v>
      </c>
      <c r="B4274" s="23">
        <v>1223.2</v>
      </c>
      <c r="C4274" s="23">
        <v>0</v>
      </c>
    </row>
    <row r="4275" spans="1:3" x14ac:dyDescent="0.25">
      <c r="A4275">
        <v>4274</v>
      </c>
      <c r="B4275" s="23">
        <v>1223.2</v>
      </c>
      <c r="C4275" s="23">
        <v>0</v>
      </c>
    </row>
    <row r="4276" spans="1:3" x14ac:dyDescent="0.25">
      <c r="A4276">
        <v>4275</v>
      </c>
      <c r="B4276" s="23">
        <v>1222.75</v>
      </c>
      <c r="C4276" s="23">
        <v>0</v>
      </c>
    </row>
    <row r="4277" spans="1:3" x14ac:dyDescent="0.25">
      <c r="A4277">
        <v>4276</v>
      </c>
      <c r="B4277" s="23">
        <v>1222.738439</v>
      </c>
      <c r="C4277" s="23">
        <v>0</v>
      </c>
    </row>
    <row r="4278" spans="1:3" x14ac:dyDescent="0.25">
      <c r="A4278">
        <v>4277</v>
      </c>
      <c r="B4278" s="23">
        <v>1222.683</v>
      </c>
      <c r="C4278" s="23">
        <v>0</v>
      </c>
    </row>
    <row r="4279" spans="1:3" x14ac:dyDescent="0.25">
      <c r="A4279">
        <v>4278</v>
      </c>
      <c r="B4279" s="23">
        <v>1222.599633</v>
      </c>
      <c r="C4279" s="23">
        <v>0</v>
      </c>
    </row>
    <row r="4280" spans="1:3" x14ac:dyDescent="0.25">
      <c r="A4280">
        <v>4279</v>
      </c>
      <c r="B4280" s="23">
        <v>1222.5105129999999</v>
      </c>
      <c r="C4280" s="23">
        <v>0</v>
      </c>
    </row>
    <row r="4281" spans="1:3" x14ac:dyDescent="0.25">
      <c r="A4281">
        <v>4280</v>
      </c>
      <c r="B4281" s="23">
        <v>1222.4000000000001</v>
      </c>
      <c r="C4281" s="23">
        <v>0</v>
      </c>
    </row>
    <row r="4282" spans="1:3" x14ac:dyDescent="0.25">
      <c r="A4282">
        <v>4281</v>
      </c>
      <c r="B4282" s="23">
        <v>1222.4000000000001</v>
      </c>
      <c r="C4282" s="23">
        <v>0</v>
      </c>
    </row>
    <row r="4283" spans="1:3" x14ac:dyDescent="0.25">
      <c r="A4283">
        <v>4282</v>
      </c>
      <c r="B4283" s="23">
        <v>1222.4000000000001</v>
      </c>
      <c r="C4283" s="23">
        <v>0</v>
      </c>
    </row>
    <row r="4284" spans="1:3" x14ac:dyDescent="0.25">
      <c r="A4284">
        <v>4283</v>
      </c>
      <c r="B4284" s="23">
        <v>1222.4000000000001</v>
      </c>
      <c r="C4284" s="23">
        <v>0</v>
      </c>
    </row>
    <row r="4285" spans="1:3" x14ac:dyDescent="0.25">
      <c r="A4285">
        <v>4284</v>
      </c>
      <c r="B4285" s="23">
        <v>1222.4000000000001</v>
      </c>
      <c r="C4285" s="23">
        <v>0</v>
      </c>
    </row>
    <row r="4286" spans="1:3" x14ac:dyDescent="0.25">
      <c r="A4286">
        <v>4285</v>
      </c>
      <c r="B4286" s="23">
        <v>1222.3979999999999</v>
      </c>
      <c r="C4286" s="23">
        <v>0</v>
      </c>
    </row>
    <row r="4287" spans="1:3" x14ac:dyDescent="0.25">
      <c r="A4287">
        <v>4286</v>
      </c>
      <c r="B4287" s="23">
        <v>1222.2850000000001</v>
      </c>
      <c r="C4287" s="23">
        <v>0</v>
      </c>
    </row>
    <row r="4288" spans="1:3" x14ac:dyDescent="0.25">
      <c r="A4288">
        <v>4287</v>
      </c>
      <c r="B4288" s="23">
        <v>1222.1237590000001</v>
      </c>
      <c r="C4288" s="23">
        <v>0</v>
      </c>
    </row>
    <row r="4289" spans="1:3" x14ac:dyDescent="0.25">
      <c r="A4289">
        <v>4288</v>
      </c>
      <c r="B4289" s="23">
        <v>1221.9349999999999</v>
      </c>
      <c r="C4289" s="23">
        <v>0</v>
      </c>
    </row>
    <row r="4290" spans="1:3" x14ac:dyDescent="0.25">
      <c r="A4290">
        <v>4289</v>
      </c>
      <c r="B4290" s="23">
        <v>1221.837857</v>
      </c>
      <c r="C4290" s="23">
        <v>0</v>
      </c>
    </row>
    <row r="4291" spans="1:3" x14ac:dyDescent="0.25">
      <c r="A4291">
        <v>4290</v>
      </c>
      <c r="B4291" s="23">
        <v>1221.698731</v>
      </c>
      <c r="C4291" s="23">
        <v>0</v>
      </c>
    </row>
    <row r="4292" spans="1:3" x14ac:dyDescent="0.25">
      <c r="A4292">
        <v>4291</v>
      </c>
      <c r="B4292" s="23">
        <v>1221.629653</v>
      </c>
      <c r="C4292" s="23">
        <v>0</v>
      </c>
    </row>
    <row r="4293" spans="1:3" x14ac:dyDescent="0.25">
      <c r="A4293">
        <v>4292</v>
      </c>
      <c r="B4293" s="23">
        <v>1221.5999999999999</v>
      </c>
      <c r="C4293" s="23">
        <v>0</v>
      </c>
    </row>
    <row r="4294" spans="1:3" x14ac:dyDescent="0.25">
      <c r="A4294">
        <v>4293</v>
      </c>
      <c r="B4294" s="23">
        <v>1221.3716939999999</v>
      </c>
      <c r="C4294" s="23">
        <v>0</v>
      </c>
    </row>
    <row r="4295" spans="1:3" x14ac:dyDescent="0.25">
      <c r="A4295">
        <v>4294</v>
      </c>
      <c r="B4295" s="23">
        <v>1221.129146</v>
      </c>
      <c r="C4295" s="23">
        <v>0</v>
      </c>
    </row>
    <row r="4296" spans="1:3" x14ac:dyDescent="0.25">
      <c r="A4296">
        <v>4295</v>
      </c>
      <c r="B4296" s="23">
        <v>1220.8327650000001</v>
      </c>
      <c r="C4296" s="23">
        <v>0</v>
      </c>
    </row>
    <row r="4297" spans="1:3" x14ac:dyDescent="0.25">
      <c r="A4297">
        <v>4296</v>
      </c>
      <c r="B4297" s="23">
        <v>1220.8</v>
      </c>
      <c r="C4297" s="23">
        <v>0</v>
      </c>
    </row>
    <row r="4298" spans="1:3" x14ac:dyDescent="0.25">
      <c r="A4298">
        <v>4297</v>
      </c>
      <c r="B4298" s="23">
        <v>1220.8</v>
      </c>
      <c r="C4298" s="23">
        <v>0</v>
      </c>
    </row>
    <row r="4299" spans="1:3" x14ac:dyDescent="0.25">
      <c r="A4299">
        <v>4298</v>
      </c>
      <c r="B4299" s="23">
        <v>1220.569882</v>
      </c>
      <c r="C4299" s="23">
        <v>0</v>
      </c>
    </row>
    <row r="4300" spans="1:3" x14ac:dyDescent="0.25">
      <c r="A4300">
        <v>4299</v>
      </c>
      <c r="B4300" s="23">
        <v>1220.1199999999999</v>
      </c>
      <c r="C4300" s="23">
        <v>0</v>
      </c>
    </row>
    <row r="4301" spans="1:3" x14ac:dyDescent="0.25">
      <c r="A4301">
        <v>4300</v>
      </c>
      <c r="B4301" s="23">
        <v>1220.0358759999999</v>
      </c>
      <c r="C4301" s="23">
        <v>0</v>
      </c>
    </row>
    <row r="4302" spans="1:3" x14ac:dyDescent="0.25">
      <c r="A4302">
        <v>4301</v>
      </c>
      <c r="B4302" s="23">
        <v>1220</v>
      </c>
      <c r="C4302" s="23">
        <v>0</v>
      </c>
    </row>
    <row r="4303" spans="1:3" x14ac:dyDescent="0.25">
      <c r="A4303">
        <v>4302</v>
      </c>
      <c r="B4303" s="23">
        <v>1220</v>
      </c>
      <c r="C4303" s="23">
        <v>0</v>
      </c>
    </row>
    <row r="4304" spans="1:3" x14ac:dyDescent="0.25">
      <c r="A4304">
        <v>4303</v>
      </c>
      <c r="B4304" s="23">
        <v>1220</v>
      </c>
      <c r="C4304" s="23">
        <v>0</v>
      </c>
    </row>
    <row r="4305" spans="1:3" x14ac:dyDescent="0.25">
      <c r="A4305">
        <v>4304</v>
      </c>
      <c r="B4305" s="23">
        <v>1220</v>
      </c>
      <c r="C4305" s="23">
        <v>0</v>
      </c>
    </row>
    <row r="4306" spans="1:3" x14ac:dyDescent="0.25">
      <c r="A4306">
        <v>4305</v>
      </c>
      <c r="B4306" s="23">
        <v>1219.8369459999999</v>
      </c>
      <c r="C4306" s="23">
        <v>0</v>
      </c>
    </row>
    <row r="4307" spans="1:3" x14ac:dyDescent="0.25">
      <c r="A4307">
        <v>4306</v>
      </c>
      <c r="B4307" s="23">
        <v>1219.569</v>
      </c>
      <c r="C4307" s="23">
        <v>0</v>
      </c>
    </row>
    <row r="4308" spans="1:3" x14ac:dyDescent="0.25">
      <c r="A4308">
        <v>4307</v>
      </c>
      <c r="B4308" s="23">
        <v>1219.223</v>
      </c>
      <c r="C4308" s="23">
        <v>0</v>
      </c>
    </row>
    <row r="4309" spans="1:3" x14ac:dyDescent="0.25">
      <c r="A4309">
        <v>4308</v>
      </c>
      <c r="B4309" s="23">
        <v>1219.2</v>
      </c>
      <c r="C4309" s="23">
        <v>0</v>
      </c>
    </row>
    <row r="4310" spans="1:3" x14ac:dyDescent="0.25">
      <c r="A4310">
        <v>4309</v>
      </c>
      <c r="B4310" s="23">
        <v>1219.2</v>
      </c>
      <c r="C4310" s="23">
        <v>0</v>
      </c>
    </row>
    <row r="4311" spans="1:3" x14ac:dyDescent="0.25">
      <c r="A4311">
        <v>4310</v>
      </c>
      <c r="B4311" s="23">
        <v>1219.057094</v>
      </c>
      <c r="C4311" s="23">
        <v>0</v>
      </c>
    </row>
    <row r="4312" spans="1:3" x14ac:dyDescent="0.25">
      <c r="A4312">
        <v>4311</v>
      </c>
      <c r="B4312" s="23">
        <v>1218.7566509999999</v>
      </c>
      <c r="C4312" s="23">
        <v>0</v>
      </c>
    </row>
    <row r="4313" spans="1:3" x14ac:dyDescent="0.25">
      <c r="A4313">
        <v>4312</v>
      </c>
      <c r="B4313" s="23">
        <v>1218.646</v>
      </c>
      <c r="C4313" s="23">
        <v>0</v>
      </c>
    </row>
    <row r="4314" spans="1:3" x14ac:dyDescent="0.25">
      <c r="A4314">
        <v>4313</v>
      </c>
      <c r="B4314" s="23">
        <v>1218.566538</v>
      </c>
      <c r="C4314" s="23">
        <v>0</v>
      </c>
    </row>
    <row r="4315" spans="1:3" x14ac:dyDescent="0.25">
      <c r="A4315">
        <v>4314</v>
      </c>
      <c r="B4315" s="23">
        <v>1218.473</v>
      </c>
      <c r="C4315" s="23">
        <v>0</v>
      </c>
    </row>
    <row r="4316" spans="1:3" x14ac:dyDescent="0.25">
      <c r="A4316">
        <v>4315</v>
      </c>
      <c r="B4316" s="23">
        <v>1218.4000000000001</v>
      </c>
      <c r="C4316" s="23">
        <v>0</v>
      </c>
    </row>
    <row r="4317" spans="1:3" x14ac:dyDescent="0.25">
      <c r="A4317">
        <v>4316</v>
      </c>
      <c r="B4317" s="23">
        <v>1218.2390680000001</v>
      </c>
      <c r="C4317" s="23">
        <v>0</v>
      </c>
    </row>
    <row r="4318" spans="1:3" x14ac:dyDescent="0.25">
      <c r="A4318">
        <v>4317</v>
      </c>
      <c r="B4318" s="23">
        <v>1218.1369749999999</v>
      </c>
      <c r="C4318" s="23">
        <v>0</v>
      </c>
    </row>
    <row r="4319" spans="1:3" x14ac:dyDescent="0.25">
      <c r="A4319">
        <v>4318</v>
      </c>
      <c r="B4319" s="23">
        <v>1218.021131</v>
      </c>
      <c r="C4319" s="23">
        <v>0</v>
      </c>
    </row>
    <row r="4320" spans="1:3" x14ac:dyDescent="0.25">
      <c r="A4320">
        <v>4319</v>
      </c>
      <c r="B4320" s="23">
        <v>1217.8030000000001</v>
      </c>
      <c r="C4320" s="23">
        <v>0</v>
      </c>
    </row>
    <row r="4321" spans="1:3" x14ac:dyDescent="0.25">
      <c r="A4321">
        <v>4320</v>
      </c>
      <c r="B4321" s="23">
        <v>1217.705772</v>
      </c>
      <c r="C4321" s="23">
        <v>0</v>
      </c>
    </row>
    <row r="4322" spans="1:3" x14ac:dyDescent="0.25">
      <c r="A4322">
        <v>4321</v>
      </c>
      <c r="B4322" s="23">
        <v>1217.5999999999999</v>
      </c>
      <c r="C4322" s="23">
        <v>0</v>
      </c>
    </row>
    <row r="4323" spans="1:3" x14ac:dyDescent="0.25">
      <c r="A4323">
        <v>4322</v>
      </c>
      <c r="B4323" s="23">
        <v>1217.5999999999999</v>
      </c>
      <c r="C4323" s="23">
        <v>0</v>
      </c>
    </row>
    <row r="4324" spans="1:3" x14ac:dyDescent="0.25">
      <c r="A4324">
        <v>4323</v>
      </c>
      <c r="B4324" s="23">
        <v>1217.5999999999999</v>
      </c>
      <c r="C4324" s="23">
        <v>0</v>
      </c>
    </row>
    <row r="4325" spans="1:3" x14ac:dyDescent="0.25">
      <c r="A4325">
        <v>4324</v>
      </c>
      <c r="B4325" s="23">
        <v>1217.5980239999999</v>
      </c>
      <c r="C4325" s="23">
        <v>0</v>
      </c>
    </row>
    <row r="4326" spans="1:3" x14ac:dyDescent="0.25">
      <c r="A4326">
        <v>4325</v>
      </c>
      <c r="B4326" s="23">
        <v>1217.422</v>
      </c>
      <c r="C4326" s="23">
        <v>0</v>
      </c>
    </row>
    <row r="4327" spans="1:3" x14ac:dyDescent="0.25">
      <c r="A4327">
        <v>4326</v>
      </c>
      <c r="B4327" s="23">
        <v>1217.4079999999999</v>
      </c>
      <c r="C4327" s="23">
        <v>0</v>
      </c>
    </row>
    <row r="4328" spans="1:3" x14ac:dyDescent="0.25">
      <c r="A4328">
        <v>4327</v>
      </c>
      <c r="B4328" s="23">
        <v>1217.285611</v>
      </c>
      <c r="C4328" s="23">
        <v>0</v>
      </c>
    </row>
    <row r="4329" spans="1:3" x14ac:dyDescent="0.25">
      <c r="A4329">
        <v>4328</v>
      </c>
      <c r="B4329" s="23">
        <v>1217.285611</v>
      </c>
      <c r="C4329" s="23">
        <v>0</v>
      </c>
    </row>
    <row r="4330" spans="1:3" x14ac:dyDescent="0.25">
      <c r="A4330">
        <v>4329</v>
      </c>
      <c r="B4330" s="23">
        <v>1217.1597999999999</v>
      </c>
      <c r="C4330" s="23">
        <v>0</v>
      </c>
    </row>
    <row r="4331" spans="1:3" x14ac:dyDescent="0.25">
      <c r="A4331">
        <v>4330</v>
      </c>
      <c r="B4331" s="23">
        <v>1217.1189999999999</v>
      </c>
      <c r="C4331" s="23">
        <v>0</v>
      </c>
    </row>
    <row r="4332" spans="1:3" x14ac:dyDescent="0.25">
      <c r="A4332">
        <v>4331</v>
      </c>
      <c r="B4332" s="23">
        <v>1216.9308779999999</v>
      </c>
      <c r="C4332" s="23">
        <v>0</v>
      </c>
    </row>
    <row r="4333" spans="1:3" x14ac:dyDescent="0.25">
      <c r="A4333">
        <v>4332</v>
      </c>
      <c r="B4333" s="23">
        <v>1216.8483229999999</v>
      </c>
      <c r="C4333" s="23">
        <v>0</v>
      </c>
    </row>
    <row r="4334" spans="1:3" x14ac:dyDescent="0.25">
      <c r="A4334">
        <v>4333</v>
      </c>
      <c r="B4334" s="23">
        <v>1216.839702</v>
      </c>
      <c r="C4334" s="23">
        <v>0</v>
      </c>
    </row>
    <row r="4335" spans="1:3" x14ac:dyDescent="0.25">
      <c r="A4335">
        <v>4334</v>
      </c>
      <c r="B4335" s="23">
        <v>1216.8</v>
      </c>
      <c r="C4335" s="23">
        <v>0</v>
      </c>
    </row>
    <row r="4336" spans="1:3" x14ac:dyDescent="0.25">
      <c r="A4336">
        <v>4335</v>
      </c>
      <c r="B4336" s="23">
        <v>1216.685191</v>
      </c>
      <c r="C4336" s="23">
        <v>0</v>
      </c>
    </row>
    <row r="4337" spans="1:3" x14ac:dyDescent="0.25">
      <c r="A4337">
        <v>4336</v>
      </c>
      <c r="B4337" s="23">
        <v>1216.588</v>
      </c>
      <c r="C4337" s="23">
        <v>0</v>
      </c>
    </row>
    <row r="4338" spans="1:3" x14ac:dyDescent="0.25">
      <c r="A4338">
        <v>4337</v>
      </c>
      <c r="B4338" s="23">
        <v>1216.4359999999999</v>
      </c>
      <c r="C4338" s="23">
        <v>0</v>
      </c>
    </row>
    <row r="4339" spans="1:3" x14ac:dyDescent="0.25">
      <c r="A4339">
        <v>4338</v>
      </c>
      <c r="B4339" s="23">
        <v>1216.2943580000001</v>
      </c>
      <c r="C4339" s="23">
        <v>0</v>
      </c>
    </row>
    <row r="4340" spans="1:3" x14ac:dyDescent="0.25">
      <c r="A4340">
        <v>4339</v>
      </c>
      <c r="B4340" s="23">
        <v>1216.2943580000001</v>
      </c>
      <c r="C4340" s="23">
        <v>0</v>
      </c>
    </row>
    <row r="4341" spans="1:3" x14ac:dyDescent="0.25">
      <c r="A4341">
        <v>4340</v>
      </c>
      <c r="B4341" s="23">
        <v>1216</v>
      </c>
      <c r="C4341" s="23">
        <v>0</v>
      </c>
    </row>
    <row r="4342" spans="1:3" x14ac:dyDescent="0.25">
      <c r="A4342">
        <v>4341</v>
      </c>
      <c r="B4342" s="23">
        <v>1216</v>
      </c>
      <c r="C4342" s="23">
        <v>0</v>
      </c>
    </row>
    <row r="4343" spans="1:3" x14ac:dyDescent="0.25">
      <c r="A4343">
        <v>4342</v>
      </c>
      <c r="B4343" s="23">
        <v>1216</v>
      </c>
      <c r="C4343" s="23">
        <v>0</v>
      </c>
    </row>
    <row r="4344" spans="1:3" x14ac:dyDescent="0.25">
      <c r="A4344">
        <v>4343</v>
      </c>
      <c r="B4344" s="23">
        <v>1216</v>
      </c>
      <c r="C4344" s="23">
        <v>0</v>
      </c>
    </row>
    <row r="4345" spans="1:3" x14ac:dyDescent="0.25">
      <c r="A4345">
        <v>4344</v>
      </c>
      <c r="B4345" s="23">
        <v>1215.909269</v>
      </c>
      <c r="C4345" s="23">
        <v>0</v>
      </c>
    </row>
    <row r="4346" spans="1:3" x14ac:dyDescent="0.25">
      <c r="A4346">
        <v>4345</v>
      </c>
      <c r="B4346" s="23">
        <v>1215.6980000000001</v>
      </c>
      <c r="C4346" s="23">
        <v>0</v>
      </c>
    </row>
    <row r="4347" spans="1:3" x14ac:dyDescent="0.25">
      <c r="A4347">
        <v>4346</v>
      </c>
      <c r="B4347" s="23">
        <v>1215.644</v>
      </c>
      <c r="C4347" s="23">
        <v>0</v>
      </c>
    </row>
    <row r="4348" spans="1:3" x14ac:dyDescent="0.25">
      <c r="A4348">
        <v>4347</v>
      </c>
      <c r="B4348" s="23">
        <v>1215.603674</v>
      </c>
      <c r="C4348" s="23">
        <v>0</v>
      </c>
    </row>
    <row r="4349" spans="1:3" x14ac:dyDescent="0.25">
      <c r="A4349">
        <v>4348</v>
      </c>
      <c r="B4349" s="23">
        <v>1215.603674</v>
      </c>
      <c r="C4349" s="23">
        <v>0</v>
      </c>
    </row>
    <row r="4350" spans="1:3" x14ac:dyDescent="0.25">
      <c r="A4350">
        <v>4349</v>
      </c>
      <c r="B4350" s="23">
        <v>1215.461</v>
      </c>
      <c r="C4350" s="23">
        <v>0</v>
      </c>
    </row>
    <row r="4351" spans="1:3" x14ac:dyDescent="0.25">
      <c r="A4351">
        <v>4350</v>
      </c>
      <c r="B4351" s="23">
        <v>1215.295218</v>
      </c>
      <c r="C4351" s="23">
        <v>0</v>
      </c>
    </row>
    <row r="4352" spans="1:3" x14ac:dyDescent="0.25">
      <c r="A4352">
        <v>4351</v>
      </c>
      <c r="B4352" s="23">
        <v>1215.2</v>
      </c>
      <c r="C4352" s="23">
        <v>0</v>
      </c>
    </row>
    <row r="4353" spans="1:3" x14ac:dyDescent="0.25">
      <c r="A4353">
        <v>4352</v>
      </c>
      <c r="B4353" s="23">
        <v>1215.1489999999999</v>
      </c>
      <c r="C4353" s="23">
        <v>0</v>
      </c>
    </row>
    <row r="4354" spans="1:3" x14ac:dyDescent="0.25">
      <c r="A4354">
        <v>4353</v>
      </c>
      <c r="B4354" s="23">
        <v>1215.1313150000001</v>
      </c>
      <c r="C4354" s="23">
        <v>0</v>
      </c>
    </row>
    <row r="4355" spans="1:3" x14ac:dyDescent="0.25">
      <c r="A4355">
        <v>4354</v>
      </c>
      <c r="B4355" s="23">
        <v>1215.089164</v>
      </c>
      <c r="C4355" s="23">
        <v>0</v>
      </c>
    </row>
    <row r="4356" spans="1:3" x14ac:dyDescent="0.25">
      <c r="A4356">
        <v>4355</v>
      </c>
      <c r="B4356" s="23">
        <v>1215.0790509999999</v>
      </c>
      <c r="C4356" s="23">
        <v>0</v>
      </c>
    </row>
    <row r="4357" spans="1:3" x14ac:dyDescent="0.25">
      <c r="A4357">
        <v>4356</v>
      </c>
      <c r="B4357" s="23">
        <v>1214.924</v>
      </c>
      <c r="C4357" s="23">
        <v>0</v>
      </c>
    </row>
    <row r="4358" spans="1:3" x14ac:dyDescent="0.25">
      <c r="A4358">
        <v>4357</v>
      </c>
      <c r="B4358" s="23">
        <v>1214.8869999999999</v>
      </c>
      <c r="C4358" s="23">
        <v>0</v>
      </c>
    </row>
    <row r="4359" spans="1:3" x14ac:dyDescent="0.25">
      <c r="A4359">
        <v>4358</v>
      </c>
      <c r="B4359" s="23">
        <v>1214.49</v>
      </c>
      <c r="C4359" s="23">
        <v>0</v>
      </c>
    </row>
    <row r="4360" spans="1:3" x14ac:dyDescent="0.25">
      <c r="A4360">
        <v>4359</v>
      </c>
      <c r="B4360" s="23">
        <v>1214.4000000000001</v>
      </c>
      <c r="C4360" s="23">
        <v>0</v>
      </c>
    </row>
    <row r="4361" spans="1:3" x14ac:dyDescent="0.25">
      <c r="A4361">
        <v>4360</v>
      </c>
      <c r="B4361" s="23">
        <v>1214.4000000000001</v>
      </c>
      <c r="C4361" s="23">
        <v>0</v>
      </c>
    </row>
    <row r="4362" spans="1:3" x14ac:dyDescent="0.25">
      <c r="A4362">
        <v>4361</v>
      </c>
      <c r="B4362" s="23">
        <v>1214.4000000000001</v>
      </c>
      <c r="C4362" s="23">
        <v>0</v>
      </c>
    </row>
    <row r="4363" spans="1:3" x14ac:dyDescent="0.25">
      <c r="A4363">
        <v>4362</v>
      </c>
      <c r="B4363" s="23">
        <v>1214.3543770000001</v>
      </c>
      <c r="C4363" s="23">
        <v>0</v>
      </c>
    </row>
    <row r="4364" spans="1:3" x14ac:dyDescent="0.25">
      <c r="A4364">
        <v>4363</v>
      </c>
      <c r="B4364" s="23">
        <v>1214.343531</v>
      </c>
      <c r="C4364" s="23">
        <v>0</v>
      </c>
    </row>
    <row r="4365" spans="1:3" x14ac:dyDescent="0.25">
      <c r="A4365">
        <v>4364</v>
      </c>
      <c r="B4365" s="23">
        <v>1214.229</v>
      </c>
      <c r="C4365" s="23">
        <v>0</v>
      </c>
    </row>
    <row r="4366" spans="1:3" x14ac:dyDescent="0.25">
      <c r="A4366">
        <v>4365</v>
      </c>
      <c r="B4366" s="23">
        <v>1214.1890000000001</v>
      </c>
      <c r="C4366" s="23">
        <v>0</v>
      </c>
    </row>
    <row r="4367" spans="1:3" x14ac:dyDescent="0.25">
      <c r="A4367">
        <v>4366</v>
      </c>
      <c r="B4367" s="23">
        <v>1214.1310000000001</v>
      </c>
      <c r="C4367" s="23">
        <v>0</v>
      </c>
    </row>
    <row r="4368" spans="1:3" x14ac:dyDescent="0.25">
      <c r="A4368">
        <v>4367</v>
      </c>
      <c r="B4368" s="23">
        <v>1213.9294420000001</v>
      </c>
      <c r="C4368" s="23">
        <v>0</v>
      </c>
    </row>
    <row r="4369" spans="1:3" x14ac:dyDescent="0.25">
      <c r="A4369">
        <v>4368</v>
      </c>
      <c r="B4369" s="23">
        <v>1213.9100000000001</v>
      </c>
      <c r="C4369" s="23">
        <v>0</v>
      </c>
    </row>
    <row r="4370" spans="1:3" x14ac:dyDescent="0.25">
      <c r="A4370">
        <v>4369</v>
      </c>
      <c r="B4370" s="23">
        <v>1213.663</v>
      </c>
      <c r="C4370" s="23">
        <v>0</v>
      </c>
    </row>
    <row r="4371" spans="1:3" x14ac:dyDescent="0.25">
      <c r="A4371">
        <v>4370</v>
      </c>
      <c r="B4371" s="23">
        <v>1213.608011</v>
      </c>
      <c r="C4371" s="23">
        <v>0</v>
      </c>
    </row>
    <row r="4372" spans="1:3" x14ac:dyDescent="0.25">
      <c r="A4372">
        <v>4371</v>
      </c>
      <c r="B4372" s="23">
        <v>1213.5999999999999</v>
      </c>
      <c r="C4372" s="23">
        <v>0</v>
      </c>
    </row>
    <row r="4373" spans="1:3" x14ac:dyDescent="0.25">
      <c r="A4373">
        <v>4372</v>
      </c>
      <c r="B4373" s="23">
        <v>1213.5999999999999</v>
      </c>
      <c r="C4373" s="23">
        <v>0</v>
      </c>
    </row>
    <row r="4374" spans="1:3" x14ac:dyDescent="0.25">
      <c r="A4374">
        <v>4373</v>
      </c>
      <c r="B4374" s="23">
        <v>1212.9849999999999</v>
      </c>
      <c r="C4374" s="23">
        <v>0</v>
      </c>
    </row>
    <row r="4375" spans="1:3" x14ac:dyDescent="0.25">
      <c r="A4375">
        <v>4374</v>
      </c>
      <c r="B4375" s="23">
        <v>1212.9090000000001</v>
      </c>
      <c r="C4375" s="23">
        <v>0</v>
      </c>
    </row>
    <row r="4376" spans="1:3" x14ac:dyDescent="0.25">
      <c r="A4376">
        <v>4375</v>
      </c>
      <c r="B4376" s="23">
        <v>1212.8409389999999</v>
      </c>
      <c r="C4376" s="23">
        <v>0</v>
      </c>
    </row>
    <row r="4377" spans="1:3" x14ac:dyDescent="0.25">
      <c r="A4377">
        <v>4376</v>
      </c>
      <c r="B4377" s="23">
        <v>1212.806294</v>
      </c>
      <c r="C4377" s="23">
        <v>0</v>
      </c>
    </row>
    <row r="4378" spans="1:3" x14ac:dyDescent="0.25">
      <c r="A4378">
        <v>4377</v>
      </c>
      <c r="B4378" s="23">
        <v>1212.806</v>
      </c>
      <c r="C4378" s="23">
        <v>0</v>
      </c>
    </row>
    <row r="4379" spans="1:3" x14ac:dyDescent="0.25">
      <c r="A4379">
        <v>4378</v>
      </c>
      <c r="B4379" s="23">
        <v>1212.8</v>
      </c>
      <c r="C4379" s="23">
        <v>0</v>
      </c>
    </row>
    <row r="4380" spans="1:3" x14ac:dyDescent="0.25">
      <c r="A4380">
        <v>4379</v>
      </c>
      <c r="B4380" s="23">
        <v>1212.8</v>
      </c>
      <c r="C4380" s="23">
        <v>0</v>
      </c>
    </row>
    <row r="4381" spans="1:3" x14ac:dyDescent="0.25">
      <c r="A4381">
        <v>4380</v>
      </c>
      <c r="B4381" s="23">
        <v>1212.52</v>
      </c>
      <c r="C4381" s="23">
        <v>0</v>
      </c>
    </row>
    <row r="4382" spans="1:3" x14ac:dyDescent="0.25">
      <c r="A4382">
        <v>4381</v>
      </c>
      <c r="B4382" s="23">
        <v>1212.443</v>
      </c>
      <c r="C4382" s="23">
        <v>0</v>
      </c>
    </row>
    <row r="4383" spans="1:3" x14ac:dyDescent="0.25">
      <c r="A4383">
        <v>4382</v>
      </c>
      <c r="B4383" s="23">
        <v>1212.066994</v>
      </c>
      <c r="C4383" s="23">
        <v>0</v>
      </c>
    </row>
    <row r="4384" spans="1:3" x14ac:dyDescent="0.25">
      <c r="A4384">
        <v>4383</v>
      </c>
      <c r="B4384" s="23">
        <v>1212</v>
      </c>
      <c r="C4384" s="23">
        <v>0</v>
      </c>
    </row>
    <row r="4385" spans="1:3" x14ac:dyDescent="0.25">
      <c r="A4385">
        <v>4384</v>
      </c>
      <c r="B4385" s="23">
        <v>1212</v>
      </c>
      <c r="C4385" s="23">
        <v>0</v>
      </c>
    </row>
    <row r="4386" spans="1:3" x14ac:dyDescent="0.25">
      <c r="A4386">
        <v>4385</v>
      </c>
      <c r="B4386" s="23">
        <v>1212</v>
      </c>
      <c r="C4386" s="23">
        <v>0</v>
      </c>
    </row>
    <row r="4387" spans="1:3" x14ac:dyDescent="0.25">
      <c r="A4387">
        <v>4386</v>
      </c>
      <c r="B4387" s="23">
        <v>1212</v>
      </c>
      <c r="C4387" s="23">
        <v>0</v>
      </c>
    </row>
    <row r="4388" spans="1:3" x14ac:dyDescent="0.25">
      <c r="A4388">
        <v>4387</v>
      </c>
      <c r="B4388" s="23">
        <v>1211.748795</v>
      </c>
      <c r="C4388" s="23">
        <v>0</v>
      </c>
    </row>
    <row r="4389" spans="1:3" x14ac:dyDescent="0.25">
      <c r="A4389">
        <v>4388</v>
      </c>
      <c r="B4389" s="23">
        <v>1211.742</v>
      </c>
      <c r="C4389" s="23">
        <v>0</v>
      </c>
    </row>
    <row r="4390" spans="1:3" x14ac:dyDescent="0.25">
      <c r="A4390">
        <v>4389</v>
      </c>
      <c r="B4390" s="23">
        <v>1211.6653180000001</v>
      </c>
      <c r="C4390" s="23">
        <v>0</v>
      </c>
    </row>
    <row r="4391" spans="1:3" x14ac:dyDescent="0.25">
      <c r="A4391">
        <v>4390</v>
      </c>
      <c r="B4391" s="23">
        <v>1211.4595710000001</v>
      </c>
      <c r="C4391" s="23">
        <v>0</v>
      </c>
    </row>
    <row r="4392" spans="1:3" x14ac:dyDescent="0.25">
      <c r="A4392">
        <v>4391</v>
      </c>
      <c r="B4392" s="23">
        <v>1211.3920000000001</v>
      </c>
      <c r="C4392" s="23">
        <v>0</v>
      </c>
    </row>
    <row r="4393" spans="1:3" x14ac:dyDescent="0.25">
      <c r="A4393">
        <v>4392</v>
      </c>
      <c r="B4393" s="23">
        <v>1211.363165</v>
      </c>
      <c r="C4393" s="23">
        <v>0</v>
      </c>
    </row>
    <row r="4394" spans="1:3" x14ac:dyDescent="0.25">
      <c r="A4394">
        <v>4393</v>
      </c>
      <c r="B4394" s="23">
        <v>1211.2</v>
      </c>
      <c r="C4394" s="23">
        <v>0</v>
      </c>
    </row>
    <row r="4395" spans="1:3" x14ac:dyDescent="0.25">
      <c r="A4395">
        <v>4394</v>
      </c>
      <c r="B4395" s="23">
        <v>1211.2</v>
      </c>
      <c r="C4395" s="23">
        <v>0</v>
      </c>
    </row>
    <row r="4396" spans="1:3" x14ac:dyDescent="0.25">
      <c r="A4396">
        <v>4395</v>
      </c>
      <c r="B4396" s="23">
        <v>1211.2</v>
      </c>
      <c r="C4396" s="23">
        <v>0</v>
      </c>
    </row>
    <row r="4397" spans="1:3" x14ac:dyDescent="0.25">
      <c r="A4397">
        <v>4396</v>
      </c>
      <c r="B4397" s="23">
        <v>1211.2</v>
      </c>
      <c r="C4397" s="23">
        <v>0</v>
      </c>
    </row>
    <row r="4398" spans="1:3" x14ac:dyDescent="0.25">
      <c r="A4398">
        <v>4397</v>
      </c>
      <c r="B4398" s="23">
        <v>1211.0640000000001</v>
      </c>
      <c r="C4398" s="23">
        <v>0</v>
      </c>
    </row>
    <row r="4399" spans="1:3" x14ac:dyDescent="0.25">
      <c r="A4399">
        <v>4398</v>
      </c>
      <c r="B4399" s="23">
        <v>1210.9692809999999</v>
      </c>
      <c r="C4399" s="23">
        <v>0</v>
      </c>
    </row>
    <row r="4400" spans="1:3" x14ac:dyDescent="0.25">
      <c r="A4400">
        <v>4399</v>
      </c>
      <c r="B4400" s="23">
        <v>1210.7688869999999</v>
      </c>
      <c r="C4400" s="23">
        <v>0</v>
      </c>
    </row>
    <row r="4401" spans="1:3" x14ac:dyDescent="0.25">
      <c r="A4401">
        <v>4400</v>
      </c>
      <c r="B4401" s="23">
        <v>1210.665931</v>
      </c>
      <c r="C4401" s="23">
        <v>0</v>
      </c>
    </row>
    <row r="4402" spans="1:3" x14ac:dyDescent="0.25">
      <c r="A4402">
        <v>4401</v>
      </c>
      <c r="B4402" s="23">
        <v>1210.4000000000001</v>
      </c>
      <c r="C4402" s="23">
        <v>0</v>
      </c>
    </row>
    <row r="4403" spans="1:3" x14ac:dyDescent="0.25">
      <c r="A4403">
        <v>4402</v>
      </c>
      <c r="B4403" s="23">
        <v>1210.4000000000001</v>
      </c>
      <c r="C4403" s="23">
        <v>0</v>
      </c>
    </row>
    <row r="4404" spans="1:3" x14ac:dyDescent="0.25">
      <c r="A4404">
        <v>4403</v>
      </c>
      <c r="B4404" s="23">
        <v>1209.8620000000001</v>
      </c>
      <c r="C4404" s="23">
        <v>0</v>
      </c>
    </row>
    <row r="4405" spans="1:3" x14ac:dyDescent="0.25">
      <c r="A4405">
        <v>4404</v>
      </c>
      <c r="B4405" s="23">
        <v>1209.6927479999999</v>
      </c>
      <c r="C4405" s="23">
        <v>0</v>
      </c>
    </row>
    <row r="4406" spans="1:3" x14ac:dyDescent="0.25">
      <c r="A4406">
        <v>4405</v>
      </c>
      <c r="B4406" s="23">
        <v>1209.6763289999999</v>
      </c>
      <c r="C4406" s="23">
        <v>0</v>
      </c>
    </row>
    <row r="4407" spans="1:3" x14ac:dyDescent="0.25">
      <c r="A4407">
        <v>4406</v>
      </c>
      <c r="B4407" s="23">
        <v>1209.5999999999999</v>
      </c>
      <c r="C4407" s="23">
        <v>0</v>
      </c>
    </row>
    <row r="4408" spans="1:3" x14ac:dyDescent="0.25">
      <c r="A4408">
        <v>4407</v>
      </c>
      <c r="B4408" s="23">
        <v>1209.5908549999999</v>
      </c>
      <c r="C4408" s="23">
        <v>0</v>
      </c>
    </row>
    <row r="4409" spans="1:3" x14ac:dyDescent="0.25">
      <c r="A4409">
        <v>4408</v>
      </c>
      <c r="B4409" s="23">
        <v>1209.1948910000001</v>
      </c>
      <c r="C4409" s="23">
        <v>0</v>
      </c>
    </row>
    <row r="4410" spans="1:3" x14ac:dyDescent="0.25">
      <c r="A4410">
        <v>4409</v>
      </c>
      <c r="B4410" s="23">
        <v>1209.1400000000001</v>
      </c>
      <c r="C4410" s="23">
        <v>0</v>
      </c>
    </row>
    <row r="4411" spans="1:3" x14ac:dyDescent="0.25">
      <c r="A4411">
        <v>4410</v>
      </c>
      <c r="B4411" s="23">
        <v>1209.0329999999999</v>
      </c>
      <c r="C4411" s="23">
        <v>0</v>
      </c>
    </row>
    <row r="4412" spans="1:3" x14ac:dyDescent="0.25">
      <c r="A4412">
        <v>4411</v>
      </c>
      <c r="B4412" s="23">
        <v>1208.9970000000001</v>
      </c>
      <c r="C4412" s="23">
        <v>0</v>
      </c>
    </row>
    <row r="4413" spans="1:3" x14ac:dyDescent="0.25">
      <c r="A4413">
        <v>4412</v>
      </c>
      <c r="B4413" s="23">
        <v>1208.9158090000001</v>
      </c>
      <c r="C4413" s="23">
        <v>0</v>
      </c>
    </row>
    <row r="4414" spans="1:3" x14ac:dyDescent="0.25">
      <c r="A4414">
        <v>4413</v>
      </c>
      <c r="B4414" s="23">
        <v>1208.8</v>
      </c>
      <c r="C4414" s="23">
        <v>0</v>
      </c>
    </row>
    <row r="4415" spans="1:3" x14ac:dyDescent="0.25">
      <c r="A4415">
        <v>4414</v>
      </c>
      <c r="B4415" s="23">
        <v>1208.752579</v>
      </c>
      <c r="C4415" s="23">
        <v>0</v>
      </c>
    </row>
    <row r="4416" spans="1:3" x14ac:dyDescent="0.25">
      <c r="A4416">
        <v>4415</v>
      </c>
      <c r="B4416" s="23">
        <v>1208.6634770000001</v>
      </c>
      <c r="C4416" s="23">
        <v>0</v>
      </c>
    </row>
    <row r="4417" spans="1:3" x14ac:dyDescent="0.25">
      <c r="A4417">
        <v>4416</v>
      </c>
      <c r="B4417" s="23">
        <v>1208.6277669999999</v>
      </c>
      <c r="C4417" s="23">
        <v>0</v>
      </c>
    </row>
    <row r="4418" spans="1:3" x14ac:dyDescent="0.25">
      <c r="A4418">
        <v>4417</v>
      </c>
      <c r="B4418" s="23">
        <v>1208.3058309999999</v>
      </c>
      <c r="C4418" s="23">
        <v>0</v>
      </c>
    </row>
    <row r="4419" spans="1:3" x14ac:dyDescent="0.25">
      <c r="A4419">
        <v>4418</v>
      </c>
      <c r="B4419" s="23">
        <v>1208.082553</v>
      </c>
      <c r="C4419" s="23">
        <v>0</v>
      </c>
    </row>
    <row r="4420" spans="1:3" x14ac:dyDescent="0.25">
      <c r="A4420">
        <v>4419</v>
      </c>
      <c r="B4420" s="23">
        <v>1208</v>
      </c>
      <c r="C4420" s="23">
        <v>0</v>
      </c>
    </row>
    <row r="4421" spans="1:3" x14ac:dyDescent="0.25">
      <c r="A4421">
        <v>4420</v>
      </c>
      <c r="B4421" s="23">
        <v>1207.723851</v>
      </c>
      <c r="C4421" s="23">
        <v>0</v>
      </c>
    </row>
    <row r="4422" spans="1:3" x14ac:dyDescent="0.25">
      <c r="A4422">
        <v>4421</v>
      </c>
      <c r="B4422" s="23">
        <v>1207.43894</v>
      </c>
      <c r="C4422" s="23">
        <v>0</v>
      </c>
    </row>
    <row r="4423" spans="1:3" x14ac:dyDescent="0.25">
      <c r="A4423">
        <v>4422</v>
      </c>
      <c r="B4423" s="23">
        <v>1207.315468</v>
      </c>
      <c r="C4423" s="23">
        <v>0</v>
      </c>
    </row>
    <row r="4424" spans="1:3" x14ac:dyDescent="0.25">
      <c r="A4424">
        <v>4423</v>
      </c>
      <c r="B4424" s="23">
        <v>1207.2</v>
      </c>
      <c r="C4424" s="23">
        <v>0</v>
      </c>
    </row>
    <row r="4425" spans="1:3" x14ac:dyDescent="0.25">
      <c r="A4425">
        <v>4424</v>
      </c>
      <c r="B4425" s="23">
        <v>1207.2</v>
      </c>
      <c r="C4425" s="23">
        <v>0</v>
      </c>
    </row>
    <row r="4426" spans="1:3" x14ac:dyDescent="0.25">
      <c r="A4426">
        <v>4425</v>
      </c>
      <c r="B4426" s="23">
        <v>1207.2</v>
      </c>
      <c r="C4426" s="23">
        <v>0</v>
      </c>
    </row>
    <row r="4427" spans="1:3" x14ac:dyDescent="0.25">
      <c r="A4427">
        <v>4426</v>
      </c>
      <c r="B4427" s="23">
        <v>1207.2</v>
      </c>
      <c r="C4427" s="23">
        <v>0</v>
      </c>
    </row>
    <row r="4428" spans="1:3" x14ac:dyDescent="0.25">
      <c r="A4428">
        <v>4427</v>
      </c>
      <c r="B4428" s="23">
        <v>1207.1420000000001</v>
      </c>
      <c r="C4428" s="23">
        <v>0</v>
      </c>
    </row>
    <row r="4429" spans="1:3" x14ac:dyDescent="0.25">
      <c r="A4429">
        <v>4428</v>
      </c>
      <c r="B4429" s="23">
        <v>1207.0350000000001</v>
      </c>
      <c r="C4429" s="23">
        <v>0</v>
      </c>
    </row>
    <row r="4430" spans="1:3" x14ac:dyDescent="0.25">
      <c r="A4430">
        <v>4429</v>
      </c>
      <c r="B4430" s="23">
        <v>1206.988331</v>
      </c>
      <c r="C4430" s="23">
        <v>0</v>
      </c>
    </row>
    <row r="4431" spans="1:3" x14ac:dyDescent="0.25">
      <c r="A4431">
        <v>4430</v>
      </c>
      <c r="B4431" s="23">
        <v>1206.845</v>
      </c>
      <c r="C4431" s="23">
        <v>0</v>
      </c>
    </row>
    <row r="4432" spans="1:3" x14ac:dyDescent="0.25">
      <c r="A4432">
        <v>4431</v>
      </c>
      <c r="B4432" s="23">
        <v>1206.68003</v>
      </c>
      <c r="C4432" s="23">
        <v>0</v>
      </c>
    </row>
    <row r="4433" spans="1:3" x14ac:dyDescent="0.25">
      <c r="A4433">
        <v>4432</v>
      </c>
      <c r="B4433" s="23">
        <v>1206.672057</v>
      </c>
      <c r="C4433" s="23">
        <v>0</v>
      </c>
    </row>
    <row r="4434" spans="1:3" x14ac:dyDescent="0.25">
      <c r="A4434">
        <v>4433</v>
      </c>
      <c r="B4434" s="23">
        <v>1206.6247840000001</v>
      </c>
      <c r="C4434" s="23">
        <v>0</v>
      </c>
    </row>
    <row r="4435" spans="1:3" x14ac:dyDescent="0.25">
      <c r="A4435">
        <v>4434</v>
      </c>
      <c r="B4435" s="23">
        <v>1206.4887759999999</v>
      </c>
      <c r="C4435" s="23">
        <v>0</v>
      </c>
    </row>
    <row r="4436" spans="1:3" x14ac:dyDescent="0.25">
      <c r="A4436">
        <v>4435</v>
      </c>
      <c r="B4436" s="23">
        <v>1206.4887759999999</v>
      </c>
      <c r="C4436" s="23">
        <v>0</v>
      </c>
    </row>
    <row r="4437" spans="1:3" x14ac:dyDescent="0.25">
      <c r="A4437">
        <v>4436</v>
      </c>
      <c r="B4437" s="23">
        <v>1206.4000000000001</v>
      </c>
      <c r="C4437" s="23">
        <v>0</v>
      </c>
    </row>
    <row r="4438" spans="1:3" x14ac:dyDescent="0.25">
      <c r="A4438">
        <v>4437</v>
      </c>
      <c r="B4438" s="23">
        <v>1206.4000000000001</v>
      </c>
      <c r="C4438" s="23">
        <v>0</v>
      </c>
    </row>
    <row r="4439" spans="1:3" x14ac:dyDescent="0.25">
      <c r="A4439">
        <v>4438</v>
      </c>
      <c r="B4439" s="23">
        <v>1206.4000000000001</v>
      </c>
      <c r="C4439" s="23">
        <v>0</v>
      </c>
    </row>
    <row r="4440" spans="1:3" x14ac:dyDescent="0.25">
      <c r="A4440">
        <v>4439</v>
      </c>
      <c r="B4440" s="23">
        <v>1206.2529999999999</v>
      </c>
      <c r="C4440" s="23">
        <v>0</v>
      </c>
    </row>
    <row r="4441" spans="1:3" x14ac:dyDescent="0.25">
      <c r="A4441">
        <v>4440</v>
      </c>
      <c r="B4441" s="23">
        <v>1206.2528110000001</v>
      </c>
      <c r="C4441" s="23">
        <v>0</v>
      </c>
    </row>
    <row r="4442" spans="1:3" x14ac:dyDescent="0.25">
      <c r="A4442">
        <v>4441</v>
      </c>
      <c r="B4442" s="23">
        <v>1206.2139999999999</v>
      </c>
      <c r="C4442" s="23">
        <v>0</v>
      </c>
    </row>
    <row r="4443" spans="1:3" x14ac:dyDescent="0.25">
      <c r="A4443">
        <v>4442</v>
      </c>
      <c r="B4443" s="23">
        <v>1205.890932</v>
      </c>
      <c r="C4443" s="23">
        <v>0</v>
      </c>
    </row>
    <row r="4444" spans="1:3" x14ac:dyDescent="0.25">
      <c r="A4444">
        <v>4443</v>
      </c>
      <c r="B4444" s="23">
        <v>1205.6918880000001</v>
      </c>
      <c r="C4444" s="23">
        <v>0</v>
      </c>
    </row>
    <row r="4445" spans="1:3" x14ac:dyDescent="0.25">
      <c r="A4445">
        <v>4444</v>
      </c>
      <c r="B4445" s="23">
        <v>1205.5409999999999</v>
      </c>
      <c r="C4445" s="23">
        <v>0</v>
      </c>
    </row>
    <row r="4446" spans="1:3" x14ac:dyDescent="0.25">
      <c r="A4446">
        <v>4445</v>
      </c>
      <c r="B4446" s="23">
        <v>1205.406962</v>
      </c>
      <c r="C4446" s="23">
        <v>0</v>
      </c>
    </row>
    <row r="4447" spans="1:3" x14ac:dyDescent="0.25">
      <c r="A4447">
        <v>4446</v>
      </c>
      <c r="B4447" s="23">
        <v>1205.3969999999999</v>
      </c>
      <c r="C4447" s="23">
        <v>0</v>
      </c>
    </row>
    <row r="4448" spans="1:3" x14ac:dyDescent="0.25">
      <c r="A4448">
        <v>4447</v>
      </c>
      <c r="B4448" s="23">
        <v>1204.9136140000001</v>
      </c>
      <c r="C4448" s="23">
        <v>0</v>
      </c>
    </row>
    <row r="4449" spans="1:3" x14ac:dyDescent="0.25">
      <c r="A4449">
        <v>4448</v>
      </c>
      <c r="B4449" s="23">
        <v>1204.8</v>
      </c>
      <c r="C4449" s="23">
        <v>0</v>
      </c>
    </row>
    <row r="4450" spans="1:3" x14ac:dyDescent="0.25">
      <c r="A4450">
        <v>4449</v>
      </c>
      <c r="B4450" s="23">
        <v>1204.8</v>
      </c>
      <c r="C4450" s="23">
        <v>0</v>
      </c>
    </row>
    <row r="4451" spans="1:3" x14ac:dyDescent="0.25">
      <c r="A4451">
        <v>4450</v>
      </c>
      <c r="B4451" s="23">
        <v>1204.8</v>
      </c>
      <c r="C4451" s="23">
        <v>0</v>
      </c>
    </row>
    <row r="4452" spans="1:3" x14ac:dyDescent="0.25">
      <c r="A4452">
        <v>4451</v>
      </c>
      <c r="B4452" s="23">
        <v>1204.7817709999999</v>
      </c>
      <c r="C4452" s="23">
        <v>0</v>
      </c>
    </row>
    <row r="4453" spans="1:3" x14ac:dyDescent="0.25">
      <c r="A4453">
        <v>4452</v>
      </c>
      <c r="B4453" s="23">
        <v>1204.6634300000001</v>
      </c>
      <c r="C4453" s="23">
        <v>0</v>
      </c>
    </row>
    <row r="4454" spans="1:3" x14ac:dyDescent="0.25">
      <c r="A4454">
        <v>4453</v>
      </c>
      <c r="B4454" s="23">
        <v>1204.4443510000001</v>
      </c>
      <c r="C4454" s="23">
        <v>0</v>
      </c>
    </row>
    <row r="4455" spans="1:3" x14ac:dyDescent="0.25">
      <c r="A4455">
        <v>4454</v>
      </c>
      <c r="B4455" s="23">
        <v>1204</v>
      </c>
      <c r="C4455" s="23">
        <v>0</v>
      </c>
    </row>
    <row r="4456" spans="1:3" x14ac:dyDescent="0.25">
      <c r="A4456">
        <v>4455</v>
      </c>
      <c r="B4456" s="23">
        <v>1204</v>
      </c>
      <c r="C4456" s="23">
        <v>0</v>
      </c>
    </row>
    <row r="4457" spans="1:3" x14ac:dyDescent="0.25">
      <c r="A4457">
        <v>4456</v>
      </c>
      <c r="B4457" s="23">
        <v>1204</v>
      </c>
      <c r="C4457" s="23">
        <v>0</v>
      </c>
    </row>
    <row r="4458" spans="1:3" x14ac:dyDescent="0.25">
      <c r="A4458">
        <v>4457</v>
      </c>
      <c r="B4458" s="23">
        <v>1204</v>
      </c>
      <c r="C4458" s="23">
        <v>0</v>
      </c>
    </row>
    <row r="4459" spans="1:3" x14ac:dyDescent="0.25">
      <c r="A4459">
        <v>4458</v>
      </c>
      <c r="B4459" s="23">
        <v>1203.9159999999999</v>
      </c>
      <c r="C4459" s="23">
        <v>0</v>
      </c>
    </row>
    <row r="4460" spans="1:3" x14ac:dyDescent="0.25">
      <c r="A4460">
        <v>4459</v>
      </c>
      <c r="B4460" s="23">
        <v>1203.862048</v>
      </c>
      <c r="C4460" s="23">
        <v>0</v>
      </c>
    </row>
    <row r="4461" spans="1:3" x14ac:dyDescent="0.25">
      <c r="A4461">
        <v>4460</v>
      </c>
      <c r="B4461" s="23">
        <v>1203.8265140000001</v>
      </c>
      <c r="C4461" s="23">
        <v>0</v>
      </c>
    </row>
    <row r="4462" spans="1:3" x14ac:dyDescent="0.25">
      <c r="A4462">
        <v>4461</v>
      </c>
      <c r="B4462" s="23">
        <v>1203.653116</v>
      </c>
      <c r="C4462" s="23">
        <v>0</v>
      </c>
    </row>
    <row r="4463" spans="1:3" x14ac:dyDescent="0.25">
      <c r="A4463">
        <v>4462</v>
      </c>
      <c r="B4463" s="23">
        <v>1203.4772419999999</v>
      </c>
      <c r="C4463" s="23">
        <v>0</v>
      </c>
    </row>
    <row r="4464" spans="1:3" x14ac:dyDescent="0.25">
      <c r="A4464">
        <v>4463</v>
      </c>
      <c r="B4464" s="23">
        <v>1203.4772419999999</v>
      </c>
      <c r="C4464" s="23">
        <v>0</v>
      </c>
    </row>
    <row r="4465" spans="1:3" x14ac:dyDescent="0.25">
      <c r="A4465">
        <v>4464</v>
      </c>
      <c r="B4465" s="23">
        <v>1203.2</v>
      </c>
      <c r="C4465" s="23">
        <v>0</v>
      </c>
    </row>
    <row r="4466" spans="1:3" x14ac:dyDescent="0.25">
      <c r="A4466">
        <v>4465</v>
      </c>
      <c r="B4466" s="23">
        <v>1203.2</v>
      </c>
      <c r="C4466" s="23">
        <v>0</v>
      </c>
    </row>
    <row r="4467" spans="1:3" x14ac:dyDescent="0.25">
      <c r="A4467">
        <v>4466</v>
      </c>
      <c r="B4467" s="23">
        <v>1203.1990000000001</v>
      </c>
      <c r="C4467" s="23">
        <v>0</v>
      </c>
    </row>
    <row r="4468" spans="1:3" x14ac:dyDescent="0.25">
      <c r="A4468">
        <v>4467</v>
      </c>
      <c r="B4468" s="23">
        <v>1203.113979</v>
      </c>
      <c r="C4468" s="23">
        <v>0</v>
      </c>
    </row>
    <row r="4469" spans="1:3" x14ac:dyDescent="0.25">
      <c r="A4469">
        <v>4468</v>
      </c>
      <c r="B4469" s="23">
        <v>1203.0899999999999</v>
      </c>
      <c r="C4469" s="23">
        <v>0</v>
      </c>
    </row>
    <row r="4470" spans="1:3" x14ac:dyDescent="0.25">
      <c r="A4470">
        <v>4469</v>
      </c>
      <c r="B4470" s="23">
        <v>1203.0277699999999</v>
      </c>
      <c r="C4470" s="23">
        <v>0</v>
      </c>
    </row>
    <row r="4471" spans="1:3" x14ac:dyDescent="0.25">
      <c r="A4471">
        <v>4470</v>
      </c>
      <c r="B4471" s="23">
        <v>1202.7820750000001</v>
      </c>
      <c r="C4471" s="23">
        <v>0</v>
      </c>
    </row>
    <row r="4472" spans="1:3" x14ac:dyDescent="0.25">
      <c r="A4472">
        <v>4471</v>
      </c>
      <c r="B4472" s="23">
        <v>1202.5043350000001</v>
      </c>
      <c r="C4472" s="23">
        <v>0</v>
      </c>
    </row>
    <row r="4473" spans="1:3" x14ac:dyDescent="0.25">
      <c r="A4473">
        <v>4472</v>
      </c>
      <c r="B4473" s="23">
        <v>1202.4000000000001</v>
      </c>
      <c r="C4473" s="23">
        <v>0</v>
      </c>
    </row>
    <row r="4474" spans="1:3" x14ac:dyDescent="0.25">
      <c r="A4474">
        <v>4473</v>
      </c>
      <c r="B4474" s="23">
        <v>1202.4000000000001</v>
      </c>
      <c r="C4474" s="23">
        <v>0</v>
      </c>
    </row>
    <row r="4475" spans="1:3" x14ac:dyDescent="0.25">
      <c r="A4475">
        <v>4474</v>
      </c>
      <c r="B4475" s="23">
        <v>1202.3589469999999</v>
      </c>
      <c r="C4475" s="23">
        <v>0</v>
      </c>
    </row>
    <row r="4476" spans="1:3" x14ac:dyDescent="0.25">
      <c r="A4476">
        <v>4475</v>
      </c>
      <c r="B4476" s="23">
        <v>1202.3440000000001</v>
      </c>
      <c r="C4476" s="23">
        <v>0</v>
      </c>
    </row>
    <row r="4477" spans="1:3" x14ac:dyDescent="0.25">
      <c r="A4477">
        <v>4476</v>
      </c>
      <c r="B4477" s="23">
        <v>1201.789996</v>
      </c>
      <c r="C4477" s="23">
        <v>0</v>
      </c>
    </row>
    <row r="4478" spans="1:3" x14ac:dyDescent="0.25">
      <c r="A4478">
        <v>4477</v>
      </c>
      <c r="B4478" s="23">
        <v>1201.789996</v>
      </c>
      <c r="C4478" s="23">
        <v>0</v>
      </c>
    </row>
    <row r="4479" spans="1:3" x14ac:dyDescent="0.25">
      <c r="A4479">
        <v>4478</v>
      </c>
      <c r="B4479" s="23">
        <v>1201.671</v>
      </c>
      <c r="C4479" s="23">
        <v>0</v>
      </c>
    </row>
    <row r="4480" spans="1:3" x14ac:dyDescent="0.25">
      <c r="A4480">
        <v>4479</v>
      </c>
      <c r="B4480" s="23">
        <v>1201.5999999999999</v>
      </c>
      <c r="C4480" s="23">
        <v>0</v>
      </c>
    </row>
    <row r="4481" spans="1:3" x14ac:dyDescent="0.25">
      <c r="A4481">
        <v>4480</v>
      </c>
      <c r="B4481" s="23">
        <v>1201.5999999999999</v>
      </c>
      <c r="C4481" s="23">
        <v>0</v>
      </c>
    </row>
    <row r="4482" spans="1:3" x14ac:dyDescent="0.25">
      <c r="A4482">
        <v>4481</v>
      </c>
      <c r="B4482" s="23">
        <v>1201.421756</v>
      </c>
      <c r="C4482" s="23">
        <v>0</v>
      </c>
    </row>
    <row r="4483" spans="1:3" x14ac:dyDescent="0.25">
      <c r="A4483">
        <v>4482</v>
      </c>
      <c r="B4483" s="23">
        <v>1201.146428</v>
      </c>
      <c r="C4483" s="23">
        <v>0</v>
      </c>
    </row>
    <row r="4484" spans="1:3" x14ac:dyDescent="0.25">
      <c r="A4484">
        <v>4483</v>
      </c>
      <c r="B4484" s="23">
        <v>1201.1400000000001</v>
      </c>
      <c r="C4484" s="23">
        <v>0</v>
      </c>
    </row>
    <row r="4485" spans="1:3" x14ac:dyDescent="0.25">
      <c r="A4485">
        <v>4484</v>
      </c>
      <c r="B4485" s="23">
        <v>1201.115</v>
      </c>
      <c r="C4485" s="23">
        <v>0</v>
      </c>
    </row>
    <row r="4486" spans="1:3" x14ac:dyDescent="0.25">
      <c r="A4486">
        <v>4485</v>
      </c>
      <c r="B4486" s="23">
        <v>1201.095</v>
      </c>
      <c r="C4486" s="23">
        <v>0</v>
      </c>
    </row>
    <row r="4487" spans="1:3" x14ac:dyDescent="0.25">
      <c r="A4487">
        <v>4486</v>
      </c>
      <c r="B4487" s="23">
        <v>1200.8853529999999</v>
      </c>
      <c r="C4487" s="23">
        <v>0</v>
      </c>
    </row>
    <row r="4488" spans="1:3" x14ac:dyDescent="0.25">
      <c r="A4488">
        <v>4487</v>
      </c>
      <c r="B4488" s="23">
        <v>1200.8</v>
      </c>
      <c r="C4488" s="23">
        <v>0</v>
      </c>
    </row>
    <row r="4489" spans="1:3" x14ac:dyDescent="0.25">
      <c r="A4489">
        <v>4488</v>
      </c>
      <c r="B4489" s="23">
        <v>1200.8</v>
      </c>
      <c r="C4489" s="23">
        <v>0</v>
      </c>
    </row>
    <row r="4490" spans="1:3" x14ac:dyDescent="0.25">
      <c r="A4490">
        <v>4489</v>
      </c>
      <c r="B4490" s="23">
        <v>1200.8</v>
      </c>
      <c r="C4490" s="23">
        <v>0</v>
      </c>
    </row>
    <row r="4491" spans="1:3" x14ac:dyDescent="0.25">
      <c r="A4491">
        <v>4490</v>
      </c>
      <c r="B4491" s="23">
        <v>1200.8</v>
      </c>
      <c r="C4491" s="23">
        <v>0</v>
      </c>
    </row>
    <row r="4492" spans="1:3" x14ac:dyDescent="0.25">
      <c r="A4492">
        <v>4491</v>
      </c>
      <c r="B4492" s="23">
        <v>1200.7722670000001</v>
      </c>
      <c r="C4492" s="23">
        <v>0</v>
      </c>
    </row>
    <row r="4493" spans="1:3" x14ac:dyDescent="0.25">
      <c r="A4493">
        <v>4492</v>
      </c>
      <c r="B4493" s="23">
        <v>1200.7083479999999</v>
      </c>
      <c r="C4493" s="23">
        <v>0</v>
      </c>
    </row>
    <row r="4494" spans="1:3" x14ac:dyDescent="0.25">
      <c r="A4494">
        <v>4493</v>
      </c>
      <c r="B4494" s="23">
        <v>1200.5920000000001</v>
      </c>
      <c r="C4494" s="23">
        <v>0</v>
      </c>
    </row>
    <row r="4495" spans="1:3" x14ac:dyDescent="0.25">
      <c r="A4495">
        <v>4494</v>
      </c>
      <c r="B4495" s="23">
        <v>1200.5889999999999</v>
      </c>
      <c r="C4495" s="23">
        <v>0</v>
      </c>
    </row>
    <row r="4496" spans="1:3" x14ac:dyDescent="0.25">
      <c r="A4496">
        <v>4495</v>
      </c>
      <c r="B4496" s="23">
        <v>1200.408629</v>
      </c>
      <c r="C4496" s="23">
        <v>0</v>
      </c>
    </row>
    <row r="4497" spans="1:3" x14ac:dyDescent="0.25">
      <c r="A4497">
        <v>4496</v>
      </c>
      <c r="B4497" s="23">
        <v>1200.3686499999999</v>
      </c>
      <c r="C4497" s="23">
        <v>0</v>
      </c>
    </row>
    <row r="4498" spans="1:3" x14ac:dyDescent="0.25">
      <c r="A4498">
        <v>4497</v>
      </c>
      <c r="B4498" s="23">
        <v>1200.255564</v>
      </c>
      <c r="C4498" s="23">
        <v>0</v>
      </c>
    </row>
    <row r="4499" spans="1:3" x14ac:dyDescent="0.25">
      <c r="A4499">
        <v>4498</v>
      </c>
      <c r="B4499" s="23">
        <v>1200.1949999999999</v>
      </c>
      <c r="C4499" s="23">
        <v>0</v>
      </c>
    </row>
    <row r="4500" spans="1:3" x14ac:dyDescent="0.25">
      <c r="A4500">
        <v>4499</v>
      </c>
      <c r="B4500" s="23">
        <v>1200.115</v>
      </c>
      <c r="C4500" s="23">
        <v>0</v>
      </c>
    </row>
    <row r="4501" spans="1:3" x14ac:dyDescent="0.25">
      <c r="A4501">
        <v>4500</v>
      </c>
      <c r="B4501" s="23">
        <v>1200.1136710000001</v>
      </c>
      <c r="C4501" s="23">
        <v>0</v>
      </c>
    </row>
    <row r="4502" spans="1:3" x14ac:dyDescent="0.25">
      <c r="A4502">
        <v>4501</v>
      </c>
      <c r="B4502" s="23">
        <v>1200</v>
      </c>
      <c r="C4502" s="23">
        <v>0</v>
      </c>
    </row>
    <row r="4503" spans="1:3" x14ac:dyDescent="0.25">
      <c r="A4503">
        <v>4502</v>
      </c>
      <c r="B4503" s="23">
        <v>1199.6331299999999</v>
      </c>
      <c r="C4503" s="23">
        <v>0</v>
      </c>
    </row>
    <row r="4504" spans="1:3" x14ac:dyDescent="0.25">
      <c r="A4504">
        <v>4503</v>
      </c>
      <c r="B4504" s="23">
        <v>1199.592551</v>
      </c>
      <c r="C4504" s="23">
        <v>0</v>
      </c>
    </row>
    <row r="4505" spans="1:3" x14ac:dyDescent="0.25">
      <c r="A4505">
        <v>4504</v>
      </c>
      <c r="B4505" s="23">
        <v>1199.3167820000001</v>
      </c>
      <c r="C4505" s="23">
        <v>0</v>
      </c>
    </row>
    <row r="4506" spans="1:3" x14ac:dyDescent="0.25">
      <c r="A4506">
        <v>4505</v>
      </c>
      <c r="B4506" s="23">
        <v>1199.3167820000001</v>
      </c>
      <c r="C4506" s="23">
        <v>0</v>
      </c>
    </row>
    <row r="4507" spans="1:3" x14ac:dyDescent="0.25">
      <c r="A4507">
        <v>4506</v>
      </c>
      <c r="B4507" s="23">
        <v>1199.2249999999999</v>
      </c>
      <c r="C4507" s="23">
        <v>0</v>
      </c>
    </row>
    <row r="4508" spans="1:3" x14ac:dyDescent="0.25">
      <c r="A4508">
        <v>4507</v>
      </c>
      <c r="B4508" s="23">
        <v>1199.2</v>
      </c>
      <c r="C4508" s="23">
        <v>0</v>
      </c>
    </row>
    <row r="4509" spans="1:3" x14ac:dyDescent="0.25">
      <c r="A4509">
        <v>4508</v>
      </c>
      <c r="B4509" s="23">
        <v>1199.2</v>
      </c>
      <c r="C4509" s="23">
        <v>0</v>
      </c>
    </row>
    <row r="4510" spans="1:3" x14ac:dyDescent="0.25">
      <c r="A4510">
        <v>4509</v>
      </c>
      <c r="B4510" s="23">
        <v>1199.2</v>
      </c>
      <c r="C4510" s="23">
        <v>0</v>
      </c>
    </row>
    <row r="4511" spans="1:3" x14ac:dyDescent="0.25">
      <c r="A4511">
        <v>4510</v>
      </c>
      <c r="B4511" s="23">
        <v>1199.056615</v>
      </c>
      <c r="C4511" s="23">
        <v>0</v>
      </c>
    </row>
    <row r="4512" spans="1:3" x14ac:dyDescent="0.25">
      <c r="A4512">
        <v>4511</v>
      </c>
      <c r="B4512" s="23">
        <v>1198.9713340000001</v>
      </c>
      <c r="C4512" s="23">
        <v>0</v>
      </c>
    </row>
    <row r="4513" spans="1:3" x14ac:dyDescent="0.25">
      <c r="A4513">
        <v>4512</v>
      </c>
      <c r="B4513" s="23">
        <v>1198.89761</v>
      </c>
      <c r="C4513" s="23">
        <v>0</v>
      </c>
    </row>
    <row r="4514" spans="1:3" x14ac:dyDescent="0.25">
      <c r="A4514">
        <v>4513</v>
      </c>
      <c r="B4514" s="23">
        <v>1198.815613</v>
      </c>
      <c r="C4514" s="23">
        <v>0</v>
      </c>
    </row>
    <row r="4515" spans="1:3" x14ac:dyDescent="0.25">
      <c r="A4515">
        <v>4514</v>
      </c>
      <c r="B4515" s="23">
        <v>1198.4000000000001</v>
      </c>
      <c r="C4515" s="23">
        <v>0</v>
      </c>
    </row>
    <row r="4516" spans="1:3" x14ac:dyDescent="0.25">
      <c r="A4516">
        <v>4515</v>
      </c>
      <c r="B4516" s="23">
        <v>1198.4000000000001</v>
      </c>
      <c r="C4516" s="23">
        <v>0</v>
      </c>
    </row>
    <row r="4517" spans="1:3" x14ac:dyDescent="0.25">
      <c r="A4517">
        <v>4516</v>
      </c>
      <c r="B4517" s="23">
        <v>1198.3800000000001</v>
      </c>
      <c r="C4517" s="23">
        <v>0</v>
      </c>
    </row>
    <row r="4518" spans="1:3" x14ac:dyDescent="0.25">
      <c r="A4518">
        <v>4517</v>
      </c>
      <c r="B4518" s="23">
        <v>1198.336577</v>
      </c>
      <c r="C4518" s="23">
        <v>0</v>
      </c>
    </row>
    <row r="4519" spans="1:3" x14ac:dyDescent="0.25">
      <c r="A4519">
        <v>4518</v>
      </c>
      <c r="B4519" s="23">
        <v>1198.16209</v>
      </c>
      <c r="C4519" s="23">
        <v>0</v>
      </c>
    </row>
    <row r="4520" spans="1:3" x14ac:dyDescent="0.25">
      <c r="A4520">
        <v>4519</v>
      </c>
      <c r="B4520" s="23">
        <v>1198.1207899999999</v>
      </c>
      <c r="C4520" s="23">
        <v>0</v>
      </c>
    </row>
    <row r="4521" spans="1:3" x14ac:dyDescent="0.25">
      <c r="A4521">
        <v>4520</v>
      </c>
      <c r="B4521" s="23">
        <v>1198.058</v>
      </c>
      <c r="C4521" s="23">
        <v>0</v>
      </c>
    </row>
    <row r="4522" spans="1:3" x14ac:dyDescent="0.25">
      <c r="A4522">
        <v>4521</v>
      </c>
      <c r="B4522" s="23">
        <v>1198.038675</v>
      </c>
      <c r="C4522" s="23">
        <v>0</v>
      </c>
    </row>
    <row r="4523" spans="1:3" x14ac:dyDescent="0.25">
      <c r="A4523">
        <v>4522</v>
      </c>
      <c r="B4523" s="23">
        <v>1198.038675</v>
      </c>
      <c r="C4523" s="23">
        <v>0</v>
      </c>
    </row>
    <row r="4524" spans="1:3" x14ac:dyDescent="0.25">
      <c r="A4524">
        <v>4523</v>
      </c>
      <c r="B4524" s="23">
        <v>1197.79</v>
      </c>
      <c r="C4524" s="23">
        <v>0</v>
      </c>
    </row>
    <row r="4525" spans="1:3" x14ac:dyDescent="0.25">
      <c r="A4525">
        <v>4524</v>
      </c>
      <c r="B4525" s="23">
        <v>1197.3029610000001</v>
      </c>
      <c r="C4525" s="23">
        <v>0</v>
      </c>
    </row>
    <row r="4526" spans="1:3" x14ac:dyDescent="0.25">
      <c r="A4526">
        <v>4525</v>
      </c>
      <c r="B4526" s="23">
        <v>1197.261737</v>
      </c>
      <c r="C4526" s="23">
        <v>0</v>
      </c>
    </row>
    <row r="4527" spans="1:3" x14ac:dyDescent="0.25">
      <c r="A4527">
        <v>4526</v>
      </c>
      <c r="B4527" s="23">
        <v>1196.9072000000001</v>
      </c>
      <c r="C4527" s="23">
        <v>0</v>
      </c>
    </row>
    <row r="4528" spans="1:3" x14ac:dyDescent="0.25">
      <c r="A4528">
        <v>4527</v>
      </c>
      <c r="B4528" s="23">
        <v>1196.8</v>
      </c>
      <c r="C4528" s="23">
        <v>0</v>
      </c>
    </row>
    <row r="4529" spans="1:3" x14ac:dyDescent="0.25">
      <c r="A4529">
        <v>4528</v>
      </c>
      <c r="B4529" s="23">
        <v>1196.8</v>
      </c>
      <c r="C4529" s="23">
        <v>0</v>
      </c>
    </row>
    <row r="4530" spans="1:3" x14ac:dyDescent="0.25">
      <c r="A4530">
        <v>4529</v>
      </c>
      <c r="B4530" s="23">
        <v>1196.4828560000001</v>
      </c>
      <c r="C4530" s="23">
        <v>0</v>
      </c>
    </row>
    <row r="4531" spans="1:3" x14ac:dyDescent="0.25">
      <c r="A4531">
        <v>4530</v>
      </c>
      <c r="B4531" s="23">
        <v>1196.467907</v>
      </c>
      <c r="C4531" s="23">
        <v>0</v>
      </c>
    </row>
    <row r="4532" spans="1:3" x14ac:dyDescent="0.25">
      <c r="A4532">
        <v>4531</v>
      </c>
      <c r="B4532" s="23">
        <v>1196.422</v>
      </c>
      <c r="C4532" s="23">
        <v>0</v>
      </c>
    </row>
    <row r="4533" spans="1:3" x14ac:dyDescent="0.25">
      <c r="A4533">
        <v>4532</v>
      </c>
      <c r="B4533" s="23">
        <v>1196.191</v>
      </c>
      <c r="C4533" s="23">
        <v>0</v>
      </c>
    </row>
    <row r="4534" spans="1:3" x14ac:dyDescent="0.25">
      <c r="A4534">
        <v>4533</v>
      </c>
      <c r="B4534" s="23">
        <v>1196.1436550000001</v>
      </c>
      <c r="C4534" s="23">
        <v>0</v>
      </c>
    </row>
    <row r="4535" spans="1:3" x14ac:dyDescent="0.25">
      <c r="A4535">
        <v>4534</v>
      </c>
      <c r="B4535" s="23">
        <v>1196.1292289999999</v>
      </c>
      <c r="C4535" s="23">
        <v>0</v>
      </c>
    </row>
    <row r="4536" spans="1:3" x14ac:dyDescent="0.25">
      <c r="A4536">
        <v>4535</v>
      </c>
      <c r="B4536" s="23">
        <v>1196</v>
      </c>
      <c r="C4536" s="23">
        <v>0</v>
      </c>
    </row>
    <row r="4537" spans="1:3" x14ac:dyDescent="0.25">
      <c r="A4537">
        <v>4536</v>
      </c>
      <c r="B4537" s="23">
        <v>1196</v>
      </c>
      <c r="C4537" s="23">
        <v>0</v>
      </c>
    </row>
    <row r="4538" spans="1:3" x14ac:dyDescent="0.25">
      <c r="A4538">
        <v>4537</v>
      </c>
      <c r="B4538" s="23">
        <v>1196</v>
      </c>
      <c r="C4538" s="23">
        <v>0</v>
      </c>
    </row>
    <row r="4539" spans="1:3" x14ac:dyDescent="0.25">
      <c r="A4539">
        <v>4538</v>
      </c>
      <c r="B4539" s="23">
        <v>1195.9680000000001</v>
      </c>
      <c r="C4539" s="23">
        <v>0</v>
      </c>
    </row>
    <row r="4540" spans="1:3" x14ac:dyDescent="0.25">
      <c r="A4540">
        <v>4539</v>
      </c>
      <c r="B4540" s="23">
        <v>1195.667301</v>
      </c>
      <c r="C4540" s="23">
        <v>0</v>
      </c>
    </row>
    <row r="4541" spans="1:3" x14ac:dyDescent="0.25">
      <c r="A4541">
        <v>4540</v>
      </c>
      <c r="B4541" s="23">
        <v>1195.5738409999999</v>
      </c>
      <c r="C4541" s="23">
        <v>0</v>
      </c>
    </row>
    <row r="4542" spans="1:3" x14ac:dyDescent="0.25">
      <c r="A4542">
        <v>4541</v>
      </c>
      <c r="B4542" s="23">
        <v>1195.5738409999999</v>
      </c>
      <c r="C4542" s="23">
        <v>0</v>
      </c>
    </row>
    <row r="4543" spans="1:3" x14ac:dyDescent="0.25">
      <c r="A4543">
        <v>4542</v>
      </c>
      <c r="B4543" s="23">
        <v>1195.4363000000001</v>
      </c>
      <c r="C4543" s="23">
        <v>0</v>
      </c>
    </row>
    <row r="4544" spans="1:3" x14ac:dyDescent="0.25">
      <c r="A4544">
        <v>4543</v>
      </c>
      <c r="B4544" s="23">
        <v>1195.22001</v>
      </c>
      <c r="C4544" s="23">
        <v>0</v>
      </c>
    </row>
    <row r="4545" spans="1:3" x14ac:dyDescent="0.25">
      <c r="A4545">
        <v>4544</v>
      </c>
      <c r="B4545" s="23">
        <v>1195.2</v>
      </c>
      <c r="C4545" s="23">
        <v>0</v>
      </c>
    </row>
    <row r="4546" spans="1:3" x14ac:dyDescent="0.25">
      <c r="A4546">
        <v>4545</v>
      </c>
      <c r="B4546" s="23">
        <v>1195.2</v>
      </c>
      <c r="C4546" s="23">
        <v>0</v>
      </c>
    </row>
    <row r="4547" spans="1:3" x14ac:dyDescent="0.25">
      <c r="A4547">
        <v>4546</v>
      </c>
      <c r="B4547" s="23">
        <v>1195.2</v>
      </c>
      <c r="C4547" s="23">
        <v>0</v>
      </c>
    </row>
    <row r="4548" spans="1:3" x14ac:dyDescent="0.25">
      <c r="A4548">
        <v>4547</v>
      </c>
      <c r="B4548" s="23">
        <v>1194.7439999999999</v>
      </c>
      <c r="C4548" s="23">
        <v>0</v>
      </c>
    </row>
    <row r="4549" spans="1:3" x14ac:dyDescent="0.25">
      <c r="A4549">
        <v>4548</v>
      </c>
      <c r="B4549" s="23">
        <v>1194.513641</v>
      </c>
      <c r="C4549" s="23">
        <v>0</v>
      </c>
    </row>
    <row r="4550" spans="1:3" x14ac:dyDescent="0.25">
      <c r="A4550">
        <v>4549</v>
      </c>
      <c r="B4550" s="23">
        <v>1194.461</v>
      </c>
      <c r="C4550" s="23">
        <v>0</v>
      </c>
    </row>
    <row r="4551" spans="1:3" x14ac:dyDescent="0.25">
      <c r="A4551">
        <v>4550</v>
      </c>
      <c r="B4551" s="23">
        <v>1194.4000000000001</v>
      </c>
      <c r="C4551" s="23">
        <v>0</v>
      </c>
    </row>
    <row r="4552" spans="1:3" x14ac:dyDescent="0.25">
      <c r="A4552">
        <v>4551</v>
      </c>
      <c r="B4552" s="23">
        <v>1194.4000000000001</v>
      </c>
      <c r="C4552" s="23">
        <v>0</v>
      </c>
    </row>
    <row r="4553" spans="1:3" x14ac:dyDescent="0.25">
      <c r="A4553">
        <v>4552</v>
      </c>
      <c r="B4553" s="23">
        <v>1194.4000000000001</v>
      </c>
      <c r="C4553" s="23">
        <v>0</v>
      </c>
    </row>
    <row r="4554" spans="1:3" x14ac:dyDescent="0.25">
      <c r="A4554">
        <v>4553</v>
      </c>
      <c r="B4554" s="23">
        <v>1193.866125</v>
      </c>
      <c r="C4554" s="23">
        <v>0</v>
      </c>
    </row>
    <row r="4555" spans="1:3" x14ac:dyDescent="0.25">
      <c r="A4555">
        <v>4554</v>
      </c>
      <c r="B4555" s="23">
        <v>1193.7385650000001</v>
      </c>
      <c r="C4555" s="23">
        <v>0</v>
      </c>
    </row>
    <row r="4556" spans="1:3" x14ac:dyDescent="0.25">
      <c r="A4556">
        <v>4555</v>
      </c>
      <c r="B4556" s="23">
        <v>1193.7080000000001</v>
      </c>
      <c r="C4556" s="23">
        <v>0</v>
      </c>
    </row>
    <row r="4557" spans="1:3" x14ac:dyDescent="0.25">
      <c r="A4557">
        <v>4556</v>
      </c>
      <c r="B4557" s="23">
        <v>1193.5999999999999</v>
      </c>
      <c r="C4557" s="23">
        <v>0</v>
      </c>
    </row>
    <row r="4558" spans="1:3" x14ac:dyDescent="0.25">
      <c r="A4558">
        <v>4557</v>
      </c>
      <c r="B4558" s="23">
        <v>1193.5999999999999</v>
      </c>
      <c r="C4558" s="23">
        <v>0</v>
      </c>
    </row>
    <row r="4559" spans="1:3" x14ac:dyDescent="0.25">
      <c r="A4559">
        <v>4558</v>
      </c>
      <c r="B4559" s="23">
        <v>1193.2138110000001</v>
      </c>
      <c r="C4559" s="23">
        <v>0</v>
      </c>
    </row>
    <row r="4560" spans="1:3" x14ac:dyDescent="0.25">
      <c r="A4560">
        <v>4559</v>
      </c>
      <c r="B4560" s="23">
        <v>1193.172</v>
      </c>
      <c r="C4560" s="23">
        <v>0</v>
      </c>
    </row>
    <row r="4561" spans="1:3" x14ac:dyDescent="0.25">
      <c r="A4561">
        <v>4560</v>
      </c>
      <c r="B4561" s="23">
        <v>1193.029</v>
      </c>
      <c r="C4561" s="23">
        <v>0</v>
      </c>
    </row>
    <row r="4562" spans="1:3" x14ac:dyDescent="0.25">
      <c r="A4562">
        <v>4561</v>
      </c>
      <c r="B4562" s="23">
        <v>1192.8111060000001</v>
      </c>
      <c r="C4562" s="23">
        <v>0</v>
      </c>
    </row>
    <row r="4563" spans="1:3" x14ac:dyDescent="0.25">
      <c r="A4563">
        <v>4562</v>
      </c>
      <c r="B4563" s="23">
        <v>1192.7734869999999</v>
      </c>
      <c r="C4563" s="23">
        <v>0</v>
      </c>
    </row>
    <row r="4564" spans="1:3" x14ac:dyDescent="0.25">
      <c r="A4564">
        <v>4563</v>
      </c>
      <c r="B4564" s="23">
        <v>1192.6798759999999</v>
      </c>
      <c r="C4564" s="23">
        <v>0</v>
      </c>
    </row>
    <row r="4565" spans="1:3" x14ac:dyDescent="0.25">
      <c r="A4565">
        <v>4564</v>
      </c>
      <c r="B4565" s="23">
        <v>1192.4164270000001</v>
      </c>
      <c r="C4565" s="23">
        <v>0</v>
      </c>
    </row>
    <row r="4566" spans="1:3" x14ac:dyDescent="0.25">
      <c r="A4566">
        <v>4565</v>
      </c>
      <c r="B4566" s="23">
        <v>1192.4069999999999</v>
      </c>
      <c r="C4566" s="23">
        <v>0</v>
      </c>
    </row>
    <row r="4567" spans="1:3" x14ac:dyDescent="0.25">
      <c r="A4567">
        <v>4566</v>
      </c>
      <c r="B4567" s="23">
        <v>1192.2620119999999</v>
      </c>
      <c r="C4567" s="23">
        <v>0</v>
      </c>
    </row>
    <row r="4568" spans="1:3" x14ac:dyDescent="0.25">
      <c r="A4568">
        <v>4567</v>
      </c>
      <c r="B4568" s="23">
        <v>1192</v>
      </c>
      <c r="C4568" s="23">
        <v>0</v>
      </c>
    </row>
    <row r="4569" spans="1:3" x14ac:dyDescent="0.25">
      <c r="A4569">
        <v>4568</v>
      </c>
      <c r="B4569" s="23">
        <v>1192</v>
      </c>
      <c r="C4569" s="23">
        <v>0</v>
      </c>
    </row>
    <row r="4570" spans="1:3" x14ac:dyDescent="0.25">
      <c r="A4570">
        <v>4569</v>
      </c>
      <c r="B4570" s="23">
        <v>1192</v>
      </c>
      <c r="C4570" s="23">
        <v>0</v>
      </c>
    </row>
    <row r="4571" spans="1:3" x14ac:dyDescent="0.25">
      <c r="A4571">
        <v>4570</v>
      </c>
      <c r="B4571" s="23">
        <v>1192</v>
      </c>
      <c r="C4571" s="23">
        <v>0</v>
      </c>
    </row>
    <row r="4572" spans="1:3" x14ac:dyDescent="0.25">
      <c r="A4572">
        <v>4571</v>
      </c>
      <c r="B4572" s="23">
        <v>1191.895</v>
      </c>
      <c r="C4572" s="23">
        <v>0</v>
      </c>
    </row>
    <row r="4573" spans="1:3" x14ac:dyDescent="0.25">
      <c r="A4573">
        <v>4572</v>
      </c>
      <c r="B4573" s="23">
        <v>1191.823169</v>
      </c>
      <c r="C4573" s="23">
        <v>0</v>
      </c>
    </row>
    <row r="4574" spans="1:3" x14ac:dyDescent="0.25">
      <c r="A4574">
        <v>4573</v>
      </c>
      <c r="B4574" s="23">
        <v>1191.5871749999999</v>
      </c>
      <c r="C4574" s="23">
        <v>0</v>
      </c>
    </row>
    <row r="4575" spans="1:3" x14ac:dyDescent="0.25">
      <c r="A4575">
        <v>4574</v>
      </c>
      <c r="B4575" s="23">
        <v>1191.5781509999999</v>
      </c>
      <c r="C4575" s="23">
        <v>0</v>
      </c>
    </row>
    <row r="4576" spans="1:3" x14ac:dyDescent="0.25">
      <c r="A4576">
        <v>4575</v>
      </c>
      <c r="B4576" s="23">
        <v>1191.2751969999999</v>
      </c>
      <c r="C4576" s="23">
        <v>0</v>
      </c>
    </row>
    <row r="4577" spans="1:3" x14ac:dyDescent="0.25">
      <c r="A4577">
        <v>4576</v>
      </c>
      <c r="B4577" s="23">
        <v>1191.2</v>
      </c>
      <c r="C4577" s="23">
        <v>0</v>
      </c>
    </row>
    <row r="4578" spans="1:3" x14ac:dyDescent="0.25">
      <c r="A4578">
        <v>4577</v>
      </c>
      <c r="B4578" s="23">
        <v>1191.2</v>
      </c>
      <c r="C4578" s="23">
        <v>0</v>
      </c>
    </row>
    <row r="4579" spans="1:3" x14ac:dyDescent="0.25">
      <c r="A4579">
        <v>4578</v>
      </c>
      <c r="B4579" s="23">
        <v>1191.1579999999999</v>
      </c>
      <c r="C4579" s="23">
        <v>0</v>
      </c>
    </row>
    <row r="4580" spans="1:3" x14ac:dyDescent="0.25">
      <c r="A4580">
        <v>4579</v>
      </c>
      <c r="B4580" s="23">
        <v>1191.0820000000001</v>
      </c>
      <c r="C4580" s="23">
        <v>0</v>
      </c>
    </row>
    <row r="4581" spans="1:3" x14ac:dyDescent="0.25">
      <c r="A4581">
        <v>4580</v>
      </c>
      <c r="B4581" s="23">
        <v>1190.5629289999999</v>
      </c>
      <c r="C4581" s="23">
        <v>0</v>
      </c>
    </row>
    <row r="4582" spans="1:3" x14ac:dyDescent="0.25">
      <c r="A4582">
        <v>4581</v>
      </c>
      <c r="B4582" s="23">
        <v>1190.56</v>
      </c>
      <c r="C4582" s="23">
        <v>0</v>
      </c>
    </row>
    <row r="4583" spans="1:3" x14ac:dyDescent="0.25">
      <c r="A4583">
        <v>4582</v>
      </c>
      <c r="B4583" s="23">
        <v>1190.482</v>
      </c>
      <c r="C4583" s="23">
        <v>0</v>
      </c>
    </row>
    <row r="4584" spans="1:3" x14ac:dyDescent="0.25">
      <c r="A4584">
        <v>4583</v>
      </c>
      <c r="B4584" s="23">
        <v>1190.4000000000001</v>
      </c>
      <c r="C4584" s="23">
        <v>0</v>
      </c>
    </row>
    <row r="4585" spans="1:3" x14ac:dyDescent="0.25">
      <c r="A4585">
        <v>4584</v>
      </c>
      <c r="B4585" s="23">
        <v>1190.4000000000001</v>
      </c>
      <c r="C4585" s="23">
        <v>0</v>
      </c>
    </row>
    <row r="4586" spans="1:3" x14ac:dyDescent="0.25">
      <c r="A4586">
        <v>4585</v>
      </c>
      <c r="B4586" s="23">
        <v>1190.0713699999999</v>
      </c>
      <c r="C4586" s="23">
        <v>0</v>
      </c>
    </row>
    <row r="4587" spans="1:3" x14ac:dyDescent="0.25">
      <c r="A4587">
        <v>4586</v>
      </c>
      <c r="B4587" s="23">
        <v>1189.8148859999999</v>
      </c>
      <c r="C4587" s="23">
        <v>0</v>
      </c>
    </row>
    <row r="4588" spans="1:3" x14ac:dyDescent="0.25">
      <c r="A4588">
        <v>4587</v>
      </c>
      <c r="B4588" s="23">
        <v>1189.754124</v>
      </c>
      <c r="C4588" s="23">
        <v>0</v>
      </c>
    </row>
    <row r="4589" spans="1:3" x14ac:dyDescent="0.25">
      <c r="A4589">
        <v>4588</v>
      </c>
      <c r="B4589" s="23">
        <v>1189.6099999999999</v>
      </c>
      <c r="C4589" s="23">
        <v>0</v>
      </c>
    </row>
    <row r="4590" spans="1:3" x14ac:dyDescent="0.25">
      <c r="A4590">
        <v>4589</v>
      </c>
      <c r="B4590" s="23">
        <v>1189.5999999999999</v>
      </c>
      <c r="C4590" s="23">
        <v>0</v>
      </c>
    </row>
    <row r="4591" spans="1:3" x14ac:dyDescent="0.25">
      <c r="A4591">
        <v>4590</v>
      </c>
      <c r="B4591" s="23">
        <v>1189.5999999999999</v>
      </c>
      <c r="C4591" s="23">
        <v>0</v>
      </c>
    </row>
    <row r="4592" spans="1:3" x14ac:dyDescent="0.25">
      <c r="A4592">
        <v>4591</v>
      </c>
      <c r="B4592" s="23">
        <v>1189.5999999999999</v>
      </c>
      <c r="C4592" s="23">
        <v>0</v>
      </c>
    </row>
    <row r="4593" spans="1:3" x14ac:dyDescent="0.25">
      <c r="A4593">
        <v>4592</v>
      </c>
      <c r="B4593" s="23">
        <v>1189.5999999999999</v>
      </c>
      <c r="C4593" s="23">
        <v>0</v>
      </c>
    </row>
    <row r="4594" spans="1:3" x14ac:dyDescent="0.25">
      <c r="A4594">
        <v>4593</v>
      </c>
      <c r="B4594" s="23">
        <v>1189.5999999999999</v>
      </c>
      <c r="C4594" s="23">
        <v>0</v>
      </c>
    </row>
    <row r="4595" spans="1:3" x14ac:dyDescent="0.25">
      <c r="A4595">
        <v>4594</v>
      </c>
      <c r="B4595" s="23">
        <v>1189.3358499999999</v>
      </c>
      <c r="C4595" s="23">
        <v>0</v>
      </c>
    </row>
    <row r="4596" spans="1:3" x14ac:dyDescent="0.25">
      <c r="A4596">
        <v>4595</v>
      </c>
      <c r="B4596" s="23">
        <v>1189.1388480000001</v>
      </c>
      <c r="C4596" s="23">
        <v>0</v>
      </c>
    </row>
    <row r="4597" spans="1:3" x14ac:dyDescent="0.25">
      <c r="A4597">
        <v>4596</v>
      </c>
      <c r="B4597" s="23">
        <v>1188.8</v>
      </c>
      <c r="C4597" s="23">
        <v>0</v>
      </c>
    </row>
    <row r="4598" spans="1:3" x14ac:dyDescent="0.25">
      <c r="A4598">
        <v>4597</v>
      </c>
      <c r="B4598" s="23">
        <v>1188.8</v>
      </c>
      <c r="C4598" s="23">
        <v>0</v>
      </c>
    </row>
    <row r="4599" spans="1:3" x14ac:dyDescent="0.25">
      <c r="A4599">
        <v>4598</v>
      </c>
      <c r="B4599" s="23">
        <v>1188.6670019999999</v>
      </c>
      <c r="C4599" s="23">
        <v>0</v>
      </c>
    </row>
    <row r="4600" spans="1:3" x14ac:dyDescent="0.25">
      <c r="A4600">
        <v>4599</v>
      </c>
      <c r="B4600" s="23">
        <v>1188.5309</v>
      </c>
      <c r="C4600" s="23">
        <v>0</v>
      </c>
    </row>
    <row r="4601" spans="1:3" x14ac:dyDescent="0.25">
      <c r="A4601">
        <v>4600</v>
      </c>
      <c r="B4601" s="23">
        <v>1188.3884559999999</v>
      </c>
      <c r="C4601" s="23">
        <v>0</v>
      </c>
    </row>
    <row r="4602" spans="1:3" x14ac:dyDescent="0.25">
      <c r="A4602">
        <v>4601</v>
      </c>
      <c r="B4602" s="23">
        <v>1188.2180000000001</v>
      </c>
      <c r="C4602" s="23">
        <v>0</v>
      </c>
    </row>
    <row r="4603" spans="1:3" x14ac:dyDescent="0.25">
      <c r="A4603">
        <v>4602</v>
      </c>
      <c r="B4603" s="23">
        <v>1188</v>
      </c>
      <c r="C4603" s="23">
        <v>0</v>
      </c>
    </row>
    <row r="4604" spans="1:3" x14ac:dyDescent="0.25">
      <c r="A4604">
        <v>4603</v>
      </c>
      <c r="B4604" s="23">
        <v>1187.9384789999999</v>
      </c>
      <c r="C4604" s="23">
        <v>0</v>
      </c>
    </row>
    <row r="4605" spans="1:3" x14ac:dyDescent="0.25">
      <c r="A4605">
        <v>4604</v>
      </c>
      <c r="B4605" s="23">
        <v>1187.86481</v>
      </c>
      <c r="C4605" s="23">
        <v>0</v>
      </c>
    </row>
    <row r="4606" spans="1:3" x14ac:dyDescent="0.25">
      <c r="A4606">
        <v>4605</v>
      </c>
      <c r="B4606" s="23">
        <v>1187.86481</v>
      </c>
      <c r="C4606" s="23">
        <v>0</v>
      </c>
    </row>
    <row r="4607" spans="1:3" x14ac:dyDescent="0.25">
      <c r="A4607">
        <v>4606</v>
      </c>
      <c r="B4607" s="23">
        <v>1187.4639999999999</v>
      </c>
      <c r="C4607" s="23">
        <v>0</v>
      </c>
    </row>
    <row r="4608" spans="1:3" x14ac:dyDescent="0.25">
      <c r="A4608">
        <v>4607</v>
      </c>
      <c r="B4608" s="23">
        <v>1187.2856340000001</v>
      </c>
      <c r="C4608" s="23">
        <v>0</v>
      </c>
    </row>
    <row r="4609" spans="1:3" x14ac:dyDescent="0.25">
      <c r="A4609">
        <v>4608</v>
      </c>
      <c r="B4609" s="23">
        <v>1187.2</v>
      </c>
      <c r="C4609" s="23">
        <v>0</v>
      </c>
    </row>
    <row r="4610" spans="1:3" x14ac:dyDescent="0.25">
      <c r="A4610">
        <v>4609</v>
      </c>
      <c r="B4610" s="23">
        <v>1187.1292900000001</v>
      </c>
      <c r="C4610" s="23">
        <v>0</v>
      </c>
    </row>
    <row r="4611" spans="1:3" x14ac:dyDescent="0.25">
      <c r="A4611">
        <v>4610</v>
      </c>
      <c r="B4611" s="23">
        <v>1187.0498560000001</v>
      </c>
      <c r="C4611" s="23">
        <v>0</v>
      </c>
    </row>
    <row r="4612" spans="1:3" x14ac:dyDescent="0.25">
      <c r="A4612">
        <v>4611</v>
      </c>
      <c r="B4612" s="23">
        <v>1186.9604790000001</v>
      </c>
      <c r="C4612" s="23">
        <v>0</v>
      </c>
    </row>
    <row r="4613" spans="1:3" x14ac:dyDescent="0.25">
      <c r="A4613">
        <v>4612</v>
      </c>
      <c r="B4613" s="23">
        <v>1186.7149569999999</v>
      </c>
      <c r="C4613" s="23">
        <v>0</v>
      </c>
    </row>
    <row r="4614" spans="1:3" x14ac:dyDescent="0.25">
      <c r="A4614">
        <v>4613</v>
      </c>
      <c r="B4614" s="23">
        <v>1186.586317</v>
      </c>
      <c r="C4614" s="23">
        <v>0</v>
      </c>
    </row>
    <row r="4615" spans="1:3" x14ac:dyDescent="0.25">
      <c r="A4615">
        <v>4614</v>
      </c>
      <c r="B4615" s="23">
        <v>1186.4000000000001</v>
      </c>
      <c r="C4615" s="23">
        <v>0</v>
      </c>
    </row>
    <row r="4616" spans="1:3" x14ac:dyDescent="0.25">
      <c r="A4616">
        <v>4615</v>
      </c>
      <c r="B4616" s="23">
        <v>1186.3937699999999</v>
      </c>
      <c r="C4616" s="23">
        <v>0</v>
      </c>
    </row>
    <row r="4617" spans="1:3" x14ac:dyDescent="0.25">
      <c r="A4617">
        <v>4616</v>
      </c>
      <c r="B4617" s="23">
        <v>1186.1300000000001</v>
      </c>
      <c r="C4617" s="23">
        <v>0</v>
      </c>
    </row>
    <row r="4618" spans="1:3" x14ac:dyDescent="0.25">
      <c r="A4618">
        <v>4617</v>
      </c>
      <c r="B4618" s="23">
        <v>1186.075</v>
      </c>
      <c r="C4618" s="23">
        <v>0</v>
      </c>
    </row>
    <row r="4619" spans="1:3" x14ac:dyDescent="0.25">
      <c r="A4619">
        <v>4618</v>
      </c>
      <c r="B4619" s="23">
        <v>1185.904266</v>
      </c>
      <c r="C4619" s="23">
        <v>0</v>
      </c>
    </row>
    <row r="4620" spans="1:3" x14ac:dyDescent="0.25">
      <c r="A4620">
        <v>4619</v>
      </c>
      <c r="B4620" s="23">
        <v>1185.808</v>
      </c>
      <c r="C4620" s="23">
        <v>0</v>
      </c>
    </row>
    <row r="4621" spans="1:3" x14ac:dyDescent="0.25">
      <c r="A4621">
        <v>4620</v>
      </c>
      <c r="B4621" s="23">
        <v>1185.7689</v>
      </c>
      <c r="C4621" s="23">
        <v>0</v>
      </c>
    </row>
    <row r="4622" spans="1:3" x14ac:dyDescent="0.25">
      <c r="A4622">
        <v>4621</v>
      </c>
      <c r="B4622" s="23">
        <v>1185.424</v>
      </c>
      <c r="C4622" s="23">
        <v>0</v>
      </c>
    </row>
    <row r="4623" spans="1:3" x14ac:dyDescent="0.25">
      <c r="A4623">
        <v>4622</v>
      </c>
      <c r="B4623" s="23">
        <v>1185.2800609999999</v>
      </c>
      <c r="C4623" s="23">
        <v>0</v>
      </c>
    </row>
    <row r="4624" spans="1:3" x14ac:dyDescent="0.25">
      <c r="A4624">
        <v>4623</v>
      </c>
      <c r="B4624" s="23">
        <v>1185.275744</v>
      </c>
      <c r="C4624" s="23">
        <v>0</v>
      </c>
    </row>
    <row r="4625" spans="1:3" x14ac:dyDescent="0.25">
      <c r="A4625">
        <v>4624</v>
      </c>
      <c r="B4625" s="23">
        <v>1185.213583</v>
      </c>
      <c r="C4625" s="23">
        <v>0</v>
      </c>
    </row>
    <row r="4626" spans="1:3" x14ac:dyDescent="0.25">
      <c r="A4626">
        <v>4625</v>
      </c>
      <c r="B4626" s="23">
        <v>1185.1469999999999</v>
      </c>
      <c r="C4626" s="23">
        <v>0</v>
      </c>
    </row>
    <row r="4627" spans="1:3" x14ac:dyDescent="0.25">
      <c r="A4627">
        <v>4626</v>
      </c>
      <c r="B4627" s="23">
        <v>1185.0607689999999</v>
      </c>
      <c r="C4627" s="23">
        <v>0</v>
      </c>
    </row>
    <row r="4628" spans="1:3" x14ac:dyDescent="0.25">
      <c r="A4628">
        <v>4627</v>
      </c>
      <c r="B4628" s="23">
        <v>1184.972794</v>
      </c>
      <c r="C4628" s="23">
        <v>0</v>
      </c>
    </row>
    <row r="4629" spans="1:3" x14ac:dyDescent="0.25">
      <c r="A4629">
        <v>4628</v>
      </c>
      <c r="B4629" s="23">
        <v>1184.972794</v>
      </c>
      <c r="C4629" s="23">
        <v>0</v>
      </c>
    </row>
    <row r="4630" spans="1:3" x14ac:dyDescent="0.25">
      <c r="A4630">
        <v>4629</v>
      </c>
      <c r="B4630" s="23">
        <v>1184.972794</v>
      </c>
      <c r="C4630" s="23">
        <v>0</v>
      </c>
    </row>
    <row r="4631" spans="1:3" x14ac:dyDescent="0.25">
      <c r="A4631">
        <v>4630</v>
      </c>
      <c r="B4631" s="23">
        <v>1184.8307259999999</v>
      </c>
      <c r="C4631" s="23">
        <v>0</v>
      </c>
    </row>
    <row r="4632" spans="1:3" x14ac:dyDescent="0.25">
      <c r="A4632">
        <v>4631</v>
      </c>
      <c r="B4632" s="23">
        <v>1184.8307259999999</v>
      </c>
      <c r="C4632" s="23">
        <v>0</v>
      </c>
    </row>
    <row r="4633" spans="1:3" x14ac:dyDescent="0.25">
      <c r="A4633">
        <v>4632</v>
      </c>
      <c r="B4633" s="23">
        <v>1184.8307259999999</v>
      </c>
      <c r="C4633" s="23">
        <v>0</v>
      </c>
    </row>
    <row r="4634" spans="1:3" x14ac:dyDescent="0.25">
      <c r="A4634">
        <v>4633</v>
      </c>
      <c r="B4634" s="23">
        <v>1184.8</v>
      </c>
      <c r="C4634" s="23">
        <v>0</v>
      </c>
    </row>
    <row r="4635" spans="1:3" x14ac:dyDescent="0.25">
      <c r="A4635">
        <v>4634</v>
      </c>
      <c r="B4635" s="23">
        <v>1184.8</v>
      </c>
      <c r="C4635" s="23">
        <v>0</v>
      </c>
    </row>
    <row r="4636" spans="1:3" x14ac:dyDescent="0.25">
      <c r="A4636">
        <v>4635</v>
      </c>
      <c r="B4636" s="23">
        <v>1184.4607370000001</v>
      </c>
      <c r="C4636" s="23">
        <v>0</v>
      </c>
    </row>
    <row r="4637" spans="1:3" x14ac:dyDescent="0.25">
      <c r="A4637">
        <v>4636</v>
      </c>
      <c r="B4637" s="23">
        <v>1184.217682</v>
      </c>
      <c r="C4637" s="23">
        <v>0</v>
      </c>
    </row>
    <row r="4638" spans="1:3" x14ac:dyDescent="0.25">
      <c r="A4638">
        <v>4637</v>
      </c>
      <c r="B4638" s="23">
        <v>1184.1872100000001</v>
      </c>
      <c r="C4638" s="23">
        <v>0</v>
      </c>
    </row>
    <row r="4639" spans="1:3" x14ac:dyDescent="0.25">
      <c r="A4639">
        <v>4638</v>
      </c>
      <c r="B4639" s="23">
        <v>1184.1872100000001</v>
      </c>
      <c r="C4639" s="23">
        <v>0</v>
      </c>
    </row>
    <row r="4640" spans="1:3" x14ac:dyDescent="0.25">
      <c r="A4640">
        <v>4639</v>
      </c>
      <c r="B4640" s="23">
        <v>1184</v>
      </c>
      <c r="C4640" s="23">
        <v>0</v>
      </c>
    </row>
    <row r="4641" spans="1:3" x14ac:dyDescent="0.25">
      <c r="A4641">
        <v>4640</v>
      </c>
      <c r="B4641" s="23">
        <v>1184</v>
      </c>
      <c r="C4641" s="23">
        <v>0</v>
      </c>
    </row>
    <row r="4642" spans="1:3" x14ac:dyDescent="0.25">
      <c r="A4642">
        <v>4641</v>
      </c>
      <c r="B4642" s="23">
        <v>1183.914</v>
      </c>
      <c r="C4642" s="23">
        <v>0</v>
      </c>
    </row>
    <row r="4643" spans="1:3" x14ac:dyDescent="0.25">
      <c r="A4643">
        <v>4642</v>
      </c>
      <c r="B4643" s="23">
        <v>1183.5940000000001</v>
      </c>
      <c r="C4643" s="23">
        <v>0</v>
      </c>
    </row>
    <row r="4644" spans="1:3" x14ac:dyDescent="0.25">
      <c r="A4644">
        <v>4643</v>
      </c>
      <c r="B4644" s="23">
        <v>1183.4516900000001</v>
      </c>
      <c r="C4644" s="23">
        <v>0</v>
      </c>
    </row>
    <row r="4645" spans="1:3" x14ac:dyDescent="0.25">
      <c r="A4645">
        <v>4644</v>
      </c>
      <c r="B4645" s="23">
        <v>1183.22</v>
      </c>
      <c r="C4645" s="23">
        <v>0</v>
      </c>
    </row>
    <row r="4646" spans="1:3" x14ac:dyDescent="0.25">
      <c r="A4646">
        <v>4645</v>
      </c>
      <c r="B4646" s="23">
        <v>1183.2</v>
      </c>
      <c r="C4646" s="23">
        <v>0</v>
      </c>
    </row>
    <row r="4647" spans="1:3" x14ac:dyDescent="0.25">
      <c r="A4647">
        <v>4646</v>
      </c>
      <c r="B4647" s="23">
        <v>1183.2</v>
      </c>
      <c r="C4647" s="23">
        <v>0</v>
      </c>
    </row>
    <row r="4648" spans="1:3" x14ac:dyDescent="0.25">
      <c r="A4648">
        <v>4647</v>
      </c>
      <c r="B4648" s="23">
        <v>1183.2</v>
      </c>
      <c r="C4648" s="23">
        <v>0</v>
      </c>
    </row>
    <row r="4649" spans="1:3" x14ac:dyDescent="0.25">
      <c r="A4649">
        <v>4648</v>
      </c>
      <c r="B4649" s="23">
        <v>1182.9588920000001</v>
      </c>
      <c r="C4649" s="23">
        <v>0</v>
      </c>
    </row>
    <row r="4650" spans="1:3" x14ac:dyDescent="0.25">
      <c r="A4650">
        <v>4649</v>
      </c>
      <c r="B4650" s="23">
        <v>1182.912</v>
      </c>
      <c r="C4650" s="23">
        <v>0</v>
      </c>
    </row>
    <row r="4651" spans="1:3" x14ac:dyDescent="0.25">
      <c r="A4651">
        <v>4650</v>
      </c>
      <c r="B4651" s="23">
        <v>1182.818</v>
      </c>
      <c r="C4651" s="23">
        <v>0</v>
      </c>
    </row>
    <row r="4652" spans="1:3" x14ac:dyDescent="0.25">
      <c r="A4652">
        <v>4651</v>
      </c>
      <c r="B4652" s="23">
        <v>1182.742833</v>
      </c>
      <c r="C4652" s="23">
        <v>0</v>
      </c>
    </row>
    <row r="4653" spans="1:3" x14ac:dyDescent="0.25">
      <c r="A4653">
        <v>4652</v>
      </c>
      <c r="B4653" s="23">
        <v>1182.6569999999999</v>
      </c>
      <c r="C4653" s="23">
        <v>0</v>
      </c>
    </row>
    <row r="4654" spans="1:3" x14ac:dyDescent="0.25">
      <c r="A4654">
        <v>4653</v>
      </c>
      <c r="B4654" s="23">
        <v>1182.509</v>
      </c>
      <c r="C4654" s="23">
        <v>0</v>
      </c>
    </row>
    <row r="4655" spans="1:3" x14ac:dyDescent="0.25">
      <c r="A4655">
        <v>4654</v>
      </c>
      <c r="B4655" s="23">
        <v>1182.4000000000001</v>
      </c>
      <c r="C4655" s="23">
        <v>0</v>
      </c>
    </row>
    <row r="4656" spans="1:3" x14ac:dyDescent="0.25">
      <c r="A4656">
        <v>4655</v>
      </c>
      <c r="B4656" s="23">
        <v>1182.4000000000001</v>
      </c>
      <c r="C4656" s="23">
        <v>0</v>
      </c>
    </row>
    <row r="4657" spans="1:3" x14ac:dyDescent="0.25">
      <c r="A4657">
        <v>4656</v>
      </c>
      <c r="B4657" s="23">
        <v>1182.4000000000001</v>
      </c>
      <c r="C4657" s="23">
        <v>0</v>
      </c>
    </row>
    <row r="4658" spans="1:3" x14ac:dyDescent="0.25">
      <c r="A4658">
        <v>4657</v>
      </c>
      <c r="B4658" s="23">
        <v>1182.4000000000001</v>
      </c>
      <c r="C4658" s="23">
        <v>0</v>
      </c>
    </row>
    <row r="4659" spans="1:3" x14ac:dyDescent="0.25">
      <c r="A4659">
        <v>4658</v>
      </c>
      <c r="B4659" s="23">
        <v>1182.365</v>
      </c>
      <c r="C4659" s="23">
        <v>0</v>
      </c>
    </row>
    <row r="4660" spans="1:3" x14ac:dyDescent="0.25">
      <c r="A4660">
        <v>4659</v>
      </c>
      <c r="B4660" s="23">
        <v>1182.3610000000001</v>
      </c>
      <c r="C4660" s="23">
        <v>0</v>
      </c>
    </row>
    <row r="4661" spans="1:3" x14ac:dyDescent="0.25">
      <c r="A4661">
        <v>4660</v>
      </c>
      <c r="B4661" s="23">
        <v>1181.98065</v>
      </c>
      <c r="C4661" s="23">
        <v>0</v>
      </c>
    </row>
    <row r="4662" spans="1:3" x14ac:dyDescent="0.25">
      <c r="A4662">
        <v>4661</v>
      </c>
      <c r="B4662" s="23">
        <v>1181.98065</v>
      </c>
      <c r="C4662" s="23">
        <v>0</v>
      </c>
    </row>
    <row r="4663" spans="1:3" x14ac:dyDescent="0.25">
      <c r="A4663">
        <v>4662</v>
      </c>
      <c r="B4663" s="23">
        <v>1181.7601629999999</v>
      </c>
      <c r="C4663" s="23">
        <v>0</v>
      </c>
    </row>
    <row r="4664" spans="1:3" x14ac:dyDescent="0.25">
      <c r="A4664">
        <v>4663</v>
      </c>
      <c r="B4664" s="23">
        <v>1181.6469999999999</v>
      </c>
      <c r="C4664" s="23">
        <v>0</v>
      </c>
    </row>
    <row r="4665" spans="1:3" x14ac:dyDescent="0.25">
      <c r="A4665">
        <v>4664</v>
      </c>
      <c r="B4665" s="23">
        <v>1181.5999999999999</v>
      </c>
      <c r="C4665" s="23">
        <v>0</v>
      </c>
    </row>
    <row r="4666" spans="1:3" x14ac:dyDescent="0.25">
      <c r="A4666">
        <v>4665</v>
      </c>
      <c r="B4666" s="23">
        <v>1181.242</v>
      </c>
      <c r="C4666" s="23">
        <v>0</v>
      </c>
    </row>
    <row r="4667" spans="1:3" x14ac:dyDescent="0.25">
      <c r="A4667">
        <v>4666</v>
      </c>
      <c r="B4667" s="23">
        <v>1181.19</v>
      </c>
      <c r="C4667" s="23">
        <v>0</v>
      </c>
    </row>
    <row r="4668" spans="1:3" x14ac:dyDescent="0.25">
      <c r="A4668">
        <v>4667</v>
      </c>
      <c r="B4668" s="23">
        <v>1181.115</v>
      </c>
      <c r="C4668" s="23">
        <v>0</v>
      </c>
    </row>
    <row r="4669" spans="1:3" x14ac:dyDescent="0.25">
      <c r="A4669">
        <v>4668</v>
      </c>
      <c r="B4669" s="23">
        <v>1181.088473</v>
      </c>
      <c r="C4669" s="23">
        <v>0</v>
      </c>
    </row>
    <row r="4670" spans="1:3" x14ac:dyDescent="0.25">
      <c r="A4670">
        <v>4669</v>
      </c>
      <c r="B4670" s="23">
        <v>1180.9460349999999</v>
      </c>
      <c r="C4670" s="23">
        <v>0</v>
      </c>
    </row>
    <row r="4671" spans="1:3" x14ac:dyDescent="0.25">
      <c r="A4671">
        <v>4670</v>
      </c>
      <c r="B4671" s="23">
        <v>1180.8</v>
      </c>
      <c r="C4671" s="23">
        <v>0</v>
      </c>
    </row>
    <row r="4672" spans="1:3" x14ac:dyDescent="0.25">
      <c r="A4672">
        <v>4671</v>
      </c>
      <c r="B4672" s="23">
        <v>1180.8</v>
      </c>
      <c r="C4672" s="23">
        <v>0</v>
      </c>
    </row>
    <row r="4673" spans="1:3" x14ac:dyDescent="0.25">
      <c r="A4673">
        <v>4672</v>
      </c>
      <c r="B4673" s="23">
        <v>1180.8</v>
      </c>
      <c r="C4673" s="23">
        <v>0</v>
      </c>
    </row>
    <row r="4674" spans="1:3" x14ac:dyDescent="0.25">
      <c r="A4674">
        <v>4673</v>
      </c>
      <c r="B4674" s="23">
        <v>1180.8</v>
      </c>
      <c r="C4674" s="23">
        <v>0</v>
      </c>
    </row>
    <row r="4675" spans="1:3" x14ac:dyDescent="0.25">
      <c r="A4675">
        <v>4674</v>
      </c>
      <c r="B4675" s="23">
        <v>1180.5096100000001</v>
      </c>
      <c r="C4675" s="23">
        <v>0</v>
      </c>
    </row>
    <row r="4676" spans="1:3" x14ac:dyDescent="0.25">
      <c r="A4676">
        <v>4675</v>
      </c>
      <c r="B4676" s="23">
        <v>1180.5096100000001</v>
      </c>
      <c r="C4676" s="23">
        <v>0</v>
      </c>
    </row>
    <row r="4677" spans="1:3" x14ac:dyDescent="0.25">
      <c r="A4677">
        <v>4676</v>
      </c>
      <c r="B4677" s="23">
        <v>1180.3882920000001</v>
      </c>
      <c r="C4677" s="23">
        <v>0</v>
      </c>
    </row>
    <row r="4678" spans="1:3" x14ac:dyDescent="0.25">
      <c r="A4678">
        <v>4677</v>
      </c>
      <c r="B4678" s="23">
        <v>1180.2871150000001</v>
      </c>
      <c r="C4678" s="23">
        <v>0</v>
      </c>
    </row>
    <row r="4679" spans="1:3" x14ac:dyDescent="0.25">
      <c r="A4679">
        <v>4678</v>
      </c>
      <c r="B4679" s="23">
        <v>1180</v>
      </c>
      <c r="C4679" s="23">
        <v>0</v>
      </c>
    </row>
    <row r="4680" spans="1:3" x14ac:dyDescent="0.25">
      <c r="A4680">
        <v>4679</v>
      </c>
      <c r="B4680" s="23">
        <v>1179.908267</v>
      </c>
      <c r="C4680" s="23">
        <v>0</v>
      </c>
    </row>
    <row r="4681" spans="1:3" x14ac:dyDescent="0.25">
      <c r="A4681">
        <v>4680</v>
      </c>
      <c r="B4681" s="23">
        <v>1179.7740899999999</v>
      </c>
      <c r="C4681" s="23">
        <v>0</v>
      </c>
    </row>
    <row r="4682" spans="1:3" x14ac:dyDescent="0.25">
      <c r="A4682">
        <v>4681</v>
      </c>
      <c r="B4682" s="23">
        <v>1179.7249999999999</v>
      </c>
      <c r="C4682" s="23">
        <v>0</v>
      </c>
    </row>
    <row r="4683" spans="1:3" x14ac:dyDescent="0.25">
      <c r="A4683">
        <v>4682</v>
      </c>
      <c r="B4683" s="23">
        <v>1179.392159</v>
      </c>
      <c r="C4683" s="23">
        <v>0</v>
      </c>
    </row>
    <row r="4684" spans="1:3" x14ac:dyDescent="0.25">
      <c r="A4684">
        <v>4683</v>
      </c>
      <c r="B4684" s="23">
        <v>1179.363118</v>
      </c>
      <c r="C4684" s="23">
        <v>0</v>
      </c>
    </row>
    <row r="4685" spans="1:3" x14ac:dyDescent="0.25">
      <c r="A4685">
        <v>4684</v>
      </c>
      <c r="B4685" s="23">
        <v>1179.346569</v>
      </c>
      <c r="C4685" s="23">
        <v>0</v>
      </c>
    </row>
    <row r="4686" spans="1:3" x14ac:dyDescent="0.25">
      <c r="A4686">
        <v>4685</v>
      </c>
      <c r="B4686" s="23">
        <v>1179.2550000000001</v>
      </c>
      <c r="C4686" s="23">
        <v>0</v>
      </c>
    </row>
    <row r="4687" spans="1:3" x14ac:dyDescent="0.25">
      <c r="A4687">
        <v>4686</v>
      </c>
      <c r="B4687" s="23">
        <v>1179.2</v>
      </c>
      <c r="C4687" s="23">
        <v>0</v>
      </c>
    </row>
    <row r="4688" spans="1:3" x14ac:dyDescent="0.25">
      <c r="A4688">
        <v>4687</v>
      </c>
      <c r="B4688" s="23">
        <v>1179.2</v>
      </c>
      <c r="C4688" s="23">
        <v>0</v>
      </c>
    </row>
    <row r="4689" spans="1:3" x14ac:dyDescent="0.25">
      <c r="A4689">
        <v>4688</v>
      </c>
      <c r="B4689" s="23">
        <v>1179.2</v>
      </c>
      <c r="C4689" s="23">
        <v>0</v>
      </c>
    </row>
    <row r="4690" spans="1:3" x14ac:dyDescent="0.25">
      <c r="A4690">
        <v>4689</v>
      </c>
      <c r="B4690" s="23">
        <v>1179.0385699999999</v>
      </c>
      <c r="C4690" s="23">
        <v>0</v>
      </c>
    </row>
    <row r="4691" spans="1:3" x14ac:dyDescent="0.25">
      <c r="A4691">
        <v>4690</v>
      </c>
      <c r="B4691" s="23">
        <v>1178.997427</v>
      </c>
      <c r="C4691" s="23">
        <v>0</v>
      </c>
    </row>
    <row r="4692" spans="1:3" x14ac:dyDescent="0.25">
      <c r="A4692">
        <v>4691</v>
      </c>
      <c r="B4692" s="23">
        <v>1178.58647</v>
      </c>
      <c r="C4692" s="23">
        <v>0</v>
      </c>
    </row>
    <row r="4693" spans="1:3" x14ac:dyDescent="0.25">
      <c r="A4693">
        <v>4692</v>
      </c>
      <c r="B4693" s="23">
        <v>1178.5</v>
      </c>
      <c r="C4693" s="23">
        <v>0</v>
      </c>
    </row>
    <row r="4694" spans="1:3" x14ac:dyDescent="0.25">
      <c r="A4694">
        <v>4693</v>
      </c>
      <c r="B4694" s="23">
        <v>1178.4928729999999</v>
      </c>
      <c r="C4694" s="23">
        <v>0</v>
      </c>
    </row>
    <row r="4695" spans="1:3" x14ac:dyDescent="0.25">
      <c r="A4695">
        <v>4694</v>
      </c>
      <c r="B4695" s="23">
        <v>1178.4000000000001</v>
      </c>
      <c r="C4695" s="23">
        <v>0</v>
      </c>
    </row>
    <row r="4696" spans="1:3" x14ac:dyDescent="0.25">
      <c r="A4696">
        <v>4695</v>
      </c>
      <c r="B4696" s="23">
        <v>1178.4000000000001</v>
      </c>
      <c r="C4696" s="23">
        <v>0</v>
      </c>
    </row>
    <row r="4697" spans="1:3" x14ac:dyDescent="0.25">
      <c r="A4697">
        <v>4696</v>
      </c>
      <c r="B4697" s="23">
        <v>1178.3599999999999</v>
      </c>
      <c r="C4697" s="23">
        <v>0</v>
      </c>
    </row>
    <row r="4698" spans="1:3" x14ac:dyDescent="0.25">
      <c r="A4698">
        <v>4697</v>
      </c>
      <c r="B4698" s="23">
        <v>1178.306744</v>
      </c>
      <c r="C4698" s="23">
        <v>0</v>
      </c>
    </row>
    <row r="4699" spans="1:3" x14ac:dyDescent="0.25">
      <c r="A4699">
        <v>4698</v>
      </c>
      <c r="B4699" s="23">
        <v>1178.106</v>
      </c>
      <c r="C4699" s="23">
        <v>0</v>
      </c>
    </row>
    <row r="4700" spans="1:3" x14ac:dyDescent="0.25">
      <c r="A4700">
        <v>4699</v>
      </c>
      <c r="B4700" s="23">
        <v>1178.021714</v>
      </c>
      <c r="C4700" s="23">
        <v>0</v>
      </c>
    </row>
    <row r="4701" spans="1:3" x14ac:dyDescent="0.25">
      <c r="A4701">
        <v>4700</v>
      </c>
      <c r="B4701" s="23">
        <v>1177.8008</v>
      </c>
      <c r="C4701" s="23">
        <v>0</v>
      </c>
    </row>
    <row r="4702" spans="1:3" x14ac:dyDescent="0.25">
      <c r="A4702">
        <v>4701</v>
      </c>
      <c r="B4702" s="23">
        <v>1177.8001380000001</v>
      </c>
      <c r="C4702" s="23">
        <v>0</v>
      </c>
    </row>
    <row r="4703" spans="1:3" x14ac:dyDescent="0.25">
      <c r="A4703">
        <v>4702</v>
      </c>
      <c r="B4703" s="23">
        <v>1177.6160600000001</v>
      </c>
      <c r="C4703" s="23">
        <v>0</v>
      </c>
    </row>
    <row r="4704" spans="1:3" x14ac:dyDescent="0.25">
      <c r="A4704">
        <v>4703</v>
      </c>
      <c r="B4704" s="23">
        <v>1177.56753</v>
      </c>
      <c r="C4704" s="23">
        <v>0</v>
      </c>
    </row>
    <row r="4705" spans="1:3" x14ac:dyDescent="0.25">
      <c r="A4705">
        <v>4704</v>
      </c>
      <c r="B4705" s="23">
        <v>1177.5540000000001</v>
      </c>
      <c r="C4705" s="23">
        <v>0</v>
      </c>
    </row>
    <row r="4706" spans="1:3" x14ac:dyDescent="0.25">
      <c r="A4706">
        <v>4705</v>
      </c>
      <c r="B4706" s="23">
        <v>1177.4915739999999</v>
      </c>
      <c r="C4706" s="23">
        <v>0</v>
      </c>
    </row>
    <row r="4707" spans="1:3" x14ac:dyDescent="0.25">
      <c r="A4707">
        <v>4706</v>
      </c>
      <c r="B4707" s="23">
        <v>1177.061344</v>
      </c>
      <c r="C4707" s="23">
        <v>0</v>
      </c>
    </row>
    <row r="4708" spans="1:3" x14ac:dyDescent="0.25">
      <c r="A4708">
        <v>4707</v>
      </c>
      <c r="B4708" s="23">
        <v>1176.8399999999999</v>
      </c>
      <c r="C4708" s="23">
        <v>0</v>
      </c>
    </row>
    <row r="4709" spans="1:3" x14ac:dyDescent="0.25">
      <c r="A4709">
        <v>4708</v>
      </c>
      <c r="B4709" s="23">
        <v>1176.8320100000001</v>
      </c>
      <c r="C4709" s="23">
        <v>0</v>
      </c>
    </row>
    <row r="4710" spans="1:3" x14ac:dyDescent="0.25">
      <c r="A4710">
        <v>4709</v>
      </c>
      <c r="B4710" s="23">
        <v>1176.8107809999999</v>
      </c>
      <c r="C4710" s="23">
        <v>0</v>
      </c>
    </row>
    <row r="4711" spans="1:3" x14ac:dyDescent="0.25">
      <c r="A4711">
        <v>4710</v>
      </c>
      <c r="B4711" s="23">
        <v>1176.8</v>
      </c>
      <c r="C4711" s="23">
        <v>0</v>
      </c>
    </row>
    <row r="4712" spans="1:3" x14ac:dyDescent="0.25">
      <c r="A4712">
        <v>4711</v>
      </c>
      <c r="B4712" s="23">
        <v>1176.8</v>
      </c>
      <c r="C4712" s="23">
        <v>0</v>
      </c>
    </row>
    <row r="4713" spans="1:3" x14ac:dyDescent="0.25">
      <c r="A4713">
        <v>4712</v>
      </c>
      <c r="B4713" s="23">
        <v>1176.8</v>
      </c>
      <c r="C4713" s="23">
        <v>0</v>
      </c>
    </row>
    <row r="4714" spans="1:3" x14ac:dyDescent="0.25">
      <c r="A4714">
        <v>4713</v>
      </c>
      <c r="B4714" s="23">
        <v>1176.8</v>
      </c>
      <c r="C4714" s="23">
        <v>0</v>
      </c>
    </row>
    <row r="4715" spans="1:3" x14ac:dyDescent="0.25">
      <c r="A4715">
        <v>4714</v>
      </c>
      <c r="B4715" s="23">
        <v>1176.7038700000001</v>
      </c>
      <c r="C4715" s="23">
        <v>0</v>
      </c>
    </row>
    <row r="4716" spans="1:3" x14ac:dyDescent="0.25">
      <c r="A4716">
        <v>4715</v>
      </c>
      <c r="B4716" s="23">
        <v>1176.207024</v>
      </c>
      <c r="C4716" s="23">
        <v>0</v>
      </c>
    </row>
    <row r="4717" spans="1:3" x14ac:dyDescent="0.25">
      <c r="A4717">
        <v>4716</v>
      </c>
      <c r="B4717" s="23">
        <v>1176.039383</v>
      </c>
      <c r="C4717" s="23">
        <v>0</v>
      </c>
    </row>
    <row r="4718" spans="1:3" x14ac:dyDescent="0.25">
      <c r="A4718">
        <v>4717</v>
      </c>
      <c r="B4718" s="23">
        <v>1176</v>
      </c>
      <c r="C4718" s="23">
        <v>0</v>
      </c>
    </row>
    <row r="4719" spans="1:3" x14ac:dyDescent="0.25">
      <c r="A4719">
        <v>4718</v>
      </c>
      <c r="B4719" s="23">
        <v>1175.7929999999999</v>
      </c>
      <c r="C4719" s="23">
        <v>0</v>
      </c>
    </row>
    <row r="4720" spans="1:3" x14ac:dyDescent="0.25">
      <c r="A4720">
        <v>4719</v>
      </c>
      <c r="B4720" s="23">
        <v>1175.5440080000001</v>
      </c>
      <c r="C4720" s="23">
        <v>0</v>
      </c>
    </row>
    <row r="4721" spans="1:3" x14ac:dyDescent="0.25">
      <c r="A4721">
        <v>4720</v>
      </c>
      <c r="B4721" s="23">
        <v>1175.3720029999999</v>
      </c>
      <c r="C4721" s="23">
        <v>0</v>
      </c>
    </row>
    <row r="4722" spans="1:3" x14ac:dyDescent="0.25">
      <c r="A4722">
        <v>4721</v>
      </c>
      <c r="B4722" s="23">
        <v>1175.229</v>
      </c>
      <c r="C4722" s="23">
        <v>0</v>
      </c>
    </row>
    <row r="4723" spans="1:3" x14ac:dyDescent="0.25">
      <c r="A4723">
        <v>4722</v>
      </c>
      <c r="B4723" s="23">
        <v>1175.2</v>
      </c>
      <c r="C4723" s="23">
        <v>0</v>
      </c>
    </row>
    <row r="4724" spans="1:3" x14ac:dyDescent="0.25">
      <c r="A4724">
        <v>4723</v>
      </c>
      <c r="B4724" s="23">
        <v>1175.2</v>
      </c>
      <c r="C4724" s="23">
        <v>0</v>
      </c>
    </row>
    <row r="4725" spans="1:3" x14ac:dyDescent="0.25">
      <c r="A4725">
        <v>4724</v>
      </c>
      <c r="B4725" s="23">
        <v>1175.0536219999999</v>
      </c>
      <c r="C4725" s="23">
        <v>0</v>
      </c>
    </row>
    <row r="4726" spans="1:3" x14ac:dyDescent="0.25">
      <c r="A4726">
        <v>4725</v>
      </c>
      <c r="B4726" s="23">
        <v>1175.0134370000001</v>
      </c>
      <c r="C4726" s="23">
        <v>0</v>
      </c>
    </row>
    <row r="4727" spans="1:3" x14ac:dyDescent="0.25">
      <c r="A4727">
        <v>4726</v>
      </c>
      <c r="B4727" s="23">
        <v>1174.97333</v>
      </c>
      <c r="C4727" s="23">
        <v>0</v>
      </c>
    </row>
    <row r="4728" spans="1:3" x14ac:dyDescent="0.25">
      <c r="A4728">
        <v>4727</v>
      </c>
      <c r="B4728" s="23">
        <v>1174.7928890000001</v>
      </c>
      <c r="C4728" s="23">
        <v>0</v>
      </c>
    </row>
    <row r="4729" spans="1:3" x14ac:dyDescent="0.25">
      <c r="A4729">
        <v>4728</v>
      </c>
      <c r="B4729" s="23">
        <v>1174.6208529999999</v>
      </c>
      <c r="C4729" s="23">
        <v>0</v>
      </c>
    </row>
    <row r="4730" spans="1:3" x14ac:dyDescent="0.25">
      <c r="A4730">
        <v>4729</v>
      </c>
      <c r="B4730" s="23">
        <v>1174.613247</v>
      </c>
      <c r="C4730" s="23">
        <v>0</v>
      </c>
    </row>
    <row r="4731" spans="1:3" x14ac:dyDescent="0.25">
      <c r="A4731">
        <v>4730</v>
      </c>
      <c r="B4731" s="23">
        <v>1174.613247</v>
      </c>
      <c r="C4731" s="23">
        <v>0</v>
      </c>
    </row>
    <row r="4732" spans="1:3" x14ac:dyDescent="0.25">
      <c r="A4732">
        <v>4731</v>
      </c>
      <c r="B4732" s="23">
        <v>1174.5986339999999</v>
      </c>
      <c r="C4732" s="23">
        <v>0</v>
      </c>
    </row>
    <row r="4733" spans="1:3" x14ac:dyDescent="0.25">
      <c r="A4733">
        <v>4732</v>
      </c>
      <c r="B4733" s="23">
        <v>1174.144912</v>
      </c>
      <c r="C4733" s="23">
        <v>0</v>
      </c>
    </row>
    <row r="4734" spans="1:3" x14ac:dyDescent="0.25">
      <c r="A4734">
        <v>4733</v>
      </c>
      <c r="B4734" s="23">
        <v>1173.953591</v>
      </c>
      <c r="C4734" s="23">
        <v>0</v>
      </c>
    </row>
    <row r="4735" spans="1:3" x14ac:dyDescent="0.25">
      <c r="A4735">
        <v>4734</v>
      </c>
      <c r="B4735" s="23">
        <v>1173.817</v>
      </c>
      <c r="C4735" s="23">
        <v>0</v>
      </c>
    </row>
    <row r="4736" spans="1:3" x14ac:dyDescent="0.25">
      <c r="A4736">
        <v>4735</v>
      </c>
      <c r="B4736" s="23">
        <v>1173.8163589999999</v>
      </c>
      <c r="C4736" s="23">
        <v>0</v>
      </c>
    </row>
    <row r="4737" spans="1:3" x14ac:dyDescent="0.25">
      <c r="A4737">
        <v>4736</v>
      </c>
      <c r="B4737" s="23">
        <v>1173.776515</v>
      </c>
      <c r="C4737" s="23">
        <v>0</v>
      </c>
    </row>
    <row r="4738" spans="1:3" x14ac:dyDescent="0.25">
      <c r="A4738">
        <v>4737</v>
      </c>
      <c r="B4738" s="23">
        <v>1173.5999999999999</v>
      </c>
      <c r="C4738" s="23">
        <v>0</v>
      </c>
    </row>
    <row r="4739" spans="1:3" x14ac:dyDescent="0.25">
      <c r="A4739">
        <v>4738</v>
      </c>
      <c r="B4739" s="23">
        <v>1173.3200059999999</v>
      </c>
      <c r="C4739" s="23">
        <v>0</v>
      </c>
    </row>
    <row r="4740" spans="1:3" x14ac:dyDescent="0.25">
      <c r="A4740">
        <v>4739</v>
      </c>
      <c r="B4740" s="23">
        <v>1173.1220000000001</v>
      </c>
      <c r="C4740" s="23">
        <v>0</v>
      </c>
    </row>
    <row r="4741" spans="1:3" x14ac:dyDescent="0.25">
      <c r="A4741">
        <v>4740</v>
      </c>
      <c r="B4741" s="23">
        <v>1172.8320000000001</v>
      </c>
      <c r="C4741" s="23">
        <v>0</v>
      </c>
    </row>
    <row r="4742" spans="1:3" x14ac:dyDescent="0.25">
      <c r="A4742">
        <v>4741</v>
      </c>
      <c r="B4742" s="23">
        <v>1172.8</v>
      </c>
      <c r="C4742" s="23">
        <v>0</v>
      </c>
    </row>
    <row r="4743" spans="1:3" x14ac:dyDescent="0.25">
      <c r="A4743">
        <v>4742</v>
      </c>
      <c r="B4743" s="23">
        <v>1172.8</v>
      </c>
      <c r="C4743" s="23">
        <v>0</v>
      </c>
    </row>
    <row r="4744" spans="1:3" x14ac:dyDescent="0.25">
      <c r="A4744">
        <v>4743</v>
      </c>
      <c r="B4744" s="23">
        <v>1172.399715</v>
      </c>
      <c r="C4744" s="23">
        <v>0</v>
      </c>
    </row>
    <row r="4745" spans="1:3" x14ac:dyDescent="0.25">
      <c r="A4745">
        <v>4744</v>
      </c>
      <c r="B4745" s="23">
        <v>1172.2624269999999</v>
      </c>
      <c r="C4745" s="23">
        <v>0</v>
      </c>
    </row>
    <row r="4746" spans="1:3" x14ac:dyDescent="0.25">
      <c r="A4746">
        <v>4745</v>
      </c>
      <c r="B4746" s="23">
        <v>1172.039</v>
      </c>
      <c r="C4746" s="23">
        <v>0</v>
      </c>
    </row>
    <row r="4747" spans="1:3" x14ac:dyDescent="0.25">
      <c r="A4747">
        <v>4746</v>
      </c>
      <c r="B4747" s="23">
        <v>1172</v>
      </c>
      <c r="C4747" s="23">
        <v>0</v>
      </c>
    </row>
    <row r="4748" spans="1:3" x14ac:dyDescent="0.25">
      <c r="A4748">
        <v>4747</v>
      </c>
      <c r="B4748" s="23">
        <v>1172</v>
      </c>
      <c r="C4748" s="23">
        <v>0</v>
      </c>
    </row>
    <row r="4749" spans="1:3" x14ac:dyDescent="0.25">
      <c r="A4749">
        <v>4748</v>
      </c>
      <c r="B4749" s="23">
        <v>1171.973</v>
      </c>
      <c r="C4749" s="23">
        <v>0</v>
      </c>
    </row>
    <row r="4750" spans="1:3" x14ac:dyDescent="0.25">
      <c r="A4750">
        <v>4749</v>
      </c>
      <c r="B4750" s="23">
        <v>1171.9502339999999</v>
      </c>
      <c r="C4750" s="23">
        <v>0</v>
      </c>
    </row>
    <row r="4751" spans="1:3" x14ac:dyDescent="0.25">
      <c r="A4751">
        <v>4750</v>
      </c>
      <c r="B4751" s="23">
        <v>1171.847</v>
      </c>
      <c r="C4751" s="23">
        <v>0</v>
      </c>
    </row>
    <row r="4752" spans="1:3" x14ac:dyDescent="0.25">
      <c r="A4752">
        <v>4751</v>
      </c>
      <c r="B4752" s="23">
        <v>1171.691595</v>
      </c>
      <c r="C4752" s="23">
        <v>0</v>
      </c>
    </row>
    <row r="4753" spans="1:3" x14ac:dyDescent="0.25">
      <c r="A4753">
        <v>4752</v>
      </c>
      <c r="B4753" s="23">
        <v>1171.3489999999999</v>
      </c>
      <c r="C4753" s="23">
        <v>0</v>
      </c>
    </row>
    <row r="4754" spans="1:3" x14ac:dyDescent="0.25">
      <c r="A4754">
        <v>4753</v>
      </c>
      <c r="B4754" s="23">
        <v>1171.326</v>
      </c>
      <c r="C4754" s="23">
        <v>0</v>
      </c>
    </row>
    <row r="4755" spans="1:3" x14ac:dyDescent="0.25">
      <c r="A4755">
        <v>4754</v>
      </c>
      <c r="B4755" s="23">
        <v>1171.2</v>
      </c>
      <c r="C4755" s="23">
        <v>0</v>
      </c>
    </row>
    <row r="4756" spans="1:3" x14ac:dyDescent="0.25">
      <c r="A4756">
        <v>4755</v>
      </c>
      <c r="B4756" s="23">
        <v>1171.0899999999999</v>
      </c>
      <c r="C4756" s="23">
        <v>0</v>
      </c>
    </row>
    <row r="4757" spans="1:3" x14ac:dyDescent="0.25">
      <c r="A4757">
        <v>4756</v>
      </c>
      <c r="B4757" s="23">
        <v>1171.0840000000001</v>
      </c>
      <c r="C4757" s="23">
        <v>0</v>
      </c>
    </row>
    <row r="4758" spans="1:3" x14ac:dyDescent="0.25">
      <c r="A4758">
        <v>4757</v>
      </c>
      <c r="B4758" s="23">
        <v>1170.7092210000001</v>
      </c>
      <c r="C4758" s="23">
        <v>0</v>
      </c>
    </row>
    <row r="4759" spans="1:3" x14ac:dyDescent="0.25">
      <c r="A4759">
        <v>4758</v>
      </c>
      <c r="B4759" s="23">
        <v>1170.6288059999999</v>
      </c>
      <c r="C4759" s="23">
        <v>0</v>
      </c>
    </row>
    <row r="4760" spans="1:3" x14ac:dyDescent="0.25">
      <c r="A4760">
        <v>4759</v>
      </c>
      <c r="B4760" s="23">
        <v>1170.5984779999999</v>
      </c>
      <c r="C4760" s="23">
        <v>0</v>
      </c>
    </row>
    <row r="4761" spans="1:3" x14ac:dyDescent="0.25">
      <c r="A4761">
        <v>4760</v>
      </c>
      <c r="B4761" s="23">
        <v>1170.4000000000001</v>
      </c>
      <c r="C4761" s="23">
        <v>0</v>
      </c>
    </row>
    <row r="4762" spans="1:3" x14ac:dyDescent="0.25">
      <c r="A4762">
        <v>4761</v>
      </c>
      <c r="B4762" s="23">
        <v>1170.314574</v>
      </c>
      <c r="C4762" s="23">
        <v>0</v>
      </c>
    </row>
    <row r="4763" spans="1:3" x14ac:dyDescent="0.25">
      <c r="A4763">
        <v>4762</v>
      </c>
      <c r="B4763" s="23">
        <v>1170.2123300000001</v>
      </c>
      <c r="C4763" s="23">
        <v>0</v>
      </c>
    </row>
    <row r="4764" spans="1:3" x14ac:dyDescent="0.25">
      <c r="A4764">
        <v>4763</v>
      </c>
      <c r="B4764" s="23">
        <v>1170.2102010000001</v>
      </c>
      <c r="C4764" s="23">
        <v>0</v>
      </c>
    </row>
    <row r="4765" spans="1:3" x14ac:dyDescent="0.25">
      <c r="A4765">
        <v>4764</v>
      </c>
      <c r="B4765" s="23">
        <v>1169.848</v>
      </c>
      <c r="C4765" s="23">
        <v>0</v>
      </c>
    </row>
    <row r="4766" spans="1:3" x14ac:dyDescent="0.25">
      <c r="A4766">
        <v>4765</v>
      </c>
      <c r="B4766" s="23">
        <v>1169.5999999999999</v>
      </c>
      <c r="C4766" s="23">
        <v>0</v>
      </c>
    </row>
    <row r="4767" spans="1:3" x14ac:dyDescent="0.25">
      <c r="A4767">
        <v>4766</v>
      </c>
      <c r="B4767" s="23">
        <v>1169.5999999999999</v>
      </c>
      <c r="C4767" s="23">
        <v>0</v>
      </c>
    </row>
    <row r="4768" spans="1:3" x14ac:dyDescent="0.25">
      <c r="A4768">
        <v>4767</v>
      </c>
      <c r="B4768" s="23">
        <v>1169.5999999999999</v>
      </c>
      <c r="C4768" s="23">
        <v>0</v>
      </c>
    </row>
    <row r="4769" spans="1:3" x14ac:dyDescent="0.25">
      <c r="A4769">
        <v>4768</v>
      </c>
      <c r="B4769" s="23">
        <v>1169.5999999999999</v>
      </c>
      <c r="C4769" s="23">
        <v>0</v>
      </c>
    </row>
    <row r="4770" spans="1:3" x14ac:dyDescent="0.25">
      <c r="A4770">
        <v>4769</v>
      </c>
      <c r="B4770" s="23">
        <v>1169.1853599999999</v>
      </c>
      <c r="C4770" s="23">
        <v>0</v>
      </c>
    </row>
    <row r="4771" spans="1:3" x14ac:dyDescent="0.25">
      <c r="A4771">
        <v>4770</v>
      </c>
      <c r="B4771" s="23">
        <v>1169.049</v>
      </c>
      <c r="C4771" s="23">
        <v>0</v>
      </c>
    </row>
    <row r="4772" spans="1:3" x14ac:dyDescent="0.25">
      <c r="A4772">
        <v>4771</v>
      </c>
      <c r="B4772" s="23">
        <v>1168.8</v>
      </c>
      <c r="C4772" s="23">
        <v>0</v>
      </c>
    </row>
    <row r="4773" spans="1:3" x14ac:dyDescent="0.25">
      <c r="A4773">
        <v>4772</v>
      </c>
      <c r="B4773" s="23">
        <v>1168.8</v>
      </c>
      <c r="C4773" s="23">
        <v>0</v>
      </c>
    </row>
    <row r="4774" spans="1:3" x14ac:dyDescent="0.25">
      <c r="A4774">
        <v>4773</v>
      </c>
      <c r="B4774" s="23">
        <v>1168.8</v>
      </c>
      <c r="C4774" s="23">
        <v>0</v>
      </c>
    </row>
    <row r="4775" spans="1:3" x14ac:dyDescent="0.25">
      <c r="A4775">
        <v>4774</v>
      </c>
      <c r="B4775" s="23">
        <v>1168.674293</v>
      </c>
      <c r="C4775" s="23">
        <v>0</v>
      </c>
    </row>
    <row r="4776" spans="1:3" x14ac:dyDescent="0.25">
      <c r="A4776">
        <v>4775</v>
      </c>
      <c r="B4776" s="23">
        <v>1168.515024</v>
      </c>
      <c r="C4776" s="23">
        <v>0</v>
      </c>
    </row>
    <row r="4777" spans="1:3" x14ac:dyDescent="0.25">
      <c r="A4777">
        <v>4776</v>
      </c>
      <c r="B4777" s="23">
        <v>1168.4459999999999</v>
      </c>
      <c r="C4777" s="23">
        <v>0</v>
      </c>
    </row>
    <row r="4778" spans="1:3" x14ac:dyDescent="0.25">
      <c r="A4778">
        <v>4777</v>
      </c>
      <c r="B4778" s="23">
        <v>1168.196858</v>
      </c>
      <c r="C4778" s="23">
        <v>0</v>
      </c>
    </row>
    <row r="4779" spans="1:3" x14ac:dyDescent="0.25">
      <c r="A4779">
        <v>4778</v>
      </c>
      <c r="B4779" s="23">
        <v>1168.124</v>
      </c>
      <c r="C4779" s="23">
        <v>0</v>
      </c>
    </row>
    <row r="4780" spans="1:3" x14ac:dyDescent="0.25">
      <c r="A4780">
        <v>4779</v>
      </c>
      <c r="B4780" s="23">
        <v>1168.0450000000001</v>
      </c>
      <c r="C4780" s="23">
        <v>0</v>
      </c>
    </row>
    <row r="4781" spans="1:3" x14ac:dyDescent="0.25">
      <c r="A4781">
        <v>4780</v>
      </c>
      <c r="B4781" s="23">
        <v>1168</v>
      </c>
      <c r="C4781" s="23">
        <v>0</v>
      </c>
    </row>
    <row r="4782" spans="1:3" x14ac:dyDescent="0.25">
      <c r="A4782">
        <v>4781</v>
      </c>
      <c r="B4782" s="23">
        <v>1168</v>
      </c>
      <c r="C4782" s="23">
        <v>0</v>
      </c>
    </row>
    <row r="4783" spans="1:3" x14ac:dyDescent="0.25">
      <c r="A4783">
        <v>4782</v>
      </c>
      <c r="B4783" s="23">
        <v>1168</v>
      </c>
      <c r="C4783" s="23">
        <v>0</v>
      </c>
    </row>
    <row r="4784" spans="1:3" x14ac:dyDescent="0.25">
      <c r="A4784">
        <v>4783</v>
      </c>
      <c r="B4784" s="23">
        <v>1167.9464849999999</v>
      </c>
      <c r="C4784" s="23">
        <v>0</v>
      </c>
    </row>
    <row r="4785" spans="1:3" x14ac:dyDescent="0.25">
      <c r="A4785">
        <v>4784</v>
      </c>
      <c r="B4785" s="23">
        <v>1167.854</v>
      </c>
      <c r="C4785" s="23">
        <v>0</v>
      </c>
    </row>
    <row r="4786" spans="1:3" x14ac:dyDescent="0.25">
      <c r="A4786">
        <v>4785</v>
      </c>
      <c r="B4786" s="23">
        <v>1167.7750000000001</v>
      </c>
      <c r="C4786" s="23">
        <v>0</v>
      </c>
    </row>
    <row r="4787" spans="1:3" x14ac:dyDescent="0.25">
      <c r="A4787">
        <v>4786</v>
      </c>
      <c r="B4787" s="23">
        <v>1167.746588</v>
      </c>
      <c r="C4787" s="23">
        <v>0</v>
      </c>
    </row>
    <row r="4788" spans="1:3" x14ac:dyDescent="0.25">
      <c r="A4788">
        <v>4787</v>
      </c>
      <c r="B4788" s="23">
        <v>1167.432</v>
      </c>
      <c r="C4788" s="23">
        <v>0</v>
      </c>
    </row>
    <row r="4789" spans="1:3" x14ac:dyDescent="0.25">
      <c r="A4789">
        <v>4788</v>
      </c>
      <c r="B4789" s="23">
        <v>1167.329</v>
      </c>
      <c r="C4789" s="23">
        <v>0</v>
      </c>
    </row>
    <row r="4790" spans="1:3" x14ac:dyDescent="0.25">
      <c r="A4790">
        <v>4789</v>
      </c>
      <c r="B4790" s="23">
        <v>1167.2</v>
      </c>
      <c r="C4790" s="23">
        <v>0</v>
      </c>
    </row>
    <row r="4791" spans="1:3" x14ac:dyDescent="0.25">
      <c r="A4791">
        <v>4790</v>
      </c>
      <c r="B4791" s="23">
        <v>1167.2</v>
      </c>
      <c r="C4791" s="23">
        <v>0</v>
      </c>
    </row>
    <row r="4792" spans="1:3" x14ac:dyDescent="0.25">
      <c r="A4792">
        <v>4791</v>
      </c>
      <c r="B4792" s="23">
        <v>1167.2</v>
      </c>
      <c r="C4792" s="23">
        <v>0</v>
      </c>
    </row>
    <row r="4793" spans="1:3" x14ac:dyDescent="0.25">
      <c r="A4793">
        <v>4792</v>
      </c>
      <c r="B4793" s="23">
        <v>1167.2</v>
      </c>
      <c r="C4793" s="23">
        <v>0</v>
      </c>
    </row>
    <row r="4794" spans="1:3" x14ac:dyDescent="0.25">
      <c r="A4794">
        <v>4793</v>
      </c>
      <c r="B4794" s="23">
        <v>1166.93118</v>
      </c>
      <c r="C4794" s="23">
        <v>0</v>
      </c>
    </row>
    <row r="4795" spans="1:3" x14ac:dyDescent="0.25">
      <c r="A4795">
        <v>4794</v>
      </c>
      <c r="B4795" s="23">
        <v>1166.9010000000001</v>
      </c>
      <c r="C4795" s="23">
        <v>0</v>
      </c>
    </row>
    <row r="4796" spans="1:3" x14ac:dyDescent="0.25">
      <c r="A4796">
        <v>4795</v>
      </c>
      <c r="B4796" s="23">
        <v>1166.4259999999999</v>
      </c>
      <c r="C4796" s="23">
        <v>0</v>
      </c>
    </row>
    <row r="4797" spans="1:3" x14ac:dyDescent="0.25">
      <c r="A4797">
        <v>4796</v>
      </c>
      <c r="B4797" s="23">
        <v>1166.42</v>
      </c>
      <c r="C4797" s="23">
        <v>0</v>
      </c>
    </row>
    <row r="4798" spans="1:3" x14ac:dyDescent="0.25">
      <c r="A4798">
        <v>4797</v>
      </c>
      <c r="B4798" s="23">
        <v>1166.4000000000001</v>
      </c>
      <c r="C4798" s="23">
        <v>0</v>
      </c>
    </row>
    <row r="4799" spans="1:3" x14ac:dyDescent="0.25">
      <c r="A4799">
        <v>4798</v>
      </c>
      <c r="B4799" s="23">
        <v>1166.299</v>
      </c>
      <c r="C4799" s="23">
        <v>0</v>
      </c>
    </row>
    <row r="4800" spans="1:3" x14ac:dyDescent="0.25">
      <c r="A4800">
        <v>4799</v>
      </c>
      <c r="B4800" s="23">
        <v>1166.2254250000001</v>
      </c>
      <c r="C4800" s="23">
        <v>0</v>
      </c>
    </row>
    <row r="4801" spans="1:3" x14ac:dyDescent="0.25">
      <c r="A4801">
        <v>4800</v>
      </c>
      <c r="B4801" s="23">
        <v>1166.1959999999999</v>
      </c>
      <c r="C4801" s="23">
        <v>0</v>
      </c>
    </row>
    <row r="4802" spans="1:3" x14ac:dyDescent="0.25">
      <c r="A4802">
        <v>4801</v>
      </c>
      <c r="B4802" s="23">
        <v>1165.9822059999999</v>
      </c>
      <c r="C4802" s="23">
        <v>0</v>
      </c>
    </row>
    <row r="4803" spans="1:3" x14ac:dyDescent="0.25">
      <c r="A4803">
        <v>4802</v>
      </c>
      <c r="B4803" s="23">
        <v>1165.874433</v>
      </c>
      <c r="C4803" s="23">
        <v>0</v>
      </c>
    </row>
    <row r="4804" spans="1:3" x14ac:dyDescent="0.25">
      <c r="A4804">
        <v>4803</v>
      </c>
      <c r="B4804" s="23">
        <v>1165.874433</v>
      </c>
      <c r="C4804" s="23">
        <v>0</v>
      </c>
    </row>
    <row r="4805" spans="1:3" x14ac:dyDescent="0.25">
      <c r="A4805">
        <v>4804</v>
      </c>
      <c r="B4805" s="23">
        <v>1165.5999999999999</v>
      </c>
      <c r="C4805" s="23">
        <v>0</v>
      </c>
    </row>
    <row r="4806" spans="1:3" x14ac:dyDescent="0.25">
      <c r="A4806">
        <v>4805</v>
      </c>
      <c r="B4806" s="23">
        <v>1165.5999999999999</v>
      </c>
      <c r="C4806" s="23">
        <v>0</v>
      </c>
    </row>
    <row r="4807" spans="1:3" x14ac:dyDescent="0.25">
      <c r="A4807">
        <v>4806</v>
      </c>
      <c r="B4807" s="23">
        <v>1165.5999999999999</v>
      </c>
      <c r="C4807" s="23">
        <v>0</v>
      </c>
    </row>
    <row r="4808" spans="1:3" x14ac:dyDescent="0.25">
      <c r="A4808">
        <v>4807</v>
      </c>
      <c r="B4808" s="23">
        <v>1165.5999999999999</v>
      </c>
      <c r="C4808" s="23">
        <v>0</v>
      </c>
    </row>
    <row r="4809" spans="1:3" x14ac:dyDescent="0.25">
      <c r="A4809">
        <v>4808</v>
      </c>
      <c r="B4809" s="23">
        <v>1165.4075949999999</v>
      </c>
      <c r="C4809" s="23">
        <v>0</v>
      </c>
    </row>
    <row r="4810" spans="1:3" x14ac:dyDescent="0.25">
      <c r="A4810">
        <v>4809</v>
      </c>
      <c r="B4810" s="23">
        <v>1165.374</v>
      </c>
      <c r="C4810" s="23">
        <v>0</v>
      </c>
    </row>
    <row r="4811" spans="1:3" x14ac:dyDescent="0.25">
      <c r="A4811">
        <v>4810</v>
      </c>
      <c r="B4811" s="23">
        <v>1165.297624</v>
      </c>
      <c r="C4811" s="23">
        <v>0</v>
      </c>
    </row>
    <row r="4812" spans="1:3" x14ac:dyDescent="0.25">
      <c r="A4812">
        <v>4811</v>
      </c>
      <c r="B4812" s="23">
        <v>1165.210513</v>
      </c>
      <c r="C4812" s="23">
        <v>0</v>
      </c>
    </row>
    <row r="4813" spans="1:3" x14ac:dyDescent="0.25">
      <c r="A4813">
        <v>4812</v>
      </c>
      <c r="B4813" s="23">
        <v>1165.183749</v>
      </c>
      <c r="C4813" s="23">
        <v>0</v>
      </c>
    </row>
    <row r="4814" spans="1:3" x14ac:dyDescent="0.25">
      <c r="A4814">
        <v>4813</v>
      </c>
      <c r="B4814" s="23">
        <v>1165.1310000000001</v>
      </c>
      <c r="C4814" s="23">
        <v>0</v>
      </c>
    </row>
    <row r="4815" spans="1:3" x14ac:dyDescent="0.25">
      <c r="A4815">
        <v>4814</v>
      </c>
      <c r="B4815" s="23">
        <v>1165.06369</v>
      </c>
      <c r="C4815" s="23">
        <v>0</v>
      </c>
    </row>
    <row r="4816" spans="1:3" x14ac:dyDescent="0.25">
      <c r="A4816">
        <v>4815</v>
      </c>
      <c r="B4816" s="23">
        <v>1165.0505889999999</v>
      </c>
      <c r="C4816" s="23">
        <v>0</v>
      </c>
    </row>
    <row r="4817" spans="1:3" x14ac:dyDescent="0.25">
      <c r="A4817">
        <v>4816</v>
      </c>
      <c r="B4817" s="23">
        <v>1164.8</v>
      </c>
      <c r="C4817" s="23">
        <v>0</v>
      </c>
    </row>
    <row r="4818" spans="1:3" x14ac:dyDescent="0.25">
      <c r="A4818">
        <v>4817</v>
      </c>
      <c r="B4818" s="23">
        <v>1164.8</v>
      </c>
      <c r="C4818" s="23">
        <v>0</v>
      </c>
    </row>
    <row r="4819" spans="1:3" x14ac:dyDescent="0.25">
      <c r="A4819">
        <v>4818</v>
      </c>
      <c r="B4819" s="23">
        <v>1164.6709169999999</v>
      </c>
      <c r="C4819" s="23">
        <v>0</v>
      </c>
    </row>
    <row r="4820" spans="1:3" x14ac:dyDescent="0.25">
      <c r="A4820">
        <v>4819</v>
      </c>
      <c r="B4820" s="23">
        <v>1164.55609</v>
      </c>
      <c r="C4820" s="23">
        <v>0</v>
      </c>
    </row>
    <row r="4821" spans="1:3" x14ac:dyDescent="0.25">
      <c r="A4821">
        <v>4820</v>
      </c>
      <c r="B4821" s="23">
        <v>1164.4743550000001</v>
      </c>
      <c r="C4821" s="23">
        <v>0</v>
      </c>
    </row>
    <row r="4822" spans="1:3" x14ac:dyDescent="0.25">
      <c r="A4822">
        <v>4821</v>
      </c>
      <c r="B4822" s="23">
        <v>1164.4580000000001</v>
      </c>
      <c r="C4822" s="23">
        <v>0</v>
      </c>
    </row>
    <row r="4823" spans="1:3" x14ac:dyDescent="0.25">
      <c r="A4823">
        <v>4822</v>
      </c>
      <c r="B4823" s="23">
        <v>1164.387931</v>
      </c>
      <c r="C4823" s="23">
        <v>0</v>
      </c>
    </row>
    <row r="4824" spans="1:3" x14ac:dyDescent="0.25">
      <c r="A4824">
        <v>4823</v>
      </c>
      <c r="B4824" s="23">
        <v>1164.32817</v>
      </c>
      <c r="C4824" s="23">
        <v>0</v>
      </c>
    </row>
    <row r="4825" spans="1:3" x14ac:dyDescent="0.25">
      <c r="A4825">
        <v>4824</v>
      </c>
      <c r="B4825" s="23">
        <v>1164.32817</v>
      </c>
      <c r="C4825" s="23">
        <v>0</v>
      </c>
    </row>
    <row r="4826" spans="1:3" x14ac:dyDescent="0.25">
      <c r="A4826">
        <v>4825</v>
      </c>
      <c r="B4826" s="23">
        <v>1164.32817</v>
      </c>
      <c r="C4826" s="23">
        <v>0</v>
      </c>
    </row>
    <row r="4827" spans="1:3" x14ac:dyDescent="0.25">
      <c r="A4827">
        <v>4826</v>
      </c>
      <c r="B4827" s="23">
        <v>1163.901077</v>
      </c>
      <c r="C4827" s="23">
        <v>0</v>
      </c>
    </row>
    <row r="4828" spans="1:3" x14ac:dyDescent="0.25">
      <c r="A4828">
        <v>4827</v>
      </c>
      <c r="B4828" s="23">
        <v>1163.6389999999999</v>
      </c>
      <c r="C4828" s="23">
        <v>0</v>
      </c>
    </row>
    <row r="4829" spans="1:3" x14ac:dyDescent="0.25">
      <c r="A4829">
        <v>4828</v>
      </c>
      <c r="B4829" s="23">
        <v>1163.5669069999999</v>
      </c>
      <c r="C4829" s="23">
        <v>0</v>
      </c>
    </row>
    <row r="4830" spans="1:3" x14ac:dyDescent="0.25">
      <c r="A4830">
        <v>4829</v>
      </c>
      <c r="B4830" s="23">
        <v>1163.2</v>
      </c>
      <c r="C4830" s="23">
        <v>0</v>
      </c>
    </row>
    <row r="4831" spans="1:3" x14ac:dyDescent="0.25">
      <c r="A4831">
        <v>4830</v>
      </c>
      <c r="B4831" s="23">
        <v>1163.2</v>
      </c>
      <c r="C4831" s="23">
        <v>0</v>
      </c>
    </row>
    <row r="4832" spans="1:3" x14ac:dyDescent="0.25">
      <c r="A4832">
        <v>4831</v>
      </c>
      <c r="B4832" s="23">
        <v>1163.1116979999999</v>
      </c>
      <c r="C4832" s="23">
        <v>0</v>
      </c>
    </row>
    <row r="4833" spans="1:3" x14ac:dyDescent="0.25">
      <c r="A4833">
        <v>4832</v>
      </c>
      <c r="B4833" s="23">
        <v>1162.8571300000001</v>
      </c>
      <c r="C4833" s="23">
        <v>0</v>
      </c>
    </row>
    <row r="4834" spans="1:3" x14ac:dyDescent="0.25">
      <c r="A4834">
        <v>4833</v>
      </c>
      <c r="B4834" s="23">
        <v>1162.8571300000001</v>
      </c>
      <c r="C4834" s="23">
        <v>0</v>
      </c>
    </row>
    <row r="4835" spans="1:3" x14ac:dyDescent="0.25">
      <c r="A4835">
        <v>4834</v>
      </c>
      <c r="B4835" s="23">
        <v>1162.794611</v>
      </c>
      <c r="C4835" s="23">
        <v>0</v>
      </c>
    </row>
    <row r="4836" spans="1:3" x14ac:dyDescent="0.25">
      <c r="A4836">
        <v>4835</v>
      </c>
      <c r="B4836" s="23">
        <v>1162.7326849999999</v>
      </c>
      <c r="C4836" s="23">
        <v>0</v>
      </c>
    </row>
    <row r="4837" spans="1:3" x14ac:dyDescent="0.25">
      <c r="A4837">
        <v>4836</v>
      </c>
      <c r="B4837" s="23">
        <v>1162.659924</v>
      </c>
      <c r="C4837" s="23">
        <v>0</v>
      </c>
    </row>
    <row r="4838" spans="1:3" x14ac:dyDescent="0.25">
      <c r="A4838">
        <v>4837</v>
      </c>
      <c r="B4838" s="23">
        <v>1162.556</v>
      </c>
      <c r="C4838" s="23">
        <v>0</v>
      </c>
    </row>
    <row r="4839" spans="1:3" x14ac:dyDescent="0.25">
      <c r="A4839">
        <v>4838</v>
      </c>
      <c r="B4839" s="23">
        <v>1162.552244</v>
      </c>
      <c r="C4839" s="23">
        <v>0</v>
      </c>
    </row>
    <row r="4840" spans="1:3" x14ac:dyDescent="0.25">
      <c r="A4840">
        <v>4839</v>
      </c>
      <c r="B4840" s="23">
        <v>1162.4000000000001</v>
      </c>
      <c r="C4840" s="23">
        <v>0</v>
      </c>
    </row>
    <row r="4841" spans="1:3" x14ac:dyDescent="0.25">
      <c r="A4841">
        <v>4840</v>
      </c>
      <c r="B4841" s="23">
        <v>1162.4000000000001</v>
      </c>
      <c r="C4841" s="23">
        <v>0</v>
      </c>
    </row>
    <row r="4842" spans="1:3" x14ac:dyDescent="0.25">
      <c r="A4842">
        <v>4841</v>
      </c>
      <c r="B4842" s="23">
        <v>1162.384</v>
      </c>
      <c r="C4842" s="23">
        <v>0</v>
      </c>
    </row>
    <row r="4843" spans="1:3" x14ac:dyDescent="0.25">
      <c r="A4843">
        <v>4842</v>
      </c>
      <c r="B4843" s="23">
        <v>1162.3773000000001</v>
      </c>
      <c r="C4843" s="23">
        <v>0</v>
      </c>
    </row>
    <row r="4844" spans="1:3" x14ac:dyDescent="0.25">
      <c r="A4844">
        <v>4843</v>
      </c>
      <c r="B4844" s="23">
        <v>1162.2995189999999</v>
      </c>
      <c r="C4844" s="23">
        <v>0</v>
      </c>
    </row>
    <row r="4845" spans="1:3" x14ac:dyDescent="0.25">
      <c r="A4845">
        <v>4844</v>
      </c>
      <c r="B4845" s="23">
        <v>1162.2995189999999</v>
      </c>
      <c r="C4845" s="23">
        <v>0</v>
      </c>
    </row>
    <row r="4846" spans="1:3" x14ac:dyDescent="0.25">
      <c r="A4846">
        <v>4845</v>
      </c>
      <c r="B4846" s="23">
        <v>1162.25</v>
      </c>
      <c r="C4846" s="23">
        <v>0</v>
      </c>
    </row>
    <row r="4847" spans="1:3" x14ac:dyDescent="0.25">
      <c r="A4847">
        <v>4846</v>
      </c>
      <c r="B4847" s="23">
        <v>1162.174</v>
      </c>
      <c r="C4847" s="23">
        <v>0</v>
      </c>
    </row>
    <row r="4848" spans="1:3" x14ac:dyDescent="0.25">
      <c r="A4848">
        <v>4847</v>
      </c>
      <c r="B4848" s="23">
        <v>1162.1216099999999</v>
      </c>
      <c r="C4848" s="23">
        <v>0</v>
      </c>
    </row>
    <row r="4849" spans="1:3" x14ac:dyDescent="0.25">
      <c r="A4849">
        <v>4848</v>
      </c>
      <c r="B4849" s="23">
        <v>1162.0940000000001</v>
      </c>
      <c r="C4849" s="23">
        <v>0</v>
      </c>
    </row>
    <row r="4850" spans="1:3" x14ac:dyDescent="0.25">
      <c r="A4850">
        <v>4849</v>
      </c>
      <c r="B4850" s="23">
        <v>1161.9639999999999</v>
      </c>
      <c r="C4850" s="23">
        <v>0</v>
      </c>
    </row>
    <row r="4851" spans="1:3" x14ac:dyDescent="0.25">
      <c r="A4851">
        <v>4850</v>
      </c>
      <c r="B4851" s="23">
        <v>1161.7339999999999</v>
      </c>
      <c r="C4851" s="23">
        <v>0</v>
      </c>
    </row>
    <row r="4852" spans="1:3" x14ac:dyDescent="0.25">
      <c r="A4852">
        <v>4851</v>
      </c>
      <c r="B4852" s="23">
        <v>1161.5999999999999</v>
      </c>
      <c r="C4852" s="23">
        <v>0</v>
      </c>
    </row>
    <row r="4853" spans="1:3" x14ac:dyDescent="0.25">
      <c r="A4853">
        <v>4852</v>
      </c>
      <c r="B4853" s="23">
        <v>1161.3383670000001</v>
      </c>
      <c r="C4853" s="23">
        <v>0</v>
      </c>
    </row>
    <row r="4854" spans="1:3" x14ac:dyDescent="0.25">
      <c r="A4854">
        <v>4853</v>
      </c>
      <c r="B4854" s="23">
        <v>1161.248</v>
      </c>
      <c r="C4854" s="23">
        <v>0</v>
      </c>
    </row>
    <row r="4855" spans="1:3" x14ac:dyDescent="0.25">
      <c r="A4855">
        <v>4854</v>
      </c>
      <c r="B4855" s="23">
        <v>1161.104</v>
      </c>
      <c r="C4855" s="23">
        <v>0</v>
      </c>
    </row>
    <row r="4856" spans="1:3" x14ac:dyDescent="0.25">
      <c r="A4856">
        <v>4855</v>
      </c>
      <c r="B4856" s="23">
        <v>1161.0930000000001</v>
      </c>
      <c r="C4856" s="23">
        <v>0</v>
      </c>
    </row>
    <row r="4857" spans="1:3" x14ac:dyDescent="0.25">
      <c r="A4857">
        <v>4856</v>
      </c>
      <c r="B4857" s="23">
        <v>1161.0830000000001</v>
      </c>
      <c r="C4857" s="23">
        <v>0</v>
      </c>
    </row>
    <row r="4858" spans="1:3" x14ac:dyDescent="0.25">
      <c r="A4858">
        <v>4857</v>
      </c>
      <c r="B4858" s="23">
        <v>1161.066147</v>
      </c>
      <c r="C4858" s="23">
        <v>0</v>
      </c>
    </row>
    <row r="4859" spans="1:3" x14ac:dyDescent="0.25">
      <c r="A4859">
        <v>4858</v>
      </c>
      <c r="B4859" s="23">
        <v>1161.038</v>
      </c>
      <c r="C4859" s="23">
        <v>0</v>
      </c>
    </row>
    <row r="4860" spans="1:3" x14ac:dyDescent="0.25">
      <c r="A4860">
        <v>4859</v>
      </c>
      <c r="B4860" s="23">
        <v>1160.8</v>
      </c>
      <c r="C4860" s="23">
        <v>0</v>
      </c>
    </row>
    <row r="4861" spans="1:3" x14ac:dyDescent="0.25">
      <c r="A4861">
        <v>4860</v>
      </c>
      <c r="B4861" s="23">
        <v>1160.598972</v>
      </c>
      <c r="C4861" s="23">
        <v>0</v>
      </c>
    </row>
    <row r="4862" spans="1:3" x14ac:dyDescent="0.25">
      <c r="A4862">
        <v>4861</v>
      </c>
      <c r="B4862" s="23">
        <v>1160.505727</v>
      </c>
      <c r="C4862" s="23">
        <v>0</v>
      </c>
    </row>
    <row r="4863" spans="1:3" x14ac:dyDescent="0.25">
      <c r="A4863">
        <v>4862</v>
      </c>
      <c r="B4863" s="23">
        <v>1160.348962</v>
      </c>
      <c r="C4863" s="23">
        <v>0</v>
      </c>
    </row>
    <row r="4864" spans="1:3" x14ac:dyDescent="0.25">
      <c r="A4864">
        <v>4863</v>
      </c>
      <c r="B4864" s="23">
        <v>1160.2692589999999</v>
      </c>
      <c r="C4864" s="23">
        <v>0</v>
      </c>
    </row>
    <row r="4865" spans="1:3" x14ac:dyDescent="0.25">
      <c r="A4865">
        <v>4864</v>
      </c>
      <c r="B4865" s="23">
        <v>1159.9559999999999</v>
      </c>
      <c r="C4865" s="23">
        <v>0</v>
      </c>
    </row>
    <row r="4866" spans="1:3" x14ac:dyDescent="0.25">
      <c r="A4866">
        <v>4865</v>
      </c>
      <c r="B4866" s="23">
        <v>1159.838</v>
      </c>
      <c r="C4866" s="23">
        <v>0</v>
      </c>
    </row>
    <row r="4867" spans="1:3" x14ac:dyDescent="0.25">
      <c r="A4867">
        <v>4866</v>
      </c>
      <c r="B4867" s="23">
        <v>1159.81</v>
      </c>
      <c r="C4867" s="23">
        <v>0</v>
      </c>
    </row>
    <row r="4868" spans="1:3" x14ac:dyDescent="0.25">
      <c r="A4868">
        <v>4867</v>
      </c>
      <c r="B4868" s="23">
        <v>1159.539998</v>
      </c>
      <c r="C4868" s="23">
        <v>0</v>
      </c>
    </row>
    <row r="4869" spans="1:3" x14ac:dyDescent="0.25">
      <c r="A4869">
        <v>4868</v>
      </c>
      <c r="B4869" s="23">
        <v>1159.2</v>
      </c>
      <c r="C4869" s="23">
        <v>0</v>
      </c>
    </row>
    <row r="4870" spans="1:3" x14ac:dyDescent="0.25">
      <c r="A4870">
        <v>4869</v>
      </c>
      <c r="B4870" s="23">
        <v>1159.2</v>
      </c>
      <c r="C4870" s="23">
        <v>0</v>
      </c>
    </row>
    <row r="4871" spans="1:3" x14ac:dyDescent="0.25">
      <c r="A4871">
        <v>4870</v>
      </c>
      <c r="B4871" s="23">
        <v>1158.633</v>
      </c>
      <c r="C4871" s="23">
        <v>0</v>
      </c>
    </row>
    <row r="4872" spans="1:3" x14ac:dyDescent="0.25">
      <c r="A4872">
        <v>4871</v>
      </c>
      <c r="B4872" s="23">
        <v>1158.511</v>
      </c>
      <c r="C4872" s="23">
        <v>0</v>
      </c>
    </row>
    <row r="4873" spans="1:3" x14ac:dyDescent="0.25">
      <c r="A4873">
        <v>4872</v>
      </c>
      <c r="B4873" s="23">
        <v>1158.4440099999999</v>
      </c>
      <c r="C4873" s="23">
        <v>0</v>
      </c>
    </row>
    <row r="4874" spans="1:3" x14ac:dyDescent="0.25">
      <c r="A4874">
        <v>4873</v>
      </c>
      <c r="B4874" s="23">
        <v>1158.4000000000001</v>
      </c>
      <c r="C4874" s="23">
        <v>0</v>
      </c>
    </row>
    <row r="4875" spans="1:3" x14ac:dyDescent="0.25">
      <c r="A4875">
        <v>4874</v>
      </c>
      <c r="B4875" s="23">
        <v>1158.4000000000001</v>
      </c>
      <c r="C4875" s="23">
        <v>0</v>
      </c>
    </row>
    <row r="4876" spans="1:3" x14ac:dyDescent="0.25">
      <c r="A4876">
        <v>4875</v>
      </c>
      <c r="B4876" s="23">
        <v>1158.3900000000001</v>
      </c>
      <c r="C4876" s="23">
        <v>0</v>
      </c>
    </row>
    <row r="4877" spans="1:3" x14ac:dyDescent="0.25">
      <c r="A4877">
        <v>4876</v>
      </c>
      <c r="B4877" s="23">
        <v>1158.27691</v>
      </c>
      <c r="C4877" s="23">
        <v>0</v>
      </c>
    </row>
    <row r="4878" spans="1:3" x14ac:dyDescent="0.25">
      <c r="A4878">
        <v>4877</v>
      </c>
      <c r="B4878" s="23">
        <v>1158.27691</v>
      </c>
      <c r="C4878" s="23">
        <v>0</v>
      </c>
    </row>
    <row r="4879" spans="1:3" x14ac:dyDescent="0.25">
      <c r="A4879">
        <v>4878</v>
      </c>
      <c r="B4879" s="23">
        <v>1157.63789</v>
      </c>
      <c r="C4879" s="23">
        <v>0</v>
      </c>
    </row>
    <row r="4880" spans="1:3" x14ac:dyDescent="0.25">
      <c r="A4880">
        <v>4879</v>
      </c>
      <c r="B4880" s="23">
        <v>1157.5999999999999</v>
      </c>
      <c r="C4880" s="23">
        <v>0</v>
      </c>
    </row>
    <row r="4881" spans="1:3" x14ac:dyDescent="0.25">
      <c r="A4881">
        <v>4880</v>
      </c>
      <c r="B4881" s="23">
        <v>1157.229296</v>
      </c>
      <c r="C4881" s="23">
        <v>0</v>
      </c>
    </row>
    <row r="4882" spans="1:3" x14ac:dyDescent="0.25">
      <c r="A4882">
        <v>4881</v>
      </c>
      <c r="B4882" s="23">
        <v>1157.200981</v>
      </c>
      <c r="C4882" s="23">
        <v>0</v>
      </c>
    </row>
    <row r="4883" spans="1:3" x14ac:dyDescent="0.25">
      <c r="A4883">
        <v>4882</v>
      </c>
      <c r="B4883" s="23">
        <v>1157.0817059999999</v>
      </c>
      <c r="C4883" s="23">
        <v>0</v>
      </c>
    </row>
    <row r="4884" spans="1:3" x14ac:dyDescent="0.25">
      <c r="A4884">
        <v>4883</v>
      </c>
      <c r="B4884" s="23">
        <v>1156.9559770000001</v>
      </c>
      <c r="C4884" s="23">
        <v>0</v>
      </c>
    </row>
    <row r="4885" spans="1:3" x14ac:dyDescent="0.25">
      <c r="A4885">
        <v>4884</v>
      </c>
      <c r="B4885" s="23">
        <v>1156.895542</v>
      </c>
      <c r="C4885" s="23">
        <v>0</v>
      </c>
    </row>
    <row r="4886" spans="1:3" x14ac:dyDescent="0.25">
      <c r="A4886">
        <v>4885</v>
      </c>
      <c r="B4886" s="23">
        <v>1156.895542</v>
      </c>
      <c r="C4886" s="23">
        <v>0</v>
      </c>
    </row>
    <row r="4887" spans="1:3" x14ac:dyDescent="0.25">
      <c r="A4887">
        <v>4886</v>
      </c>
      <c r="B4887" s="23">
        <v>1156.838</v>
      </c>
      <c r="C4887" s="23">
        <v>0</v>
      </c>
    </row>
    <row r="4888" spans="1:3" x14ac:dyDescent="0.25">
      <c r="A4888">
        <v>4887</v>
      </c>
      <c r="B4888" s="23">
        <v>1156.8</v>
      </c>
      <c r="C4888" s="23">
        <v>0</v>
      </c>
    </row>
    <row r="4889" spans="1:3" x14ac:dyDescent="0.25">
      <c r="A4889">
        <v>4888</v>
      </c>
      <c r="B4889" s="23">
        <v>1156.5170000000001</v>
      </c>
      <c r="C4889" s="23">
        <v>0</v>
      </c>
    </row>
    <row r="4890" spans="1:3" x14ac:dyDescent="0.25">
      <c r="A4890">
        <v>4889</v>
      </c>
      <c r="B4890" s="23">
        <v>1156.3257120000001</v>
      </c>
      <c r="C4890" s="23">
        <v>0</v>
      </c>
    </row>
    <row r="4891" spans="1:3" x14ac:dyDescent="0.25">
      <c r="A4891">
        <v>4890</v>
      </c>
      <c r="B4891" s="23">
        <v>1156</v>
      </c>
      <c r="C4891" s="23">
        <v>0</v>
      </c>
    </row>
    <row r="4892" spans="1:3" x14ac:dyDescent="0.25">
      <c r="A4892">
        <v>4891</v>
      </c>
      <c r="B4892" s="23">
        <v>1156</v>
      </c>
      <c r="C4892" s="23">
        <v>0</v>
      </c>
    </row>
    <row r="4893" spans="1:3" x14ac:dyDescent="0.25">
      <c r="A4893">
        <v>4892</v>
      </c>
      <c r="B4893" s="23">
        <v>1155.7249999999999</v>
      </c>
      <c r="C4893" s="23">
        <v>0</v>
      </c>
    </row>
    <row r="4894" spans="1:3" x14ac:dyDescent="0.25">
      <c r="A4894">
        <v>4893</v>
      </c>
      <c r="B4894" s="23">
        <v>1155.714473</v>
      </c>
      <c r="C4894" s="23">
        <v>0</v>
      </c>
    </row>
    <row r="4895" spans="1:3" x14ac:dyDescent="0.25">
      <c r="A4895">
        <v>4894</v>
      </c>
      <c r="B4895" s="23">
        <v>1155.5019299999999</v>
      </c>
      <c r="C4895" s="23">
        <v>0</v>
      </c>
    </row>
    <row r="4896" spans="1:3" x14ac:dyDescent="0.25">
      <c r="A4896">
        <v>4895</v>
      </c>
      <c r="B4896" s="23">
        <v>1155.338</v>
      </c>
      <c r="C4896" s="23">
        <v>0</v>
      </c>
    </row>
    <row r="4897" spans="1:3" x14ac:dyDescent="0.25">
      <c r="A4897">
        <v>4896</v>
      </c>
      <c r="B4897" s="23">
        <v>1155.298669</v>
      </c>
      <c r="C4897" s="23">
        <v>0</v>
      </c>
    </row>
    <row r="4898" spans="1:3" x14ac:dyDescent="0.25">
      <c r="A4898">
        <v>4897</v>
      </c>
      <c r="B4898" s="23">
        <v>1155.2</v>
      </c>
      <c r="C4898" s="23">
        <v>0</v>
      </c>
    </row>
    <row r="4899" spans="1:3" x14ac:dyDescent="0.25">
      <c r="A4899">
        <v>4898</v>
      </c>
      <c r="B4899" s="23">
        <v>1155.2</v>
      </c>
      <c r="C4899" s="23">
        <v>0</v>
      </c>
    </row>
    <row r="4900" spans="1:3" x14ac:dyDescent="0.25">
      <c r="A4900">
        <v>4899</v>
      </c>
      <c r="B4900" s="23">
        <v>1154.806</v>
      </c>
      <c r="C4900" s="23">
        <v>0</v>
      </c>
    </row>
    <row r="4901" spans="1:3" x14ac:dyDescent="0.25">
      <c r="A4901">
        <v>4900</v>
      </c>
      <c r="B4901" s="23">
        <v>1154.7758060000001</v>
      </c>
      <c r="C4901" s="23">
        <v>0</v>
      </c>
    </row>
    <row r="4902" spans="1:3" x14ac:dyDescent="0.25">
      <c r="A4902">
        <v>4901</v>
      </c>
      <c r="B4902" s="23">
        <v>1154.6910419999999</v>
      </c>
      <c r="C4902" s="23">
        <v>0</v>
      </c>
    </row>
    <row r="4903" spans="1:3" x14ac:dyDescent="0.25">
      <c r="A4903">
        <v>4902</v>
      </c>
      <c r="B4903" s="23">
        <v>1154.132807</v>
      </c>
      <c r="C4903" s="23">
        <v>0</v>
      </c>
    </row>
    <row r="4904" spans="1:3" x14ac:dyDescent="0.25">
      <c r="A4904">
        <v>4903</v>
      </c>
      <c r="B4904" s="23">
        <v>1154.132807</v>
      </c>
      <c r="C4904" s="23">
        <v>0</v>
      </c>
    </row>
    <row r="4905" spans="1:3" x14ac:dyDescent="0.25">
      <c r="A4905">
        <v>4904</v>
      </c>
      <c r="B4905" s="23">
        <v>1154.0047219999999</v>
      </c>
      <c r="C4905" s="23">
        <v>0</v>
      </c>
    </row>
    <row r="4906" spans="1:3" x14ac:dyDescent="0.25">
      <c r="A4906">
        <v>4905</v>
      </c>
      <c r="B4906" s="23">
        <v>1153.9649139999999</v>
      </c>
      <c r="C4906" s="23">
        <v>0</v>
      </c>
    </row>
    <row r="4907" spans="1:3" x14ac:dyDescent="0.25">
      <c r="A4907">
        <v>4906</v>
      </c>
      <c r="B4907" s="23">
        <v>1153.5999999999999</v>
      </c>
      <c r="C4907" s="23">
        <v>0</v>
      </c>
    </row>
    <row r="4908" spans="1:3" x14ac:dyDescent="0.25">
      <c r="A4908">
        <v>4907</v>
      </c>
      <c r="B4908" s="23">
        <v>1153.519</v>
      </c>
      <c r="C4908" s="23">
        <v>0</v>
      </c>
    </row>
    <row r="4909" spans="1:3" x14ac:dyDescent="0.25">
      <c r="A4909">
        <v>4908</v>
      </c>
      <c r="B4909" s="23">
        <v>1153.4100000000001</v>
      </c>
      <c r="C4909" s="23">
        <v>0</v>
      </c>
    </row>
    <row r="4910" spans="1:3" x14ac:dyDescent="0.25">
      <c r="A4910">
        <v>4909</v>
      </c>
      <c r="B4910" s="23">
        <v>1153.367</v>
      </c>
      <c r="C4910" s="23">
        <v>0</v>
      </c>
    </row>
    <row r="4911" spans="1:3" x14ac:dyDescent="0.25">
      <c r="A4911">
        <v>4910</v>
      </c>
      <c r="B4911" s="23">
        <v>1153.1951550000001</v>
      </c>
      <c r="C4911" s="23">
        <v>0</v>
      </c>
    </row>
    <row r="4912" spans="1:3" x14ac:dyDescent="0.25">
      <c r="A4912">
        <v>4911</v>
      </c>
      <c r="B4912" s="23">
        <v>1152.9762599999999</v>
      </c>
      <c r="C4912" s="23">
        <v>0</v>
      </c>
    </row>
    <row r="4913" spans="1:3" x14ac:dyDescent="0.25">
      <c r="A4913">
        <v>4912</v>
      </c>
      <c r="B4913" s="23">
        <v>1152.8</v>
      </c>
      <c r="C4913" s="23">
        <v>0</v>
      </c>
    </row>
    <row r="4914" spans="1:3" x14ac:dyDescent="0.25">
      <c r="A4914">
        <v>4913</v>
      </c>
      <c r="B4914" s="23">
        <v>1152.8</v>
      </c>
      <c r="C4914" s="23">
        <v>0</v>
      </c>
    </row>
    <row r="4915" spans="1:3" x14ac:dyDescent="0.25">
      <c r="A4915">
        <v>4914</v>
      </c>
      <c r="B4915" s="23">
        <v>1152.8</v>
      </c>
      <c r="C4915" s="23">
        <v>0</v>
      </c>
    </row>
    <row r="4916" spans="1:3" x14ac:dyDescent="0.25">
      <c r="A4916">
        <v>4915</v>
      </c>
      <c r="B4916" s="23">
        <v>1152.652</v>
      </c>
      <c r="C4916" s="23">
        <v>0</v>
      </c>
    </row>
    <row r="4917" spans="1:3" x14ac:dyDescent="0.25">
      <c r="A4917">
        <v>4916</v>
      </c>
      <c r="B4917" s="23">
        <v>1152</v>
      </c>
      <c r="C4917" s="23">
        <v>0</v>
      </c>
    </row>
    <row r="4918" spans="1:3" x14ac:dyDescent="0.25">
      <c r="A4918">
        <v>4917</v>
      </c>
      <c r="B4918" s="23">
        <v>1152</v>
      </c>
      <c r="C4918" s="23">
        <v>0</v>
      </c>
    </row>
    <row r="4919" spans="1:3" x14ac:dyDescent="0.25">
      <c r="A4919">
        <v>4918</v>
      </c>
      <c r="B4919" s="23">
        <v>1151.9371060000001</v>
      </c>
      <c r="C4919" s="23">
        <v>0</v>
      </c>
    </row>
    <row r="4920" spans="1:3" x14ac:dyDescent="0.25">
      <c r="A4920">
        <v>4919</v>
      </c>
      <c r="B4920" s="23">
        <v>1151.8243299999999</v>
      </c>
      <c r="C4920" s="23">
        <v>0</v>
      </c>
    </row>
    <row r="4921" spans="1:3" x14ac:dyDescent="0.25">
      <c r="A4921">
        <v>4920</v>
      </c>
      <c r="B4921" s="23">
        <v>1151.8243299999999</v>
      </c>
      <c r="C4921" s="23">
        <v>0</v>
      </c>
    </row>
    <row r="4922" spans="1:3" x14ac:dyDescent="0.25">
      <c r="A4922">
        <v>4921</v>
      </c>
      <c r="B4922" s="23">
        <v>1151.4369999999999</v>
      </c>
      <c r="C4922" s="23">
        <v>0</v>
      </c>
    </row>
    <row r="4923" spans="1:3" x14ac:dyDescent="0.25">
      <c r="A4923">
        <v>4922</v>
      </c>
      <c r="B4923" s="23">
        <v>1151.05</v>
      </c>
      <c r="C4923" s="23">
        <v>0</v>
      </c>
    </row>
    <row r="4924" spans="1:3" x14ac:dyDescent="0.25">
      <c r="A4924">
        <v>4923</v>
      </c>
      <c r="B4924" s="23">
        <v>1150.9359999999999</v>
      </c>
      <c r="C4924" s="23">
        <v>0</v>
      </c>
    </row>
    <row r="4925" spans="1:3" x14ac:dyDescent="0.25">
      <c r="A4925">
        <v>4924</v>
      </c>
      <c r="B4925" s="23">
        <v>1150.871832</v>
      </c>
      <c r="C4925" s="23">
        <v>0</v>
      </c>
    </row>
    <row r="4926" spans="1:3" x14ac:dyDescent="0.25">
      <c r="A4926">
        <v>4925</v>
      </c>
      <c r="B4926" s="23">
        <v>1150.645446</v>
      </c>
      <c r="C4926" s="23">
        <v>0</v>
      </c>
    </row>
    <row r="4927" spans="1:3" x14ac:dyDescent="0.25">
      <c r="A4927">
        <v>4926</v>
      </c>
      <c r="B4927" s="23">
        <v>1150.501313</v>
      </c>
      <c r="C4927" s="23">
        <v>0</v>
      </c>
    </row>
    <row r="4928" spans="1:3" x14ac:dyDescent="0.25">
      <c r="A4928">
        <v>4927</v>
      </c>
      <c r="B4928" s="23">
        <v>1150.450746</v>
      </c>
      <c r="C4928" s="23">
        <v>0</v>
      </c>
    </row>
    <row r="4929" spans="1:3" x14ac:dyDescent="0.25">
      <c r="A4929">
        <v>4928</v>
      </c>
      <c r="B4929" s="23">
        <v>1150.4000000000001</v>
      </c>
      <c r="C4929" s="23">
        <v>0</v>
      </c>
    </row>
    <row r="4930" spans="1:3" x14ac:dyDescent="0.25">
      <c r="A4930">
        <v>4929</v>
      </c>
      <c r="B4930" s="23">
        <v>1150.4000000000001</v>
      </c>
      <c r="C4930" s="23">
        <v>0</v>
      </c>
    </row>
    <row r="4931" spans="1:3" x14ac:dyDescent="0.25">
      <c r="A4931">
        <v>4930</v>
      </c>
      <c r="B4931" s="23">
        <v>1150.4000000000001</v>
      </c>
      <c r="C4931" s="23">
        <v>0</v>
      </c>
    </row>
    <row r="4932" spans="1:3" x14ac:dyDescent="0.25">
      <c r="A4932">
        <v>4931</v>
      </c>
      <c r="B4932" s="23">
        <v>1150.340089</v>
      </c>
      <c r="C4932" s="23">
        <v>0</v>
      </c>
    </row>
    <row r="4933" spans="1:3" x14ac:dyDescent="0.25">
      <c r="A4933">
        <v>4932</v>
      </c>
      <c r="B4933" s="23">
        <v>1150.151877</v>
      </c>
      <c r="C4933" s="23">
        <v>0</v>
      </c>
    </row>
    <row r="4934" spans="1:3" x14ac:dyDescent="0.25">
      <c r="A4934">
        <v>4933</v>
      </c>
      <c r="B4934" s="23">
        <v>1149.784987</v>
      </c>
      <c r="C4934" s="23">
        <v>0</v>
      </c>
    </row>
    <row r="4935" spans="1:3" x14ac:dyDescent="0.25">
      <c r="A4935">
        <v>4934</v>
      </c>
      <c r="B4935" s="23">
        <v>1149.6177700000001</v>
      </c>
      <c r="C4935" s="23">
        <v>0</v>
      </c>
    </row>
    <row r="4936" spans="1:3" x14ac:dyDescent="0.25">
      <c r="A4936">
        <v>4935</v>
      </c>
      <c r="B4936" s="23">
        <v>1149.5999999999999</v>
      </c>
      <c r="C4936" s="23">
        <v>0</v>
      </c>
    </row>
    <row r="4937" spans="1:3" x14ac:dyDescent="0.25">
      <c r="A4937">
        <v>4936</v>
      </c>
      <c r="B4937" s="23">
        <v>1149.5999999999999</v>
      </c>
      <c r="C4937" s="23">
        <v>0</v>
      </c>
    </row>
    <row r="4938" spans="1:3" x14ac:dyDescent="0.25">
      <c r="A4938">
        <v>4937</v>
      </c>
      <c r="B4938" s="23">
        <v>1149.5999999999999</v>
      </c>
      <c r="C4938" s="23">
        <v>0</v>
      </c>
    </row>
    <row r="4939" spans="1:3" x14ac:dyDescent="0.25">
      <c r="A4939">
        <v>4938</v>
      </c>
      <c r="B4939" s="23">
        <v>1149.2539879999999</v>
      </c>
      <c r="C4939" s="23">
        <v>0</v>
      </c>
    </row>
    <row r="4940" spans="1:3" x14ac:dyDescent="0.25">
      <c r="A4940">
        <v>4939</v>
      </c>
      <c r="B4940" s="23">
        <v>1149.1010000000001</v>
      </c>
      <c r="C4940" s="23">
        <v>0</v>
      </c>
    </row>
    <row r="4941" spans="1:3" x14ac:dyDescent="0.25">
      <c r="A4941">
        <v>4940</v>
      </c>
      <c r="B4941" s="23">
        <v>1148.4204890000001</v>
      </c>
      <c r="C4941" s="23">
        <v>0</v>
      </c>
    </row>
    <row r="4942" spans="1:3" x14ac:dyDescent="0.25">
      <c r="A4942">
        <v>4941</v>
      </c>
      <c r="B4942" s="23">
        <v>1148.1467299999999</v>
      </c>
      <c r="C4942" s="23">
        <v>0</v>
      </c>
    </row>
    <row r="4943" spans="1:3" x14ac:dyDescent="0.25">
      <c r="A4943">
        <v>4942</v>
      </c>
      <c r="B4943" s="23">
        <v>1148.1467299999999</v>
      </c>
      <c r="C4943" s="23">
        <v>0</v>
      </c>
    </row>
    <row r="4944" spans="1:3" x14ac:dyDescent="0.25">
      <c r="A4944">
        <v>4943</v>
      </c>
      <c r="B4944" s="23">
        <v>1148.1467299999999</v>
      </c>
      <c r="C4944" s="23">
        <v>0</v>
      </c>
    </row>
    <row r="4945" spans="1:3" x14ac:dyDescent="0.25">
      <c r="A4945">
        <v>4944</v>
      </c>
      <c r="B4945" s="23">
        <v>1148</v>
      </c>
      <c r="C4945" s="23">
        <v>0</v>
      </c>
    </row>
    <row r="4946" spans="1:3" x14ac:dyDescent="0.25">
      <c r="A4946">
        <v>4945</v>
      </c>
      <c r="B4946" s="23">
        <v>1148</v>
      </c>
      <c r="C4946" s="23">
        <v>0</v>
      </c>
    </row>
    <row r="4947" spans="1:3" x14ac:dyDescent="0.25">
      <c r="A4947">
        <v>4946</v>
      </c>
      <c r="B4947" s="23">
        <v>1148</v>
      </c>
      <c r="C4947" s="23">
        <v>0</v>
      </c>
    </row>
    <row r="4948" spans="1:3" x14ac:dyDescent="0.25">
      <c r="A4948">
        <v>4947</v>
      </c>
      <c r="B4948" s="23">
        <v>1147.9166520000001</v>
      </c>
      <c r="C4948" s="23">
        <v>0</v>
      </c>
    </row>
    <row r="4949" spans="1:3" x14ac:dyDescent="0.25">
      <c r="A4949">
        <v>4948</v>
      </c>
      <c r="B4949" s="23">
        <v>1147.798695</v>
      </c>
      <c r="C4949" s="23">
        <v>0</v>
      </c>
    </row>
    <row r="4950" spans="1:3" x14ac:dyDescent="0.25">
      <c r="A4950">
        <v>4949</v>
      </c>
      <c r="B4950" s="23">
        <v>1147.683</v>
      </c>
      <c r="C4950" s="23">
        <v>0</v>
      </c>
    </row>
    <row r="4951" spans="1:3" x14ac:dyDescent="0.25">
      <c r="A4951">
        <v>4950</v>
      </c>
      <c r="B4951" s="23">
        <v>1147.537693</v>
      </c>
      <c r="C4951" s="23">
        <v>0</v>
      </c>
    </row>
    <row r="4952" spans="1:3" x14ac:dyDescent="0.25">
      <c r="A4952">
        <v>4951</v>
      </c>
      <c r="B4952" s="23">
        <v>1147.5340000000001</v>
      </c>
      <c r="C4952" s="23">
        <v>0</v>
      </c>
    </row>
    <row r="4953" spans="1:3" x14ac:dyDescent="0.25">
      <c r="A4953">
        <v>4952</v>
      </c>
      <c r="B4953" s="23">
        <v>1147.5190480000001</v>
      </c>
      <c r="C4953" s="23">
        <v>0</v>
      </c>
    </row>
    <row r="4954" spans="1:3" x14ac:dyDescent="0.25">
      <c r="A4954">
        <v>4953</v>
      </c>
      <c r="B4954" s="23">
        <v>1147.41121</v>
      </c>
      <c r="C4954" s="23">
        <v>0</v>
      </c>
    </row>
    <row r="4955" spans="1:3" x14ac:dyDescent="0.25">
      <c r="A4955">
        <v>4954</v>
      </c>
      <c r="B4955" s="23">
        <v>1147.409371</v>
      </c>
      <c r="C4955" s="23">
        <v>0</v>
      </c>
    </row>
    <row r="4956" spans="1:3" x14ac:dyDescent="0.25">
      <c r="A4956">
        <v>4955</v>
      </c>
      <c r="B4956" s="23">
        <v>1147.3800000000001</v>
      </c>
      <c r="C4956" s="23">
        <v>0</v>
      </c>
    </row>
    <row r="4957" spans="1:3" x14ac:dyDescent="0.25">
      <c r="A4957">
        <v>4956</v>
      </c>
      <c r="B4957" s="23">
        <v>1147.3689999999999</v>
      </c>
      <c r="C4957" s="23">
        <v>0</v>
      </c>
    </row>
    <row r="4958" spans="1:3" x14ac:dyDescent="0.25">
      <c r="A4958">
        <v>4957</v>
      </c>
      <c r="B4958" s="23">
        <v>1147.2</v>
      </c>
      <c r="C4958" s="23">
        <v>0</v>
      </c>
    </row>
    <row r="4959" spans="1:3" x14ac:dyDescent="0.25">
      <c r="A4959">
        <v>4958</v>
      </c>
      <c r="B4959" s="23">
        <v>1147.2</v>
      </c>
      <c r="C4959" s="23">
        <v>0</v>
      </c>
    </row>
    <row r="4960" spans="1:3" x14ac:dyDescent="0.25">
      <c r="A4960">
        <v>4959</v>
      </c>
      <c r="B4960" s="23">
        <v>1147.2</v>
      </c>
      <c r="C4960" s="23">
        <v>0</v>
      </c>
    </row>
    <row r="4961" spans="1:3" x14ac:dyDescent="0.25">
      <c r="A4961">
        <v>4960</v>
      </c>
      <c r="B4961" s="23">
        <v>1147.17</v>
      </c>
      <c r="C4961" s="23">
        <v>0</v>
      </c>
    </row>
    <row r="4962" spans="1:3" x14ac:dyDescent="0.25">
      <c r="A4962">
        <v>4961</v>
      </c>
      <c r="B4962" s="23">
        <v>1147.06711</v>
      </c>
      <c r="C4962" s="23">
        <v>0</v>
      </c>
    </row>
    <row r="4963" spans="1:3" x14ac:dyDescent="0.25">
      <c r="A4963">
        <v>4962</v>
      </c>
      <c r="B4963" s="23">
        <v>1147.0150000000001</v>
      </c>
      <c r="C4963" s="23">
        <v>0</v>
      </c>
    </row>
    <row r="4964" spans="1:3" x14ac:dyDescent="0.25">
      <c r="A4964">
        <v>4963</v>
      </c>
      <c r="B4964" s="23">
        <v>1146.6969999999999</v>
      </c>
      <c r="C4964" s="23">
        <v>0</v>
      </c>
    </row>
    <row r="4965" spans="1:3" x14ac:dyDescent="0.25">
      <c r="A4965">
        <v>4964</v>
      </c>
      <c r="B4965" s="23">
        <v>1146.6690000000001</v>
      </c>
      <c r="C4965" s="23">
        <v>0</v>
      </c>
    </row>
    <row r="4966" spans="1:3" x14ac:dyDescent="0.25">
      <c r="A4966">
        <v>4965</v>
      </c>
      <c r="B4966" s="23">
        <v>1146.5831949999999</v>
      </c>
      <c r="C4966" s="23">
        <v>0</v>
      </c>
    </row>
    <row r="4967" spans="1:3" x14ac:dyDescent="0.25">
      <c r="A4967">
        <v>4966</v>
      </c>
      <c r="B4967" s="23">
        <v>1146.42</v>
      </c>
      <c r="C4967" s="23">
        <v>0</v>
      </c>
    </row>
    <row r="4968" spans="1:3" x14ac:dyDescent="0.25">
      <c r="A4968">
        <v>4967</v>
      </c>
      <c r="B4968" s="23">
        <v>1146.4000000000001</v>
      </c>
      <c r="C4968" s="23">
        <v>0</v>
      </c>
    </row>
    <row r="4969" spans="1:3" x14ac:dyDescent="0.25">
      <c r="A4969">
        <v>4968</v>
      </c>
      <c r="B4969" s="23">
        <v>1146.4000000000001</v>
      </c>
      <c r="C4969" s="23">
        <v>0</v>
      </c>
    </row>
    <row r="4970" spans="1:3" x14ac:dyDescent="0.25">
      <c r="A4970">
        <v>4969</v>
      </c>
      <c r="B4970" s="23">
        <v>1146.1780000000001</v>
      </c>
      <c r="C4970" s="23">
        <v>0</v>
      </c>
    </row>
    <row r="4971" spans="1:3" x14ac:dyDescent="0.25">
      <c r="A4971">
        <v>4970</v>
      </c>
      <c r="B4971" s="23">
        <v>1146.1469999999999</v>
      </c>
      <c r="C4971" s="23">
        <v>0</v>
      </c>
    </row>
    <row r="4972" spans="1:3" x14ac:dyDescent="0.25">
      <c r="A4972">
        <v>4971</v>
      </c>
      <c r="B4972" s="23">
        <v>1145.928218</v>
      </c>
      <c r="C4972" s="23">
        <v>0</v>
      </c>
    </row>
    <row r="4973" spans="1:3" x14ac:dyDescent="0.25">
      <c r="A4973">
        <v>4972</v>
      </c>
      <c r="B4973" s="23">
        <v>1145.8445999999999</v>
      </c>
      <c r="C4973" s="23">
        <v>0</v>
      </c>
    </row>
    <row r="4974" spans="1:3" x14ac:dyDescent="0.25">
      <c r="A4974">
        <v>4973</v>
      </c>
      <c r="B4974" s="23">
        <v>1145.7167440000001</v>
      </c>
      <c r="C4974" s="23">
        <v>0</v>
      </c>
    </row>
    <row r="4975" spans="1:3" x14ac:dyDescent="0.25">
      <c r="A4975">
        <v>4974</v>
      </c>
      <c r="B4975" s="23">
        <v>1145.5999999999999</v>
      </c>
      <c r="C4975" s="23">
        <v>0</v>
      </c>
    </row>
    <row r="4976" spans="1:3" x14ac:dyDescent="0.25">
      <c r="A4976">
        <v>4975</v>
      </c>
      <c r="B4976" s="23">
        <v>1145.5999999999999</v>
      </c>
      <c r="C4976" s="23">
        <v>0</v>
      </c>
    </row>
    <row r="4977" spans="1:3" x14ac:dyDescent="0.25">
      <c r="A4977">
        <v>4976</v>
      </c>
      <c r="B4977" s="23">
        <v>1145.5999999999999</v>
      </c>
      <c r="C4977" s="23">
        <v>0</v>
      </c>
    </row>
    <row r="4978" spans="1:3" x14ac:dyDescent="0.25">
      <c r="A4978">
        <v>4977</v>
      </c>
      <c r="B4978" s="23">
        <v>1145.5301179999999</v>
      </c>
      <c r="C4978" s="23">
        <v>0</v>
      </c>
    </row>
    <row r="4979" spans="1:3" x14ac:dyDescent="0.25">
      <c r="A4979">
        <v>4978</v>
      </c>
      <c r="B4979" s="23">
        <v>1145.153916</v>
      </c>
      <c r="C4979" s="23">
        <v>0</v>
      </c>
    </row>
    <row r="4980" spans="1:3" x14ac:dyDescent="0.25">
      <c r="A4980">
        <v>4979</v>
      </c>
      <c r="B4980" s="23">
        <v>1144.8</v>
      </c>
      <c r="C4980" s="23">
        <v>0</v>
      </c>
    </row>
    <row r="4981" spans="1:3" x14ac:dyDescent="0.25">
      <c r="A4981">
        <v>4980</v>
      </c>
      <c r="B4981" s="23">
        <v>1144.8</v>
      </c>
      <c r="C4981" s="23">
        <v>0</v>
      </c>
    </row>
    <row r="4982" spans="1:3" x14ac:dyDescent="0.25">
      <c r="A4982">
        <v>4981</v>
      </c>
      <c r="B4982" s="23">
        <v>1144.8</v>
      </c>
      <c r="C4982" s="23">
        <v>0</v>
      </c>
    </row>
    <row r="4983" spans="1:3" x14ac:dyDescent="0.25">
      <c r="A4983">
        <v>4982</v>
      </c>
      <c r="B4983" s="23">
        <v>1144.4632320000001</v>
      </c>
      <c r="C4983" s="23">
        <v>0</v>
      </c>
    </row>
    <row r="4984" spans="1:3" x14ac:dyDescent="0.25">
      <c r="A4984">
        <v>4983</v>
      </c>
      <c r="B4984" s="23">
        <v>1144.3566530000001</v>
      </c>
      <c r="C4984" s="23">
        <v>0</v>
      </c>
    </row>
    <row r="4985" spans="1:3" x14ac:dyDescent="0.25">
      <c r="A4985">
        <v>4984</v>
      </c>
      <c r="B4985" s="23">
        <v>1144.192391</v>
      </c>
      <c r="C4985" s="23">
        <v>0</v>
      </c>
    </row>
    <row r="4986" spans="1:3" x14ac:dyDescent="0.25">
      <c r="A4986">
        <v>4985</v>
      </c>
      <c r="B4986" s="23">
        <v>1144.1679999999999</v>
      </c>
      <c r="C4986" s="23">
        <v>0</v>
      </c>
    </row>
    <row r="4987" spans="1:3" x14ac:dyDescent="0.25">
      <c r="A4987">
        <v>4986</v>
      </c>
      <c r="B4987" s="23">
        <v>1144</v>
      </c>
      <c r="C4987" s="23">
        <v>0</v>
      </c>
    </row>
    <row r="4988" spans="1:3" x14ac:dyDescent="0.25">
      <c r="A4988">
        <v>4987</v>
      </c>
      <c r="B4988" s="23">
        <v>1143.9860000000001</v>
      </c>
      <c r="C4988" s="23">
        <v>0</v>
      </c>
    </row>
    <row r="4989" spans="1:3" x14ac:dyDescent="0.25">
      <c r="A4989">
        <v>4988</v>
      </c>
      <c r="B4989" s="23">
        <v>1143.326188</v>
      </c>
      <c r="C4989" s="23">
        <v>0</v>
      </c>
    </row>
    <row r="4990" spans="1:3" x14ac:dyDescent="0.25">
      <c r="A4990">
        <v>4989</v>
      </c>
      <c r="B4990" s="23">
        <v>1143.278</v>
      </c>
      <c r="C4990" s="23">
        <v>0</v>
      </c>
    </row>
    <row r="4991" spans="1:3" x14ac:dyDescent="0.25">
      <c r="A4991">
        <v>4990</v>
      </c>
      <c r="B4991" s="23">
        <v>1143.21884</v>
      </c>
      <c r="C4991" s="23">
        <v>0</v>
      </c>
    </row>
    <row r="4992" spans="1:3" x14ac:dyDescent="0.25">
      <c r="A4992">
        <v>4991</v>
      </c>
      <c r="B4992" s="23">
        <v>1143.1930030000001</v>
      </c>
      <c r="C4992" s="23">
        <v>0</v>
      </c>
    </row>
    <row r="4993" spans="1:3" x14ac:dyDescent="0.25">
      <c r="A4993">
        <v>4992</v>
      </c>
      <c r="B4993" s="23">
        <v>1143.1279999999999</v>
      </c>
      <c r="C4993" s="23">
        <v>0</v>
      </c>
    </row>
    <row r="4994" spans="1:3" x14ac:dyDescent="0.25">
      <c r="A4994">
        <v>4993</v>
      </c>
      <c r="B4994" s="23">
        <v>1142.5534379999999</v>
      </c>
      <c r="C4994" s="23">
        <v>0</v>
      </c>
    </row>
    <row r="4995" spans="1:3" x14ac:dyDescent="0.25">
      <c r="A4995">
        <v>4994</v>
      </c>
      <c r="B4995" s="23">
        <v>1142.4000000000001</v>
      </c>
      <c r="C4995" s="23">
        <v>0</v>
      </c>
    </row>
    <row r="4996" spans="1:3" x14ac:dyDescent="0.25">
      <c r="A4996">
        <v>4995</v>
      </c>
      <c r="B4996" s="23">
        <v>1142.4000000000001</v>
      </c>
      <c r="C4996" s="23">
        <v>0</v>
      </c>
    </row>
    <row r="4997" spans="1:3" x14ac:dyDescent="0.25">
      <c r="A4997">
        <v>4996</v>
      </c>
      <c r="B4997" s="23">
        <v>1142.4000000000001</v>
      </c>
      <c r="C4997" s="23">
        <v>0</v>
      </c>
    </row>
    <row r="4998" spans="1:3" x14ac:dyDescent="0.25">
      <c r="A4998">
        <v>4997</v>
      </c>
      <c r="B4998" s="23">
        <v>1142.4000000000001</v>
      </c>
      <c r="C4998" s="23">
        <v>0</v>
      </c>
    </row>
    <row r="4999" spans="1:3" x14ac:dyDescent="0.25">
      <c r="A4999">
        <v>4998</v>
      </c>
      <c r="B4999" s="23">
        <v>1142.288</v>
      </c>
      <c r="C4999" s="23">
        <v>0</v>
      </c>
    </row>
    <row r="5000" spans="1:3" x14ac:dyDescent="0.25">
      <c r="A5000">
        <v>4999</v>
      </c>
      <c r="B5000" s="23">
        <v>1142.2329999999999</v>
      </c>
      <c r="C5000" s="23">
        <v>0</v>
      </c>
    </row>
    <row r="5001" spans="1:3" x14ac:dyDescent="0.25">
      <c r="A5001">
        <v>5000</v>
      </c>
      <c r="B5001" s="23">
        <v>1141.815742</v>
      </c>
      <c r="C5001" s="23">
        <v>0</v>
      </c>
    </row>
    <row r="5002" spans="1:3" x14ac:dyDescent="0.25">
      <c r="A5002">
        <v>5001</v>
      </c>
      <c r="B5002" s="23">
        <v>1141.7004959999999</v>
      </c>
      <c r="C5002" s="23">
        <v>0</v>
      </c>
    </row>
    <row r="5003" spans="1:3" x14ac:dyDescent="0.25">
      <c r="A5003">
        <v>5002</v>
      </c>
      <c r="B5003" s="23">
        <v>1141.5999999999999</v>
      </c>
      <c r="C5003" s="23">
        <v>0</v>
      </c>
    </row>
    <row r="5004" spans="1:3" x14ac:dyDescent="0.25">
      <c r="A5004">
        <v>5003</v>
      </c>
      <c r="B5004" s="23">
        <v>1141.587</v>
      </c>
      <c r="C5004" s="23">
        <v>0</v>
      </c>
    </row>
    <row r="5005" spans="1:3" x14ac:dyDescent="0.25">
      <c r="A5005">
        <v>5004</v>
      </c>
      <c r="B5005" s="23">
        <v>1141.328391</v>
      </c>
      <c r="C5005" s="23">
        <v>0</v>
      </c>
    </row>
    <row r="5006" spans="1:3" x14ac:dyDescent="0.25">
      <c r="A5006">
        <v>5005</v>
      </c>
      <c r="B5006" s="23">
        <v>1141.3221880000001</v>
      </c>
      <c r="C5006" s="23">
        <v>0</v>
      </c>
    </row>
    <row r="5007" spans="1:3" x14ac:dyDescent="0.25">
      <c r="A5007">
        <v>5006</v>
      </c>
      <c r="B5007" s="23">
        <v>1141.1439419999999</v>
      </c>
      <c r="C5007" s="23">
        <v>0</v>
      </c>
    </row>
    <row r="5008" spans="1:3" x14ac:dyDescent="0.25">
      <c r="A5008">
        <v>5007</v>
      </c>
      <c r="B5008" s="23">
        <v>1141.0098129999999</v>
      </c>
      <c r="C5008" s="23">
        <v>0</v>
      </c>
    </row>
    <row r="5009" spans="1:3" x14ac:dyDescent="0.25">
      <c r="A5009">
        <v>5008</v>
      </c>
      <c r="B5009" s="23">
        <v>1141.0098129999999</v>
      </c>
      <c r="C5009" s="23">
        <v>0</v>
      </c>
    </row>
    <row r="5010" spans="1:3" x14ac:dyDescent="0.25">
      <c r="A5010">
        <v>5009</v>
      </c>
      <c r="B5010" s="23">
        <v>1140.835</v>
      </c>
      <c r="C5010" s="23">
        <v>0</v>
      </c>
    </row>
    <row r="5011" spans="1:3" x14ac:dyDescent="0.25">
      <c r="A5011">
        <v>5010</v>
      </c>
      <c r="B5011" s="23">
        <v>1140.8</v>
      </c>
      <c r="C5011" s="23">
        <v>0</v>
      </c>
    </row>
    <row r="5012" spans="1:3" x14ac:dyDescent="0.25">
      <c r="A5012">
        <v>5011</v>
      </c>
      <c r="B5012" s="23">
        <v>1140.5830000000001</v>
      </c>
      <c r="C5012" s="23">
        <v>0</v>
      </c>
    </row>
    <row r="5013" spans="1:3" x14ac:dyDescent="0.25">
      <c r="A5013">
        <v>5012</v>
      </c>
      <c r="B5013" s="23">
        <v>1140.384</v>
      </c>
      <c r="C5013" s="23">
        <v>0</v>
      </c>
    </row>
    <row r="5014" spans="1:3" x14ac:dyDescent="0.25">
      <c r="A5014">
        <v>5013</v>
      </c>
      <c r="B5014" s="23">
        <v>1140.367688</v>
      </c>
      <c r="C5014" s="23">
        <v>0</v>
      </c>
    </row>
    <row r="5015" spans="1:3" x14ac:dyDescent="0.25">
      <c r="A5015">
        <v>5014</v>
      </c>
      <c r="B5015" s="23">
        <v>1140.2509239999999</v>
      </c>
      <c r="C5015" s="23">
        <v>0</v>
      </c>
    </row>
    <row r="5016" spans="1:3" x14ac:dyDescent="0.25">
      <c r="A5016">
        <v>5015</v>
      </c>
      <c r="B5016" s="23">
        <v>1140.05601</v>
      </c>
      <c r="C5016" s="23">
        <v>0</v>
      </c>
    </row>
    <row r="5017" spans="1:3" x14ac:dyDescent="0.25">
      <c r="A5017">
        <v>5016</v>
      </c>
      <c r="B5017" s="23">
        <v>1140</v>
      </c>
      <c r="C5017" s="23">
        <v>0</v>
      </c>
    </row>
    <row r="5018" spans="1:3" x14ac:dyDescent="0.25">
      <c r="A5018">
        <v>5017</v>
      </c>
      <c r="B5018" s="23">
        <v>1140</v>
      </c>
      <c r="C5018" s="23">
        <v>0</v>
      </c>
    </row>
    <row r="5019" spans="1:3" x14ac:dyDescent="0.25">
      <c r="A5019">
        <v>5018</v>
      </c>
      <c r="B5019" s="23">
        <v>1140</v>
      </c>
      <c r="C5019" s="23">
        <v>0</v>
      </c>
    </row>
    <row r="5020" spans="1:3" x14ac:dyDescent="0.25">
      <c r="A5020">
        <v>5019</v>
      </c>
      <c r="B5020" s="23">
        <v>1139.749</v>
      </c>
      <c r="C5020" s="23">
        <v>0</v>
      </c>
    </row>
    <row r="5021" spans="1:3" x14ac:dyDescent="0.25">
      <c r="A5021">
        <v>5020</v>
      </c>
      <c r="B5021" s="23">
        <v>1139.53622</v>
      </c>
      <c r="C5021" s="23">
        <v>0</v>
      </c>
    </row>
    <row r="5022" spans="1:3" x14ac:dyDescent="0.25">
      <c r="A5022">
        <v>5021</v>
      </c>
      <c r="B5022" s="23">
        <v>1139.46</v>
      </c>
      <c r="C5022" s="23">
        <v>0</v>
      </c>
    </row>
    <row r="5023" spans="1:3" x14ac:dyDescent="0.25">
      <c r="A5023">
        <v>5022</v>
      </c>
      <c r="B5023" s="23">
        <v>1139.3330000000001</v>
      </c>
      <c r="C5023" s="23">
        <v>0</v>
      </c>
    </row>
    <row r="5024" spans="1:3" x14ac:dyDescent="0.25">
      <c r="A5024">
        <v>5023</v>
      </c>
      <c r="B5024" s="23">
        <v>1139.3204900000001</v>
      </c>
      <c r="C5024" s="23">
        <v>0</v>
      </c>
    </row>
    <row r="5025" spans="1:3" x14ac:dyDescent="0.25">
      <c r="A5025">
        <v>5024</v>
      </c>
      <c r="B5025" s="23">
        <v>1139.2</v>
      </c>
      <c r="C5025" s="23">
        <v>0</v>
      </c>
    </row>
    <row r="5026" spans="1:3" x14ac:dyDescent="0.25">
      <c r="A5026">
        <v>5025</v>
      </c>
      <c r="B5026" s="23">
        <v>1139.2</v>
      </c>
      <c r="C5026" s="23">
        <v>0</v>
      </c>
    </row>
    <row r="5027" spans="1:3" x14ac:dyDescent="0.25">
      <c r="A5027">
        <v>5026</v>
      </c>
      <c r="B5027" s="23">
        <v>1138.5849700000001</v>
      </c>
      <c r="C5027" s="23">
        <v>0</v>
      </c>
    </row>
    <row r="5028" spans="1:3" x14ac:dyDescent="0.25">
      <c r="A5028">
        <v>5027</v>
      </c>
      <c r="B5028" s="23">
        <v>1138.419208</v>
      </c>
      <c r="C5028" s="23">
        <v>0</v>
      </c>
    </row>
    <row r="5029" spans="1:3" x14ac:dyDescent="0.25">
      <c r="A5029">
        <v>5028</v>
      </c>
      <c r="B5029" s="23">
        <v>1138.4000000000001</v>
      </c>
      <c r="C5029" s="23">
        <v>0</v>
      </c>
    </row>
    <row r="5030" spans="1:3" x14ac:dyDescent="0.25">
      <c r="A5030">
        <v>5029</v>
      </c>
      <c r="B5030" s="23">
        <v>1138.4000000000001</v>
      </c>
      <c r="C5030" s="23">
        <v>0</v>
      </c>
    </row>
    <row r="5031" spans="1:3" x14ac:dyDescent="0.25">
      <c r="A5031">
        <v>5030</v>
      </c>
      <c r="B5031" s="23">
        <v>1138.269</v>
      </c>
      <c r="C5031" s="23">
        <v>0</v>
      </c>
    </row>
    <row r="5032" spans="1:3" x14ac:dyDescent="0.25">
      <c r="A5032">
        <v>5031</v>
      </c>
      <c r="B5032" s="23">
        <v>1138.247077</v>
      </c>
      <c r="C5032" s="23">
        <v>0</v>
      </c>
    </row>
    <row r="5033" spans="1:3" x14ac:dyDescent="0.25">
      <c r="A5033">
        <v>5032</v>
      </c>
      <c r="B5033" s="23">
        <v>1138.22</v>
      </c>
      <c r="C5033" s="23">
        <v>0</v>
      </c>
    </row>
    <row r="5034" spans="1:3" x14ac:dyDescent="0.25">
      <c r="A5034">
        <v>5033</v>
      </c>
      <c r="B5034" s="23">
        <v>1137.9563889999999</v>
      </c>
      <c r="C5034" s="23">
        <v>0</v>
      </c>
    </row>
    <row r="5035" spans="1:3" x14ac:dyDescent="0.25">
      <c r="A5035">
        <v>5034</v>
      </c>
      <c r="B5035" s="23">
        <v>1137.5999999999999</v>
      </c>
      <c r="C5035" s="23">
        <v>0</v>
      </c>
    </row>
    <row r="5036" spans="1:3" x14ac:dyDescent="0.25">
      <c r="A5036">
        <v>5035</v>
      </c>
      <c r="B5036" s="23">
        <v>1137.5999999999999</v>
      </c>
      <c r="C5036" s="23">
        <v>0</v>
      </c>
    </row>
    <row r="5037" spans="1:3" x14ac:dyDescent="0.25">
      <c r="A5037">
        <v>5036</v>
      </c>
      <c r="B5037" s="23">
        <v>1137.531356</v>
      </c>
      <c r="C5037" s="23">
        <v>0</v>
      </c>
    </row>
    <row r="5038" spans="1:3" x14ac:dyDescent="0.25">
      <c r="A5038">
        <v>5037</v>
      </c>
      <c r="B5038" s="23">
        <v>1137.376</v>
      </c>
      <c r="C5038" s="23">
        <v>0</v>
      </c>
    </row>
    <row r="5039" spans="1:3" x14ac:dyDescent="0.25">
      <c r="A5039">
        <v>5038</v>
      </c>
      <c r="B5039" s="23">
        <v>1137.1704729999999</v>
      </c>
      <c r="C5039" s="23">
        <v>0</v>
      </c>
    </row>
    <row r="5040" spans="1:3" x14ac:dyDescent="0.25">
      <c r="A5040">
        <v>5039</v>
      </c>
      <c r="B5040" s="23">
        <v>1137.11393</v>
      </c>
      <c r="C5040" s="23">
        <v>0</v>
      </c>
    </row>
    <row r="5041" spans="1:3" x14ac:dyDescent="0.25">
      <c r="A5041">
        <v>5040</v>
      </c>
      <c r="B5041" s="23">
        <v>1137.0519999999999</v>
      </c>
      <c r="C5041" s="23">
        <v>0</v>
      </c>
    </row>
    <row r="5042" spans="1:3" x14ac:dyDescent="0.25">
      <c r="A5042">
        <v>5041</v>
      </c>
      <c r="B5042" s="23">
        <v>1136.8</v>
      </c>
      <c r="C5042" s="23">
        <v>0</v>
      </c>
    </row>
    <row r="5043" spans="1:3" x14ac:dyDescent="0.25">
      <c r="A5043">
        <v>5042</v>
      </c>
      <c r="B5043" s="23">
        <v>1136.6099999999999</v>
      </c>
      <c r="C5043" s="23">
        <v>0</v>
      </c>
    </row>
    <row r="5044" spans="1:3" x14ac:dyDescent="0.25">
      <c r="A5044">
        <v>5043</v>
      </c>
      <c r="B5044" s="23">
        <v>1136.3974760000001</v>
      </c>
      <c r="C5044" s="23">
        <v>0</v>
      </c>
    </row>
    <row r="5045" spans="1:3" x14ac:dyDescent="0.25">
      <c r="A5045">
        <v>5044</v>
      </c>
      <c r="B5045" s="23">
        <v>1136.175025</v>
      </c>
      <c r="C5045" s="23">
        <v>0</v>
      </c>
    </row>
    <row r="5046" spans="1:3" x14ac:dyDescent="0.25">
      <c r="A5046">
        <v>5045</v>
      </c>
      <c r="B5046" s="23">
        <v>1136.1375270000001</v>
      </c>
      <c r="C5046" s="23">
        <v>0</v>
      </c>
    </row>
    <row r="5047" spans="1:3" x14ac:dyDescent="0.25">
      <c r="A5047">
        <v>5046</v>
      </c>
      <c r="B5047" s="23">
        <v>1135.965719</v>
      </c>
      <c r="C5047" s="23">
        <v>0</v>
      </c>
    </row>
    <row r="5048" spans="1:3" x14ac:dyDescent="0.25">
      <c r="A5048">
        <v>5047</v>
      </c>
      <c r="B5048" s="23">
        <v>1135.9000000000001</v>
      </c>
      <c r="C5048" s="23">
        <v>0</v>
      </c>
    </row>
    <row r="5049" spans="1:3" x14ac:dyDescent="0.25">
      <c r="A5049">
        <v>5048</v>
      </c>
      <c r="B5049" s="23">
        <v>1135.797</v>
      </c>
      <c r="C5049" s="23">
        <v>0</v>
      </c>
    </row>
    <row r="5050" spans="1:3" x14ac:dyDescent="0.25">
      <c r="A5050">
        <v>5049</v>
      </c>
      <c r="B5050" s="23">
        <v>1135.565724</v>
      </c>
      <c r="C5050" s="23">
        <v>0</v>
      </c>
    </row>
    <row r="5051" spans="1:3" x14ac:dyDescent="0.25">
      <c r="A5051">
        <v>5050</v>
      </c>
      <c r="B5051" s="23">
        <v>1135.24</v>
      </c>
      <c r="C5051" s="23">
        <v>0</v>
      </c>
    </row>
    <row r="5052" spans="1:3" x14ac:dyDescent="0.25">
      <c r="A5052">
        <v>5051</v>
      </c>
      <c r="B5052" s="23">
        <v>1135.2049999999999</v>
      </c>
      <c r="C5052" s="23">
        <v>0</v>
      </c>
    </row>
    <row r="5053" spans="1:3" x14ac:dyDescent="0.25">
      <c r="A5053">
        <v>5052</v>
      </c>
      <c r="B5053" s="23">
        <v>1135.2</v>
      </c>
      <c r="C5053" s="23">
        <v>0</v>
      </c>
    </row>
    <row r="5054" spans="1:3" x14ac:dyDescent="0.25">
      <c r="A5054">
        <v>5053</v>
      </c>
      <c r="B5054" s="23">
        <v>1135.0278249999999</v>
      </c>
      <c r="C5054" s="23">
        <v>0</v>
      </c>
    </row>
    <row r="5055" spans="1:3" x14ac:dyDescent="0.25">
      <c r="A5055">
        <v>5054</v>
      </c>
      <c r="B5055" s="23">
        <v>1134.768836</v>
      </c>
      <c r="C5055" s="23">
        <v>0</v>
      </c>
    </row>
    <row r="5056" spans="1:3" x14ac:dyDescent="0.25">
      <c r="A5056">
        <v>5055</v>
      </c>
      <c r="B5056" s="23">
        <v>1134.4000000000001</v>
      </c>
      <c r="C5056" s="23">
        <v>0</v>
      </c>
    </row>
    <row r="5057" spans="1:3" x14ac:dyDescent="0.25">
      <c r="A5057">
        <v>5056</v>
      </c>
      <c r="B5057" s="23">
        <v>1134.4000000000001</v>
      </c>
      <c r="C5057" s="23">
        <v>0</v>
      </c>
    </row>
    <row r="5058" spans="1:3" x14ac:dyDescent="0.25">
      <c r="A5058">
        <v>5057</v>
      </c>
      <c r="B5058" s="23">
        <v>1134.3734469999999</v>
      </c>
      <c r="C5058" s="23">
        <v>0</v>
      </c>
    </row>
    <row r="5059" spans="1:3" x14ac:dyDescent="0.25">
      <c r="A5059">
        <v>5058</v>
      </c>
      <c r="B5059" s="23">
        <v>1134.3300589999999</v>
      </c>
      <c r="C5059" s="23">
        <v>0</v>
      </c>
    </row>
    <row r="5060" spans="1:3" x14ac:dyDescent="0.25">
      <c r="A5060">
        <v>5059</v>
      </c>
      <c r="B5060" s="23">
        <v>1134.3297439999999</v>
      </c>
      <c r="C5060" s="23">
        <v>0</v>
      </c>
    </row>
    <row r="5061" spans="1:3" x14ac:dyDescent="0.25">
      <c r="A5061">
        <v>5060</v>
      </c>
      <c r="B5061" s="23">
        <v>1134.203</v>
      </c>
      <c r="C5061" s="23">
        <v>0</v>
      </c>
    </row>
    <row r="5062" spans="1:3" x14ac:dyDescent="0.25">
      <c r="A5062">
        <v>5061</v>
      </c>
      <c r="B5062" s="23">
        <v>1134.1782860000001</v>
      </c>
      <c r="C5062" s="23">
        <v>0</v>
      </c>
    </row>
    <row r="5063" spans="1:3" x14ac:dyDescent="0.25">
      <c r="A5063">
        <v>5062</v>
      </c>
      <c r="B5063" s="23">
        <v>1133.5999999999999</v>
      </c>
      <c r="C5063" s="23">
        <v>0</v>
      </c>
    </row>
    <row r="5064" spans="1:3" x14ac:dyDescent="0.25">
      <c r="A5064">
        <v>5063</v>
      </c>
      <c r="B5064" s="23">
        <v>1133.5528059999999</v>
      </c>
      <c r="C5064" s="23">
        <v>0</v>
      </c>
    </row>
    <row r="5065" spans="1:3" x14ac:dyDescent="0.25">
      <c r="A5065">
        <v>5064</v>
      </c>
      <c r="B5065" s="23">
        <v>1133.43633</v>
      </c>
      <c r="C5065" s="23">
        <v>0</v>
      </c>
    </row>
    <row r="5066" spans="1:3" x14ac:dyDescent="0.25">
      <c r="A5066">
        <v>5065</v>
      </c>
      <c r="B5066" s="23">
        <v>1133.41229</v>
      </c>
      <c r="C5066" s="23">
        <v>0</v>
      </c>
    </row>
    <row r="5067" spans="1:3" x14ac:dyDescent="0.25">
      <c r="A5067">
        <v>5066</v>
      </c>
      <c r="B5067" s="23">
        <v>1133.191</v>
      </c>
      <c r="C5067" s="23">
        <v>0</v>
      </c>
    </row>
    <row r="5068" spans="1:3" x14ac:dyDescent="0.25">
      <c r="A5068">
        <v>5067</v>
      </c>
      <c r="B5068" s="23">
        <v>1133.17506</v>
      </c>
      <c r="C5068" s="23">
        <v>0</v>
      </c>
    </row>
    <row r="5069" spans="1:3" x14ac:dyDescent="0.25">
      <c r="A5069">
        <v>5068</v>
      </c>
      <c r="B5069" s="23">
        <v>1132.840559</v>
      </c>
      <c r="C5069" s="23">
        <v>0</v>
      </c>
    </row>
    <row r="5070" spans="1:3" x14ac:dyDescent="0.25">
      <c r="A5070">
        <v>5069</v>
      </c>
      <c r="B5070" s="23">
        <v>1132.8</v>
      </c>
      <c r="C5070" s="23">
        <v>0</v>
      </c>
    </row>
    <row r="5071" spans="1:3" x14ac:dyDescent="0.25">
      <c r="A5071">
        <v>5070</v>
      </c>
      <c r="B5071" s="23">
        <v>1132.70081</v>
      </c>
      <c r="C5071" s="23">
        <v>0</v>
      </c>
    </row>
    <row r="5072" spans="1:3" x14ac:dyDescent="0.25">
      <c r="A5072">
        <v>5071</v>
      </c>
      <c r="B5072" s="23">
        <v>1132.6777790000001</v>
      </c>
      <c r="C5072" s="23">
        <v>0</v>
      </c>
    </row>
    <row r="5073" spans="1:3" x14ac:dyDescent="0.25">
      <c r="A5073">
        <v>5072</v>
      </c>
      <c r="B5073" s="23">
        <v>1132.4639999999999</v>
      </c>
      <c r="C5073" s="23">
        <v>0</v>
      </c>
    </row>
    <row r="5074" spans="1:3" x14ac:dyDescent="0.25">
      <c r="A5074">
        <v>5073</v>
      </c>
      <c r="B5074" s="23">
        <v>1132.1776709999999</v>
      </c>
      <c r="C5074" s="23">
        <v>0</v>
      </c>
    </row>
    <row r="5075" spans="1:3" x14ac:dyDescent="0.25">
      <c r="A5075">
        <v>5074</v>
      </c>
      <c r="B5075" s="23">
        <v>1132.0129999999999</v>
      </c>
      <c r="C5075" s="23">
        <v>0</v>
      </c>
    </row>
    <row r="5076" spans="1:3" x14ac:dyDescent="0.25">
      <c r="A5076">
        <v>5075</v>
      </c>
      <c r="B5076" s="23">
        <v>1132</v>
      </c>
      <c r="C5076" s="23">
        <v>0</v>
      </c>
    </row>
    <row r="5077" spans="1:3" x14ac:dyDescent="0.25">
      <c r="A5077">
        <v>5076</v>
      </c>
      <c r="B5077" s="23">
        <v>1132</v>
      </c>
      <c r="C5077" s="23">
        <v>0</v>
      </c>
    </row>
    <row r="5078" spans="1:3" x14ac:dyDescent="0.25">
      <c r="A5078">
        <v>5077</v>
      </c>
      <c r="B5078" s="23">
        <v>1131.4816719999999</v>
      </c>
      <c r="C5078" s="23">
        <v>0</v>
      </c>
    </row>
    <row r="5079" spans="1:3" x14ac:dyDescent="0.25">
      <c r="A5079">
        <v>5078</v>
      </c>
      <c r="B5079" s="23">
        <v>1131.45</v>
      </c>
      <c r="C5079" s="23">
        <v>0</v>
      </c>
    </row>
    <row r="5080" spans="1:3" x14ac:dyDescent="0.25">
      <c r="A5080">
        <v>5079</v>
      </c>
      <c r="B5080" s="23">
        <v>1131.395262</v>
      </c>
      <c r="C5080" s="23">
        <v>0</v>
      </c>
    </row>
    <row r="5081" spans="1:3" x14ac:dyDescent="0.25">
      <c r="A5081">
        <v>5080</v>
      </c>
      <c r="B5081" s="23">
        <v>1131.3790730000001</v>
      </c>
      <c r="C5081" s="23">
        <v>0</v>
      </c>
    </row>
    <row r="5082" spans="1:3" x14ac:dyDescent="0.25">
      <c r="A5082">
        <v>5081</v>
      </c>
      <c r="B5082" s="23">
        <v>1131.340238</v>
      </c>
      <c r="C5082" s="23">
        <v>0</v>
      </c>
    </row>
    <row r="5083" spans="1:3" x14ac:dyDescent="0.25">
      <c r="A5083">
        <v>5082</v>
      </c>
      <c r="B5083" s="23">
        <v>1131.2</v>
      </c>
      <c r="C5083" s="23">
        <v>0</v>
      </c>
    </row>
    <row r="5084" spans="1:3" x14ac:dyDescent="0.25">
      <c r="A5084">
        <v>5083</v>
      </c>
      <c r="B5084" s="23">
        <v>1131.2</v>
      </c>
      <c r="C5084" s="23">
        <v>0</v>
      </c>
    </row>
    <row r="5085" spans="1:3" x14ac:dyDescent="0.25">
      <c r="A5085">
        <v>5084</v>
      </c>
      <c r="B5085" s="23">
        <v>1131.2</v>
      </c>
      <c r="C5085" s="23">
        <v>0</v>
      </c>
    </row>
    <row r="5086" spans="1:3" x14ac:dyDescent="0.25">
      <c r="A5086">
        <v>5085</v>
      </c>
      <c r="B5086" s="23">
        <v>1131.2</v>
      </c>
      <c r="C5086" s="23">
        <v>0</v>
      </c>
    </row>
    <row r="5087" spans="1:3" x14ac:dyDescent="0.25">
      <c r="A5087">
        <v>5086</v>
      </c>
      <c r="B5087" s="23">
        <v>1131.076</v>
      </c>
      <c r="C5087" s="23">
        <v>0</v>
      </c>
    </row>
    <row r="5088" spans="1:3" x14ac:dyDescent="0.25">
      <c r="A5088">
        <v>5087</v>
      </c>
      <c r="B5088" s="23">
        <v>1131.027</v>
      </c>
      <c r="C5088" s="23">
        <v>0</v>
      </c>
    </row>
    <row r="5089" spans="1:3" x14ac:dyDescent="0.25">
      <c r="A5089">
        <v>5088</v>
      </c>
      <c r="B5089" s="23">
        <v>1130.671</v>
      </c>
      <c r="C5089" s="23">
        <v>0</v>
      </c>
    </row>
    <row r="5090" spans="1:3" x14ac:dyDescent="0.25">
      <c r="A5090">
        <v>5089</v>
      </c>
      <c r="B5090" s="23">
        <v>1130.6559999999999</v>
      </c>
      <c r="C5090" s="23">
        <v>0</v>
      </c>
    </row>
    <row r="5091" spans="1:3" x14ac:dyDescent="0.25">
      <c r="A5091">
        <v>5090</v>
      </c>
      <c r="B5091" s="23">
        <v>1130.468249</v>
      </c>
      <c r="C5091" s="23">
        <v>0</v>
      </c>
    </row>
    <row r="5092" spans="1:3" x14ac:dyDescent="0.25">
      <c r="A5092">
        <v>5091</v>
      </c>
      <c r="B5092" s="23">
        <v>1130.4000000000001</v>
      </c>
      <c r="C5092" s="23">
        <v>0</v>
      </c>
    </row>
    <row r="5093" spans="1:3" x14ac:dyDescent="0.25">
      <c r="A5093">
        <v>5092</v>
      </c>
      <c r="B5093" s="23">
        <v>1130.3420000000001</v>
      </c>
      <c r="C5093" s="23">
        <v>0</v>
      </c>
    </row>
    <row r="5094" spans="1:3" x14ac:dyDescent="0.25">
      <c r="A5094">
        <v>5093</v>
      </c>
      <c r="B5094" s="23">
        <v>1130.2855460000001</v>
      </c>
      <c r="C5094" s="23">
        <v>0</v>
      </c>
    </row>
    <row r="5095" spans="1:3" x14ac:dyDescent="0.25">
      <c r="A5095">
        <v>5094</v>
      </c>
      <c r="B5095" s="23">
        <v>1129.8233230000001</v>
      </c>
      <c r="C5095" s="23">
        <v>0</v>
      </c>
    </row>
    <row r="5096" spans="1:3" x14ac:dyDescent="0.25">
      <c r="A5096">
        <v>5095</v>
      </c>
      <c r="B5096" s="23">
        <v>1129.5999999999999</v>
      </c>
      <c r="C5096" s="23">
        <v>0</v>
      </c>
    </row>
    <row r="5097" spans="1:3" x14ac:dyDescent="0.25">
      <c r="A5097">
        <v>5096</v>
      </c>
      <c r="B5097" s="23">
        <v>1129.088487</v>
      </c>
      <c r="C5097" s="23">
        <v>0</v>
      </c>
    </row>
    <row r="5098" spans="1:3" x14ac:dyDescent="0.25">
      <c r="A5098">
        <v>5097</v>
      </c>
      <c r="B5098" s="23">
        <v>1128.928512</v>
      </c>
      <c r="C5098" s="23">
        <v>0</v>
      </c>
    </row>
    <row r="5099" spans="1:3" x14ac:dyDescent="0.25">
      <c r="A5099">
        <v>5098</v>
      </c>
      <c r="B5099" s="23">
        <v>1128.8</v>
      </c>
      <c r="C5099" s="23">
        <v>0</v>
      </c>
    </row>
    <row r="5100" spans="1:3" x14ac:dyDescent="0.25">
      <c r="A5100">
        <v>5099</v>
      </c>
      <c r="B5100" s="23">
        <v>1128.8</v>
      </c>
      <c r="C5100" s="23">
        <v>0</v>
      </c>
    </row>
    <row r="5101" spans="1:3" x14ac:dyDescent="0.25">
      <c r="A5101">
        <v>5100</v>
      </c>
      <c r="B5101" s="23">
        <v>1128.8</v>
      </c>
      <c r="C5101" s="23">
        <v>0</v>
      </c>
    </row>
    <row r="5102" spans="1:3" x14ac:dyDescent="0.25">
      <c r="A5102">
        <v>5101</v>
      </c>
      <c r="B5102" s="23">
        <v>1128.8</v>
      </c>
      <c r="C5102" s="23">
        <v>0</v>
      </c>
    </row>
    <row r="5103" spans="1:3" x14ac:dyDescent="0.25">
      <c r="A5103">
        <v>5102</v>
      </c>
      <c r="B5103" s="23">
        <v>1128.7455010000001</v>
      </c>
      <c r="C5103" s="23">
        <v>0</v>
      </c>
    </row>
    <row r="5104" spans="1:3" x14ac:dyDescent="0.25">
      <c r="A5104">
        <v>5103</v>
      </c>
      <c r="B5104" s="23">
        <v>1128.6052500000001</v>
      </c>
      <c r="C5104" s="23">
        <v>0</v>
      </c>
    </row>
    <row r="5105" spans="1:3" x14ac:dyDescent="0.25">
      <c r="A5105">
        <v>5104</v>
      </c>
      <c r="B5105" s="23">
        <v>1128.5775020000001</v>
      </c>
      <c r="C5105" s="23">
        <v>0</v>
      </c>
    </row>
    <row r="5106" spans="1:3" x14ac:dyDescent="0.25">
      <c r="A5106">
        <v>5105</v>
      </c>
      <c r="B5106" s="23">
        <v>1128</v>
      </c>
      <c r="C5106" s="23">
        <v>0</v>
      </c>
    </row>
    <row r="5107" spans="1:3" x14ac:dyDescent="0.25">
      <c r="A5107">
        <v>5106</v>
      </c>
      <c r="B5107" s="23">
        <v>1128</v>
      </c>
      <c r="C5107" s="23">
        <v>0</v>
      </c>
    </row>
    <row r="5108" spans="1:3" x14ac:dyDescent="0.25">
      <c r="A5108">
        <v>5107</v>
      </c>
      <c r="B5108" s="23">
        <v>1128</v>
      </c>
      <c r="C5108" s="23">
        <v>0</v>
      </c>
    </row>
    <row r="5109" spans="1:3" x14ac:dyDescent="0.25">
      <c r="A5109">
        <v>5108</v>
      </c>
      <c r="B5109" s="23">
        <v>1127.7874200000001</v>
      </c>
      <c r="C5109" s="23">
        <v>0</v>
      </c>
    </row>
    <row r="5110" spans="1:3" x14ac:dyDescent="0.25">
      <c r="A5110">
        <v>5109</v>
      </c>
      <c r="B5110" s="23">
        <v>1127.5968419999999</v>
      </c>
      <c r="C5110" s="23">
        <v>0</v>
      </c>
    </row>
    <row r="5111" spans="1:3" x14ac:dyDescent="0.25">
      <c r="A5111">
        <v>5110</v>
      </c>
      <c r="B5111" s="23">
        <v>1127.5521699999999</v>
      </c>
      <c r="C5111" s="23">
        <v>0</v>
      </c>
    </row>
    <row r="5112" spans="1:3" x14ac:dyDescent="0.25">
      <c r="A5112">
        <v>5111</v>
      </c>
      <c r="B5112" s="23">
        <v>1127.5521699999999</v>
      </c>
      <c r="C5112" s="23">
        <v>0</v>
      </c>
    </row>
    <row r="5113" spans="1:3" x14ac:dyDescent="0.25">
      <c r="A5113">
        <v>5112</v>
      </c>
      <c r="B5113" s="23">
        <v>1127.549</v>
      </c>
      <c r="C5113" s="23">
        <v>0</v>
      </c>
    </row>
    <row r="5114" spans="1:3" x14ac:dyDescent="0.25">
      <c r="A5114">
        <v>5113</v>
      </c>
      <c r="B5114" s="23">
        <v>1127.4929999999999</v>
      </c>
      <c r="C5114" s="23">
        <v>0</v>
      </c>
    </row>
    <row r="5115" spans="1:3" x14ac:dyDescent="0.25">
      <c r="A5115">
        <v>5114</v>
      </c>
      <c r="B5115" s="23">
        <v>1127.2</v>
      </c>
      <c r="C5115" s="23">
        <v>0</v>
      </c>
    </row>
    <row r="5116" spans="1:3" x14ac:dyDescent="0.25">
      <c r="A5116">
        <v>5115</v>
      </c>
      <c r="B5116" s="23">
        <v>1127.2</v>
      </c>
      <c r="C5116" s="23">
        <v>0</v>
      </c>
    </row>
    <row r="5117" spans="1:3" x14ac:dyDescent="0.25">
      <c r="A5117">
        <v>5116</v>
      </c>
      <c r="B5117" s="23">
        <v>1127.2</v>
      </c>
      <c r="C5117" s="23">
        <v>0</v>
      </c>
    </row>
    <row r="5118" spans="1:3" x14ac:dyDescent="0.25">
      <c r="A5118">
        <v>5117</v>
      </c>
      <c r="B5118" s="23">
        <v>1127.2</v>
      </c>
      <c r="C5118" s="23">
        <v>0</v>
      </c>
    </row>
    <row r="5119" spans="1:3" x14ac:dyDescent="0.25">
      <c r="A5119">
        <v>5118</v>
      </c>
      <c r="B5119" s="23">
        <v>1127.2</v>
      </c>
      <c r="C5119" s="23">
        <v>0</v>
      </c>
    </row>
    <row r="5120" spans="1:3" x14ac:dyDescent="0.25">
      <c r="A5120">
        <v>5119</v>
      </c>
      <c r="B5120" s="23">
        <v>1127.0150000000001</v>
      </c>
      <c r="C5120" s="23">
        <v>0</v>
      </c>
    </row>
    <row r="5121" spans="1:3" x14ac:dyDescent="0.25">
      <c r="A5121">
        <v>5120</v>
      </c>
      <c r="B5121" s="23">
        <v>1126.9880659999999</v>
      </c>
      <c r="C5121" s="23">
        <v>0</v>
      </c>
    </row>
    <row r="5122" spans="1:3" x14ac:dyDescent="0.25">
      <c r="A5122">
        <v>5121</v>
      </c>
      <c r="B5122" s="23">
        <v>1126.976625</v>
      </c>
      <c r="C5122" s="23">
        <v>0</v>
      </c>
    </row>
    <row r="5123" spans="1:3" x14ac:dyDescent="0.25">
      <c r="A5123">
        <v>5122</v>
      </c>
      <c r="B5123" s="23">
        <v>1126.9695899999999</v>
      </c>
      <c r="C5123" s="23">
        <v>0</v>
      </c>
    </row>
    <row r="5124" spans="1:3" x14ac:dyDescent="0.25">
      <c r="A5124">
        <v>5123</v>
      </c>
      <c r="B5124" s="23">
        <v>1126.7999540000001</v>
      </c>
      <c r="C5124" s="23">
        <v>0</v>
      </c>
    </row>
    <row r="5125" spans="1:3" x14ac:dyDescent="0.25">
      <c r="A5125">
        <v>5124</v>
      </c>
      <c r="B5125" s="23">
        <v>1126.676436</v>
      </c>
      <c r="C5125" s="23">
        <v>0</v>
      </c>
    </row>
    <row r="5126" spans="1:3" x14ac:dyDescent="0.25">
      <c r="A5126">
        <v>5125</v>
      </c>
      <c r="B5126" s="23">
        <v>1126.505451</v>
      </c>
      <c r="C5126" s="23">
        <v>0</v>
      </c>
    </row>
    <row r="5127" spans="1:3" x14ac:dyDescent="0.25">
      <c r="A5127">
        <v>5126</v>
      </c>
      <c r="B5127" s="23">
        <v>1126.505451</v>
      </c>
      <c r="C5127" s="23">
        <v>0</v>
      </c>
    </row>
    <row r="5128" spans="1:3" x14ac:dyDescent="0.25">
      <c r="A5128">
        <v>5127</v>
      </c>
      <c r="B5128" s="23">
        <v>1126.43</v>
      </c>
      <c r="C5128" s="23">
        <v>0</v>
      </c>
    </row>
    <row r="5129" spans="1:3" x14ac:dyDescent="0.25">
      <c r="A5129">
        <v>5128</v>
      </c>
      <c r="B5129" s="23">
        <v>1126.4000000000001</v>
      </c>
      <c r="C5129" s="23">
        <v>0</v>
      </c>
    </row>
    <row r="5130" spans="1:3" x14ac:dyDescent="0.25">
      <c r="A5130">
        <v>5129</v>
      </c>
      <c r="B5130" s="23">
        <v>1126.4000000000001</v>
      </c>
      <c r="C5130" s="23">
        <v>0</v>
      </c>
    </row>
    <row r="5131" spans="1:3" x14ac:dyDescent="0.25">
      <c r="A5131">
        <v>5130</v>
      </c>
      <c r="B5131" s="23">
        <v>1126.2660000000001</v>
      </c>
      <c r="C5131" s="23">
        <v>0</v>
      </c>
    </row>
    <row r="5132" spans="1:3" x14ac:dyDescent="0.25">
      <c r="A5132">
        <v>5131</v>
      </c>
      <c r="B5132" s="23">
        <v>1125.992</v>
      </c>
      <c r="C5132" s="23">
        <v>0</v>
      </c>
    </row>
    <row r="5133" spans="1:3" x14ac:dyDescent="0.25">
      <c r="A5133">
        <v>5132</v>
      </c>
      <c r="B5133" s="23">
        <v>1125.8147670000001</v>
      </c>
      <c r="C5133" s="23">
        <v>0</v>
      </c>
    </row>
    <row r="5134" spans="1:3" x14ac:dyDescent="0.25">
      <c r="A5134">
        <v>5133</v>
      </c>
      <c r="B5134" s="23">
        <v>1125.5999999999999</v>
      </c>
      <c r="C5134" s="23">
        <v>0</v>
      </c>
    </row>
    <row r="5135" spans="1:3" x14ac:dyDescent="0.25">
      <c r="A5135">
        <v>5134</v>
      </c>
      <c r="B5135" s="23">
        <v>1125.5</v>
      </c>
      <c r="C5135" s="23">
        <v>0</v>
      </c>
    </row>
    <row r="5136" spans="1:3" x14ac:dyDescent="0.25">
      <c r="A5136">
        <v>5135</v>
      </c>
      <c r="B5136" s="23">
        <v>1125.4880000000001</v>
      </c>
      <c r="C5136" s="23">
        <v>0</v>
      </c>
    </row>
    <row r="5137" spans="1:3" x14ac:dyDescent="0.25">
      <c r="A5137">
        <v>5136</v>
      </c>
      <c r="B5137" s="23">
        <v>1125.3410859999999</v>
      </c>
      <c r="C5137" s="23">
        <v>0</v>
      </c>
    </row>
    <row r="5138" spans="1:3" x14ac:dyDescent="0.25">
      <c r="A5138">
        <v>5137</v>
      </c>
      <c r="B5138" s="23">
        <v>1125.2370000000001</v>
      </c>
      <c r="C5138" s="23">
        <v>0</v>
      </c>
    </row>
    <row r="5139" spans="1:3" x14ac:dyDescent="0.25">
      <c r="A5139">
        <v>5138</v>
      </c>
      <c r="B5139" s="23">
        <v>1125.232769</v>
      </c>
      <c r="C5139" s="23">
        <v>0</v>
      </c>
    </row>
    <row r="5140" spans="1:3" x14ac:dyDescent="0.25">
      <c r="A5140">
        <v>5139</v>
      </c>
      <c r="B5140" s="23">
        <v>1124.8</v>
      </c>
      <c r="C5140" s="23">
        <v>0</v>
      </c>
    </row>
    <row r="5141" spans="1:3" x14ac:dyDescent="0.25">
      <c r="A5141">
        <v>5140</v>
      </c>
      <c r="B5141" s="23">
        <v>1124.6369999999999</v>
      </c>
      <c r="C5141" s="23">
        <v>0</v>
      </c>
    </row>
    <row r="5142" spans="1:3" x14ac:dyDescent="0.25">
      <c r="A5142">
        <v>5141</v>
      </c>
      <c r="B5142" s="23">
        <v>1124.229548</v>
      </c>
      <c r="C5142" s="23">
        <v>0</v>
      </c>
    </row>
    <row r="5143" spans="1:3" x14ac:dyDescent="0.25">
      <c r="A5143">
        <v>5142</v>
      </c>
      <c r="B5143" s="23">
        <v>1124.176119</v>
      </c>
      <c r="C5143" s="23">
        <v>0</v>
      </c>
    </row>
    <row r="5144" spans="1:3" x14ac:dyDescent="0.25">
      <c r="A5144">
        <v>5143</v>
      </c>
      <c r="B5144" s="23">
        <v>1124</v>
      </c>
      <c r="C5144" s="23">
        <v>0</v>
      </c>
    </row>
    <row r="5145" spans="1:3" x14ac:dyDescent="0.25">
      <c r="A5145">
        <v>5144</v>
      </c>
      <c r="B5145" s="23">
        <v>1123.8745699999999</v>
      </c>
      <c r="C5145" s="23">
        <v>0</v>
      </c>
    </row>
    <row r="5146" spans="1:3" x14ac:dyDescent="0.25">
      <c r="A5146">
        <v>5145</v>
      </c>
      <c r="B5146" s="23">
        <v>1123.8745699999999</v>
      </c>
      <c r="C5146" s="23">
        <v>0</v>
      </c>
    </row>
    <row r="5147" spans="1:3" x14ac:dyDescent="0.25">
      <c r="A5147">
        <v>5146</v>
      </c>
      <c r="B5147" s="23">
        <v>1123.8745699999999</v>
      </c>
      <c r="C5147" s="23">
        <v>0</v>
      </c>
    </row>
    <row r="5148" spans="1:3" x14ac:dyDescent="0.25">
      <c r="A5148">
        <v>5147</v>
      </c>
      <c r="B5148" s="23">
        <v>1123.825</v>
      </c>
      <c r="C5148" s="23">
        <v>0</v>
      </c>
    </row>
    <row r="5149" spans="1:3" x14ac:dyDescent="0.25">
      <c r="A5149">
        <v>5148</v>
      </c>
      <c r="B5149" s="23">
        <v>1123.750485</v>
      </c>
      <c r="C5149" s="23">
        <v>0</v>
      </c>
    </row>
    <row r="5150" spans="1:3" x14ac:dyDescent="0.25">
      <c r="A5150">
        <v>5149</v>
      </c>
      <c r="B5150" s="23">
        <v>1123.4907459999999</v>
      </c>
      <c r="C5150" s="23">
        <v>0</v>
      </c>
    </row>
    <row r="5151" spans="1:3" x14ac:dyDescent="0.25">
      <c r="A5151">
        <v>5150</v>
      </c>
      <c r="B5151" s="23">
        <v>1123.163155</v>
      </c>
      <c r="C5151" s="23">
        <v>0</v>
      </c>
    </row>
    <row r="5152" spans="1:3" x14ac:dyDescent="0.25">
      <c r="A5152">
        <v>5151</v>
      </c>
      <c r="B5152" s="23">
        <v>1122.815513</v>
      </c>
      <c r="C5152" s="23">
        <v>0</v>
      </c>
    </row>
    <row r="5153" spans="1:3" x14ac:dyDescent="0.25">
      <c r="A5153">
        <v>5152</v>
      </c>
      <c r="B5153" s="23">
        <v>1122.777</v>
      </c>
      <c r="C5153" s="23">
        <v>0</v>
      </c>
    </row>
    <row r="5154" spans="1:3" x14ac:dyDescent="0.25">
      <c r="A5154">
        <v>5153</v>
      </c>
      <c r="B5154" s="23">
        <v>1122.7750000000001</v>
      </c>
      <c r="C5154" s="23">
        <v>0</v>
      </c>
    </row>
    <row r="5155" spans="1:3" x14ac:dyDescent="0.25">
      <c r="A5155">
        <v>5154</v>
      </c>
      <c r="B5155" s="23">
        <v>1122.711</v>
      </c>
      <c r="C5155" s="23">
        <v>0</v>
      </c>
    </row>
    <row r="5156" spans="1:3" x14ac:dyDescent="0.25">
      <c r="A5156">
        <v>5155</v>
      </c>
      <c r="B5156" s="23">
        <v>1122.675671</v>
      </c>
      <c r="C5156" s="23">
        <v>0</v>
      </c>
    </row>
    <row r="5157" spans="1:3" x14ac:dyDescent="0.25">
      <c r="A5157">
        <v>5156</v>
      </c>
      <c r="B5157" s="23">
        <v>1122.644528</v>
      </c>
      <c r="C5157" s="23">
        <v>0</v>
      </c>
    </row>
    <row r="5158" spans="1:3" x14ac:dyDescent="0.25">
      <c r="A5158">
        <v>5157</v>
      </c>
      <c r="B5158" s="23">
        <v>1122.631232</v>
      </c>
      <c r="C5158" s="23">
        <v>0</v>
      </c>
    </row>
    <row r="5159" spans="1:3" x14ac:dyDescent="0.25">
      <c r="A5159">
        <v>5158</v>
      </c>
      <c r="B5159" s="23">
        <v>1122.521</v>
      </c>
      <c r="C5159" s="23">
        <v>0</v>
      </c>
    </row>
    <row r="5160" spans="1:3" x14ac:dyDescent="0.25">
      <c r="A5160">
        <v>5159</v>
      </c>
      <c r="B5160" s="23">
        <v>1122.40353</v>
      </c>
      <c r="C5160" s="23">
        <v>0</v>
      </c>
    </row>
    <row r="5161" spans="1:3" x14ac:dyDescent="0.25">
      <c r="A5161">
        <v>5160</v>
      </c>
      <c r="B5161" s="23">
        <v>1122.4000000000001</v>
      </c>
      <c r="C5161" s="23">
        <v>0</v>
      </c>
    </row>
    <row r="5162" spans="1:3" x14ac:dyDescent="0.25">
      <c r="A5162">
        <v>5161</v>
      </c>
      <c r="B5162" s="23">
        <v>1122.4000000000001</v>
      </c>
      <c r="C5162" s="23">
        <v>0</v>
      </c>
    </row>
    <row r="5163" spans="1:3" x14ac:dyDescent="0.25">
      <c r="A5163">
        <v>5162</v>
      </c>
      <c r="B5163" s="23">
        <v>1122.4000000000001</v>
      </c>
      <c r="C5163" s="23">
        <v>0</v>
      </c>
    </row>
    <row r="5164" spans="1:3" x14ac:dyDescent="0.25">
      <c r="A5164">
        <v>5163</v>
      </c>
      <c r="B5164" s="23">
        <v>1122.361347</v>
      </c>
      <c r="C5164" s="23">
        <v>0</v>
      </c>
    </row>
    <row r="5165" spans="1:3" x14ac:dyDescent="0.25">
      <c r="A5165">
        <v>5164</v>
      </c>
      <c r="B5165" s="23">
        <v>1121.898733</v>
      </c>
      <c r="C5165" s="23">
        <v>0</v>
      </c>
    </row>
    <row r="5166" spans="1:3" x14ac:dyDescent="0.25">
      <c r="A5166">
        <v>5165</v>
      </c>
      <c r="B5166" s="23">
        <v>1121.6603030000001</v>
      </c>
      <c r="C5166" s="23">
        <v>0</v>
      </c>
    </row>
    <row r="5167" spans="1:3" x14ac:dyDescent="0.25">
      <c r="A5167">
        <v>5166</v>
      </c>
      <c r="B5167" s="23">
        <v>1121.5999999999999</v>
      </c>
      <c r="C5167" s="23">
        <v>0</v>
      </c>
    </row>
    <row r="5168" spans="1:3" x14ac:dyDescent="0.25">
      <c r="A5168">
        <v>5167</v>
      </c>
      <c r="B5168" s="23">
        <v>1121.5999999999999</v>
      </c>
      <c r="C5168" s="23">
        <v>0</v>
      </c>
    </row>
    <row r="5169" spans="1:3" x14ac:dyDescent="0.25">
      <c r="A5169">
        <v>5168</v>
      </c>
      <c r="B5169" s="23">
        <v>1121.5999999999999</v>
      </c>
      <c r="C5169" s="23">
        <v>0</v>
      </c>
    </row>
    <row r="5170" spans="1:3" x14ac:dyDescent="0.25">
      <c r="A5170">
        <v>5169</v>
      </c>
      <c r="B5170" s="23">
        <v>1121.5999999999999</v>
      </c>
      <c r="C5170" s="23">
        <v>0</v>
      </c>
    </row>
    <row r="5171" spans="1:3" x14ac:dyDescent="0.25">
      <c r="A5171">
        <v>5170</v>
      </c>
      <c r="B5171" s="23">
        <v>1121.5999999999999</v>
      </c>
      <c r="C5171" s="23">
        <v>0</v>
      </c>
    </row>
    <row r="5172" spans="1:3" x14ac:dyDescent="0.25">
      <c r="A5172">
        <v>5171</v>
      </c>
      <c r="B5172" s="23">
        <v>1121.586</v>
      </c>
      <c r="C5172" s="23">
        <v>0</v>
      </c>
    </row>
    <row r="5173" spans="1:3" x14ac:dyDescent="0.25">
      <c r="A5173">
        <v>5172</v>
      </c>
      <c r="B5173" s="23">
        <v>1121.516091</v>
      </c>
      <c r="C5173" s="23">
        <v>0</v>
      </c>
    </row>
    <row r="5174" spans="1:3" x14ac:dyDescent="0.25">
      <c r="A5174">
        <v>5173</v>
      </c>
      <c r="B5174" s="23">
        <v>1121.2717479999999</v>
      </c>
      <c r="C5174" s="23">
        <v>0</v>
      </c>
    </row>
    <row r="5175" spans="1:3" x14ac:dyDescent="0.25">
      <c r="A5175">
        <v>5174</v>
      </c>
      <c r="B5175" s="23">
        <v>1121.1221250000001</v>
      </c>
      <c r="C5175" s="23">
        <v>0</v>
      </c>
    </row>
    <row r="5176" spans="1:3" x14ac:dyDescent="0.25">
      <c r="A5176">
        <v>5175</v>
      </c>
      <c r="B5176" s="23">
        <v>1120.8</v>
      </c>
      <c r="C5176" s="23">
        <v>0</v>
      </c>
    </row>
    <row r="5177" spans="1:3" x14ac:dyDescent="0.25">
      <c r="A5177">
        <v>5176</v>
      </c>
      <c r="B5177" s="23">
        <v>1120.19697</v>
      </c>
      <c r="C5177" s="23">
        <v>0</v>
      </c>
    </row>
    <row r="5178" spans="1:3" x14ac:dyDescent="0.25">
      <c r="A5178">
        <v>5177</v>
      </c>
      <c r="B5178" s="23">
        <v>1120.1603339999999</v>
      </c>
      <c r="C5178" s="23">
        <v>0</v>
      </c>
    </row>
    <row r="5179" spans="1:3" x14ac:dyDescent="0.25">
      <c r="A5179">
        <v>5178</v>
      </c>
      <c r="B5179" s="23">
        <v>1120.1185740000001</v>
      </c>
      <c r="C5179" s="23">
        <v>0</v>
      </c>
    </row>
    <row r="5180" spans="1:3" x14ac:dyDescent="0.25">
      <c r="A5180">
        <v>5179</v>
      </c>
      <c r="B5180" s="23">
        <v>1120</v>
      </c>
      <c r="C5180" s="23">
        <v>0</v>
      </c>
    </row>
    <row r="5181" spans="1:3" x14ac:dyDescent="0.25">
      <c r="A5181">
        <v>5180</v>
      </c>
      <c r="B5181" s="23">
        <v>1120</v>
      </c>
      <c r="C5181" s="23">
        <v>0</v>
      </c>
    </row>
    <row r="5182" spans="1:3" x14ac:dyDescent="0.25">
      <c r="A5182">
        <v>5181</v>
      </c>
      <c r="B5182" s="23">
        <v>1120</v>
      </c>
      <c r="C5182" s="23">
        <v>0</v>
      </c>
    </row>
    <row r="5183" spans="1:3" x14ac:dyDescent="0.25">
      <c r="A5183">
        <v>5182</v>
      </c>
      <c r="B5183" s="23">
        <v>1119.8599999999999</v>
      </c>
      <c r="C5183" s="23">
        <v>0</v>
      </c>
    </row>
    <row r="5184" spans="1:3" x14ac:dyDescent="0.25">
      <c r="A5184">
        <v>5183</v>
      </c>
      <c r="B5184" s="23">
        <v>1119.46145</v>
      </c>
      <c r="C5184" s="23">
        <v>0</v>
      </c>
    </row>
    <row r="5185" spans="1:3" x14ac:dyDescent="0.25">
      <c r="A5185">
        <v>5184</v>
      </c>
      <c r="B5185" s="23">
        <v>1119.46145</v>
      </c>
      <c r="C5185" s="23">
        <v>0</v>
      </c>
    </row>
    <row r="5186" spans="1:3" x14ac:dyDescent="0.25">
      <c r="A5186">
        <v>5185</v>
      </c>
      <c r="B5186" s="23">
        <v>1119.4079999999999</v>
      </c>
      <c r="C5186" s="23">
        <v>0</v>
      </c>
    </row>
    <row r="5187" spans="1:3" x14ac:dyDescent="0.25">
      <c r="A5187">
        <v>5186</v>
      </c>
      <c r="B5187" s="23">
        <v>1119.2977969999999</v>
      </c>
      <c r="C5187" s="23">
        <v>0</v>
      </c>
    </row>
    <row r="5188" spans="1:3" x14ac:dyDescent="0.25">
      <c r="A5188">
        <v>5187</v>
      </c>
      <c r="B5188" s="23">
        <v>1119.2</v>
      </c>
      <c r="C5188" s="23">
        <v>0</v>
      </c>
    </row>
    <row r="5189" spans="1:3" x14ac:dyDescent="0.25">
      <c r="A5189">
        <v>5188</v>
      </c>
      <c r="B5189" s="23">
        <v>1119.0192179999999</v>
      </c>
      <c r="C5189" s="23">
        <v>0</v>
      </c>
    </row>
    <row r="5190" spans="1:3" x14ac:dyDescent="0.25">
      <c r="A5190">
        <v>5189</v>
      </c>
      <c r="B5190" s="23">
        <v>1118.791291</v>
      </c>
      <c r="C5190" s="23">
        <v>0</v>
      </c>
    </row>
    <row r="5191" spans="1:3" x14ac:dyDescent="0.25">
      <c r="A5191">
        <v>5190</v>
      </c>
      <c r="B5191" s="23">
        <v>1118.789246</v>
      </c>
      <c r="C5191" s="23">
        <v>0</v>
      </c>
    </row>
    <row r="5192" spans="1:3" x14ac:dyDescent="0.25">
      <c r="A5192">
        <v>5191</v>
      </c>
      <c r="B5192" s="23">
        <v>1118.7188530000001</v>
      </c>
      <c r="C5192" s="23">
        <v>0</v>
      </c>
    </row>
    <row r="5193" spans="1:3" x14ac:dyDescent="0.25">
      <c r="A5193">
        <v>5192</v>
      </c>
      <c r="B5193" s="23">
        <v>1118.58</v>
      </c>
      <c r="C5193" s="23">
        <v>0</v>
      </c>
    </row>
    <row r="5194" spans="1:3" x14ac:dyDescent="0.25">
      <c r="A5194">
        <v>5193</v>
      </c>
      <c r="B5194" s="23">
        <v>1118.4000000000001</v>
      </c>
      <c r="C5194" s="23">
        <v>0</v>
      </c>
    </row>
    <row r="5195" spans="1:3" x14ac:dyDescent="0.25">
      <c r="A5195">
        <v>5194</v>
      </c>
      <c r="B5195" s="23">
        <v>1118.4000000000001</v>
      </c>
      <c r="C5195" s="23">
        <v>0</v>
      </c>
    </row>
    <row r="5196" spans="1:3" x14ac:dyDescent="0.25">
      <c r="A5196">
        <v>5195</v>
      </c>
      <c r="B5196" s="23">
        <v>1118.4000000000001</v>
      </c>
      <c r="C5196" s="23">
        <v>0</v>
      </c>
    </row>
    <row r="5197" spans="1:3" x14ac:dyDescent="0.25">
      <c r="A5197">
        <v>5196</v>
      </c>
      <c r="B5197" s="23">
        <v>1118.4000000000001</v>
      </c>
      <c r="C5197" s="23">
        <v>0</v>
      </c>
    </row>
    <row r="5198" spans="1:3" x14ac:dyDescent="0.25">
      <c r="A5198">
        <v>5197</v>
      </c>
      <c r="B5198" s="23">
        <v>1118.1697590000001</v>
      </c>
      <c r="C5198" s="23">
        <v>0</v>
      </c>
    </row>
    <row r="5199" spans="1:3" x14ac:dyDescent="0.25">
      <c r="A5199">
        <v>5198</v>
      </c>
      <c r="B5199" s="23">
        <v>1118.034183</v>
      </c>
      <c r="C5199" s="23">
        <v>0</v>
      </c>
    </row>
    <row r="5200" spans="1:3" x14ac:dyDescent="0.25">
      <c r="A5200">
        <v>5199</v>
      </c>
      <c r="B5200" s="23">
        <v>1117.5999999999999</v>
      </c>
      <c r="C5200" s="23">
        <v>0</v>
      </c>
    </row>
    <row r="5201" spans="1:3" x14ac:dyDescent="0.25">
      <c r="A5201">
        <v>5200</v>
      </c>
      <c r="B5201" s="23">
        <v>1117.52656</v>
      </c>
      <c r="C5201" s="23">
        <v>0</v>
      </c>
    </row>
    <row r="5202" spans="1:3" x14ac:dyDescent="0.25">
      <c r="A5202">
        <v>5201</v>
      </c>
      <c r="B5202" s="23">
        <v>1117.404</v>
      </c>
      <c r="C5202" s="23">
        <v>0</v>
      </c>
    </row>
    <row r="5203" spans="1:3" x14ac:dyDescent="0.25">
      <c r="A5203">
        <v>5202</v>
      </c>
      <c r="B5203" s="23">
        <v>1117.2372949999999</v>
      </c>
      <c r="C5203" s="23">
        <v>0</v>
      </c>
    </row>
    <row r="5204" spans="1:3" x14ac:dyDescent="0.25">
      <c r="A5204">
        <v>5203</v>
      </c>
      <c r="B5204" s="23">
        <v>1117.2372949999999</v>
      </c>
      <c r="C5204" s="23">
        <v>0</v>
      </c>
    </row>
    <row r="5205" spans="1:3" x14ac:dyDescent="0.25">
      <c r="A5205">
        <v>5204</v>
      </c>
      <c r="B5205" s="23">
        <v>1117.1320000000001</v>
      </c>
      <c r="C5205" s="23">
        <v>0</v>
      </c>
    </row>
    <row r="5206" spans="1:3" x14ac:dyDescent="0.25">
      <c r="A5206">
        <v>5205</v>
      </c>
      <c r="B5206" s="23">
        <v>1117.0450000000001</v>
      </c>
      <c r="C5206" s="23">
        <v>0</v>
      </c>
    </row>
    <row r="5207" spans="1:3" x14ac:dyDescent="0.25">
      <c r="A5207">
        <v>5206</v>
      </c>
      <c r="B5207" s="23">
        <v>1117.001135</v>
      </c>
      <c r="C5207" s="23">
        <v>0</v>
      </c>
    </row>
    <row r="5208" spans="1:3" x14ac:dyDescent="0.25">
      <c r="A5208">
        <v>5207</v>
      </c>
      <c r="B5208" s="23">
        <v>1116.8</v>
      </c>
      <c r="C5208" s="23">
        <v>0</v>
      </c>
    </row>
    <row r="5209" spans="1:3" x14ac:dyDescent="0.25">
      <c r="A5209">
        <v>5208</v>
      </c>
      <c r="B5209" s="23">
        <v>1116.4601660000001</v>
      </c>
      <c r="C5209" s="23">
        <v>0</v>
      </c>
    </row>
    <row r="5210" spans="1:3" x14ac:dyDescent="0.25">
      <c r="A5210">
        <v>5209</v>
      </c>
      <c r="B5210" s="23">
        <v>1116.444</v>
      </c>
      <c r="C5210" s="23">
        <v>0</v>
      </c>
    </row>
    <row r="5211" spans="1:3" x14ac:dyDescent="0.25">
      <c r="A5211">
        <v>5210</v>
      </c>
      <c r="B5211" s="23">
        <v>1116.4404070000001</v>
      </c>
      <c r="C5211" s="23">
        <v>0</v>
      </c>
    </row>
    <row r="5212" spans="1:3" x14ac:dyDescent="0.25">
      <c r="A5212">
        <v>5211</v>
      </c>
      <c r="B5212" s="23">
        <v>1115.643519</v>
      </c>
      <c r="C5212" s="23">
        <v>0</v>
      </c>
    </row>
    <row r="5213" spans="1:3" x14ac:dyDescent="0.25">
      <c r="A5213">
        <v>5212</v>
      </c>
      <c r="B5213" s="23">
        <v>1115.5132160000001</v>
      </c>
      <c r="C5213" s="23">
        <v>0</v>
      </c>
    </row>
    <row r="5214" spans="1:3" x14ac:dyDescent="0.25">
      <c r="A5214">
        <v>5213</v>
      </c>
      <c r="B5214" s="23">
        <v>1115.5060000000001</v>
      </c>
      <c r="C5214" s="23">
        <v>0</v>
      </c>
    </row>
    <row r="5215" spans="1:3" x14ac:dyDescent="0.25">
      <c r="A5215">
        <v>5214</v>
      </c>
      <c r="B5215" s="23">
        <v>1115.454508</v>
      </c>
      <c r="C5215" s="23">
        <v>0</v>
      </c>
    </row>
    <row r="5216" spans="1:3" x14ac:dyDescent="0.25">
      <c r="A5216">
        <v>5215</v>
      </c>
      <c r="B5216" s="23">
        <v>1115.2</v>
      </c>
      <c r="C5216" s="23">
        <v>0</v>
      </c>
    </row>
    <row r="5217" spans="1:3" x14ac:dyDescent="0.25">
      <c r="A5217">
        <v>5216</v>
      </c>
      <c r="B5217" s="23">
        <v>1115.2</v>
      </c>
      <c r="C5217" s="23">
        <v>0</v>
      </c>
    </row>
    <row r="5218" spans="1:3" x14ac:dyDescent="0.25">
      <c r="A5218">
        <v>5217</v>
      </c>
      <c r="B5218" s="23">
        <v>1115.1485439999999</v>
      </c>
      <c r="C5218" s="23">
        <v>0</v>
      </c>
    </row>
    <row r="5219" spans="1:3" x14ac:dyDescent="0.25">
      <c r="A5219">
        <v>5218</v>
      </c>
      <c r="B5219" s="23">
        <v>1114.9780000000001</v>
      </c>
      <c r="C5219" s="23">
        <v>0</v>
      </c>
    </row>
    <row r="5220" spans="1:3" x14ac:dyDescent="0.25">
      <c r="A5220">
        <v>5219</v>
      </c>
      <c r="B5220" s="23">
        <v>1114.9062899999999</v>
      </c>
      <c r="C5220" s="23">
        <v>0</v>
      </c>
    </row>
    <row r="5221" spans="1:3" x14ac:dyDescent="0.25">
      <c r="A5221">
        <v>5220</v>
      </c>
      <c r="B5221" s="23">
        <v>1114.771</v>
      </c>
      <c r="C5221" s="23">
        <v>0</v>
      </c>
    </row>
    <row r="5222" spans="1:3" x14ac:dyDescent="0.25">
      <c r="A5222">
        <v>5221</v>
      </c>
      <c r="B5222" s="23">
        <v>1114.7660000000001</v>
      </c>
      <c r="C5222" s="23">
        <v>0</v>
      </c>
    </row>
    <row r="5223" spans="1:3" x14ac:dyDescent="0.25">
      <c r="A5223">
        <v>5222</v>
      </c>
      <c r="B5223" s="23">
        <v>1114.3041619999999</v>
      </c>
      <c r="C5223" s="23">
        <v>0</v>
      </c>
    </row>
    <row r="5224" spans="1:3" x14ac:dyDescent="0.25">
      <c r="A5224">
        <v>5223</v>
      </c>
      <c r="B5224" s="23">
        <v>1114.129351</v>
      </c>
      <c r="C5224" s="23">
        <v>0</v>
      </c>
    </row>
    <row r="5225" spans="1:3" x14ac:dyDescent="0.25">
      <c r="A5225">
        <v>5224</v>
      </c>
      <c r="B5225" s="23">
        <v>1114.0820000000001</v>
      </c>
      <c r="C5225" s="23">
        <v>0</v>
      </c>
    </row>
    <row r="5226" spans="1:3" x14ac:dyDescent="0.25">
      <c r="A5226">
        <v>5225</v>
      </c>
      <c r="B5226" s="23">
        <v>1114.07314</v>
      </c>
      <c r="C5226" s="23">
        <v>0</v>
      </c>
    </row>
    <row r="5227" spans="1:3" x14ac:dyDescent="0.25">
      <c r="A5227">
        <v>5226</v>
      </c>
      <c r="B5227" s="23">
        <v>1114.07314</v>
      </c>
      <c r="C5227" s="23">
        <v>0</v>
      </c>
    </row>
    <row r="5228" spans="1:3" x14ac:dyDescent="0.25">
      <c r="A5228">
        <v>5227</v>
      </c>
      <c r="B5228" s="23">
        <v>1114.0497419999999</v>
      </c>
      <c r="C5228" s="23">
        <v>0</v>
      </c>
    </row>
    <row r="5229" spans="1:3" x14ac:dyDescent="0.25">
      <c r="A5229">
        <v>5228</v>
      </c>
      <c r="B5229" s="23">
        <v>1114.0497419999999</v>
      </c>
      <c r="C5229" s="23">
        <v>0</v>
      </c>
    </row>
    <row r="5230" spans="1:3" x14ac:dyDescent="0.25">
      <c r="A5230">
        <v>5229</v>
      </c>
      <c r="B5230" s="23">
        <v>1113.8843119999999</v>
      </c>
      <c r="C5230" s="23">
        <v>0</v>
      </c>
    </row>
    <row r="5231" spans="1:3" x14ac:dyDescent="0.25">
      <c r="A5231">
        <v>5230</v>
      </c>
      <c r="B5231" s="23">
        <v>1113.713</v>
      </c>
      <c r="C5231" s="23">
        <v>0</v>
      </c>
    </row>
    <row r="5232" spans="1:3" x14ac:dyDescent="0.25">
      <c r="A5232">
        <v>5231</v>
      </c>
      <c r="B5232" s="23">
        <v>1113.6210000000001</v>
      </c>
      <c r="C5232" s="23">
        <v>0</v>
      </c>
    </row>
    <row r="5233" spans="1:3" x14ac:dyDescent="0.25">
      <c r="A5233">
        <v>5232</v>
      </c>
      <c r="B5233" s="23">
        <v>1113.5999999999999</v>
      </c>
      <c r="C5233" s="23">
        <v>0</v>
      </c>
    </row>
    <row r="5234" spans="1:3" x14ac:dyDescent="0.25">
      <c r="A5234">
        <v>5233</v>
      </c>
      <c r="B5234" s="23">
        <v>1113.5772899999999</v>
      </c>
      <c r="C5234" s="23">
        <v>0</v>
      </c>
    </row>
    <row r="5235" spans="1:3" x14ac:dyDescent="0.25">
      <c r="A5235">
        <v>5234</v>
      </c>
      <c r="B5235" s="23">
        <v>1113.5542</v>
      </c>
      <c r="C5235" s="23">
        <v>0</v>
      </c>
    </row>
    <row r="5236" spans="1:3" x14ac:dyDescent="0.25">
      <c r="A5236">
        <v>5235</v>
      </c>
      <c r="B5236" s="23">
        <v>1113.3524130000001</v>
      </c>
      <c r="C5236" s="23">
        <v>0</v>
      </c>
    </row>
    <row r="5237" spans="1:3" x14ac:dyDescent="0.25">
      <c r="A5237">
        <v>5236</v>
      </c>
      <c r="B5237" s="23">
        <v>1113.2528540000001</v>
      </c>
      <c r="C5237" s="23">
        <v>0</v>
      </c>
    </row>
    <row r="5238" spans="1:3" x14ac:dyDescent="0.25">
      <c r="A5238">
        <v>5237</v>
      </c>
      <c r="B5238" s="23">
        <v>1113.066482</v>
      </c>
      <c r="C5238" s="23">
        <v>0</v>
      </c>
    </row>
    <row r="5239" spans="1:3" x14ac:dyDescent="0.25">
      <c r="A5239">
        <v>5238</v>
      </c>
      <c r="B5239" s="23">
        <v>1113.0576160000001</v>
      </c>
      <c r="C5239" s="23">
        <v>0</v>
      </c>
    </row>
    <row r="5240" spans="1:3" x14ac:dyDescent="0.25">
      <c r="A5240">
        <v>5239</v>
      </c>
      <c r="B5240" s="23">
        <v>1112.8</v>
      </c>
      <c r="C5240" s="23">
        <v>0</v>
      </c>
    </row>
    <row r="5241" spans="1:3" x14ac:dyDescent="0.25">
      <c r="A5241">
        <v>5240</v>
      </c>
      <c r="B5241" s="23">
        <v>1112.6917719999999</v>
      </c>
      <c r="C5241" s="23">
        <v>0</v>
      </c>
    </row>
    <row r="5242" spans="1:3" x14ac:dyDescent="0.25">
      <c r="A5242">
        <v>5241</v>
      </c>
      <c r="B5242" s="23">
        <v>1112.5754750000001</v>
      </c>
      <c r="C5242" s="23">
        <v>0</v>
      </c>
    </row>
    <row r="5243" spans="1:3" x14ac:dyDescent="0.25">
      <c r="A5243">
        <v>5242</v>
      </c>
      <c r="B5243" s="23">
        <v>1112.401685</v>
      </c>
      <c r="C5243" s="23">
        <v>0</v>
      </c>
    </row>
    <row r="5244" spans="1:3" x14ac:dyDescent="0.25">
      <c r="A5244">
        <v>5243</v>
      </c>
      <c r="B5244" s="23">
        <v>1112.083971</v>
      </c>
      <c r="C5244" s="23">
        <v>0</v>
      </c>
    </row>
    <row r="5245" spans="1:3" x14ac:dyDescent="0.25">
      <c r="A5245">
        <v>5244</v>
      </c>
      <c r="B5245" s="23">
        <v>1112.0010890000001</v>
      </c>
      <c r="C5245" s="23">
        <v>0</v>
      </c>
    </row>
    <row r="5246" spans="1:3" x14ac:dyDescent="0.25">
      <c r="A5246">
        <v>5245</v>
      </c>
      <c r="B5246" s="23">
        <v>1112</v>
      </c>
      <c r="C5246" s="23">
        <v>0</v>
      </c>
    </row>
    <row r="5247" spans="1:3" x14ac:dyDescent="0.25">
      <c r="A5247">
        <v>5246</v>
      </c>
      <c r="B5247" s="23">
        <v>1111.595</v>
      </c>
      <c r="C5247" s="23">
        <v>0</v>
      </c>
    </row>
    <row r="5248" spans="1:3" x14ac:dyDescent="0.25">
      <c r="A5248">
        <v>5247</v>
      </c>
      <c r="B5248" s="23">
        <v>1111.3104049999999</v>
      </c>
      <c r="C5248" s="23">
        <v>0</v>
      </c>
    </row>
    <row r="5249" spans="1:3" x14ac:dyDescent="0.25">
      <c r="A5249">
        <v>5248</v>
      </c>
      <c r="B5249" s="23">
        <v>1111.2</v>
      </c>
      <c r="C5249" s="23">
        <v>0</v>
      </c>
    </row>
    <row r="5250" spans="1:3" x14ac:dyDescent="0.25">
      <c r="A5250">
        <v>5249</v>
      </c>
      <c r="B5250" s="23">
        <v>1111.2</v>
      </c>
      <c r="C5250" s="23">
        <v>0</v>
      </c>
    </row>
    <row r="5251" spans="1:3" x14ac:dyDescent="0.25">
      <c r="A5251">
        <v>5250</v>
      </c>
      <c r="B5251" s="23">
        <v>1111.2</v>
      </c>
      <c r="C5251" s="23">
        <v>0</v>
      </c>
    </row>
    <row r="5252" spans="1:3" x14ac:dyDescent="0.25">
      <c r="A5252">
        <v>5251</v>
      </c>
      <c r="B5252" s="23">
        <v>1111.0215989999999</v>
      </c>
      <c r="C5252" s="23">
        <v>0</v>
      </c>
    </row>
    <row r="5253" spans="1:3" x14ac:dyDescent="0.25">
      <c r="A5253">
        <v>5252</v>
      </c>
      <c r="B5253" s="23">
        <v>1110.796</v>
      </c>
      <c r="C5253" s="23">
        <v>0</v>
      </c>
    </row>
    <row r="5254" spans="1:3" x14ac:dyDescent="0.25">
      <c r="A5254">
        <v>5253</v>
      </c>
      <c r="B5254" s="23">
        <v>1110.7080000000001</v>
      </c>
      <c r="C5254" s="23">
        <v>0</v>
      </c>
    </row>
    <row r="5255" spans="1:3" x14ac:dyDescent="0.25">
      <c r="A5255">
        <v>5254</v>
      </c>
      <c r="B5255" s="23">
        <v>1110.619721</v>
      </c>
      <c r="C5255" s="23">
        <v>0</v>
      </c>
    </row>
    <row r="5256" spans="1:3" x14ac:dyDescent="0.25">
      <c r="A5256">
        <v>5255</v>
      </c>
      <c r="B5256" s="23">
        <v>1110.619721</v>
      </c>
      <c r="C5256" s="23">
        <v>0</v>
      </c>
    </row>
    <row r="5257" spans="1:3" x14ac:dyDescent="0.25">
      <c r="A5257">
        <v>5256</v>
      </c>
      <c r="B5257" s="23">
        <v>1110.192</v>
      </c>
      <c r="C5257" s="23">
        <v>0</v>
      </c>
    </row>
    <row r="5258" spans="1:3" x14ac:dyDescent="0.25">
      <c r="A5258">
        <v>5257</v>
      </c>
      <c r="B5258" s="23">
        <v>1109.9109060000001</v>
      </c>
      <c r="C5258" s="23">
        <v>0</v>
      </c>
    </row>
    <row r="5259" spans="1:3" x14ac:dyDescent="0.25">
      <c r="A5259">
        <v>5258</v>
      </c>
      <c r="B5259" s="23">
        <v>1109.89969</v>
      </c>
      <c r="C5259" s="23">
        <v>0</v>
      </c>
    </row>
    <row r="5260" spans="1:3" x14ac:dyDescent="0.25">
      <c r="A5260">
        <v>5259</v>
      </c>
      <c r="B5260" s="23">
        <v>1109.7951619999999</v>
      </c>
      <c r="C5260" s="23">
        <v>0</v>
      </c>
    </row>
    <row r="5261" spans="1:3" x14ac:dyDescent="0.25">
      <c r="A5261">
        <v>5260</v>
      </c>
      <c r="B5261" s="23">
        <v>1109.747989</v>
      </c>
      <c r="C5261" s="23">
        <v>0</v>
      </c>
    </row>
    <row r="5262" spans="1:3" x14ac:dyDescent="0.25">
      <c r="A5262">
        <v>5261</v>
      </c>
      <c r="B5262" s="23">
        <v>1109.5999999999999</v>
      </c>
      <c r="C5262" s="23">
        <v>0</v>
      </c>
    </row>
    <row r="5263" spans="1:3" x14ac:dyDescent="0.25">
      <c r="A5263">
        <v>5262</v>
      </c>
      <c r="B5263" s="23">
        <v>1109.5999999999999</v>
      </c>
      <c r="C5263" s="23">
        <v>0</v>
      </c>
    </row>
    <row r="5264" spans="1:3" x14ac:dyDescent="0.25">
      <c r="A5264">
        <v>5263</v>
      </c>
      <c r="B5264" s="23">
        <v>1109.5999999999999</v>
      </c>
      <c r="C5264" s="23">
        <v>0</v>
      </c>
    </row>
    <row r="5265" spans="1:3" x14ac:dyDescent="0.25">
      <c r="A5265">
        <v>5264</v>
      </c>
      <c r="B5265" s="23">
        <v>1109.4280000000001</v>
      </c>
      <c r="C5265" s="23">
        <v>0</v>
      </c>
    </row>
    <row r="5266" spans="1:3" x14ac:dyDescent="0.25">
      <c r="A5266">
        <v>5265</v>
      </c>
      <c r="B5266" s="23">
        <v>1109.3055360000001</v>
      </c>
      <c r="C5266" s="23">
        <v>0</v>
      </c>
    </row>
    <row r="5267" spans="1:3" x14ac:dyDescent="0.25">
      <c r="A5267">
        <v>5266</v>
      </c>
      <c r="B5267" s="23">
        <v>1109.16417</v>
      </c>
      <c r="C5267" s="23">
        <v>0</v>
      </c>
    </row>
    <row r="5268" spans="1:3" x14ac:dyDescent="0.25">
      <c r="A5268">
        <v>5267</v>
      </c>
      <c r="B5268" s="23">
        <v>1108.8</v>
      </c>
      <c r="C5268" s="23">
        <v>0</v>
      </c>
    </row>
    <row r="5269" spans="1:3" x14ac:dyDescent="0.25">
      <c r="A5269">
        <v>5268</v>
      </c>
      <c r="B5269" s="23">
        <v>1108.431</v>
      </c>
      <c r="C5269" s="23">
        <v>0</v>
      </c>
    </row>
    <row r="5270" spans="1:3" x14ac:dyDescent="0.25">
      <c r="A5270">
        <v>5269</v>
      </c>
      <c r="B5270" s="23">
        <v>1108</v>
      </c>
      <c r="C5270" s="23">
        <v>0</v>
      </c>
    </row>
    <row r="5271" spans="1:3" x14ac:dyDescent="0.25">
      <c r="A5271">
        <v>5270</v>
      </c>
      <c r="B5271" s="23">
        <v>1108</v>
      </c>
      <c r="C5271" s="23">
        <v>0</v>
      </c>
    </row>
    <row r="5272" spans="1:3" x14ac:dyDescent="0.25">
      <c r="A5272">
        <v>5271</v>
      </c>
      <c r="B5272" s="23">
        <v>1107.674636</v>
      </c>
      <c r="C5272" s="23">
        <v>0</v>
      </c>
    </row>
    <row r="5273" spans="1:3" x14ac:dyDescent="0.25">
      <c r="A5273">
        <v>5272</v>
      </c>
      <c r="B5273" s="23">
        <v>1107.5098379999999</v>
      </c>
      <c r="C5273" s="23">
        <v>0</v>
      </c>
    </row>
    <row r="5274" spans="1:3" x14ac:dyDescent="0.25">
      <c r="A5274">
        <v>5273</v>
      </c>
      <c r="B5274" s="23">
        <v>1107.3416729999999</v>
      </c>
      <c r="C5274" s="23">
        <v>0</v>
      </c>
    </row>
    <row r="5275" spans="1:3" x14ac:dyDescent="0.25">
      <c r="A5275">
        <v>5274</v>
      </c>
      <c r="B5275" s="23">
        <v>1107.2</v>
      </c>
      <c r="C5275" s="23">
        <v>0</v>
      </c>
    </row>
    <row r="5276" spans="1:3" x14ac:dyDescent="0.25">
      <c r="A5276">
        <v>5275</v>
      </c>
      <c r="B5276" s="23">
        <v>1106.893143</v>
      </c>
      <c r="C5276" s="23">
        <v>0</v>
      </c>
    </row>
    <row r="5277" spans="1:3" x14ac:dyDescent="0.25">
      <c r="A5277">
        <v>5276</v>
      </c>
      <c r="B5277" s="23">
        <v>1106.8777480000001</v>
      </c>
      <c r="C5277" s="23">
        <v>0</v>
      </c>
    </row>
    <row r="5278" spans="1:3" x14ac:dyDescent="0.25">
      <c r="A5278">
        <v>5277</v>
      </c>
      <c r="B5278" s="23">
        <v>1106.751</v>
      </c>
      <c r="C5278" s="23">
        <v>0</v>
      </c>
    </row>
    <row r="5279" spans="1:3" x14ac:dyDescent="0.25">
      <c r="A5279">
        <v>5278</v>
      </c>
      <c r="B5279" s="23">
        <v>1106.567</v>
      </c>
      <c r="C5279" s="23">
        <v>0</v>
      </c>
    </row>
    <row r="5280" spans="1:3" x14ac:dyDescent="0.25">
      <c r="A5280">
        <v>5279</v>
      </c>
      <c r="B5280" s="23">
        <v>1106.5238429999999</v>
      </c>
      <c r="C5280" s="23">
        <v>0</v>
      </c>
    </row>
    <row r="5281" spans="1:3" x14ac:dyDescent="0.25">
      <c r="A5281">
        <v>5280</v>
      </c>
      <c r="B5281" s="23">
        <v>1106.5238429999999</v>
      </c>
      <c r="C5281" s="23">
        <v>0</v>
      </c>
    </row>
    <row r="5282" spans="1:3" x14ac:dyDescent="0.25">
      <c r="A5282">
        <v>5281</v>
      </c>
      <c r="B5282" s="23">
        <v>1106.4549999999999</v>
      </c>
      <c r="C5282" s="23">
        <v>0</v>
      </c>
    </row>
    <row r="5283" spans="1:3" x14ac:dyDescent="0.25">
      <c r="A5283">
        <v>5282</v>
      </c>
      <c r="B5283" s="23">
        <v>1106.4000000000001</v>
      </c>
      <c r="C5283" s="23">
        <v>0</v>
      </c>
    </row>
    <row r="5284" spans="1:3" x14ac:dyDescent="0.25">
      <c r="A5284">
        <v>5283</v>
      </c>
      <c r="B5284" s="23">
        <v>1106.2270000000001</v>
      </c>
      <c r="C5284" s="23">
        <v>0</v>
      </c>
    </row>
    <row r="5285" spans="1:3" x14ac:dyDescent="0.25">
      <c r="A5285">
        <v>5284</v>
      </c>
      <c r="B5285" s="23">
        <v>1105.904</v>
      </c>
      <c r="C5285" s="23">
        <v>0</v>
      </c>
    </row>
    <row r="5286" spans="1:3" x14ac:dyDescent="0.25">
      <c r="A5286">
        <v>5285</v>
      </c>
      <c r="B5286" s="23">
        <v>1105.7849329999999</v>
      </c>
      <c r="C5286" s="23">
        <v>0</v>
      </c>
    </row>
    <row r="5287" spans="1:3" x14ac:dyDescent="0.25">
      <c r="A5287">
        <v>5286</v>
      </c>
      <c r="B5287" s="23">
        <v>1105.5999999999999</v>
      </c>
      <c r="C5287" s="23">
        <v>0</v>
      </c>
    </row>
    <row r="5288" spans="1:3" x14ac:dyDescent="0.25">
      <c r="A5288">
        <v>5287</v>
      </c>
      <c r="B5288" s="23">
        <v>1105.5809999999999</v>
      </c>
      <c r="C5288" s="23">
        <v>0</v>
      </c>
    </row>
    <row r="5289" spans="1:3" x14ac:dyDescent="0.25">
      <c r="A5289">
        <v>5288</v>
      </c>
      <c r="B5289" s="23">
        <v>1105.2839719999999</v>
      </c>
      <c r="C5289" s="23">
        <v>0</v>
      </c>
    </row>
    <row r="5290" spans="1:3" x14ac:dyDescent="0.25">
      <c r="A5290">
        <v>5289</v>
      </c>
      <c r="B5290" s="23">
        <v>1105.2839719999999</v>
      </c>
      <c r="C5290" s="23">
        <v>0</v>
      </c>
    </row>
    <row r="5291" spans="1:3" x14ac:dyDescent="0.25">
      <c r="A5291">
        <v>5290</v>
      </c>
      <c r="B5291" s="23">
        <v>1105.2750000000001</v>
      </c>
      <c r="C5291" s="23">
        <v>0</v>
      </c>
    </row>
    <row r="5292" spans="1:3" x14ac:dyDescent="0.25">
      <c r="A5292">
        <v>5291</v>
      </c>
      <c r="B5292" s="23">
        <v>1105.188355</v>
      </c>
      <c r="C5292" s="23">
        <v>0</v>
      </c>
    </row>
    <row r="5293" spans="1:3" x14ac:dyDescent="0.25">
      <c r="A5293">
        <v>5292</v>
      </c>
      <c r="B5293" s="23">
        <v>1105.1745410000001</v>
      </c>
      <c r="C5293" s="23">
        <v>0</v>
      </c>
    </row>
    <row r="5294" spans="1:3" x14ac:dyDescent="0.25">
      <c r="A5294">
        <v>5293</v>
      </c>
      <c r="B5294" s="23">
        <v>1105.094249</v>
      </c>
      <c r="C5294" s="23">
        <v>0</v>
      </c>
    </row>
    <row r="5295" spans="1:3" x14ac:dyDescent="0.25">
      <c r="A5295">
        <v>5294</v>
      </c>
      <c r="B5295" s="23">
        <v>1104.9379819999999</v>
      </c>
      <c r="C5295" s="23">
        <v>0</v>
      </c>
    </row>
    <row r="5296" spans="1:3" x14ac:dyDescent="0.25">
      <c r="A5296">
        <v>5295</v>
      </c>
      <c r="B5296" s="23">
        <v>1104.8060929999999</v>
      </c>
      <c r="C5296" s="23">
        <v>0</v>
      </c>
    </row>
    <row r="5297" spans="1:3" x14ac:dyDescent="0.25">
      <c r="A5297">
        <v>5296</v>
      </c>
      <c r="B5297" s="23">
        <v>1104.482</v>
      </c>
      <c r="C5297" s="23">
        <v>0</v>
      </c>
    </row>
    <row r="5298" spans="1:3" x14ac:dyDescent="0.25">
      <c r="A5298">
        <v>5297</v>
      </c>
      <c r="B5298" s="23">
        <v>1104.273891</v>
      </c>
      <c r="C5298" s="23">
        <v>0</v>
      </c>
    </row>
    <row r="5299" spans="1:3" x14ac:dyDescent="0.25">
      <c r="A5299">
        <v>5298</v>
      </c>
      <c r="B5299" s="23">
        <v>1104.242</v>
      </c>
      <c r="C5299" s="23">
        <v>0</v>
      </c>
    </row>
    <row r="5300" spans="1:3" x14ac:dyDescent="0.25">
      <c r="A5300">
        <v>5299</v>
      </c>
      <c r="B5300" s="23">
        <v>1104.0630000000001</v>
      </c>
      <c r="C5300" s="23">
        <v>0</v>
      </c>
    </row>
    <row r="5301" spans="1:3" x14ac:dyDescent="0.25">
      <c r="A5301">
        <v>5300</v>
      </c>
      <c r="B5301" s="23">
        <v>1104.0155299999999</v>
      </c>
      <c r="C5301" s="23">
        <v>0</v>
      </c>
    </row>
    <row r="5302" spans="1:3" x14ac:dyDescent="0.25">
      <c r="A5302">
        <v>5301</v>
      </c>
      <c r="B5302" s="23">
        <v>1104</v>
      </c>
      <c r="C5302" s="23">
        <v>0</v>
      </c>
    </row>
    <row r="5303" spans="1:3" x14ac:dyDescent="0.25">
      <c r="A5303">
        <v>5302</v>
      </c>
      <c r="B5303" s="23">
        <v>1104</v>
      </c>
      <c r="C5303" s="23">
        <v>0</v>
      </c>
    </row>
    <row r="5304" spans="1:3" x14ac:dyDescent="0.25">
      <c r="A5304">
        <v>5303</v>
      </c>
      <c r="B5304" s="23">
        <v>1103.652237</v>
      </c>
      <c r="C5304" s="23">
        <v>0</v>
      </c>
    </row>
    <row r="5305" spans="1:3" x14ac:dyDescent="0.25">
      <c r="A5305">
        <v>5304</v>
      </c>
      <c r="B5305" s="23">
        <v>1103.5738819999999</v>
      </c>
      <c r="C5305" s="23">
        <v>0</v>
      </c>
    </row>
    <row r="5306" spans="1:3" x14ac:dyDescent="0.25">
      <c r="A5306">
        <v>5305</v>
      </c>
      <c r="B5306" s="23">
        <v>1103.4190000000001</v>
      </c>
      <c r="C5306" s="23">
        <v>0</v>
      </c>
    </row>
    <row r="5307" spans="1:3" x14ac:dyDescent="0.25">
      <c r="A5307">
        <v>5306</v>
      </c>
      <c r="B5307" s="23">
        <v>1103.3684029999999</v>
      </c>
      <c r="C5307" s="23">
        <v>0</v>
      </c>
    </row>
    <row r="5308" spans="1:3" x14ac:dyDescent="0.25">
      <c r="A5308">
        <v>5307</v>
      </c>
      <c r="B5308" s="23">
        <v>1103.2</v>
      </c>
      <c r="C5308" s="23">
        <v>0</v>
      </c>
    </row>
    <row r="5309" spans="1:3" x14ac:dyDescent="0.25">
      <c r="A5309">
        <v>5308</v>
      </c>
      <c r="B5309" s="23">
        <v>1103.2</v>
      </c>
      <c r="C5309" s="23">
        <v>0</v>
      </c>
    </row>
    <row r="5310" spans="1:3" x14ac:dyDescent="0.25">
      <c r="A5310">
        <v>5309</v>
      </c>
      <c r="B5310" s="23">
        <v>1102.819</v>
      </c>
      <c r="C5310" s="23">
        <v>0</v>
      </c>
    </row>
    <row r="5311" spans="1:3" x14ac:dyDescent="0.25">
      <c r="A5311">
        <v>5310</v>
      </c>
      <c r="B5311" s="23">
        <v>1102.5551230000001</v>
      </c>
      <c r="C5311" s="23">
        <v>0</v>
      </c>
    </row>
    <row r="5312" spans="1:3" x14ac:dyDescent="0.25">
      <c r="A5312">
        <v>5311</v>
      </c>
      <c r="B5312" s="23">
        <v>1102.54449</v>
      </c>
      <c r="C5312" s="23">
        <v>0</v>
      </c>
    </row>
    <row r="5313" spans="1:3" x14ac:dyDescent="0.25">
      <c r="A5313">
        <v>5312</v>
      </c>
      <c r="B5313" s="23">
        <v>1102.475279</v>
      </c>
      <c r="C5313" s="23">
        <v>0</v>
      </c>
    </row>
    <row r="5314" spans="1:3" x14ac:dyDescent="0.25">
      <c r="A5314">
        <v>5313</v>
      </c>
      <c r="B5314" s="23">
        <v>1102.4000000000001</v>
      </c>
      <c r="C5314" s="23">
        <v>0</v>
      </c>
    </row>
    <row r="5315" spans="1:3" x14ac:dyDescent="0.25">
      <c r="A5315">
        <v>5314</v>
      </c>
      <c r="B5315" s="23">
        <v>1102.4000000000001</v>
      </c>
      <c r="C5315" s="23">
        <v>0</v>
      </c>
    </row>
    <row r="5316" spans="1:3" x14ac:dyDescent="0.25">
      <c r="A5316">
        <v>5315</v>
      </c>
      <c r="B5316" s="23">
        <v>1102.325</v>
      </c>
      <c r="C5316" s="23">
        <v>0</v>
      </c>
    </row>
    <row r="5317" spans="1:3" x14ac:dyDescent="0.25">
      <c r="A5317">
        <v>5316</v>
      </c>
      <c r="B5317" s="23">
        <v>1102.069917</v>
      </c>
      <c r="C5317" s="23">
        <v>0</v>
      </c>
    </row>
    <row r="5318" spans="1:3" x14ac:dyDescent="0.25">
      <c r="A5318">
        <v>5317</v>
      </c>
      <c r="B5318" s="23">
        <v>1101.888792</v>
      </c>
      <c r="C5318" s="23">
        <v>0</v>
      </c>
    </row>
    <row r="5319" spans="1:3" x14ac:dyDescent="0.25">
      <c r="A5319">
        <v>5318</v>
      </c>
      <c r="B5319" s="23">
        <v>1101.8299050000001</v>
      </c>
      <c r="C5319" s="23">
        <v>0</v>
      </c>
    </row>
    <row r="5320" spans="1:3" x14ac:dyDescent="0.25">
      <c r="A5320">
        <v>5319</v>
      </c>
      <c r="B5320" s="23">
        <v>1101.732</v>
      </c>
      <c r="C5320" s="23">
        <v>0</v>
      </c>
    </row>
    <row r="5321" spans="1:3" x14ac:dyDescent="0.25">
      <c r="A5321">
        <v>5320</v>
      </c>
      <c r="B5321" s="23">
        <v>1101.6408300000001</v>
      </c>
      <c r="C5321" s="23">
        <v>0</v>
      </c>
    </row>
    <row r="5322" spans="1:3" x14ac:dyDescent="0.25">
      <c r="A5322">
        <v>5321</v>
      </c>
      <c r="B5322" s="23">
        <v>1101.5999999999999</v>
      </c>
      <c r="C5322" s="23">
        <v>0</v>
      </c>
    </row>
    <row r="5323" spans="1:3" x14ac:dyDescent="0.25">
      <c r="A5323">
        <v>5322</v>
      </c>
      <c r="B5323" s="23">
        <v>1101.5999999999999</v>
      </c>
      <c r="C5323" s="23">
        <v>0</v>
      </c>
    </row>
    <row r="5324" spans="1:3" x14ac:dyDescent="0.25">
      <c r="A5324">
        <v>5323</v>
      </c>
      <c r="B5324" s="23">
        <v>1101.494535</v>
      </c>
      <c r="C5324" s="23">
        <v>0</v>
      </c>
    </row>
    <row r="5325" spans="1:3" x14ac:dyDescent="0.25">
      <c r="A5325">
        <v>5324</v>
      </c>
      <c r="B5325" s="23">
        <v>1100.807</v>
      </c>
      <c r="C5325" s="23">
        <v>0</v>
      </c>
    </row>
    <row r="5326" spans="1:3" x14ac:dyDescent="0.25">
      <c r="A5326">
        <v>5325</v>
      </c>
      <c r="B5326" s="23">
        <v>1100.8</v>
      </c>
      <c r="C5326" s="23">
        <v>0</v>
      </c>
    </row>
    <row r="5327" spans="1:3" x14ac:dyDescent="0.25">
      <c r="A5327">
        <v>5326</v>
      </c>
      <c r="B5327" s="23">
        <v>1100.3879999999999</v>
      </c>
      <c r="C5327" s="23">
        <v>0</v>
      </c>
    </row>
    <row r="5328" spans="1:3" x14ac:dyDescent="0.25">
      <c r="A5328">
        <v>5327</v>
      </c>
      <c r="B5328" s="23">
        <v>1100.259462</v>
      </c>
      <c r="C5328" s="23">
        <v>0</v>
      </c>
    </row>
    <row r="5329" spans="1:3" x14ac:dyDescent="0.25">
      <c r="A5329">
        <v>5328</v>
      </c>
      <c r="B5329" s="23">
        <v>1100.259462</v>
      </c>
      <c r="C5329" s="23">
        <v>0</v>
      </c>
    </row>
    <row r="5330" spans="1:3" x14ac:dyDescent="0.25">
      <c r="A5330">
        <v>5329</v>
      </c>
      <c r="B5330" s="23">
        <v>1100.2270000000001</v>
      </c>
      <c r="C5330" s="23">
        <v>0</v>
      </c>
    </row>
    <row r="5331" spans="1:3" x14ac:dyDescent="0.25">
      <c r="A5331">
        <v>5330</v>
      </c>
      <c r="B5331" s="23">
        <v>1100.114</v>
      </c>
      <c r="C5331" s="23">
        <v>0</v>
      </c>
    </row>
    <row r="5332" spans="1:3" x14ac:dyDescent="0.25">
      <c r="A5332">
        <v>5331</v>
      </c>
      <c r="B5332" s="23">
        <v>1100.0177229999999</v>
      </c>
      <c r="C5332" s="23">
        <v>0</v>
      </c>
    </row>
    <row r="5333" spans="1:3" x14ac:dyDescent="0.25">
      <c r="A5333">
        <v>5332</v>
      </c>
      <c r="B5333" s="23">
        <v>1100</v>
      </c>
      <c r="C5333" s="23">
        <v>0</v>
      </c>
    </row>
    <row r="5334" spans="1:3" x14ac:dyDescent="0.25">
      <c r="A5334">
        <v>5333</v>
      </c>
      <c r="B5334" s="23">
        <v>1099.925344</v>
      </c>
      <c r="C5334" s="23">
        <v>0</v>
      </c>
    </row>
    <row r="5335" spans="1:3" x14ac:dyDescent="0.25">
      <c r="A5335">
        <v>5334</v>
      </c>
      <c r="B5335" s="23">
        <v>1099.60241</v>
      </c>
      <c r="C5335" s="23">
        <v>0</v>
      </c>
    </row>
    <row r="5336" spans="1:3" x14ac:dyDescent="0.25">
      <c r="A5336">
        <v>5335</v>
      </c>
      <c r="B5336" s="23">
        <v>1099.1769999999999</v>
      </c>
      <c r="C5336" s="23">
        <v>0</v>
      </c>
    </row>
    <row r="5337" spans="1:3" x14ac:dyDescent="0.25">
      <c r="A5337">
        <v>5336</v>
      </c>
      <c r="B5337" s="23">
        <v>1098.9970000000001</v>
      </c>
      <c r="C5337" s="23">
        <v>0</v>
      </c>
    </row>
    <row r="5338" spans="1:3" x14ac:dyDescent="0.25">
      <c r="A5338">
        <v>5337</v>
      </c>
      <c r="B5338" s="23">
        <v>1098.908866</v>
      </c>
      <c r="C5338" s="23">
        <v>0</v>
      </c>
    </row>
    <row r="5339" spans="1:3" x14ac:dyDescent="0.25">
      <c r="A5339">
        <v>5338</v>
      </c>
      <c r="B5339" s="23">
        <v>1098.8780939999999</v>
      </c>
      <c r="C5339" s="23">
        <v>0</v>
      </c>
    </row>
    <row r="5340" spans="1:3" x14ac:dyDescent="0.25">
      <c r="A5340">
        <v>5339</v>
      </c>
      <c r="B5340" s="23">
        <v>1098.86689</v>
      </c>
      <c r="C5340" s="23">
        <v>0</v>
      </c>
    </row>
    <row r="5341" spans="1:3" x14ac:dyDescent="0.25">
      <c r="A5341">
        <v>5340</v>
      </c>
      <c r="B5341" s="23">
        <v>1098.4580000000001</v>
      </c>
      <c r="C5341" s="23">
        <v>0</v>
      </c>
    </row>
    <row r="5342" spans="1:3" x14ac:dyDescent="0.25">
      <c r="A5342">
        <v>5341</v>
      </c>
      <c r="B5342" s="23">
        <v>1098.4000000000001</v>
      </c>
      <c r="C5342" s="23">
        <v>0</v>
      </c>
    </row>
    <row r="5343" spans="1:3" x14ac:dyDescent="0.25">
      <c r="A5343">
        <v>5342</v>
      </c>
      <c r="B5343" s="23">
        <v>1098.2270000000001</v>
      </c>
      <c r="C5343" s="23">
        <v>0</v>
      </c>
    </row>
    <row r="5344" spans="1:3" x14ac:dyDescent="0.25">
      <c r="A5344">
        <v>5343</v>
      </c>
      <c r="B5344" s="23">
        <v>1098.1261119999999</v>
      </c>
      <c r="C5344" s="23">
        <v>0</v>
      </c>
    </row>
    <row r="5345" spans="1:3" x14ac:dyDescent="0.25">
      <c r="A5345">
        <v>5344</v>
      </c>
      <c r="B5345" s="23">
        <v>1098.0768370000001</v>
      </c>
      <c r="C5345" s="23">
        <v>0</v>
      </c>
    </row>
    <row r="5346" spans="1:3" x14ac:dyDescent="0.25">
      <c r="A5346">
        <v>5345</v>
      </c>
      <c r="B5346" s="23">
        <v>1098.0622699999999</v>
      </c>
      <c r="C5346" s="23">
        <v>0</v>
      </c>
    </row>
    <row r="5347" spans="1:3" x14ac:dyDescent="0.25">
      <c r="A5347">
        <v>5346</v>
      </c>
      <c r="B5347" s="23">
        <v>1097.92</v>
      </c>
      <c r="C5347" s="23">
        <v>0</v>
      </c>
    </row>
    <row r="5348" spans="1:3" x14ac:dyDescent="0.25">
      <c r="A5348">
        <v>5347</v>
      </c>
      <c r="B5348" s="23">
        <v>1097.3958500000001</v>
      </c>
      <c r="C5348" s="23">
        <v>0</v>
      </c>
    </row>
    <row r="5349" spans="1:3" x14ac:dyDescent="0.25">
      <c r="A5349">
        <v>5348</v>
      </c>
      <c r="B5349" s="23">
        <v>1097.2</v>
      </c>
      <c r="C5349" s="23">
        <v>0</v>
      </c>
    </row>
    <row r="5350" spans="1:3" x14ac:dyDescent="0.25">
      <c r="A5350">
        <v>5349</v>
      </c>
      <c r="B5350" s="23">
        <v>1096.806043</v>
      </c>
      <c r="C5350" s="23">
        <v>0</v>
      </c>
    </row>
    <row r="5351" spans="1:3" x14ac:dyDescent="0.25">
      <c r="A5351">
        <v>5350</v>
      </c>
      <c r="B5351" s="23">
        <v>1096.7098840000001</v>
      </c>
      <c r="C5351" s="23">
        <v>0</v>
      </c>
    </row>
    <row r="5352" spans="1:3" x14ac:dyDescent="0.25">
      <c r="A5352">
        <v>5351</v>
      </c>
      <c r="B5352" s="23">
        <v>1096.259773</v>
      </c>
      <c r="C5352" s="23">
        <v>0</v>
      </c>
    </row>
    <row r="5353" spans="1:3" x14ac:dyDescent="0.25">
      <c r="A5353">
        <v>5352</v>
      </c>
      <c r="B5353" s="23">
        <v>1095.8282730000001</v>
      </c>
      <c r="C5353" s="23">
        <v>0</v>
      </c>
    </row>
    <row r="5354" spans="1:3" x14ac:dyDescent="0.25">
      <c r="A5354">
        <v>5353</v>
      </c>
      <c r="B5354" s="23">
        <v>1095.8219999999999</v>
      </c>
      <c r="C5354" s="23">
        <v>0</v>
      </c>
    </row>
    <row r="5355" spans="1:3" x14ac:dyDescent="0.25">
      <c r="A5355">
        <v>5354</v>
      </c>
      <c r="B5355" s="23">
        <v>1095.2</v>
      </c>
      <c r="C5355" s="23">
        <v>0</v>
      </c>
    </row>
    <row r="5356" spans="1:3" x14ac:dyDescent="0.25">
      <c r="A5356">
        <v>5355</v>
      </c>
      <c r="B5356" s="23">
        <v>1095.18929</v>
      </c>
      <c r="C5356" s="23">
        <v>0</v>
      </c>
    </row>
    <row r="5357" spans="1:3" x14ac:dyDescent="0.25">
      <c r="A5357">
        <v>5356</v>
      </c>
      <c r="B5357" s="23">
        <v>1095.1569999999999</v>
      </c>
      <c r="C5357" s="23">
        <v>0</v>
      </c>
    </row>
    <row r="5358" spans="1:3" x14ac:dyDescent="0.25">
      <c r="A5358">
        <v>5357</v>
      </c>
      <c r="B5358" s="23">
        <v>1094.920881</v>
      </c>
      <c r="C5358" s="23">
        <v>0</v>
      </c>
    </row>
    <row r="5359" spans="1:3" x14ac:dyDescent="0.25">
      <c r="A5359">
        <v>5358</v>
      </c>
      <c r="B5359" s="23">
        <v>1094.600874</v>
      </c>
      <c r="C5359" s="23">
        <v>0</v>
      </c>
    </row>
    <row r="5360" spans="1:3" x14ac:dyDescent="0.25">
      <c r="A5360">
        <v>5359</v>
      </c>
      <c r="B5360" s="23">
        <v>1094.52916</v>
      </c>
      <c r="C5360" s="23">
        <v>0</v>
      </c>
    </row>
    <row r="5361" spans="1:3" x14ac:dyDescent="0.25">
      <c r="A5361">
        <v>5360</v>
      </c>
      <c r="B5361" s="23">
        <v>1094.4000000000001</v>
      </c>
      <c r="C5361" s="23">
        <v>0</v>
      </c>
    </row>
    <row r="5362" spans="1:3" x14ac:dyDescent="0.25">
      <c r="A5362">
        <v>5361</v>
      </c>
      <c r="B5362" s="23">
        <v>1094.3979999999999</v>
      </c>
      <c r="C5362" s="23">
        <v>0</v>
      </c>
    </row>
    <row r="5363" spans="1:3" x14ac:dyDescent="0.25">
      <c r="A5363">
        <v>5362</v>
      </c>
      <c r="B5363" s="23">
        <v>1094.2418789999999</v>
      </c>
      <c r="C5363" s="23">
        <v>0</v>
      </c>
    </row>
    <row r="5364" spans="1:3" x14ac:dyDescent="0.25">
      <c r="A5364">
        <v>5363</v>
      </c>
      <c r="B5364" s="23">
        <v>1094.152</v>
      </c>
      <c r="C5364" s="23">
        <v>0</v>
      </c>
    </row>
    <row r="5365" spans="1:3" x14ac:dyDescent="0.25">
      <c r="A5365">
        <v>5364</v>
      </c>
      <c r="B5365" s="23">
        <v>1094.127536</v>
      </c>
      <c r="C5365" s="23">
        <v>0</v>
      </c>
    </row>
    <row r="5366" spans="1:3" x14ac:dyDescent="0.25">
      <c r="A5366">
        <v>5365</v>
      </c>
      <c r="B5366" s="23">
        <v>1093.9000000000001</v>
      </c>
      <c r="C5366" s="23">
        <v>0</v>
      </c>
    </row>
    <row r="5367" spans="1:3" x14ac:dyDescent="0.25">
      <c r="A5367">
        <v>5366</v>
      </c>
      <c r="B5367" s="23">
        <v>1093.7182499999999</v>
      </c>
      <c r="C5367" s="23">
        <v>0</v>
      </c>
    </row>
    <row r="5368" spans="1:3" x14ac:dyDescent="0.25">
      <c r="A5368">
        <v>5367</v>
      </c>
      <c r="B5368" s="23">
        <v>1093.5999999999999</v>
      </c>
      <c r="C5368" s="23">
        <v>0</v>
      </c>
    </row>
    <row r="5369" spans="1:3" x14ac:dyDescent="0.25">
      <c r="A5369">
        <v>5368</v>
      </c>
      <c r="B5369" s="23">
        <v>1093.352623</v>
      </c>
      <c r="C5369" s="23">
        <v>0</v>
      </c>
    </row>
    <row r="5370" spans="1:3" x14ac:dyDescent="0.25">
      <c r="A5370">
        <v>5369</v>
      </c>
      <c r="B5370" s="23">
        <v>1093.259</v>
      </c>
      <c r="C5370" s="23">
        <v>0</v>
      </c>
    </row>
    <row r="5371" spans="1:3" x14ac:dyDescent="0.25">
      <c r="A5371">
        <v>5370</v>
      </c>
      <c r="B5371" s="23">
        <v>1093.0432490000001</v>
      </c>
      <c r="C5371" s="23">
        <v>0</v>
      </c>
    </row>
    <row r="5372" spans="1:3" x14ac:dyDescent="0.25">
      <c r="A5372">
        <v>5371</v>
      </c>
      <c r="B5372" s="23">
        <v>1093.028</v>
      </c>
      <c r="C5372" s="23">
        <v>0</v>
      </c>
    </row>
    <row r="5373" spans="1:3" x14ac:dyDescent="0.25">
      <c r="A5373">
        <v>5372</v>
      </c>
      <c r="B5373" s="23">
        <v>1092.9827299999999</v>
      </c>
      <c r="C5373" s="23">
        <v>0</v>
      </c>
    </row>
    <row r="5374" spans="1:3" x14ac:dyDescent="0.25">
      <c r="A5374">
        <v>5373</v>
      </c>
      <c r="B5374" s="23">
        <v>1092.8</v>
      </c>
      <c r="C5374" s="23">
        <v>0</v>
      </c>
    </row>
    <row r="5375" spans="1:3" x14ac:dyDescent="0.25">
      <c r="A5375">
        <v>5374</v>
      </c>
      <c r="B5375" s="23">
        <v>1092.8</v>
      </c>
      <c r="C5375" s="23">
        <v>0</v>
      </c>
    </row>
    <row r="5376" spans="1:3" x14ac:dyDescent="0.25">
      <c r="A5376">
        <v>5375</v>
      </c>
      <c r="B5376" s="23">
        <v>1092.7</v>
      </c>
      <c r="C5376" s="23">
        <v>0</v>
      </c>
    </row>
    <row r="5377" spans="1:3" x14ac:dyDescent="0.25">
      <c r="A5377">
        <v>5376</v>
      </c>
      <c r="B5377" s="23">
        <v>1092.620735</v>
      </c>
      <c r="C5377" s="23">
        <v>0</v>
      </c>
    </row>
    <row r="5378" spans="1:3" x14ac:dyDescent="0.25">
      <c r="A5378">
        <v>5377</v>
      </c>
      <c r="B5378" s="23">
        <v>1092.491</v>
      </c>
      <c r="C5378" s="23">
        <v>0</v>
      </c>
    </row>
    <row r="5379" spans="1:3" x14ac:dyDescent="0.25">
      <c r="A5379">
        <v>5378</v>
      </c>
      <c r="B5379" s="23">
        <v>1092.2167810000001</v>
      </c>
      <c r="C5379" s="23">
        <v>0</v>
      </c>
    </row>
    <row r="5380" spans="1:3" x14ac:dyDescent="0.25">
      <c r="A5380">
        <v>5379</v>
      </c>
      <c r="B5380" s="23">
        <v>1092</v>
      </c>
      <c r="C5380" s="23">
        <v>0</v>
      </c>
    </row>
    <row r="5381" spans="1:3" x14ac:dyDescent="0.25">
      <c r="A5381">
        <v>5380</v>
      </c>
      <c r="B5381" s="23">
        <v>1092</v>
      </c>
      <c r="C5381" s="23">
        <v>0</v>
      </c>
    </row>
    <row r="5382" spans="1:3" x14ac:dyDescent="0.25">
      <c r="A5382">
        <v>5381</v>
      </c>
      <c r="B5382" s="23">
        <v>1091.6099999999999</v>
      </c>
      <c r="C5382" s="23">
        <v>0</v>
      </c>
    </row>
    <row r="5383" spans="1:3" x14ac:dyDescent="0.25">
      <c r="A5383">
        <v>5382</v>
      </c>
      <c r="B5383" s="23">
        <v>1091.598144</v>
      </c>
      <c r="C5383" s="23">
        <v>0</v>
      </c>
    </row>
    <row r="5384" spans="1:3" x14ac:dyDescent="0.25">
      <c r="A5384">
        <v>5383</v>
      </c>
      <c r="B5384" s="23">
        <v>1091.508</v>
      </c>
      <c r="C5384" s="23">
        <v>0</v>
      </c>
    </row>
    <row r="5385" spans="1:3" x14ac:dyDescent="0.25">
      <c r="A5385">
        <v>5384</v>
      </c>
      <c r="B5385" s="23">
        <v>1091.2760000000001</v>
      </c>
      <c r="C5385" s="23">
        <v>0</v>
      </c>
    </row>
    <row r="5386" spans="1:3" x14ac:dyDescent="0.25">
      <c r="A5386">
        <v>5385</v>
      </c>
      <c r="B5386" s="23">
        <v>1091.2</v>
      </c>
      <c r="C5386" s="23">
        <v>0</v>
      </c>
    </row>
    <row r="5387" spans="1:3" x14ac:dyDescent="0.25">
      <c r="A5387">
        <v>5386</v>
      </c>
      <c r="B5387" s="23">
        <v>1090.8971509999999</v>
      </c>
      <c r="C5387" s="23">
        <v>0</v>
      </c>
    </row>
    <row r="5388" spans="1:3" x14ac:dyDescent="0.25">
      <c r="A5388">
        <v>5387</v>
      </c>
      <c r="B5388" s="23">
        <v>1090.7761700000001</v>
      </c>
      <c r="C5388" s="23">
        <v>0</v>
      </c>
    </row>
    <row r="5389" spans="1:3" x14ac:dyDescent="0.25">
      <c r="A5389">
        <v>5388</v>
      </c>
      <c r="B5389" s="23">
        <v>1090.5898870000001</v>
      </c>
      <c r="C5389" s="23">
        <v>0</v>
      </c>
    </row>
    <row r="5390" spans="1:3" x14ac:dyDescent="0.25">
      <c r="A5390">
        <v>5389</v>
      </c>
      <c r="B5390" s="23">
        <v>1090.4290000000001</v>
      </c>
      <c r="C5390" s="23">
        <v>0</v>
      </c>
    </row>
    <row r="5391" spans="1:3" x14ac:dyDescent="0.25">
      <c r="A5391">
        <v>5390</v>
      </c>
      <c r="B5391" s="23">
        <v>1090.4000000000001</v>
      </c>
      <c r="C5391" s="23">
        <v>0</v>
      </c>
    </row>
    <row r="5392" spans="1:3" x14ac:dyDescent="0.25">
      <c r="A5392">
        <v>5391</v>
      </c>
      <c r="B5392" s="23">
        <v>1089.9860000000001</v>
      </c>
      <c r="C5392" s="23">
        <v>0</v>
      </c>
    </row>
    <row r="5393" spans="1:3" x14ac:dyDescent="0.25">
      <c r="A5393">
        <v>5392</v>
      </c>
      <c r="B5393" s="23">
        <v>1089.836024</v>
      </c>
      <c r="C5393" s="23">
        <v>0</v>
      </c>
    </row>
    <row r="5394" spans="1:3" x14ac:dyDescent="0.25">
      <c r="A5394">
        <v>5393</v>
      </c>
      <c r="B5394" s="23">
        <v>1089.7222159999999</v>
      </c>
      <c r="C5394" s="23">
        <v>0</v>
      </c>
    </row>
    <row r="5395" spans="1:3" x14ac:dyDescent="0.25">
      <c r="A5395">
        <v>5394</v>
      </c>
      <c r="B5395" s="23">
        <v>1089.5999999999999</v>
      </c>
      <c r="C5395" s="23">
        <v>0</v>
      </c>
    </row>
    <row r="5396" spans="1:3" x14ac:dyDescent="0.25">
      <c r="A5396">
        <v>5395</v>
      </c>
      <c r="B5396" s="23">
        <v>1089.5999999999999</v>
      </c>
      <c r="C5396" s="23">
        <v>0</v>
      </c>
    </row>
    <row r="5397" spans="1:3" x14ac:dyDescent="0.25">
      <c r="A5397">
        <v>5396</v>
      </c>
      <c r="B5397" s="23">
        <v>1089.279</v>
      </c>
      <c r="C5397" s="23">
        <v>0</v>
      </c>
    </row>
    <row r="5398" spans="1:3" x14ac:dyDescent="0.25">
      <c r="A5398">
        <v>5397</v>
      </c>
      <c r="B5398" s="23">
        <v>1089.2673299999999</v>
      </c>
      <c r="C5398" s="23">
        <v>0</v>
      </c>
    </row>
    <row r="5399" spans="1:3" x14ac:dyDescent="0.25">
      <c r="A5399">
        <v>5398</v>
      </c>
      <c r="B5399" s="23">
        <v>1088.8</v>
      </c>
      <c r="C5399" s="23">
        <v>0</v>
      </c>
    </row>
    <row r="5400" spans="1:3" x14ac:dyDescent="0.25">
      <c r="A5400">
        <v>5399</v>
      </c>
      <c r="B5400" s="23">
        <v>1088.8</v>
      </c>
      <c r="C5400" s="23">
        <v>0</v>
      </c>
    </row>
    <row r="5401" spans="1:3" x14ac:dyDescent="0.25">
      <c r="A5401">
        <v>5400</v>
      </c>
      <c r="B5401" s="23">
        <v>1088.8</v>
      </c>
      <c r="C5401" s="23">
        <v>0</v>
      </c>
    </row>
    <row r="5402" spans="1:3" x14ac:dyDescent="0.25">
      <c r="A5402">
        <v>5401</v>
      </c>
      <c r="B5402" s="23">
        <v>1088.8</v>
      </c>
      <c r="C5402" s="23">
        <v>0</v>
      </c>
    </row>
    <row r="5403" spans="1:3" x14ac:dyDescent="0.25">
      <c r="A5403">
        <v>5402</v>
      </c>
      <c r="B5403" s="23">
        <v>1088.8</v>
      </c>
      <c r="C5403" s="23">
        <v>0</v>
      </c>
    </row>
    <row r="5404" spans="1:3" x14ac:dyDescent="0.25">
      <c r="A5404">
        <v>5403</v>
      </c>
      <c r="B5404" s="23">
        <v>1088.675</v>
      </c>
      <c r="C5404" s="23">
        <v>0</v>
      </c>
    </row>
    <row r="5405" spans="1:3" x14ac:dyDescent="0.25">
      <c r="A5405">
        <v>5404</v>
      </c>
      <c r="B5405" s="23">
        <v>1088.5696089999999</v>
      </c>
      <c r="C5405" s="23">
        <v>0</v>
      </c>
    </row>
    <row r="5406" spans="1:3" x14ac:dyDescent="0.25">
      <c r="A5406">
        <v>5405</v>
      </c>
      <c r="B5406" s="23">
        <v>1088.3230000000001</v>
      </c>
      <c r="C5406" s="23">
        <v>0</v>
      </c>
    </row>
    <row r="5407" spans="1:3" x14ac:dyDescent="0.25">
      <c r="A5407">
        <v>5406</v>
      </c>
      <c r="B5407" s="23">
        <v>1088.1963330000001</v>
      </c>
      <c r="C5407" s="23">
        <v>0</v>
      </c>
    </row>
    <row r="5408" spans="1:3" x14ac:dyDescent="0.25">
      <c r="A5408">
        <v>5407</v>
      </c>
      <c r="B5408" s="23">
        <v>1088</v>
      </c>
      <c r="C5408" s="23">
        <v>0</v>
      </c>
    </row>
    <row r="5409" spans="1:3" x14ac:dyDescent="0.25">
      <c r="A5409">
        <v>5408</v>
      </c>
      <c r="B5409" s="23">
        <v>1088</v>
      </c>
      <c r="C5409" s="23">
        <v>0</v>
      </c>
    </row>
    <row r="5410" spans="1:3" x14ac:dyDescent="0.25">
      <c r="A5410">
        <v>5409</v>
      </c>
      <c r="B5410" s="23">
        <v>1087.883</v>
      </c>
      <c r="C5410" s="23">
        <v>0</v>
      </c>
    </row>
    <row r="5411" spans="1:3" x14ac:dyDescent="0.25">
      <c r="A5411">
        <v>5410</v>
      </c>
      <c r="B5411" s="23">
        <v>1087.8340889999999</v>
      </c>
      <c r="C5411" s="23">
        <v>0</v>
      </c>
    </row>
    <row r="5412" spans="1:3" x14ac:dyDescent="0.25">
      <c r="A5412">
        <v>5411</v>
      </c>
      <c r="B5412" s="23">
        <v>1087.8340889999999</v>
      </c>
      <c r="C5412" s="23">
        <v>0</v>
      </c>
    </row>
    <row r="5413" spans="1:3" x14ac:dyDescent="0.25">
      <c r="A5413">
        <v>5412</v>
      </c>
      <c r="B5413" s="23">
        <v>1087.8271520000001</v>
      </c>
      <c r="C5413" s="23">
        <v>0</v>
      </c>
    </row>
    <row r="5414" spans="1:3" x14ac:dyDescent="0.25">
      <c r="A5414">
        <v>5413</v>
      </c>
      <c r="B5414" s="23">
        <v>1087.4828789999999</v>
      </c>
      <c r="C5414" s="23">
        <v>0</v>
      </c>
    </row>
    <row r="5415" spans="1:3" x14ac:dyDescent="0.25">
      <c r="A5415">
        <v>5414</v>
      </c>
      <c r="B5415" s="23">
        <v>1087.3440000000001</v>
      </c>
      <c r="C5415" s="23">
        <v>0</v>
      </c>
    </row>
    <row r="5416" spans="1:3" x14ac:dyDescent="0.25">
      <c r="A5416">
        <v>5415</v>
      </c>
      <c r="B5416" s="23">
        <v>1087.2</v>
      </c>
      <c r="C5416" s="23">
        <v>0</v>
      </c>
    </row>
    <row r="5417" spans="1:3" x14ac:dyDescent="0.25">
      <c r="A5417">
        <v>5416</v>
      </c>
      <c r="B5417" s="23">
        <v>1087.115</v>
      </c>
      <c r="C5417" s="23">
        <v>0</v>
      </c>
    </row>
    <row r="5418" spans="1:3" x14ac:dyDescent="0.25">
      <c r="A5418">
        <v>5417</v>
      </c>
      <c r="B5418" s="23">
        <v>1087.06639</v>
      </c>
      <c r="C5418" s="23">
        <v>0</v>
      </c>
    </row>
    <row r="5419" spans="1:3" x14ac:dyDescent="0.25">
      <c r="A5419">
        <v>5418</v>
      </c>
      <c r="B5419" s="23">
        <v>1086.6310000000001</v>
      </c>
      <c r="C5419" s="23">
        <v>0</v>
      </c>
    </row>
    <row r="5420" spans="1:3" x14ac:dyDescent="0.25">
      <c r="A5420">
        <v>5419</v>
      </c>
      <c r="B5420" s="23">
        <v>1086.6179999999999</v>
      </c>
      <c r="C5420" s="23">
        <v>0</v>
      </c>
    </row>
    <row r="5421" spans="1:3" x14ac:dyDescent="0.25">
      <c r="A5421">
        <v>5420</v>
      </c>
      <c r="B5421" s="23">
        <v>1086.4000000000001</v>
      </c>
      <c r="C5421" s="23">
        <v>0</v>
      </c>
    </row>
    <row r="5422" spans="1:3" x14ac:dyDescent="0.25">
      <c r="A5422">
        <v>5421</v>
      </c>
      <c r="B5422" s="23">
        <v>1086.4000000000001</v>
      </c>
      <c r="C5422" s="23">
        <v>0</v>
      </c>
    </row>
    <row r="5423" spans="1:3" x14ac:dyDescent="0.25">
      <c r="A5423">
        <v>5422</v>
      </c>
      <c r="B5423" s="23">
        <v>1086.354</v>
      </c>
      <c r="C5423" s="23">
        <v>0</v>
      </c>
    </row>
    <row r="5424" spans="1:3" x14ac:dyDescent="0.25">
      <c r="A5424">
        <v>5423</v>
      </c>
      <c r="B5424" s="23">
        <v>1086.2247649999999</v>
      </c>
      <c r="C5424" s="23">
        <v>0</v>
      </c>
    </row>
    <row r="5425" spans="1:3" x14ac:dyDescent="0.25">
      <c r="A5425">
        <v>5424</v>
      </c>
      <c r="B5425" s="23">
        <v>1085.986095</v>
      </c>
      <c r="C5425" s="23">
        <v>0</v>
      </c>
    </row>
    <row r="5426" spans="1:3" x14ac:dyDescent="0.25">
      <c r="A5426">
        <v>5425</v>
      </c>
      <c r="B5426" s="23">
        <v>1085.7551000000001</v>
      </c>
      <c r="C5426" s="23">
        <v>0</v>
      </c>
    </row>
    <row r="5427" spans="1:3" x14ac:dyDescent="0.25">
      <c r="A5427">
        <v>5426</v>
      </c>
      <c r="B5427" s="23">
        <v>1085.7551000000001</v>
      </c>
      <c r="C5427" s="23">
        <v>0</v>
      </c>
    </row>
    <row r="5428" spans="1:3" x14ac:dyDescent="0.25">
      <c r="A5428">
        <v>5427</v>
      </c>
      <c r="B5428" s="23">
        <v>1085.6379999999999</v>
      </c>
      <c r="C5428" s="23">
        <v>0</v>
      </c>
    </row>
    <row r="5429" spans="1:3" x14ac:dyDescent="0.25">
      <c r="A5429">
        <v>5428</v>
      </c>
      <c r="B5429" s="23">
        <v>1085.5999999999999</v>
      </c>
      <c r="C5429" s="23">
        <v>0</v>
      </c>
    </row>
    <row r="5430" spans="1:3" x14ac:dyDescent="0.25">
      <c r="A5430">
        <v>5429</v>
      </c>
      <c r="B5430" s="23">
        <v>1085.5999999999999</v>
      </c>
      <c r="C5430" s="23">
        <v>0</v>
      </c>
    </row>
    <row r="5431" spans="1:3" x14ac:dyDescent="0.25">
      <c r="A5431">
        <v>5430</v>
      </c>
      <c r="B5431" s="23">
        <v>1084.8920089999999</v>
      </c>
      <c r="C5431" s="23">
        <v>0</v>
      </c>
    </row>
    <row r="5432" spans="1:3" x14ac:dyDescent="0.25">
      <c r="A5432">
        <v>5431</v>
      </c>
      <c r="B5432" s="23">
        <v>1084.8</v>
      </c>
      <c r="C5432" s="23">
        <v>0</v>
      </c>
    </row>
    <row r="5433" spans="1:3" x14ac:dyDescent="0.25">
      <c r="A5433">
        <v>5432</v>
      </c>
      <c r="B5433" s="23">
        <v>1084.8</v>
      </c>
      <c r="C5433" s="23">
        <v>0</v>
      </c>
    </row>
    <row r="5434" spans="1:3" x14ac:dyDescent="0.25">
      <c r="A5434">
        <v>5433</v>
      </c>
      <c r="B5434" s="23">
        <v>1084.373732</v>
      </c>
      <c r="C5434" s="23">
        <v>0</v>
      </c>
    </row>
    <row r="5435" spans="1:3" x14ac:dyDescent="0.25">
      <c r="A5435">
        <v>5434</v>
      </c>
      <c r="B5435" s="23">
        <v>1084.089733</v>
      </c>
      <c r="C5435" s="23">
        <v>0</v>
      </c>
    </row>
    <row r="5436" spans="1:3" x14ac:dyDescent="0.25">
      <c r="A5436">
        <v>5435</v>
      </c>
      <c r="B5436" s="23">
        <v>1083.9780000000001</v>
      </c>
      <c r="C5436" s="23">
        <v>0</v>
      </c>
    </row>
    <row r="5437" spans="1:3" x14ac:dyDescent="0.25">
      <c r="A5437">
        <v>5436</v>
      </c>
      <c r="B5437" s="23">
        <v>1083.8130000000001</v>
      </c>
      <c r="C5437" s="23">
        <v>0</v>
      </c>
    </row>
    <row r="5438" spans="1:3" x14ac:dyDescent="0.25">
      <c r="A5438">
        <v>5437</v>
      </c>
      <c r="B5438" s="23">
        <v>1083.651445</v>
      </c>
      <c r="C5438" s="23">
        <v>0</v>
      </c>
    </row>
    <row r="5439" spans="1:3" x14ac:dyDescent="0.25">
      <c r="A5439">
        <v>5438</v>
      </c>
      <c r="B5439" s="23">
        <v>1083.640744</v>
      </c>
      <c r="C5439" s="23">
        <v>0</v>
      </c>
    </row>
    <row r="5440" spans="1:3" x14ac:dyDescent="0.25">
      <c r="A5440">
        <v>5439</v>
      </c>
      <c r="B5440" s="23">
        <v>1083.2</v>
      </c>
      <c r="C5440" s="23">
        <v>0</v>
      </c>
    </row>
    <row r="5441" spans="1:3" x14ac:dyDescent="0.25">
      <c r="A5441">
        <v>5440</v>
      </c>
      <c r="B5441" s="23">
        <v>1083.2</v>
      </c>
      <c r="C5441" s="23">
        <v>0</v>
      </c>
    </row>
    <row r="5442" spans="1:3" x14ac:dyDescent="0.25">
      <c r="A5442">
        <v>5441</v>
      </c>
      <c r="B5442" s="23">
        <v>1083.1261850000001</v>
      </c>
      <c r="C5442" s="23">
        <v>0</v>
      </c>
    </row>
    <row r="5443" spans="1:3" x14ac:dyDescent="0.25">
      <c r="A5443">
        <v>5442</v>
      </c>
      <c r="B5443" s="23">
        <v>1082.992364</v>
      </c>
      <c r="C5443" s="23">
        <v>0</v>
      </c>
    </row>
    <row r="5444" spans="1:3" x14ac:dyDescent="0.25">
      <c r="A5444">
        <v>5443</v>
      </c>
      <c r="B5444" s="23">
        <v>1082.942</v>
      </c>
      <c r="C5444" s="23">
        <v>0</v>
      </c>
    </row>
    <row r="5445" spans="1:3" x14ac:dyDescent="0.25">
      <c r="A5445">
        <v>5444</v>
      </c>
      <c r="B5445" s="23">
        <v>1082.8362239999999</v>
      </c>
      <c r="C5445" s="23">
        <v>0</v>
      </c>
    </row>
    <row r="5446" spans="1:3" x14ac:dyDescent="0.25">
      <c r="A5446">
        <v>5445</v>
      </c>
      <c r="B5446" s="23">
        <v>1082.752</v>
      </c>
      <c r="C5446" s="23">
        <v>0</v>
      </c>
    </row>
    <row r="5447" spans="1:3" x14ac:dyDescent="0.25">
      <c r="A5447">
        <v>5446</v>
      </c>
      <c r="B5447" s="23">
        <v>1082.4000000000001</v>
      </c>
      <c r="C5447" s="23">
        <v>0</v>
      </c>
    </row>
    <row r="5448" spans="1:3" x14ac:dyDescent="0.25">
      <c r="A5448">
        <v>5447</v>
      </c>
      <c r="B5448" s="23">
        <v>1082.4000000000001</v>
      </c>
      <c r="C5448" s="23">
        <v>0</v>
      </c>
    </row>
    <row r="5449" spans="1:3" x14ac:dyDescent="0.25">
      <c r="A5449">
        <v>5448</v>
      </c>
      <c r="B5449" s="23">
        <v>1082.229</v>
      </c>
      <c r="C5449" s="23">
        <v>0</v>
      </c>
    </row>
    <row r="5450" spans="1:3" x14ac:dyDescent="0.25">
      <c r="A5450">
        <v>5449</v>
      </c>
      <c r="B5450" s="23">
        <v>1082.174213</v>
      </c>
      <c r="C5450" s="23">
        <v>0</v>
      </c>
    </row>
    <row r="5451" spans="1:3" x14ac:dyDescent="0.25">
      <c r="A5451">
        <v>5450</v>
      </c>
      <c r="B5451" s="23">
        <v>1081.973</v>
      </c>
      <c r="C5451" s="23">
        <v>0</v>
      </c>
    </row>
    <row r="5452" spans="1:3" x14ac:dyDescent="0.25">
      <c r="A5452">
        <v>5451</v>
      </c>
      <c r="B5452" s="23">
        <v>1081.9499290000001</v>
      </c>
      <c r="C5452" s="23">
        <v>0</v>
      </c>
    </row>
    <row r="5453" spans="1:3" x14ac:dyDescent="0.25">
      <c r="A5453">
        <v>5452</v>
      </c>
      <c r="B5453" s="23">
        <v>1081.610997</v>
      </c>
      <c r="C5453" s="23">
        <v>0</v>
      </c>
    </row>
    <row r="5454" spans="1:3" x14ac:dyDescent="0.25">
      <c r="A5454">
        <v>5453</v>
      </c>
      <c r="B5454" s="23">
        <v>1081.511</v>
      </c>
      <c r="C5454" s="23">
        <v>0</v>
      </c>
    </row>
    <row r="5455" spans="1:3" x14ac:dyDescent="0.25">
      <c r="A5455">
        <v>5454</v>
      </c>
      <c r="B5455" s="23">
        <v>1081.3773249999999</v>
      </c>
      <c r="C5455" s="23">
        <v>0</v>
      </c>
    </row>
    <row r="5456" spans="1:3" x14ac:dyDescent="0.25">
      <c r="A5456">
        <v>5455</v>
      </c>
      <c r="B5456" s="23">
        <v>1081.2760000000001</v>
      </c>
      <c r="C5456" s="23">
        <v>0</v>
      </c>
    </row>
    <row r="5457" spans="1:3" x14ac:dyDescent="0.25">
      <c r="A5457">
        <v>5456</v>
      </c>
      <c r="B5457" s="23">
        <v>1081.252</v>
      </c>
      <c r="C5457" s="23">
        <v>0</v>
      </c>
    </row>
    <row r="5458" spans="1:3" x14ac:dyDescent="0.25">
      <c r="A5458">
        <v>5457</v>
      </c>
      <c r="B5458" s="23">
        <v>1081.2144089999999</v>
      </c>
      <c r="C5458" s="23">
        <v>0</v>
      </c>
    </row>
    <row r="5459" spans="1:3" x14ac:dyDescent="0.25">
      <c r="A5459">
        <v>5458</v>
      </c>
      <c r="B5459" s="23">
        <v>1081.171116</v>
      </c>
      <c r="C5459" s="23">
        <v>0</v>
      </c>
    </row>
    <row r="5460" spans="1:3" x14ac:dyDescent="0.25">
      <c r="A5460">
        <v>5459</v>
      </c>
      <c r="B5460" s="23">
        <v>1081.05</v>
      </c>
      <c r="C5460" s="23">
        <v>0</v>
      </c>
    </row>
    <row r="5461" spans="1:3" x14ac:dyDescent="0.25">
      <c r="A5461">
        <v>5460</v>
      </c>
      <c r="B5461" s="23">
        <v>1080.9570000000001</v>
      </c>
      <c r="C5461" s="23">
        <v>0</v>
      </c>
    </row>
    <row r="5462" spans="1:3" x14ac:dyDescent="0.25">
      <c r="A5462">
        <v>5461</v>
      </c>
      <c r="B5462" s="23">
        <v>1080.8</v>
      </c>
      <c r="C5462" s="23">
        <v>0</v>
      </c>
    </row>
    <row r="5463" spans="1:3" x14ac:dyDescent="0.25">
      <c r="A5463">
        <v>5462</v>
      </c>
      <c r="B5463" s="23">
        <v>1080.8</v>
      </c>
      <c r="C5463" s="23">
        <v>0</v>
      </c>
    </row>
    <row r="5464" spans="1:3" x14ac:dyDescent="0.25">
      <c r="A5464">
        <v>5463</v>
      </c>
      <c r="B5464" s="23">
        <v>1080.5804370000001</v>
      </c>
      <c r="C5464" s="23">
        <v>0</v>
      </c>
    </row>
    <row r="5465" spans="1:3" x14ac:dyDescent="0.25">
      <c r="A5465">
        <v>5464</v>
      </c>
      <c r="B5465" s="23">
        <v>1080.559</v>
      </c>
      <c r="C5465" s="23">
        <v>0</v>
      </c>
    </row>
    <row r="5466" spans="1:3" x14ac:dyDescent="0.25">
      <c r="A5466">
        <v>5465</v>
      </c>
      <c r="B5466" s="23">
        <v>1080.396</v>
      </c>
      <c r="C5466" s="23">
        <v>0</v>
      </c>
    </row>
    <row r="5467" spans="1:3" x14ac:dyDescent="0.25">
      <c r="A5467">
        <v>5466</v>
      </c>
      <c r="B5467" s="23">
        <v>1080.0540000000001</v>
      </c>
      <c r="C5467" s="23">
        <v>0</v>
      </c>
    </row>
    <row r="5468" spans="1:3" x14ac:dyDescent="0.25">
      <c r="A5468">
        <v>5467</v>
      </c>
      <c r="B5468" s="23">
        <v>1080</v>
      </c>
      <c r="C5468" s="23">
        <v>0</v>
      </c>
    </row>
    <row r="5469" spans="1:3" x14ac:dyDescent="0.25">
      <c r="A5469">
        <v>5468</v>
      </c>
      <c r="B5469" s="23">
        <v>1079.761634</v>
      </c>
      <c r="C5469" s="23">
        <v>0</v>
      </c>
    </row>
    <row r="5470" spans="1:3" x14ac:dyDescent="0.25">
      <c r="A5470">
        <v>5469</v>
      </c>
      <c r="B5470" s="23">
        <v>1079.5909999999999</v>
      </c>
      <c r="C5470" s="23">
        <v>0</v>
      </c>
    </row>
    <row r="5471" spans="1:3" x14ac:dyDescent="0.25">
      <c r="A5471">
        <v>5470</v>
      </c>
      <c r="B5471" s="23">
        <v>1079.207359</v>
      </c>
      <c r="C5471" s="23">
        <v>0</v>
      </c>
    </row>
    <row r="5472" spans="1:3" x14ac:dyDescent="0.25">
      <c r="A5472">
        <v>5471</v>
      </c>
      <c r="B5472" s="23">
        <v>1079.2</v>
      </c>
      <c r="C5472" s="23">
        <v>0</v>
      </c>
    </row>
    <row r="5473" spans="1:3" x14ac:dyDescent="0.25">
      <c r="A5473">
        <v>5472</v>
      </c>
      <c r="B5473" s="23">
        <v>1078.98666</v>
      </c>
      <c r="C5473" s="23">
        <v>0</v>
      </c>
    </row>
    <row r="5474" spans="1:3" x14ac:dyDescent="0.25">
      <c r="A5474">
        <v>5473</v>
      </c>
      <c r="B5474" s="23">
        <v>1078.8482610000001</v>
      </c>
      <c r="C5474" s="23">
        <v>0</v>
      </c>
    </row>
    <row r="5475" spans="1:3" x14ac:dyDescent="0.25">
      <c r="A5475">
        <v>5474</v>
      </c>
      <c r="B5475" s="23">
        <v>1078.4000000000001</v>
      </c>
      <c r="C5475" s="23">
        <v>0</v>
      </c>
    </row>
    <row r="5476" spans="1:3" x14ac:dyDescent="0.25">
      <c r="A5476">
        <v>5475</v>
      </c>
      <c r="B5476" s="23">
        <v>1078.2723289999999</v>
      </c>
      <c r="C5476" s="23">
        <v>0</v>
      </c>
    </row>
    <row r="5477" spans="1:3" x14ac:dyDescent="0.25">
      <c r="A5477">
        <v>5476</v>
      </c>
      <c r="B5477" s="23">
        <v>1078.188191</v>
      </c>
      <c r="C5477" s="23">
        <v>0</v>
      </c>
    </row>
    <row r="5478" spans="1:3" x14ac:dyDescent="0.25">
      <c r="A5478">
        <v>5477</v>
      </c>
      <c r="B5478" s="23">
        <v>1078.088</v>
      </c>
      <c r="C5478" s="23">
        <v>0</v>
      </c>
    </row>
    <row r="5479" spans="1:3" x14ac:dyDescent="0.25">
      <c r="A5479">
        <v>5478</v>
      </c>
      <c r="B5479" s="23">
        <v>1078.0450000000001</v>
      </c>
      <c r="C5479" s="23">
        <v>0</v>
      </c>
    </row>
    <row r="5480" spans="1:3" x14ac:dyDescent="0.25">
      <c r="A5480">
        <v>5479</v>
      </c>
      <c r="B5480" s="23">
        <v>1077.8997959999999</v>
      </c>
      <c r="C5480" s="23">
        <v>0</v>
      </c>
    </row>
    <row r="5481" spans="1:3" x14ac:dyDescent="0.25">
      <c r="A5481">
        <v>5480</v>
      </c>
      <c r="B5481" s="23">
        <v>1077.866</v>
      </c>
      <c r="C5481" s="23">
        <v>0</v>
      </c>
    </row>
    <row r="5482" spans="1:3" x14ac:dyDescent="0.25">
      <c r="A5482">
        <v>5481</v>
      </c>
      <c r="B5482" s="23">
        <v>1077.826912</v>
      </c>
      <c r="C5482" s="23">
        <v>0</v>
      </c>
    </row>
    <row r="5483" spans="1:3" x14ac:dyDescent="0.25">
      <c r="A5483">
        <v>5482</v>
      </c>
      <c r="B5483" s="23">
        <v>1077.5999999999999</v>
      </c>
      <c r="C5483" s="23">
        <v>0</v>
      </c>
    </row>
    <row r="5484" spans="1:3" x14ac:dyDescent="0.25">
      <c r="A5484">
        <v>5483</v>
      </c>
      <c r="B5484" s="23">
        <v>1077.5999999999999</v>
      </c>
      <c r="C5484" s="23">
        <v>0</v>
      </c>
    </row>
    <row r="5485" spans="1:3" x14ac:dyDescent="0.25">
      <c r="A5485">
        <v>5484</v>
      </c>
      <c r="B5485" s="23">
        <v>1077.572666</v>
      </c>
      <c r="C5485" s="23">
        <v>0</v>
      </c>
    </row>
    <row r="5486" spans="1:3" x14ac:dyDescent="0.25">
      <c r="A5486">
        <v>5485</v>
      </c>
      <c r="B5486" s="23">
        <v>1077.5368089999999</v>
      </c>
      <c r="C5486" s="23">
        <v>0</v>
      </c>
    </row>
    <row r="5487" spans="1:3" x14ac:dyDescent="0.25">
      <c r="A5487">
        <v>5486</v>
      </c>
      <c r="B5487" s="23">
        <v>1077.466893</v>
      </c>
      <c r="C5487" s="23">
        <v>0</v>
      </c>
    </row>
    <row r="5488" spans="1:3" x14ac:dyDescent="0.25">
      <c r="A5488">
        <v>5487</v>
      </c>
      <c r="B5488" s="23">
        <v>1077.4462149999999</v>
      </c>
      <c r="C5488" s="23">
        <v>0</v>
      </c>
    </row>
    <row r="5489" spans="1:3" x14ac:dyDescent="0.25">
      <c r="A5489">
        <v>5488</v>
      </c>
      <c r="B5489" s="23">
        <v>1077.3961409999999</v>
      </c>
      <c r="C5489" s="23">
        <v>0</v>
      </c>
    </row>
    <row r="5490" spans="1:3" x14ac:dyDescent="0.25">
      <c r="A5490">
        <v>5489</v>
      </c>
      <c r="B5490" s="23">
        <v>1077.2909999999999</v>
      </c>
      <c r="C5490" s="23">
        <v>0</v>
      </c>
    </row>
    <row r="5491" spans="1:3" x14ac:dyDescent="0.25">
      <c r="A5491">
        <v>5490</v>
      </c>
      <c r="B5491" s="23">
        <v>1076.9382800000001</v>
      </c>
      <c r="C5491" s="23">
        <v>0</v>
      </c>
    </row>
    <row r="5492" spans="1:3" x14ac:dyDescent="0.25">
      <c r="A5492">
        <v>5491</v>
      </c>
      <c r="B5492" s="23">
        <v>1076.917134</v>
      </c>
      <c r="C5492" s="23">
        <v>0</v>
      </c>
    </row>
    <row r="5493" spans="1:3" x14ac:dyDescent="0.25">
      <c r="A5493">
        <v>5492</v>
      </c>
      <c r="B5493" s="23">
        <v>1076.8</v>
      </c>
      <c r="C5493" s="23">
        <v>0</v>
      </c>
    </row>
    <row r="5494" spans="1:3" x14ac:dyDescent="0.25">
      <c r="A5494">
        <v>5493</v>
      </c>
      <c r="B5494" s="23">
        <v>1076.8</v>
      </c>
      <c r="C5494" s="23">
        <v>0</v>
      </c>
    </row>
    <row r="5495" spans="1:3" x14ac:dyDescent="0.25">
      <c r="A5495">
        <v>5494</v>
      </c>
      <c r="B5495" s="23">
        <v>1076.722</v>
      </c>
      <c r="C5495" s="23">
        <v>0</v>
      </c>
    </row>
    <row r="5496" spans="1:3" x14ac:dyDescent="0.25">
      <c r="A5496">
        <v>5495</v>
      </c>
      <c r="B5496" s="23">
        <v>1076.3005009999999</v>
      </c>
      <c r="C5496" s="23">
        <v>0</v>
      </c>
    </row>
    <row r="5497" spans="1:3" x14ac:dyDescent="0.25">
      <c r="A5497">
        <v>5496</v>
      </c>
      <c r="B5497" s="23">
        <v>1076.085525</v>
      </c>
      <c r="C5497" s="23">
        <v>0</v>
      </c>
    </row>
    <row r="5498" spans="1:3" x14ac:dyDescent="0.25">
      <c r="A5498">
        <v>5497</v>
      </c>
      <c r="B5498" s="23">
        <v>1076.085525</v>
      </c>
      <c r="C5498" s="23">
        <v>0</v>
      </c>
    </row>
    <row r="5499" spans="1:3" x14ac:dyDescent="0.25">
      <c r="A5499">
        <v>5498</v>
      </c>
      <c r="B5499" s="23">
        <v>1076.085525</v>
      </c>
      <c r="C5499" s="23">
        <v>0</v>
      </c>
    </row>
    <row r="5500" spans="1:3" x14ac:dyDescent="0.25">
      <c r="A5500">
        <v>5499</v>
      </c>
      <c r="B5500" s="23">
        <v>1076.059381</v>
      </c>
      <c r="C5500" s="23">
        <v>0</v>
      </c>
    </row>
    <row r="5501" spans="1:3" x14ac:dyDescent="0.25">
      <c r="A5501">
        <v>5500</v>
      </c>
      <c r="B5501" s="23">
        <v>1076</v>
      </c>
      <c r="C5501" s="23">
        <v>0</v>
      </c>
    </row>
    <row r="5502" spans="1:3" x14ac:dyDescent="0.25">
      <c r="A5502">
        <v>5501</v>
      </c>
      <c r="B5502" s="23">
        <v>1076</v>
      </c>
      <c r="C5502" s="23">
        <v>0</v>
      </c>
    </row>
    <row r="5503" spans="1:3" x14ac:dyDescent="0.25">
      <c r="A5503">
        <v>5502</v>
      </c>
      <c r="B5503" s="23">
        <v>1076</v>
      </c>
      <c r="C5503" s="23">
        <v>0</v>
      </c>
    </row>
    <row r="5504" spans="1:3" x14ac:dyDescent="0.25">
      <c r="A5504">
        <v>5503</v>
      </c>
      <c r="B5504" s="23">
        <v>1075.852897</v>
      </c>
      <c r="C5504" s="23">
        <v>0</v>
      </c>
    </row>
    <row r="5505" spans="1:3" x14ac:dyDescent="0.25">
      <c r="A5505">
        <v>5504</v>
      </c>
      <c r="B5505" s="23">
        <v>1075.512258</v>
      </c>
      <c r="C5505" s="23">
        <v>0</v>
      </c>
    </row>
    <row r="5506" spans="1:3" x14ac:dyDescent="0.25">
      <c r="A5506">
        <v>5505</v>
      </c>
      <c r="B5506" s="23">
        <v>1075.3302490000001</v>
      </c>
      <c r="C5506" s="23">
        <v>0</v>
      </c>
    </row>
    <row r="5507" spans="1:3" x14ac:dyDescent="0.25">
      <c r="A5507">
        <v>5506</v>
      </c>
      <c r="B5507" s="23">
        <v>1075.3302490000001</v>
      </c>
      <c r="C5507" s="23">
        <v>0</v>
      </c>
    </row>
    <row r="5508" spans="1:3" x14ac:dyDescent="0.25">
      <c r="A5508">
        <v>5507</v>
      </c>
      <c r="B5508" s="23">
        <v>1075.2</v>
      </c>
      <c r="C5508" s="23">
        <v>0</v>
      </c>
    </row>
    <row r="5509" spans="1:3" x14ac:dyDescent="0.25">
      <c r="A5509">
        <v>5508</v>
      </c>
      <c r="B5509" s="23">
        <v>1075.2</v>
      </c>
      <c r="C5509" s="23">
        <v>0</v>
      </c>
    </row>
    <row r="5510" spans="1:3" x14ac:dyDescent="0.25">
      <c r="A5510">
        <v>5509</v>
      </c>
      <c r="B5510" s="23">
        <v>1074.5947289999999</v>
      </c>
      <c r="C5510" s="23">
        <v>0</v>
      </c>
    </row>
    <row r="5511" spans="1:3" x14ac:dyDescent="0.25">
      <c r="A5511">
        <v>5510</v>
      </c>
      <c r="B5511" s="23">
        <v>1074.5947289999999</v>
      </c>
      <c r="C5511" s="23">
        <v>0</v>
      </c>
    </row>
    <row r="5512" spans="1:3" x14ac:dyDescent="0.25">
      <c r="A5512">
        <v>5511</v>
      </c>
      <c r="B5512" s="23">
        <v>1074.4000000000001</v>
      </c>
      <c r="C5512" s="23">
        <v>0</v>
      </c>
    </row>
    <row r="5513" spans="1:3" x14ac:dyDescent="0.25">
      <c r="A5513">
        <v>5512</v>
      </c>
      <c r="B5513" s="23">
        <v>1074.33</v>
      </c>
      <c r="C5513" s="23">
        <v>0</v>
      </c>
    </row>
    <row r="5514" spans="1:3" x14ac:dyDescent="0.25">
      <c r="A5514">
        <v>5513</v>
      </c>
      <c r="B5514" s="23">
        <v>1074.023803</v>
      </c>
      <c r="C5514" s="23">
        <v>0</v>
      </c>
    </row>
    <row r="5515" spans="1:3" x14ac:dyDescent="0.25">
      <c r="A5515">
        <v>5514</v>
      </c>
      <c r="B5515" s="23">
        <v>1073.973215</v>
      </c>
      <c r="C5515" s="23">
        <v>0</v>
      </c>
    </row>
    <row r="5516" spans="1:3" x14ac:dyDescent="0.25">
      <c r="A5516">
        <v>5515</v>
      </c>
      <c r="B5516" s="23">
        <v>1073.6523440000001</v>
      </c>
      <c r="C5516" s="23">
        <v>0</v>
      </c>
    </row>
    <row r="5517" spans="1:3" x14ac:dyDescent="0.25">
      <c r="A5517">
        <v>5516</v>
      </c>
      <c r="B5517" s="23">
        <v>1073.5999999999999</v>
      </c>
      <c r="C5517" s="23">
        <v>0</v>
      </c>
    </row>
    <row r="5518" spans="1:3" x14ac:dyDescent="0.25">
      <c r="A5518">
        <v>5517</v>
      </c>
      <c r="B5518" s="23">
        <v>1073.5999999999999</v>
      </c>
      <c r="C5518" s="23">
        <v>0</v>
      </c>
    </row>
    <row r="5519" spans="1:3" x14ac:dyDescent="0.25">
      <c r="A5519">
        <v>5518</v>
      </c>
      <c r="B5519" s="23">
        <v>1073.5999999999999</v>
      </c>
      <c r="C5519" s="23">
        <v>0</v>
      </c>
    </row>
    <row r="5520" spans="1:3" x14ac:dyDescent="0.25">
      <c r="A5520">
        <v>5519</v>
      </c>
      <c r="B5520" s="23">
        <v>1073.5999999999999</v>
      </c>
      <c r="C5520" s="23">
        <v>0</v>
      </c>
    </row>
    <row r="5521" spans="1:3" x14ac:dyDescent="0.25">
      <c r="A5521">
        <v>5520</v>
      </c>
      <c r="B5521" s="23">
        <v>1073.537</v>
      </c>
      <c r="C5521" s="23">
        <v>0</v>
      </c>
    </row>
    <row r="5522" spans="1:3" x14ac:dyDescent="0.25">
      <c r="A5522">
        <v>5521</v>
      </c>
      <c r="B5522" s="23">
        <v>1073.4084419999999</v>
      </c>
      <c r="C5522" s="23">
        <v>0</v>
      </c>
    </row>
    <row r="5523" spans="1:3" x14ac:dyDescent="0.25">
      <c r="A5523">
        <v>5522</v>
      </c>
      <c r="B5523" s="23">
        <v>1073.3227899999999</v>
      </c>
      <c r="C5523" s="23">
        <v>0</v>
      </c>
    </row>
    <row r="5524" spans="1:3" x14ac:dyDescent="0.25">
      <c r="A5524">
        <v>5523</v>
      </c>
      <c r="B5524" s="23">
        <v>1072.8487889999999</v>
      </c>
      <c r="C5524" s="23">
        <v>0</v>
      </c>
    </row>
    <row r="5525" spans="1:3" x14ac:dyDescent="0.25">
      <c r="A5525">
        <v>5524</v>
      </c>
      <c r="B5525" s="23">
        <v>1072.8</v>
      </c>
      <c r="C5525" s="23">
        <v>0</v>
      </c>
    </row>
    <row r="5526" spans="1:3" x14ac:dyDescent="0.25">
      <c r="A5526">
        <v>5525</v>
      </c>
      <c r="B5526" s="23">
        <v>1072.8</v>
      </c>
      <c r="C5526" s="23">
        <v>0</v>
      </c>
    </row>
    <row r="5527" spans="1:3" x14ac:dyDescent="0.25">
      <c r="A5527">
        <v>5526</v>
      </c>
      <c r="B5527" s="23">
        <v>1072.8</v>
      </c>
      <c r="C5527" s="23">
        <v>0</v>
      </c>
    </row>
    <row r="5528" spans="1:3" x14ac:dyDescent="0.25">
      <c r="A5528">
        <v>5527</v>
      </c>
      <c r="B5528" s="23">
        <v>1072.533858</v>
      </c>
      <c r="C5528" s="23">
        <v>0</v>
      </c>
    </row>
    <row r="5529" spans="1:3" x14ac:dyDescent="0.25">
      <c r="A5529">
        <v>5528</v>
      </c>
      <c r="B5529" s="23">
        <v>1072.2006120000001</v>
      </c>
      <c r="C5529" s="23">
        <v>0</v>
      </c>
    </row>
    <row r="5530" spans="1:3" x14ac:dyDescent="0.25">
      <c r="A5530">
        <v>5529</v>
      </c>
      <c r="B5530" s="23">
        <v>1072.1220000000001</v>
      </c>
      <c r="C5530" s="23">
        <v>0</v>
      </c>
    </row>
    <row r="5531" spans="1:3" x14ac:dyDescent="0.25">
      <c r="A5531">
        <v>5530</v>
      </c>
      <c r="B5531" s="23">
        <v>1072</v>
      </c>
      <c r="C5531" s="23">
        <v>0</v>
      </c>
    </row>
    <row r="5532" spans="1:3" x14ac:dyDescent="0.25">
      <c r="A5532">
        <v>5531</v>
      </c>
      <c r="B5532" s="23">
        <v>1072</v>
      </c>
      <c r="C5532" s="23">
        <v>0</v>
      </c>
    </row>
    <row r="5533" spans="1:3" x14ac:dyDescent="0.25">
      <c r="A5533">
        <v>5532</v>
      </c>
      <c r="B5533" s="23">
        <v>1071.814666</v>
      </c>
      <c r="C5533" s="23">
        <v>0</v>
      </c>
    </row>
    <row r="5534" spans="1:3" x14ac:dyDescent="0.25">
      <c r="A5534">
        <v>5533</v>
      </c>
      <c r="B5534" s="23">
        <v>1071.6526490000001</v>
      </c>
      <c r="C5534" s="23">
        <v>0</v>
      </c>
    </row>
    <row r="5535" spans="1:3" x14ac:dyDescent="0.25">
      <c r="A5535">
        <v>5534</v>
      </c>
      <c r="B5535" s="23">
        <v>1071.6104379999999</v>
      </c>
      <c r="C5535" s="23">
        <v>0</v>
      </c>
    </row>
    <row r="5536" spans="1:3" x14ac:dyDescent="0.25">
      <c r="A5536">
        <v>5535</v>
      </c>
      <c r="B5536" s="23">
        <v>1071.4580000000001</v>
      </c>
      <c r="C5536" s="23">
        <v>0</v>
      </c>
    </row>
    <row r="5537" spans="1:3" x14ac:dyDescent="0.25">
      <c r="A5537">
        <v>5536</v>
      </c>
      <c r="B5537" s="23">
        <v>1071.4448649999999</v>
      </c>
      <c r="C5537" s="23">
        <v>0</v>
      </c>
    </row>
    <row r="5538" spans="1:3" x14ac:dyDescent="0.25">
      <c r="A5538">
        <v>5537</v>
      </c>
      <c r="B5538" s="23">
        <v>1071.4390000000001</v>
      </c>
      <c r="C5538" s="23">
        <v>0</v>
      </c>
    </row>
    <row r="5539" spans="1:3" x14ac:dyDescent="0.25">
      <c r="A5539">
        <v>5538</v>
      </c>
      <c r="B5539" s="23">
        <v>1071.3571569999999</v>
      </c>
      <c r="C5539" s="23">
        <v>0</v>
      </c>
    </row>
    <row r="5540" spans="1:3" x14ac:dyDescent="0.25">
      <c r="A5540">
        <v>5539</v>
      </c>
      <c r="B5540" s="23">
        <v>1071.2819999999999</v>
      </c>
      <c r="C5540" s="23">
        <v>0</v>
      </c>
    </row>
    <row r="5541" spans="1:3" x14ac:dyDescent="0.25">
      <c r="A5541">
        <v>5540</v>
      </c>
      <c r="B5541" s="23">
        <v>1071.250738</v>
      </c>
      <c r="C5541" s="23">
        <v>0</v>
      </c>
    </row>
    <row r="5542" spans="1:3" x14ac:dyDescent="0.25">
      <c r="A5542">
        <v>5541</v>
      </c>
      <c r="B5542" s="23">
        <v>1071.2</v>
      </c>
      <c r="C5542" s="23">
        <v>0</v>
      </c>
    </row>
    <row r="5543" spans="1:3" x14ac:dyDescent="0.25">
      <c r="A5543">
        <v>5542</v>
      </c>
      <c r="B5543" s="23">
        <v>1071.05</v>
      </c>
      <c r="C5543" s="23">
        <v>0</v>
      </c>
    </row>
    <row r="5544" spans="1:3" x14ac:dyDescent="0.25">
      <c r="A5544">
        <v>5543</v>
      </c>
      <c r="B5544" s="23">
        <v>1070.4841240000001</v>
      </c>
      <c r="C5544" s="23">
        <v>0</v>
      </c>
    </row>
    <row r="5545" spans="1:3" x14ac:dyDescent="0.25">
      <c r="A5545">
        <v>5544</v>
      </c>
      <c r="B5545" s="23">
        <v>1070.465085</v>
      </c>
      <c r="C5545" s="23">
        <v>0</v>
      </c>
    </row>
    <row r="5546" spans="1:3" x14ac:dyDescent="0.25">
      <c r="A5546">
        <v>5545</v>
      </c>
      <c r="B5546" s="23">
        <v>1070.4000000000001</v>
      </c>
      <c r="C5546" s="23">
        <v>0</v>
      </c>
    </row>
    <row r="5547" spans="1:3" x14ac:dyDescent="0.25">
      <c r="A5547">
        <v>5546</v>
      </c>
      <c r="B5547" s="23">
        <v>1070.4000000000001</v>
      </c>
      <c r="C5547" s="23">
        <v>0</v>
      </c>
    </row>
    <row r="5548" spans="1:3" x14ac:dyDescent="0.25">
      <c r="A5548">
        <v>5547</v>
      </c>
      <c r="B5548" s="23">
        <v>1070.4000000000001</v>
      </c>
      <c r="C5548" s="23">
        <v>0</v>
      </c>
    </row>
    <row r="5549" spans="1:3" x14ac:dyDescent="0.25">
      <c r="A5549">
        <v>5548</v>
      </c>
      <c r="B5549" s="23">
        <v>1070.1511620000001</v>
      </c>
      <c r="C5549" s="23">
        <v>0</v>
      </c>
    </row>
    <row r="5550" spans="1:3" x14ac:dyDescent="0.25">
      <c r="A5550">
        <v>5549</v>
      </c>
      <c r="B5550" s="23">
        <v>1069.5999999999999</v>
      </c>
      <c r="C5550" s="23">
        <v>0</v>
      </c>
    </row>
    <row r="5551" spans="1:3" x14ac:dyDescent="0.25">
      <c r="A5551">
        <v>5550</v>
      </c>
      <c r="B5551" s="23">
        <v>1069.446089</v>
      </c>
      <c r="C5551" s="23">
        <v>0</v>
      </c>
    </row>
    <row r="5552" spans="1:3" x14ac:dyDescent="0.25">
      <c r="A5552">
        <v>5551</v>
      </c>
      <c r="B5552" s="23">
        <v>1069.4240010000001</v>
      </c>
      <c r="C5552" s="23">
        <v>0</v>
      </c>
    </row>
    <row r="5553" spans="1:3" x14ac:dyDescent="0.25">
      <c r="A5553">
        <v>5552</v>
      </c>
      <c r="B5553" s="23">
        <v>1069.4240010000001</v>
      </c>
      <c r="C5553" s="23">
        <v>0</v>
      </c>
    </row>
    <row r="5554" spans="1:3" x14ac:dyDescent="0.25">
      <c r="A5554">
        <v>5553</v>
      </c>
      <c r="B5554" s="23">
        <v>1069.3667640000001</v>
      </c>
      <c r="C5554" s="23">
        <v>0</v>
      </c>
    </row>
    <row r="5555" spans="1:3" x14ac:dyDescent="0.25">
      <c r="A5555">
        <v>5554</v>
      </c>
      <c r="B5555" s="23">
        <v>1068.8</v>
      </c>
      <c r="C5555" s="23">
        <v>0</v>
      </c>
    </row>
    <row r="5556" spans="1:3" x14ac:dyDescent="0.25">
      <c r="A5556">
        <v>5555</v>
      </c>
      <c r="B5556" s="23">
        <v>1068.7105690000001</v>
      </c>
      <c r="C5556" s="23">
        <v>0</v>
      </c>
    </row>
    <row r="5557" spans="1:3" x14ac:dyDescent="0.25">
      <c r="A5557">
        <v>5556</v>
      </c>
      <c r="B5557" s="23">
        <v>1068.5027849999999</v>
      </c>
      <c r="C5557" s="23">
        <v>0</v>
      </c>
    </row>
    <row r="5558" spans="1:3" x14ac:dyDescent="0.25">
      <c r="A5558">
        <v>5557</v>
      </c>
      <c r="B5558" s="23">
        <v>1068.085838</v>
      </c>
      <c r="C5558" s="23">
        <v>0</v>
      </c>
    </row>
    <row r="5559" spans="1:3" x14ac:dyDescent="0.25">
      <c r="A5559">
        <v>5558</v>
      </c>
      <c r="B5559" s="23">
        <v>1067.9508960000001</v>
      </c>
      <c r="C5559" s="23">
        <v>0</v>
      </c>
    </row>
    <row r="5560" spans="1:3" x14ac:dyDescent="0.25">
      <c r="A5560">
        <v>5559</v>
      </c>
      <c r="B5560" s="23">
        <v>1067.8206290000001</v>
      </c>
      <c r="C5560" s="23">
        <v>0</v>
      </c>
    </row>
    <row r="5561" spans="1:3" x14ac:dyDescent="0.25">
      <c r="A5561">
        <v>5560</v>
      </c>
      <c r="B5561" s="23">
        <v>1067.651421</v>
      </c>
      <c r="C5561" s="23">
        <v>0</v>
      </c>
    </row>
    <row r="5562" spans="1:3" x14ac:dyDescent="0.25">
      <c r="A5562">
        <v>5561</v>
      </c>
      <c r="B5562" s="23">
        <v>1067.4639999999999</v>
      </c>
      <c r="C5562" s="23">
        <v>0</v>
      </c>
    </row>
    <row r="5563" spans="1:3" x14ac:dyDescent="0.25">
      <c r="A5563">
        <v>5562</v>
      </c>
      <c r="B5563" s="23">
        <v>1067.3150330000001</v>
      </c>
      <c r="C5563" s="23">
        <v>0</v>
      </c>
    </row>
    <row r="5564" spans="1:3" x14ac:dyDescent="0.25">
      <c r="A5564">
        <v>5563</v>
      </c>
      <c r="B5564" s="23">
        <v>1067.268008</v>
      </c>
      <c r="C5564" s="23">
        <v>0</v>
      </c>
    </row>
    <row r="5565" spans="1:3" x14ac:dyDescent="0.25">
      <c r="A5565">
        <v>5564</v>
      </c>
      <c r="B5565" s="23">
        <v>1067.2395289999999</v>
      </c>
      <c r="C5565" s="23">
        <v>0</v>
      </c>
    </row>
    <row r="5566" spans="1:3" x14ac:dyDescent="0.25">
      <c r="A5566">
        <v>5565</v>
      </c>
      <c r="B5566" s="23">
        <v>1067.2</v>
      </c>
      <c r="C5566" s="23">
        <v>0</v>
      </c>
    </row>
    <row r="5567" spans="1:3" x14ac:dyDescent="0.25">
      <c r="A5567">
        <v>5566</v>
      </c>
      <c r="B5567" s="23">
        <v>1066.826</v>
      </c>
      <c r="C5567" s="23">
        <v>0</v>
      </c>
    </row>
    <row r="5568" spans="1:3" x14ac:dyDescent="0.25">
      <c r="A5568">
        <v>5567</v>
      </c>
      <c r="B5568" s="23">
        <v>1066.4501780000001</v>
      </c>
      <c r="C5568" s="23">
        <v>0</v>
      </c>
    </row>
    <row r="5569" spans="1:3" x14ac:dyDescent="0.25">
      <c r="A5569">
        <v>5568</v>
      </c>
      <c r="B5569" s="23">
        <v>1066.4000000000001</v>
      </c>
      <c r="C5569" s="23">
        <v>0</v>
      </c>
    </row>
    <row r="5570" spans="1:3" x14ac:dyDescent="0.25">
      <c r="A5570">
        <v>5569</v>
      </c>
      <c r="B5570" s="23">
        <v>1066.2364480000001</v>
      </c>
      <c r="C5570" s="23">
        <v>0</v>
      </c>
    </row>
    <row r="5571" spans="1:3" x14ac:dyDescent="0.25">
      <c r="A5571">
        <v>5570</v>
      </c>
      <c r="B5571" s="23">
        <v>1066.076</v>
      </c>
      <c r="C5571" s="23">
        <v>0</v>
      </c>
    </row>
    <row r="5572" spans="1:3" x14ac:dyDescent="0.25">
      <c r="A5572">
        <v>5571</v>
      </c>
      <c r="B5572" s="23">
        <v>1065.5999999999999</v>
      </c>
      <c r="C5572" s="23">
        <v>0</v>
      </c>
    </row>
    <row r="5573" spans="1:3" x14ac:dyDescent="0.25">
      <c r="A5573">
        <v>5572</v>
      </c>
      <c r="B5573" s="23">
        <v>1065.588857</v>
      </c>
      <c r="C5573" s="23">
        <v>0</v>
      </c>
    </row>
    <row r="5574" spans="1:3" x14ac:dyDescent="0.25">
      <c r="A5574">
        <v>5573</v>
      </c>
      <c r="B5574" s="23">
        <v>1065.211</v>
      </c>
      <c r="C5574" s="23">
        <v>0</v>
      </c>
    </row>
    <row r="5575" spans="1:3" x14ac:dyDescent="0.25">
      <c r="A5575">
        <v>5574</v>
      </c>
      <c r="B5575" s="23">
        <v>1064.8</v>
      </c>
      <c r="C5575" s="23">
        <v>0</v>
      </c>
    </row>
    <row r="5576" spans="1:3" x14ac:dyDescent="0.25">
      <c r="A5576">
        <v>5575</v>
      </c>
      <c r="B5576" s="23">
        <v>1064.8</v>
      </c>
      <c r="C5576" s="23">
        <v>0</v>
      </c>
    </row>
    <row r="5577" spans="1:3" x14ac:dyDescent="0.25">
      <c r="A5577">
        <v>5576</v>
      </c>
      <c r="B5577" s="23">
        <v>1064.3389999999999</v>
      </c>
      <c r="C5577" s="23">
        <v>0</v>
      </c>
    </row>
    <row r="5578" spans="1:3" x14ac:dyDescent="0.25">
      <c r="A5578">
        <v>5577</v>
      </c>
      <c r="B5578" s="23">
        <v>1064.2324390000001</v>
      </c>
      <c r="C5578" s="23">
        <v>0</v>
      </c>
    </row>
    <row r="5579" spans="1:3" x14ac:dyDescent="0.25">
      <c r="A5579">
        <v>5578</v>
      </c>
      <c r="B5579" s="23">
        <v>1064</v>
      </c>
      <c r="C5579" s="23">
        <v>0</v>
      </c>
    </row>
    <row r="5580" spans="1:3" x14ac:dyDescent="0.25">
      <c r="A5580">
        <v>5579</v>
      </c>
      <c r="B5580" s="23">
        <v>1064</v>
      </c>
      <c r="C5580" s="23">
        <v>0</v>
      </c>
    </row>
    <row r="5581" spans="1:3" x14ac:dyDescent="0.25">
      <c r="A5581">
        <v>5580</v>
      </c>
      <c r="B5581" s="23">
        <v>1063.922</v>
      </c>
      <c r="C5581" s="23">
        <v>0</v>
      </c>
    </row>
    <row r="5582" spans="1:3" x14ac:dyDescent="0.25">
      <c r="A5582">
        <v>5581</v>
      </c>
      <c r="B5582" s="23">
        <v>1062.67635</v>
      </c>
      <c r="C5582" s="23">
        <v>0</v>
      </c>
    </row>
    <row r="5583" spans="1:3" x14ac:dyDescent="0.25">
      <c r="A5583">
        <v>5582</v>
      </c>
      <c r="B5583" s="23">
        <v>1062.573574</v>
      </c>
      <c r="C5583" s="23">
        <v>0</v>
      </c>
    </row>
    <row r="5584" spans="1:3" x14ac:dyDescent="0.25">
      <c r="A5584">
        <v>5583</v>
      </c>
      <c r="B5584" s="23">
        <v>1062.1659999999999</v>
      </c>
      <c r="C5584" s="23">
        <v>0</v>
      </c>
    </row>
    <row r="5585" spans="1:3" x14ac:dyDescent="0.25">
      <c r="A5585">
        <v>5584</v>
      </c>
      <c r="B5585" s="23">
        <v>1061.5999999999999</v>
      </c>
      <c r="C5585" s="23">
        <v>0</v>
      </c>
    </row>
    <row r="5586" spans="1:3" x14ac:dyDescent="0.25">
      <c r="A5586">
        <v>5585</v>
      </c>
      <c r="B5586" s="23">
        <v>1061.5811630000001</v>
      </c>
      <c r="C5586" s="23">
        <v>0</v>
      </c>
    </row>
    <row r="5587" spans="1:3" x14ac:dyDescent="0.25">
      <c r="A5587">
        <v>5586</v>
      </c>
      <c r="B5587" s="23">
        <v>1061.5640000000001</v>
      </c>
      <c r="C5587" s="23">
        <v>0</v>
      </c>
    </row>
    <row r="5588" spans="1:3" x14ac:dyDescent="0.25">
      <c r="A5588">
        <v>5587</v>
      </c>
      <c r="B5588" s="23">
        <v>1061.5189820000001</v>
      </c>
      <c r="C5588" s="23">
        <v>0</v>
      </c>
    </row>
    <row r="5589" spans="1:3" x14ac:dyDescent="0.25">
      <c r="A5589">
        <v>5588</v>
      </c>
      <c r="B5589" s="23">
        <v>1061.386</v>
      </c>
      <c r="C5589" s="23">
        <v>0</v>
      </c>
    </row>
    <row r="5590" spans="1:3" x14ac:dyDescent="0.25">
      <c r="A5590">
        <v>5589</v>
      </c>
      <c r="B5590" s="23">
        <v>1061.0940000000001</v>
      </c>
      <c r="C5590" s="23">
        <v>0</v>
      </c>
    </row>
    <row r="5591" spans="1:3" x14ac:dyDescent="0.25">
      <c r="A5591">
        <v>5590</v>
      </c>
      <c r="B5591" s="23">
        <v>1060.89048</v>
      </c>
      <c r="C5591" s="23">
        <v>0</v>
      </c>
    </row>
    <row r="5592" spans="1:3" x14ac:dyDescent="0.25">
      <c r="A5592">
        <v>5591</v>
      </c>
      <c r="B5592" s="23">
        <v>1060.777</v>
      </c>
      <c r="C5592" s="23">
        <v>0</v>
      </c>
    </row>
    <row r="5593" spans="1:3" x14ac:dyDescent="0.25">
      <c r="A5593">
        <v>5592</v>
      </c>
      <c r="B5593" s="23">
        <v>1060.1997960000001</v>
      </c>
      <c r="C5593" s="23">
        <v>0</v>
      </c>
    </row>
    <row r="5594" spans="1:3" x14ac:dyDescent="0.25">
      <c r="A5594">
        <v>5593</v>
      </c>
      <c r="B5594" s="23">
        <v>1060.14186</v>
      </c>
      <c r="C5594" s="23">
        <v>0</v>
      </c>
    </row>
    <row r="5595" spans="1:3" x14ac:dyDescent="0.25">
      <c r="A5595">
        <v>5594</v>
      </c>
      <c r="B5595" s="23">
        <v>1059.884329</v>
      </c>
      <c r="C5595" s="23">
        <v>0</v>
      </c>
    </row>
    <row r="5596" spans="1:3" x14ac:dyDescent="0.25">
      <c r="A5596">
        <v>5595</v>
      </c>
      <c r="B5596" s="23">
        <v>1059.7836460000001</v>
      </c>
      <c r="C5596" s="23">
        <v>0</v>
      </c>
    </row>
    <row r="5597" spans="1:3" x14ac:dyDescent="0.25">
      <c r="A5597">
        <v>5596</v>
      </c>
      <c r="B5597" s="23">
        <v>1059.587677</v>
      </c>
      <c r="C5597" s="23">
        <v>0</v>
      </c>
    </row>
    <row r="5598" spans="1:3" x14ac:dyDescent="0.25">
      <c r="A5598">
        <v>5597</v>
      </c>
      <c r="B5598" s="23">
        <v>1059.332987</v>
      </c>
      <c r="C5598" s="23">
        <v>0</v>
      </c>
    </row>
    <row r="5599" spans="1:3" x14ac:dyDescent="0.25">
      <c r="A5599">
        <v>5598</v>
      </c>
      <c r="B5599" s="23">
        <v>1058.818428</v>
      </c>
      <c r="C5599" s="23">
        <v>0</v>
      </c>
    </row>
    <row r="5600" spans="1:3" x14ac:dyDescent="0.25">
      <c r="A5600">
        <v>5599</v>
      </c>
      <c r="B5600" s="23">
        <v>1058.51</v>
      </c>
      <c r="C5600" s="23">
        <v>0</v>
      </c>
    </row>
    <row r="5601" spans="1:3" x14ac:dyDescent="0.25">
      <c r="A5601">
        <v>5600</v>
      </c>
      <c r="B5601" s="23">
        <v>1058.1277439999999</v>
      </c>
      <c r="C5601" s="23">
        <v>0</v>
      </c>
    </row>
    <row r="5602" spans="1:3" x14ac:dyDescent="0.25">
      <c r="A5602">
        <v>5601</v>
      </c>
      <c r="B5602" s="23">
        <v>1057.9645700000001</v>
      </c>
      <c r="C5602" s="23">
        <v>0</v>
      </c>
    </row>
    <row r="5603" spans="1:3" x14ac:dyDescent="0.25">
      <c r="A5603">
        <v>5602</v>
      </c>
      <c r="B5603" s="23">
        <v>1057.6777689999999</v>
      </c>
      <c r="C5603" s="23">
        <v>0</v>
      </c>
    </row>
    <row r="5604" spans="1:3" x14ac:dyDescent="0.25">
      <c r="A5604">
        <v>5603</v>
      </c>
      <c r="B5604" s="23">
        <v>1057.5999999999999</v>
      </c>
      <c r="C5604" s="23">
        <v>0</v>
      </c>
    </row>
    <row r="5605" spans="1:3" x14ac:dyDescent="0.25">
      <c r="A5605">
        <v>5604</v>
      </c>
      <c r="B5605" s="23">
        <v>1057.5999999999999</v>
      </c>
      <c r="C5605" s="23">
        <v>0</v>
      </c>
    </row>
    <row r="5606" spans="1:3" x14ac:dyDescent="0.25">
      <c r="A5606">
        <v>5605</v>
      </c>
      <c r="B5606" s="23">
        <v>1057.5999999999999</v>
      </c>
      <c r="C5606" s="23">
        <v>0</v>
      </c>
    </row>
    <row r="5607" spans="1:3" x14ac:dyDescent="0.25">
      <c r="A5607">
        <v>5606</v>
      </c>
      <c r="B5607" s="23">
        <v>1057.4128639999999</v>
      </c>
      <c r="C5607" s="23">
        <v>0</v>
      </c>
    </row>
    <row r="5608" spans="1:3" x14ac:dyDescent="0.25">
      <c r="A5608">
        <v>5607</v>
      </c>
      <c r="B5608" s="23">
        <v>1057.1559999999999</v>
      </c>
      <c r="C5608" s="23">
        <v>0</v>
      </c>
    </row>
    <row r="5609" spans="1:3" x14ac:dyDescent="0.25">
      <c r="A5609">
        <v>5608</v>
      </c>
      <c r="B5609" s="23">
        <v>1056.483469</v>
      </c>
      <c r="C5609" s="23">
        <v>0</v>
      </c>
    </row>
    <row r="5610" spans="1:3" x14ac:dyDescent="0.25">
      <c r="A5610">
        <v>5609</v>
      </c>
      <c r="B5610" s="23">
        <v>1056</v>
      </c>
      <c r="C5610" s="23">
        <v>0</v>
      </c>
    </row>
    <row r="5611" spans="1:3" x14ac:dyDescent="0.25">
      <c r="A5611">
        <v>5610</v>
      </c>
      <c r="B5611" s="23">
        <v>1056</v>
      </c>
      <c r="C5611" s="23">
        <v>0</v>
      </c>
    </row>
    <row r="5612" spans="1:3" x14ac:dyDescent="0.25">
      <c r="A5612">
        <v>5611</v>
      </c>
      <c r="B5612" s="23">
        <v>1056</v>
      </c>
      <c r="C5612" s="23">
        <v>0</v>
      </c>
    </row>
    <row r="5613" spans="1:3" x14ac:dyDescent="0.25">
      <c r="A5613">
        <v>5612</v>
      </c>
      <c r="B5613" s="23">
        <v>1056</v>
      </c>
      <c r="C5613" s="23">
        <v>0</v>
      </c>
    </row>
    <row r="5614" spans="1:3" x14ac:dyDescent="0.25">
      <c r="A5614">
        <v>5613</v>
      </c>
      <c r="B5614" s="23">
        <v>1055.858988</v>
      </c>
      <c r="C5614" s="23">
        <v>0</v>
      </c>
    </row>
    <row r="5615" spans="1:3" x14ac:dyDescent="0.25">
      <c r="A5615">
        <v>5614</v>
      </c>
      <c r="B5615" s="23">
        <v>1055.4559999999999</v>
      </c>
      <c r="C5615" s="23">
        <v>0</v>
      </c>
    </row>
    <row r="5616" spans="1:3" x14ac:dyDescent="0.25">
      <c r="A5616">
        <v>5615</v>
      </c>
      <c r="B5616" s="23">
        <v>1055.365008</v>
      </c>
      <c r="C5616" s="23">
        <v>0</v>
      </c>
    </row>
    <row r="5617" spans="1:3" x14ac:dyDescent="0.25">
      <c r="A5617">
        <v>5616</v>
      </c>
      <c r="B5617" s="23">
        <v>1055.2</v>
      </c>
      <c r="C5617" s="23">
        <v>0</v>
      </c>
    </row>
    <row r="5618" spans="1:3" x14ac:dyDescent="0.25">
      <c r="A5618">
        <v>5617</v>
      </c>
      <c r="B5618" s="23">
        <v>1055.1690000000001</v>
      </c>
      <c r="C5618" s="23">
        <v>0</v>
      </c>
    </row>
    <row r="5619" spans="1:3" x14ac:dyDescent="0.25">
      <c r="A5619">
        <v>5618</v>
      </c>
      <c r="B5619" s="23">
        <v>1055.0989999999999</v>
      </c>
      <c r="C5619" s="23">
        <v>0</v>
      </c>
    </row>
    <row r="5620" spans="1:3" x14ac:dyDescent="0.25">
      <c r="A5620">
        <v>5619</v>
      </c>
      <c r="B5620" s="23">
        <v>1055.08205</v>
      </c>
      <c r="C5620" s="23">
        <v>0</v>
      </c>
    </row>
    <row r="5621" spans="1:3" x14ac:dyDescent="0.25">
      <c r="A5621">
        <v>5620</v>
      </c>
      <c r="B5621" s="23">
        <v>1054.9635479999999</v>
      </c>
      <c r="C5621" s="23">
        <v>0</v>
      </c>
    </row>
    <row r="5622" spans="1:3" x14ac:dyDescent="0.25">
      <c r="A5622">
        <v>5621</v>
      </c>
      <c r="B5622" s="23">
        <v>1054.7356890000001</v>
      </c>
      <c r="C5622" s="23">
        <v>0</v>
      </c>
    </row>
    <row r="5623" spans="1:3" x14ac:dyDescent="0.25">
      <c r="A5623">
        <v>5622</v>
      </c>
      <c r="B5623" s="23">
        <v>1054.7356890000001</v>
      </c>
      <c r="C5623" s="23">
        <v>0</v>
      </c>
    </row>
    <row r="5624" spans="1:3" x14ac:dyDescent="0.25">
      <c r="A5624">
        <v>5623</v>
      </c>
      <c r="B5624" s="23">
        <v>1054.7081069999999</v>
      </c>
      <c r="C5624" s="23">
        <v>0</v>
      </c>
    </row>
    <row r="5625" spans="1:3" x14ac:dyDescent="0.25">
      <c r="A5625">
        <v>5624</v>
      </c>
      <c r="B5625" s="23">
        <v>1054.4000000000001</v>
      </c>
      <c r="C5625" s="23">
        <v>0</v>
      </c>
    </row>
    <row r="5626" spans="1:3" x14ac:dyDescent="0.25">
      <c r="A5626">
        <v>5625</v>
      </c>
      <c r="B5626" s="23">
        <v>1054.4000000000001</v>
      </c>
      <c r="C5626" s="23">
        <v>0</v>
      </c>
    </row>
    <row r="5627" spans="1:3" x14ac:dyDescent="0.25">
      <c r="A5627">
        <v>5626</v>
      </c>
      <c r="B5627" s="23">
        <v>1054.4000000000001</v>
      </c>
      <c r="C5627" s="23">
        <v>0</v>
      </c>
    </row>
    <row r="5628" spans="1:3" x14ac:dyDescent="0.25">
      <c r="A5628">
        <v>5627</v>
      </c>
      <c r="B5628" s="23">
        <v>1054.247488</v>
      </c>
      <c r="C5628" s="23">
        <v>0</v>
      </c>
    </row>
    <row r="5629" spans="1:3" x14ac:dyDescent="0.25">
      <c r="A5629">
        <v>5628</v>
      </c>
      <c r="B5629" s="23">
        <v>1054.0185570000001</v>
      </c>
      <c r="C5629" s="23">
        <v>0</v>
      </c>
    </row>
    <row r="5630" spans="1:3" x14ac:dyDescent="0.25">
      <c r="A5630">
        <v>5629</v>
      </c>
      <c r="B5630" s="23">
        <v>1053.7960619999999</v>
      </c>
      <c r="C5630" s="23">
        <v>0</v>
      </c>
    </row>
    <row r="5631" spans="1:3" x14ac:dyDescent="0.25">
      <c r="A5631">
        <v>5630</v>
      </c>
      <c r="B5631" s="23">
        <v>1053.7190000000001</v>
      </c>
      <c r="C5631" s="23">
        <v>0</v>
      </c>
    </row>
    <row r="5632" spans="1:3" x14ac:dyDescent="0.25">
      <c r="A5632">
        <v>5631</v>
      </c>
      <c r="B5632" s="23">
        <v>1053.5999999999999</v>
      </c>
      <c r="C5632" s="23">
        <v>0</v>
      </c>
    </row>
    <row r="5633" spans="1:3" x14ac:dyDescent="0.25">
      <c r="A5633">
        <v>5632</v>
      </c>
      <c r="B5633" s="23">
        <v>1053.2670000000001</v>
      </c>
      <c r="C5633" s="23">
        <v>0</v>
      </c>
    </row>
    <row r="5634" spans="1:3" x14ac:dyDescent="0.25">
      <c r="A5634">
        <v>5633</v>
      </c>
      <c r="B5634" s="23">
        <v>1053.1679999999999</v>
      </c>
      <c r="C5634" s="23">
        <v>0</v>
      </c>
    </row>
    <row r="5635" spans="1:3" x14ac:dyDescent="0.25">
      <c r="A5635">
        <v>5634</v>
      </c>
      <c r="B5635" s="23">
        <v>1052.3019999999999</v>
      </c>
      <c r="C5635" s="23">
        <v>0</v>
      </c>
    </row>
    <row r="5636" spans="1:3" x14ac:dyDescent="0.25">
      <c r="A5636">
        <v>5635</v>
      </c>
      <c r="B5636" s="23">
        <v>1052</v>
      </c>
      <c r="C5636" s="23">
        <v>0</v>
      </c>
    </row>
    <row r="5637" spans="1:3" x14ac:dyDescent="0.25">
      <c r="A5637">
        <v>5636</v>
      </c>
      <c r="B5637" s="23">
        <v>1051.89246</v>
      </c>
      <c r="C5637" s="23">
        <v>0</v>
      </c>
    </row>
    <row r="5638" spans="1:3" x14ac:dyDescent="0.25">
      <c r="A5638">
        <v>5637</v>
      </c>
      <c r="B5638" s="23">
        <v>1051.396166</v>
      </c>
      <c r="C5638" s="23">
        <v>0</v>
      </c>
    </row>
    <row r="5639" spans="1:3" x14ac:dyDescent="0.25">
      <c r="A5639">
        <v>5638</v>
      </c>
      <c r="B5639" s="23">
        <v>1051.2209049999999</v>
      </c>
      <c r="C5639" s="23">
        <v>0</v>
      </c>
    </row>
    <row r="5640" spans="1:3" x14ac:dyDescent="0.25">
      <c r="A5640">
        <v>5639</v>
      </c>
      <c r="B5640" s="23">
        <v>1051.2</v>
      </c>
      <c r="C5640" s="23">
        <v>0</v>
      </c>
    </row>
    <row r="5641" spans="1:3" x14ac:dyDescent="0.25">
      <c r="A5641">
        <v>5640</v>
      </c>
      <c r="B5641" s="23">
        <v>1051.2</v>
      </c>
      <c r="C5641" s="23">
        <v>0</v>
      </c>
    </row>
    <row r="5642" spans="1:3" x14ac:dyDescent="0.25">
      <c r="A5642">
        <v>5641</v>
      </c>
      <c r="B5642" s="23">
        <v>1051.2</v>
      </c>
      <c r="C5642" s="23">
        <v>0</v>
      </c>
    </row>
    <row r="5643" spans="1:3" x14ac:dyDescent="0.25">
      <c r="A5643">
        <v>5642</v>
      </c>
      <c r="B5643" s="23">
        <v>1051.1298019999999</v>
      </c>
      <c r="C5643" s="23">
        <v>0</v>
      </c>
    </row>
    <row r="5644" spans="1:3" x14ac:dyDescent="0.25">
      <c r="A5644">
        <v>5643</v>
      </c>
      <c r="B5644" s="23">
        <v>1051.064693</v>
      </c>
      <c r="C5644" s="23">
        <v>0</v>
      </c>
    </row>
    <row r="5645" spans="1:3" x14ac:dyDescent="0.25">
      <c r="A5645">
        <v>5644</v>
      </c>
      <c r="B5645" s="23">
        <v>1051.055141</v>
      </c>
      <c r="C5645" s="23">
        <v>0</v>
      </c>
    </row>
    <row r="5646" spans="1:3" x14ac:dyDescent="0.25">
      <c r="A5646">
        <v>5645</v>
      </c>
      <c r="B5646" s="23">
        <v>1050.9114099999999</v>
      </c>
      <c r="C5646" s="23">
        <v>0</v>
      </c>
    </row>
    <row r="5647" spans="1:3" x14ac:dyDescent="0.25">
      <c r="A5647">
        <v>5646</v>
      </c>
      <c r="B5647" s="23">
        <v>1050.829</v>
      </c>
      <c r="C5647" s="23">
        <v>0</v>
      </c>
    </row>
    <row r="5648" spans="1:3" x14ac:dyDescent="0.25">
      <c r="A5648">
        <v>5647</v>
      </c>
      <c r="B5648" s="23">
        <v>1050.4000000000001</v>
      </c>
      <c r="C5648" s="23">
        <v>0</v>
      </c>
    </row>
    <row r="5649" spans="1:3" x14ac:dyDescent="0.25">
      <c r="A5649">
        <v>5648</v>
      </c>
      <c r="B5649" s="23">
        <v>1050.34719</v>
      </c>
      <c r="C5649" s="23">
        <v>0</v>
      </c>
    </row>
    <row r="5650" spans="1:3" x14ac:dyDescent="0.25">
      <c r="A5650">
        <v>5649</v>
      </c>
      <c r="B5650" s="23">
        <v>1050.3225689999999</v>
      </c>
      <c r="C5650" s="23">
        <v>0</v>
      </c>
    </row>
    <row r="5651" spans="1:3" x14ac:dyDescent="0.25">
      <c r="A5651">
        <v>5650</v>
      </c>
      <c r="B5651" s="23">
        <v>1050.3225689999999</v>
      </c>
      <c r="C5651" s="23">
        <v>0</v>
      </c>
    </row>
    <row r="5652" spans="1:3" x14ac:dyDescent="0.25">
      <c r="A5652">
        <v>5651</v>
      </c>
      <c r="B5652" s="23">
        <v>1050.3225689999999</v>
      </c>
      <c r="C5652" s="23">
        <v>0</v>
      </c>
    </row>
    <row r="5653" spans="1:3" x14ac:dyDescent="0.25">
      <c r="A5653">
        <v>5652</v>
      </c>
      <c r="B5653" s="23">
        <v>1050.1130000000001</v>
      </c>
      <c r="C5653" s="23">
        <v>0</v>
      </c>
    </row>
    <row r="5654" spans="1:3" x14ac:dyDescent="0.25">
      <c r="A5654">
        <v>5653</v>
      </c>
      <c r="B5654" s="23">
        <v>1049.8395370000001</v>
      </c>
      <c r="C5654" s="23">
        <v>0</v>
      </c>
    </row>
    <row r="5655" spans="1:3" x14ac:dyDescent="0.25">
      <c r="A5655">
        <v>5654</v>
      </c>
      <c r="B5655" s="23">
        <v>1049.6669999999999</v>
      </c>
      <c r="C5655" s="23">
        <v>0</v>
      </c>
    </row>
    <row r="5656" spans="1:3" x14ac:dyDescent="0.25">
      <c r="A5656">
        <v>5655</v>
      </c>
      <c r="B5656" s="23">
        <v>1049.5999999999999</v>
      </c>
      <c r="C5656" s="23">
        <v>0</v>
      </c>
    </row>
    <row r="5657" spans="1:3" x14ac:dyDescent="0.25">
      <c r="A5657">
        <v>5656</v>
      </c>
      <c r="B5657" s="23">
        <v>1049.5750969999999</v>
      </c>
      <c r="C5657" s="23">
        <v>0</v>
      </c>
    </row>
    <row r="5658" spans="1:3" x14ac:dyDescent="0.25">
      <c r="A5658">
        <v>5657</v>
      </c>
      <c r="B5658" s="23">
        <v>1049.4094299999999</v>
      </c>
      <c r="C5658" s="23">
        <v>0</v>
      </c>
    </row>
    <row r="5659" spans="1:3" x14ac:dyDescent="0.25">
      <c r="A5659">
        <v>5658</v>
      </c>
      <c r="B5659" s="23">
        <v>1049.27575</v>
      </c>
      <c r="C5659" s="23">
        <v>0</v>
      </c>
    </row>
    <row r="5660" spans="1:3" x14ac:dyDescent="0.25">
      <c r="A5660">
        <v>5659</v>
      </c>
      <c r="B5660" s="23">
        <v>1049.251129</v>
      </c>
      <c r="C5660" s="23">
        <v>0</v>
      </c>
    </row>
    <row r="5661" spans="1:3" x14ac:dyDescent="0.25">
      <c r="A5661">
        <v>5660</v>
      </c>
      <c r="B5661" s="23">
        <v>1049.104822</v>
      </c>
      <c r="C5661" s="23">
        <v>0</v>
      </c>
    </row>
    <row r="5662" spans="1:3" x14ac:dyDescent="0.25">
      <c r="A5662">
        <v>5661</v>
      </c>
      <c r="B5662" s="23">
        <v>1048.535871</v>
      </c>
      <c r="C5662" s="23">
        <v>0</v>
      </c>
    </row>
    <row r="5663" spans="1:3" x14ac:dyDescent="0.25">
      <c r="A5663">
        <v>5662</v>
      </c>
      <c r="B5663" s="23">
        <v>1048.208844</v>
      </c>
      <c r="C5663" s="23">
        <v>0</v>
      </c>
    </row>
    <row r="5664" spans="1:3" x14ac:dyDescent="0.25">
      <c r="A5664">
        <v>5663</v>
      </c>
      <c r="B5664" s="23">
        <v>1048.1160090000001</v>
      </c>
      <c r="C5664" s="23">
        <v>0</v>
      </c>
    </row>
    <row r="5665" spans="1:3" x14ac:dyDescent="0.25">
      <c r="A5665">
        <v>5664</v>
      </c>
      <c r="B5665" s="23">
        <v>1048</v>
      </c>
      <c r="C5665" s="23">
        <v>0</v>
      </c>
    </row>
    <row r="5666" spans="1:3" x14ac:dyDescent="0.25">
      <c r="A5666">
        <v>5665</v>
      </c>
      <c r="B5666" s="23">
        <v>1048</v>
      </c>
      <c r="C5666" s="23">
        <v>0</v>
      </c>
    </row>
    <row r="5667" spans="1:3" x14ac:dyDescent="0.25">
      <c r="A5667">
        <v>5666</v>
      </c>
      <c r="B5667" s="23">
        <v>1047.8218770000001</v>
      </c>
      <c r="C5667" s="23">
        <v>0</v>
      </c>
    </row>
    <row r="5668" spans="1:3" x14ac:dyDescent="0.25">
      <c r="A5668">
        <v>5667</v>
      </c>
      <c r="B5668" s="23">
        <v>1047.7674850000001</v>
      </c>
      <c r="C5668" s="23">
        <v>0</v>
      </c>
    </row>
    <row r="5669" spans="1:3" x14ac:dyDescent="0.25">
      <c r="A5669">
        <v>5668</v>
      </c>
      <c r="B5669" s="23">
        <v>1047.7674850000001</v>
      </c>
      <c r="C5669" s="23">
        <v>0</v>
      </c>
    </row>
    <row r="5670" spans="1:3" x14ac:dyDescent="0.25">
      <c r="A5670">
        <v>5669</v>
      </c>
      <c r="B5670" s="23">
        <v>1047.2</v>
      </c>
      <c r="C5670" s="23">
        <v>0</v>
      </c>
    </row>
    <row r="5671" spans="1:3" x14ac:dyDescent="0.25">
      <c r="A5671">
        <v>5670</v>
      </c>
      <c r="B5671" s="23">
        <v>1047.146</v>
      </c>
      <c r="C5671" s="23">
        <v>0</v>
      </c>
    </row>
    <row r="5672" spans="1:3" x14ac:dyDescent="0.25">
      <c r="A5672">
        <v>5671</v>
      </c>
      <c r="B5672" s="23">
        <v>1047.104</v>
      </c>
      <c r="C5672" s="23">
        <v>0</v>
      </c>
    </row>
    <row r="5673" spans="1:3" x14ac:dyDescent="0.25">
      <c r="A5673">
        <v>5672</v>
      </c>
      <c r="B5673" s="23">
        <v>1046.5357300000001</v>
      </c>
      <c r="C5673" s="23">
        <v>0</v>
      </c>
    </row>
    <row r="5674" spans="1:3" x14ac:dyDescent="0.25">
      <c r="A5674">
        <v>5673</v>
      </c>
      <c r="B5674" s="23">
        <v>1046.5245279999999</v>
      </c>
      <c r="C5674" s="23">
        <v>0</v>
      </c>
    </row>
    <row r="5675" spans="1:3" x14ac:dyDescent="0.25">
      <c r="A5675">
        <v>5674</v>
      </c>
      <c r="B5675" s="23">
        <v>1046.4000000000001</v>
      </c>
      <c r="C5675" s="23">
        <v>0</v>
      </c>
    </row>
    <row r="5676" spans="1:3" x14ac:dyDescent="0.25">
      <c r="A5676">
        <v>5675</v>
      </c>
      <c r="B5676" s="23">
        <v>1046.4000000000001</v>
      </c>
      <c r="C5676" s="23">
        <v>0</v>
      </c>
    </row>
    <row r="5677" spans="1:3" x14ac:dyDescent="0.25">
      <c r="A5677">
        <v>5676</v>
      </c>
      <c r="B5677" s="23">
        <v>1046.314243</v>
      </c>
      <c r="C5677" s="23">
        <v>0</v>
      </c>
    </row>
    <row r="5678" spans="1:3" x14ac:dyDescent="0.25">
      <c r="A5678">
        <v>5677</v>
      </c>
      <c r="B5678" s="23">
        <v>1046.0530000000001</v>
      </c>
      <c r="C5678" s="23">
        <v>0</v>
      </c>
    </row>
    <row r="5679" spans="1:3" x14ac:dyDescent="0.25">
      <c r="A5679">
        <v>5678</v>
      </c>
      <c r="B5679" s="23">
        <v>1045.758791</v>
      </c>
      <c r="C5679" s="23">
        <v>0</v>
      </c>
    </row>
    <row r="5680" spans="1:3" x14ac:dyDescent="0.25">
      <c r="A5680">
        <v>5679</v>
      </c>
      <c r="B5680" s="23">
        <v>1045.7035040000001</v>
      </c>
      <c r="C5680" s="23">
        <v>0</v>
      </c>
    </row>
    <row r="5681" spans="1:3" x14ac:dyDescent="0.25">
      <c r="A5681">
        <v>5680</v>
      </c>
      <c r="B5681" s="23">
        <v>1045.5999999999999</v>
      </c>
      <c r="C5681" s="23">
        <v>0</v>
      </c>
    </row>
    <row r="5682" spans="1:3" x14ac:dyDescent="0.25">
      <c r="A5682">
        <v>5681</v>
      </c>
      <c r="B5682" s="23">
        <v>1045.5999999999999</v>
      </c>
      <c r="C5682" s="23">
        <v>0</v>
      </c>
    </row>
    <row r="5683" spans="1:3" x14ac:dyDescent="0.25">
      <c r="A5683">
        <v>5682</v>
      </c>
      <c r="B5683" s="23">
        <v>1045.173929</v>
      </c>
      <c r="C5683" s="23">
        <v>0</v>
      </c>
    </row>
    <row r="5684" spans="1:3" x14ac:dyDescent="0.25">
      <c r="A5684">
        <v>5683</v>
      </c>
      <c r="B5684" s="23">
        <v>1044.999243</v>
      </c>
      <c r="C5684" s="23">
        <v>0</v>
      </c>
    </row>
    <row r="5685" spans="1:3" x14ac:dyDescent="0.25">
      <c r="A5685">
        <v>5684</v>
      </c>
      <c r="B5685" s="23">
        <v>1044.8140000000001</v>
      </c>
      <c r="C5685" s="23">
        <v>0</v>
      </c>
    </row>
    <row r="5686" spans="1:3" x14ac:dyDescent="0.25">
      <c r="A5686">
        <v>5685</v>
      </c>
      <c r="B5686" s="23">
        <v>1044.8</v>
      </c>
      <c r="C5686" s="23">
        <v>0</v>
      </c>
    </row>
    <row r="5687" spans="1:3" x14ac:dyDescent="0.25">
      <c r="A5687">
        <v>5686</v>
      </c>
      <c r="B5687" s="23">
        <v>1044.8</v>
      </c>
      <c r="C5687" s="23">
        <v>0</v>
      </c>
    </row>
    <row r="5688" spans="1:3" x14ac:dyDescent="0.25">
      <c r="A5688">
        <v>5687</v>
      </c>
      <c r="B5688" s="23">
        <v>1044.6679999999999</v>
      </c>
      <c r="C5688" s="23">
        <v>0</v>
      </c>
    </row>
    <row r="5689" spans="1:3" x14ac:dyDescent="0.25">
      <c r="A5689">
        <v>5688</v>
      </c>
      <c r="B5689" s="23">
        <v>1044.0909999999999</v>
      </c>
      <c r="C5689" s="23">
        <v>0</v>
      </c>
    </row>
    <row r="5690" spans="1:3" x14ac:dyDescent="0.25">
      <c r="A5690">
        <v>5689</v>
      </c>
      <c r="B5690" s="23">
        <v>1044.046</v>
      </c>
      <c r="C5690" s="23">
        <v>0</v>
      </c>
    </row>
    <row r="5691" spans="1:3" x14ac:dyDescent="0.25">
      <c r="A5691">
        <v>5690</v>
      </c>
      <c r="B5691" s="23">
        <v>1044</v>
      </c>
      <c r="C5691" s="23">
        <v>0</v>
      </c>
    </row>
    <row r="5692" spans="1:3" x14ac:dyDescent="0.25">
      <c r="A5692">
        <v>5691</v>
      </c>
      <c r="B5692" s="23">
        <v>1044</v>
      </c>
      <c r="C5692" s="23">
        <v>0</v>
      </c>
    </row>
    <row r="5693" spans="1:3" x14ac:dyDescent="0.25">
      <c r="A5693">
        <v>5692</v>
      </c>
      <c r="B5693" s="23">
        <v>1044</v>
      </c>
      <c r="C5693" s="23">
        <v>0</v>
      </c>
    </row>
    <row r="5694" spans="1:3" x14ac:dyDescent="0.25">
      <c r="A5694">
        <v>5693</v>
      </c>
      <c r="B5694" s="23">
        <v>1043.7396650000001</v>
      </c>
      <c r="C5694" s="23">
        <v>0</v>
      </c>
    </row>
    <row r="5695" spans="1:3" x14ac:dyDescent="0.25">
      <c r="A5695">
        <v>5694</v>
      </c>
      <c r="B5695" s="23">
        <v>1043.557</v>
      </c>
      <c r="C5695" s="23">
        <v>0</v>
      </c>
    </row>
    <row r="5696" spans="1:3" x14ac:dyDescent="0.25">
      <c r="A5696">
        <v>5695</v>
      </c>
      <c r="B5696" s="23">
        <v>1043.2</v>
      </c>
      <c r="C5696" s="23">
        <v>0</v>
      </c>
    </row>
    <row r="5697" spans="1:3" x14ac:dyDescent="0.25">
      <c r="A5697">
        <v>5696</v>
      </c>
      <c r="B5697" s="23">
        <v>1043.0310629999999</v>
      </c>
      <c r="C5697" s="23">
        <v>0</v>
      </c>
    </row>
    <row r="5698" spans="1:3" x14ac:dyDescent="0.25">
      <c r="A5698">
        <v>5697</v>
      </c>
      <c r="B5698" s="23">
        <v>1042.967369</v>
      </c>
      <c r="C5698" s="23">
        <v>0</v>
      </c>
    </row>
    <row r="5699" spans="1:3" x14ac:dyDescent="0.25">
      <c r="A5699">
        <v>5698</v>
      </c>
      <c r="B5699" s="23">
        <v>1042.9326980000001</v>
      </c>
      <c r="C5699" s="23">
        <v>0</v>
      </c>
    </row>
    <row r="5700" spans="1:3" x14ac:dyDescent="0.25">
      <c r="A5700">
        <v>5699</v>
      </c>
      <c r="B5700" s="23">
        <v>1042.6510390000001</v>
      </c>
      <c r="C5700" s="23">
        <v>0</v>
      </c>
    </row>
    <row r="5701" spans="1:3" x14ac:dyDescent="0.25">
      <c r="A5701">
        <v>5700</v>
      </c>
      <c r="B5701" s="23">
        <v>1042.4939999999999</v>
      </c>
      <c r="C5701" s="23">
        <v>0</v>
      </c>
    </row>
    <row r="5702" spans="1:3" x14ac:dyDescent="0.25">
      <c r="A5702">
        <v>5701</v>
      </c>
      <c r="B5702" s="23">
        <v>1042.231849</v>
      </c>
      <c r="C5702" s="23">
        <v>0</v>
      </c>
    </row>
    <row r="5703" spans="1:3" x14ac:dyDescent="0.25">
      <c r="A5703">
        <v>5702</v>
      </c>
      <c r="B5703" s="23">
        <v>1041.9355230000001</v>
      </c>
      <c r="C5703" s="23">
        <v>0</v>
      </c>
    </row>
    <row r="5704" spans="1:3" x14ac:dyDescent="0.25">
      <c r="A5704">
        <v>5703</v>
      </c>
      <c r="B5704" s="23">
        <v>1041.8741010000001</v>
      </c>
      <c r="C5704" s="23">
        <v>0</v>
      </c>
    </row>
    <row r="5705" spans="1:3" x14ac:dyDescent="0.25">
      <c r="A5705">
        <v>5704</v>
      </c>
      <c r="B5705" s="23">
        <v>1041.855814</v>
      </c>
      <c r="C5705" s="23">
        <v>0</v>
      </c>
    </row>
    <row r="5706" spans="1:3" x14ac:dyDescent="0.25">
      <c r="A5706">
        <v>5705</v>
      </c>
      <c r="B5706" s="23">
        <v>1041.693</v>
      </c>
      <c r="C5706" s="23">
        <v>0</v>
      </c>
    </row>
    <row r="5707" spans="1:3" x14ac:dyDescent="0.25">
      <c r="A5707">
        <v>5706</v>
      </c>
      <c r="B5707" s="23">
        <v>1041.5999999999999</v>
      </c>
      <c r="C5707" s="23">
        <v>0</v>
      </c>
    </row>
    <row r="5708" spans="1:3" x14ac:dyDescent="0.25">
      <c r="A5708">
        <v>5707</v>
      </c>
      <c r="B5708" s="23">
        <v>1041.4963290000001</v>
      </c>
      <c r="C5708" s="23">
        <v>0</v>
      </c>
    </row>
    <row r="5709" spans="1:3" x14ac:dyDescent="0.25">
      <c r="A5709">
        <v>5708</v>
      </c>
      <c r="B5709" s="23">
        <v>1041.0640000000001</v>
      </c>
      <c r="C5709" s="23">
        <v>0</v>
      </c>
    </row>
    <row r="5710" spans="1:3" x14ac:dyDescent="0.25">
      <c r="A5710">
        <v>5709</v>
      </c>
      <c r="B5710" s="23">
        <v>1040.9469999999999</v>
      </c>
      <c r="C5710" s="23">
        <v>0</v>
      </c>
    </row>
    <row r="5711" spans="1:3" x14ac:dyDescent="0.25">
      <c r="A5711">
        <v>5710</v>
      </c>
      <c r="B5711" s="23">
        <v>1040.8</v>
      </c>
      <c r="C5711" s="23">
        <v>0</v>
      </c>
    </row>
    <row r="5712" spans="1:3" x14ac:dyDescent="0.25">
      <c r="A5712">
        <v>5711</v>
      </c>
      <c r="B5712" s="23">
        <v>1040.749971</v>
      </c>
      <c r="C5712" s="23">
        <v>0</v>
      </c>
    </row>
    <row r="5713" spans="1:3" x14ac:dyDescent="0.25">
      <c r="A5713">
        <v>5712</v>
      </c>
      <c r="B5713" s="23">
        <v>1040.5707870000001</v>
      </c>
      <c r="C5713" s="23">
        <v>0</v>
      </c>
    </row>
    <row r="5714" spans="1:3" x14ac:dyDescent="0.25">
      <c r="A5714">
        <v>5713</v>
      </c>
      <c r="B5714" s="23">
        <v>1040.39986</v>
      </c>
      <c r="C5714" s="23">
        <v>0</v>
      </c>
    </row>
    <row r="5715" spans="1:3" x14ac:dyDescent="0.25">
      <c r="A5715">
        <v>5714</v>
      </c>
      <c r="B5715" s="23">
        <v>1040.3240000000001</v>
      </c>
      <c r="C5715" s="23">
        <v>0</v>
      </c>
    </row>
    <row r="5716" spans="1:3" x14ac:dyDescent="0.25">
      <c r="A5716">
        <v>5715</v>
      </c>
      <c r="B5716" s="23">
        <v>1040.1699619999999</v>
      </c>
      <c r="C5716" s="23">
        <v>0</v>
      </c>
    </row>
    <row r="5717" spans="1:3" x14ac:dyDescent="0.25">
      <c r="A5717">
        <v>5716</v>
      </c>
      <c r="B5717" s="23">
        <v>1040.1699619999999</v>
      </c>
      <c r="C5717" s="23">
        <v>0</v>
      </c>
    </row>
    <row r="5718" spans="1:3" x14ac:dyDescent="0.25">
      <c r="A5718">
        <v>5717</v>
      </c>
      <c r="B5718" s="23">
        <v>1040.029783</v>
      </c>
      <c r="C5718" s="23">
        <v>0</v>
      </c>
    </row>
    <row r="5719" spans="1:3" x14ac:dyDescent="0.25">
      <c r="A5719">
        <v>5718</v>
      </c>
      <c r="B5719" s="23">
        <v>1040.0252889999999</v>
      </c>
      <c r="C5719" s="23">
        <v>0</v>
      </c>
    </row>
    <row r="5720" spans="1:3" x14ac:dyDescent="0.25">
      <c r="A5720">
        <v>5719</v>
      </c>
      <c r="B5720" s="23">
        <v>1040.0252889999999</v>
      </c>
      <c r="C5720" s="23">
        <v>0</v>
      </c>
    </row>
    <row r="5721" spans="1:3" x14ac:dyDescent="0.25">
      <c r="A5721">
        <v>5720</v>
      </c>
      <c r="B5721" s="23">
        <v>1040.0252889999999</v>
      </c>
      <c r="C5721" s="23">
        <v>0</v>
      </c>
    </row>
    <row r="5722" spans="1:3" x14ac:dyDescent="0.25">
      <c r="A5722">
        <v>5721</v>
      </c>
      <c r="B5722" s="23">
        <v>1040</v>
      </c>
      <c r="C5722" s="23">
        <v>0</v>
      </c>
    </row>
    <row r="5723" spans="1:3" x14ac:dyDescent="0.25">
      <c r="A5723">
        <v>5722</v>
      </c>
      <c r="B5723" s="23">
        <v>1040</v>
      </c>
      <c r="C5723" s="23">
        <v>0</v>
      </c>
    </row>
    <row r="5724" spans="1:3" x14ac:dyDescent="0.25">
      <c r="A5724">
        <v>5723</v>
      </c>
      <c r="B5724" s="23">
        <v>1039.866233</v>
      </c>
      <c r="C5724" s="23">
        <v>0</v>
      </c>
    </row>
    <row r="5725" spans="1:3" x14ac:dyDescent="0.25">
      <c r="A5725">
        <v>5724</v>
      </c>
      <c r="B5725" s="23">
        <v>1039.674</v>
      </c>
      <c r="C5725" s="23">
        <v>0</v>
      </c>
    </row>
    <row r="5726" spans="1:3" x14ac:dyDescent="0.25">
      <c r="A5726">
        <v>5725</v>
      </c>
      <c r="B5726" s="23">
        <v>1039.5432860000001</v>
      </c>
      <c r="C5726" s="23">
        <v>0</v>
      </c>
    </row>
    <row r="5727" spans="1:3" x14ac:dyDescent="0.25">
      <c r="A5727">
        <v>5726</v>
      </c>
      <c r="B5727" s="23">
        <v>1039.4978599999999</v>
      </c>
      <c r="C5727" s="23">
        <v>0</v>
      </c>
    </row>
    <row r="5728" spans="1:3" x14ac:dyDescent="0.25">
      <c r="A5728">
        <v>5727</v>
      </c>
      <c r="B5728" s="23">
        <v>1039.479278</v>
      </c>
      <c r="C5728" s="23">
        <v>0</v>
      </c>
    </row>
    <row r="5729" spans="1:3" x14ac:dyDescent="0.25">
      <c r="A5729">
        <v>5728</v>
      </c>
      <c r="B5729" s="23">
        <v>1039.2</v>
      </c>
      <c r="C5729" s="23">
        <v>0</v>
      </c>
    </row>
    <row r="5730" spans="1:3" x14ac:dyDescent="0.25">
      <c r="A5730">
        <v>5729</v>
      </c>
      <c r="B5730" s="23">
        <v>1038.7663480000001</v>
      </c>
      <c r="C5730" s="23">
        <v>0</v>
      </c>
    </row>
    <row r="5731" spans="1:3" x14ac:dyDescent="0.25">
      <c r="A5731">
        <v>5730</v>
      </c>
      <c r="B5731" s="23">
        <v>1038.6439620000001</v>
      </c>
      <c r="C5731" s="23">
        <v>0</v>
      </c>
    </row>
    <row r="5732" spans="1:3" x14ac:dyDescent="0.25">
      <c r="A5732">
        <v>5731</v>
      </c>
      <c r="B5732" s="23">
        <v>1038.438995</v>
      </c>
      <c r="C5732" s="23">
        <v>0</v>
      </c>
    </row>
    <row r="5733" spans="1:3" x14ac:dyDescent="0.25">
      <c r="A5733">
        <v>5732</v>
      </c>
      <c r="B5733" s="23">
        <v>1038.0979110000001</v>
      </c>
      <c r="C5733" s="23">
        <v>0</v>
      </c>
    </row>
    <row r="5734" spans="1:3" x14ac:dyDescent="0.25">
      <c r="A5734">
        <v>5733</v>
      </c>
      <c r="B5734" s="23">
        <v>1038.0979110000001</v>
      </c>
      <c r="C5734" s="23">
        <v>0</v>
      </c>
    </row>
    <row r="5735" spans="1:3" x14ac:dyDescent="0.25">
      <c r="A5735">
        <v>5734</v>
      </c>
      <c r="B5735" s="23">
        <v>1038.0609999999999</v>
      </c>
      <c r="C5735" s="23">
        <v>0</v>
      </c>
    </row>
    <row r="5736" spans="1:3" x14ac:dyDescent="0.25">
      <c r="A5736">
        <v>5735</v>
      </c>
      <c r="B5736" s="23">
        <v>1037.8187290000001</v>
      </c>
      <c r="C5736" s="23">
        <v>0</v>
      </c>
    </row>
    <row r="5737" spans="1:3" x14ac:dyDescent="0.25">
      <c r="A5737">
        <v>5736</v>
      </c>
      <c r="B5737" s="23">
        <v>1037.81</v>
      </c>
      <c r="C5737" s="23">
        <v>0</v>
      </c>
    </row>
    <row r="5738" spans="1:3" x14ac:dyDescent="0.25">
      <c r="A5738">
        <v>5737</v>
      </c>
      <c r="B5738" s="23">
        <v>1037.64111</v>
      </c>
      <c r="C5738" s="23">
        <v>0</v>
      </c>
    </row>
    <row r="5739" spans="1:3" x14ac:dyDescent="0.25">
      <c r="A5739">
        <v>5738</v>
      </c>
      <c r="B5739" s="23">
        <v>1037.5999999999999</v>
      </c>
      <c r="C5739" s="23">
        <v>0</v>
      </c>
    </row>
    <row r="5740" spans="1:3" x14ac:dyDescent="0.25">
      <c r="A5740">
        <v>5739</v>
      </c>
      <c r="B5740" s="23">
        <v>1037.468525</v>
      </c>
      <c r="C5740" s="23">
        <v>0</v>
      </c>
    </row>
    <row r="5741" spans="1:3" x14ac:dyDescent="0.25">
      <c r="A5741">
        <v>5740</v>
      </c>
      <c r="B5741" s="23">
        <v>1037.008302</v>
      </c>
      <c r="C5741" s="23">
        <v>0</v>
      </c>
    </row>
    <row r="5742" spans="1:3" x14ac:dyDescent="0.25">
      <c r="A5742">
        <v>5741</v>
      </c>
      <c r="B5742" s="23">
        <v>1036.9884999999999</v>
      </c>
      <c r="C5742" s="23">
        <v>0</v>
      </c>
    </row>
    <row r="5743" spans="1:3" x14ac:dyDescent="0.25">
      <c r="A5743">
        <v>5742</v>
      </c>
      <c r="B5743" s="23">
        <v>1036.9712320000001</v>
      </c>
      <c r="C5743" s="23">
        <v>0</v>
      </c>
    </row>
    <row r="5744" spans="1:3" x14ac:dyDescent="0.25">
      <c r="A5744">
        <v>5743</v>
      </c>
      <c r="B5744" s="23">
        <v>1036.8</v>
      </c>
      <c r="C5744" s="23">
        <v>0</v>
      </c>
    </row>
    <row r="5745" spans="1:3" x14ac:dyDescent="0.25">
      <c r="A5745">
        <v>5744</v>
      </c>
      <c r="B5745" s="23">
        <v>1036.8</v>
      </c>
      <c r="C5745" s="23">
        <v>0</v>
      </c>
    </row>
    <row r="5746" spans="1:3" x14ac:dyDescent="0.25">
      <c r="A5746">
        <v>5745</v>
      </c>
      <c r="B5746" s="23">
        <v>1036.716543</v>
      </c>
      <c r="C5746" s="23">
        <v>0</v>
      </c>
    </row>
    <row r="5747" spans="1:3" x14ac:dyDescent="0.25">
      <c r="A5747">
        <v>5746</v>
      </c>
      <c r="B5747" s="23">
        <v>1036.4355330000001</v>
      </c>
      <c r="C5747" s="23">
        <v>0</v>
      </c>
    </row>
    <row r="5748" spans="1:3" x14ac:dyDescent="0.25">
      <c r="A5748">
        <v>5747</v>
      </c>
      <c r="B5748" s="23">
        <v>1036.3476889999999</v>
      </c>
      <c r="C5748" s="23">
        <v>0</v>
      </c>
    </row>
    <row r="5749" spans="1:3" x14ac:dyDescent="0.25">
      <c r="A5749">
        <v>5748</v>
      </c>
      <c r="B5749" s="23">
        <v>1036.347</v>
      </c>
      <c r="C5749" s="23">
        <v>0</v>
      </c>
    </row>
    <row r="5750" spans="1:3" x14ac:dyDescent="0.25">
      <c r="A5750">
        <v>5749</v>
      </c>
      <c r="B5750" s="23">
        <v>1035.629964</v>
      </c>
      <c r="C5750" s="23">
        <v>0</v>
      </c>
    </row>
    <row r="5751" spans="1:3" x14ac:dyDescent="0.25">
      <c r="A5751">
        <v>5750</v>
      </c>
      <c r="B5751" s="23">
        <v>1035.612169</v>
      </c>
      <c r="C5751" s="23">
        <v>0</v>
      </c>
    </row>
    <row r="5752" spans="1:3" x14ac:dyDescent="0.25">
      <c r="A5752">
        <v>5751</v>
      </c>
      <c r="B5752" s="23">
        <v>1035.488969</v>
      </c>
      <c r="C5752" s="23">
        <v>0</v>
      </c>
    </row>
    <row r="5753" spans="1:3" x14ac:dyDescent="0.25">
      <c r="A5753">
        <v>5752</v>
      </c>
      <c r="B5753" s="23">
        <v>1035.3351749999999</v>
      </c>
      <c r="C5753" s="23">
        <v>0</v>
      </c>
    </row>
    <row r="5754" spans="1:3" x14ac:dyDescent="0.25">
      <c r="A5754">
        <v>5753</v>
      </c>
      <c r="B5754" s="23">
        <v>1035.2370539999999</v>
      </c>
      <c r="C5754" s="23">
        <v>0</v>
      </c>
    </row>
    <row r="5755" spans="1:3" x14ac:dyDescent="0.25">
      <c r="A5755">
        <v>5754</v>
      </c>
      <c r="B5755" s="23">
        <v>1035.1959999999999</v>
      </c>
      <c r="C5755" s="23">
        <v>0</v>
      </c>
    </row>
    <row r="5756" spans="1:3" x14ac:dyDescent="0.25">
      <c r="A5756">
        <v>5755</v>
      </c>
      <c r="B5756" s="23">
        <v>1034.934</v>
      </c>
      <c r="C5756" s="23">
        <v>0</v>
      </c>
    </row>
    <row r="5757" spans="1:3" x14ac:dyDescent="0.25">
      <c r="A5757">
        <v>5756</v>
      </c>
      <c r="B5757" s="23">
        <v>1034.876649</v>
      </c>
      <c r="C5757" s="23">
        <v>0</v>
      </c>
    </row>
    <row r="5758" spans="1:3" x14ac:dyDescent="0.25">
      <c r="A5758">
        <v>5757</v>
      </c>
      <c r="B5758" s="23">
        <v>1034.4000000000001</v>
      </c>
      <c r="C5758" s="23">
        <v>0</v>
      </c>
    </row>
    <row r="5759" spans="1:3" x14ac:dyDescent="0.25">
      <c r="A5759">
        <v>5758</v>
      </c>
      <c r="B5759" s="23">
        <v>1034.163</v>
      </c>
      <c r="C5759" s="23">
        <v>0</v>
      </c>
    </row>
    <row r="5760" spans="1:3" x14ac:dyDescent="0.25">
      <c r="A5760">
        <v>5759</v>
      </c>
      <c r="B5760" s="23">
        <v>1034.1411290000001</v>
      </c>
      <c r="C5760" s="23">
        <v>0</v>
      </c>
    </row>
    <row r="5761" spans="1:3" x14ac:dyDescent="0.25">
      <c r="A5761">
        <v>5760</v>
      </c>
      <c r="B5761" s="23">
        <v>1034.117845</v>
      </c>
      <c r="C5761" s="23">
        <v>0</v>
      </c>
    </row>
    <row r="5762" spans="1:3" x14ac:dyDescent="0.25">
      <c r="A5762">
        <v>5761</v>
      </c>
      <c r="B5762" s="23">
        <v>1034.0283340000001</v>
      </c>
      <c r="C5762" s="23">
        <v>0</v>
      </c>
    </row>
    <row r="5763" spans="1:3" x14ac:dyDescent="0.25">
      <c r="A5763">
        <v>5762</v>
      </c>
      <c r="B5763" s="23">
        <v>1033.825</v>
      </c>
      <c r="C5763" s="23">
        <v>0</v>
      </c>
    </row>
    <row r="5764" spans="1:3" x14ac:dyDescent="0.25">
      <c r="A5764">
        <v>5763</v>
      </c>
      <c r="B5764" s="23">
        <v>1033.7539999999999</v>
      </c>
      <c r="C5764" s="23">
        <v>0</v>
      </c>
    </row>
    <row r="5765" spans="1:3" x14ac:dyDescent="0.25">
      <c r="A5765">
        <v>5764</v>
      </c>
      <c r="B5765" s="23">
        <v>1033.5640310000001</v>
      </c>
      <c r="C5765" s="23">
        <v>0</v>
      </c>
    </row>
    <row r="5766" spans="1:3" x14ac:dyDescent="0.25">
      <c r="A5766">
        <v>5765</v>
      </c>
      <c r="B5766" s="23">
        <v>1033.4860000000001</v>
      </c>
      <c r="C5766" s="23">
        <v>0</v>
      </c>
    </row>
    <row r="5767" spans="1:3" x14ac:dyDescent="0.25">
      <c r="A5767">
        <v>5766</v>
      </c>
      <c r="B5767" s="23">
        <v>1033.40065</v>
      </c>
      <c r="C5767" s="23">
        <v>0</v>
      </c>
    </row>
    <row r="5768" spans="1:3" x14ac:dyDescent="0.25">
      <c r="A5768">
        <v>5767</v>
      </c>
      <c r="B5768" s="23">
        <v>1033.327781</v>
      </c>
      <c r="C5768" s="23">
        <v>0</v>
      </c>
    </row>
    <row r="5769" spans="1:3" x14ac:dyDescent="0.25">
      <c r="A5769">
        <v>5768</v>
      </c>
      <c r="B5769" s="23">
        <v>1032.9191519999999</v>
      </c>
      <c r="C5769" s="23">
        <v>0</v>
      </c>
    </row>
    <row r="5770" spans="1:3" x14ac:dyDescent="0.25">
      <c r="A5770">
        <v>5769</v>
      </c>
      <c r="B5770" s="23">
        <v>1032.8</v>
      </c>
      <c r="C5770" s="23">
        <v>0</v>
      </c>
    </row>
    <row r="5771" spans="1:3" x14ac:dyDescent="0.25">
      <c r="A5771">
        <v>5770</v>
      </c>
      <c r="B5771" s="23">
        <v>1032.8</v>
      </c>
      <c r="C5771" s="23">
        <v>0</v>
      </c>
    </row>
    <row r="5772" spans="1:3" x14ac:dyDescent="0.25">
      <c r="A5772">
        <v>5771</v>
      </c>
      <c r="B5772" s="23">
        <v>1032.7373399999999</v>
      </c>
      <c r="C5772" s="23">
        <v>0</v>
      </c>
    </row>
    <row r="5773" spans="1:3" x14ac:dyDescent="0.25">
      <c r="A5773">
        <v>5772</v>
      </c>
      <c r="B5773" s="23">
        <v>1032.572439</v>
      </c>
      <c r="C5773" s="23">
        <v>0</v>
      </c>
    </row>
    <row r="5774" spans="1:3" x14ac:dyDescent="0.25">
      <c r="A5774">
        <v>5773</v>
      </c>
      <c r="B5774" s="23">
        <v>1032.5448120000001</v>
      </c>
      <c r="C5774" s="23">
        <v>0</v>
      </c>
    </row>
    <row r="5775" spans="1:3" x14ac:dyDescent="0.25">
      <c r="A5775">
        <v>5774</v>
      </c>
      <c r="B5775" s="23">
        <v>1032</v>
      </c>
      <c r="C5775" s="23">
        <v>0</v>
      </c>
    </row>
    <row r="5776" spans="1:3" x14ac:dyDescent="0.25">
      <c r="A5776">
        <v>5775</v>
      </c>
      <c r="B5776" s="23">
        <v>1031.934569</v>
      </c>
      <c r="C5776" s="23">
        <v>0</v>
      </c>
    </row>
    <row r="5777" spans="1:3" x14ac:dyDescent="0.25">
      <c r="A5777">
        <v>5776</v>
      </c>
      <c r="B5777" s="23">
        <v>1031.8817550000001</v>
      </c>
      <c r="C5777" s="23">
        <v>0</v>
      </c>
    </row>
    <row r="5778" spans="1:3" x14ac:dyDescent="0.25">
      <c r="A5778">
        <v>5777</v>
      </c>
      <c r="B5778" s="23">
        <v>1031.53</v>
      </c>
      <c r="C5778" s="23">
        <v>0</v>
      </c>
    </row>
    <row r="5779" spans="1:3" x14ac:dyDescent="0.25">
      <c r="A5779">
        <v>5778</v>
      </c>
      <c r="B5779" s="23">
        <v>1031.203</v>
      </c>
      <c r="C5779" s="23">
        <v>0</v>
      </c>
    </row>
    <row r="5780" spans="1:3" x14ac:dyDescent="0.25">
      <c r="A5780">
        <v>5779</v>
      </c>
      <c r="B5780" s="23">
        <v>1031.2</v>
      </c>
      <c r="C5780" s="23">
        <v>0</v>
      </c>
    </row>
    <row r="5781" spans="1:3" x14ac:dyDescent="0.25">
      <c r="A5781">
        <v>5780</v>
      </c>
      <c r="B5781" s="23">
        <v>1031.1990490000001</v>
      </c>
      <c r="C5781" s="23">
        <v>0</v>
      </c>
    </row>
    <row r="5782" spans="1:3" x14ac:dyDescent="0.25">
      <c r="A5782">
        <v>5781</v>
      </c>
      <c r="B5782" s="23">
        <v>1031.1910720000001</v>
      </c>
      <c r="C5782" s="23">
        <v>0</v>
      </c>
    </row>
    <row r="5783" spans="1:3" x14ac:dyDescent="0.25">
      <c r="A5783">
        <v>5782</v>
      </c>
      <c r="B5783" s="23">
        <v>1031.1910720000001</v>
      </c>
      <c r="C5783" s="23">
        <v>0</v>
      </c>
    </row>
    <row r="5784" spans="1:3" x14ac:dyDescent="0.25">
      <c r="A5784">
        <v>5783</v>
      </c>
      <c r="B5784" s="23">
        <v>1030.8817340000001</v>
      </c>
      <c r="C5784" s="23">
        <v>0</v>
      </c>
    </row>
    <row r="5785" spans="1:3" x14ac:dyDescent="0.25">
      <c r="A5785">
        <v>5784</v>
      </c>
      <c r="B5785" s="23">
        <v>1030.5003879999999</v>
      </c>
      <c r="C5785" s="23">
        <v>0</v>
      </c>
    </row>
    <row r="5786" spans="1:3" x14ac:dyDescent="0.25">
      <c r="A5786">
        <v>5785</v>
      </c>
      <c r="B5786" s="23">
        <v>1030.4000000000001</v>
      </c>
      <c r="C5786" s="23">
        <v>0</v>
      </c>
    </row>
    <row r="5787" spans="1:3" x14ac:dyDescent="0.25">
      <c r="A5787">
        <v>5786</v>
      </c>
      <c r="B5787" s="23">
        <v>1030.0940000000001</v>
      </c>
      <c r="C5787" s="23">
        <v>0</v>
      </c>
    </row>
    <row r="5788" spans="1:3" x14ac:dyDescent="0.25">
      <c r="A5788">
        <v>5787</v>
      </c>
      <c r="B5788" s="23">
        <v>1029.9770000000001</v>
      </c>
      <c r="C5788" s="23">
        <v>0</v>
      </c>
    </row>
    <row r="5789" spans="1:3" x14ac:dyDescent="0.25">
      <c r="A5789">
        <v>5788</v>
      </c>
      <c r="B5789" s="23">
        <v>1029.9639999999999</v>
      </c>
      <c r="C5789" s="23">
        <v>0</v>
      </c>
    </row>
    <row r="5790" spans="1:3" x14ac:dyDescent="0.25">
      <c r="A5790">
        <v>5789</v>
      </c>
      <c r="B5790" s="23">
        <v>1029.5999999999999</v>
      </c>
      <c r="C5790" s="23">
        <v>0</v>
      </c>
    </row>
    <row r="5791" spans="1:3" x14ac:dyDescent="0.25">
      <c r="A5791">
        <v>5790</v>
      </c>
      <c r="B5791" s="23">
        <v>1029.4660329999999</v>
      </c>
      <c r="C5791" s="23">
        <v>0</v>
      </c>
    </row>
    <row r="5792" spans="1:3" x14ac:dyDescent="0.25">
      <c r="A5792">
        <v>5791</v>
      </c>
      <c r="B5792" s="23">
        <v>1029.1190200000001</v>
      </c>
      <c r="C5792" s="23">
        <v>0</v>
      </c>
    </row>
    <row r="5793" spans="1:3" x14ac:dyDescent="0.25">
      <c r="A5793">
        <v>5792</v>
      </c>
      <c r="B5793" s="23">
        <v>1029.1190200000001</v>
      </c>
      <c r="C5793" s="23">
        <v>0</v>
      </c>
    </row>
    <row r="5794" spans="1:3" x14ac:dyDescent="0.25">
      <c r="A5794">
        <v>5793</v>
      </c>
      <c r="B5794" s="23">
        <v>1028.874</v>
      </c>
      <c r="C5794" s="23">
        <v>0</v>
      </c>
    </row>
    <row r="5795" spans="1:3" x14ac:dyDescent="0.25">
      <c r="A5795">
        <v>5794</v>
      </c>
      <c r="B5795" s="23">
        <v>1028.830003</v>
      </c>
      <c r="C5795" s="23">
        <v>0</v>
      </c>
    </row>
    <row r="5796" spans="1:3" x14ac:dyDescent="0.25">
      <c r="A5796">
        <v>5795</v>
      </c>
      <c r="B5796" s="23">
        <v>1028.8</v>
      </c>
      <c r="C5796" s="23">
        <v>0</v>
      </c>
    </row>
    <row r="5797" spans="1:3" x14ac:dyDescent="0.25">
      <c r="A5797">
        <v>5796</v>
      </c>
      <c r="B5797" s="23">
        <v>1028.635</v>
      </c>
      <c r="C5797" s="23">
        <v>0</v>
      </c>
    </row>
    <row r="5798" spans="1:3" x14ac:dyDescent="0.25">
      <c r="A5798">
        <v>5797</v>
      </c>
      <c r="B5798" s="23">
        <v>1028.4224610000001</v>
      </c>
      <c r="C5798" s="23">
        <v>0</v>
      </c>
    </row>
    <row r="5799" spans="1:3" x14ac:dyDescent="0.25">
      <c r="A5799">
        <v>5798</v>
      </c>
      <c r="B5799" s="23">
        <v>1028.256969</v>
      </c>
      <c r="C5799" s="23">
        <v>0</v>
      </c>
    </row>
    <row r="5800" spans="1:3" x14ac:dyDescent="0.25">
      <c r="A5800">
        <v>5799</v>
      </c>
      <c r="B5800" s="23">
        <v>1028</v>
      </c>
      <c r="C5800" s="23">
        <v>0</v>
      </c>
    </row>
    <row r="5801" spans="1:3" x14ac:dyDescent="0.25">
      <c r="A5801">
        <v>5800</v>
      </c>
      <c r="B5801" s="23">
        <v>1028</v>
      </c>
      <c r="C5801" s="23">
        <v>0</v>
      </c>
    </row>
    <row r="5802" spans="1:3" x14ac:dyDescent="0.25">
      <c r="A5802">
        <v>5801</v>
      </c>
      <c r="B5802" s="23">
        <v>1027.985813</v>
      </c>
      <c r="C5802" s="23">
        <v>0</v>
      </c>
    </row>
    <row r="5803" spans="1:3" x14ac:dyDescent="0.25">
      <c r="A5803">
        <v>5802</v>
      </c>
      <c r="B5803" s="23">
        <v>1027.737652</v>
      </c>
      <c r="C5803" s="23">
        <v>0</v>
      </c>
    </row>
    <row r="5804" spans="1:3" x14ac:dyDescent="0.25">
      <c r="A5804">
        <v>5803</v>
      </c>
      <c r="B5804" s="23">
        <v>1027.48</v>
      </c>
      <c r="C5804" s="23">
        <v>0</v>
      </c>
    </row>
    <row r="5805" spans="1:3" x14ac:dyDescent="0.25">
      <c r="A5805">
        <v>5804</v>
      </c>
      <c r="B5805" s="23">
        <v>1027.1289999999999</v>
      </c>
      <c r="C5805" s="23">
        <v>0</v>
      </c>
    </row>
    <row r="5806" spans="1:3" x14ac:dyDescent="0.25">
      <c r="A5806">
        <v>5805</v>
      </c>
      <c r="B5806" s="23">
        <v>1027.0911699999999</v>
      </c>
      <c r="C5806" s="23">
        <v>0</v>
      </c>
    </row>
    <row r="5807" spans="1:3" x14ac:dyDescent="0.25">
      <c r="A5807">
        <v>5806</v>
      </c>
      <c r="B5807" s="23">
        <v>1026.6220000000001</v>
      </c>
      <c r="C5807" s="23">
        <v>0</v>
      </c>
    </row>
    <row r="5808" spans="1:3" x14ac:dyDescent="0.25">
      <c r="A5808">
        <v>5807</v>
      </c>
      <c r="B5808" s="23">
        <v>1026.462</v>
      </c>
      <c r="C5808" s="23">
        <v>0</v>
      </c>
    </row>
    <row r="5809" spans="1:3" x14ac:dyDescent="0.25">
      <c r="A5809">
        <v>5808</v>
      </c>
      <c r="B5809" s="23">
        <v>1026.4000000000001</v>
      </c>
      <c r="C5809" s="23">
        <v>0</v>
      </c>
    </row>
    <row r="5810" spans="1:3" x14ac:dyDescent="0.25">
      <c r="A5810">
        <v>5809</v>
      </c>
      <c r="B5810" s="23">
        <v>1026.4000000000001</v>
      </c>
      <c r="C5810" s="23">
        <v>0</v>
      </c>
    </row>
    <row r="5811" spans="1:3" x14ac:dyDescent="0.25">
      <c r="A5811">
        <v>5810</v>
      </c>
      <c r="B5811" s="23">
        <v>1026.3765129999999</v>
      </c>
      <c r="C5811" s="23">
        <v>0</v>
      </c>
    </row>
    <row r="5812" spans="1:3" x14ac:dyDescent="0.25">
      <c r="A5812">
        <v>5811</v>
      </c>
      <c r="B5812" s="23">
        <v>1025.9706819999999</v>
      </c>
      <c r="C5812" s="23">
        <v>0</v>
      </c>
    </row>
    <row r="5813" spans="1:3" x14ac:dyDescent="0.25">
      <c r="A5813">
        <v>5812</v>
      </c>
      <c r="B5813" s="23">
        <v>1025.314889</v>
      </c>
      <c r="C5813" s="23">
        <v>0</v>
      </c>
    </row>
    <row r="5814" spans="1:3" x14ac:dyDescent="0.25">
      <c r="A5814">
        <v>5813</v>
      </c>
      <c r="B5814" s="23">
        <v>1025.232</v>
      </c>
      <c r="C5814" s="23">
        <v>0</v>
      </c>
    </row>
    <row r="5815" spans="1:3" x14ac:dyDescent="0.25">
      <c r="A5815">
        <v>5814</v>
      </c>
      <c r="B5815" s="23">
        <v>1025.0300810000001</v>
      </c>
      <c r="C5815" s="23">
        <v>0</v>
      </c>
    </row>
    <row r="5816" spans="1:3" x14ac:dyDescent="0.25">
      <c r="A5816">
        <v>5815</v>
      </c>
      <c r="B5816" s="23">
        <v>1024.9954029999999</v>
      </c>
      <c r="C5816" s="23">
        <v>0</v>
      </c>
    </row>
    <row r="5817" spans="1:3" x14ac:dyDescent="0.25">
      <c r="A5817">
        <v>5816</v>
      </c>
      <c r="B5817" s="23">
        <v>1024.991</v>
      </c>
      <c r="C5817" s="23">
        <v>0</v>
      </c>
    </row>
    <row r="5818" spans="1:3" x14ac:dyDescent="0.25">
      <c r="A5818">
        <v>5817</v>
      </c>
      <c r="B5818" s="23">
        <v>1024.287</v>
      </c>
      <c r="C5818" s="23">
        <v>0</v>
      </c>
    </row>
    <row r="5819" spans="1:3" x14ac:dyDescent="0.25">
      <c r="A5819">
        <v>5818</v>
      </c>
      <c r="B5819" s="23">
        <v>1024.004522</v>
      </c>
      <c r="C5819" s="23">
        <v>0</v>
      </c>
    </row>
    <row r="5820" spans="1:3" x14ac:dyDescent="0.25">
      <c r="A5820">
        <v>5819</v>
      </c>
      <c r="B5820" s="23">
        <v>1024</v>
      </c>
      <c r="C5820" s="23">
        <v>0</v>
      </c>
    </row>
    <row r="5821" spans="1:3" x14ac:dyDescent="0.25">
      <c r="A5821">
        <v>5820</v>
      </c>
      <c r="B5821" s="23">
        <v>1023.343154</v>
      </c>
      <c r="C5821" s="23">
        <v>0</v>
      </c>
    </row>
    <row r="5822" spans="1:3" x14ac:dyDescent="0.25">
      <c r="A5822">
        <v>5821</v>
      </c>
      <c r="B5822" s="23">
        <v>1023.227584</v>
      </c>
      <c r="C5822" s="23">
        <v>0</v>
      </c>
    </row>
    <row r="5823" spans="1:3" x14ac:dyDescent="0.25">
      <c r="A5823">
        <v>5822</v>
      </c>
      <c r="B5823" s="23">
        <v>1023.202449</v>
      </c>
      <c r="C5823" s="23">
        <v>0</v>
      </c>
    </row>
    <row r="5824" spans="1:3" x14ac:dyDescent="0.25">
      <c r="A5824">
        <v>5823</v>
      </c>
      <c r="B5824" s="23">
        <v>1022.902865</v>
      </c>
      <c r="C5824" s="23">
        <v>0</v>
      </c>
    </row>
    <row r="5825" spans="1:3" x14ac:dyDescent="0.25">
      <c r="A5825">
        <v>5824</v>
      </c>
      <c r="B5825" s="23">
        <v>1022.571</v>
      </c>
      <c r="C5825" s="23">
        <v>0</v>
      </c>
    </row>
    <row r="5826" spans="1:3" x14ac:dyDescent="0.25">
      <c r="A5826">
        <v>5825</v>
      </c>
      <c r="B5826" s="23">
        <v>1022.55</v>
      </c>
      <c r="C5826" s="23">
        <v>0</v>
      </c>
    </row>
    <row r="5827" spans="1:3" x14ac:dyDescent="0.25">
      <c r="A5827">
        <v>5826</v>
      </c>
      <c r="B5827" s="23">
        <v>1022.4</v>
      </c>
      <c r="C5827" s="23">
        <v>0</v>
      </c>
    </row>
    <row r="5828" spans="1:3" x14ac:dyDescent="0.25">
      <c r="A5828">
        <v>5827</v>
      </c>
      <c r="B5828" s="23">
        <v>1022.287364</v>
      </c>
      <c r="C5828" s="23">
        <v>0</v>
      </c>
    </row>
    <row r="5829" spans="1:3" x14ac:dyDescent="0.25">
      <c r="A5829">
        <v>5828</v>
      </c>
      <c r="B5829" s="23">
        <v>1022.212181</v>
      </c>
      <c r="C5829" s="23">
        <v>0</v>
      </c>
    </row>
    <row r="5830" spans="1:3" x14ac:dyDescent="0.25">
      <c r="A5830">
        <v>5829</v>
      </c>
      <c r="B5830" s="23">
        <v>1021.637289</v>
      </c>
      <c r="C5830" s="23">
        <v>0</v>
      </c>
    </row>
    <row r="5831" spans="1:3" x14ac:dyDescent="0.25">
      <c r="A5831">
        <v>5830</v>
      </c>
      <c r="B5831" s="23">
        <v>1021.6</v>
      </c>
      <c r="C5831" s="23">
        <v>0</v>
      </c>
    </row>
    <row r="5832" spans="1:3" x14ac:dyDescent="0.25">
      <c r="A5832">
        <v>5831</v>
      </c>
      <c r="B5832" s="23">
        <v>1021.521497</v>
      </c>
      <c r="C5832" s="23">
        <v>0</v>
      </c>
    </row>
    <row r="5833" spans="1:3" x14ac:dyDescent="0.25">
      <c r="A5833">
        <v>5832</v>
      </c>
      <c r="B5833" s="23">
        <v>1021.184944</v>
      </c>
      <c r="C5833" s="23">
        <v>0</v>
      </c>
    </row>
    <row r="5834" spans="1:3" x14ac:dyDescent="0.25">
      <c r="A5834">
        <v>5833</v>
      </c>
      <c r="B5834" s="23">
        <v>1021.024</v>
      </c>
      <c r="C5834" s="23">
        <v>0</v>
      </c>
    </row>
    <row r="5835" spans="1:3" x14ac:dyDescent="0.25">
      <c r="A5835">
        <v>5834</v>
      </c>
      <c r="B5835" s="23">
        <v>1020.8967699999999</v>
      </c>
      <c r="C5835" s="23">
        <v>0</v>
      </c>
    </row>
    <row r="5836" spans="1:3" x14ac:dyDescent="0.25">
      <c r="A5836">
        <v>5835</v>
      </c>
      <c r="B5836" s="23">
        <v>1020.8967699999999</v>
      </c>
      <c r="C5836" s="23">
        <v>0</v>
      </c>
    </row>
    <row r="5837" spans="1:3" x14ac:dyDescent="0.25">
      <c r="A5837">
        <v>5836</v>
      </c>
      <c r="B5837" s="23">
        <v>1020.830813</v>
      </c>
      <c r="C5837" s="23">
        <v>0</v>
      </c>
    </row>
    <row r="5838" spans="1:3" x14ac:dyDescent="0.25">
      <c r="A5838">
        <v>5837</v>
      </c>
      <c r="B5838" s="23">
        <v>1020.830813</v>
      </c>
      <c r="C5838" s="23">
        <v>0</v>
      </c>
    </row>
    <row r="5839" spans="1:3" x14ac:dyDescent="0.25">
      <c r="A5839">
        <v>5838</v>
      </c>
      <c r="B5839" s="23">
        <v>1020.8</v>
      </c>
      <c r="C5839" s="23">
        <v>0</v>
      </c>
    </row>
    <row r="5840" spans="1:3" x14ac:dyDescent="0.25">
      <c r="A5840">
        <v>5839</v>
      </c>
      <c r="B5840" s="23">
        <v>1020.536465</v>
      </c>
      <c r="C5840" s="23">
        <v>0</v>
      </c>
    </row>
    <row r="5841" spans="1:3" x14ac:dyDescent="0.25">
      <c r="A5841">
        <v>5840</v>
      </c>
      <c r="B5841" s="23">
        <v>1020.516</v>
      </c>
      <c r="C5841" s="23">
        <v>0</v>
      </c>
    </row>
    <row r="5842" spans="1:3" x14ac:dyDescent="0.25">
      <c r="A5842">
        <v>5841</v>
      </c>
      <c r="B5842" s="23">
        <v>1020</v>
      </c>
      <c r="C5842" s="23">
        <v>0</v>
      </c>
    </row>
    <row r="5843" spans="1:3" x14ac:dyDescent="0.25">
      <c r="A5843">
        <v>5842</v>
      </c>
      <c r="B5843" s="23">
        <v>1020</v>
      </c>
      <c r="C5843" s="23">
        <v>0</v>
      </c>
    </row>
    <row r="5844" spans="1:3" x14ac:dyDescent="0.25">
      <c r="A5844">
        <v>5843</v>
      </c>
      <c r="B5844" s="23">
        <v>1019.833874</v>
      </c>
      <c r="C5844" s="23">
        <v>0</v>
      </c>
    </row>
    <row r="5845" spans="1:3" x14ac:dyDescent="0.25">
      <c r="A5845">
        <v>5844</v>
      </c>
      <c r="B5845" s="23">
        <v>1019.831048</v>
      </c>
      <c r="C5845" s="23">
        <v>0</v>
      </c>
    </row>
    <row r="5846" spans="1:3" x14ac:dyDescent="0.25">
      <c r="A5846">
        <v>5845</v>
      </c>
      <c r="B5846" s="23">
        <v>1019.449445</v>
      </c>
      <c r="C5846" s="23">
        <v>0</v>
      </c>
    </row>
    <row r="5847" spans="1:3" x14ac:dyDescent="0.25">
      <c r="A5847">
        <v>5846</v>
      </c>
      <c r="B5847" s="23">
        <v>1019.430729</v>
      </c>
      <c r="C5847" s="23">
        <v>0</v>
      </c>
    </row>
    <row r="5848" spans="1:3" x14ac:dyDescent="0.25">
      <c r="A5848">
        <v>5847</v>
      </c>
      <c r="B5848" s="23">
        <v>1019.2</v>
      </c>
      <c r="C5848" s="23">
        <v>0</v>
      </c>
    </row>
    <row r="5849" spans="1:3" x14ac:dyDescent="0.25">
      <c r="A5849">
        <v>5848</v>
      </c>
      <c r="B5849" s="23">
        <v>1019.2</v>
      </c>
      <c r="C5849" s="23">
        <v>0</v>
      </c>
    </row>
    <row r="5850" spans="1:3" x14ac:dyDescent="0.25">
      <c r="A5850">
        <v>5849</v>
      </c>
      <c r="B5850" s="23">
        <v>1019.092</v>
      </c>
      <c r="C5850" s="23">
        <v>0</v>
      </c>
    </row>
    <row r="5851" spans="1:3" x14ac:dyDescent="0.25">
      <c r="A5851">
        <v>5850</v>
      </c>
      <c r="B5851" s="23">
        <v>1018.695209</v>
      </c>
      <c r="C5851" s="23">
        <v>0</v>
      </c>
    </row>
    <row r="5852" spans="1:3" x14ac:dyDescent="0.25">
      <c r="A5852">
        <v>5851</v>
      </c>
      <c r="B5852" s="23">
        <v>1018.4</v>
      </c>
      <c r="C5852" s="23">
        <v>0</v>
      </c>
    </row>
    <row r="5853" spans="1:3" x14ac:dyDescent="0.25">
      <c r="A5853">
        <v>5852</v>
      </c>
      <c r="B5853" s="23">
        <v>1018.275</v>
      </c>
      <c r="C5853" s="23">
        <v>0</v>
      </c>
    </row>
    <row r="5854" spans="1:3" x14ac:dyDescent="0.25">
      <c r="A5854">
        <v>5853</v>
      </c>
      <c r="B5854" s="23">
        <v>1018.198214</v>
      </c>
      <c r="C5854" s="23">
        <v>0</v>
      </c>
    </row>
    <row r="5855" spans="1:3" x14ac:dyDescent="0.25">
      <c r="A5855">
        <v>5854</v>
      </c>
      <c r="B5855" s="23">
        <v>1018.068077</v>
      </c>
      <c r="C5855" s="23">
        <v>0</v>
      </c>
    </row>
    <row r="5856" spans="1:3" x14ac:dyDescent="0.25">
      <c r="A5856">
        <v>5855</v>
      </c>
      <c r="B5856" s="23">
        <v>1017.97</v>
      </c>
      <c r="C5856" s="23">
        <v>0</v>
      </c>
    </row>
    <row r="5857" spans="1:3" x14ac:dyDescent="0.25">
      <c r="A5857">
        <v>5856</v>
      </c>
      <c r="B5857" s="23">
        <v>1017.7890169999999</v>
      </c>
      <c r="C5857" s="23">
        <v>0</v>
      </c>
    </row>
    <row r="5858" spans="1:3" x14ac:dyDescent="0.25">
      <c r="A5858">
        <v>5857</v>
      </c>
      <c r="B5858" s="23">
        <v>1017.622</v>
      </c>
      <c r="C5858" s="23">
        <v>0</v>
      </c>
    </row>
    <row r="5859" spans="1:3" x14ac:dyDescent="0.25">
      <c r="A5859">
        <v>5858</v>
      </c>
      <c r="B5859" s="23">
        <v>1017.274736</v>
      </c>
      <c r="C5859" s="23">
        <v>0</v>
      </c>
    </row>
    <row r="5860" spans="1:3" x14ac:dyDescent="0.25">
      <c r="A5860">
        <v>5859</v>
      </c>
      <c r="B5860" s="23">
        <v>1017.123567</v>
      </c>
      <c r="C5860" s="23">
        <v>0</v>
      </c>
    </row>
    <row r="5861" spans="1:3" x14ac:dyDescent="0.25">
      <c r="A5861">
        <v>5860</v>
      </c>
      <c r="B5861" s="23">
        <v>1017.049</v>
      </c>
      <c r="C5861" s="23">
        <v>0</v>
      </c>
    </row>
    <row r="5862" spans="1:3" x14ac:dyDescent="0.25">
      <c r="A5862">
        <v>5861</v>
      </c>
      <c r="B5862" s="23">
        <v>1016.8</v>
      </c>
      <c r="C5862" s="23">
        <v>0</v>
      </c>
    </row>
    <row r="5863" spans="1:3" x14ac:dyDescent="0.25">
      <c r="A5863">
        <v>5862</v>
      </c>
      <c r="B5863" s="23">
        <v>1016.189844</v>
      </c>
      <c r="C5863" s="23">
        <v>0</v>
      </c>
    </row>
    <row r="5864" spans="1:3" x14ac:dyDescent="0.25">
      <c r="A5864">
        <v>5863</v>
      </c>
      <c r="B5864" s="23">
        <v>1016.173</v>
      </c>
      <c r="C5864" s="23">
        <v>0</v>
      </c>
    </row>
    <row r="5865" spans="1:3" x14ac:dyDescent="0.25">
      <c r="A5865">
        <v>5864</v>
      </c>
      <c r="B5865" s="23">
        <v>1016</v>
      </c>
      <c r="C5865" s="23">
        <v>0</v>
      </c>
    </row>
    <row r="5866" spans="1:3" x14ac:dyDescent="0.25">
      <c r="A5866">
        <v>5865</v>
      </c>
      <c r="B5866" s="23">
        <v>1016</v>
      </c>
      <c r="C5866" s="23">
        <v>0</v>
      </c>
    </row>
    <row r="5867" spans="1:3" x14ac:dyDescent="0.25">
      <c r="A5867">
        <v>5866</v>
      </c>
      <c r="B5867" s="23">
        <v>1016</v>
      </c>
      <c r="C5867" s="23">
        <v>0</v>
      </c>
    </row>
    <row r="5868" spans="1:3" x14ac:dyDescent="0.25">
      <c r="A5868">
        <v>5867</v>
      </c>
      <c r="B5868" s="23">
        <v>1016</v>
      </c>
      <c r="C5868" s="23">
        <v>0</v>
      </c>
    </row>
    <row r="5869" spans="1:3" x14ac:dyDescent="0.25">
      <c r="A5869">
        <v>5868</v>
      </c>
      <c r="B5869" s="23">
        <v>1015.996026</v>
      </c>
      <c r="C5869" s="23">
        <v>0</v>
      </c>
    </row>
    <row r="5870" spans="1:3" x14ac:dyDescent="0.25">
      <c r="A5870">
        <v>5869</v>
      </c>
      <c r="B5870" s="23">
        <v>1015.996026</v>
      </c>
      <c r="C5870" s="23">
        <v>0</v>
      </c>
    </row>
    <row r="5871" spans="1:3" x14ac:dyDescent="0.25">
      <c r="A5871">
        <v>5870</v>
      </c>
      <c r="B5871" s="23">
        <v>1015.736</v>
      </c>
      <c r="C5871" s="23">
        <v>0</v>
      </c>
    </row>
    <row r="5872" spans="1:3" x14ac:dyDescent="0.25">
      <c r="A5872">
        <v>5871</v>
      </c>
      <c r="B5872" s="23">
        <v>1015.72</v>
      </c>
      <c r="C5872" s="23">
        <v>0</v>
      </c>
    </row>
    <row r="5873" spans="1:3" x14ac:dyDescent="0.25">
      <c r="A5873">
        <v>5872</v>
      </c>
      <c r="B5873" s="23">
        <v>1015.4607600000001</v>
      </c>
      <c r="C5873" s="23">
        <v>0</v>
      </c>
    </row>
    <row r="5874" spans="1:3" x14ac:dyDescent="0.25">
      <c r="A5874">
        <v>5873</v>
      </c>
      <c r="B5874" s="23">
        <v>1015.075531</v>
      </c>
      <c r="C5874" s="23">
        <v>0</v>
      </c>
    </row>
    <row r="5875" spans="1:3" x14ac:dyDescent="0.25">
      <c r="A5875">
        <v>5874</v>
      </c>
      <c r="B5875" s="23">
        <v>1015.017609</v>
      </c>
      <c r="C5875" s="23">
        <v>0</v>
      </c>
    </row>
    <row r="5876" spans="1:3" x14ac:dyDescent="0.25">
      <c r="A5876">
        <v>5875</v>
      </c>
      <c r="B5876" s="23">
        <v>1014.4</v>
      </c>
      <c r="C5876" s="23">
        <v>0</v>
      </c>
    </row>
    <row r="5877" spans="1:3" x14ac:dyDescent="0.25">
      <c r="A5877">
        <v>5876</v>
      </c>
      <c r="B5877" s="23">
        <v>1014.4</v>
      </c>
      <c r="C5877" s="23">
        <v>0</v>
      </c>
    </row>
    <row r="5878" spans="1:3" x14ac:dyDescent="0.25">
      <c r="A5878">
        <v>5877</v>
      </c>
      <c r="B5878" s="23">
        <v>1014.359</v>
      </c>
      <c r="C5878" s="23">
        <v>0</v>
      </c>
    </row>
    <row r="5879" spans="1:3" x14ac:dyDescent="0.25">
      <c r="A5879">
        <v>5878</v>
      </c>
      <c r="B5879" s="23">
        <v>1014.010386</v>
      </c>
      <c r="C5879" s="23">
        <v>0</v>
      </c>
    </row>
    <row r="5880" spans="1:3" x14ac:dyDescent="0.25">
      <c r="A5880">
        <v>5879</v>
      </c>
      <c r="B5880" s="23">
        <v>1013.904326</v>
      </c>
      <c r="C5880" s="23">
        <v>0</v>
      </c>
    </row>
    <row r="5881" spans="1:3" x14ac:dyDescent="0.25">
      <c r="A5881">
        <v>5880</v>
      </c>
      <c r="B5881" s="23">
        <v>1013.23329</v>
      </c>
      <c r="C5881" s="23">
        <v>0</v>
      </c>
    </row>
    <row r="5882" spans="1:3" x14ac:dyDescent="0.25">
      <c r="A5882">
        <v>5881</v>
      </c>
      <c r="B5882" s="23">
        <v>1012.93241</v>
      </c>
      <c r="C5882" s="23">
        <v>0</v>
      </c>
    </row>
    <row r="5883" spans="1:3" x14ac:dyDescent="0.25">
      <c r="A5883">
        <v>5882</v>
      </c>
      <c r="B5883" s="23">
        <v>1012.811049</v>
      </c>
      <c r="C5883" s="23">
        <v>0</v>
      </c>
    </row>
    <row r="5884" spans="1:3" x14ac:dyDescent="0.25">
      <c r="A5884">
        <v>5883</v>
      </c>
      <c r="B5884" s="23">
        <v>1012.542606</v>
      </c>
      <c r="C5884" s="23">
        <v>0</v>
      </c>
    </row>
    <row r="5885" spans="1:3" x14ac:dyDescent="0.25">
      <c r="A5885">
        <v>5884</v>
      </c>
      <c r="B5885" s="23">
        <v>1012.197</v>
      </c>
      <c r="C5885" s="23">
        <v>0</v>
      </c>
    </row>
    <row r="5886" spans="1:3" x14ac:dyDescent="0.25">
      <c r="A5886">
        <v>5885</v>
      </c>
      <c r="B5886" s="23">
        <v>1012</v>
      </c>
      <c r="C5886" s="23">
        <v>0</v>
      </c>
    </row>
    <row r="5887" spans="1:3" x14ac:dyDescent="0.25">
      <c r="A5887">
        <v>5886</v>
      </c>
      <c r="B5887" s="23">
        <v>1011.616</v>
      </c>
      <c r="C5887" s="23">
        <v>0</v>
      </c>
    </row>
    <row r="5888" spans="1:3" x14ac:dyDescent="0.25">
      <c r="A5888">
        <v>5887</v>
      </c>
      <c r="B5888" s="23">
        <v>1011.485</v>
      </c>
      <c r="C5888" s="23">
        <v>0</v>
      </c>
    </row>
    <row r="5889" spans="1:3" x14ac:dyDescent="0.25">
      <c r="A5889">
        <v>5888</v>
      </c>
      <c r="B5889" s="23">
        <v>1010.939336</v>
      </c>
      <c r="C5889" s="23">
        <v>0</v>
      </c>
    </row>
    <row r="5890" spans="1:3" x14ac:dyDescent="0.25">
      <c r="A5890">
        <v>5889</v>
      </c>
      <c r="B5890" s="23">
        <v>1010.9109999999999</v>
      </c>
      <c r="C5890" s="23">
        <v>0</v>
      </c>
    </row>
    <row r="5891" spans="1:3" x14ac:dyDescent="0.25">
      <c r="A5891">
        <v>5890</v>
      </c>
      <c r="B5891" s="23">
        <v>1010.871</v>
      </c>
      <c r="C5891" s="23">
        <v>0</v>
      </c>
    </row>
    <row r="5892" spans="1:3" x14ac:dyDescent="0.25">
      <c r="A5892">
        <v>5891</v>
      </c>
      <c r="B5892" s="23">
        <v>1010.583343</v>
      </c>
      <c r="C5892" s="23">
        <v>0</v>
      </c>
    </row>
    <row r="5893" spans="1:3" x14ac:dyDescent="0.25">
      <c r="A5893">
        <v>5892</v>
      </c>
      <c r="B5893" s="23">
        <v>1010.470554</v>
      </c>
      <c r="C5893" s="23">
        <v>0</v>
      </c>
    </row>
    <row r="5894" spans="1:3" x14ac:dyDescent="0.25">
      <c r="A5894">
        <v>5893</v>
      </c>
      <c r="B5894" s="23">
        <v>1010.4</v>
      </c>
      <c r="C5894" s="23">
        <v>0</v>
      </c>
    </row>
    <row r="5895" spans="1:3" x14ac:dyDescent="0.25">
      <c r="A5895">
        <v>5894</v>
      </c>
      <c r="B5895" s="23">
        <v>1009.939</v>
      </c>
      <c r="C5895" s="23">
        <v>0</v>
      </c>
    </row>
    <row r="5896" spans="1:3" x14ac:dyDescent="0.25">
      <c r="A5896">
        <v>5895</v>
      </c>
      <c r="B5896" s="23">
        <v>1009.849194</v>
      </c>
      <c r="C5896" s="23">
        <v>0</v>
      </c>
    </row>
    <row r="5897" spans="1:3" x14ac:dyDescent="0.25">
      <c r="A5897">
        <v>5896</v>
      </c>
      <c r="B5897" s="23">
        <v>1009.709913</v>
      </c>
      <c r="C5897" s="23">
        <v>0</v>
      </c>
    </row>
    <row r="5898" spans="1:3" x14ac:dyDescent="0.25">
      <c r="A5898">
        <v>5897</v>
      </c>
      <c r="B5898" s="23">
        <v>1009.6</v>
      </c>
      <c r="C5898" s="23">
        <v>0</v>
      </c>
    </row>
    <row r="5899" spans="1:3" x14ac:dyDescent="0.25">
      <c r="A5899">
        <v>5898</v>
      </c>
      <c r="B5899" s="23">
        <v>1009.089187</v>
      </c>
      <c r="C5899" s="23">
        <v>0</v>
      </c>
    </row>
    <row r="5900" spans="1:3" x14ac:dyDescent="0.25">
      <c r="A5900">
        <v>5899</v>
      </c>
      <c r="B5900" s="23">
        <v>1008.8</v>
      </c>
      <c r="C5900" s="23">
        <v>0</v>
      </c>
    </row>
    <row r="5901" spans="1:3" x14ac:dyDescent="0.25">
      <c r="A5901">
        <v>5900</v>
      </c>
      <c r="B5901" s="23">
        <v>1008.77</v>
      </c>
      <c r="C5901" s="23">
        <v>0</v>
      </c>
    </row>
    <row r="5902" spans="1:3" x14ac:dyDescent="0.25">
      <c r="A5902">
        <v>5901</v>
      </c>
      <c r="B5902" s="23">
        <v>1008.407</v>
      </c>
      <c r="C5902" s="23">
        <v>0</v>
      </c>
    </row>
    <row r="5903" spans="1:3" x14ac:dyDescent="0.25">
      <c r="A5903">
        <v>5902</v>
      </c>
      <c r="B5903" s="23">
        <v>1008.398503</v>
      </c>
      <c r="C5903" s="23">
        <v>0</v>
      </c>
    </row>
    <row r="5904" spans="1:3" x14ac:dyDescent="0.25">
      <c r="A5904">
        <v>5903</v>
      </c>
      <c r="B5904" s="23">
        <v>1008.398503</v>
      </c>
      <c r="C5904" s="23">
        <v>0</v>
      </c>
    </row>
    <row r="5905" spans="1:3" x14ac:dyDescent="0.25">
      <c r="A5905">
        <v>5904</v>
      </c>
      <c r="B5905" s="23">
        <v>1008.272453</v>
      </c>
      <c r="C5905" s="23">
        <v>0</v>
      </c>
    </row>
    <row r="5906" spans="1:3" x14ac:dyDescent="0.25">
      <c r="A5906">
        <v>5905</v>
      </c>
      <c r="B5906" s="23">
        <v>1008</v>
      </c>
      <c r="C5906" s="23">
        <v>0</v>
      </c>
    </row>
    <row r="5907" spans="1:3" x14ac:dyDescent="0.25">
      <c r="A5907">
        <v>5906</v>
      </c>
      <c r="B5907" s="23">
        <v>1007.9081169999999</v>
      </c>
      <c r="C5907" s="23">
        <v>0</v>
      </c>
    </row>
    <row r="5908" spans="1:3" x14ac:dyDescent="0.25">
      <c r="A5908">
        <v>5907</v>
      </c>
      <c r="B5908" s="23">
        <v>1007.2</v>
      </c>
      <c r="C5908" s="23">
        <v>0</v>
      </c>
    </row>
    <row r="5909" spans="1:3" x14ac:dyDescent="0.25">
      <c r="A5909">
        <v>5908</v>
      </c>
      <c r="B5909" s="23">
        <v>1007.057</v>
      </c>
      <c r="C5909" s="23">
        <v>0</v>
      </c>
    </row>
    <row r="5910" spans="1:3" x14ac:dyDescent="0.25">
      <c r="A5910">
        <v>5909</v>
      </c>
      <c r="B5910" s="23">
        <v>1007.0171350000001</v>
      </c>
      <c r="C5910" s="23">
        <v>0</v>
      </c>
    </row>
    <row r="5911" spans="1:3" x14ac:dyDescent="0.25">
      <c r="A5911">
        <v>5910</v>
      </c>
      <c r="B5911" s="23">
        <v>1006.978844</v>
      </c>
      <c r="C5911" s="23">
        <v>0</v>
      </c>
    </row>
    <row r="5912" spans="1:3" x14ac:dyDescent="0.25">
      <c r="A5912">
        <v>5911</v>
      </c>
      <c r="B5912" s="23">
        <v>1006.926889</v>
      </c>
      <c r="C5912" s="23">
        <v>0</v>
      </c>
    </row>
    <row r="5913" spans="1:3" x14ac:dyDescent="0.25">
      <c r="A5913">
        <v>5912</v>
      </c>
      <c r="B5913" s="23">
        <v>1006.925</v>
      </c>
      <c r="C5913" s="23">
        <v>0</v>
      </c>
    </row>
    <row r="5914" spans="1:3" x14ac:dyDescent="0.25">
      <c r="A5914">
        <v>5913</v>
      </c>
      <c r="B5914" s="23">
        <v>1006.4</v>
      </c>
      <c r="C5914" s="23">
        <v>0</v>
      </c>
    </row>
    <row r="5915" spans="1:3" x14ac:dyDescent="0.25">
      <c r="A5915">
        <v>5914</v>
      </c>
      <c r="B5915" s="23">
        <v>1006.4</v>
      </c>
      <c r="C5915" s="23">
        <v>0</v>
      </c>
    </row>
    <row r="5916" spans="1:3" x14ac:dyDescent="0.25">
      <c r="A5916">
        <v>5915</v>
      </c>
      <c r="B5916" s="23">
        <v>1005.635767</v>
      </c>
      <c r="C5916" s="23">
        <v>0</v>
      </c>
    </row>
    <row r="5917" spans="1:3" x14ac:dyDescent="0.25">
      <c r="A5917">
        <v>5916</v>
      </c>
      <c r="B5917" s="23">
        <v>1005.3405</v>
      </c>
      <c r="C5917" s="23">
        <v>0</v>
      </c>
    </row>
    <row r="5918" spans="1:3" x14ac:dyDescent="0.25">
      <c r="A5918">
        <v>5917</v>
      </c>
      <c r="B5918" s="23">
        <v>1005.2559</v>
      </c>
      <c r="C5918" s="23">
        <v>0</v>
      </c>
    </row>
    <row r="5919" spans="1:3" x14ac:dyDescent="0.25">
      <c r="A5919">
        <v>5918</v>
      </c>
      <c r="B5919" s="23">
        <v>1004.720329</v>
      </c>
      <c r="C5919" s="23">
        <v>0</v>
      </c>
    </row>
    <row r="5920" spans="1:3" x14ac:dyDescent="0.25">
      <c r="A5920">
        <v>5919</v>
      </c>
      <c r="B5920" s="23">
        <v>1004.436234</v>
      </c>
      <c r="C5920" s="23">
        <v>0</v>
      </c>
    </row>
    <row r="5921" spans="1:3" x14ac:dyDescent="0.25">
      <c r="A5921">
        <v>5920</v>
      </c>
      <c r="B5921" s="23">
        <v>1004.3509</v>
      </c>
      <c r="C5921" s="23">
        <v>0</v>
      </c>
    </row>
    <row r="5922" spans="1:3" x14ac:dyDescent="0.25">
      <c r="A5922">
        <v>5921</v>
      </c>
      <c r="B5922" s="23">
        <v>1004.254399</v>
      </c>
      <c r="C5922" s="23">
        <v>0</v>
      </c>
    </row>
    <row r="5923" spans="1:3" x14ac:dyDescent="0.25">
      <c r="A5923">
        <v>5922</v>
      </c>
      <c r="B5923" s="23">
        <v>1004</v>
      </c>
      <c r="C5923" s="23">
        <v>0</v>
      </c>
    </row>
    <row r="5924" spans="1:3" x14ac:dyDescent="0.25">
      <c r="A5924">
        <v>5923</v>
      </c>
      <c r="B5924" s="23">
        <v>1003.984809</v>
      </c>
      <c r="C5924" s="23">
        <v>0</v>
      </c>
    </row>
    <row r="5925" spans="1:3" x14ac:dyDescent="0.25">
      <c r="A5925">
        <v>5924</v>
      </c>
      <c r="B5925" s="23">
        <v>1003.563715</v>
      </c>
      <c r="C5925" s="23">
        <v>0</v>
      </c>
    </row>
    <row r="5926" spans="1:3" x14ac:dyDescent="0.25">
      <c r="A5926">
        <v>5925</v>
      </c>
      <c r="B5926" s="23">
        <v>1003.549902</v>
      </c>
      <c r="C5926" s="23">
        <v>0</v>
      </c>
    </row>
    <row r="5927" spans="1:3" x14ac:dyDescent="0.25">
      <c r="A5927">
        <v>5926</v>
      </c>
      <c r="B5927" s="23">
        <v>1003.532464</v>
      </c>
      <c r="C5927" s="23">
        <v>0</v>
      </c>
    </row>
    <row r="5928" spans="1:3" x14ac:dyDescent="0.25">
      <c r="A5928">
        <v>5927</v>
      </c>
      <c r="B5928" s="23">
        <v>1003.501</v>
      </c>
      <c r="C5928" s="23">
        <v>0</v>
      </c>
    </row>
    <row r="5929" spans="1:3" x14ac:dyDescent="0.25">
      <c r="A5929">
        <v>5928</v>
      </c>
      <c r="B5929" s="23">
        <v>1003.211</v>
      </c>
      <c r="C5929" s="23">
        <v>0</v>
      </c>
    </row>
    <row r="5930" spans="1:3" x14ac:dyDescent="0.25">
      <c r="A5930">
        <v>5929</v>
      </c>
      <c r="B5930" s="23">
        <v>1003.197</v>
      </c>
      <c r="C5930" s="23">
        <v>0</v>
      </c>
    </row>
    <row r="5931" spans="1:3" x14ac:dyDescent="0.25">
      <c r="A5931">
        <v>5930</v>
      </c>
      <c r="B5931" s="23">
        <v>1003.1398349999999</v>
      </c>
      <c r="C5931" s="23">
        <v>0</v>
      </c>
    </row>
    <row r="5932" spans="1:3" x14ac:dyDescent="0.25">
      <c r="A5932">
        <v>5931</v>
      </c>
      <c r="B5932" s="23">
        <v>1002.649</v>
      </c>
      <c r="C5932" s="23">
        <v>0</v>
      </c>
    </row>
    <row r="5933" spans="1:3" x14ac:dyDescent="0.25">
      <c r="A5933">
        <v>5932</v>
      </c>
      <c r="B5933" s="23">
        <v>1002.540431</v>
      </c>
      <c r="C5933" s="23">
        <v>0</v>
      </c>
    </row>
    <row r="5934" spans="1:3" x14ac:dyDescent="0.25">
      <c r="A5934">
        <v>5933</v>
      </c>
      <c r="B5934" s="23">
        <v>1002.444807</v>
      </c>
      <c r="C5934" s="23">
        <v>0</v>
      </c>
    </row>
    <row r="5935" spans="1:3" x14ac:dyDescent="0.25">
      <c r="A5935">
        <v>5934</v>
      </c>
      <c r="B5935" s="23">
        <v>1002.387826</v>
      </c>
      <c r="C5935" s="23">
        <v>0</v>
      </c>
    </row>
    <row r="5936" spans="1:3" x14ac:dyDescent="0.25">
      <c r="A5936">
        <v>5935</v>
      </c>
      <c r="B5936" s="23">
        <v>1002.061</v>
      </c>
      <c r="C5936" s="23">
        <v>0</v>
      </c>
    </row>
    <row r="5937" spans="1:3" x14ac:dyDescent="0.25">
      <c r="A5937">
        <v>5936</v>
      </c>
      <c r="B5937" s="23">
        <v>1001.778249</v>
      </c>
      <c r="C5937" s="23">
        <v>0</v>
      </c>
    </row>
    <row r="5938" spans="1:3" x14ac:dyDescent="0.25">
      <c r="A5938">
        <v>5937</v>
      </c>
      <c r="B5938" s="23">
        <v>1001.473315</v>
      </c>
      <c r="C5938" s="23">
        <v>0</v>
      </c>
    </row>
    <row r="5939" spans="1:3" x14ac:dyDescent="0.25">
      <c r="A5939">
        <v>5938</v>
      </c>
      <c r="B5939" s="23">
        <v>1001.042729</v>
      </c>
      <c r="C5939" s="23">
        <v>0</v>
      </c>
    </row>
    <row r="5940" spans="1:3" x14ac:dyDescent="0.25">
      <c r="A5940">
        <v>5939</v>
      </c>
      <c r="B5940" s="23">
        <v>1001.042729</v>
      </c>
      <c r="C5940" s="23">
        <v>0</v>
      </c>
    </row>
    <row r="5941" spans="1:3" x14ac:dyDescent="0.25">
      <c r="A5941">
        <v>5940</v>
      </c>
      <c r="B5941" s="23">
        <v>1001.042729</v>
      </c>
      <c r="C5941" s="23">
        <v>0</v>
      </c>
    </row>
    <row r="5942" spans="1:3" x14ac:dyDescent="0.25">
      <c r="A5942">
        <v>5941</v>
      </c>
      <c r="B5942" s="23">
        <v>1000.8</v>
      </c>
      <c r="C5942" s="23">
        <v>0</v>
      </c>
    </row>
    <row r="5943" spans="1:3" x14ac:dyDescent="0.25">
      <c r="A5943">
        <v>5942</v>
      </c>
      <c r="B5943" s="23">
        <v>1000.696377</v>
      </c>
      <c r="C5943" s="23">
        <v>0</v>
      </c>
    </row>
    <row r="5944" spans="1:3" x14ac:dyDescent="0.25">
      <c r="A5944">
        <v>5943</v>
      </c>
      <c r="B5944" s="23">
        <v>1000.3072089999999</v>
      </c>
      <c r="C5944" s="23">
        <v>0</v>
      </c>
    </row>
    <row r="5945" spans="1:3" x14ac:dyDescent="0.25">
      <c r="A5945">
        <v>5944</v>
      </c>
      <c r="B5945" s="23">
        <v>1000.1102959999999</v>
      </c>
      <c r="C5945" s="23">
        <v>0</v>
      </c>
    </row>
    <row r="5946" spans="1:3" x14ac:dyDescent="0.25">
      <c r="A5946">
        <v>5945</v>
      </c>
      <c r="B5946" s="23">
        <v>1000</v>
      </c>
      <c r="C5946" s="23">
        <v>0</v>
      </c>
    </row>
    <row r="5947" spans="1:3" x14ac:dyDescent="0.25">
      <c r="A5947">
        <v>5946</v>
      </c>
      <c r="B5947" s="23">
        <v>999.96600000000001</v>
      </c>
      <c r="C5947" s="23">
        <v>0</v>
      </c>
    </row>
    <row r="5948" spans="1:3" x14ac:dyDescent="0.25">
      <c r="A5948">
        <v>5947</v>
      </c>
      <c r="B5948" s="23">
        <v>999.303</v>
      </c>
      <c r="C5948" s="23">
        <v>0</v>
      </c>
    </row>
    <row r="5949" spans="1:3" x14ac:dyDescent="0.25">
      <c r="A5949">
        <v>5948</v>
      </c>
      <c r="B5949" s="23">
        <v>999.2</v>
      </c>
      <c r="C5949" s="23">
        <v>0</v>
      </c>
    </row>
    <row r="5950" spans="1:3" x14ac:dyDescent="0.25">
      <c r="A5950">
        <v>5949</v>
      </c>
      <c r="B5950" s="23">
        <v>999.18799999999999</v>
      </c>
      <c r="C5950" s="23">
        <v>0</v>
      </c>
    </row>
    <row r="5951" spans="1:3" x14ac:dyDescent="0.25">
      <c r="A5951">
        <v>5950</v>
      </c>
      <c r="B5951" s="23">
        <v>999.03659789999995</v>
      </c>
      <c r="C5951" s="23">
        <v>0</v>
      </c>
    </row>
    <row r="5952" spans="1:3" x14ac:dyDescent="0.25">
      <c r="A5952">
        <v>5951</v>
      </c>
      <c r="B5952" s="23">
        <v>998.79387629999997</v>
      </c>
      <c r="C5952" s="23">
        <v>0</v>
      </c>
    </row>
    <row r="5953" spans="1:3" x14ac:dyDescent="0.25">
      <c r="A5953">
        <v>5952</v>
      </c>
      <c r="B5953" s="23">
        <v>998.76173549999999</v>
      </c>
      <c r="C5953" s="23">
        <v>0</v>
      </c>
    </row>
    <row r="5954" spans="1:3" x14ac:dyDescent="0.25">
      <c r="A5954">
        <v>5953</v>
      </c>
      <c r="B5954" s="23">
        <v>998.728928</v>
      </c>
      <c r="C5954" s="23">
        <v>0</v>
      </c>
    </row>
    <row r="5955" spans="1:3" x14ac:dyDescent="0.25">
      <c r="A5955">
        <v>5954</v>
      </c>
      <c r="B5955" s="23">
        <v>998.4</v>
      </c>
      <c r="C5955" s="23">
        <v>0</v>
      </c>
    </row>
    <row r="5956" spans="1:3" x14ac:dyDescent="0.25">
      <c r="A5956">
        <v>5955</v>
      </c>
      <c r="B5956" s="23">
        <v>998.23599999999999</v>
      </c>
      <c r="C5956" s="23">
        <v>0</v>
      </c>
    </row>
    <row r="5957" spans="1:3" x14ac:dyDescent="0.25">
      <c r="A5957">
        <v>5956</v>
      </c>
      <c r="B5957" s="23">
        <v>998.13558590000002</v>
      </c>
      <c r="C5957" s="23">
        <v>0</v>
      </c>
    </row>
    <row r="5958" spans="1:3" x14ac:dyDescent="0.25">
      <c r="A5958">
        <v>5957</v>
      </c>
      <c r="B5958" s="23">
        <v>997.74</v>
      </c>
      <c r="C5958" s="23">
        <v>0</v>
      </c>
    </row>
    <row r="5959" spans="1:3" x14ac:dyDescent="0.25">
      <c r="A5959">
        <v>5958</v>
      </c>
      <c r="B5959" s="23">
        <v>997.6</v>
      </c>
      <c r="C5959" s="23">
        <v>0</v>
      </c>
    </row>
    <row r="5960" spans="1:3" x14ac:dyDescent="0.25">
      <c r="A5960">
        <v>5959</v>
      </c>
      <c r="B5960" s="23">
        <v>997.55799999999999</v>
      </c>
      <c r="C5960" s="23">
        <v>0</v>
      </c>
    </row>
    <row r="5961" spans="1:3" x14ac:dyDescent="0.25">
      <c r="A5961">
        <v>5960</v>
      </c>
      <c r="B5961" s="23">
        <v>997.38800000000003</v>
      </c>
      <c r="C5961" s="23">
        <v>0</v>
      </c>
    </row>
    <row r="5962" spans="1:3" x14ac:dyDescent="0.25">
      <c r="A5962">
        <v>5961</v>
      </c>
      <c r="B5962" s="23">
        <v>997.38699999999994</v>
      </c>
      <c r="C5962" s="23">
        <v>0</v>
      </c>
    </row>
    <row r="5963" spans="1:3" x14ac:dyDescent="0.25">
      <c r="A5963">
        <v>5962</v>
      </c>
      <c r="B5963" s="23">
        <v>996.94899999999996</v>
      </c>
      <c r="C5963" s="23">
        <v>0</v>
      </c>
    </row>
    <row r="5964" spans="1:3" x14ac:dyDescent="0.25">
      <c r="A5964">
        <v>5963</v>
      </c>
      <c r="B5964" s="23">
        <v>996.84799999999996</v>
      </c>
      <c r="C5964" s="23">
        <v>0</v>
      </c>
    </row>
    <row r="5965" spans="1:3" x14ac:dyDescent="0.25">
      <c r="A5965">
        <v>5964</v>
      </c>
      <c r="B5965" s="23">
        <v>996.81168609999997</v>
      </c>
      <c r="C5965" s="23">
        <v>0</v>
      </c>
    </row>
    <row r="5966" spans="1:3" x14ac:dyDescent="0.25">
      <c r="A5966">
        <v>5965</v>
      </c>
      <c r="B5966" s="23">
        <v>996.8</v>
      </c>
      <c r="C5966" s="23">
        <v>0</v>
      </c>
    </row>
    <row r="5967" spans="1:3" x14ac:dyDescent="0.25">
      <c r="A5967">
        <v>5966</v>
      </c>
      <c r="B5967" s="23">
        <v>996.61199999999997</v>
      </c>
      <c r="C5967" s="23">
        <v>0</v>
      </c>
    </row>
    <row r="5968" spans="1:3" x14ac:dyDescent="0.25">
      <c r="A5968">
        <v>5967</v>
      </c>
      <c r="B5968" s="23">
        <v>996</v>
      </c>
      <c r="C5968" s="23">
        <v>0</v>
      </c>
    </row>
    <row r="5969" spans="1:3" x14ac:dyDescent="0.25">
      <c r="A5969">
        <v>5968</v>
      </c>
      <c r="B5969" s="23">
        <v>995.27550840000004</v>
      </c>
      <c r="C5969" s="23">
        <v>0</v>
      </c>
    </row>
    <row r="5970" spans="1:3" x14ac:dyDescent="0.25">
      <c r="A5970">
        <v>5969</v>
      </c>
      <c r="B5970" s="23">
        <v>995.2</v>
      </c>
      <c r="C5970" s="23">
        <v>0</v>
      </c>
    </row>
    <row r="5971" spans="1:3" x14ac:dyDescent="0.25">
      <c r="A5971">
        <v>5970</v>
      </c>
      <c r="B5971" s="23">
        <v>995.2</v>
      </c>
      <c r="C5971" s="23">
        <v>0</v>
      </c>
    </row>
    <row r="5972" spans="1:3" x14ac:dyDescent="0.25">
      <c r="A5972">
        <v>5971</v>
      </c>
      <c r="B5972" s="23">
        <v>994.822</v>
      </c>
      <c r="C5972" s="23">
        <v>0</v>
      </c>
    </row>
    <row r="5973" spans="1:3" x14ac:dyDescent="0.25">
      <c r="A5973">
        <v>5972</v>
      </c>
      <c r="B5973" s="23">
        <v>994.41674350000005</v>
      </c>
      <c r="C5973" s="23">
        <v>0</v>
      </c>
    </row>
    <row r="5974" spans="1:3" x14ac:dyDescent="0.25">
      <c r="A5974">
        <v>5973</v>
      </c>
      <c r="B5974" s="23">
        <v>994.4</v>
      </c>
      <c r="C5974" s="23">
        <v>0</v>
      </c>
    </row>
    <row r="5975" spans="1:3" x14ac:dyDescent="0.25">
      <c r="A5975">
        <v>5974</v>
      </c>
      <c r="B5975" s="23">
        <v>994.13400000000001</v>
      </c>
      <c r="C5975" s="23">
        <v>0</v>
      </c>
    </row>
    <row r="5976" spans="1:3" x14ac:dyDescent="0.25">
      <c r="A5976">
        <v>5975</v>
      </c>
      <c r="B5976" s="23">
        <v>994.10309749999999</v>
      </c>
      <c r="C5976" s="23">
        <v>0</v>
      </c>
    </row>
    <row r="5977" spans="1:3" x14ac:dyDescent="0.25">
      <c r="A5977">
        <v>5976</v>
      </c>
      <c r="B5977" s="23">
        <v>993.96600000000001</v>
      </c>
      <c r="C5977" s="23">
        <v>0</v>
      </c>
    </row>
    <row r="5978" spans="1:3" x14ac:dyDescent="0.25">
      <c r="A5978">
        <v>5977</v>
      </c>
      <c r="B5978" s="23">
        <v>993.91737869999997</v>
      </c>
      <c r="C5978" s="23">
        <v>0</v>
      </c>
    </row>
    <row r="5979" spans="1:3" x14ac:dyDescent="0.25">
      <c r="A5979">
        <v>5978</v>
      </c>
      <c r="B5979" s="23">
        <v>993.83187450000003</v>
      </c>
      <c r="C5979" s="23">
        <v>0</v>
      </c>
    </row>
    <row r="5980" spans="1:3" x14ac:dyDescent="0.25">
      <c r="A5980">
        <v>5979</v>
      </c>
      <c r="B5980" s="23">
        <v>993.68752870000003</v>
      </c>
      <c r="C5980" s="23">
        <v>0</v>
      </c>
    </row>
    <row r="5981" spans="1:3" x14ac:dyDescent="0.25">
      <c r="A5981">
        <v>5980</v>
      </c>
      <c r="B5981" s="23">
        <v>993.6</v>
      </c>
      <c r="C5981" s="23">
        <v>0</v>
      </c>
    </row>
    <row r="5982" spans="1:3" x14ac:dyDescent="0.25">
      <c r="A5982">
        <v>5981</v>
      </c>
      <c r="B5982" s="23">
        <v>993.50844429999995</v>
      </c>
      <c r="C5982" s="23">
        <v>0</v>
      </c>
    </row>
    <row r="5983" spans="1:3" x14ac:dyDescent="0.25">
      <c r="A5983">
        <v>5982</v>
      </c>
      <c r="B5983" s="23">
        <v>993.20345669999995</v>
      </c>
      <c r="C5983" s="23">
        <v>0</v>
      </c>
    </row>
    <row r="5984" spans="1:3" x14ac:dyDescent="0.25">
      <c r="A5984">
        <v>5983</v>
      </c>
      <c r="B5984" s="23">
        <v>992.8</v>
      </c>
      <c r="C5984" s="23">
        <v>0</v>
      </c>
    </row>
    <row r="5985" spans="1:3" x14ac:dyDescent="0.25">
      <c r="A5985">
        <v>5984</v>
      </c>
      <c r="B5985" s="23">
        <v>992.73546269999997</v>
      </c>
      <c r="C5985" s="23">
        <v>0</v>
      </c>
    </row>
    <row r="5986" spans="1:3" x14ac:dyDescent="0.25">
      <c r="A5986">
        <v>5985</v>
      </c>
      <c r="B5986" s="23">
        <v>992.21648870000001</v>
      </c>
      <c r="C5986" s="23">
        <v>0</v>
      </c>
    </row>
    <row r="5987" spans="1:3" x14ac:dyDescent="0.25">
      <c r="A5987">
        <v>5986</v>
      </c>
      <c r="B5987" s="23">
        <v>992.14700000000005</v>
      </c>
      <c r="C5987" s="23">
        <v>0</v>
      </c>
    </row>
    <row r="5988" spans="1:3" x14ac:dyDescent="0.25">
      <c r="A5988">
        <v>5987</v>
      </c>
      <c r="B5988" s="23">
        <v>992</v>
      </c>
      <c r="C5988" s="23">
        <v>0</v>
      </c>
    </row>
    <row r="5989" spans="1:3" x14ac:dyDescent="0.25">
      <c r="A5989">
        <v>5988</v>
      </c>
      <c r="B5989" s="23">
        <v>991.37311880000004</v>
      </c>
      <c r="C5989" s="23">
        <v>0</v>
      </c>
    </row>
    <row r="5990" spans="1:3" x14ac:dyDescent="0.25">
      <c r="A5990">
        <v>5989</v>
      </c>
      <c r="B5990" s="23">
        <v>991.2</v>
      </c>
      <c r="C5990" s="23">
        <v>0</v>
      </c>
    </row>
    <row r="5991" spans="1:3" x14ac:dyDescent="0.25">
      <c r="A5991">
        <v>5990</v>
      </c>
      <c r="B5991" s="23">
        <v>991.14</v>
      </c>
      <c r="C5991" s="23">
        <v>0</v>
      </c>
    </row>
    <row r="5992" spans="1:3" x14ac:dyDescent="0.25">
      <c r="A5992">
        <v>5991</v>
      </c>
      <c r="B5992" s="23">
        <v>991.13140499999997</v>
      </c>
      <c r="C5992" s="23">
        <v>0</v>
      </c>
    </row>
    <row r="5993" spans="1:3" x14ac:dyDescent="0.25">
      <c r="A5993">
        <v>5992</v>
      </c>
      <c r="B5993" s="23">
        <v>991.07799999999997</v>
      </c>
      <c r="C5993" s="23">
        <v>0</v>
      </c>
    </row>
    <row r="5994" spans="1:3" x14ac:dyDescent="0.25">
      <c r="A5994">
        <v>5993</v>
      </c>
      <c r="B5994" s="23">
        <v>991.06799999999998</v>
      </c>
      <c r="C5994" s="23">
        <v>0</v>
      </c>
    </row>
    <row r="5995" spans="1:3" x14ac:dyDescent="0.25">
      <c r="A5995">
        <v>5994</v>
      </c>
      <c r="B5995" s="23">
        <v>990.46135400000003</v>
      </c>
      <c r="C5995" s="23">
        <v>0</v>
      </c>
    </row>
    <row r="5996" spans="1:3" x14ac:dyDescent="0.25">
      <c r="A5996">
        <v>5995</v>
      </c>
      <c r="B5996" s="23">
        <v>990.00645359999999</v>
      </c>
      <c r="C5996" s="23">
        <v>0</v>
      </c>
    </row>
    <row r="5997" spans="1:3" x14ac:dyDescent="0.25">
      <c r="A5997">
        <v>5996</v>
      </c>
      <c r="B5997" s="23">
        <v>989.60199999999998</v>
      </c>
      <c r="C5997" s="23">
        <v>0</v>
      </c>
    </row>
    <row r="5998" spans="1:3" x14ac:dyDescent="0.25">
      <c r="A5998">
        <v>5997</v>
      </c>
      <c r="B5998" s="23">
        <v>989.56100000000004</v>
      </c>
      <c r="C5998" s="23">
        <v>0</v>
      </c>
    </row>
    <row r="5999" spans="1:3" x14ac:dyDescent="0.25">
      <c r="A5999">
        <v>5998</v>
      </c>
      <c r="B5999" s="23">
        <v>989.27440860000002</v>
      </c>
      <c r="C5999" s="23">
        <v>0</v>
      </c>
    </row>
    <row r="6000" spans="1:3" x14ac:dyDescent="0.25">
      <c r="A6000">
        <v>5999</v>
      </c>
      <c r="B6000" s="23">
        <v>989.27440860000002</v>
      </c>
      <c r="C6000" s="23">
        <v>0</v>
      </c>
    </row>
    <row r="6001" spans="1:3" x14ac:dyDescent="0.25">
      <c r="A6001">
        <v>6000</v>
      </c>
      <c r="B6001" s="23">
        <v>988.92090770000004</v>
      </c>
      <c r="C6001" s="23">
        <v>0</v>
      </c>
    </row>
    <row r="6002" spans="1:3" x14ac:dyDescent="0.25">
      <c r="A6002">
        <v>6001</v>
      </c>
      <c r="B6002" s="23">
        <v>988.8</v>
      </c>
      <c r="C6002" s="23">
        <v>0</v>
      </c>
    </row>
    <row r="6003" spans="1:3" x14ac:dyDescent="0.25">
      <c r="A6003">
        <v>6002</v>
      </c>
      <c r="B6003" s="23">
        <v>988.8</v>
      </c>
      <c r="C6003" s="23">
        <v>0</v>
      </c>
    </row>
    <row r="6004" spans="1:3" x14ac:dyDescent="0.25">
      <c r="A6004">
        <v>6003</v>
      </c>
      <c r="B6004" s="23">
        <v>988.53888859999995</v>
      </c>
      <c r="C6004" s="23">
        <v>0</v>
      </c>
    </row>
    <row r="6005" spans="1:3" x14ac:dyDescent="0.25">
      <c r="A6005">
        <v>6004</v>
      </c>
      <c r="B6005" s="23">
        <v>988.44899999999996</v>
      </c>
      <c r="C6005" s="23">
        <v>0</v>
      </c>
    </row>
    <row r="6006" spans="1:3" x14ac:dyDescent="0.25">
      <c r="A6006">
        <v>6005</v>
      </c>
      <c r="B6006" s="23">
        <v>988.36866940000004</v>
      </c>
      <c r="C6006" s="23">
        <v>0</v>
      </c>
    </row>
    <row r="6007" spans="1:3" x14ac:dyDescent="0.25">
      <c r="A6007">
        <v>6006</v>
      </c>
      <c r="B6007" s="23">
        <v>988.36866940000004</v>
      </c>
      <c r="C6007" s="23">
        <v>0</v>
      </c>
    </row>
    <row r="6008" spans="1:3" x14ac:dyDescent="0.25">
      <c r="A6008">
        <v>6007</v>
      </c>
      <c r="B6008" s="23">
        <v>987.83299999999997</v>
      </c>
      <c r="C6008" s="23">
        <v>0</v>
      </c>
    </row>
    <row r="6009" spans="1:3" x14ac:dyDescent="0.25">
      <c r="A6009">
        <v>6008</v>
      </c>
      <c r="B6009" s="23">
        <v>987.82302909999999</v>
      </c>
      <c r="C6009" s="23">
        <v>0</v>
      </c>
    </row>
    <row r="6010" spans="1:3" x14ac:dyDescent="0.25">
      <c r="A6010">
        <v>6009</v>
      </c>
      <c r="B6010" s="23">
        <v>987.59400000000005</v>
      </c>
      <c r="C6010" s="23">
        <v>0</v>
      </c>
    </row>
    <row r="6011" spans="1:3" x14ac:dyDescent="0.25">
      <c r="A6011">
        <v>6010</v>
      </c>
      <c r="B6011" s="23">
        <v>986.92514000000006</v>
      </c>
      <c r="C6011" s="23">
        <v>0</v>
      </c>
    </row>
    <row r="6012" spans="1:3" x14ac:dyDescent="0.25">
      <c r="A6012">
        <v>6011</v>
      </c>
      <c r="B6012" s="23">
        <v>986.71148970000002</v>
      </c>
      <c r="C6012" s="23">
        <v>0</v>
      </c>
    </row>
    <row r="6013" spans="1:3" x14ac:dyDescent="0.25">
      <c r="A6013">
        <v>6012</v>
      </c>
      <c r="B6013" s="23">
        <v>985.6059338</v>
      </c>
      <c r="C6013" s="23">
        <v>0</v>
      </c>
    </row>
    <row r="6014" spans="1:3" x14ac:dyDescent="0.25">
      <c r="A6014">
        <v>6013</v>
      </c>
      <c r="B6014" s="23">
        <v>985.6</v>
      </c>
      <c r="C6014" s="23">
        <v>0</v>
      </c>
    </row>
    <row r="6015" spans="1:3" x14ac:dyDescent="0.25">
      <c r="A6015">
        <v>6014</v>
      </c>
      <c r="B6015" s="23">
        <v>985.6</v>
      </c>
      <c r="C6015" s="23">
        <v>0</v>
      </c>
    </row>
    <row r="6016" spans="1:3" x14ac:dyDescent="0.25">
      <c r="A6016">
        <v>6015</v>
      </c>
      <c r="B6016" s="23">
        <v>985.11779530000001</v>
      </c>
      <c r="C6016" s="23">
        <v>0</v>
      </c>
    </row>
    <row r="6017" spans="1:3" x14ac:dyDescent="0.25">
      <c r="A6017">
        <v>6016</v>
      </c>
      <c r="B6017" s="23">
        <v>984.96100000000001</v>
      </c>
      <c r="C6017" s="23">
        <v>0</v>
      </c>
    </row>
    <row r="6018" spans="1:3" x14ac:dyDescent="0.25">
      <c r="A6018">
        <v>6017</v>
      </c>
      <c r="B6018" s="23">
        <v>984.86128859999997</v>
      </c>
      <c r="C6018" s="23">
        <v>0</v>
      </c>
    </row>
    <row r="6019" spans="1:3" x14ac:dyDescent="0.25">
      <c r="A6019">
        <v>6018</v>
      </c>
      <c r="B6019" s="23">
        <v>984.8</v>
      </c>
      <c r="C6019" s="23">
        <v>0</v>
      </c>
    </row>
    <row r="6020" spans="1:3" x14ac:dyDescent="0.25">
      <c r="A6020">
        <v>6019</v>
      </c>
      <c r="B6020" s="23">
        <v>983.64870819999999</v>
      </c>
      <c r="C6020" s="23">
        <v>0</v>
      </c>
    </row>
    <row r="6021" spans="1:3" x14ac:dyDescent="0.25">
      <c r="A6021">
        <v>6020</v>
      </c>
      <c r="B6021" s="23">
        <v>983.2</v>
      </c>
      <c r="C6021" s="23">
        <v>0</v>
      </c>
    </row>
    <row r="6022" spans="1:3" x14ac:dyDescent="0.25">
      <c r="A6022">
        <v>6021</v>
      </c>
      <c r="B6022" s="23">
        <v>983.03152909999994</v>
      </c>
      <c r="C6022" s="23">
        <v>0</v>
      </c>
    </row>
    <row r="6023" spans="1:3" x14ac:dyDescent="0.25">
      <c r="A6023">
        <v>6022</v>
      </c>
      <c r="B6023" s="23">
        <v>982.8431981</v>
      </c>
      <c r="C6023" s="23">
        <v>0</v>
      </c>
    </row>
    <row r="6024" spans="1:3" x14ac:dyDescent="0.25">
      <c r="A6024">
        <v>6023</v>
      </c>
      <c r="B6024" s="23">
        <v>982.8431981</v>
      </c>
      <c r="C6024" s="23">
        <v>0</v>
      </c>
    </row>
    <row r="6025" spans="1:3" x14ac:dyDescent="0.25">
      <c r="A6025">
        <v>6024</v>
      </c>
      <c r="B6025" s="23">
        <v>982.40200000000004</v>
      </c>
      <c r="C6025" s="23">
        <v>0</v>
      </c>
    </row>
    <row r="6026" spans="1:3" x14ac:dyDescent="0.25">
      <c r="A6026">
        <v>6025</v>
      </c>
      <c r="B6026" s="23">
        <v>982.4</v>
      </c>
      <c r="C6026" s="23">
        <v>0</v>
      </c>
    </row>
    <row r="6027" spans="1:3" x14ac:dyDescent="0.25">
      <c r="A6027">
        <v>6026</v>
      </c>
      <c r="B6027" s="23">
        <v>981.6</v>
      </c>
      <c r="C6027" s="23">
        <v>0</v>
      </c>
    </row>
    <row r="6028" spans="1:3" x14ac:dyDescent="0.25">
      <c r="A6028">
        <v>6027</v>
      </c>
      <c r="B6028" s="23">
        <v>981.39586929999996</v>
      </c>
      <c r="C6028" s="23">
        <v>0</v>
      </c>
    </row>
    <row r="6029" spans="1:3" x14ac:dyDescent="0.25">
      <c r="A6029">
        <v>6028</v>
      </c>
      <c r="B6029" s="23">
        <v>981.30399999999997</v>
      </c>
      <c r="C6029" s="23">
        <v>0</v>
      </c>
    </row>
    <row r="6030" spans="1:3" x14ac:dyDescent="0.25">
      <c r="A6030">
        <v>6029</v>
      </c>
      <c r="B6030" s="23">
        <v>980.99400000000003</v>
      </c>
      <c r="C6030" s="23">
        <v>0</v>
      </c>
    </row>
    <row r="6031" spans="1:3" x14ac:dyDescent="0.25">
      <c r="A6031">
        <v>6030</v>
      </c>
      <c r="B6031" s="23">
        <v>980.8</v>
      </c>
      <c r="C6031" s="23">
        <v>0</v>
      </c>
    </row>
    <row r="6032" spans="1:3" x14ac:dyDescent="0.25">
      <c r="A6032">
        <v>6031</v>
      </c>
      <c r="B6032" s="23">
        <v>980.44816860000003</v>
      </c>
      <c r="C6032" s="23">
        <v>0</v>
      </c>
    </row>
    <row r="6033" spans="1:3" x14ac:dyDescent="0.25">
      <c r="A6033">
        <v>6032</v>
      </c>
      <c r="B6033" s="23">
        <v>980.197</v>
      </c>
      <c r="C6033" s="23">
        <v>0</v>
      </c>
    </row>
    <row r="6034" spans="1:3" x14ac:dyDescent="0.25">
      <c r="A6034">
        <v>6033</v>
      </c>
      <c r="B6034" s="23">
        <v>979.93299999999999</v>
      </c>
      <c r="C6034" s="23">
        <v>0</v>
      </c>
    </row>
    <row r="6035" spans="1:3" x14ac:dyDescent="0.25">
      <c r="A6035">
        <v>6034</v>
      </c>
      <c r="B6035" s="23">
        <v>979.2</v>
      </c>
      <c r="C6035" s="23">
        <v>0</v>
      </c>
    </row>
    <row r="6036" spans="1:3" x14ac:dyDescent="0.25">
      <c r="A6036">
        <v>6035</v>
      </c>
      <c r="B6036" s="23">
        <v>979.15200000000004</v>
      </c>
      <c r="C6036" s="23">
        <v>0</v>
      </c>
    </row>
    <row r="6037" spans="1:3" x14ac:dyDescent="0.25">
      <c r="A6037">
        <v>6036</v>
      </c>
      <c r="B6037" s="23">
        <v>979.12</v>
      </c>
      <c r="C6037" s="23">
        <v>0</v>
      </c>
    </row>
    <row r="6038" spans="1:3" x14ac:dyDescent="0.25">
      <c r="A6038">
        <v>6037</v>
      </c>
      <c r="B6038" s="23">
        <v>979.053</v>
      </c>
      <c r="C6038" s="23">
        <v>0</v>
      </c>
    </row>
    <row r="6039" spans="1:3" x14ac:dyDescent="0.25">
      <c r="A6039">
        <v>6038</v>
      </c>
      <c r="B6039" s="23">
        <v>978.94237969999995</v>
      </c>
      <c r="C6039" s="23">
        <v>0</v>
      </c>
    </row>
    <row r="6040" spans="1:3" x14ac:dyDescent="0.25">
      <c r="A6040">
        <v>6039</v>
      </c>
      <c r="B6040" s="23">
        <v>978.51599999999996</v>
      </c>
      <c r="C6040" s="23">
        <v>0</v>
      </c>
    </row>
    <row r="6041" spans="1:3" x14ac:dyDescent="0.25">
      <c r="A6041">
        <v>6040</v>
      </c>
      <c r="B6041" s="23">
        <v>978.4</v>
      </c>
      <c r="C6041" s="23">
        <v>0</v>
      </c>
    </row>
    <row r="6042" spans="1:3" x14ac:dyDescent="0.25">
      <c r="A6042">
        <v>6041</v>
      </c>
      <c r="B6042" s="23">
        <v>978.4</v>
      </c>
      <c r="C6042" s="23">
        <v>0</v>
      </c>
    </row>
    <row r="6043" spans="1:3" x14ac:dyDescent="0.25">
      <c r="A6043">
        <v>6042</v>
      </c>
      <c r="B6043" s="23">
        <v>978.16516969999998</v>
      </c>
      <c r="C6043" s="23">
        <v>0</v>
      </c>
    </row>
    <row r="6044" spans="1:3" x14ac:dyDescent="0.25">
      <c r="A6044">
        <v>6043</v>
      </c>
      <c r="B6044" s="23">
        <v>977.32895050000002</v>
      </c>
      <c r="C6044" s="23">
        <v>0</v>
      </c>
    </row>
    <row r="6045" spans="1:3" x14ac:dyDescent="0.25">
      <c r="A6045">
        <v>6044</v>
      </c>
      <c r="B6045" s="23">
        <v>977.25</v>
      </c>
      <c r="C6045" s="23">
        <v>0</v>
      </c>
    </row>
    <row r="6046" spans="1:3" x14ac:dyDescent="0.25">
      <c r="A6046">
        <v>6045</v>
      </c>
      <c r="B6046" s="23">
        <v>976.90700000000004</v>
      </c>
      <c r="C6046" s="23">
        <v>0</v>
      </c>
    </row>
    <row r="6047" spans="1:3" x14ac:dyDescent="0.25">
      <c r="A6047">
        <v>6046</v>
      </c>
      <c r="B6047" s="23">
        <v>976.82799999999997</v>
      </c>
      <c r="C6047" s="23">
        <v>0</v>
      </c>
    </row>
    <row r="6048" spans="1:3" x14ac:dyDescent="0.25">
      <c r="A6048">
        <v>6047</v>
      </c>
      <c r="B6048" s="23">
        <v>976.8</v>
      </c>
      <c r="C6048" s="23">
        <v>0</v>
      </c>
    </row>
    <row r="6049" spans="1:3" x14ac:dyDescent="0.25">
      <c r="A6049">
        <v>6048</v>
      </c>
      <c r="B6049" s="23">
        <v>976.8</v>
      </c>
      <c r="C6049" s="23">
        <v>0</v>
      </c>
    </row>
    <row r="6050" spans="1:3" x14ac:dyDescent="0.25">
      <c r="A6050">
        <v>6049</v>
      </c>
      <c r="B6050" s="23">
        <v>976.55542890000004</v>
      </c>
      <c r="C6050" s="23">
        <v>0</v>
      </c>
    </row>
    <row r="6051" spans="1:3" x14ac:dyDescent="0.25">
      <c r="A6051">
        <v>6050</v>
      </c>
      <c r="B6051" s="23">
        <v>976.12133930000005</v>
      </c>
      <c r="C6051" s="23">
        <v>0</v>
      </c>
    </row>
    <row r="6052" spans="1:3" x14ac:dyDescent="0.25">
      <c r="A6052">
        <v>6051</v>
      </c>
      <c r="B6052" s="23">
        <v>976.03504850000002</v>
      </c>
      <c r="C6052" s="23">
        <v>0</v>
      </c>
    </row>
    <row r="6053" spans="1:3" x14ac:dyDescent="0.25">
      <c r="A6053">
        <v>6052</v>
      </c>
      <c r="B6053" s="23">
        <v>976.00195010000004</v>
      </c>
      <c r="C6053" s="23">
        <v>0</v>
      </c>
    </row>
    <row r="6054" spans="1:3" x14ac:dyDescent="0.25">
      <c r="A6054">
        <v>6053</v>
      </c>
      <c r="B6054" s="23">
        <v>975.9363591</v>
      </c>
      <c r="C6054" s="23">
        <v>0</v>
      </c>
    </row>
    <row r="6055" spans="1:3" x14ac:dyDescent="0.25">
      <c r="A6055">
        <v>6054</v>
      </c>
      <c r="B6055" s="23">
        <v>975.83829690000005</v>
      </c>
      <c r="C6055" s="23">
        <v>0</v>
      </c>
    </row>
    <row r="6056" spans="1:3" x14ac:dyDescent="0.25">
      <c r="A6056">
        <v>6055</v>
      </c>
      <c r="B6056" s="23">
        <v>975.56983209999999</v>
      </c>
      <c r="C6056" s="23">
        <v>0</v>
      </c>
    </row>
    <row r="6057" spans="1:3" x14ac:dyDescent="0.25">
      <c r="A6057">
        <v>6056</v>
      </c>
      <c r="B6057" s="23">
        <v>975.27838229999998</v>
      </c>
      <c r="C6057" s="23">
        <v>0</v>
      </c>
    </row>
    <row r="6058" spans="1:3" x14ac:dyDescent="0.25">
      <c r="A6058">
        <v>6057</v>
      </c>
      <c r="B6058" s="23">
        <v>975.26800000000003</v>
      </c>
      <c r="C6058" s="23">
        <v>0</v>
      </c>
    </row>
    <row r="6059" spans="1:3" x14ac:dyDescent="0.25">
      <c r="A6059">
        <v>6058</v>
      </c>
      <c r="B6059" s="23">
        <v>974.57280179999998</v>
      </c>
      <c r="C6059" s="23">
        <v>0</v>
      </c>
    </row>
    <row r="6060" spans="1:3" x14ac:dyDescent="0.25">
      <c r="A6060">
        <v>6059</v>
      </c>
      <c r="B6060" s="23">
        <v>974.55499129999998</v>
      </c>
      <c r="C6060" s="23">
        <v>0</v>
      </c>
    </row>
    <row r="6061" spans="1:3" x14ac:dyDescent="0.25">
      <c r="A6061">
        <v>6060</v>
      </c>
      <c r="B6061" s="23">
        <v>974.01900000000001</v>
      </c>
      <c r="C6061" s="23">
        <v>0</v>
      </c>
    </row>
    <row r="6062" spans="1:3" x14ac:dyDescent="0.25">
      <c r="A6062">
        <v>6061</v>
      </c>
      <c r="B6062" s="23">
        <v>973.86430740000003</v>
      </c>
      <c r="C6062" s="23">
        <v>0</v>
      </c>
    </row>
    <row r="6063" spans="1:3" x14ac:dyDescent="0.25">
      <c r="A6063">
        <v>6062</v>
      </c>
      <c r="B6063" s="23">
        <v>973.86430740000003</v>
      </c>
      <c r="C6063" s="23">
        <v>0</v>
      </c>
    </row>
    <row r="6064" spans="1:3" x14ac:dyDescent="0.25">
      <c r="A6064">
        <v>6063</v>
      </c>
      <c r="B6064" s="23">
        <v>973.6</v>
      </c>
      <c r="C6064" s="23">
        <v>0</v>
      </c>
    </row>
    <row r="6065" spans="1:3" x14ac:dyDescent="0.25">
      <c r="A6065">
        <v>6064</v>
      </c>
      <c r="B6065" s="23">
        <v>973.17362349999996</v>
      </c>
      <c r="C6065" s="23">
        <v>0</v>
      </c>
    </row>
    <row r="6066" spans="1:3" x14ac:dyDescent="0.25">
      <c r="A6066">
        <v>6065</v>
      </c>
      <c r="B6066" s="23">
        <v>973.17362349999996</v>
      </c>
      <c r="C6066" s="23">
        <v>0</v>
      </c>
    </row>
    <row r="6067" spans="1:3" x14ac:dyDescent="0.25">
      <c r="A6067">
        <v>6066</v>
      </c>
      <c r="B6067" s="23">
        <v>973.17362349999996</v>
      </c>
      <c r="C6067" s="23">
        <v>0</v>
      </c>
    </row>
    <row r="6068" spans="1:3" x14ac:dyDescent="0.25">
      <c r="A6068">
        <v>6067</v>
      </c>
      <c r="B6068" s="23">
        <v>972.84100000000001</v>
      </c>
      <c r="C6068" s="23">
        <v>0</v>
      </c>
    </row>
    <row r="6069" spans="1:3" x14ac:dyDescent="0.25">
      <c r="A6069">
        <v>6068</v>
      </c>
      <c r="B6069" s="23">
        <v>972.73699999999997</v>
      </c>
      <c r="C6069" s="23">
        <v>0</v>
      </c>
    </row>
    <row r="6070" spans="1:3" x14ac:dyDescent="0.25">
      <c r="A6070">
        <v>6069</v>
      </c>
      <c r="B6070" s="23">
        <v>972.38300000000004</v>
      </c>
      <c r="C6070" s="23">
        <v>0</v>
      </c>
    </row>
    <row r="6071" spans="1:3" x14ac:dyDescent="0.25">
      <c r="A6071">
        <v>6070</v>
      </c>
      <c r="B6071" s="23">
        <v>972.35744850000003</v>
      </c>
      <c r="C6071" s="23">
        <v>0</v>
      </c>
    </row>
    <row r="6072" spans="1:3" x14ac:dyDescent="0.25">
      <c r="A6072">
        <v>6071</v>
      </c>
      <c r="B6072" s="23">
        <v>972.16499999999996</v>
      </c>
      <c r="C6072" s="23">
        <v>0</v>
      </c>
    </row>
    <row r="6073" spans="1:3" x14ac:dyDescent="0.25">
      <c r="A6073">
        <v>6072</v>
      </c>
      <c r="B6073" s="23">
        <v>972</v>
      </c>
      <c r="C6073" s="23">
        <v>0</v>
      </c>
    </row>
    <row r="6074" spans="1:3" x14ac:dyDescent="0.25">
      <c r="A6074">
        <v>6073</v>
      </c>
      <c r="B6074" s="23">
        <v>971.53599999999994</v>
      </c>
      <c r="C6074" s="23">
        <v>0</v>
      </c>
    </row>
    <row r="6075" spans="1:3" x14ac:dyDescent="0.25">
      <c r="A6075">
        <v>6074</v>
      </c>
      <c r="B6075" s="23">
        <v>971.20100000000002</v>
      </c>
      <c r="C6075" s="23">
        <v>0</v>
      </c>
    </row>
    <row r="6076" spans="1:3" x14ac:dyDescent="0.25">
      <c r="A6076">
        <v>6075</v>
      </c>
      <c r="B6076" s="23">
        <v>971.2</v>
      </c>
      <c r="C6076" s="23">
        <v>0</v>
      </c>
    </row>
    <row r="6077" spans="1:3" x14ac:dyDescent="0.25">
      <c r="A6077">
        <v>6076</v>
      </c>
      <c r="B6077" s="23">
        <v>971.13970619999998</v>
      </c>
      <c r="C6077" s="23">
        <v>0</v>
      </c>
    </row>
    <row r="6078" spans="1:3" x14ac:dyDescent="0.25">
      <c r="A6078">
        <v>6077</v>
      </c>
      <c r="B6078" s="23">
        <v>970.88699999999994</v>
      </c>
      <c r="C6078" s="23">
        <v>0</v>
      </c>
    </row>
    <row r="6079" spans="1:3" x14ac:dyDescent="0.25">
      <c r="A6079">
        <v>6078</v>
      </c>
      <c r="B6079" s="23">
        <v>970.88640850000002</v>
      </c>
      <c r="C6079" s="23">
        <v>0</v>
      </c>
    </row>
    <row r="6080" spans="1:3" x14ac:dyDescent="0.25">
      <c r="A6080">
        <v>6079</v>
      </c>
      <c r="B6080" s="23">
        <v>970.74099999999999</v>
      </c>
      <c r="C6080" s="23">
        <v>0</v>
      </c>
    </row>
    <row r="6081" spans="1:3" x14ac:dyDescent="0.25">
      <c r="A6081">
        <v>6080</v>
      </c>
      <c r="B6081" s="23">
        <v>970.4</v>
      </c>
      <c r="C6081" s="23">
        <v>0</v>
      </c>
    </row>
    <row r="6082" spans="1:3" x14ac:dyDescent="0.25">
      <c r="A6082">
        <v>6081</v>
      </c>
      <c r="B6082" s="23">
        <v>970.38413390000005</v>
      </c>
      <c r="C6082" s="23">
        <v>0</v>
      </c>
    </row>
    <row r="6083" spans="1:3" x14ac:dyDescent="0.25">
      <c r="A6083">
        <v>6082</v>
      </c>
      <c r="B6083" s="23">
        <v>970.15088849999995</v>
      </c>
      <c r="C6083" s="23">
        <v>0</v>
      </c>
    </row>
    <row r="6084" spans="1:3" x14ac:dyDescent="0.25">
      <c r="A6084">
        <v>6083</v>
      </c>
      <c r="B6084" s="23">
        <v>969.77348429999995</v>
      </c>
      <c r="C6084" s="23">
        <v>0</v>
      </c>
    </row>
    <row r="6085" spans="1:3" x14ac:dyDescent="0.25">
      <c r="A6085">
        <v>6084</v>
      </c>
      <c r="B6085" s="23">
        <v>969.50599999999997</v>
      </c>
      <c r="C6085" s="23">
        <v>0</v>
      </c>
    </row>
    <row r="6086" spans="1:3" x14ac:dyDescent="0.25">
      <c r="A6086">
        <v>6085</v>
      </c>
      <c r="B6086" s="23">
        <v>969.13398600000005</v>
      </c>
      <c r="C6086" s="23">
        <v>0</v>
      </c>
    </row>
    <row r="6087" spans="1:3" x14ac:dyDescent="0.25">
      <c r="A6087">
        <v>6086</v>
      </c>
      <c r="B6087" s="23">
        <v>969.02952000000005</v>
      </c>
      <c r="C6087" s="23">
        <v>0</v>
      </c>
    </row>
    <row r="6088" spans="1:3" x14ac:dyDescent="0.25">
      <c r="A6088">
        <v>6087</v>
      </c>
      <c r="B6088" s="23">
        <v>968.97787579999999</v>
      </c>
      <c r="C6088" s="23">
        <v>0</v>
      </c>
    </row>
    <row r="6089" spans="1:3" x14ac:dyDescent="0.25">
      <c r="A6089">
        <v>6088</v>
      </c>
      <c r="B6089" s="23">
        <v>968.80112229999997</v>
      </c>
      <c r="C6089" s="23">
        <v>0</v>
      </c>
    </row>
    <row r="6090" spans="1:3" x14ac:dyDescent="0.25">
      <c r="A6090">
        <v>6089</v>
      </c>
      <c r="B6090" s="23">
        <v>968.8</v>
      </c>
      <c r="C6090" s="23">
        <v>0</v>
      </c>
    </row>
    <row r="6091" spans="1:3" x14ac:dyDescent="0.25">
      <c r="A6091">
        <v>6090</v>
      </c>
      <c r="B6091" s="23">
        <v>968.37368819999995</v>
      </c>
      <c r="C6091" s="23">
        <v>0</v>
      </c>
    </row>
    <row r="6092" spans="1:3" x14ac:dyDescent="0.25">
      <c r="A6092">
        <v>6091</v>
      </c>
      <c r="B6092" s="23">
        <v>968.33883609999998</v>
      </c>
      <c r="C6092" s="23">
        <v>0</v>
      </c>
    </row>
    <row r="6093" spans="1:3" x14ac:dyDescent="0.25">
      <c r="A6093">
        <v>6092</v>
      </c>
      <c r="B6093" s="23">
        <v>968</v>
      </c>
      <c r="C6093" s="23">
        <v>0</v>
      </c>
    </row>
    <row r="6094" spans="1:3" x14ac:dyDescent="0.25">
      <c r="A6094">
        <v>6093</v>
      </c>
      <c r="B6094" s="23">
        <v>967.69299999999998</v>
      </c>
      <c r="C6094" s="23">
        <v>0</v>
      </c>
    </row>
    <row r="6095" spans="1:3" x14ac:dyDescent="0.25">
      <c r="A6095">
        <v>6094</v>
      </c>
      <c r="B6095" s="23">
        <v>967.49276120000002</v>
      </c>
      <c r="C6095" s="23">
        <v>0</v>
      </c>
    </row>
    <row r="6096" spans="1:3" x14ac:dyDescent="0.25">
      <c r="A6096">
        <v>6095</v>
      </c>
      <c r="B6096" s="23">
        <v>967.42330430000004</v>
      </c>
      <c r="C6096" s="23">
        <v>0</v>
      </c>
    </row>
    <row r="6097" spans="1:3" x14ac:dyDescent="0.25">
      <c r="A6097">
        <v>6096</v>
      </c>
      <c r="B6097" s="23">
        <v>967.20880839999995</v>
      </c>
      <c r="C6097" s="23">
        <v>0</v>
      </c>
    </row>
    <row r="6098" spans="1:3" x14ac:dyDescent="0.25">
      <c r="A6098">
        <v>6097</v>
      </c>
      <c r="B6098" s="23">
        <v>967.2</v>
      </c>
      <c r="C6098" s="23">
        <v>0</v>
      </c>
    </row>
    <row r="6099" spans="1:3" x14ac:dyDescent="0.25">
      <c r="A6099">
        <v>6098</v>
      </c>
      <c r="B6099" s="23">
        <v>967.2</v>
      </c>
      <c r="C6099" s="23">
        <v>0</v>
      </c>
    </row>
    <row r="6100" spans="1:3" x14ac:dyDescent="0.25">
      <c r="A6100">
        <v>6099</v>
      </c>
      <c r="B6100" s="23">
        <v>966.95746829999996</v>
      </c>
      <c r="C6100" s="23">
        <v>0</v>
      </c>
    </row>
    <row r="6101" spans="1:3" x14ac:dyDescent="0.25">
      <c r="A6101">
        <v>6100</v>
      </c>
      <c r="B6101" s="23">
        <v>966.95746829999996</v>
      </c>
      <c r="C6101" s="23">
        <v>0</v>
      </c>
    </row>
    <row r="6102" spans="1:3" x14ac:dyDescent="0.25">
      <c r="A6102">
        <v>6101</v>
      </c>
      <c r="B6102" s="23">
        <v>966.93</v>
      </c>
      <c r="C6102" s="23">
        <v>0</v>
      </c>
    </row>
    <row r="6103" spans="1:3" x14ac:dyDescent="0.25">
      <c r="A6103">
        <v>6102</v>
      </c>
      <c r="B6103" s="23">
        <v>966.51109699999995</v>
      </c>
      <c r="C6103" s="23">
        <v>0</v>
      </c>
    </row>
    <row r="6104" spans="1:3" x14ac:dyDescent="0.25">
      <c r="A6104">
        <v>6103</v>
      </c>
      <c r="B6104" s="23">
        <v>966.26678440000001</v>
      </c>
      <c r="C6104" s="23">
        <v>0</v>
      </c>
    </row>
    <row r="6105" spans="1:3" x14ac:dyDescent="0.25">
      <c r="A6105">
        <v>6104</v>
      </c>
      <c r="B6105" s="23">
        <v>966.19200000000001</v>
      </c>
      <c r="C6105" s="23">
        <v>0</v>
      </c>
    </row>
    <row r="6106" spans="1:3" x14ac:dyDescent="0.25">
      <c r="A6106">
        <v>6105</v>
      </c>
      <c r="B6106" s="23">
        <v>966.14399370000001</v>
      </c>
      <c r="C6106" s="23">
        <v>0</v>
      </c>
    </row>
    <row r="6107" spans="1:3" x14ac:dyDescent="0.25">
      <c r="A6107">
        <v>6106</v>
      </c>
      <c r="B6107" s="23">
        <v>965.83900000000006</v>
      </c>
      <c r="C6107" s="23">
        <v>0</v>
      </c>
    </row>
    <row r="6108" spans="1:3" x14ac:dyDescent="0.25">
      <c r="A6108">
        <v>6107</v>
      </c>
      <c r="B6108" s="23">
        <v>965.47390059999998</v>
      </c>
      <c r="C6108" s="23">
        <v>0</v>
      </c>
    </row>
    <row r="6109" spans="1:3" x14ac:dyDescent="0.25">
      <c r="A6109">
        <v>6108</v>
      </c>
      <c r="B6109" s="23">
        <v>965.10699999999997</v>
      </c>
      <c r="C6109" s="23">
        <v>0</v>
      </c>
    </row>
    <row r="6110" spans="1:3" x14ac:dyDescent="0.25">
      <c r="A6110">
        <v>6109</v>
      </c>
      <c r="B6110" s="23">
        <v>964.8</v>
      </c>
      <c r="C6110" s="23">
        <v>0</v>
      </c>
    </row>
    <row r="6111" spans="1:3" x14ac:dyDescent="0.25">
      <c r="A6111">
        <v>6110</v>
      </c>
      <c r="B6111" s="23">
        <v>964.8</v>
      </c>
      <c r="C6111" s="23">
        <v>0</v>
      </c>
    </row>
    <row r="6112" spans="1:3" x14ac:dyDescent="0.25">
      <c r="A6112">
        <v>6111</v>
      </c>
      <c r="B6112" s="23">
        <v>964.40625460000001</v>
      </c>
      <c r="C6112" s="23">
        <v>0</v>
      </c>
    </row>
    <row r="6113" spans="1:3" x14ac:dyDescent="0.25">
      <c r="A6113">
        <v>6112</v>
      </c>
      <c r="B6113" s="23">
        <v>964.19473270000003</v>
      </c>
      <c r="C6113" s="23">
        <v>0</v>
      </c>
    </row>
    <row r="6114" spans="1:3" x14ac:dyDescent="0.25">
      <c r="A6114">
        <v>6113</v>
      </c>
      <c r="B6114" s="23">
        <v>964</v>
      </c>
      <c r="C6114" s="23">
        <v>0</v>
      </c>
    </row>
    <row r="6115" spans="1:3" x14ac:dyDescent="0.25">
      <c r="A6115">
        <v>6114</v>
      </c>
      <c r="B6115" s="23">
        <v>963.40361170000006</v>
      </c>
      <c r="C6115" s="23">
        <v>0</v>
      </c>
    </row>
    <row r="6116" spans="1:3" x14ac:dyDescent="0.25">
      <c r="A6116">
        <v>6115</v>
      </c>
      <c r="B6116" s="23">
        <v>963.2</v>
      </c>
      <c r="C6116" s="23">
        <v>0</v>
      </c>
    </row>
    <row r="6117" spans="1:3" x14ac:dyDescent="0.25">
      <c r="A6117">
        <v>6116</v>
      </c>
      <c r="B6117" s="23">
        <v>963.2</v>
      </c>
      <c r="C6117" s="23">
        <v>0</v>
      </c>
    </row>
    <row r="6118" spans="1:3" x14ac:dyDescent="0.25">
      <c r="A6118">
        <v>6117</v>
      </c>
      <c r="B6118" s="23">
        <v>962.79568840000002</v>
      </c>
      <c r="C6118" s="23">
        <v>0</v>
      </c>
    </row>
    <row r="6119" spans="1:3" x14ac:dyDescent="0.25">
      <c r="A6119">
        <v>6118</v>
      </c>
      <c r="B6119" s="23">
        <v>962.50792309999997</v>
      </c>
      <c r="C6119" s="23">
        <v>0</v>
      </c>
    </row>
    <row r="6120" spans="1:3" x14ac:dyDescent="0.25">
      <c r="A6120">
        <v>6119</v>
      </c>
      <c r="B6120" s="23">
        <v>962.44298560000004</v>
      </c>
      <c r="C6120" s="23">
        <v>0</v>
      </c>
    </row>
    <row r="6121" spans="1:3" x14ac:dyDescent="0.25">
      <c r="A6121">
        <v>6120</v>
      </c>
      <c r="B6121" s="23">
        <v>962.43378789999997</v>
      </c>
      <c r="C6121" s="23">
        <v>0</v>
      </c>
    </row>
    <row r="6122" spans="1:3" x14ac:dyDescent="0.25">
      <c r="A6122">
        <v>6121</v>
      </c>
      <c r="B6122" s="23">
        <v>962.06016839999995</v>
      </c>
      <c r="C6122" s="23">
        <v>0</v>
      </c>
    </row>
    <row r="6123" spans="1:3" x14ac:dyDescent="0.25">
      <c r="A6123">
        <v>6122</v>
      </c>
      <c r="B6123" s="23">
        <v>961.6</v>
      </c>
      <c r="C6123" s="23">
        <v>0</v>
      </c>
    </row>
    <row r="6124" spans="1:3" x14ac:dyDescent="0.25">
      <c r="A6124">
        <v>6123</v>
      </c>
      <c r="B6124" s="23">
        <v>961.6</v>
      </c>
      <c r="C6124" s="23">
        <v>0</v>
      </c>
    </row>
    <row r="6125" spans="1:3" x14ac:dyDescent="0.25">
      <c r="A6125">
        <v>6124</v>
      </c>
      <c r="B6125" s="23">
        <v>961.5295562</v>
      </c>
      <c r="C6125" s="23">
        <v>0</v>
      </c>
    </row>
    <row r="6126" spans="1:3" x14ac:dyDescent="0.25">
      <c r="A6126">
        <v>6125</v>
      </c>
      <c r="B6126" s="23">
        <v>961.45012750000001</v>
      </c>
      <c r="C6126" s="23">
        <v>0</v>
      </c>
    </row>
    <row r="6127" spans="1:3" x14ac:dyDescent="0.25">
      <c r="A6127">
        <v>6126</v>
      </c>
      <c r="B6127" s="23">
        <v>961.3246484</v>
      </c>
      <c r="C6127" s="23">
        <v>0</v>
      </c>
    </row>
    <row r="6128" spans="1:3" x14ac:dyDescent="0.25">
      <c r="A6128">
        <v>6127</v>
      </c>
      <c r="B6128" s="23">
        <v>961.04720239999995</v>
      </c>
      <c r="C6128" s="23">
        <v>0</v>
      </c>
    </row>
    <row r="6129" spans="1:3" x14ac:dyDescent="0.25">
      <c r="A6129">
        <v>6128</v>
      </c>
      <c r="B6129" s="23">
        <v>961.00099999999998</v>
      </c>
      <c r="C6129" s="23">
        <v>0</v>
      </c>
    </row>
    <row r="6130" spans="1:3" x14ac:dyDescent="0.25">
      <c r="A6130">
        <v>6129</v>
      </c>
      <c r="B6130" s="23">
        <v>960.8</v>
      </c>
      <c r="C6130" s="23">
        <v>0</v>
      </c>
    </row>
    <row r="6131" spans="1:3" x14ac:dyDescent="0.25">
      <c r="A6131">
        <v>6130</v>
      </c>
      <c r="B6131" s="23">
        <v>960.75199999999995</v>
      </c>
      <c r="C6131" s="23">
        <v>0</v>
      </c>
    </row>
    <row r="6132" spans="1:3" x14ac:dyDescent="0.25">
      <c r="A6132">
        <v>6131</v>
      </c>
      <c r="B6132" s="23">
        <v>960.74131309999996</v>
      </c>
      <c r="C6132" s="23">
        <v>0</v>
      </c>
    </row>
    <row r="6133" spans="1:3" x14ac:dyDescent="0.25">
      <c r="A6133">
        <v>6132</v>
      </c>
      <c r="B6133" s="23">
        <v>960.25031409999997</v>
      </c>
      <c r="C6133" s="23">
        <v>0</v>
      </c>
    </row>
    <row r="6134" spans="1:3" x14ac:dyDescent="0.25">
      <c r="A6134">
        <v>6133</v>
      </c>
      <c r="B6134" s="23">
        <v>960</v>
      </c>
      <c r="C6134" s="23">
        <v>0</v>
      </c>
    </row>
    <row r="6135" spans="1:3" x14ac:dyDescent="0.25">
      <c r="A6135">
        <v>6134</v>
      </c>
      <c r="B6135" s="23">
        <v>960</v>
      </c>
      <c r="C6135" s="23">
        <v>0</v>
      </c>
    </row>
    <row r="6136" spans="1:3" x14ac:dyDescent="0.25">
      <c r="A6136">
        <v>6135</v>
      </c>
      <c r="B6136" s="23">
        <v>959.85360839999998</v>
      </c>
      <c r="C6136" s="23">
        <v>0</v>
      </c>
    </row>
    <row r="6137" spans="1:3" x14ac:dyDescent="0.25">
      <c r="A6137">
        <v>6136</v>
      </c>
      <c r="B6137" s="23">
        <v>959.43700000000001</v>
      </c>
      <c r="C6137" s="23">
        <v>0</v>
      </c>
    </row>
    <row r="6138" spans="1:3" x14ac:dyDescent="0.25">
      <c r="A6138">
        <v>6137</v>
      </c>
      <c r="B6138" s="23">
        <v>958.726</v>
      </c>
      <c r="C6138" s="23">
        <v>0</v>
      </c>
    </row>
    <row r="6139" spans="1:3" x14ac:dyDescent="0.25">
      <c r="A6139">
        <v>6138</v>
      </c>
      <c r="B6139" s="23">
        <v>958.60900000000004</v>
      </c>
      <c r="C6139" s="23">
        <v>0</v>
      </c>
    </row>
    <row r="6140" spans="1:3" x14ac:dyDescent="0.25">
      <c r="A6140">
        <v>6139</v>
      </c>
      <c r="B6140" s="23">
        <v>958.18200000000002</v>
      </c>
      <c r="C6140" s="23">
        <v>0</v>
      </c>
    </row>
    <row r="6141" spans="1:3" x14ac:dyDescent="0.25">
      <c r="A6141">
        <v>6140</v>
      </c>
      <c r="B6141" s="23">
        <v>957.67399999999998</v>
      </c>
      <c r="C6141" s="23">
        <v>0</v>
      </c>
    </row>
    <row r="6142" spans="1:3" x14ac:dyDescent="0.25">
      <c r="A6142">
        <v>6141</v>
      </c>
      <c r="B6142" s="23">
        <v>957.64704840000002</v>
      </c>
      <c r="C6142" s="23">
        <v>0</v>
      </c>
    </row>
    <row r="6143" spans="1:3" x14ac:dyDescent="0.25">
      <c r="A6143">
        <v>6142</v>
      </c>
      <c r="B6143" s="23">
        <v>957.6</v>
      </c>
      <c r="C6143" s="23">
        <v>0</v>
      </c>
    </row>
    <row r="6144" spans="1:3" x14ac:dyDescent="0.25">
      <c r="A6144">
        <v>6143</v>
      </c>
      <c r="B6144" s="23">
        <v>957.6</v>
      </c>
      <c r="C6144" s="23">
        <v>0</v>
      </c>
    </row>
    <row r="6145" spans="1:3" x14ac:dyDescent="0.25">
      <c r="A6145">
        <v>6144</v>
      </c>
      <c r="B6145" s="23">
        <v>957.50099999999998</v>
      </c>
      <c r="C6145" s="23">
        <v>0</v>
      </c>
    </row>
    <row r="6146" spans="1:3" x14ac:dyDescent="0.25">
      <c r="A6146">
        <v>6145</v>
      </c>
      <c r="B6146" s="23">
        <v>956.91152829999999</v>
      </c>
      <c r="C6146" s="23">
        <v>0</v>
      </c>
    </row>
    <row r="6147" spans="1:3" x14ac:dyDescent="0.25">
      <c r="A6147">
        <v>6146</v>
      </c>
      <c r="B6147" s="23">
        <v>956.86097259999997</v>
      </c>
      <c r="C6147" s="23">
        <v>0</v>
      </c>
    </row>
    <row r="6148" spans="1:3" x14ac:dyDescent="0.25">
      <c r="A6148">
        <v>6147</v>
      </c>
      <c r="B6148" s="23">
        <v>956.47389390000001</v>
      </c>
      <c r="C6148" s="23">
        <v>0</v>
      </c>
    </row>
    <row r="6149" spans="1:3" x14ac:dyDescent="0.25">
      <c r="A6149">
        <v>6148</v>
      </c>
      <c r="B6149" s="23">
        <v>956.17600830000003</v>
      </c>
      <c r="C6149" s="23">
        <v>0</v>
      </c>
    </row>
    <row r="6150" spans="1:3" x14ac:dyDescent="0.25">
      <c r="A6150">
        <v>6149</v>
      </c>
      <c r="B6150" s="23">
        <v>956.17600830000003</v>
      </c>
      <c r="C6150" s="23">
        <v>0</v>
      </c>
    </row>
    <row r="6151" spans="1:3" x14ac:dyDescent="0.25">
      <c r="A6151">
        <v>6150</v>
      </c>
      <c r="B6151" s="23">
        <v>955.90652580000005</v>
      </c>
      <c r="C6151" s="23">
        <v>0</v>
      </c>
    </row>
    <row r="6152" spans="1:3" x14ac:dyDescent="0.25">
      <c r="A6152">
        <v>6151</v>
      </c>
      <c r="B6152" s="23">
        <v>955.56299999999999</v>
      </c>
      <c r="C6152" s="23">
        <v>0</v>
      </c>
    </row>
    <row r="6153" spans="1:3" x14ac:dyDescent="0.25">
      <c r="A6153">
        <v>6152</v>
      </c>
      <c r="B6153" s="23">
        <v>955.44048829999997</v>
      </c>
      <c r="C6153" s="23">
        <v>0</v>
      </c>
    </row>
    <row r="6154" spans="1:3" x14ac:dyDescent="0.25">
      <c r="A6154">
        <v>6153</v>
      </c>
      <c r="B6154" s="23">
        <v>955.3600222</v>
      </c>
      <c r="C6154" s="23">
        <v>0</v>
      </c>
    </row>
    <row r="6155" spans="1:3" x14ac:dyDescent="0.25">
      <c r="A6155">
        <v>6154</v>
      </c>
      <c r="B6155" s="23">
        <v>955.21584189999999</v>
      </c>
      <c r="C6155" s="23">
        <v>0</v>
      </c>
    </row>
    <row r="6156" spans="1:3" x14ac:dyDescent="0.25">
      <c r="A6156">
        <v>6155</v>
      </c>
      <c r="B6156" s="23">
        <v>954.79399999999998</v>
      </c>
      <c r="C6156" s="23">
        <v>0</v>
      </c>
    </row>
    <row r="6157" spans="1:3" x14ac:dyDescent="0.25">
      <c r="A6157">
        <v>6156</v>
      </c>
      <c r="B6157" s="23">
        <v>954.52515800000003</v>
      </c>
      <c r="C6157" s="23">
        <v>0</v>
      </c>
    </row>
    <row r="6158" spans="1:3" x14ac:dyDescent="0.25">
      <c r="A6158">
        <v>6157</v>
      </c>
      <c r="B6158" s="23">
        <v>954.50875429999996</v>
      </c>
      <c r="C6158" s="23">
        <v>0</v>
      </c>
    </row>
    <row r="6159" spans="1:3" x14ac:dyDescent="0.25">
      <c r="A6159">
        <v>6158</v>
      </c>
      <c r="B6159" s="23">
        <v>954.40748289999999</v>
      </c>
      <c r="C6159" s="23">
        <v>0</v>
      </c>
    </row>
    <row r="6160" spans="1:3" x14ac:dyDescent="0.25">
      <c r="A6160">
        <v>6159</v>
      </c>
      <c r="B6160" s="23">
        <v>954.4</v>
      </c>
      <c r="C6160" s="23">
        <v>0</v>
      </c>
    </row>
    <row r="6161" spans="1:3" x14ac:dyDescent="0.25">
      <c r="A6161">
        <v>6160</v>
      </c>
      <c r="B6161" s="23">
        <v>953.99300000000005</v>
      </c>
      <c r="C6161" s="23">
        <v>0</v>
      </c>
    </row>
    <row r="6162" spans="1:3" x14ac:dyDescent="0.25">
      <c r="A6162">
        <v>6161</v>
      </c>
      <c r="B6162" s="23">
        <v>953.6</v>
      </c>
      <c r="C6162" s="23">
        <v>0</v>
      </c>
    </row>
    <row r="6163" spans="1:3" x14ac:dyDescent="0.25">
      <c r="A6163">
        <v>6162</v>
      </c>
      <c r="B6163" s="23">
        <v>953.6</v>
      </c>
      <c r="C6163" s="23">
        <v>0</v>
      </c>
    </row>
    <row r="6164" spans="1:3" x14ac:dyDescent="0.25">
      <c r="A6164">
        <v>6163</v>
      </c>
      <c r="B6164" s="23">
        <v>953.40155219999997</v>
      </c>
      <c r="C6164" s="23">
        <v>0</v>
      </c>
    </row>
    <row r="6165" spans="1:3" x14ac:dyDescent="0.25">
      <c r="A6165">
        <v>6164</v>
      </c>
      <c r="B6165" s="23">
        <v>952.8174401</v>
      </c>
      <c r="C6165" s="23">
        <v>0</v>
      </c>
    </row>
    <row r="6166" spans="1:3" x14ac:dyDescent="0.25">
      <c r="A6166">
        <v>6165</v>
      </c>
      <c r="B6166" s="23">
        <v>952.8</v>
      </c>
      <c r="C6166" s="23">
        <v>0</v>
      </c>
    </row>
    <row r="6167" spans="1:3" x14ac:dyDescent="0.25">
      <c r="A6167">
        <v>6166</v>
      </c>
      <c r="B6167" s="23">
        <v>952.12416810000002</v>
      </c>
      <c r="C6167" s="23">
        <v>0</v>
      </c>
    </row>
    <row r="6168" spans="1:3" x14ac:dyDescent="0.25">
      <c r="A6168">
        <v>6167</v>
      </c>
      <c r="B6168" s="23">
        <v>951.69767079999997</v>
      </c>
      <c r="C6168" s="23">
        <v>0</v>
      </c>
    </row>
    <row r="6169" spans="1:3" x14ac:dyDescent="0.25">
      <c r="A6169">
        <v>6168</v>
      </c>
      <c r="B6169" s="23">
        <v>951.40800000000002</v>
      </c>
      <c r="C6169" s="23">
        <v>0</v>
      </c>
    </row>
    <row r="6170" spans="1:3" x14ac:dyDescent="0.25">
      <c r="A6170">
        <v>6169</v>
      </c>
      <c r="B6170" s="23">
        <v>951.2</v>
      </c>
      <c r="C6170" s="23">
        <v>0</v>
      </c>
    </row>
    <row r="6171" spans="1:3" x14ac:dyDescent="0.25">
      <c r="A6171">
        <v>6170</v>
      </c>
      <c r="B6171" s="23">
        <v>951.08012289999999</v>
      </c>
      <c r="C6171" s="23">
        <v>0</v>
      </c>
    </row>
    <row r="6172" spans="1:3" x14ac:dyDescent="0.25">
      <c r="A6172">
        <v>6171</v>
      </c>
      <c r="B6172" s="23">
        <v>951.02736830000003</v>
      </c>
      <c r="C6172" s="23">
        <v>0</v>
      </c>
    </row>
    <row r="6173" spans="1:3" x14ac:dyDescent="0.25">
      <c r="A6173">
        <v>6172</v>
      </c>
      <c r="B6173" s="23">
        <v>950.49871329999996</v>
      </c>
      <c r="C6173" s="23">
        <v>0</v>
      </c>
    </row>
    <row r="6174" spans="1:3" x14ac:dyDescent="0.25">
      <c r="A6174">
        <v>6173</v>
      </c>
      <c r="B6174" s="23">
        <v>950.4</v>
      </c>
      <c r="C6174" s="23">
        <v>0</v>
      </c>
    </row>
    <row r="6175" spans="1:3" x14ac:dyDescent="0.25">
      <c r="A6175">
        <v>6174</v>
      </c>
      <c r="B6175" s="23">
        <v>950.4</v>
      </c>
      <c r="C6175" s="23">
        <v>0</v>
      </c>
    </row>
    <row r="6176" spans="1:3" x14ac:dyDescent="0.25">
      <c r="A6176">
        <v>6175</v>
      </c>
      <c r="B6176" s="23">
        <v>950.4</v>
      </c>
      <c r="C6176" s="23">
        <v>0</v>
      </c>
    </row>
    <row r="6177" spans="1:3" x14ac:dyDescent="0.25">
      <c r="A6177">
        <v>6176</v>
      </c>
      <c r="B6177" s="23">
        <v>949.84100000000001</v>
      </c>
      <c r="C6177" s="23">
        <v>0</v>
      </c>
    </row>
    <row r="6178" spans="1:3" x14ac:dyDescent="0.25">
      <c r="A6178">
        <v>6177</v>
      </c>
      <c r="B6178" s="23">
        <v>949.78879310000002</v>
      </c>
      <c r="C6178" s="23">
        <v>0</v>
      </c>
    </row>
    <row r="6179" spans="1:3" x14ac:dyDescent="0.25">
      <c r="A6179">
        <v>6178</v>
      </c>
      <c r="B6179" s="23">
        <v>949.69037070000002</v>
      </c>
      <c r="C6179" s="23">
        <v>0</v>
      </c>
    </row>
    <row r="6180" spans="1:3" x14ac:dyDescent="0.25">
      <c r="A6180">
        <v>6179</v>
      </c>
      <c r="B6180" s="23">
        <v>949.6</v>
      </c>
      <c r="C6180" s="23">
        <v>0</v>
      </c>
    </row>
    <row r="6181" spans="1:3" x14ac:dyDescent="0.25">
      <c r="A6181">
        <v>6180</v>
      </c>
      <c r="B6181" s="23">
        <v>949.6</v>
      </c>
      <c r="C6181" s="23">
        <v>0</v>
      </c>
    </row>
    <row r="6182" spans="1:3" x14ac:dyDescent="0.25">
      <c r="A6182">
        <v>6181</v>
      </c>
      <c r="B6182" s="23">
        <v>949.6</v>
      </c>
      <c r="C6182" s="23">
        <v>0</v>
      </c>
    </row>
    <row r="6183" spans="1:3" x14ac:dyDescent="0.25">
      <c r="A6183">
        <v>6182</v>
      </c>
      <c r="B6183" s="23">
        <v>949.6</v>
      </c>
      <c r="C6183" s="23">
        <v>0</v>
      </c>
    </row>
    <row r="6184" spans="1:3" x14ac:dyDescent="0.25">
      <c r="A6184">
        <v>6183</v>
      </c>
      <c r="B6184" s="23">
        <v>949.59250940000004</v>
      </c>
      <c r="C6184" s="23">
        <v>0</v>
      </c>
    </row>
    <row r="6185" spans="1:3" x14ac:dyDescent="0.25">
      <c r="A6185">
        <v>6184</v>
      </c>
      <c r="B6185" s="23">
        <v>949.20799999999997</v>
      </c>
      <c r="C6185" s="23">
        <v>0</v>
      </c>
    </row>
    <row r="6186" spans="1:3" x14ac:dyDescent="0.25">
      <c r="A6186">
        <v>6185</v>
      </c>
      <c r="B6186" s="23">
        <v>948.64151890000005</v>
      </c>
      <c r="C6186" s="23">
        <v>0</v>
      </c>
    </row>
    <row r="6187" spans="1:3" x14ac:dyDescent="0.25">
      <c r="A6187">
        <v>6186</v>
      </c>
      <c r="B6187" s="23">
        <v>948.63099999999997</v>
      </c>
      <c r="C6187" s="23">
        <v>0</v>
      </c>
    </row>
    <row r="6188" spans="1:3" x14ac:dyDescent="0.25">
      <c r="A6188">
        <v>6187</v>
      </c>
      <c r="B6188" s="23">
        <v>948.35907740000005</v>
      </c>
      <c r="C6188" s="23">
        <v>0</v>
      </c>
    </row>
    <row r="6189" spans="1:3" x14ac:dyDescent="0.25">
      <c r="A6189">
        <v>6188</v>
      </c>
      <c r="B6189" s="23">
        <v>947.27297699999997</v>
      </c>
      <c r="C6189" s="23">
        <v>0</v>
      </c>
    </row>
    <row r="6190" spans="1:3" x14ac:dyDescent="0.25">
      <c r="A6190">
        <v>6189</v>
      </c>
      <c r="B6190" s="23">
        <v>946.94890989999999</v>
      </c>
      <c r="C6190" s="23">
        <v>0</v>
      </c>
    </row>
    <row r="6191" spans="1:3" x14ac:dyDescent="0.25">
      <c r="A6191">
        <v>6190</v>
      </c>
      <c r="B6191" s="23">
        <v>946.4</v>
      </c>
      <c r="C6191" s="23">
        <v>0</v>
      </c>
    </row>
    <row r="6192" spans="1:3" x14ac:dyDescent="0.25">
      <c r="A6192">
        <v>6191</v>
      </c>
      <c r="B6192" s="23">
        <v>946.14638860000002</v>
      </c>
      <c r="C6192" s="23">
        <v>0</v>
      </c>
    </row>
    <row r="6193" spans="1:3" x14ac:dyDescent="0.25">
      <c r="A6193">
        <v>6192</v>
      </c>
      <c r="B6193" s="23">
        <v>945.94676389999995</v>
      </c>
      <c r="C6193" s="23">
        <v>0</v>
      </c>
    </row>
    <row r="6194" spans="1:3" x14ac:dyDescent="0.25">
      <c r="A6194">
        <v>6193</v>
      </c>
      <c r="B6194" s="23">
        <v>945.9063261</v>
      </c>
      <c r="C6194" s="23">
        <v>0</v>
      </c>
    </row>
    <row r="6195" spans="1:3" x14ac:dyDescent="0.25">
      <c r="A6195">
        <v>6194</v>
      </c>
      <c r="B6195" s="23">
        <v>945.9063261</v>
      </c>
      <c r="C6195" s="23">
        <v>0</v>
      </c>
    </row>
    <row r="6196" spans="1:3" x14ac:dyDescent="0.25">
      <c r="A6196">
        <v>6195</v>
      </c>
      <c r="B6196" s="23">
        <v>945.87872830000003</v>
      </c>
      <c r="C6196" s="23">
        <v>0</v>
      </c>
    </row>
    <row r="6197" spans="1:3" x14ac:dyDescent="0.25">
      <c r="A6197">
        <v>6196</v>
      </c>
      <c r="B6197" s="23">
        <v>945.25494419999995</v>
      </c>
      <c r="C6197" s="23">
        <v>0</v>
      </c>
    </row>
    <row r="6198" spans="1:3" x14ac:dyDescent="0.25">
      <c r="A6198">
        <v>6197</v>
      </c>
      <c r="B6198" s="23">
        <v>945.1432082</v>
      </c>
      <c r="C6198" s="23">
        <v>0</v>
      </c>
    </row>
    <row r="6199" spans="1:3" x14ac:dyDescent="0.25">
      <c r="A6199">
        <v>6198</v>
      </c>
      <c r="B6199" s="23">
        <v>944.8</v>
      </c>
      <c r="C6199" s="23">
        <v>0</v>
      </c>
    </row>
    <row r="6200" spans="1:3" x14ac:dyDescent="0.25">
      <c r="A6200">
        <v>6199</v>
      </c>
      <c r="B6200" s="23">
        <v>944.39700000000005</v>
      </c>
      <c r="C6200" s="23">
        <v>0</v>
      </c>
    </row>
    <row r="6201" spans="1:3" x14ac:dyDescent="0.25">
      <c r="A6201">
        <v>6200</v>
      </c>
      <c r="B6201" s="23">
        <v>944.34241080000004</v>
      </c>
      <c r="C6201" s="23">
        <v>0</v>
      </c>
    </row>
    <row r="6202" spans="1:3" x14ac:dyDescent="0.25">
      <c r="A6202">
        <v>6201</v>
      </c>
      <c r="B6202" s="23">
        <v>944.16489939999997</v>
      </c>
      <c r="C6202" s="23">
        <v>0</v>
      </c>
    </row>
    <row r="6203" spans="1:3" x14ac:dyDescent="0.25">
      <c r="A6203">
        <v>6202</v>
      </c>
      <c r="B6203" s="23">
        <v>943.97988980000002</v>
      </c>
      <c r="C6203" s="23">
        <v>0</v>
      </c>
    </row>
    <row r="6204" spans="1:3" x14ac:dyDescent="0.25">
      <c r="A6204">
        <v>6203</v>
      </c>
      <c r="B6204" s="23">
        <v>943.52926560000003</v>
      </c>
      <c r="C6204" s="23">
        <v>0</v>
      </c>
    </row>
    <row r="6205" spans="1:3" x14ac:dyDescent="0.25">
      <c r="A6205">
        <v>6204</v>
      </c>
      <c r="B6205" s="23">
        <v>943.47421550000001</v>
      </c>
      <c r="C6205" s="23">
        <v>0</v>
      </c>
    </row>
    <row r="6206" spans="1:3" x14ac:dyDescent="0.25">
      <c r="A6206">
        <v>6205</v>
      </c>
      <c r="B6206" s="23">
        <v>943.2</v>
      </c>
      <c r="C6206" s="23">
        <v>0</v>
      </c>
    </row>
    <row r="6207" spans="1:3" x14ac:dyDescent="0.25">
      <c r="A6207">
        <v>6206</v>
      </c>
      <c r="B6207" s="23">
        <v>943.2</v>
      </c>
      <c r="C6207" s="23">
        <v>0</v>
      </c>
    </row>
    <row r="6208" spans="1:3" x14ac:dyDescent="0.25">
      <c r="A6208">
        <v>6207</v>
      </c>
      <c r="B6208" s="23">
        <v>943.2</v>
      </c>
      <c r="C6208" s="23">
        <v>0</v>
      </c>
    </row>
    <row r="6209" spans="1:3" x14ac:dyDescent="0.25">
      <c r="A6209">
        <v>6208</v>
      </c>
      <c r="B6209" s="23">
        <v>942.42601339999999</v>
      </c>
      <c r="C6209" s="23">
        <v>0</v>
      </c>
    </row>
    <row r="6210" spans="1:3" x14ac:dyDescent="0.25">
      <c r="A6210">
        <v>6209</v>
      </c>
      <c r="B6210" s="23">
        <v>942.4</v>
      </c>
      <c r="C6210" s="23">
        <v>0</v>
      </c>
    </row>
    <row r="6211" spans="1:3" x14ac:dyDescent="0.25">
      <c r="A6211">
        <v>6210</v>
      </c>
      <c r="B6211" s="23">
        <v>942.4</v>
      </c>
      <c r="C6211" s="23">
        <v>0</v>
      </c>
    </row>
    <row r="6212" spans="1:3" x14ac:dyDescent="0.25">
      <c r="A6212">
        <v>6211</v>
      </c>
      <c r="B6212" s="23">
        <v>942.4</v>
      </c>
      <c r="C6212" s="23">
        <v>0</v>
      </c>
    </row>
    <row r="6213" spans="1:3" x14ac:dyDescent="0.25">
      <c r="A6213">
        <v>6212</v>
      </c>
      <c r="B6213" s="23">
        <v>942.4</v>
      </c>
      <c r="C6213" s="23">
        <v>0</v>
      </c>
    </row>
    <row r="6214" spans="1:3" x14ac:dyDescent="0.25">
      <c r="A6214">
        <v>6213</v>
      </c>
      <c r="B6214" s="23">
        <v>942.16559170000005</v>
      </c>
      <c r="C6214" s="23">
        <v>0</v>
      </c>
    </row>
    <row r="6215" spans="1:3" x14ac:dyDescent="0.25">
      <c r="A6215">
        <v>6214</v>
      </c>
      <c r="B6215" s="23">
        <v>941.40216380000004</v>
      </c>
      <c r="C6215" s="23">
        <v>0</v>
      </c>
    </row>
    <row r="6216" spans="1:3" x14ac:dyDescent="0.25">
      <c r="A6216">
        <v>6215</v>
      </c>
      <c r="B6216" s="23">
        <v>940.8</v>
      </c>
      <c r="C6216" s="23">
        <v>0</v>
      </c>
    </row>
    <row r="6217" spans="1:3" x14ac:dyDescent="0.25">
      <c r="A6217">
        <v>6216</v>
      </c>
      <c r="B6217" s="23">
        <v>939.53122020000001</v>
      </c>
      <c r="C6217" s="23">
        <v>0</v>
      </c>
    </row>
    <row r="6218" spans="1:3" x14ac:dyDescent="0.25">
      <c r="A6218">
        <v>6217</v>
      </c>
      <c r="B6218" s="23">
        <v>939.33011209999995</v>
      </c>
      <c r="C6218" s="23">
        <v>0</v>
      </c>
    </row>
    <row r="6219" spans="1:3" x14ac:dyDescent="0.25">
      <c r="A6219">
        <v>6218</v>
      </c>
      <c r="B6219" s="23">
        <v>939.3182607</v>
      </c>
      <c r="C6219" s="23">
        <v>0</v>
      </c>
    </row>
    <row r="6220" spans="1:3" x14ac:dyDescent="0.25">
      <c r="A6220">
        <v>6219</v>
      </c>
      <c r="B6220" s="23">
        <v>939.25904820000005</v>
      </c>
      <c r="C6220" s="23">
        <v>0</v>
      </c>
    </row>
    <row r="6221" spans="1:3" x14ac:dyDescent="0.25">
      <c r="A6221">
        <v>6220</v>
      </c>
      <c r="B6221" s="23">
        <v>938.72947380000005</v>
      </c>
      <c r="C6221" s="23">
        <v>0</v>
      </c>
    </row>
    <row r="6222" spans="1:3" x14ac:dyDescent="0.25">
      <c r="A6222">
        <v>6221</v>
      </c>
      <c r="B6222" s="23">
        <v>938.57100000000003</v>
      </c>
      <c r="C6222" s="23">
        <v>0</v>
      </c>
    </row>
    <row r="6223" spans="1:3" x14ac:dyDescent="0.25">
      <c r="A6223">
        <v>6222</v>
      </c>
      <c r="B6223" s="23">
        <v>937.78800820000004</v>
      </c>
      <c r="C6223" s="23">
        <v>0</v>
      </c>
    </row>
    <row r="6224" spans="1:3" x14ac:dyDescent="0.25">
      <c r="A6224">
        <v>6223</v>
      </c>
      <c r="B6224" s="23">
        <v>937.6</v>
      </c>
      <c r="C6224" s="23">
        <v>0</v>
      </c>
    </row>
    <row r="6225" spans="1:3" x14ac:dyDescent="0.25">
      <c r="A6225">
        <v>6224</v>
      </c>
      <c r="B6225" s="23">
        <v>936.98744620000002</v>
      </c>
      <c r="C6225" s="23">
        <v>0</v>
      </c>
    </row>
    <row r="6226" spans="1:3" x14ac:dyDescent="0.25">
      <c r="A6226">
        <v>6225</v>
      </c>
      <c r="B6226" s="23">
        <v>936.95319300000006</v>
      </c>
      <c r="C6226" s="23">
        <v>0</v>
      </c>
    </row>
    <row r="6227" spans="1:3" x14ac:dyDescent="0.25">
      <c r="A6227">
        <v>6226</v>
      </c>
      <c r="B6227" s="23">
        <v>936.67200000000003</v>
      </c>
      <c r="C6227" s="23">
        <v>0</v>
      </c>
    </row>
    <row r="6228" spans="1:3" x14ac:dyDescent="0.25">
      <c r="A6228">
        <v>6227</v>
      </c>
      <c r="B6228" s="23">
        <v>936.447</v>
      </c>
      <c r="C6228" s="23">
        <v>0</v>
      </c>
    </row>
    <row r="6229" spans="1:3" x14ac:dyDescent="0.25">
      <c r="A6229">
        <v>6228</v>
      </c>
      <c r="B6229" s="23">
        <v>936.00937720000002</v>
      </c>
      <c r="C6229" s="23">
        <v>0</v>
      </c>
    </row>
    <row r="6230" spans="1:3" x14ac:dyDescent="0.25">
      <c r="A6230">
        <v>6229</v>
      </c>
      <c r="B6230" s="23">
        <v>936</v>
      </c>
      <c r="C6230" s="23">
        <v>0</v>
      </c>
    </row>
    <row r="6231" spans="1:3" x14ac:dyDescent="0.25">
      <c r="A6231">
        <v>6230</v>
      </c>
      <c r="B6231" s="23">
        <v>935.94200000000001</v>
      </c>
      <c r="C6231" s="23">
        <v>0</v>
      </c>
    </row>
    <row r="6232" spans="1:3" x14ac:dyDescent="0.25">
      <c r="A6232">
        <v>6231</v>
      </c>
      <c r="B6232" s="23">
        <v>935.43356979999999</v>
      </c>
      <c r="C6232" s="23">
        <v>0</v>
      </c>
    </row>
    <row r="6233" spans="1:3" x14ac:dyDescent="0.25">
      <c r="A6233">
        <v>6232</v>
      </c>
      <c r="B6233" s="23">
        <v>935.07485880000002</v>
      </c>
      <c r="C6233" s="23">
        <v>0</v>
      </c>
    </row>
    <row r="6234" spans="1:3" x14ac:dyDescent="0.25">
      <c r="A6234">
        <v>6233</v>
      </c>
      <c r="B6234" s="23">
        <v>934.4</v>
      </c>
      <c r="C6234" s="23">
        <v>0</v>
      </c>
    </row>
    <row r="6235" spans="1:3" x14ac:dyDescent="0.25">
      <c r="A6235">
        <v>6234</v>
      </c>
      <c r="B6235" s="23">
        <v>934.38900000000001</v>
      </c>
      <c r="C6235" s="23">
        <v>0</v>
      </c>
    </row>
    <row r="6236" spans="1:3" x14ac:dyDescent="0.25">
      <c r="A6236">
        <v>6235</v>
      </c>
      <c r="B6236" s="23">
        <v>934.34769100000005</v>
      </c>
      <c r="C6236" s="23">
        <v>0</v>
      </c>
    </row>
    <row r="6237" spans="1:3" x14ac:dyDescent="0.25">
      <c r="A6237">
        <v>6236</v>
      </c>
      <c r="B6237" s="23">
        <v>934.12667220000003</v>
      </c>
      <c r="C6237" s="23">
        <v>0</v>
      </c>
    </row>
    <row r="6238" spans="1:3" x14ac:dyDescent="0.25">
      <c r="A6238">
        <v>6237</v>
      </c>
      <c r="B6238" s="23">
        <v>934.11040809999997</v>
      </c>
      <c r="C6238" s="23">
        <v>0</v>
      </c>
    </row>
    <row r="6239" spans="1:3" x14ac:dyDescent="0.25">
      <c r="A6239">
        <v>6238</v>
      </c>
      <c r="B6239" s="23">
        <v>933.86768649999999</v>
      </c>
      <c r="C6239" s="23">
        <v>0</v>
      </c>
    </row>
    <row r="6240" spans="1:3" x14ac:dyDescent="0.25">
      <c r="A6240">
        <v>6239</v>
      </c>
      <c r="B6240" s="23">
        <v>933.85297609999998</v>
      </c>
      <c r="C6240" s="23">
        <v>0</v>
      </c>
    </row>
    <row r="6241" spans="1:3" x14ac:dyDescent="0.25">
      <c r="A6241">
        <v>6240</v>
      </c>
      <c r="B6241" s="23">
        <v>933.72780220000004</v>
      </c>
      <c r="C6241" s="23">
        <v>0</v>
      </c>
    </row>
    <row r="6242" spans="1:3" x14ac:dyDescent="0.25">
      <c r="A6242">
        <v>6241</v>
      </c>
      <c r="B6242" s="23">
        <v>933.69899999999996</v>
      </c>
      <c r="C6242" s="23">
        <v>0</v>
      </c>
    </row>
    <row r="6243" spans="1:3" x14ac:dyDescent="0.25">
      <c r="A6243">
        <v>6242</v>
      </c>
      <c r="B6243" s="23">
        <v>933.6</v>
      </c>
      <c r="C6243" s="23">
        <v>0</v>
      </c>
    </row>
    <row r="6244" spans="1:3" x14ac:dyDescent="0.25">
      <c r="A6244">
        <v>6243</v>
      </c>
      <c r="B6244" s="23">
        <v>933.17</v>
      </c>
      <c r="C6244" s="23">
        <v>0</v>
      </c>
    </row>
    <row r="6245" spans="1:3" x14ac:dyDescent="0.25">
      <c r="A6245">
        <v>6244</v>
      </c>
      <c r="B6245" s="23">
        <v>933.11395689999995</v>
      </c>
      <c r="C6245" s="23">
        <v>0</v>
      </c>
    </row>
    <row r="6246" spans="1:3" x14ac:dyDescent="0.25">
      <c r="A6246">
        <v>6245</v>
      </c>
      <c r="B6246" s="23">
        <v>933.10275530000001</v>
      </c>
      <c r="C6246" s="23">
        <v>0</v>
      </c>
    </row>
    <row r="6247" spans="1:3" x14ac:dyDescent="0.25">
      <c r="A6247">
        <v>6246</v>
      </c>
      <c r="B6247" s="23">
        <v>932.61599999999999</v>
      </c>
      <c r="C6247" s="23">
        <v>0</v>
      </c>
    </row>
    <row r="6248" spans="1:3" x14ac:dyDescent="0.25">
      <c r="A6248">
        <v>6247</v>
      </c>
      <c r="B6248" s="23">
        <v>932.42327299999999</v>
      </c>
      <c r="C6248" s="23">
        <v>0</v>
      </c>
    </row>
    <row r="6249" spans="1:3" x14ac:dyDescent="0.25">
      <c r="A6249">
        <v>6248</v>
      </c>
      <c r="B6249" s="23">
        <v>932.41499999999996</v>
      </c>
      <c r="C6249" s="23">
        <v>0</v>
      </c>
    </row>
    <row r="6250" spans="1:3" x14ac:dyDescent="0.25">
      <c r="A6250">
        <v>6249</v>
      </c>
      <c r="B6250" s="23">
        <v>932</v>
      </c>
      <c r="C6250" s="23">
        <v>0</v>
      </c>
    </row>
    <row r="6251" spans="1:3" x14ac:dyDescent="0.25">
      <c r="A6251">
        <v>6250</v>
      </c>
      <c r="B6251" s="23">
        <v>932</v>
      </c>
      <c r="C6251" s="23">
        <v>0</v>
      </c>
    </row>
    <row r="6252" spans="1:3" x14ac:dyDescent="0.25">
      <c r="A6252">
        <v>6251</v>
      </c>
      <c r="B6252" s="23">
        <v>931.04190519999997</v>
      </c>
      <c r="C6252" s="23">
        <v>0</v>
      </c>
    </row>
    <row r="6253" spans="1:3" x14ac:dyDescent="0.25">
      <c r="A6253">
        <v>6252</v>
      </c>
      <c r="B6253" s="23">
        <v>930.98500000000001</v>
      </c>
      <c r="C6253" s="23">
        <v>0</v>
      </c>
    </row>
    <row r="6254" spans="1:3" x14ac:dyDescent="0.25">
      <c r="A6254">
        <v>6253</v>
      </c>
      <c r="B6254" s="23">
        <v>930.64</v>
      </c>
      <c r="C6254" s="23">
        <v>0</v>
      </c>
    </row>
    <row r="6255" spans="1:3" x14ac:dyDescent="0.25">
      <c r="A6255">
        <v>6254</v>
      </c>
      <c r="B6255" s="23">
        <v>930.61392990000002</v>
      </c>
      <c r="C6255" s="23">
        <v>0</v>
      </c>
    </row>
    <row r="6256" spans="1:3" x14ac:dyDescent="0.25">
      <c r="A6256">
        <v>6255</v>
      </c>
      <c r="B6256" s="23">
        <v>930.07975850000003</v>
      </c>
      <c r="C6256" s="23">
        <v>0</v>
      </c>
    </row>
    <row r="6257" spans="1:3" x14ac:dyDescent="0.25">
      <c r="A6257">
        <v>6256</v>
      </c>
      <c r="B6257" s="23">
        <v>930.06686930000001</v>
      </c>
      <c r="C6257" s="23">
        <v>0</v>
      </c>
    </row>
    <row r="6258" spans="1:3" x14ac:dyDescent="0.25">
      <c r="A6258">
        <v>6257</v>
      </c>
      <c r="B6258" s="23">
        <v>929.66053739999995</v>
      </c>
      <c r="C6258" s="23">
        <v>0</v>
      </c>
    </row>
    <row r="6259" spans="1:3" x14ac:dyDescent="0.25">
      <c r="A6259">
        <v>6258</v>
      </c>
      <c r="B6259" s="23">
        <v>929.54023410000002</v>
      </c>
      <c r="C6259" s="23">
        <v>0</v>
      </c>
    </row>
    <row r="6260" spans="1:3" x14ac:dyDescent="0.25">
      <c r="A6260">
        <v>6259</v>
      </c>
      <c r="B6260" s="23">
        <v>928.89</v>
      </c>
      <c r="C6260" s="23">
        <v>0</v>
      </c>
    </row>
    <row r="6261" spans="1:3" x14ac:dyDescent="0.25">
      <c r="A6261">
        <v>6260</v>
      </c>
      <c r="B6261" s="23">
        <v>928.53792469999996</v>
      </c>
      <c r="C6261" s="23">
        <v>0</v>
      </c>
    </row>
    <row r="6262" spans="1:3" x14ac:dyDescent="0.25">
      <c r="A6262">
        <v>6261</v>
      </c>
      <c r="B6262" s="23">
        <v>928.27916960000005</v>
      </c>
      <c r="C6262" s="23">
        <v>0</v>
      </c>
    </row>
    <row r="6263" spans="1:3" x14ac:dyDescent="0.25">
      <c r="A6263">
        <v>6262</v>
      </c>
      <c r="B6263" s="23">
        <v>927.58848569999998</v>
      </c>
      <c r="C6263" s="23">
        <v>0</v>
      </c>
    </row>
    <row r="6264" spans="1:3" x14ac:dyDescent="0.25">
      <c r="A6264">
        <v>6263</v>
      </c>
      <c r="B6264" s="23">
        <v>927.2</v>
      </c>
      <c r="C6264" s="23">
        <v>0</v>
      </c>
    </row>
    <row r="6265" spans="1:3" x14ac:dyDescent="0.25">
      <c r="A6265">
        <v>6264</v>
      </c>
      <c r="B6265" s="23">
        <v>927.2</v>
      </c>
      <c r="C6265" s="23">
        <v>0</v>
      </c>
    </row>
    <row r="6266" spans="1:3" x14ac:dyDescent="0.25">
      <c r="A6266">
        <v>6265</v>
      </c>
      <c r="B6266" s="23">
        <v>926.89780180000002</v>
      </c>
      <c r="C6266" s="23">
        <v>0</v>
      </c>
    </row>
    <row r="6267" spans="1:3" x14ac:dyDescent="0.25">
      <c r="A6267">
        <v>6266</v>
      </c>
      <c r="B6267" s="23">
        <v>926.88724979999995</v>
      </c>
      <c r="C6267" s="23">
        <v>0</v>
      </c>
    </row>
    <row r="6268" spans="1:3" x14ac:dyDescent="0.25">
      <c r="A6268">
        <v>6267</v>
      </c>
      <c r="B6268" s="23">
        <v>926.84341040000004</v>
      </c>
      <c r="C6268" s="23">
        <v>0</v>
      </c>
    </row>
    <row r="6269" spans="1:3" x14ac:dyDescent="0.25">
      <c r="A6269">
        <v>6268</v>
      </c>
      <c r="B6269" s="23">
        <v>926.60126660000003</v>
      </c>
      <c r="C6269" s="23">
        <v>0</v>
      </c>
    </row>
    <row r="6270" spans="1:3" x14ac:dyDescent="0.25">
      <c r="A6270">
        <v>6269</v>
      </c>
      <c r="B6270" s="23">
        <v>925.51643390000004</v>
      </c>
      <c r="C6270" s="23">
        <v>0</v>
      </c>
    </row>
    <row r="6271" spans="1:3" x14ac:dyDescent="0.25">
      <c r="A6271">
        <v>6270</v>
      </c>
      <c r="B6271" s="23">
        <v>925.28416809999999</v>
      </c>
      <c r="C6271" s="23">
        <v>0</v>
      </c>
    </row>
    <row r="6272" spans="1:3" x14ac:dyDescent="0.25">
      <c r="A6272">
        <v>6271</v>
      </c>
      <c r="B6272" s="23">
        <v>924.96560680000005</v>
      </c>
      <c r="C6272" s="23">
        <v>0</v>
      </c>
    </row>
    <row r="6273" spans="1:3" x14ac:dyDescent="0.25">
      <c r="A6273">
        <v>6272</v>
      </c>
      <c r="B6273" s="23">
        <v>924.64700000000005</v>
      </c>
      <c r="C6273" s="23">
        <v>0</v>
      </c>
    </row>
    <row r="6274" spans="1:3" x14ac:dyDescent="0.25">
      <c r="A6274">
        <v>6273</v>
      </c>
      <c r="B6274" s="23">
        <v>924</v>
      </c>
      <c r="C6274" s="23">
        <v>0</v>
      </c>
    </row>
    <row r="6275" spans="1:3" x14ac:dyDescent="0.25">
      <c r="A6275">
        <v>6274</v>
      </c>
      <c r="B6275" s="23">
        <v>923.2</v>
      </c>
      <c r="C6275" s="23">
        <v>0</v>
      </c>
    </row>
    <row r="6276" spans="1:3" x14ac:dyDescent="0.25">
      <c r="A6276">
        <v>6275</v>
      </c>
      <c r="B6276" s="23">
        <v>923.2</v>
      </c>
      <c r="C6276" s="23">
        <v>0</v>
      </c>
    </row>
    <row r="6277" spans="1:3" x14ac:dyDescent="0.25">
      <c r="A6277">
        <v>6276</v>
      </c>
      <c r="B6277" s="23">
        <v>923.00255890000005</v>
      </c>
      <c r="C6277" s="23">
        <v>0</v>
      </c>
    </row>
    <row r="6278" spans="1:3" x14ac:dyDescent="0.25">
      <c r="A6278">
        <v>6277</v>
      </c>
      <c r="B6278" s="23">
        <v>923.00255890000005</v>
      </c>
      <c r="C6278" s="23">
        <v>0</v>
      </c>
    </row>
    <row r="6279" spans="1:3" x14ac:dyDescent="0.25">
      <c r="A6279">
        <v>6278</v>
      </c>
      <c r="B6279" s="23">
        <v>922.41499999999996</v>
      </c>
      <c r="C6279" s="23">
        <v>0</v>
      </c>
    </row>
    <row r="6280" spans="1:3" x14ac:dyDescent="0.25">
      <c r="A6280">
        <v>6279</v>
      </c>
      <c r="B6280" s="23">
        <v>921.625</v>
      </c>
      <c r="C6280" s="23">
        <v>0</v>
      </c>
    </row>
    <row r="6281" spans="1:3" x14ac:dyDescent="0.25">
      <c r="A6281">
        <v>6280</v>
      </c>
      <c r="B6281" s="23">
        <v>921.6</v>
      </c>
      <c r="C6281" s="23">
        <v>0</v>
      </c>
    </row>
    <row r="6282" spans="1:3" x14ac:dyDescent="0.25">
      <c r="A6282">
        <v>6281</v>
      </c>
      <c r="B6282" s="23">
        <v>921.6</v>
      </c>
      <c r="C6282" s="23">
        <v>0</v>
      </c>
    </row>
    <row r="6283" spans="1:3" x14ac:dyDescent="0.25">
      <c r="A6283">
        <v>6282</v>
      </c>
      <c r="B6283" s="23">
        <v>920.54200000000003</v>
      </c>
      <c r="C6283" s="23">
        <v>0</v>
      </c>
    </row>
    <row r="6284" spans="1:3" x14ac:dyDescent="0.25">
      <c r="A6284">
        <v>6283</v>
      </c>
      <c r="B6284" s="23">
        <v>920.17</v>
      </c>
      <c r="C6284" s="23">
        <v>0</v>
      </c>
    </row>
    <row r="6285" spans="1:3" x14ac:dyDescent="0.25">
      <c r="A6285">
        <v>6284</v>
      </c>
      <c r="B6285" s="23">
        <v>920.13552800000002</v>
      </c>
      <c r="C6285" s="23">
        <v>0</v>
      </c>
    </row>
    <row r="6286" spans="1:3" x14ac:dyDescent="0.25">
      <c r="A6286">
        <v>6285</v>
      </c>
      <c r="B6286" s="23">
        <v>920</v>
      </c>
      <c r="C6286" s="23">
        <v>0</v>
      </c>
    </row>
    <row r="6287" spans="1:3" x14ac:dyDescent="0.25">
      <c r="A6287">
        <v>6286</v>
      </c>
      <c r="B6287" s="23">
        <v>919.99096269999995</v>
      </c>
      <c r="C6287" s="23">
        <v>0</v>
      </c>
    </row>
    <row r="6288" spans="1:3" x14ac:dyDescent="0.25">
      <c r="A6288">
        <v>6287</v>
      </c>
      <c r="B6288" s="23">
        <v>919.3002788</v>
      </c>
      <c r="C6288" s="23">
        <v>0</v>
      </c>
    </row>
    <row r="6289" spans="1:3" x14ac:dyDescent="0.25">
      <c r="A6289">
        <v>6288</v>
      </c>
      <c r="B6289" s="23">
        <v>918.66600000000005</v>
      </c>
      <c r="C6289" s="23">
        <v>0</v>
      </c>
    </row>
    <row r="6290" spans="1:3" x14ac:dyDescent="0.25">
      <c r="A6290">
        <v>6289</v>
      </c>
      <c r="B6290" s="23">
        <v>918.66448800000001</v>
      </c>
      <c r="C6290" s="23">
        <v>0</v>
      </c>
    </row>
    <row r="6291" spans="1:3" x14ac:dyDescent="0.25">
      <c r="A6291">
        <v>6290</v>
      </c>
      <c r="B6291" s="23">
        <v>918.60959490000005</v>
      </c>
      <c r="C6291" s="23">
        <v>0</v>
      </c>
    </row>
    <row r="6292" spans="1:3" x14ac:dyDescent="0.25">
      <c r="A6292">
        <v>6291</v>
      </c>
      <c r="B6292" s="23">
        <v>918.41099999999994</v>
      </c>
      <c r="C6292" s="23">
        <v>0</v>
      </c>
    </row>
    <row r="6293" spans="1:3" x14ac:dyDescent="0.25">
      <c r="A6293">
        <v>6292</v>
      </c>
      <c r="B6293" s="23">
        <v>918.4</v>
      </c>
      <c r="C6293" s="23">
        <v>0</v>
      </c>
    </row>
    <row r="6294" spans="1:3" x14ac:dyDescent="0.25">
      <c r="A6294">
        <v>6293</v>
      </c>
      <c r="B6294" s="23">
        <v>918.03</v>
      </c>
      <c r="C6294" s="23">
        <v>0</v>
      </c>
    </row>
    <row r="6295" spans="1:3" x14ac:dyDescent="0.25">
      <c r="A6295">
        <v>6294</v>
      </c>
      <c r="B6295" s="23">
        <v>917.90099999999995</v>
      </c>
      <c r="C6295" s="23">
        <v>0</v>
      </c>
    </row>
    <row r="6296" spans="1:3" x14ac:dyDescent="0.25">
      <c r="A6296">
        <v>6295</v>
      </c>
      <c r="B6296" s="23">
        <v>916.99761579999995</v>
      </c>
      <c r="C6296" s="23">
        <v>0</v>
      </c>
    </row>
    <row r="6297" spans="1:3" x14ac:dyDescent="0.25">
      <c r="A6297">
        <v>6296</v>
      </c>
      <c r="B6297" s="23">
        <v>916.01011530000005</v>
      </c>
      <c r="C6297" s="23">
        <v>0</v>
      </c>
    </row>
    <row r="6298" spans="1:3" x14ac:dyDescent="0.25">
      <c r="A6298">
        <v>6297</v>
      </c>
      <c r="B6298" s="23">
        <v>916</v>
      </c>
      <c r="C6298" s="23">
        <v>0</v>
      </c>
    </row>
    <row r="6299" spans="1:3" x14ac:dyDescent="0.25">
      <c r="A6299">
        <v>6298</v>
      </c>
      <c r="B6299" s="23">
        <v>915.60299999999995</v>
      </c>
      <c r="C6299" s="23">
        <v>0</v>
      </c>
    </row>
    <row r="6300" spans="1:3" x14ac:dyDescent="0.25">
      <c r="A6300">
        <v>6299</v>
      </c>
      <c r="B6300" s="23">
        <v>915.47699999999998</v>
      </c>
      <c r="C6300" s="23">
        <v>0</v>
      </c>
    </row>
    <row r="6301" spans="1:3" x14ac:dyDescent="0.25">
      <c r="A6301">
        <v>6300</v>
      </c>
      <c r="B6301" s="23">
        <v>915.255</v>
      </c>
      <c r="C6301" s="23">
        <v>0</v>
      </c>
    </row>
    <row r="6302" spans="1:3" x14ac:dyDescent="0.25">
      <c r="A6302">
        <v>6301</v>
      </c>
      <c r="B6302" s="23">
        <v>915.2</v>
      </c>
      <c r="C6302" s="23">
        <v>0</v>
      </c>
    </row>
    <row r="6303" spans="1:3" x14ac:dyDescent="0.25">
      <c r="A6303">
        <v>6302</v>
      </c>
      <c r="B6303" s="23">
        <v>914.83864240000003</v>
      </c>
      <c r="C6303" s="23">
        <v>0</v>
      </c>
    </row>
    <row r="6304" spans="1:3" x14ac:dyDescent="0.25">
      <c r="A6304">
        <v>6303</v>
      </c>
      <c r="B6304" s="23">
        <v>914.33381829999996</v>
      </c>
      <c r="C6304" s="23">
        <v>0</v>
      </c>
    </row>
    <row r="6305" spans="1:3" x14ac:dyDescent="0.25">
      <c r="A6305">
        <v>6304</v>
      </c>
      <c r="B6305" s="23">
        <v>914.25136799999996</v>
      </c>
      <c r="C6305" s="23">
        <v>0</v>
      </c>
    </row>
    <row r="6306" spans="1:3" x14ac:dyDescent="0.25">
      <c r="A6306">
        <v>6305</v>
      </c>
      <c r="B6306" s="23">
        <v>914.0068076</v>
      </c>
      <c r="C6306" s="23">
        <v>0</v>
      </c>
    </row>
    <row r="6307" spans="1:3" x14ac:dyDescent="0.25">
      <c r="A6307">
        <v>6306</v>
      </c>
      <c r="B6307" s="23">
        <v>913.51584800000001</v>
      </c>
      <c r="C6307" s="23">
        <v>0</v>
      </c>
    </row>
    <row r="6308" spans="1:3" x14ac:dyDescent="0.25">
      <c r="A6308">
        <v>6307</v>
      </c>
      <c r="B6308" s="23">
        <v>912.04480799999999</v>
      </c>
      <c r="C6308" s="23">
        <v>0</v>
      </c>
    </row>
    <row r="6309" spans="1:3" x14ac:dyDescent="0.25">
      <c r="A6309">
        <v>6308</v>
      </c>
      <c r="B6309" s="23">
        <v>912</v>
      </c>
      <c r="C6309" s="23">
        <v>0</v>
      </c>
    </row>
    <row r="6310" spans="1:3" x14ac:dyDescent="0.25">
      <c r="A6310">
        <v>6309</v>
      </c>
      <c r="B6310" s="23">
        <v>911.70275579999998</v>
      </c>
      <c r="C6310" s="23">
        <v>0</v>
      </c>
    </row>
    <row r="6311" spans="1:3" x14ac:dyDescent="0.25">
      <c r="A6311">
        <v>6310</v>
      </c>
      <c r="B6311" s="23">
        <v>911.70275579999998</v>
      </c>
      <c r="C6311" s="23">
        <v>0</v>
      </c>
    </row>
    <row r="6312" spans="1:3" x14ac:dyDescent="0.25">
      <c r="A6312">
        <v>6311</v>
      </c>
      <c r="B6312" s="23">
        <v>911.69491830000004</v>
      </c>
      <c r="C6312" s="23">
        <v>0</v>
      </c>
    </row>
    <row r="6313" spans="1:3" x14ac:dyDescent="0.25">
      <c r="A6313">
        <v>6312</v>
      </c>
      <c r="B6313" s="23">
        <v>911.51455669999996</v>
      </c>
      <c r="C6313" s="23">
        <v>0</v>
      </c>
    </row>
    <row r="6314" spans="1:3" x14ac:dyDescent="0.25">
      <c r="A6314">
        <v>6313</v>
      </c>
      <c r="B6314" s="23">
        <v>911.18792710000002</v>
      </c>
      <c r="C6314" s="23">
        <v>0</v>
      </c>
    </row>
    <row r="6315" spans="1:3" x14ac:dyDescent="0.25">
      <c r="A6315">
        <v>6314</v>
      </c>
      <c r="B6315" s="23">
        <v>910.899</v>
      </c>
      <c r="C6315" s="23">
        <v>0</v>
      </c>
    </row>
    <row r="6316" spans="1:3" x14ac:dyDescent="0.25">
      <c r="A6316">
        <v>6315</v>
      </c>
      <c r="B6316" s="23">
        <v>910.32138799999996</v>
      </c>
      <c r="C6316" s="23">
        <v>0</v>
      </c>
    </row>
    <row r="6317" spans="1:3" x14ac:dyDescent="0.25">
      <c r="A6317">
        <v>6316</v>
      </c>
      <c r="B6317" s="23">
        <v>909.10272789999999</v>
      </c>
      <c r="C6317" s="23">
        <v>0</v>
      </c>
    </row>
    <row r="6318" spans="1:3" x14ac:dyDescent="0.25">
      <c r="A6318">
        <v>6317</v>
      </c>
      <c r="B6318" s="23">
        <v>908.45257939999999</v>
      </c>
      <c r="C6318" s="23">
        <v>0</v>
      </c>
    </row>
    <row r="6319" spans="1:3" x14ac:dyDescent="0.25">
      <c r="A6319">
        <v>6318</v>
      </c>
      <c r="B6319" s="23">
        <v>908.04879549999998</v>
      </c>
      <c r="C6319" s="23">
        <v>0</v>
      </c>
    </row>
    <row r="6320" spans="1:3" x14ac:dyDescent="0.25">
      <c r="A6320">
        <v>6319</v>
      </c>
      <c r="B6320" s="23">
        <v>907.91499999999996</v>
      </c>
      <c r="C6320" s="23">
        <v>0</v>
      </c>
    </row>
    <row r="6321" spans="1:3" x14ac:dyDescent="0.25">
      <c r="A6321">
        <v>6320</v>
      </c>
      <c r="B6321" s="23">
        <v>907.55865240000003</v>
      </c>
      <c r="C6321" s="23">
        <v>0</v>
      </c>
    </row>
    <row r="6322" spans="1:3" x14ac:dyDescent="0.25">
      <c r="A6322">
        <v>6321</v>
      </c>
      <c r="B6322" s="23">
        <v>906.4</v>
      </c>
      <c r="C6322" s="23">
        <v>0</v>
      </c>
    </row>
    <row r="6323" spans="1:3" x14ac:dyDescent="0.25">
      <c r="A6323">
        <v>6322</v>
      </c>
      <c r="B6323" s="23">
        <v>906.4</v>
      </c>
      <c r="C6323" s="23">
        <v>0</v>
      </c>
    </row>
    <row r="6324" spans="1:3" x14ac:dyDescent="0.25">
      <c r="A6324">
        <v>6323</v>
      </c>
      <c r="B6324" s="23">
        <v>906.23512940000001</v>
      </c>
      <c r="C6324" s="23">
        <v>0</v>
      </c>
    </row>
    <row r="6325" spans="1:3" x14ac:dyDescent="0.25">
      <c r="A6325">
        <v>6324</v>
      </c>
      <c r="B6325" s="23">
        <v>906.16064789999996</v>
      </c>
      <c r="C6325" s="23">
        <v>0</v>
      </c>
    </row>
    <row r="6326" spans="1:3" x14ac:dyDescent="0.25">
      <c r="A6326">
        <v>6325</v>
      </c>
      <c r="B6326" s="23">
        <v>906.16064789999996</v>
      </c>
      <c r="C6326" s="23">
        <v>0</v>
      </c>
    </row>
    <row r="6327" spans="1:3" x14ac:dyDescent="0.25">
      <c r="A6327">
        <v>6326</v>
      </c>
      <c r="B6327" s="23">
        <v>906.12076160000004</v>
      </c>
      <c r="C6327" s="23">
        <v>0</v>
      </c>
    </row>
    <row r="6328" spans="1:3" x14ac:dyDescent="0.25">
      <c r="A6328">
        <v>6327</v>
      </c>
      <c r="B6328" s="23">
        <v>905.87699999999995</v>
      </c>
      <c r="C6328" s="23">
        <v>0</v>
      </c>
    </row>
    <row r="6329" spans="1:3" x14ac:dyDescent="0.25">
      <c r="A6329">
        <v>6328</v>
      </c>
      <c r="B6329" s="23">
        <v>905.6</v>
      </c>
      <c r="C6329" s="23">
        <v>0</v>
      </c>
    </row>
    <row r="6330" spans="1:3" x14ac:dyDescent="0.25">
      <c r="A6330">
        <v>6329</v>
      </c>
      <c r="B6330" s="23">
        <v>905.57315129999995</v>
      </c>
      <c r="C6330" s="23">
        <v>0</v>
      </c>
    </row>
    <row r="6331" spans="1:3" x14ac:dyDescent="0.25">
      <c r="A6331">
        <v>6330</v>
      </c>
      <c r="B6331" s="23">
        <v>905.47699999999998</v>
      </c>
      <c r="C6331" s="23">
        <v>0</v>
      </c>
    </row>
    <row r="6332" spans="1:3" x14ac:dyDescent="0.25">
      <c r="A6332">
        <v>6331</v>
      </c>
      <c r="B6332" s="23">
        <v>905.42512790000001</v>
      </c>
      <c r="C6332" s="23">
        <v>0</v>
      </c>
    </row>
    <row r="6333" spans="1:3" x14ac:dyDescent="0.25">
      <c r="A6333">
        <v>6332</v>
      </c>
      <c r="B6333" s="23">
        <v>905.25900000000001</v>
      </c>
      <c r="C6333" s="23">
        <v>0</v>
      </c>
    </row>
    <row r="6334" spans="1:3" x14ac:dyDescent="0.25">
      <c r="A6334">
        <v>6333</v>
      </c>
      <c r="B6334" s="23">
        <v>905.101</v>
      </c>
      <c r="C6334" s="23">
        <v>0</v>
      </c>
    </row>
    <row r="6335" spans="1:3" x14ac:dyDescent="0.25">
      <c r="A6335">
        <v>6334</v>
      </c>
      <c r="B6335" s="23">
        <v>904.8</v>
      </c>
      <c r="C6335" s="23">
        <v>0</v>
      </c>
    </row>
    <row r="6336" spans="1:3" x14ac:dyDescent="0.25">
      <c r="A6336">
        <v>6335</v>
      </c>
      <c r="B6336" s="23">
        <v>904.38346879999995</v>
      </c>
      <c r="C6336" s="23">
        <v>0</v>
      </c>
    </row>
    <row r="6337" spans="1:3" x14ac:dyDescent="0.25">
      <c r="A6337">
        <v>6336</v>
      </c>
      <c r="B6337" s="23">
        <v>904.05700000000002</v>
      </c>
      <c r="C6337" s="23">
        <v>0</v>
      </c>
    </row>
    <row r="6338" spans="1:3" x14ac:dyDescent="0.25">
      <c r="A6338">
        <v>6337</v>
      </c>
      <c r="B6338" s="23">
        <v>904</v>
      </c>
      <c r="C6338" s="23">
        <v>0</v>
      </c>
    </row>
    <row r="6339" spans="1:3" x14ac:dyDescent="0.25">
      <c r="A6339">
        <v>6338</v>
      </c>
      <c r="B6339" s="23">
        <v>904</v>
      </c>
      <c r="C6339" s="23">
        <v>0</v>
      </c>
    </row>
    <row r="6340" spans="1:3" x14ac:dyDescent="0.25">
      <c r="A6340">
        <v>6339</v>
      </c>
      <c r="B6340" s="23">
        <v>903.90830000000005</v>
      </c>
      <c r="C6340" s="23">
        <v>0</v>
      </c>
    </row>
    <row r="6341" spans="1:3" x14ac:dyDescent="0.25">
      <c r="A6341">
        <v>6340</v>
      </c>
      <c r="B6341" s="23">
        <v>903.81218579999995</v>
      </c>
      <c r="C6341" s="23">
        <v>0</v>
      </c>
    </row>
    <row r="6342" spans="1:3" x14ac:dyDescent="0.25">
      <c r="A6342">
        <v>6341</v>
      </c>
      <c r="B6342" s="23">
        <v>903.73500000000001</v>
      </c>
      <c r="C6342" s="23">
        <v>0</v>
      </c>
    </row>
    <row r="6343" spans="1:3" x14ac:dyDescent="0.25">
      <c r="A6343">
        <v>6342</v>
      </c>
      <c r="B6343" s="23">
        <v>903.2</v>
      </c>
      <c r="C6343" s="23">
        <v>0</v>
      </c>
    </row>
    <row r="6344" spans="1:3" x14ac:dyDescent="0.25">
      <c r="A6344">
        <v>6343</v>
      </c>
      <c r="B6344" s="23">
        <v>902.48304789999997</v>
      </c>
      <c r="C6344" s="23">
        <v>0</v>
      </c>
    </row>
    <row r="6345" spans="1:3" x14ac:dyDescent="0.25">
      <c r="A6345">
        <v>6344</v>
      </c>
      <c r="B6345" s="23">
        <v>902.10199999999998</v>
      </c>
      <c r="C6345" s="23">
        <v>0</v>
      </c>
    </row>
    <row r="6346" spans="1:3" x14ac:dyDescent="0.25">
      <c r="A6346">
        <v>6345</v>
      </c>
      <c r="B6346" s="23">
        <v>901.6</v>
      </c>
      <c r="C6346" s="23">
        <v>0</v>
      </c>
    </row>
    <row r="6347" spans="1:3" x14ac:dyDescent="0.25">
      <c r="A6347">
        <v>6346</v>
      </c>
      <c r="B6347" s="23">
        <v>900.70399999999995</v>
      </c>
      <c r="C6347" s="23">
        <v>0</v>
      </c>
    </row>
    <row r="6348" spans="1:3" x14ac:dyDescent="0.25">
      <c r="A6348">
        <v>6347</v>
      </c>
      <c r="B6348" s="23">
        <v>900.697</v>
      </c>
      <c r="C6348" s="23">
        <v>0</v>
      </c>
    </row>
    <row r="6349" spans="1:3" x14ac:dyDescent="0.25">
      <c r="A6349">
        <v>6348</v>
      </c>
      <c r="B6349" s="23">
        <v>900.20293590000006</v>
      </c>
      <c r="C6349" s="23">
        <v>0</v>
      </c>
    </row>
    <row r="6350" spans="1:3" x14ac:dyDescent="0.25">
      <c r="A6350">
        <v>6349</v>
      </c>
      <c r="B6350" s="23">
        <v>900.07899999999995</v>
      </c>
      <c r="C6350" s="23">
        <v>0</v>
      </c>
    </row>
    <row r="6351" spans="1:3" x14ac:dyDescent="0.25">
      <c r="A6351">
        <v>6350</v>
      </c>
      <c r="B6351" s="23">
        <v>899.68680889999996</v>
      </c>
      <c r="C6351" s="23">
        <v>0</v>
      </c>
    </row>
    <row r="6352" spans="1:3" x14ac:dyDescent="0.25">
      <c r="A6352">
        <v>6351</v>
      </c>
      <c r="B6352" s="23">
        <v>899.54096779999998</v>
      </c>
      <c r="C6352" s="23">
        <v>0</v>
      </c>
    </row>
    <row r="6353" spans="1:3" x14ac:dyDescent="0.25">
      <c r="A6353">
        <v>6352</v>
      </c>
      <c r="B6353" s="23">
        <v>899.2</v>
      </c>
      <c r="C6353" s="23">
        <v>0</v>
      </c>
    </row>
    <row r="6354" spans="1:3" x14ac:dyDescent="0.25">
      <c r="A6354">
        <v>6353</v>
      </c>
      <c r="B6354" s="23">
        <v>898.8076873</v>
      </c>
      <c r="C6354" s="23">
        <v>0</v>
      </c>
    </row>
    <row r="6355" spans="1:3" x14ac:dyDescent="0.25">
      <c r="A6355">
        <v>6354</v>
      </c>
      <c r="B6355" s="23">
        <v>898.59307980000006</v>
      </c>
      <c r="C6355" s="23">
        <v>0</v>
      </c>
    </row>
    <row r="6356" spans="1:3" x14ac:dyDescent="0.25">
      <c r="A6356">
        <v>6355</v>
      </c>
      <c r="B6356" s="23">
        <v>898.57399999999996</v>
      </c>
      <c r="C6356" s="23">
        <v>0</v>
      </c>
    </row>
    <row r="6357" spans="1:3" x14ac:dyDescent="0.25">
      <c r="A6357">
        <v>6356</v>
      </c>
      <c r="B6357" s="23">
        <v>898.4</v>
      </c>
      <c r="C6357" s="23">
        <v>0</v>
      </c>
    </row>
    <row r="6358" spans="1:3" x14ac:dyDescent="0.25">
      <c r="A6358">
        <v>6357</v>
      </c>
      <c r="B6358" s="23">
        <v>898.15499999999997</v>
      </c>
      <c r="C6358" s="23">
        <v>0</v>
      </c>
    </row>
    <row r="6359" spans="1:3" x14ac:dyDescent="0.25">
      <c r="A6359">
        <v>6358</v>
      </c>
      <c r="B6359" s="23">
        <v>898.06992779999996</v>
      </c>
      <c r="C6359" s="23">
        <v>0</v>
      </c>
    </row>
    <row r="6360" spans="1:3" x14ac:dyDescent="0.25">
      <c r="A6360">
        <v>6359</v>
      </c>
      <c r="B6360" s="23">
        <v>897.95</v>
      </c>
      <c r="C6360" s="23">
        <v>0</v>
      </c>
    </row>
    <row r="6361" spans="1:3" x14ac:dyDescent="0.25">
      <c r="A6361">
        <v>6360</v>
      </c>
      <c r="B6361" s="23">
        <v>897.6</v>
      </c>
      <c r="C6361" s="23">
        <v>0</v>
      </c>
    </row>
    <row r="6362" spans="1:3" x14ac:dyDescent="0.25">
      <c r="A6362">
        <v>6361</v>
      </c>
      <c r="B6362" s="23">
        <v>896.5866608</v>
      </c>
      <c r="C6362" s="23">
        <v>0</v>
      </c>
    </row>
    <row r="6363" spans="1:3" x14ac:dyDescent="0.25">
      <c r="A6363">
        <v>6362</v>
      </c>
      <c r="B6363" s="23">
        <v>896</v>
      </c>
      <c r="C6363" s="23">
        <v>0</v>
      </c>
    </row>
    <row r="6364" spans="1:3" x14ac:dyDescent="0.25">
      <c r="A6364">
        <v>6363</v>
      </c>
      <c r="B6364" s="23">
        <v>895.82429019999995</v>
      </c>
      <c r="C6364" s="23">
        <v>0</v>
      </c>
    </row>
    <row r="6365" spans="1:3" x14ac:dyDescent="0.25">
      <c r="A6365">
        <v>6364</v>
      </c>
      <c r="B6365" s="23">
        <v>895.12634209999999</v>
      </c>
      <c r="C6365" s="23">
        <v>0</v>
      </c>
    </row>
    <row r="6366" spans="1:3" x14ac:dyDescent="0.25">
      <c r="A6366">
        <v>6365</v>
      </c>
      <c r="B6366" s="23">
        <v>895.12634209999999</v>
      </c>
      <c r="C6366" s="23">
        <v>0</v>
      </c>
    </row>
    <row r="6367" spans="1:3" x14ac:dyDescent="0.25">
      <c r="A6367">
        <v>6366</v>
      </c>
      <c r="B6367" s="23">
        <v>895.03278439999997</v>
      </c>
      <c r="C6367" s="23">
        <v>0</v>
      </c>
    </row>
    <row r="6368" spans="1:3" x14ac:dyDescent="0.25">
      <c r="A6368">
        <v>6367</v>
      </c>
      <c r="B6368" s="23">
        <v>894.90547949999996</v>
      </c>
      <c r="C6368" s="23">
        <v>0</v>
      </c>
    </row>
    <row r="6369" spans="1:3" x14ac:dyDescent="0.25">
      <c r="A6369">
        <v>6368</v>
      </c>
      <c r="B6369" s="23">
        <v>894.81299999999999</v>
      </c>
      <c r="C6369" s="23">
        <v>0</v>
      </c>
    </row>
    <row r="6370" spans="1:3" x14ac:dyDescent="0.25">
      <c r="A6370">
        <v>6369</v>
      </c>
      <c r="B6370" s="23">
        <v>894.4</v>
      </c>
      <c r="C6370" s="23">
        <v>0</v>
      </c>
    </row>
    <row r="6371" spans="1:3" x14ac:dyDescent="0.25">
      <c r="A6371">
        <v>6370</v>
      </c>
      <c r="B6371" s="23">
        <v>893.74152089999995</v>
      </c>
      <c r="C6371" s="23">
        <v>0</v>
      </c>
    </row>
    <row r="6372" spans="1:3" x14ac:dyDescent="0.25">
      <c r="A6372">
        <v>6371</v>
      </c>
      <c r="B6372" s="23">
        <v>892.92128779999996</v>
      </c>
      <c r="C6372" s="23">
        <v>0</v>
      </c>
    </row>
    <row r="6373" spans="1:3" x14ac:dyDescent="0.25">
      <c r="A6373">
        <v>6372</v>
      </c>
      <c r="B6373" s="23">
        <v>892.8</v>
      </c>
      <c r="C6373" s="23">
        <v>0</v>
      </c>
    </row>
    <row r="6374" spans="1:3" x14ac:dyDescent="0.25">
      <c r="A6374">
        <v>6373</v>
      </c>
      <c r="B6374" s="23">
        <v>892.8</v>
      </c>
      <c r="C6374" s="23">
        <v>0</v>
      </c>
    </row>
    <row r="6375" spans="1:3" x14ac:dyDescent="0.25">
      <c r="A6375">
        <v>6374</v>
      </c>
      <c r="B6375" s="23">
        <v>891.92503169999998</v>
      </c>
      <c r="C6375" s="23">
        <v>0</v>
      </c>
    </row>
    <row r="6376" spans="1:3" x14ac:dyDescent="0.25">
      <c r="A6376">
        <v>6375</v>
      </c>
      <c r="B6376" s="23">
        <v>891.67292259999999</v>
      </c>
      <c r="C6376" s="23">
        <v>0</v>
      </c>
    </row>
    <row r="6377" spans="1:3" x14ac:dyDescent="0.25">
      <c r="A6377">
        <v>6376</v>
      </c>
      <c r="B6377" s="23">
        <v>891.67292259999999</v>
      </c>
      <c r="C6377" s="23">
        <v>0</v>
      </c>
    </row>
    <row r="6378" spans="1:3" x14ac:dyDescent="0.25">
      <c r="A6378">
        <v>6377</v>
      </c>
      <c r="B6378" s="23">
        <v>891.524</v>
      </c>
      <c r="C6378" s="23">
        <v>0</v>
      </c>
    </row>
    <row r="6379" spans="1:3" x14ac:dyDescent="0.25">
      <c r="A6379">
        <v>6378</v>
      </c>
      <c r="B6379" s="23">
        <v>891.26700000000005</v>
      </c>
      <c r="C6379" s="23">
        <v>0</v>
      </c>
    </row>
    <row r="6380" spans="1:3" x14ac:dyDescent="0.25">
      <c r="A6380">
        <v>6379</v>
      </c>
      <c r="B6380" s="23">
        <v>890.71472779999999</v>
      </c>
      <c r="C6380" s="23">
        <v>0</v>
      </c>
    </row>
    <row r="6381" spans="1:3" x14ac:dyDescent="0.25">
      <c r="A6381">
        <v>6380</v>
      </c>
      <c r="B6381" s="23">
        <v>890.4</v>
      </c>
      <c r="C6381" s="23">
        <v>0</v>
      </c>
    </row>
    <row r="6382" spans="1:3" x14ac:dyDescent="0.25">
      <c r="A6382">
        <v>6381</v>
      </c>
      <c r="B6382" s="23">
        <v>890.4</v>
      </c>
      <c r="C6382" s="23">
        <v>0</v>
      </c>
    </row>
    <row r="6383" spans="1:3" x14ac:dyDescent="0.25">
      <c r="A6383">
        <v>6382</v>
      </c>
      <c r="B6383" s="23">
        <v>889.70078190000004</v>
      </c>
      <c r="C6383" s="23">
        <v>0</v>
      </c>
    </row>
    <row r="6384" spans="1:3" x14ac:dyDescent="0.25">
      <c r="A6384">
        <v>6383</v>
      </c>
      <c r="B6384" s="23">
        <v>889.36800000000005</v>
      </c>
      <c r="C6384" s="23">
        <v>0</v>
      </c>
    </row>
    <row r="6385" spans="1:3" x14ac:dyDescent="0.25">
      <c r="A6385">
        <v>6384</v>
      </c>
      <c r="B6385" s="23">
        <v>889.26980000000003</v>
      </c>
      <c r="C6385" s="23">
        <v>0</v>
      </c>
    </row>
    <row r="6386" spans="1:3" x14ac:dyDescent="0.25">
      <c r="A6386">
        <v>6385</v>
      </c>
      <c r="B6386" s="23">
        <v>889.24368779999998</v>
      </c>
      <c r="C6386" s="23">
        <v>0</v>
      </c>
    </row>
    <row r="6387" spans="1:3" x14ac:dyDescent="0.25">
      <c r="A6387">
        <v>6386</v>
      </c>
      <c r="B6387" s="23">
        <v>889.005</v>
      </c>
      <c r="C6387" s="23">
        <v>0</v>
      </c>
    </row>
    <row r="6388" spans="1:3" x14ac:dyDescent="0.25">
      <c r="A6388">
        <v>6387</v>
      </c>
      <c r="B6388" s="23">
        <v>888.91018689999999</v>
      </c>
      <c r="C6388" s="23">
        <v>0</v>
      </c>
    </row>
    <row r="6389" spans="1:3" x14ac:dyDescent="0.25">
      <c r="A6389">
        <v>6388</v>
      </c>
      <c r="B6389" s="23">
        <v>888.25199999999995</v>
      </c>
      <c r="C6389" s="23">
        <v>0</v>
      </c>
    </row>
    <row r="6390" spans="1:3" x14ac:dyDescent="0.25">
      <c r="A6390">
        <v>6389</v>
      </c>
      <c r="B6390" s="23">
        <v>888.08199999999999</v>
      </c>
      <c r="C6390" s="23">
        <v>0</v>
      </c>
    </row>
    <row r="6391" spans="1:3" x14ac:dyDescent="0.25">
      <c r="A6391">
        <v>6390</v>
      </c>
      <c r="B6391" s="23">
        <v>888.07704950000004</v>
      </c>
      <c r="C6391" s="23">
        <v>0</v>
      </c>
    </row>
    <row r="6392" spans="1:3" x14ac:dyDescent="0.25">
      <c r="A6392">
        <v>6391</v>
      </c>
      <c r="B6392" s="23">
        <v>888.05622519999997</v>
      </c>
      <c r="C6392" s="23">
        <v>0</v>
      </c>
    </row>
    <row r="6393" spans="1:3" x14ac:dyDescent="0.25">
      <c r="A6393">
        <v>6392</v>
      </c>
      <c r="B6393" s="23">
        <v>888</v>
      </c>
      <c r="C6393" s="23">
        <v>0</v>
      </c>
    </row>
    <row r="6394" spans="1:3" x14ac:dyDescent="0.25">
      <c r="A6394">
        <v>6393</v>
      </c>
      <c r="B6394" s="23">
        <v>887.26400000000001</v>
      </c>
      <c r="C6394" s="23">
        <v>0</v>
      </c>
    </row>
    <row r="6395" spans="1:3" x14ac:dyDescent="0.25">
      <c r="A6395">
        <v>6394</v>
      </c>
      <c r="B6395" s="23">
        <v>887.07987460000004</v>
      </c>
      <c r="C6395" s="23">
        <v>0</v>
      </c>
    </row>
    <row r="6396" spans="1:3" x14ac:dyDescent="0.25">
      <c r="A6396">
        <v>6395</v>
      </c>
      <c r="B6396" s="23">
        <v>886.36599999999999</v>
      </c>
      <c r="C6396" s="23">
        <v>0</v>
      </c>
    </row>
    <row r="6397" spans="1:3" x14ac:dyDescent="0.25">
      <c r="A6397">
        <v>6396</v>
      </c>
      <c r="B6397" s="23">
        <v>886.20097929999997</v>
      </c>
      <c r="C6397" s="23">
        <v>0</v>
      </c>
    </row>
    <row r="6398" spans="1:3" x14ac:dyDescent="0.25">
      <c r="A6398">
        <v>6397</v>
      </c>
      <c r="B6398" s="23">
        <v>886.19299999999998</v>
      </c>
      <c r="C6398" s="23">
        <v>0</v>
      </c>
    </row>
    <row r="6399" spans="1:3" x14ac:dyDescent="0.25">
      <c r="A6399">
        <v>6398</v>
      </c>
      <c r="B6399" s="23">
        <v>885.90861140000004</v>
      </c>
      <c r="C6399" s="23">
        <v>0</v>
      </c>
    </row>
    <row r="6400" spans="1:3" x14ac:dyDescent="0.25">
      <c r="A6400">
        <v>6399</v>
      </c>
      <c r="B6400" s="23">
        <v>885.46851230000004</v>
      </c>
      <c r="C6400" s="23">
        <v>0</v>
      </c>
    </row>
    <row r="6401" spans="1:3" x14ac:dyDescent="0.25">
      <c r="A6401">
        <v>6400</v>
      </c>
      <c r="B6401" s="23">
        <v>884.928</v>
      </c>
      <c r="C6401" s="23">
        <v>0</v>
      </c>
    </row>
    <row r="6402" spans="1:3" x14ac:dyDescent="0.25">
      <c r="A6402">
        <v>6401</v>
      </c>
      <c r="B6402" s="23">
        <v>883.31539650000002</v>
      </c>
      <c r="C6402" s="23">
        <v>0</v>
      </c>
    </row>
    <row r="6403" spans="1:3" x14ac:dyDescent="0.25">
      <c r="A6403">
        <v>6402</v>
      </c>
      <c r="B6403" s="23">
        <v>883.2</v>
      </c>
      <c r="C6403" s="23">
        <v>0</v>
      </c>
    </row>
    <row r="6404" spans="1:3" x14ac:dyDescent="0.25">
      <c r="A6404">
        <v>6403</v>
      </c>
      <c r="B6404" s="23">
        <v>882.85247890000005</v>
      </c>
      <c r="C6404" s="23">
        <v>0</v>
      </c>
    </row>
    <row r="6405" spans="1:3" x14ac:dyDescent="0.25">
      <c r="A6405">
        <v>6404</v>
      </c>
      <c r="B6405" s="23">
        <v>882.84166549999998</v>
      </c>
      <c r="C6405" s="23">
        <v>0</v>
      </c>
    </row>
    <row r="6406" spans="1:3" x14ac:dyDescent="0.25">
      <c r="A6406">
        <v>6405</v>
      </c>
      <c r="B6406" s="23">
        <v>882.82353499999999</v>
      </c>
      <c r="C6406" s="23">
        <v>0</v>
      </c>
    </row>
    <row r="6407" spans="1:3" x14ac:dyDescent="0.25">
      <c r="A6407">
        <v>6406</v>
      </c>
      <c r="B6407" s="23">
        <v>882.69403179999995</v>
      </c>
      <c r="C6407" s="23">
        <v>0</v>
      </c>
    </row>
    <row r="6408" spans="1:3" x14ac:dyDescent="0.25">
      <c r="A6408">
        <v>6407</v>
      </c>
      <c r="B6408" s="23">
        <v>882.65099999999995</v>
      </c>
      <c r="C6408" s="23">
        <v>0</v>
      </c>
    </row>
    <row r="6409" spans="1:3" x14ac:dyDescent="0.25">
      <c r="A6409">
        <v>6408</v>
      </c>
      <c r="B6409" s="23">
        <v>882.62400769999999</v>
      </c>
      <c r="C6409" s="23">
        <v>0</v>
      </c>
    </row>
    <row r="6410" spans="1:3" x14ac:dyDescent="0.25">
      <c r="A6410">
        <v>6409</v>
      </c>
      <c r="B6410" s="23">
        <v>882.57899999999995</v>
      </c>
      <c r="C6410" s="23">
        <v>0</v>
      </c>
    </row>
    <row r="6411" spans="1:3" x14ac:dyDescent="0.25">
      <c r="A6411">
        <v>6410</v>
      </c>
      <c r="B6411" s="23">
        <v>882.10638549999999</v>
      </c>
      <c r="C6411" s="23">
        <v>0</v>
      </c>
    </row>
    <row r="6412" spans="1:3" x14ac:dyDescent="0.25">
      <c r="A6412">
        <v>6411</v>
      </c>
      <c r="B6412" s="23">
        <v>881.61199999999997</v>
      </c>
      <c r="C6412" s="23">
        <v>0</v>
      </c>
    </row>
    <row r="6413" spans="1:3" x14ac:dyDescent="0.25">
      <c r="A6413">
        <v>6412</v>
      </c>
      <c r="B6413" s="23">
        <v>881.45269210000004</v>
      </c>
      <c r="C6413" s="23">
        <v>0</v>
      </c>
    </row>
    <row r="6414" spans="1:3" x14ac:dyDescent="0.25">
      <c r="A6414">
        <v>6413</v>
      </c>
      <c r="B6414" s="23">
        <v>881.34512229999996</v>
      </c>
      <c r="C6414" s="23">
        <v>0</v>
      </c>
    </row>
    <row r="6415" spans="1:3" x14ac:dyDescent="0.25">
      <c r="A6415">
        <v>6414</v>
      </c>
      <c r="B6415" s="23">
        <v>880.93799999999999</v>
      </c>
      <c r="C6415" s="23">
        <v>0</v>
      </c>
    </row>
    <row r="6416" spans="1:3" x14ac:dyDescent="0.25">
      <c r="A6416">
        <v>6415</v>
      </c>
      <c r="B6416" s="23">
        <v>880.8</v>
      </c>
      <c r="C6416" s="23">
        <v>0</v>
      </c>
    </row>
    <row r="6417" spans="1:3" x14ac:dyDescent="0.25">
      <c r="A6417">
        <v>6416</v>
      </c>
      <c r="B6417" s="23">
        <v>880.62198009999997</v>
      </c>
      <c r="C6417" s="23">
        <v>0</v>
      </c>
    </row>
    <row r="6418" spans="1:3" x14ac:dyDescent="0.25">
      <c r="A6418">
        <v>6417</v>
      </c>
      <c r="B6418" s="23">
        <v>880</v>
      </c>
      <c r="C6418" s="23">
        <v>0</v>
      </c>
    </row>
    <row r="6419" spans="1:3" x14ac:dyDescent="0.25">
      <c r="A6419">
        <v>6418</v>
      </c>
      <c r="B6419" s="23">
        <v>879.93129620000002</v>
      </c>
      <c r="C6419" s="23">
        <v>0</v>
      </c>
    </row>
    <row r="6420" spans="1:3" x14ac:dyDescent="0.25">
      <c r="A6420">
        <v>6419</v>
      </c>
      <c r="B6420" s="23">
        <v>879.73041330000001</v>
      </c>
      <c r="C6420" s="23">
        <v>0</v>
      </c>
    </row>
    <row r="6421" spans="1:3" x14ac:dyDescent="0.25">
      <c r="A6421">
        <v>6420</v>
      </c>
      <c r="B6421" s="23">
        <v>879.24061219999999</v>
      </c>
      <c r="C6421" s="23">
        <v>0</v>
      </c>
    </row>
    <row r="6422" spans="1:3" x14ac:dyDescent="0.25">
      <c r="A6422">
        <v>6421</v>
      </c>
      <c r="B6422" s="23">
        <v>879.00940560000004</v>
      </c>
      <c r="C6422" s="23">
        <v>0</v>
      </c>
    </row>
    <row r="6423" spans="1:3" x14ac:dyDescent="0.25">
      <c r="A6423">
        <v>6422</v>
      </c>
      <c r="B6423" s="23">
        <v>878.54462990000002</v>
      </c>
      <c r="C6423" s="23">
        <v>0</v>
      </c>
    </row>
    <row r="6424" spans="1:3" x14ac:dyDescent="0.25">
      <c r="A6424">
        <v>6423</v>
      </c>
      <c r="B6424" s="23">
        <v>878.4</v>
      </c>
      <c r="C6424" s="23">
        <v>0</v>
      </c>
    </row>
    <row r="6425" spans="1:3" x14ac:dyDescent="0.25">
      <c r="A6425">
        <v>6424</v>
      </c>
      <c r="B6425" s="23">
        <v>877.88109540000005</v>
      </c>
      <c r="C6425" s="23">
        <v>0</v>
      </c>
    </row>
    <row r="6426" spans="1:3" x14ac:dyDescent="0.25">
      <c r="A6426">
        <v>6425</v>
      </c>
      <c r="B6426" s="23">
        <v>877.6</v>
      </c>
      <c r="C6426" s="23">
        <v>0</v>
      </c>
    </row>
    <row r="6427" spans="1:3" x14ac:dyDescent="0.25">
      <c r="A6427">
        <v>6426</v>
      </c>
      <c r="B6427" s="23">
        <v>877.3750632</v>
      </c>
      <c r="C6427" s="23">
        <v>0</v>
      </c>
    </row>
    <row r="6428" spans="1:3" x14ac:dyDescent="0.25">
      <c r="A6428">
        <v>6427</v>
      </c>
      <c r="B6428" s="23">
        <v>876.80499999999995</v>
      </c>
      <c r="C6428" s="23">
        <v>0</v>
      </c>
    </row>
    <row r="6429" spans="1:3" x14ac:dyDescent="0.25">
      <c r="A6429">
        <v>6428</v>
      </c>
      <c r="B6429" s="23">
        <v>876.8</v>
      </c>
      <c r="C6429" s="23">
        <v>0</v>
      </c>
    </row>
    <row r="6430" spans="1:3" x14ac:dyDescent="0.25">
      <c r="A6430">
        <v>6429</v>
      </c>
      <c r="B6430" s="23">
        <v>876.8</v>
      </c>
      <c r="C6430" s="23">
        <v>0</v>
      </c>
    </row>
    <row r="6431" spans="1:3" x14ac:dyDescent="0.25">
      <c r="A6431">
        <v>6430</v>
      </c>
      <c r="B6431" s="23">
        <v>876.8</v>
      </c>
      <c r="C6431" s="23">
        <v>0</v>
      </c>
    </row>
    <row r="6432" spans="1:3" x14ac:dyDescent="0.25">
      <c r="A6432">
        <v>6431</v>
      </c>
      <c r="B6432" s="23">
        <v>876.5770503</v>
      </c>
      <c r="C6432" s="23">
        <v>0</v>
      </c>
    </row>
    <row r="6433" spans="1:3" x14ac:dyDescent="0.25">
      <c r="A6433">
        <v>6432</v>
      </c>
      <c r="B6433" s="23">
        <v>876.38300000000004</v>
      </c>
      <c r="C6433" s="23">
        <v>0</v>
      </c>
    </row>
    <row r="6434" spans="1:3" x14ac:dyDescent="0.25">
      <c r="A6434">
        <v>6433</v>
      </c>
      <c r="B6434" s="23">
        <v>876.00432760000001</v>
      </c>
      <c r="C6434" s="23">
        <v>0</v>
      </c>
    </row>
    <row r="6435" spans="1:3" x14ac:dyDescent="0.25">
      <c r="A6435">
        <v>6434</v>
      </c>
      <c r="B6435" s="23">
        <v>875.78719269999999</v>
      </c>
      <c r="C6435" s="23">
        <v>0</v>
      </c>
    </row>
    <row r="6436" spans="1:3" x14ac:dyDescent="0.25">
      <c r="A6436">
        <v>6435</v>
      </c>
      <c r="B6436" s="23">
        <v>875.2</v>
      </c>
      <c r="C6436" s="23">
        <v>0</v>
      </c>
    </row>
    <row r="6437" spans="1:3" x14ac:dyDescent="0.25">
      <c r="A6437">
        <v>6436</v>
      </c>
      <c r="B6437" s="23">
        <v>874.72452280000005</v>
      </c>
      <c r="C6437" s="23">
        <v>0</v>
      </c>
    </row>
    <row r="6438" spans="1:3" x14ac:dyDescent="0.25">
      <c r="A6438">
        <v>6437</v>
      </c>
      <c r="B6438" s="23">
        <v>874.26015359999997</v>
      </c>
      <c r="C6438" s="23">
        <v>0</v>
      </c>
    </row>
    <row r="6439" spans="1:3" x14ac:dyDescent="0.25">
      <c r="A6439">
        <v>6438</v>
      </c>
      <c r="B6439" s="23">
        <v>874.20500000000004</v>
      </c>
      <c r="C6439" s="23">
        <v>0</v>
      </c>
    </row>
    <row r="6440" spans="1:3" x14ac:dyDescent="0.25">
      <c r="A6440">
        <v>6439</v>
      </c>
      <c r="B6440" s="23">
        <v>873.06224759999998</v>
      </c>
      <c r="C6440" s="23">
        <v>0</v>
      </c>
    </row>
    <row r="6441" spans="1:3" x14ac:dyDescent="0.25">
      <c r="A6441">
        <v>6440</v>
      </c>
      <c r="B6441" s="23">
        <v>873.01300000000003</v>
      </c>
      <c r="C6441" s="23">
        <v>0</v>
      </c>
    </row>
    <row r="6442" spans="1:3" x14ac:dyDescent="0.25">
      <c r="A6442">
        <v>6441</v>
      </c>
      <c r="B6442" s="23">
        <v>872.97411939999995</v>
      </c>
      <c r="C6442" s="23">
        <v>0</v>
      </c>
    </row>
    <row r="6443" spans="1:3" x14ac:dyDescent="0.25">
      <c r="A6443">
        <v>6442</v>
      </c>
      <c r="B6443" s="23">
        <v>872.06454940000003</v>
      </c>
      <c r="C6443" s="23">
        <v>0</v>
      </c>
    </row>
    <row r="6444" spans="1:3" x14ac:dyDescent="0.25">
      <c r="A6444">
        <v>6443</v>
      </c>
      <c r="B6444" s="23">
        <v>871.99599999999998</v>
      </c>
      <c r="C6444" s="23">
        <v>0</v>
      </c>
    </row>
    <row r="6445" spans="1:3" x14ac:dyDescent="0.25">
      <c r="A6445">
        <v>6444</v>
      </c>
      <c r="B6445" s="23">
        <v>871.64308930000004</v>
      </c>
      <c r="C6445" s="23">
        <v>0</v>
      </c>
    </row>
    <row r="6446" spans="1:3" x14ac:dyDescent="0.25">
      <c r="A6446">
        <v>6445</v>
      </c>
      <c r="B6446" s="23">
        <v>871.2</v>
      </c>
      <c r="C6446" s="23">
        <v>0</v>
      </c>
    </row>
    <row r="6447" spans="1:3" x14ac:dyDescent="0.25">
      <c r="A6447">
        <v>6446</v>
      </c>
      <c r="B6447" s="23">
        <v>870.54700000000003</v>
      </c>
      <c r="C6447" s="23">
        <v>0</v>
      </c>
    </row>
    <row r="6448" spans="1:3" x14ac:dyDescent="0.25">
      <c r="A6448">
        <v>6447</v>
      </c>
      <c r="B6448" s="23">
        <v>870.30399999999997</v>
      </c>
      <c r="C6448" s="23">
        <v>0</v>
      </c>
    </row>
    <row r="6449" spans="1:3" x14ac:dyDescent="0.25">
      <c r="A6449">
        <v>6448</v>
      </c>
      <c r="B6449" s="23">
        <v>870.26819999999998</v>
      </c>
      <c r="C6449" s="23">
        <v>0</v>
      </c>
    </row>
    <row r="6450" spans="1:3" x14ac:dyDescent="0.25">
      <c r="A6450">
        <v>6449</v>
      </c>
      <c r="B6450" s="23">
        <v>870.26172150000002</v>
      </c>
      <c r="C6450" s="23">
        <v>0</v>
      </c>
    </row>
    <row r="6451" spans="1:3" x14ac:dyDescent="0.25">
      <c r="A6451">
        <v>6450</v>
      </c>
      <c r="B6451" s="23">
        <v>869.63300000000004</v>
      </c>
      <c r="C6451" s="23">
        <v>0</v>
      </c>
    </row>
    <row r="6452" spans="1:3" x14ac:dyDescent="0.25">
      <c r="A6452">
        <v>6451</v>
      </c>
      <c r="B6452" s="23">
        <v>869.48699999999997</v>
      </c>
      <c r="C6452" s="23">
        <v>0</v>
      </c>
    </row>
    <row r="6453" spans="1:3" x14ac:dyDescent="0.25">
      <c r="A6453">
        <v>6452</v>
      </c>
      <c r="B6453" s="23">
        <v>866.89200000000005</v>
      </c>
      <c r="C6453" s="23">
        <v>0</v>
      </c>
    </row>
    <row r="6454" spans="1:3" x14ac:dyDescent="0.25">
      <c r="A6454">
        <v>6453</v>
      </c>
      <c r="B6454" s="23">
        <v>866.16399999999999</v>
      </c>
      <c r="C6454" s="23">
        <v>0</v>
      </c>
    </row>
    <row r="6455" spans="1:3" x14ac:dyDescent="0.25">
      <c r="A6455">
        <v>6454</v>
      </c>
      <c r="B6455" s="23">
        <v>866.12711490000004</v>
      </c>
      <c r="C6455" s="23">
        <v>0</v>
      </c>
    </row>
    <row r="6456" spans="1:3" x14ac:dyDescent="0.25">
      <c r="A6456">
        <v>6455</v>
      </c>
      <c r="B6456" s="23">
        <v>864.86099999999999</v>
      </c>
      <c r="C6456" s="23">
        <v>0</v>
      </c>
    </row>
    <row r="6457" spans="1:3" x14ac:dyDescent="0.25">
      <c r="A6457">
        <v>6456</v>
      </c>
      <c r="B6457" s="23">
        <v>864.8</v>
      </c>
      <c r="C6457" s="23">
        <v>0</v>
      </c>
    </row>
    <row r="6458" spans="1:3" x14ac:dyDescent="0.25">
      <c r="A6458">
        <v>6457</v>
      </c>
      <c r="B6458" s="23">
        <v>864.1732442</v>
      </c>
      <c r="C6458" s="23">
        <v>0</v>
      </c>
    </row>
    <row r="6459" spans="1:3" x14ac:dyDescent="0.25">
      <c r="A6459">
        <v>6458</v>
      </c>
      <c r="B6459" s="23">
        <v>863.60500000000002</v>
      </c>
      <c r="C6459" s="23">
        <v>0</v>
      </c>
    </row>
    <row r="6460" spans="1:3" x14ac:dyDescent="0.25">
      <c r="A6460">
        <v>6459</v>
      </c>
      <c r="B6460" s="23">
        <v>863.52003669999999</v>
      </c>
      <c r="C6460" s="23">
        <v>0</v>
      </c>
    </row>
    <row r="6461" spans="1:3" x14ac:dyDescent="0.25">
      <c r="A6461">
        <v>6460</v>
      </c>
      <c r="B6461" s="23">
        <v>863.2</v>
      </c>
      <c r="C6461" s="23">
        <v>0</v>
      </c>
    </row>
    <row r="6462" spans="1:3" x14ac:dyDescent="0.25">
      <c r="A6462">
        <v>6461</v>
      </c>
      <c r="B6462" s="23">
        <v>862.41340000000002</v>
      </c>
      <c r="C6462" s="23">
        <v>0</v>
      </c>
    </row>
    <row r="6463" spans="1:3" x14ac:dyDescent="0.25">
      <c r="A6463">
        <v>6462</v>
      </c>
      <c r="B6463" s="23">
        <v>861.97351460000004</v>
      </c>
      <c r="C6463" s="23">
        <v>0</v>
      </c>
    </row>
    <row r="6464" spans="1:3" x14ac:dyDescent="0.25">
      <c r="A6464">
        <v>6463</v>
      </c>
      <c r="B6464" s="23">
        <v>861.226</v>
      </c>
      <c r="C6464" s="23">
        <v>0</v>
      </c>
    </row>
    <row r="6465" spans="1:3" x14ac:dyDescent="0.25">
      <c r="A6465">
        <v>6464</v>
      </c>
      <c r="B6465" s="23">
        <v>860.96937930000001</v>
      </c>
      <c r="C6465" s="23">
        <v>0</v>
      </c>
    </row>
    <row r="6466" spans="1:3" x14ac:dyDescent="0.25">
      <c r="A6466">
        <v>6465</v>
      </c>
      <c r="B6466" s="23">
        <v>860.8</v>
      </c>
      <c r="C6466" s="23">
        <v>0</v>
      </c>
    </row>
    <row r="6467" spans="1:3" x14ac:dyDescent="0.25">
      <c r="A6467">
        <v>6466</v>
      </c>
      <c r="B6467" s="23">
        <v>860.8</v>
      </c>
      <c r="C6467" s="23">
        <v>0</v>
      </c>
    </row>
    <row r="6468" spans="1:3" x14ac:dyDescent="0.25">
      <c r="A6468">
        <v>6467</v>
      </c>
      <c r="B6468" s="23">
        <v>860.71299999999997</v>
      </c>
      <c r="C6468" s="23">
        <v>0</v>
      </c>
    </row>
    <row r="6469" spans="1:3" x14ac:dyDescent="0.25">
      <c r="A6469">
        <v>6468</v>
      </c>
      <c r="B6469" s="23">
        <v>860.59214680000002</v>
      </c>
      <c r="C6469" s="23">
        <v>0</v>
      </c>
    </row>
    <row r="6470" spans="1:3" x14ac:dyDescent="0.25">
      <c r="A6470">
        <v>6469</v>
      </c>
      <c r="B6470" s="23">
        <v>860.55100000000004</v>
      </c>
      <c r="C6470" s="23">
        <v>0</v>
      </c>
    </row>
    <row r="6471" spans="1:3" x14ac:dyDescent="0.25">
      <c r="A6471">
        <v>6470</v>
      </c>
      <c r="B6471" s="23">
        <v>859.62400000000002</v>
      </c>
      <c r="C6471" s="23">
        <v>0</v>
      </c>
    </row>
    <row r="6472" spans="1:3" x14ac:dyDescent="0.25">
      <c r="A6472">
        <v>6471</v>
      </c>
      <c r="B6472" s="23">
        <v>859.41793819999998</v>
      </c>
      <c r="C6472" s="23">
        <v>0</v>
      </c>
    </row>
    <row r="6473" spans="1:3" x14ac:dyDescent="0.25">
      <c r="A6473">
        <v>6472</v>
      </c>
      <c r="B6473" s="23">
        <v>858.74199999999996</v>
      </c>
      <c r="C6473" s="23">
        <v>0</v>
      </c>
    </row>
    <row r="6474" spans="1:3" x14ac:dyDescent="0.25">
      <c r="A6474">
        <v>6473</v>
      </c>
      <c r="B6474" s="23">
        <v>858.44286810000006</v>
      </c>
      <c r="C6474" s="23">
        <v>0</v>
      </c>
    </row>
    <row r="6475" spans="1:3" x14ac:dyDescent="0.25">
      <c r="A6475">
        <v>6474</v>
      </c>
      <c r="B6475" s="23">
        <v>858.4</v>
      </c>
      <c r="C6475" s="23">
        <v>0</v>
      </c>
    </row>
    <row r="6476" spans="1:3" x14ac:dyDescent="0.25">
      <c r="A6476">
        <v>6475</v>
      </c>
      <c r="B6476" s="23">
        <v>858.26646779999999</v>
      </c>
      <c r="C6476" s="23">
        <v>0</v>
      </c>
    </row>
    <row r="6477" spans="1:3" x14ac:dyDescent="0.25">
      <c r="A6477">
        <v>6476</v>
      </c>
      <c r="B6477" s="23">
        <v>858.24699999999996</v>
      </c>
      <c r="C6477" s="23">
        <v>0</v>
      </c>
    </row>
    <row r="6478" spans="1:3" x14ac:dyDescent="0.25">
      <c r="A6478">
        <v>6477</v>
      </c>
      <c r="B6478" s="23">
        <v>857.2623585</v>
      </c>
      <c r="C6478" s="23">
        <v>0</v>
      </c>
    </row>
    <row r="6479" spans="1:3" x14ac:dyDescent="0.25">
      <c r="A6479">
        <v>6478</v>
      </c>
      <c r="B6479" s="23">
        <v>857.08572590000006</v>
      </c>
      <c r="C6479" s="23">
        <v>0</v>
      </c>
    </row>
    <row r="6480" spans="1:3" x14ac:dyDescent="0.25">
      <c r="A6480">
        <v>6479</v>
      </c>
      <c r="B6480" s="23">
        <v>856.95100000000002</v>
      </c>
      <c r="C6480" s="23">
        <v>0</v>
      </c>
    </row>
    <row r="6481" spans="1:3" x14ac:dyDescent="0.25">
      <c r="A6481">
        <v>6480</v>
      </c>
      <c r="B6481" s="23">
        <v>856.55499999999995</v>
      </c>
      <c r="C6481" s="23">
        <v>0</v>
      </c>
    </row>
    <row r="6482" spans="1:3" x14ac:dyDescent="0.25">
      <c r="A6482">
        <v>6481</v>
      </c>
      <c r="B6482" s="23">
        <v>856.28030709999996</v>
      </c>
      <c r="C6482" s="23">
        <v>0</v>
      </c>
    </row>
    <row r="6483" spans="1:3" x14ac:dyDescent="0.25">
      <c r="A6483">
        <v>6482</v>
      </c>
      <c r="B6483" s="23">
        <v>856</v>
      </c>
      <c r="C6483" s="23">
        <v>0</v>
      </c>
    </row>
    <row r="6484" spans="1:3" x14ac:dyDescent="0.25">
      <c r="A6484">
        <v>6483</v>
      </c>
      <c r="B6484" s="23">
        <v>855.75735940000004</v>
      </c>
      <c r="C6484" s="23">
        <v>0</v>
      </c>
    </row>
    <row r="6485" spans="1:3" x14ac:dyDescent="0.25">
      <c r="A6485">
        <v>6484</v>
      </c>
      <c r="B6485" s="23">
        <v>855.542959</v>
      </c>
      <c r="C6485" s="23">
        <v>0</v>
      </c>
    </row>
    <row r="6486" spans="1:3" x14ac:dyDescent="0.25">
      <c r="A6486">
        <v>6485</v>
      </c>
      <c r="B6486" s="23">
        <v>855.45006609999996</v>
      </c>
      <c r="C6486" s="23">
        <v>0</v>
      </c>
    </row>
    <row r="6487" spans="1:3" x14ac:dyDescent="0.25">
      <c r="A6487">
        <v>6486</v>
      </c>
      <c r="B6487" s="23">
        <v>855.40893719999997</v>
      </c>
      <c r="C6487" s="23">
        <v>0</v>
      </c>
    </row>
    <row r="6488" spans="1:3" x14ac:dyDescent="0.25">
      <c r="A6488">
        <v>6487</v>
      </c>
      <c r="B6488" s="23">
        <v>855.2</v>
      </c>
      <c r="C6488" s="23">
        <v>0</v>
      </c>
    </row>
    <row r="6489" spans="1:3" x14ac:dyDescent="0.25">
      <c r="A6489">
        <v>6488</v>
      </c>
      <c r="B6489" s="23">
        <v>855.17100000000005</v>
      </c>
      <c r="C6489" s="23">
        <v>0</v>
      </c>
    </row>
    <row r="6490" spans="1:3" x14ac:dyDescent="0.25">
      <c r="A6490">
        <v>6489</v>
      </c>
      <c r="B6490" s="23">
        <v>854.4</v>
      </c>
      <c r="C6490" s="23">
        <v>0</v>
      </c>
    </row>
    <row r="6491" spans="1:3" x14ac:dyDescent="0.25">
      <c r="A6491">
        <v>6490</v>
      </c>
      <c r="B6491" s="23">
        <v>853.6</v>
      </c>
      <c r="C6491" s="23">
        <v>0</v>
      </c>
    </row>
    <row r="6492" spans="1:3" x14ac:dyDescent="0.25">
      <c r="A6492">
        <v>6491</v>
      </c>
      <c r="B6492" s="23">
        <v>853.22324460000004</v>
      </c>
      <c r="C6492" s="23">
        <v>0</v>
      </c>
    </row>
    <row r="6493" spans="1:3" x14ac:dyDescent="0.25">
      <c r="A6493">
        <v>6492</v>
      </c>
      <c r="B6493" s="23">
        <v>852.8</v>
      </c>
      <c r="C6493" s="23">
        <v>0</v>
      </c>
    </row>
    <row r="6494" spans="1:3" x14ac:dyDescent="0.25">
      <c r="A6494">
        <v>6493</v>
      </c>
      <c r="B6494" s="23">
        <v>852.64410169999996</v>
      </c>
      <c r="C6494" s="23">
        <v>0</v>
      </c>
    </row>
    <row r="6495" spans="1:3" x14ac:dyDescent="0.25">
      <c r="A6495">
        <v>6494</v>
      </c>
      <c r="B6495" s="23">
        <v>851.93646439999998</v>
      </c>
      <c r="C6495" s="23">
        <v>0</v>
      </c>
    </row>
    <row r="6496" spans="1:3" x14ac:dyDescent="0.25">
      <c r="A6496">
        <v>6495</v>
      </c>
      <c r="B6496" s="23">
        <v>851.52910210000005</v>
      </c>
      <c r="C6496" s="23">
        <v>0</v>
      </c>
    </row>
    <row r="6497" spans="1:3" x14ac:dyDescent="0.25">
      <c r="A6497">
        <v>6496</v>
      </c>
      <c r="B6497" s="23">
        <v>851.21500000000003</v>
      </c>
      <c r="C6497" s="23">
        <v>0</v>
      </c>
    </row>
    <row r="6498" spans="1:3" x14ac:dyDescent="0.25">
      <c r="A6498">
        <v>6497</v>
      </c>
      <c r="B6498" s="23">
        <v>851.2</v>
      </c>
      <c r="C6498" s="23">
        <v>0</v>
      </c>
    </row>
    <row r="6499" spans="1:3" x14ac:dyDescent="0.25">
      <c r="A6499">
        <v>6498</v>
      </c>
      <c r="B6499" s="23">
        <v>850.4</v>
      </c>
      <c r="C6499" s="23">
        <v>0</v>
      </c>
    </row>
    <row r="6500" spans="1:3" x14ac:dyDescent="0.25">
      <c r="A6500">
        <v>6499</v>
      </c>
      <c r="B6500" s="23">
        <v>850.34100000000001</v>
      </c>
      <c r="C6500" s="23">
        <v>0</v>
      </c>
    </row>
    <row r="6501" spans="1:3" x14ac:dyDescent="0.25">
      <c r="A6501">
        <v>6500</v>
      </c>
      <c r="B6501" s="23">
        <v>849.97036990000004</v>
      </c>
      <c r="C6501" s="23">
        <v>0</v>
      </c>
    </row>
    <row r="6502" spans="1:3" x14ac:dyDescent="0.25">
      <c r="A6502">
        <v>6501</v>
      </c>
      <c r="B6502" s="23">
        <v>848.85052040000005</v>
      </c>
      <c r="C6502" s="23">
        <v>0</v>
      </c>
    </row>
    <row r="6503" spans="1:3" x14ac:dyDescent="0.25">
      <c r="A6503">
        <v>6502</v>
      </c>
      <c r="B6503" s="23">
        <v>848.79008739999995</v>
      </c>
      <c r="C6503" s="23">
        <v>0</v>
      </c>
    </row>
    <row r="6504" spans="1:3" x14ac:dyDescent="0.25">
      <c r="A6504">
        <v>6503</v>
      </c>
      <c r="B6504" s="23">
        <v>848.48419999999999</v>
      </c>
      <c r="C6504" s="23">
        <v>0</v>
      </c>
    </row>
    <row r="6505" spans="1:3" x14ac:dyDescent="0.25">
      <c r="A6505">
        <v>6504</v>
      </c>
      <c r="B6505" s="23">
        <v>848.16156320000005</v>
      </c>
      <c r="C6505" s="23">
        <v>0</v>
      </c>
    </row>
    <row r="6506" spans="1:3" x14ac:dyDescent="0.25">
      <c r="A6506">
        <v>6505</v>
      </c>
      <c r="B6506" s="23">
        <v>848.15983649999998</v>
      </c>
      <c r="C6506" s="23">
        <v>0</v>
      </c>
    </row>
    <row r="6507" spans="1:3" x14ac:dyDescent="0.25">
      <c r="A6507">
        <v>6506</v>
      </c>
      <c r="B6507" s="23">
        <v>848</v>
      </c>
      <c r="C6507" s="23">
        <v>0</v>
      </c>
    </row>
    <row r="6508" spans="1:3" x14ac:dyDescent="0.25">
      <c r="A6508">
        <v>6507</v>
      </c>
      <c r="B6508" s="23">
        <v>847.2717672</v>
      </c>
      <c r="C6508" s="23">
        <v>0</v>
      </c>
    </row>
    <row r="6509" spans="1:3" x14ac:dyDescent="0.25">
      <c r="A6509">
        <v>6508</v>
      </c>
      <c r="B6509" s="23">
        <v>846.34632220000003</v>
      </c>
      <c r="C6509" s="23">
        <v>0</v>
      </c>
    </row>
    <row r="6510" spans="1:3" x14ac:dyDescent="0.25">
      <c r="A6510">
        <v>6509</v>
      </c>
      <c r="B6510" s="23">
        <v>846.00430540000002</v>
      </c>
      <c r="C6510" s="23">
        <v>0</v>
      </c>
    </row>
    <row r="6511" spans="1:3" x14ac:dyDescent="0.25">
      <c r="A6511">
        <v>6510</v>
      </c>
      <c r="B6511" s="23">
        <v>845.6</v>
      </c>
      <c r="C6511" s="23">
        <v>0</v>
      </c>
    </row>
    <row r="6512" spans="1:3" x14ac:dyDescent="0.25">
      <c r="A6512">
        <v>6511</v>
      </c>
      <c r="B6512" s="23">
        <v>845.36900000000003</v>
      </c>
      <c r="C6512" s="23">
        <v>0</v>
      </c>
    </row>
    <row r="6513" spans="1:3" x14ac:dyDescent="0.25">
      <c r="A6513">
        <v>6512</v>
      </c>
      <c r="B6513" s="23">
        <v>845.33299999999997</v>
      </c>
      <c r="C6513" s="23">
        <v>0</v>
      </c>
    </row>
    <row r="6514" spans="1:3" x14ac:dyDescent="0.25">
      <c r="A6514">
        <v>6513</v>
      </c>
      <c r="B6514" s="23">
        <v>845.27018769999995</v>
      </c>
      <c r="C6514" s="23">
        <v>0</v>
      </c>
    </row>
    <row r="6515" spans="1:3" x14ac:dyDescent="0.25">
      <c r="A6515">
        <v>6514</v>
      </c>
      <c r="B6515" s="23">
        <v>844.80656610000005</v>
      </c>
      <c r="C6515" s="23">
        <v>0</v>
      </c>
    </row>
    <row r="6516" spans="1:3" x14ac:dyDescent="0.25">
      <c r="A6516">
        <v>6515</v>
      </c>
      <c r="B6516" s="23">
        <v>844.70641699999999</v>
      </c>
      <c r="C6516" s="23">
        <v>0</v>
      </c>
    </row>
    <row r="6517" spans="1:3" x14ac:dyDescent="0.25">
      <c r="A6517">
        <v>6516</v>
      </c>
      <c r="B6517" s="23">
        <v>843.91818679999994</v>
      </c>
      <c r="C6517" s="23">
        <v>0</v>
      </c>
    </row>
    <row r="6518" spans="1:3" x14ac:dyDescent="0.25">
      <c r="A6518">
        <v>6517</v>
      </c>
      <c r="B6518" s="23">
        <v>843.71355879999999</v>
      </c>
      <c r="C6518" s="23">
        <v>0</v>
      </c>
    </row>
    <row r="6519" spans="1:3" x14ac:dyDescent="0.25">
      <c r="A6519">
        <v>6518</v>
      </c>
      <c r="B6519" s="23">
        <v>843.2</v>
      </c>
      <c r="C6519" s="23">
        <v>0</v>
      </c>
    </row>
    <row r="6520" spans="1:3" x14ac:dyDescent="0.25">
      <c r="A6520">
        <v>6519</v>
      </c>
      <c r="B6520" s="23">
        <v>842.75300000000004</v>
      </c>
      <c r="C6520" s="23">
        <v>0</v>
      </c>
    </row>
    <row r="6521" spans="1:3" x14ac:dyDescent="0.25">
      <c r="A6521">
        <v>6520</v>
      </c>
      <c r="B6521" s="23">
        <v>842.17040729999997</v>
      </c>
      <c r="C6521" s="23">
        <v>0</v>
      </c>
    </row>
    <row r="6522" spans="1:3" x14ac:dyDescent="0.25">
      <c r="A6522">
        <v>6521</v>
      </c>
      <c r="B6522" s="23">
        <v>842.08075499999995</v>
      </c>
      <c r="C6522" s="23">
        <v>0</v>
      </c>
    </row>
    <row r="6523" spans="1:3" x14ac:dyDescent="0.25">
      <c r="A6523">
        <v>6522</v>
      </c>
      <c r="B6523" s="23">
        <v>840.56231349999996</v>
      </c>
      <c r="C6523" s="23">
        <v>0</v>
      </c>
    </row>
    <row r="6524" spans="1:3" x14ac:dyDescent="0.25">
      <c r="A6524">
        <v>6523</v>
      </c>
      <c r="B6524" s="23">
        <v>840</v>
      </c>
      <c r="C6524" s="23">
        <v>0</v>
      </c>
    </row>
    <row r="6525" spans="1:3" x14ac:dyDescent="0.25">
      <c r="A6525">
        <v>6524</v>
      </c>
      <c r="B6525" s="23">
        <v>840</v>
      </c>
      <c r="C6525" s="23">
        <v>0</v>
      </c>
    </row>
    <row r="6526" spans="1:3" x14ac:dyDescent="0.25">
      <c r="A6526">
        <v>6525</v>
      </c>
      <c r="B6526" s="23">
        <v>839.55499999999995</v>
      </c>
      <c r="C6526" s="23">
        <v>0</v>
      </c>
    </row>
    <row r="6527" spans="1:3" x14ac:dyDescent="0.25">
      <c r="A6527">
        <v>6526</v>
      </c>
      <c r="B6527" s="23">
        <v>839.44</v>
      </c>
      <c r="C6527" s="23">
        <v>0</v>
      </c>
    </row>
    <row r="6528" spans="1:3" x14ac:dyDescent="0.25">
      <c r="A6528">
        <v>6527</v>
      </c>
      <c r="B6528" s="23">
        <v>838.4</v>
      </c>
      <c r="C6528" s="23">
        <v>0</v>
      </c>
    </row>
    <row r="6529" spans="1:3" x14ac:dyDescent="0.25">
      <c r="A6529">
        <v>6528</v>
      </c>
      <c r="B6529" s="23">
        <v>838.4</v>
      </c>
      <c r="C6529" s="23">
        <v>0</v>
      </c>
    </row>
    <row r="6530" spans="1:3" x14ac:dyDescent="0.25">
      <c r="A6530">
        <v>6529</v>
      </c>
      <c r="B6530" s="23">
        <v>837.48054790000003</v>
      </c>
      <c r="C6530" s="23">
        <v>0</v>
      </c>
    </row>
    <row r="6531" spans="1:3" x14ac:dyDescent="0.25">
      <c r="A6531">
        <v>6530</v>
      </c>
      <c r="B6531" s="23">
        <v>837.02773860000002</v>
      </c>
      <c r="C6531" s="23">
        <v>0</v>
      </c>
    </row>
    <row r="6532" spans="1:3" x14ac:dyDescent="0.25">
      <c r="A6532">
        <v>6531</v>
      </c>
      <c r="B6532" s="23">
        <v>836.8</v>
      </c>
      <c r="C6532" s="23">
        <v>0</v>
      </c>
    </row>
    <row r="6533" spans="1:3" x14ac:dyDescent="0.25">
      <c r="A6533">
        <v>6532</v>
      </c>
      <c r="B6533" s="23">
        <v>836.63997859999995</v>
      </c>
      <c r="C6533" s="23">
        <v>0</v>
      </c>
    </row>
    <row r="6534" spans="1:3" x14ac:dyDescent="0.25">
      <c r="A6534">
        <v>6533</v>
      </c>
      <c r="B6534" s="23">
        <v>836</v>
      </c>
      <c r="C6534" s="23">
        <v>0</v>
      </c>
    </row>
    <row r="6535" spans="1:3" x14ac:dyDescent="0.25">
      <c r="A6535">
        <v>6534</v>
      </c>
      <c r="B6535" s="23">
        <v>835.98548259999995</v>
      </c>
      <c r="C6535" s="23">
        <v>0</v>
      </c>
    </row>
    <row r="6536" spans="1:3" x14ac:dyDescent="0.25">
      <c r="A6536">
        <v>6535</v>
      </c>
      <c r="B6536" s="23">
        <v>835.72752620000006</v>
      </c>
      <c r="C6536" s="23">
        <v>0</v>
      </c>
    </row>
    <row r="6537" spans="1:3" x14ac:dyDescent="0.25">
      <c r="A6537">
        <v>6536</v>
      </c>
      <c r="B6537" s="23">
        <v>835.51900000000001</v>
      </c>
      <c r="C6537" s="23">
        <v>0</v>
      </c>
    </row>
    <row r="6538" spans="1:3" x14ac:dyDescent="0.25">
      <c r="A6538">
        <v>6537</v>
      </c>
      <c r="B6538" s="23">
        <v>833.86181629999999</v>
      </c>
      <c r="C6538" s="23">
        <v>0</v>
      </c>
    </row>
    <row r="6539" spans="1:3" x14ac:dyDescent="0.25">
      <c r="A6539">
        <v>6538</v>
      </c>
      <c r="B6539" s="23">
        <v>833.36300000000006</v>
      </c>
      <c r="C6539" s="23">
        <v>0</v>
      </c>
    </row>
    <row r="6540" spans="1:3" x14ac:dyDescent="0.25">
      <c r="A6540">
        <v>6539</v>
      </c>
      <c r="B6540" s="23">
        <v>832.26906870000005</v>
      </c>
      <c r="C6540" s="23">
        <v>0</v>
      </c>
    </row>
    <row r="6541" spans="1:3" x14ac:dyDescent="0.25">
      <c r="A6541">
        <v>6540</v>
      </c>
      <c r="B6541" s="23">
        <v>831.2</v>
      </c>
      <c r="C6541" s="23">
        <v>0</v>
      </c>
    </row>
    <row r="6542" spans="1:3" x14ac:dyDescent="0.25">
      <c r="A6542">
        <v>6541</v>
      </c>
      <c r="B6542" s="23">
        <v>831.19001309999999</v>
      </c>
      <c r="C6542" s="23">
        <v>0</v>
      </c>
    </row>
    <row r="6543" spans="1:3" x14ac:dyDescent="0.25">
      <c r="A6543">
        <v>6542</v>
      </c>
      <c r="B6543" s="23">
        <v>831.13760730000001</v>
      </c>
      <c r="C6543" s="23">
        <v>0</v>
      </c>
    </row>
    <row r="6544" spans="1:3" x14ac:dyDescent="0.25">
      <c r="A6544">
        <v>6543</v>
      </c>
      <c r="B6544" s="23">
        <v>830.09733949999998</v>
      </c>
      <c r="C6544" s="23">
        <v>0</v>
      </c>
    </row>
    <row r="6545" spans="1:3" x14ac:dyDescent="0.25">
      <c r="A6545">
        <v>6544</v>
      </c>
      <c r="B6545" s="23">
        <v>829.98599999999999</v>
      </c>
      <c r="C6545" s="23">
        <v>0</v>
      </c>
    </row>
    <row r="6546" spans="1:3" x14ac:dyDescent="0.25">
      <c r="A6546">
        <v>6545</v>
      </c>
      <c r="B6546" s="23">
        <v>829.6</v>
      </c>
      <c r="C6546" s="23">
        <v>0</v>
      </c>
    </row>
    <row r="6547" spans="1:3" x14ac:dyDescent="0.25">
      <c r="A6547">
        <v>6546</v>
      </c>
      <c r="B6547" s="23">
        <v>829.11300000000006</v>
      </c>
      <c r="C6547" s="23">
        <v>0</v>
      </c>
    </row>
    <row r="6548" spans="1:3" x14ac:dyDescent="0.25">
      <c r="A6548">
        <v>6547</v>
      </c>
      <c r="B6548" s="23">
        <v>828.8</v>
      </c>
      <c r="C6548" s="23">
        <v>0</v>
      </c>
    </row>
    <row r="6549" spans="1:3" x14ac:dyDescent="0.25">
      <c r="A6549">
        <v>6548</v>
      </c>
      <c r="B6549" s="23">
        <v>828.8</v>
      </c>
      <c r="C6549" s="23">
        <v>0</v>
      </c>
    </row>
    <row r="6550" spans="1:3" x14ac:dyDescent="0.25">
      <c r="A6550">
        <v>6549</v>
      </c>
      <c r="B6550" s="23">
        <v>828.8</v>
      </c>
      <c r="C6550" s="23">
        <v>0</v>
      </c>
    </row>
    <row r="6551" spans="1:3" x14ac:dyDescent="0.25">
      <c r="A6551">
        <v>6550</v>
      </c>
      <c r="B6551" s="23">
        <v>828.45861279999997</v>
      </c>
      <c r="C6551" s="23">
        <v>0</v>
      </c>
    </row>
    <row r="6552" spans="1:3" x14ac:dyDescent="0.25">
      <c r="A6552">
        <v>6551</v>
      </c>
      <c r="B6552" s="23">
        <v>828.43</v>
      </c>
      <c r="C6552" s="23">
        <v>0</v>
      </c>
    </row>
    <row r="6553" spans="1:3" x14ac:dyDescent="0.25">
      <c r="A6553">
        <v>6552</v>
      </c>
      <c r="B6553" s="23">
        <v>828.21610080000005</v>
      </c>
      <c r="C6553" s="23">
        <v>0</v>
      </c>
    </row>
    <row r="6554" spans="1:3" x14ac:dyDescent="0.25">
      <c r="A6554">
        <v>6553</v>
      </c>
      <c r="B6554" s="23">
        <v>827.53263979999997</v>
      </c>
      <c r="C6554" s="23">
        <v>0</v>
      </c>
    </row>
    <row r="6555" spans="1:3" x14ac:dyDescent="0.25">
      <c r="A6555">
        <v>6554</v>
      </c>
      <c r="B6555" s="23">
        <v>827.2</v>
      </c>
      <c r="C6555" s="23">
        <v>0</v>
      </c>
    </row>
    <row r="6556" spans="1:3" x14ac:dyDescent="0.25">
      <c r="A6556">
        <v>6555</v>
      </c>
      <c r="B6556" s="23">
        <v>826.74863540000001</v>
      </c>
      <c r="C6556" s="23">
        <v>0</v>
      </c>
    </row>
    <row r="6557" spans="1:3" x14ac:dyDescent="0.25">
      <c r="A6557">
        <v>6556</v>
      </c>
      <c r="B6557" s="23">
        <v>826.66316329999995</v>
      </c>
      <c r="C6557" s="23">
        <v>0</v>
      </c>
    </row>
    <row r="6558" spans="1:3" x14ac:dyDescent="0.25">
      <c r="A6558">
        <v>6557</v>
      </c>
      <c r="B6558" s="23">
        <v>826.58429999999998</v>
      </c>
      <c r="C6558" s="23">
        <v>0</v>
      </c>
    </row>
    <row r="6559" spans="1:3" x14ac:dyDescent="0.25">
      <c r="A6559">
        <v>6558</v>
      </c>
      <c r="B6559" s="23">
        <v>826.4</v>
      </c>
      <c r="C6559" s="23">
        <v>0</v>
      </c>
    </row>
    <row r="6560" spans="1:3" x14ac:dyDescent="0.25">
      <c r="A6560">
        <v>6559</v>
      </c>
      <c r="B6560" s="23">
        <v>825.91499999999996</v>
      </c>
      <c r="C6560" s="23">
        <v>0</v>
      </c>
    </row>
    <row r="6561" spans="1:3" x14ac:dyDescent="0.25">
      <c r="A6561">
        <v>6560</v>
      </c>
      <c r="B6561" s="23">
        <v>825.6</v>
      </c>
      <c r="C6561" s="23">
        <v>0</v>
      </c>
    </row>
    <row r="6562" spans="1:3" x14ac:dyDescent="0.25">
      <c r="A6562">
        <v>6561</v>
      </c>
      <c r="B6562" s="23">
        <v>824.19399999999996</v>
      </c>
      <c r="C6562" s="23">
        <v>0</v>
      </c>
    </row>
    <row r="6563" spans="1:3" x14ac:dyDescent="0.25">
      <c r="A6563">
        <v>6562</v>
      </c>
      <c r="B6563" s="23">
        <v>823.78240719999997</v>
      </c>
      <c r="C6563" s="23">
        <v>0</v>
      </c>
    </row>
    <row r="6564" spans="1:3" x14ac:dyDescent="0.25">
      <c r="A6564">
        <v>6563</v>
      </c>
      <c r="B6564" s="23">
        <v>823.55470030000004</v>
      </c>
      <c r="C6564" s="23">
        <v>0</v>
      </c>
    </row>
    <row r="6565" spans="1:3" x14ac:dyDescent="0.25">
      <c r="A6565">
        <v>6564</v>
      </c>
      <c r="B6565" s="23">
        <v>823.29521590000002</v>
      </c>
      <c r="C6565" s="23">
        <v>0</v>
      </c>
    </row>
    <row r="6566" spans="1:3" x14ac:dyDescent="0.25">
      <c r="A6566">
        <v>6565</v>
      </c>
      <c r="B6566" s="23">
        <v>823.29521590000002</v>
      </c>
      <c r="C6566" s="23">
        <v>0</v>
      </c>
    </row>
    <row r="6567" spans="1:3" x14ac:dyDescent="0.25">
      <c r="A6567">
        <v>6566</v>
      </c>
      <c r="B6567" s="23">
        <v>822.69107940000004</v>
      </c>
      <c r="C6567" s="23">
        <v>0</v>
      </c>
    </row>
    <row r="6568" spans="1:3" x14ac:dyDescent="0.25">
      <c r="A6568">
        <v>6567</v>
      </c>
      <c r="B6568" s="23">
        <v>822.30700000000002</v>
      </c>
      <c r="C6568" s="23">
        <v>0</v>
      </c>
    </row>
    <row r="6569" spans="1:3" x14ac:dyDescent="0.25">
      <c r="A6569">
        <v>6568</v>
      </c>
      <c r="B6569" s="23">
        <v>822.23299999999995</v>
      </c>
      <c r="C6569" s="23">
        <v>0</v>
      </c>
    </row>
    <row r="6570" spans="1:3" x14ac:dyDescent="0.25">
      <c r="A6570">
        <v>6569</v>
      </c>
      <c r="B6570" s="23">
        <v>821.22316409999996</v>
      </c>
      <c r="C6570" s="23">
        <v>0</v>
      </c>
    </row>
    <row r="6571" spans="1:3" x14ac:dyDescent="0.25">
      <c r="A6571">
        <v>6570</v>
      </c>
      <c r="B6571" s="23">
        <v>820.8</v>
      </c>
      <c r="C6571" s="23">
        <v>0</v>
      </c>
    </row>
    <row r="6572" spans="1:3" x14ac:dyDescent="0.25">
      <c r="A6572">
        <v>6571</v>
      </c>
      <c r="B6572" s="23">
        <v>820.68600000000004</v>
      </c>
      <c r="C6572" s="23">
        <v>0</v>
      </c>
    </row>
    <row r="6573" spans="1:3" x14ac:dyDescent="0.25">
      <c r="A6573">
        <v>6572</v>
      </c>
      <c r="B6573" s="23">
        <v>820.53248020000001</v>
      </c>
      <c r="C6573" s="23">
        <v>0</v>
      </c>
    </row>
    <row r="6574" spans="1:3" x14ac:dyDescent="0.25">
      <c r="A6574">
        <v>6573</v>
      </c>
      <c r="B6574" s="23">
        <v>820.51032859999998</v>
      </c>
      <c r="C6574" s="23">
        <v>0</v>
      </c>
    </row>
    <row r="6575" spans="1:3" x14ac:dyDescent="0.25">
      <c r="A6575">
        <v>6574</v>
      </c>
      <c r="B6575" s="23">
        <v>820</v>
      </c>
      <c r="C6575" s="23">
        <v>0</v>
      </c>
    </row>
    <row r="6576" spans="1:3" x14ac:dyDescent="0.25">
      <c r="A6576">
        <v>6575</v>
      </c>
      <c r="B6576" s="23">
        <v>819.43088690000002</v>
      </c>
      <c r="C6576" s="23">
        <v>0</v>
      </c>
    </row>
    <row r="6577" spans="1:3" x14ac:dyDescent="0.25">
      <c r="A6577">
        <v>6576</v>
      </c>
      <c r="B6577" s="23">
        <v>819.34559999999999</v>
      </c>
      <c r="C6577" s="23">
        <v>0</v>
      </c>
    </row>
    <row r="6578" spans="1:3" x14ac:dyDescent="0.25">
      <c r="A6578">
        <v>6577</v>
      </c>
      <c r="B6578" s="23">
        <v>818.6337671</v>
      </c>
      <c r="C6578" s="23">
        <v>0</v>
      </c>
    </row>
    <row r="6579" spans="1:3" x14ac:dyDescent="0.25">
      <c r="A6579">
        <v>6578</v>
      </c>
      <c r="B6579" s="23">
        <v>818.4</v>
      </c>
      <c r="C6579" s="23">
        <v>0</v>
      </c>
    </row>
    <row r="6580" spans="1:3" x14ac:dyDescent="0.25">
      <c r="A6580">
        <v>6579</v>
      </c>
      <c r="B6580" s="23">
        <v>817.35599999999999</v>
      </c>
      <c r="C6580" s="23">
        <v>0</v>
      </c>
    </row>
    <row r="6581" spans="1:3" x14ac:dyDescent="0.25">
      <c r="A6581">
        <v>6580</v>
      </c>
      <c r="B6581" s="23">
        <v>817.35120410000002</v>
      </c>
      <c r="C6581" s="23">
        <v>0</v>
      </c>
    </row>
    <row r="6582" spans="1:3" x14ac:dyDescent="0.25">
      <c r="A6582">
        <v>6581</v>
      </c>
      <c r="B6582" s="23">
        <v>816.42720710000003</v>
      </c>
      <c r="C6582" s="23">
        <v>0</v>
      </c>
    </row>
    <row r="6583" spans="1:3" x14ac:dyDescent="0.25">
      <c r="A6583">
        <v>6582</v>
      </c>
      <c r="B6583" s="23">
        <v>816</v>
      </c>
      <c r="C6583" s="23">
        <v>0</v>
      </c>
    </row>
    <row r="6584" spans="1:3" x14ac:dyDescent="0.25">
      <c r="A6584">
        <v>6583</v>
      </c>
      <c r="B6584" s="23">
        <v>815.69769289999999</v>
      </c>
      <c r="C6584" s="23">
        <v>0</v>
      </c>
    </row>
    <row r="6585" spans="1:3" x14ac:dyDescent="0.25">
      <c r="A6585">
        <v>6584</v>
      </c>
      <c r="B6585" s="23">
        <v>815.37640139999996</v>
      </c>
      <c r="C6585" s="23">
        <v>0</v>
      </c>
    </row>
    <row r="6586" spans="1:3" x14ac:dyDescent="0.25">
      <c r="A6586">
        <v>6585</v>
      </c>
      <c r="B6586" s="23">
        <v>815.37640139999996</v>
      </c>
      <c r="C6586" s="23">
        <v>0</v>
      </c>
    </row>
    <row r="6587" spans="1:3" x14ac:dyDescent="0.25">
      <c r="A6587">
        <v>6586</v>
      </c>
      <c r="B6587" s="23">
        <v>814.76585130000001</v>
      </c>
      <c r="C6587" s="23">
        <v>0</v>
      </c>
    </row>
    <row r="6588" spans="1:3" x14ac:dyDescent="0.25">
      <c r="A6588">
        <v>6587</v>
      </c>
      <c r="B6588" s="23">
        <v>813.62564120000002</v>
      </c>
      <c r="C6588" s="23">
        <v>0</v>
      </c>
    </row>
    <row r="6589" spans="1:3" x14ac:dyDescent="0.25">
      <c r="A6589">
        <v>6588</v>
      </c>
      <c r="B6589" s="23">
        <v>813.62564120000002</v>
      </c>
      <c r="C6589" s="23">
        <v>0</v>
      </c>
    </row>
    <row r="6590" spans="1:3" x14ac:dyDescent="0.25">
      <c r="A6590">
        <v>6589</v>
      </c>
      <c r="B6590" s="23">
        <v>813.60140000000001</v>
      </c>
      <c r="C6590" s="23">
        <v>0</v>
      </c>
    </row>
    <row r="6591" spans="1:3" x14ac:dyDescent="0.25">
      <c r="A6591">
        <v>6590</v>
      </c>
      <c r="B6591" s="23">
        <v>813.6</v>
      </c>
      <c r="C6591" s="23">
        <v>0</v>
      </c>
    </row>
    <row r="6592" spans="1:3" x14ac:dyDescent="0.25">
      <c r="A6592">
        <v>6591</v>
      </c>
      <c r="B6592" s="23">
        <v>812.64400000000001</v>
      </c>
      <c r="C6592" s="23">
        <v>0</v>
      </c>
    </row>
    <row r="6593" spans="1:3" x14ac:dyDescent="0.25">
      <c r="A6593">
        <v>6592</v>
      </c>
      <c r="B6593" s="23">
        <v>812.40200000000004</v>
      </c>
      <c r="C6593" s="23">
        <v>0</v>
      </c>
    </row>
    <row r="6594" spans="1:3" x14ac:dyDescent="0.25">
      <c r="A6594">
        <v>6593</v>
      </c>
      <c r="B6594" s="23">
        <v>812.06299999999999</v>
      </c>
      <c r="C6594" s="23">
        <v>0</v>
      </c>
    </row>
    <row r="6595" spans="1:3" x14ac:dyDescent="0.25">
      <c r="A6595">
        <v>6594</v>
      </c>
      <c r="B6595" s="23">
        <v>812</v>
      </c>
      <c r="C6595" s="23">
        <v>0</v>
      </c>
    </row>
    <row r="6596" spans="1:3" x14ac:dyDescent="0.25">
      <c r="A6596">
        <v>6595</v>
      </c>
      <c r="B6596" s="23">
        <v>811.98099999999999</v>
      </c>
      <c r="C6596" s="23">
        <v>0</v>
      </c>
    </row>
    <row r="6597" spans="1:3" x14ac:dyDescent="0.25">
      <c r="A6597">
        <v>6596</v>
      </c>
      <c r="B6597" s="23">
        <v>811.50933650000002</v>
      </c>
      <c r="C6597" s="23">
        <v>0</v>
      </c>
    </row>
    <row r="6598" spans="1:3" x14ac:dyDescent="0.25">
      <c r="A6598">
        <v>6597</v>
      </c>
      <c r="B6598" s="23">
        <v>810.39700000000005</v>
      </c>
      <c r="C6598" s="23">
        <v>0</v>
      </c>
    </row>
    <row r="6599" spans="1:3" x14ac:dyDescent="0.25">
      <c r="A6599">
        <v>6598</v>
      </c>
      <c r="B6599" s="23">
        <v>809.48153769999999</v>
      </c>
      <c r="C6599" s="23">
        <v>0</v>
      </c>
    </row>
    <row r="6600" spans="1:3" x14ac:dyDescent="0.25">
      <c r="A6600">
        <v>6599</v>
      </c>
      <c r="B6600" s="23">
        <v>809.24198730000001</v>
      </c>
      <c r="C6600" s="23">
        <v>0</v>
      </c>
    </row>
    <row r="6601" spans="1:3" x14ac:dyDescent="0.25">
      <c r="A6601">
        <v>6600</v>
      </c>
      <c r="B6601" s="23">
        <v>808.8</v>
      </c>
      <c r="C6601" s="23">
        <v>0</v>
      </c>
    </row>
    <row r="6602" spans="1:3" x14ac:dyDescent="0.25">
      <c r="A6602">
        <v>6601</v>
      </c>
      <c r="B6602" s="23">
        <v>807.60096699999997</v>
      </c>
      <c r="C6602" s="23">
        <v>0</v>
      </c>
    </row>
    <row r="6603" spans="1:3" x14ac:dyDescent="0.25">
      <c r="A6603">
        <v>6602</v>
      </c>
      <c r="B6603" s="23">
        <v>806.86544700000002</v>
      </c>
      <c r="C6603" s="23">
        <v>0</v>
      </c>
    </row>
    <row r="6604" spans="1:3" x14ac:dyDescent="0.25">
      <c r="A6604">
        <v>6603</v>
      </c>
      <c r="B6604" s="23">
        <v>806.51199999999994</v>
      </c>
      <c r="C6604" s="23">
        <v>0</v>
      </c>
    </row>
    <row r="6605" spans="1:3" x14ac:dyDescent="0.25">
      <c r="A6605">
        <v>6604</v>
      </c>
      <c r="B6605" s="23">
        <v>806.12992699999995</v>
      </c>
      <c r="C6605" s="23">
        <v>0</v>
      </c>
    </row>
    <row r="6606" spans="1:3" x14ac:dyDescent="0.25">
      <c r="A6606">
        <v>6605</v>
      </c>
      <c r="B6606" s="23">
        <v>806.02700000000004</v>
      </c>
      <c r="C6606" s="23">
        <v>0</v>
      </c>
    </row>
    <row r="6607" spans="1:3" x14ac:dyDescent="0.25">
      <c r="A6607">
        <v>6606</v>
      </c>
      <c r="B6607" s="23">
        <v>805.6</v>
      </c>
      <c r="C6607" s="23">
        <v>0</v>
      </c>
    </row>
    <row r="6608" spans="1:3" x14ac:dyDescent="0.25">
      <c r="A6608">
        <v>6607</v>
      </c>
      <c r="B6608" s="23">
        <v>804.96100000000001</v>
      </c>
      <c r="C6608" s="23">
        <v>0</v>
      </c>
    </row>
    <row r="6609" spans="1:3" x14ac:dyDescent="0.25">
      <c r="A6609">
        <v>6608</v>
      </c>
      <c r="B6609" s="23">
        <v>804.64675039999997</v>
      </c>
      <c r="C6609" s="23">
        <v>0</v>
      </c>
    </row>
    <row r="6610" spans="1:3" x14ac:dyDescent="0.25">
      <c r="A6610">
        <v>6609</v>
      </c>
      <c r="B6610" s="23">
        <v>803.82</v>
      </c>
      <c r="C6610" s="23">
        <v>0</v>
      </c>
    </row>
    <row r="6611" spans="1:3" x14ac:dyDescent="0.25">
      <c r="A6611">
        <v>6610</v>
      </c>
      <c r="B6611" s="23">
        <v>803.01300000000003</v>
      </c>
      <c r="C6611" s="23">
        <v>0</v>
      </c>
    </row>
    <row r="6612" spans="1:3" x14ac:dyDescent="0.25">
      <c r="A6612">
        <v>6611</v>
      </c>
      <c r="B6612" s="23">
        <v>802.62199999999996</v>
      </c>
      <c r="C6612" s="23">
        <v>0</v>
      </c>
    </row>
    <row r="6613" spans="1:3" x14ac:dyDescent="0.25">
      <c r="A6613">
        <v>6612</v>
      </c>
      <c r="B6613" s="23">
        <v>802.29112320000002</v>
      </c>
      <c r="C6613" s="23">
        <v>0</v>
      </c>
    </row>
    <row r="6614" spans="1:3" x14ac:dyDescent="0.25">
      <c r="A6614">
        <v>6613</v>
      </c>
      <c r="B6614" s="23">
        <v>802.24199999999996</v>
      </c>
      <c r="C6614" s="23">
        <v>0</v>
      </c>
    </row>
    <row r="6615" spans="1:3" x14ac:dyDescent="0.25">
      <c r="A6615">
        <v>6614</v>
      </c>
      <c r="B6615" s="23">
        <v>802.23694190000003</v>
      </c>
      <c r="C6615" s="23">
        <v>0</v>
      </c>
    </row>
    <row r="6616" spans="1:3" x14ac:dyDescent="0.25">
      <c r="A6616">
        <v>6615</v>
      </c>
      <c r="B6616" s="23">
        <v>801.82993060000001</v>
      </c>
      <c r="C6616" s="23">
        <v>0</v>
      </c>
    </row>
    <row r="6617" spans="1:3" x14ac:dyDescent="0.25">
      <c r="A6617">
        <v>6616</v>
      </c>
      <c r="B6617" s="23">
        <v>800.50264700000002</v>
      </c>
      <c r="C6617" s="23">
        <v>0</v>
      </c>
    </row>
    <row r="6618" spans="1:3" x14ac:dyDescent="0.25">
      <c r="A6618">
        <v>6617</v>
      </c>
      <c r="B6618" s="23">
        <v>799.5405872</v>
      </c>
      <c r="C6618" s="23">
        <v>0</v>
      </c>
    </row>
    <row r="6619" spans="1:3" x14ac:dyDescent="0.25">
      <c r="A6619">
        <v>6618</v>
      </c>
      <c r="B6619" s="23">
        <v>799.2</v>
      </c>
      <c r="C6619" s="23">
        <v>0</v>
      </c>
    </row>
    <row r="6620" spans="1:3" x14ac:dyDescent="0.25">
      <c r="A6620">
        <v>6619</v>
      </c>
      <c r="B6620" s="23">
        <v>799.11199999999997</v>
      </c>
      <c r="C6620" s="23">
        <v>0</v>
      </c>
    </row>
    <row r="6621" spans="1:3" x14ac:dyDescent="0.25">
      <c r="A6621">
        <v>6620</v>
      </c>
      <c r="B6621" s="23">
        <v>799.08699999999999</v>
      </c>
      <c r="C6621" s="23">
        <v>0</v>
      </c>
    </row>
    <row r="6622" spans="1:3" x14ac:dyDescent="0.25">
      <c r="A6622">
        <v>6621</v>
      </c>
      <c r="B6622" s="23">
        <v>798.53026409999995</v>
      </c>
      <c r="C6622" s="23">
        <v>0</v>
      </c>
    </row>
    <row r="6623" spans="1:3" x14ac:dyDescent="0.25">
      <c r="A6623">
        <v>6622</v>
      </c>
      <c r="B6623" s="23">
        <v>798.4</v>
      </c>
      <c r="C6623" s="23">
        <v>0</v>
      </c>
    </row>
    <row r="6624" spans="1:3" x14ac:dyDescent="0.25">
      <c r="A6624">
        <v>6623</v>
      </c>
      <c r="B6624" s="23">
        <v>797.73991130000002</v>
      </c>
      <c r="C6624" s="23">
        <v>0</v>
      </c>
    </row>
    <row r="6625" spans="1:3" x14ac:dyDescent="0.25">
      <c r="A6625">
        <v>6624</v>
      </c>
      <c r="B6625" s="23">
        <v>797.6</v>
      </c>
      <c r="C6625" s="23">
        <v>0</v>
      </c>
    </row>
    <row r="6626" spans="1:3" x14ac:dyDescent="0.25">
      <c r="A6626">
        <v>6625</v>
      </c>
      <c r="B6626" s="23">
        <v>797.6</v>
      </c>
      <c r="C6626" s="23">
        <v>0</v>
      </c>
    </row>
    <row r="6627" spans="1:3" x14ac:dyDescent="0.25">
      <c r="A6627">
        <v>6626</v>
      </c>
      <c r="B6627" s="23">
        <v>797.58699999999999</v>
      </c>
      <c r="C6627" s="23">
        <v>0</v>
      </c>
    </row>
    <row r="6628" spans="1:3" x14ac:dyDescent="0.25">
      <c r="A6628">
        <v>6627</v>
      </c>
      <c r="B6628" s="23">
        <v>796.56631389999995</v>
      </c>
      <c r="C6628" s="23">
        <v>0</v>
      </c>
    </row>
    <row r="6629" spans="1:3" x14ac:dyDescent="0.25">
      <c r="A6629">
        <v>6628</v>
      </c>
      <c r="B6629" s="23">
        <v>795.29445109999995</v>
      </c>
      <c r="C6629" s="23">
        <v>0</v>
      </c>
    </row>
    <row r="6630" spans="1:3" x14ac:dyDescent="0.25">
      <c r="A6630">
        <v>6629</v>
      </c>
      <c r="B6630" s="23">
        <v>793.13477639999996</v>
      </c>
      <c r="C6630" s="23">
        <v>0</v>
      </c>
    </row>
    <row r="6631" spans="1:3" x14ac:dyDescent="0.25">
      <c r="A6631">
        <v>6630</v>
      </c>
      <c r="B6631" s="23">
        <v>792</v>
      </c>
      <c r="C6631" s="23">
        <v>0</v>
      </c>
    </row>
    <row r="6632" spans="1:3" x14ac:dyDescent="0.25">
      <c r="A6632">
        <v>6631</v>
      </c>
      <c r="B6632" s="23">
        <v>791.33953910000002</v>
      </c>
      <c r="C6632" s="23">
        <v>0</v>
      </c>
    </row>
    <row r="6633" spans="1:3" x14ac:dyDescent="0.25">
      <c r="A6633">
        <v>6632</v>
      </c>
      <c r="B6633" s="23">
        <v>791.28369999999995</v>
      </c>
      <c r="C6633" s="23">
        <v>0</v>
      </c>
    </row>
    <row r="6634" spans="1:3" x14ac:dyDescent="0.25">
      <c r="A6634">
        <v>6633</v>
      </c>
      <c r="B6634" s="23">
        <v>790.38153769999997</v>
      </c>
      <c r="C6634" s="23">
        <v>0</v>
      </c>
    </row>
    <row r="6635" spans="1:3" x14ac:dyDescent="0.25">
      <c r="A6635">
        <v>6634</v>
      </c>
      <c r="B6635" s="23">
        <v>789.21296689999997</v>
      </c>
      <c r="C6635" s="23">
        <v>0</v>
      </c>
    </row>
    <row r="6636" spans="1:3" x14ac:dyDescent="0.25">
      <c r="A6636">
        <v>6635</v>
      </c>
      <c r="B6636" s="23">
        <v>788.80101909999996</v>
      </c>
      <c r="C6636" s="23">
        <v>0</v>
      </c>
    </row>
    <row r="6637" spans="1:3" x14ac:dyDescent="0.25">
      <c r="A6637">
        <v>6636</v>
      </c>
      <c r="B6637" s="23">
        <v>787.88075630000003</v>
      </c>
      <c r="C6637" s="23">
        <v>0</v>
      </c>
    </row>
    <row r="6638" spans="1:3" x14ac:dyDescent="0.25">
      <c r="A6638">
        <v>6637</v>
      </c>
      <c r="B6638" s="23">
        <v>785.53536689999999</v>
      </c>
      <c r="C6638" s="23">
        <v>0</v>
      </c>
    </row>
    <row r="6639" spans="1:3" x14ac:dyDescent="0.25">
      <c r="A6639">
        <v>6638</v>
      </c>
      <c r="B6639" s="23">
        <v>785.14634179999996</v>
      </c>
      <c r="C6639" s="23">
        <v>0</v>
      </c>
    </row>
    <row r="6640" spans="1:3" x14ac:dyDescent="0.25">
      <c r="A6640">
        <v>6639</v>
      </c>
      <c r="B6640" s="23">
        <v>784.8</v>
      </c>
      <c r="C6640" s="23">
        <v>0</v>
      </c>
    </row>
    <row r="6641" spans="1:3" x14ac:dyDescent="0.25">
      <c r="A6641">
        <v>6640</v>
      </c>
      <c r="B6641" s="23">
        <v>784.8</v>
      </c>
      <c r="C6641" s="23">
        <v>0</v>
      </c>
    </row>
    <row r="6642" spans="1:3" x14ac:dyDescent="0.25">
      <c r="A6642">
        <v>6641</v>
      </c>
      <c r="B6642" s="23">
        <v>784.74699999999996</v>
      </c>
      <c r="C6642" s="23">
        <v>0</v>
      </c>
    </row>
    <row r="6643" spans="1:3" x14ac:dyDescent="0.25">
      <c r="A6643">
        <v>6642</v>
      </c>
      <c r="B6643" s="23">
        <v>784.70982509999999</v>
      </c>
      <c r="C6643" s="23">
        <v>0</v>
      </c>
    </row>
    <row r="6644" spans="1:3" x14ac:dyDescent="0.25">
      <c r="A6644">
        <v>6643</v>
      </c>
      <c r="B6644" s="23">
        <v>782.7914389</v>
      </c>
      <c r="C6644" s="23">
        <v>0</v>
      </c>
    </row>
    <row r="6645" spans="1:3" x14ac:dyDescent="0.25">
      <c r="A6645">
        <v>6644</v>
      </c>
      <c r="B6645" s="23">
        <v>782.60707779999996</v>
      </c>
      <c r="C6645" s="23">
        <v>0</v>
      </c>
    </row>
    <row r="6646" spans="1:3" x14ac:dyDescent="0.25">
      <c r="A6646">
        <v>6645</v>
      </c>
      <c r="B6646" s="23">
        <v>782.59328679999999</v>
      </c>
      <c r="C6646" s="23">
        <v>0</v>
      </c>
    </row>
    <row r="6647" spans="1:3" x14ac:dyDescent="0.25">
      <c r="A6647">
        <v>6646</v>
      </c>
      <c r="B6647" s="23">
        <v>782.54486540000005</v>
      </c>
      <c r="C6647" s="23">
        <v>0</v>
      </c>
    </row>
    <row r="6648" spans="1:3" x14ac:dyDescent="0.25">
      <c r="A6648">
        <v>6647</v>
      </c>
      <c r="B6648" s="23">
        <v>781.83</v>
      </c>
      <c r="C6648" s="23">
        <v>0</v>
      </c>
    </row>
    <row r="6649" spans="1:3" x14ac:dyDescent="0.25">
      <c r="A6649">
        <v>6648</v>
      </c>
      <c r="B6649" s="23">
        <v>781.80352219999997</v>
      </c>
      <c r="C6649" s="23">
        <v>0</v>
      </c>
    </row>
    <row r="6650" spans="1:3" x14ac:dyDescent="0.25">
      <c r="A6650">
        <v>6649</v>
      </c>
      <c r="B6650" s="23">
        <v>780.47281369999996</v>
      </c>
      <c r="C6650" s="23">
        <v>0</v>
      </c>
    </row>
    <row r="6651" spans="1:3" x14ac:dyDescent="0.25">
      <c r="A6651">
        <v>6650</v>
      </c>
      <c r="B6651" s="23">
        <v>780.33399999999995</v>
      </c>
      <c r="C6651" s="23">
        <v>0</v>
      </c>
    </row>
    <row r="6652" spans="1:3" x14ac:dyDescent="0.25">
      <c r="A6652">
        <v>6651</v>
      </c>
      <c r="B6652" s="23">
        <v>780</v>
      </c>
      <c r="C6652" s="23">
        <v>0</v>
      </c>
    </row>
    <row r="6653" spans="1:3" x14ac:dyDescent="0.25">
      <c r="A6653">
        <v>6652</v>
      </c>
      <c r="B6653" s="23">
        <v>779.65120679999995</v>
      </c>
      <c r="C6653" s="23">
        <v>0</v>
      </c>
    </row>
    <row r="6654" spans="1:3" x14ac:dyDescent="0.25">
      <c r="A6654">
        <v>6653</v>
      </c>
      <c r="B6654" s="23">
        <v>779.2</v>
      </c>
      <c r="C6654" s="23">
        <v>0</v>
      </c>
    </row>
    <row r="6655" spans="1:3" x14ac:dyDescent="0.25">
      <c r="A6655">
        <v>6654</v>
      </c>
      <c r="B6655" s="23">
        <v>779.2</v>
      </c>
      <c r="C6655" s="23">
        <v>0</v>
      </c>
    </row>
    <row r="6656" spans="1:3" x14ac:dyDescent="0.25">
      <c r="A6656">
        <v>6655</v>
      </c>
      <c r="B6656" s="23">
        <v>778.4</v>
      </c>
      <c r="C6656" s="23">
        <v>0</v>
      </c>
    </row>
    <row r="6657" spans="1:3" x14ac:dyDescent="0.25">
      <c r="A6657">
        <v>6656</v>
      </c>
      <c r="B6657" s="23">
        <v>777.62115249999999</v>
      </c>
      <c r="C6657" s="23">
        <v>0</v>
      </c>
    </row>
    <row r="6658" spans="1:3" x14ac:dyDescent="0.25">
      <c r="A6658">
        <v>6657</v>
      </c>
      <c r="B6658" s="23">
        <v>777.27200000000005</v>
      </c>
      <c r="C6658" s="23">
        <v>0</v>
      </c>
    </row>
    <row r="6659" spans="1:3" x14ac:dyDescent="0.25">
      <c r="A6659">
        <v>6658</v>
      </c>
      <c r="B6659" s="23">
        <v>776.4016957</v>
      </c>
      <c r="C6659" s="23">
        <v>0</v>
      </c>
    </row>
    <row r="6660" spans="1:3" x14ac:dyDescent="0.25">
      <c r="A6660">
        <v>6659</v>
      </c>
      <c r="B6660" s="23">
        <v>776.12056670000004</v>
      </c>
      <c r="C6660" s="23">
        <v>0</v>
      </c>
    </row>
    <row r="6661" spans="1:3" x14ac:dyDescent="0.25">
      <c r="A6661">
        <v>6660</v>
      </c>
      <c r="B6661" s="23">
        <v>774.94734249999999</v>
      </c>
      <c r="C6661" s="23">
        <v>0</v>
      </c>
    </row>
    <row r="6662" spans="1:3" x14ac:dyDescent="0.25">
      <c r="A6662">
        <v>6661</v>
      </c>
      <c r="B6662" s="23">
        <v>774.4</v>
      </c>
      <c r="C6662" s="23">
        <v>0</v>
      </c>
    </row>
    <row r="6663" spans="1:3" x14ac:dyDescent="0.25">
      <c r="A6663">
        <v>6662</v>
      </c>
      <c r="B6663" s="23">
        <v>773.49022130000003</v>
      </c>
      <c r="C6663" s="23">
        <v>0</v>
      </c>
    </row>
    <row r="6664" spans="1:3" x14ac:dyDescent="0.25">
      <c r="A6664">
        <v>6663</v>
      </c>
      <c r="B6664" s="23">
        <v>772.29600670000002</v>
      </c>
      <c r="C6664" s="23">
        <v>0</v>
      </c>
    </row>
    <row r="6665" spans="1:3" x14ac:dyDescent="0.25">
      <c r="A6665">
        <v>6664</v>
      </c>
      <c r="B6665" s="23">
        <v>771.60400000000004</v>
      </c>
      <c r="C6665" s="23">
        <v>0</v>
      </c>
    </row>
    <row r="6666" spans="1:3" x14ac:dyDescent="0.25">
      <c r="A6666">
        <v>6665</v>
      </c>
      <c r="B6666" s="23">
        <v>771.21358729999997</v>
      </c>
      <c r="C6666" s="23">
        <v>0</v>
      </c>
    </row>
    <row r="6667" spans="1:3" x14ac:dyDescent="0.25">
      <c r="A6667">
        <v>6666</v>
      </c>
      <c r="B6667" s="23">
        <v>770.83699999999999</v>
      </c>
      <c r="C6667" s="23">
        <v>0</v>
      </c>
    </row>
    <row r="6668" spans="1:3" x14ac:dyDescent="0.25">
      <c r="A6668">
        <v>6667</v>
      </c>
      <c r="B6668" s="23">
        <v>770.80323899999996</v>
      </c>
      <c r="C6668" s="23">
        <v>0</v>
      </c>
    </row>
    <row r="6669" spans="1:3" x14ac:dyDescent="0.25">
      <c r="A6669">
        <v>6668</v>
      </c>
      <c r="B6669" s="23">
        <v>770.80323899999996</v>
      </c>
      <c r="C6669" s="23">
        <v>0</v>
      </c>
    </row>
    <row r="6670" spans="1:3" x14ac:dyDescent="0.25">
      <c r="A6670">
        <v>6669</v>
      </c>
      <c r="B6670" s="23">
        <v>769.6</v>
      </c>
      <c r="C6670" s="23">
        <v>0</v>
      </c>
    </row>
    <row r="6671" spans="1:3" x14ac:dyDescent="0.25">
      <c r="A6671">
        <v>6670</v>
      </c>
      <c r="B6671" s="23">
        <v>768.029</v>
      </c>
      <c r="C6671" s="23">
        <v>0</v>
      </c>
    </row>
    <row r="6672" spans="1:3" x14ac:dyDescent="0.25">
      <c r="A6672">
        <v>6671</v>
      </c>
      <c r="B6672" s="23">
        <v>768</v>
      </c>
      <c r="C6672" s="23">
        <v>0</v>
      </c>
    </row>
    <row r="6673" spans="1:3" x14ac:dyDescent="0.25">
      <c r="A6673">
        <v>6672</v>
      </c>
      <c r="B6673" s="23">
        <v>767.60199999999998</v>
      </c>
      <c r="C6673" s="23">
        <v>0</v>
      </c>
    </row>
    <row r="6674" spans="1:3" x14ac:dyDescent="0.25">
      <c r="A6674">
        <v>6673</v>
      </c>
      <c r="B6674" s="23">
        <v>764</v>
      </c>
      <c r="C6674" s="23">
        <v>0</v>
      </c>
    </row>
    <row r="6675" spans="1:3" x14ac:dyDescent="0.25">
      <c r="A6675">
        <v>6674</v>
      </c>
      <c r="B6675" s="23">
        <v>762.51503209999998</v>
      </c>
      <c r="C6675" s="23">
        <v>0</v>
      </c>
    </row>
    <row r="6676" spans="1:3" x14ac:dyDescent="0.25">
      <c r="A6676">
        <v>6675</v>
      </c>
      <c r="B6676" s="23">
        <v>761.97888880000005</v>
      </c>
      <c r="C6676" s="23">
        <v>0</v>
      </c>
    </row>
    <row r="6677" spans="1:3" x14ac:dyDescent="0.25">
      <c r="A6677">
        <v>6676</v>
      </c>
      <c r="B6677" s="23">
        <v>761.65854860000002</v>
      </c>
      <c r="C6677" s="23">
        <v>0</v>
      </c>
    </row>
    <row r="6678" spans="1:3" x14ac:dyDescent="0.25">
      <c r="A6678">
        <v>6677</v>
      </c>
      <c r="B6678" s="23">
        <v>760</v>
      </c>
      <c r="C6678" s="23">
        <v>0</v>
      </c>
    </row>
    <row r="6679" spans="1:3" x14ac:dyDescent="0.25">
      <c r="A6679">
        <v>6678</v>
      </c>
      <c r="B6679" s="23">
        <v>759.79216659999997</v>
      </c>
      <c r="C6679" s="23">
        <v>0</v>
      </c>
    </row>
    <row r="6680" spans="1:3" x14ac:dyDescent="0.25">
      <c r="A6680">
        <v>6679</v>
      </c>
      <c r="B6680" s="23">
        <v>759.47500000000002</v>
      </c>
      <c r="C6680" s="23">
        <v>0</v>
      </c>
    </row>
    <row r="6681" spans="1:3" x14ac:dyDescent="0.25">
      <c r="A6681">
        <v>6680</v>
      </c>
      <c r="B6681" s="23">
        <v>759.2</v>
      </c>
      <c r="C6681" s="23">
        <v>0</v>
      </c>
    </row>
    <row r="6682" spans="1:3" x14ac:dyDescent="0.25">
      <c r="A6682">
        <v>6681</v>
      </c>
      <c r="B6682" s="23">
        <v>758.12830910000002</v>
      </c>
      <c r="C6682" s="23">
        <v>0</v>
      </c>
    </row>
    <row r="6683" spans="1:3" x14ac:dyDescent="0.25">
      <c r="A6683">
        <v>6682</v>
      </c>
      <c r="B6683" s="23">
        <v>758.12830910000002</v>
      </c>
      <c r="C6683" s="23">
        <v>0</v>
      </c>
    </row>
    <row r="6684" spans="1:3" x14ac:dyDescent="0.25">
      <c r="A6684">
        <v>6683</v>
      </c>
      <c r="B6684" s="23">
        <v>756.98956090000001</v>
      </c>
      <c r="C6684" s="23">
        <v>0</v>
      </c>
    </row>
    <row r="6685" spans="1:3" x14ac:dyDescent="0.25">
      <c r="A6685">
        <v>6684</v>
      </c>
      <c r="B6685" s="23">
        <v>756.98956090000001</v>
      </c>
      <c r="C6685" s="23">
        <v>0</v>
      </c>
    </row>
    <row r="6686" spans="1:3" x14ac:dyDescent="0.25">
      <c r="A6686">
        <v>6685</v>
      </c>
      <c r="B6686" s="23">
        <v>756.62699999999995</v>
      </c>
      <c r="C6686" s="23">
        <v>0</v>
      </c>
    </row>
    <row r="6687" spans="1:3" x14ac:dyDescent="0.25">
      <c r="A6687">
        <v>6686</v>
      </c>
      <c r="B6687" s="23">
        <v>756.27099999999996</v>
      </c>
      <c r="C6687" s="23">
        <v>0</v>
      </c>
    </row>
    <row r="6688" spans="1:3" x14ac:dyDescent="0.25">
      <c r="A6688">
        <v>6687</v>
      </c>
      <c r="B6688" s="23">
        <v>755.2</v>
      </c>
      <c r="C6688" s="23">
        <v>0</v>
      </c>
    </row>
    <row r="6689" spans="1:3" x14ac:dyDescent="0.25">
      <c r="A6689">
        <v>6688</v>
      </c>
      <c r="B6689" s="23">
        <v>754.85698950000005</v>
      </c>
      <c r="C6689" s="23">
        <v>0</v>
      </c>
    </row>
    <row r="6690" spans="1:3" x14ac:dyDescent="0.25">
      <c r="A6690">
        <v>6689</v>
      </c>
      <c r="B6690" s="23">
        <v>754.4</v>
      </c>
      <c r="C6690" s="23">
        <v>0</v>
      </c>
    </row>
    <row r="6691" spans="1:3" x14ac:dyDescent="0.25">
      <c r="A6691">
        <v>6690</v>
      </c>
      <c r="B6691" s="23">
        <v>753.77300000000002</v>
      </c>
      <c r="C6691" s="23">
        <v>0</v>
      </c>
    </row>
    <row r="6692" spans="1:3" x14ac:dyDescent="0.25">
      <c r="A6692">
        <v>6691</v>
      </c>
      <c r="B6692" s="23">
        <v>752.97900000000004</v>
      </c>
      <c r="C6692" s="23">
        <v>0</v>
      </c>
    </row>
    <row r="6693" spans="1:3" x14ac:dyDescent="0.25">
      <c r="A6693">
        <v>6692</v>
      </c>
      <c r="B6693" s="23">
        <v>752.8</v>
      </c>
      <c r="C6693" s="23">
        <v>0</v>
      </c>
    </row>
    <row r="6694" spans="1:3" x14ac:dyDescent="0.25">
      <c r="A6694">
        <v>6693</v>
      </c>
      <c r="B6694" s="23">
        <v>752.1547736</v>
      </c>
      <c r="C6694" s="23">
        <v>0</v>
      </c>
    </row>
    <row r="6695" spans="1:3" x14ac:dyDescent="0.25">
      <c r="A6695">
        <v>6694</v>
      </c>
      <c r="B6695" s="23">
        <v>750.23040649999996</v>
      </c>
      <c r="C6695" s="23">
        <v>0</v>
      </c>
    </row>
    <row r="6696" spans="1:3" x14ac:dyDescent="0.25">
      <c r="A6696">
        <v>6695</v>
      </c>
      <c r="B6696" s="23">
        <v>750.08199999999999</v>
      </c>
      <c r="C6696" s="23">
        <v>0</v>
      </c>
    </row>
    <row r="6697" spans="1:3" x14ac:dyDescent="0.25">
      <c r="A6697">
        <v>6696</v>
      </c>
      <c r="B6697" s="23">
        <v>747.14490009999997</v>
      </c>
      <c r="C6697" s="23">
        <v>0</v>
      </c>
    </row>
    <row r="6698" spans="1:3" x14ac:dyDescent="0.25">
      <c r="A6698">
        <v>6697</v>
      </c>
      <c r="B6698" s="23">
        <v>746.53533789999994</v>
      </c>
      <c r="C6698" s="23">
        <v>0</v>
      </c>
    </row>
    <row r="6699" spans="1:3" x14ac:dyDescent="0.25">
      <c r="A6699">
        <v>6698</v>
      </c>
      <c r="B6699" s="23">
        <v>745.0430308</v>
      </c>
      <c r="C6699" s="23">
        <v>0</v>
      </c>
    </row>
    <row r="6700" spans="1:3" x14ac:dyDescent="0.25">
      <c r="A6700">
        <v>6699</v>
      </c>
      <c r="B6700" s="23">
        <v>743.17588279999995</v>
      </c>
      <c r="C6700" s="23">
        <v>0</v>
      </c>
    </row>
    <row r="6701" spans="1:3" x14ac:dyDescent="0.25">
      <c r="A6701">
        <v>6700</v>
      </c>
      <c r="B6701" s="23">
        <v>741.77171120000003</v>
      </c>
      <c r="C6701" s="23">
        <v>0</v>
      </c>
    </row>
    <row r="6702" spans="1:3" x14ac:dyDescent="0.25">
      <c r="A6702">
        <v>6701</v>
      </c>
      <c r="B6702" s="23">
        <v>741.6</v>
      </c>
      <c r="C6702" s="23">
        <v>0</v>
      </c>
    </row>
    <row r="6703" spans="1:3" x14ac:dyDescent="0.25">
      <c r="A6703">
        <v>6702</v>
      </c>
      <c r="B6703" s="23">
        <v>741.6</v>
      </c>
      <c r="C6703" s="23">
        <v>0</v>
      </c>
    </row>
    <row r="6704" spans="1:3" x14ac:dyDescent="0.25">
      <c r="A6704">
        <v>6703</v>
      </c>
      <c r="B6704" s="23">
        <v>740.53499999999997</v>
      </c>
      <c r="C6704" s="23">
        <v>0</v>
      </c>
    </row>
    <row r="6705" spans="1:3" x14ac:dyDescent="0.25">
      <c r="A6705">
        <v>6704</v>
      </c>
      <c r="B6705" s="23">
        <v>740.23699999999997</v>
      </c>
      <c r="C6705" s="23">
        <v>0</v>
      </c>
    </row>
    <row r="6706" spans="1:3" x14ac:dyDescent="0.25">
      <c r="A6706">
        <v>6705</v>
      </c>
      <c r="B6706" s="23">
        <v>739.31822160000002</v>
      </c>
      <c r="C6706" s="23">
        <v>0</v>
      </c>
    </row>
    <row r="6707" spans="1:3" x14ac:dyDescent="0.25">
      <c r="A6707">
        <v>6706</v>
      </c>
      <c r="B6707" s="23">
        <v>739.03177930000004</v>
      </c>
      <c r="C6707" s="23">
        <v>0</v>
      </c>
    </row>
    <row r="6708" spans="1:3" x14ac:dyDescent="0.25">
      <c r="A6708">
        <v>6707</v>
      </c>
      <c r="B6708" s="23">
        <v>738.4</v>
      </c>
      <c r="C6708" s="23">
        <v>0</v>
      </c>
    </row>
    <row r="6709" spans="1:3" x14ac:dyDescent="0.25">
      <c r="A6709">
        <v>6708</v>
      </c>
      <c r="B6709" s="23">
        <v>738.09127190000004</v>
      </c>
      <c r="C6709" s="23">
        <v>0</v>
      </c>
    </row>
    <row r="6710" spans="1:3" x14ac:dyDescent="0.25">
      <c r="A6710">
        <v>6709</v>
      </c>
      <c r="B6710" s="23">
        <v>736.95972759999995</v>
      </c>
      <c r="C6710" s="23">
        <v>0</v>
      </c>
    </row>
    <row r="6711" spans="1:3" x14ac:dyDescent="0.25">
      <c r="A6711">
        <v>6710</v>
      </c>
      <c r="B6711" s="23">
        <v>734.68059419999997</v>
      </c>
      <c r="C6711" s="23">
        <v>0</v>
      </c>
    </row>
    <row r="6712" spans="1:3" x14ac:dyDescent="0.25">
      <c r="A6712">
        <v>6711</v>
      </c>
      <c r="B6712" s="23">
        <v>734.4697688</v>
      </c>
      <c r="C6712" s="23">
        <v>0</v>
      </c>
    </row>
    <row r="6713" spans="1:3" x14ac:dyDescent="0.25">
      <c r="A6713">
        <v>6712</v>
      </c>
      <c r="B6713" s="23">
        <v>734.4</v>
      </c>
      <c r="C6713" s="23">
        <v>0</v>
      </c>
    </row>
    <row r="6714" spans="1:3" x14ac:dyDescent="0.25">
      <c r="A6714">
        <v>6713</v>
      </c>
      <c r="B6714" s="23">
        <v>733.59341229999995</v>
      </c>
      <c r="C6714" s="23">
        <v>0</v>
      </c>
    </row>
    <row r="6715" spans="1:3" x14ac:dyDescent="0.25">
      <c r="A6715">
        <v>6714</v>
      </c>
      <c r="B6715" s="23">
        <v>730.05288859999996</v>
      </c>
      <c r="C6715" s="23">
        <v>0</v>
      </c>
    </row>
    <row r="6716" spans="1:3" x14ac:dyDescent="0.25">
      <c r="A6716">
        <v>6715</v>
      </c>
      <c r="B6716" s="23">
        <v>729.6</v>
      </c>
      <c r="C6716" s="23">
        <v>0</v>
      </c>
    </row>
    <row r="6717" spans="1:3" x14ac:dyDescent="0.25">
      <c r="A6717">
        <v>6716</v>
      </c>
      <c r="B6717" s="23">
        <v>729.50426289999996</v>
      </c>
      <c r="C6717" s="23">
        <v>0</v>
      </c>
    </row>
    <row r="6718" spans="1:3" x14ac:dyDescent="0.25">
      <c r="A6718">
        <v>6717</v>
      </c>
      <c r="B6718" s="23">
        <v>728.8</v>
      </c>
      <c r="C6718" s="23">
        <v>0</v>
      </c>
    </row>
    <row r="6719" spans="1:3" x14ac:dyDescent="0.25">
      <c r="A6719">
        <v>6718</v>
      </c>
      <c r="B6719" s="23">
        <v>728.45918080000001</v>
      </c>
      <c r="C6719" s="23">
        <v>0</v>
      </c>
    </row>
    <row r="6720" spans="1:3" x14ac:dyDescent="0.25">
      <c r="A6720">
        <v>6719</v>
      </c>
      <c r="B6720" s="23">
        <v>727.59491720000005</v>
      </c>
      <c r="C6720" s="23">
        <v>0</v>
      </c>
    </row>
    <row r="6721" spans="1:3" x14ac:dyDescent="0.25">
      <c r="A6721">
        <v>6720</v>
      </c>
      <c r="B6721" s="23">
        <v>727.2</v>
      </c>
      <c r="C6721" s="23">
        <v>0</v>
      </c>
    </row>
    <row r="6722" spans="1:3" x14ac:dyDescent="0.25">
      <c r="A6722">
        <v>6721</v>
      </c>
      <c r="B6722" s="23">
        <v>726.71400000000006</v>
      </c>
      <c r="C6722" s="23">
        <v>0</v>
      </c>
    </row>
    <row r="6723" spans="1:3" x14ac:dyDescent="0.25">
      <c r="A6723">
        <v>6722</v>
      </c>
      <c r="B6723" s="23">
        <v>725.6</v>
      </c>
      <c r="C6723" s="23">
        <v>0</v>
      </c>
    </row>
    <row r="6724" spans="1:3" x14ac:dyDescent="0.25">
      <c r="A6724">
        <v>6723</v>
      </c>
      <c r="B6724" s="23">
        <v>724.5972835</v>
      </c>
      <c r="C6724" s="23">
        <v>0</v>
      </c>
    </row>
    <row r="6725" spans="1:3" x14ac:dyDescent="0.25">
      <c r="A6725">
        <v>6724</v>
      </c>
      <c r="B6725" s="23">
        <v>723.72900000000004</v>
      </c>
      <c r="C6725" s="23">
        <v>0</v>
      </c>
    </row>
    <row r="6726" spans="1:3" x14ac:dyDescent="0.25">
      <c r="A6726">
        <v>6725</v>
      </c>
      <c r="B6726" s="23">
        <v>723.2</v>
      </c>
      <c r="C6726" s="23">
        <v>0</v>
      </c>
    </row>
    <row r="6727" spans="1:3" x14ac:dyDescent="0.25">
      <c r="A6727">
        <v>6726</v>
      </c>
      <c r="B6727" s="23">
        <v>721.6</v>
      </c>
      <c r="C6727" s="23">
        <v>0</v>
      </c>
    </row>
    <row r="6728" spans="1:3" x14ac:dyDescent="0.25">
      <c r="A6728">
        <v>6727</v>
      </c>
      <c r="B6728" s="23">
        <v>720.8</v>
      </c>
      <c r="C6728" s="23">
        <v>0</v>
      </c>
    </row>
    <row r="6729" spans="1:3" x14ac:dyDescent="0.25">
      <c r="A6729">
        <v>6728</v>
      </c>
      <c r="B6729" s="23">
        <v>720.5878725</v>
      </c>
      <c r="C6729" s="23">
        <v>0</v>
      </c>
    </row>
    <row r="6730" spans="1:3" x14ac:dyDescent="0.25">
      <c r="A6730">
        <v>6729</v>
      </c>
      <c r="B6730" s="23">
        <v>720.37599999999998</v>
      </c>
      <c r="C6730" s="23">
        <v>0</v>
      </c>
    </row>
    <row r="6731" spans="1:3" x14ac:dyDescent="0.25">
      <c r="A6731">
        <v>6730</v>
      </c>
      <c r="B6731" s="23">
        <v>717.6</v>
      </c>
      <c r="C6731" s="23">
        <v>0</v>
      </c>
    </row>
    <row r="6732" spans="1:3" x14ac:dyDescent="0.25">
      <c r="A6732">
        <v>6731</v>
      </c>
      <c r="B6732" s="23">
        <v>716.923</v>
      </c>
      <c r="C6732" s="23">
        <v>0</v>
      </c>
    </row>
    <row r="6733" spans="1:3" x14ac:dyDescent="0.25">
      <c r="A6733">
        <v>6732</v>
      </c>
      <c r="B6733" s="23">
        <v>716.41898460000004</v>
      </c>
      <c r="C6733" s="23">
        <v>0</v>
      </c>
    </row>
    <row r="6734" spans="1:3" x14ac:dyDescent="0.25">
      <c r="A6734">
        <v>6733</v>
      </c>
      <c r="B6734" s="23">
        <v>716.39648629999999</v>
      </c>
      <c r="C6734" s="23">
        <v>0</v>
      </c>
    </row>
    <row r="6735" spans="1:3" x14ac:dyDescent="0.25">
      <c r="A6735">
        <v>6734</v>
      </c>
      <c r="B6735" s="23">
        <v>716.23921040000005</v>
      </c>
      <c r="C6735" s="23">
        <v>0</v>
      </c>
    </row>
    <row r="6736" spans="1:3" x14ac:dyDescent="0.25">
      <c r="A6736">
        <v>6735</v>
      </c>
      <c r="B6736" s="23">
        <v>715.84699999999998</v>
      </c>
      <c r="C6736" s="23">
        <v>0</v>
      </c>
    </row>
    <row r="6737" spans="1:3" x14ac:dyDescent="0.25">
      <c r="A6737">
        <v>6736</v>
      </c>
      <c r="B6737" s="23">
        <v>715.81875660000003</v>
      </c>
      <c r="C6737" s="23">
        <v>0</v>
      </c>
    </row>
    <row r="6738" spans="1:3" x14ac:dyDescent="0.25">
      <c r="A6738">
        <v>6737</v>
      </c>
      <c r="B6738" s="23">
        <v>715.66096619999996</v>
      </c>
      <c r="C6738" s="23">
        <v>0</v>
      </c>
    </row>
    <row r="6739" spans="1:3" x14ac:dyDescent="0.25">
      <c r="A6739">
        <v>6738</v>
      </c>
      <c r="B6739" s="23">
        <v>715.54852649999998</v>
      </c>
      <c r="C6739" s="23">
        <v>0</v>
      </c>
    </row>
    <row r="6740" spans="1:3" x14ac:dyDescent="0.25">
      <c r="A6740">
        <v>6739</v>
      </c>
      <c r="B6740" s="23">
        <v>714.16715869999996</v>
      </c>
      <c r="C6740" s="23">
        <v>0</v>
      </c>
    </row>
    <row r="6741" spans="1:3" x14ac:dyDescent="0.25">
      <c r="A6741">
        <v>6740</v>
      </c>
      <c r="B6741" s="23">
        <v>714.13</v>
      </c>
      <c r="C6741" s="23">
        <v>0</v>
      </c>
    </row>
    <row r="6742" spans="1:3" x14ac:dyDescent="0.25">
      <c r="A6742">
        <v>6741</v>
      </c>
      <c r="B6742" s="23">
        <v>713.6</v>
      </c>
      <c r="C6742" s="23">
        <v>0</v>
      </c>
    </row>
    <row r="6743" spans="1:3" x14ac:dyDescent="0.25">
      <c r="A6743">
        <v>6742</v>
      </c>
      <c r="B6743" s="23">
        <v>713.05774770000005</v>
      </c>
      <c r="C6743" s="23">
        <v>0</v>
      </c>
    </row>
    <row r="6744" spans="1:3" x14ac:dyDescent="0.25">
      <c r="A6744">
        <v>6743</v>
      </c>
      <c r="B6744" s="23">
        <v>712.78579090000005</v>
      </c>
      <c r="C6744" s="23">
        <v>0</v>
      </c>
    </row>
    <row r="6745" spans="1:3" x14ac:dyDescent="0.25">
      <c r="A6745">
        <v>6744</v>
      </c>
      <c r="B6745" s="23">
        <v>711.98336619999998</v>
      </c>
      <c r="C6745" s="23">
        <v>0</v>
      </c>
    </row>
    <row r="6746" spans="1:3" x14ac:dyDescent="0.25">
      <c r="A6746">
        <v>6745</v>
      </c>
      <c r="B6746" s="23">
        <v>709.94276330000002</v>
      </c>
      <c r="C6746" s="23">
        <v>0</v>
      </c>
    </row>
    <row r="6747" spans="1:3" x14ac:dyDescent="0.25">
      <c r="A6747">
        <v>6746</v>
      </c>
      <c r="B6747" s="23">
        <v>709.60699999999997</v>
      </c>
      <c r="C6747" s="23">
        <v>0</v>
      </c>
    </row>
    <row r="6748" spans="1:3" x14ac:dyDescent="0.25">
      <c r="A6748">
        <v>6747</v>
      </c>
      <c r="B6748" s="23">
        <v>708.8</v>
      </c>
      <c r="C6748" s="23">
        <v>0</v>
      </c>
    </row>
    <row r="6749" spans="1:3" x14ac:dyDescent="0.25">
      <c r="A6749">
        <v>6748</v>
      </c>
      <c r="B6749" s="23">
        <v>708.54326500000002</v>
      </c>
      <c r="C6749" s="23">
        <v>0</v>
      </c>
    </row>
    <row r="6750" spans="1:3" x14ac:dyDescent="0.25">
      <c r="A6750">
        <v>6749</v>
      </c>
      <c r="B6750" s="23">
        <v>707.95100360000004</v>
      </c>
      <c r="C6750" s="23">
        <v>0</v>
      </c>
    </row>
    <row r="6751" spans="1:3" x14ac:dyDescent="0.25">
      <c r="A6751">
        <v>6750</v>
      </c>
      <c r="B6751" s="23">
        <v>706.4</v>
      </c>
      <c r="C6751" s="23">
        <v>0</v>
      </c>
    </row>
    <row r="6752" spans="1:3" x14ac:dyDescent="0.25">
      <c r="A6752">
        <v>6751</v>
      </c>
      <c r="B6752" s="23">
        <v>706.09920620000003</v>
      </c>
      <c r="C6752" s="23">
        <v>0</v>
      </c>
    </row>
    <row r="6753" spans="1:3" x14ac:dyDescent="0.25">
      <c r="A6753">
        <v>6752</v>
      </c>
      <c r="B6753" s="23">
        <v>705.6</v>
      </c>
      <c r="C6753" s="23">
        <v>0</v>
      </c>
    </row>
    <row r="6754" spans="1:3" x14ac:dyDescent="0.25">
      <c r="A6754">
        <v>6753</v>
      </c>
      <c r="B6754" s="23">
        <v>704.9693661</v>
      </c>
      <c r="C6754" s="23">
        <v>0</v>
      </c>
    </row>
    <row r="6755" spans="1:3" x14ac:dyDescent="0.25">
      <c r="A6755">
        <v>6754</v>
      </c>
      <c r="B6755" s="23">
        <v>704.9693661</v>
      </c>
      <c r="C6755" s="23">
        <v>0</v>
      </c>
    </row>
    <row r="6756" spans="1:3" x14ac:dyDescent="0.25">
      <c r="A6756">
        <v>6755</v>
      </c>
      <c r="B6756" s="23">
        <v>704.87800000000004</v>
      </c>
      <c r="C6756" s="23">
        <v>0</v>
      </c>
    </row>
    <row r="6757" spans="1:3" x14ac:dyDescent="0.25">
      <c r="A6757">
        <v>6756</v>
      </c>
      <c r="B6757" s="23">
        <v>704</v>
      </c>
      <c r="C6757" s="23">
        <v>0</v>
      </c>
    </row>
    <row r="6758" spans="1:3" x14ac:dyDescent="0.25">
      <c r="A6758">
        <v>6757</v>
      </c>
      <c r="B6758" s="23">
        <v>700.8</v>
      </c>
      <c r="C6758" s="23">
        <v>0</v>
      </c>
    </row>
    <row r="6759" spans="1:3" x14ac:dyDescent="0.25">
      <c r="A6759">
        <v>6758</v>
      </c>
      <c r="B6759" s="23">
        <v>700.37699999999995</v>
      </c>
      <c r="C6759" s="23">
        <v>0</v>
      </c>
    </row>
    <row r="6760" spans="1:3" x14ac:dyDescent="0.25">
      <c r="A6760">
        <v>6759</v>
      </c>
      <c r="B6760" s="23">
        <v>699.2</v>
      </c>
      <c r="C6760" s="23">
        <v>0</v>
      </c>
    </row>
    <row r="6761" spans="1:3" x14ac:dyDescent="0.25">
      <c r="A6761">
        <v>6760</v>
      </c>
      <c r="B6761" s="23">
        <v>697.6</v>
      </c>
      <c r="C6761" s="23">
        <v>0</v>
      </c>
    </row>
    <row r="6762" spans="1:3" x14ac:dyDescent="0.25">
      <c r="A6762">
        <v>6761</v>
      </c>
      <c r="B6762" s="23">
        <v>697.26</v>
      </c>
      <c r="C6762" s="23">
        <v>0</v>
      </c>
    </row>
    <row r="6763" spans="1:3" x14ac:dyDescent="0.25">
      <c r="A6763">
        <v>6762</v>
      </c>
      <c r="B6763" s="23">
        <v>692.70191780000005</v>
      </c>
      <c r="C6763" s="23">
        <v>0</v>
      </c>
    </row>
    <row r="6764" spans="1:3" x14ac:dyDescent="0.25">
      <c r="A6764">
        <v>6763</v>
      </c>
      <c r="B6764" s="23">
        <v>691.88408790000005</v>
      </c>
      <c r="C6764" s="23">
        <v>0</v>
      </c>
    </row>
    <row r="6765" spans="1:3" x14ac:dyDescent="0.25">
      <c r="A6765">
        <v>6764</v>
      </c>
      <c r="B6765" s="23">
        <v>691.327</v>
      </c>
      <c r="C6765" s="23">
        <v>0</v>
      </c>
    </row>
    <row r="6766" spans="1:3" x14ac:dyDescent="0.25">
      <c r="A6766">
        <v>6765</v>
      </c>
      <c r="B6766" s="23">
        <v>690.74699999999996</v>
      </c>
      <c r="C6766" s="23">
        <v>0</v>
      </c>
    </row>
    <row r="6767" spans="1:3" x14ac:dyDescent="0.25">
      <c r="A6767">
        <v>6766</v>
      </c>
      <c r="B6767" s="23">
        <v>689.91724680000004</v>
      </c>
      <c r="C6767" s="23">
        <v>0</v>
      </c>
    </row>
    <row r="6768" spans="1:3" x14ac:dyDescent="0.25">
      <c r="A6768">
        <v>6767</v>
      </c>
      <c r="B6768" s="23">
        <v>689.6</v>
      </c>
      <c r="C6768" s="23">
        <v>0</v>
      </c>
    </row>
    <row r="6769" spans="1:3" x14ac:dyDescent="0.25">
      <c r="A6769">
        <v>6768</v>
      </c>
      <c r="B6769" s="23">
        <v>689.6</v>
      </c>
      <c r="C6769" s="23">
        <v>0</v>
      </c>
    </row>
    <row r="6770" spans="1:3" x14ac:dyDescent="0.25">
      <c r="A6770">
        <v>6769</v>
      </c>
      <c r="B6770" s="23">
        <v>688.60063060000004</v>
      </c>
      <c r="C6770" s="23">
        <v>0</v>
      </c>
    </row>
    <row r="6771" spans="1:3" x14ac:dyDescent="0.25">
      <c r="A6771">
        <v>6770</v>
      </c>
      <c r="B6771" s="23">
        <v>686.52730210000004</v>
      </c>
      <c r="C6771" s="23">
        <v>0</v>
      </c>
    </row>
    <row r="6772" spans="1:3" x14ac:dyDescent="0.25">
      <c r="A6772">
        <v>6771</v>
      </c>
      <c r="B6772" s="23">
        <v>686.4</v>
      </c>
      <c r="C6772" s="23">
        <v>0</v>
      </c>
    </row>
    <row r="6773" spans="1:3" x14ac:dyDescent="0.25">
      <c r="A6773">
        <v>6772</v>
      </c>
      <c r="B6773" s="23">
        <v>686.4</v>
      </c>
      <c r="C6773" s="23">
        <v>0</v>
      </c>
    </row>
    <row r="6774" spans="1:3" x14ac:dyDescent="0.25">
      <c r="A6774">
        <v>6773</v>
      </c>
      <c r="B6774" s="23">
        <v>683.53</v>
      </c>
      <c r="C6774" s="23">
        <v>0</v>
      </c>
    </row>
    <row r="6775" spans="1:3" x14ac:dyDescent="0.25">
      <c r="A6775">
        <v>6774</v>
      </c>
      <c r="B6775" s="23">
        <v>682.64874380000003</v>
      </c>
      <c r="C6775" s="23">
        <v>0</v>
      </c>
    </row>
    <row r="6776" spans="1:3" x14ac:dyDescent="0.25">
      <c r="A6776">
        <v>6775</v>
      </c>
      <c r="B6776" s="23">
        <v>680.1870404</v>
      </c>
      <c r="C6776" s="23">
        <v>0</v>
      </c>
    </row>
    <row r="6777" spans="1:3" x14ac:dyDescent="0.25">
      <c r="A6777">
        <v>6776</v>
      </c>
      <c r="B6777" s="23">
        <v>680.17200000000003</v>
      </c>
      <c r="C6777" s="23">
        <v>0</v>
      </c>
    </row>
    <row r="6778" spans="1:3" x14ac:dyDescent="0.25">
      <c r="A6778">
        <v>6777</v>
      </c>
      <c r="B6778" s="23">
        <v>679.43899999999996</v>
      </c>
      <c r="C6778" s="23">
        <v>0</v>
      </c>
    </row>
    <row r="6779" spans="1:3" x14ac:dyDescent="0.25">
      <c r="A6779">
        <v>6778</v>
      </c>
      <c r="B6779" s="23">
        <v>679.25099999999998</v>
      </c>
      <c r="C6779" s="23">
        <v>0</v>
      </c>
    </row>
    <row r="6780" spans="1:3" x14ac:dyDescent="0.25">
      <c r="A6780">
        <v>6779</v>
      </c>
      <c r="B6780" s="23">
        <v>678.56299999999999</v>
      </c>
      <c r="C6780" s="23">
        <v>0</v>
      </c>
    </row>
    <row r="6781" spans="1:3" x14ac:dyDescent="0.25">
      <c r="A6781">
        <v>6780</v>
      </c>
      <c r="B6781" s="23">
        <v>677.6</v>
      </c>
      <c r="C6781" s="23">
        <v>0</v>
      </c>
    </row>
    <row r="6782" spans="1:3" x14ac:dyDescent="0.25">
      <c r="A6782">
        <v>6781</v>
      </c>
      <c r="B6782" s="23">
        <v>676.8</v>
      </c>
      <c r="C6782" s="23">
        <v>0</v>
      </c>
    </row>
    <row r="6783" spans="1:3" x14ac:dyDescent="0.25">
      <c r="A6783">
        <v>6782</v>
      </c>
      <c r="B6783" s="23">
        <v>675.20736590000001</v>
      </c>
      <c r="C6783" s="23">
        <v>0</v>
      </c>
    </row>
    <row r="6784" spans="1:3" x14ac:dyDescent="0.25">
      <c r="A6784">
        <v>6783</v>
      </c>
      <c r="B6784" s="23">
        <v>674.84971350000001</v>
      </c>
      <c r="C6784" s="23">
        <v>0</v>
      </c>
    </row>
    <row r="6785" spans="1:3" x14ac:dyDescent="0.25">
      <c r="A6785">
        <v>6784</v>
      </c>
      <c r="B6785" s="23">
        <v>674.25599999999997</v>
      </c>
      <c r="C6785" s="23">
        <v>0</v>
      </c>
    </row>
    <row r="6786" spans="1:3" x14ac:dyDescent="0.25">
      <c r="A6786">
        <v>6785</v>
      </c>
      <c r="B6786" s="23">
        <v>673.70516880000002</v>
      </c>
      <c r="C6786" s="23">
        <v>0</v>
      </c>
    </row>
    <row r="6787" spans="1:3" x14ac:dyDescent="0.25">
      <c r="A6787">
        <v>6786</v>
      </c>
      <c r="B6787" s="23">
        <v>672.96768250000002</v>
      </c>
      <c r="C6787" s="23">
        <v>0</v>
      </c>
    </row>
    <row r="6788" spans="1:3" x14ac:dyDescent="0.25">
      <c r="A6788">
        <v>6787</v>
      </c>
      <c r="B6788" s="23">
        <v>672.00775469999996</v>
      </c>
      <c r="C6788" s="23">
        <v>0</v>
      </c>
    </row>
    <row r="6789" spans="1:3" x14ac:dyDescent="0.25">
      <c r="A6789">
        <v>6788</v>
      </c>
      <c r="B6789" s="23">
        <v>671.56</v>
      </c>
      <c r="C6789" s="23">
        <v>0</v>
      </c>
    </row>
    <row r="6790" spans="1:3" x14ac:dyDescent="0.25">
      <c r="A6790">
        <v>6789</v>
      </c>
      <c r="B6790" s="23">
        <v>671.43834059999995</v>
      </c>
      <c r="C6790" s="23">
        <v>0</v>
      </c>
    </row>
    <row r="6791" spans="1:3" x14ac:dyDescent="0.25">
      <c r="A6791">
        <v>6790</v>
      </c>
      <c r="B6791" s="23">
        <v>671.39792720000003</v>
      </c>
      <c r="C6791" s="23">
        <v>0</v>
      </c>
    </row>
    <row r="6792" spans="1:3" x14ac:dyDescent="0.25">
      <c r="A6792">
        <v>6791</v>
      </c>
      <c r="B6792" s="23">
        <v>668.8</v>
      </c>
      <c r="C6792" s="23">
        <v>0</v>
      </c>
    </row>
    <row r="6793" spans="1:3" x14ac:dyDescent="0.25">
      <c r="A6793">
        <v>6792</v>
      </c>
      <c r="B6793" s="23">
        <v>668.58768580000003</v>
      </c>
      <c r="C6793" s="23">
        <v>0</v>
      </c>
    </row>
    <row r="6794" spans="1:3" x14ac:dyDescent="0.25">
      <c r="A6794">
        <v>6793</v>
      </c>
      <c r="B6794" s="23">
        <v>667.76599999999996</v>
      </c>
      <c r="C6794" s="23">
        <v>0</v>
      </c>
    </row>
    <row r="6795" spans="1:3" x14ac:dyDescent="0.25">
      <c r="A6795">
        <v>6794</v>
      </c>
      <c r="B6795" s="23">
        <v>666.61295919999998</v>
      </c>
      <c r="C6795" s="23">
        <v>0</v>
      </c>
    </row>
    <row r="6796" spans="1:3" x14ac:dyDescent="0.25">
      <c r="A6796">
        <v>6795</v>
      </c>
      <c r="B6796" s="23">
        <v>664.43791750000003</v>
      </c>
      <c r="C6796" s="23">
        <v>0</v>
      </c>
    </row>
    <row r="6797" spans="1:3" x14ac:dyDescent="0.25">
      <c r="A6797">
        <v>6796</v>
      </c>
      <c r="B6797" s="23">
        <v>663.43904580000003</v>
      </c>
      <c r="C6797" s="23">
        <v>0</v>
      </c>
    </row>
    <row r="6798" spans="1:3" x14ac:dyDescent="0.25">
      <c r="A6798">
        <v>6797</v>
      </c>
      <c r="B6798" s="23">
        <v>662.31370019999997</v>
      </c>
      <c r="C6798" s="23">
        <v>0</v>
      </c>
    </row>
    <row r="6799" spans="1:3" x14ac:dyDescent="0.25">
      <c r="A6799">
        <v>6798</v>
      </c>
      <c r="B6799" s="23">
        <v>662.12599999999998</v>
      </c>
      <c r="C6799" s="23">
        <v>0</v>
      </c>
    </row>
    <row r="6800" spans="1:3" x14ac:dyDescent="0.25">
      <c r="A6800">
        <v>6799</v>
      </c>
      <c r="B6800" s="23">
        <v>660.13699999999994</v>
      </c>
      <c r="C6800" s="23">
        <v>0</v>
      </c>
    </row>
    <row r="6801" spans="1:3" x14ac:dyDescent="0.25">
      <c r="A6801">
        <v>6800</v>
      </c>
      <c r="B6801" s="23">
        <v>658.29600000000005</v>
      </c>
      <c r="C6801" s="23">
        <v>0</v>
      </c>
    </row>
    <row r="6802" spans="1:3" x14ac:dyDescent="0.25">
      <c r="A6802">
        <v>6801</v>
      </c>
      <c r="B6802" s="23">
        <v>657.35699999999997</v>
      </c>
      <c r="C6802" s="23">
        <v>0</v>
      </c>
    </row>
    <row r="6803" spans="1:3" x14ac:dyDescent="0.25">
      <c r="A6803">
        <v>6802</v>
      </c>
      <c r="B6803" s="23">
        <v>657.2479697</v>
      </c>
      <c r="C6803" s="23">
        <v>0</v>
      </c>
    </row>
    <row r="6804" spans="1:3" x14ac:dyDescent="0.25">
      <c r="A6804">
        <v>6803</v>
      </c>
      <c r="B6804" s="23">
        <v>656.8</v>
      </c>
      <c r="C6804" s="23">
        <v>0</v>
      </c>
    </row>
    <row r="6805" spans="1:3" x14ac:dyDescent="0.25">
      <c r="A6805">
        <v>6804</v>
      </c>
      <c r="B6805" s="23">
        <v>652.00560719999999</v>
      </c>
      <c r="C6805" s="23">
        <v>0</v>
      </c>
    </row>
    <row r="6806" spans="1:3" x14ac:dyDescent="0.25">
      <c r="A6806">
        <v>6805</v>
      </c>
      <c r="B6806" s="23">
        <v>650.26900000000001</v>
      </c>
      <c r="C6806" s="23">
        <v>0</v>
      </c>
    </row>
    <row r="6807" spans="1:3" x14ac:dyDescent="0.25">
      <c r="A6807">
        <v>6806</v>
      </c>
      <c r="B6807" s="23">
        <v>649.46416569999997</v>
      </c>
      <c r="C6807" s="23">
        <v>0</v>
      </c>
    </row>
    <row r="6808" spans="1:3" x14ac:dyDescent="0.25">
      <c r="A6808">
        <v>6807</v>
      </c>
      <c r="B6808" s="23">
        <v>646.74800000000005</v>
      </c>
      <c r="C6808" s="23">
        <v>0</v>
      </c>
    </row>
    <row r="6809" spans="1:3" x14ac:dyDescent="0.25">
      <c r="A6809">
        <v>6808</v>
      </c>
      <c r="B6809" s="23">
        <v>644.23233419999997</v>
      </c>
      <c r="C6809" s="23">
        <v>0</v>
      </c>
    </row>
    <row r="6810" spans="1:3" x14ac:dyDescent="0.25">
      <c r="A6810">
        <v>6809</v>
      </c>
      <c r="B6810" s="23">
        <v>642.91899999999998</v>
      </c>
      <c r="C6810" s="23">
        <v>0</v>
      </c>
    </row>
    <row r="6811" spans="1:3" x14ac:dyDescent="0.25">
      <c r="A6811">
        <v>6810</v>
      </c>
      <c r="B6811" s="23">
        <v>641.06084959999998</v>
      </c>
      <c r="C6811" s="23">
        <v>0</v>
      </c>
    </row>
    <row r="6812" spans="1:3" x14ac:dyDescent="0.25">
      <c r="A6812">
        <v>6811</v>
      </c>
      <c r="B6812" s="23">
        <v>639.76378890000001</v>
      </c>
      <c r="C6812" s="23">
        <v>0</v>
      </c>
    </row>
    <row r="6813" spans="1:3" x14ac:dyDescent="0.25">
      <c r="A6813">
        <v>6812</v>
      </c>
      <c r="B6813" s="23">
        <v>639.34450779999997</v>
      </c>
      <c r="C6813" s="23">
        <v>0</v>
      </c>
    </row>
    <row r="6814" spans="1:3" x14ac:dyDescent="0.25">
      <c r="A6814">
        <v>6813</v>
      </c>
      <c r="B6814" s="23">
        <v>638.4</v>
      </c>
      <c r="C6814" s="23">
        <v>0</v>
      </c>
    </row>
    <row r="6815" spans="1:3" x14ac:dyDescent="0.25">
      <c r="A6815">
        <v>6814</v>
      </c>
      <c r="B6815" s="23">
        <v>637.62699999999995</v>
      </c>
      <c r="C6815" s="23">
        <v>0</v>
      </c>
    </row>
    <row r="6816" spans="1:3" x14ac:dyDescent="0.25">
      <c r="A6816">
        <v>6815</v>
      </c>
      <c r="B6816" s="23">
        <v>636.197</v>
      </c>
      <c r="C6816" s="23">
        <v>0</v>
      </c>
    </row>
    <row r="6817" spans="1:3" x14ac:dyDescent="0.25">
      <c r="A6817">
        <v>6816</v>
      </c>
      <c r="B6817" s="23">
        <v>635.20000000000005</v>
      </c>
      <c r="C6817" s="23">
        <v>0</v>
      </c>
    </row>
    <row r="6818" spans="1:3" x14ac:dyDescent="0.25">
      <c r="A6818">
        <v>6817</v>
      </c>
      <c r="B6818" s="23">
        <v>632.529</v>
      </c>
      <c r="C6818" s="23">
        <v>0</v>
      </c>
    </row>
    <row r="6819" spans="1:3" x14ac:dyDescent="0.25">
      <c r="A6819">
        <v>6818</v>
      </c>
      <c r="B6819" s="23">
        <v>631.52351739999995</v>
      </c>
      <c r="C6819" s="23">
        <v>0</v>
      </c>
    </row>
    <row r="6820" spans="1:3" x14ac:dyDescent="0.25">
      <c r="A6820">
        <v>6819</v>
      </c>
      <c r="B6820" s="23">
        <v>627.10900000000004</v>
      </c>
      <c r="C6820" s="23">
        <v>0</v>
      </c>
    </row>
    <row r="6821" spans="1:3" x14ac:dyDescent="0.25">
      <c r="A6821">
        <v>6820</v>
      </c>
      <c r="B6821" s="23">
        <v>626.4</v>
      </c>
      <c r="C6821" s="23">
        <v>0</v>
      </c>
    </row>
    <row r="6822" spans="1:3" x14ac:dyDescent="0.25">
      <c r="A6822">
        <v>6821</v>
      </c>
      <c r="B6822" s="23">
        <v>625.81600000000003</v>
      </c>
      <c r="C6822" s="23">
        <v>0</v>
      </c>
    </row>
    <row r="6823" spans="1:3" x14ac:dyDescent="0.25">
      <c r="A6823">
        <v>6822</v>
      </c>
      <c r="B6823" s="23">
        <v>624.67622210000002</v>
      </c>
      <c r="C6823" s="23">
        <v>0</v>
      </c>
    </row>
    <row r="6824" spans="1:3" x14ac:dyDescent="0.25">
      <c r="A6824">
        <v>6823</v>
      </c>
      <c r="B6824" s="23">
        <v>624.50337479999996</v>
      </c>
      <c r="C6824" s="23">
        <v>0</v>
      </c>
    </row>
    <row r="6825" spans="1:3" x14ac:dyDescent="0.25">
      <c r="A6825">
        <v>6824</v>
      </c>
      <c r="B6825" s="23">
        <v>622.72199999999998</v>
      </c>
      <c r="C6825" s="23">
        <v>0</v>
      </c>
    </row>
    <row r="6826" spans="1:3" x14ac:dyDescent="0.25">
      <c r="A6826">
        <v>6825</v>
      </c>
      <c r="B6826" s="23">
        <v>622.30619920000004</v>
      </c>
      <c r="C6826" s="23">
        <v>0</v>
      </c>
    </row>
    <row r="6827" spans="1:3" x14ac:dyDescent="0.25">
      <c r="A6827">
        <v>6826</v>
      </c>
      <c r="B6827" s="23">
        <v>621.66899999999998</v>
      </c>
      <c r="C6827" s="23">
        <v>0</v>
      </c>
    </row>
    <row r="6828" spans="1:3" x14ac:dyDescent="0.25">
      <c r="A6828">
        <v>6827</v>
      </c>
      <c r="B6828" s="23">
        <v>619.02499999999998</v>
      </c>
      <c r="C6828" s="23">
        <v>0</v>
      </c>
    </row>
    <row r="6829" spans="1:3" x14ac:dyDescent="0.25">
      <c r="A6829">
        <v>6828</v>
      </c>
      <c r="B6829" s="23">
        <v>618.95897239999999</v>
      </c>
      <c r="C6829" s="23">
        <v>0</v>
      </c>
    </row>
    <row r="6830" spans="1:3" x14ac:dyDescent="0.25">
      <c r="A6830">
        <v>6829</v>
      </c>
      <c r="B6830" s="23">
        <v>618.40599999999995</v>
      </c>
      <c r="C6830" s="23">
        <v>0</v>
      </c>
    </row>
    <row r="6831" spans="1:3" x14ac:dyDescent="0.25">
      <c r="A6831">
        <v>6830</v>
      </c>
      <c r="B6831" s="23">
        <v>617.57899999999995</v>
      </c>
      <c r="C6831" s="23">
        <v>0</v>
      </c>
    </row>
    <row r="6832" spans="1:3" x14ac:dyDescent="0.25">
      <c r="A6832">
        <v>6831</v>
      </c>
      <c r="B6832" s="23">
        <v>615.89599999999996</v>
      </c>
      <c r="C6832" s="23">
        <v>0</v>
      </c>
    </row>
    <row r="6833" spans="1:3" x14ac:dyDescent="0.25">
      <c r="A6833">
        <v>6832</v>
      </c>
      <c r="B6833" s="23">
        <v>615.82590800000003</v>
      </c>
      <c r="C6833" s="23">
        <v>0</v>
      </c>
    </row>
    <row r="6834" spans="1:3" x14ac:dyDescent="0.25">
      <c r="A6834">
        <v>6833</v>
      </c>
      <c r="B6834" s="23">
        <v>615.27700000000004</v>
      </c>
      <c r="C6834" s="23">
        <v>0</v>
      </c>
    </row>
    <row r="6835" spans="1:3" x14ac:dyDescent="0.25">
      <c r="A6835">
        <v>6834</v>
      </c>
      <c r="B6835" s="23">
        <v>612.69899999999996</v>
      </c>
      <c r="C6835" s="23">
        <v>0</v>
      </c>
    </row>
    <row r="6836" spans="1:3" x14ac:dyDescent="0.25">
      <c r="A6836">
        <v>6835</v>
      </c>
      <c r="B6836" s="23">
        <v>609.28326890000005</v>
      </c>
      <c r="C6836" s="23">
        <v>0</v>
      </c>
    </row>
    <row r="6837" spans="1:3" x14ac:dyDescent="0.25">
      <c r="A6837">
        <v>6836</v>
      </c>
      <c r="B6837" s="23">
        <v>609.18320500000004</v>
      </c>
      <c r="C6837" s="23">
        <v>0</v>
      </c>
    </row>
    <row r="6838" spans="1:3" x14ac:dyDescent="0.25">
      <c r="A6838">
        <v>6837</v>
      </c>
      <c r="B6838" s="23">
        <v>607.80183720000002</v>
      </c>
      <c r="C6838" s="23">
        <v>0</v>
      </c>
    </row>
    <row r="6839" spans="1:3" x14ac:dyDescent="0.25">
      <c r="A6839">
        <v>6838</v>
      </c>
      <c r="B6839" s="23">
        <v>606.67700000000002</v>
      </c>
      <c r="C6839" s="23">
        <v>0</v>
      </c>
    </row>
    <row r="6840" spans="1:3" x14ac:dyDescent="0.25">
      <c r="A6840">
        <v>6839</v>
      </c>
      <c r="B6840" s="23">
        <v>606.4</v>
      </c>
      <c r="C6840" s="23">
        <v>0</v>
      </c>
    </row>
    <row r="6841" spans="1:3" x14ac:dyDescent="0.25">
      <c r="A6841">
        <v>6840</v>
      </c>
      <c r="B6841" s="23">
        <v>606.01194929999997</v>
      </c>
      <c r="C6841" s="23">
        <v>0</v>
      </c>
    </row>
    <row r="6842" spans="1:3" x14ac:dyDescent="0.25">
      <c r="A6842">
        <v>6841</v>
      </c>
      <c r="B6842" s="23">
        <v>603.31600000000003</v>
      </c>
      <c r="C6842" s="23">
        <v>0</v>
      </c>
    </row>
    <row r="6843" spans="1:3" x14ac:dyDescent="0.25">
      <c r="A6843">
        <v>6842</v>
      </c>
      <c r="B6843" s="23">
        <v>602.4</v>
      </c>
      <c r="C6843" s="23">
        <v>0</v>
      </c>
    </row>
    <row r="6844" spans="1:3" x14ac:dyDescent="0.25">
      <c r="A6844">
        <v>6843</v>
      </c>
      <c r="B6844" s="23">
        <v>602.27636600000005</v>
      </c>
      <c r="C6844" s="23">
        <v>0</v>
      </c>
    </row>
    <row r="6845" spans="1:3" x14ac:dyDescent="0.25">
      <c r="A6845">
        <v>6844</v>
      </c>
      <c r="B6845" s="23">
        <v>601.17899999999997</v>
      </c>
      <c r="C6845" s="23">
        <v>0</v>
      </c>
    </row>
    <row r="6846" spans="1:3" x14ac:dyDescent="0.25">
      <c r="A6846">
        <v>6845</v>
      </c>
      <c r="B6846" s="23">
        <v>596.79999999999995</v>
      </c>
      <c r="C6846" s="23">
        <v>0</v>
      </c>
    </row>
    <row r="6847" spans="1:3" x14ac:dyDescent="0.25">
      <c r="A6847">
        <v>6846</v>
      </c>
      <c r="B6847" s="23">
        <v>596.20100000000002</v>
      </c>
      <c r="C6847" s="23">
        <v>0</v>
      </c>
    </row>
    <row r="6848" spans="1:3" x14ac:dyDescent="0.25">
      <c r="A6848">
        <v>6847</v>
      </c>
      <c r="B6848" s="23">
        <v>596</v>
      </c>
      <c r="C6848" s="23">
        <v>0</v>
      </c>
    </row>
    <row r="6849" spans="1:3" x14ac:dyDescent="0.25">
      <c r="A6849">
        <v>6848</v>
      </c>
      <c r="B6849" s="23">
        <v>594.4</v>
      </c>
      <c r="C6849" s="23">
        <v>0</v>
      </c>
    </row>
    <row r="6850" spans="1:3" x14ac:dyDescent="0.25">
      <c r="A6850">
        <v>6849</v>
      </c>
      <c r="B6850" s="23">
        <v>594.4</v>
      </c>
      <c r="C6850" s="23">
        <v>0</v>
      </c>
    </row>
    <row r="6851" spans="1:3" x14ac:dyDescent="0.25">
      <c r="A6851">
        <v>6850</v>
      </c>
      <c r="B6851" s="23">
        <v>593.74450090000005</v>
      </c>
      <c r="C6851" s="23">
        <v>0</v>
      </c>
    </row>
    <row r="6852" spans="1:3" x14ac:dyDescent="0.25">
      <c r="A6852">
        <v>6851</v>
      </c>
      <c r="B6852" s="23">
        <v>593.572</v>
      </c>
      <c r="C6852" s="23">
        <v>0</v>
      </c>
    </row>
    <row r="6853" spans="1:3" x14ac:dyDescent="0.25">
      <c r="A6853">
        <v>6852</v>
      </c>
      <c r="B6853" s="23">
        <v>593.52099999999996</v>
      </c>
      <c r="C6853" s="23">
        <v>0</v>
      </c>
    </row>
    <row r="6854" spans="1:3" x14ac:dyDescent="0.25">
      <c r="A6854">
        <v>6853</v>
      </c>
      <c r="B6854" s="23">
        <v>592.79999999999995</v>
      </c>
      <c r="C6854" s="23">
        <v>0</v>
      </c>
    </row>
    <row r="6855" spans="1:3" x14ac:dyDescent="0.25">
      <c r="A6855">
        <v>6854</v>
      </c>
      <c r="B6855" s="23">
        <v>592.38599999999997</v>
      </c>
      <c r="C6855" s="23">
        <v>0</v>
      </c>
    </row>
    <row r="6856" spans="1:3" x14ac:dyDescent="0.25">
      <c r="A6856">
        <v>6855</v>
      </c>
      <c r="B6856" s="23">
        <v>592.27099999999996</v>
      </c>
      <c r="C6856" s="23">
        <v>0</v>
      </c>
    </row>
    <row r="6857" spans="1:3" x14ac:dyDescent="0.25">
      <c r="A6857">
        <v>6856</v>
      </c>
      <c r="B6857" s="23">
        <v>592.19299999999998</v>
      </c>
      <c r="C6857" s="23">
        <v>0</v>
      </c>
    </row>
    <row r="6858" spans="1:3" x14ac:dyDescent="0.25">
      <c r="A6858">
        <v>6857</v>
      </c>
      <c r="B6858" s="23">
        <v>587.22981709999999</v>
      </c>
      <c r="C6858" s="23">
        <v>0</v>
      </c>
    </row>
    <row r="6859" spans="1:3" x14ac:dyDescent="0.25">
      <c r="A6859">
        <v>6858</v>
      </c>
      <c r="B6859" s="23">
        <v>586.4</v>
      </c>
      <c r="C6859" s="23">
        <v>0</v>
      </c>
    </row>
    <row r="6860" spans="1:3" x14ac:dyDescent="0.25">
      <c r="A6860">
        <v>6859</v>
      </c>
      <c r="B6860" s="23">
        <v>585.84067909999999</v>
      </c>
      <c r="C6860" s="23">
        <v>0</v>
      </c>
    </row>
    <row r="6861" spans="1:3" x14ac:dyDescent="0.25">
      <c r="A6861">
        <v>6860</v>
      </c>
      <c r="B6861" s="23">
        <v>584.91952690000005</v>
      </c>
      <c r="C6861" s="23">
        <v>0</v>
      </c>
    </row>
    <row r="6862" spans="1:3" x14ac:dyDescent="0.25">
      <c r="A6862">
        <v>6861</v>
      </c>
      <c r="B6862" s="23">
        <v>583.85898210000005</v>
      </c>
      <c r="C6862" s="23">
        <v>0</v>
      </c>
    </row>
    <row r="6863" spans="1:3" x14ac:dyDescent="0.25">
      <c r="A6863">
        <v>6862</v>
      </c>
      <c r="B6863" s="23">
        <v>583.14499999999998</v>
      </c>
      <c r="C6863" s="23">
        <v>0</v>
      </c>
    </row>
    <row r="6864" spans="1:3" x14ac:dyDescent="0.25">
      <c r="A6864">
        <v>6863</v>
      </c>
      <c r="B6864" s="23">
        <v>580.79999999999995</v>
      </c>
      <c r="C6864" s="23">
        <v>0</v>
      </c>
    </row>
    <row r="6865" spans="1:3" x14ac:dyDescent="0.25">
      <c r="A6865">
        <v>6864</v>
      </c>
      <c r="B6865" s="23">
        <v>576.79999999999995</v>
      </c>
      <c r="C6865" s="23">
        <v>0</v>
      </c>
    </row>
    <row r="6866" spans="1:3" x14ac:dyDescent="0.25">
      <c r="A6866">
        <v>6865</v>
      </c>
      <c r="B6866" s="23">
        <v>574.55641200000002</v>
      </c>
      <c r="C6866" s="23">
        <v>0</v>
      </c>
    </row>
    <row r="6867" spans="1:3" x14ac:dyDescent="0.25">
      <c r="A6867">
        <v>6866</v>
      </c>
      <c r="B6867" s="23">
        <v>571.13</v>
      </c>
      <c r="C6867" s="23">
        <v>0</v>
      </c>
    </row>
    <row r="6868" spans="1:3" x14ac:dyDescent="0.25">
      <c r="A6868">
        <v>6867</v>
      </c>
      <c r="B6868" s="23">
        <v>567.80213760000004</v>
      </c>
      <c r="C6868" s="23">
        <v>0</v>
      </c>
    </row>
    <row r="6869" spans="1:3" x14ac:dyDescent="0.25">
      <c r="A6869">
        <v>6868</v>
      </c>
      <c r="B6869" s="23">
        <v>565.02499999999998</v>
      </c>
      <c r="C6869" s="23">
        <v>0</v>
      </c>
    </row>
    <row r="6870" spans="1:3" x14ac:dyDescent="0.25">
      <c r="A6870">
        <v>6869</v>
      </c>
      <c r="B6870" s="23">
        <v>563.48479499999996</v>
      </c>
      <c r="C6870" s="23">
        <v>0</v>
      </c>
    </row>
    <row r="6871" spans="1:3" x14ac:dyDescent="0.25">
      <c r="A6871">
        <v>6870</v>
      </c>
      <c r="B6871" s="23">
        <v>561.58100000000002</v>
      </c>
      <c r="C6871" s="23">
        <v>0</v>
      </c>
    </row>
    <row r="6872" spans="1:3" x14ac:dyDescent="0.25">
      <c r="A6872">
        <v>6871</v>
      </c>
      <c r="B6872" s="23">
        <v>559.19799999999998</v>
      </c>
      <c r="C6872" s="23">
        <v>0</v>
      </c>
    </row>
    <row r="6873" spans="1:3" x14ac:dyDescent="0.25">
      <c r="A6873">
        <v>6872</v>
      </c>
      <c r="B6873" s="23">
        <v>558.47299999999996</v>
      </c>
      <c r="C6873" s="23">
        <v>0</v>
      </c>
    </row>
    <row r="6874" spans="1:3" x14ac:dyDescent="0.25">
      <c r="A6874">
        <v>6873</v>
      </c>
      <c r="B6874" s="23">
        <v>557.66491299999996</v>
      </c>
      <c r="C6874" s="23">
        <v>0</v>
      </c>
    </row>
    <row r="6875" spans="1:3" x14ac:dyDescent="0.25">
      <c r="A6875">
        <v>6874</v>
      </c>
      <c r="B6875" s="23">
        <v>556.71111889999997</v>
      </c>
      <c r="C6875" s="23">
        <v>0</v>
      </c>
    </row>
    <row r="6876" spans="1:3" x14ac:dyDescent="0.25">
      <c r="A6876">
        <v>6875</v>
      </c>
      <c r="B6876" s="23">
        <v>552.93399999999997</v>
      </c>
      <c r="C6876" s="23">
        <v>0</v>
      </c>
    </row>
    <row r="6877" spans="1:3" x14ac:dyDescent="0.25">
      <c r="A6877">
        <v>6876</v>
      </c>
      <c r="B6877" s="23">
        <v>551.20000000000005</v>
      </c>
      <c r="C6877" s="23">
        <v>0</v>
      </c>
    </row>
    <row r="6878" spans="1:3" x14ac:dyDescent="0.25">
      <c r="A6878">
        <v>6877</v>
      </c>
      <c r="B6878" s="23">
        <v>551.16575690000002</v>
      </c>
      <c r="C6878" s="23">
        <v>0</v>
      </c>
    </row>
    <row r="6879" spans="1:3" x14ac:dyDescent="0.25">
      <c r="A6879">
        <v>6878</v>
      </c>
      <c r="B6879" s="23">
        <v>550.78324399999997</v>
      </c>
      <c r="C6879" s="23">
        <v>0</v>
      </c>
    </row>
    <row r="6880" spans="1:3" x14ac:dyDescent="0.25">
      <c r="A6880">
        <v>6879</v>
      </c>
      <c r="B6880" s="23">
        <v>546.31036730000005</v>
      </c>
      <c r="C6880" s="23">
        <v>0</v>
      </c>
    </row>
    <row r="6881" spans="1:3" x14ac:dyDescent="0.25">
      <c r="A6881">
        <v>6880</v>
      </c>
      <c r="B6881" s="23">
        <v>545.50699999999995</v>
      </c>
      <c r="C6881" s="23">
        <v>0</v>
      </c>
    </row>
    <row r="6882" spans="1:3" x14ac:dyDescent="0.25">
      <c r="A6882">
        <v>6881</v>
      </c>
      <c r="B6882" s="23">
        <v>544.57399999999996</v>
      </c>
      <c r="C6882" s="23">
        <v>0</v>
      </c>
    </row>
    <row r="6883" spans="1:3" x14ac:dyDescent="0.25">
      <c r="A6883">
        <v>6882</v>
      </c>
      <c r="B6883" s="23">
        <v>537.63007909999999</v>
      </c>
      <c r="C6883" s="23">
        <v>0</v>
      </c>
    </row>
    <row r="6884" spans="1:3" x14ac:dyDescent="0.25">
      <c r="A6884">
        <v>6883</v>
      </c>
      <c r="B6884" s="23">
        <v>536.72096639999995</v>
      </c>
      <c r="C6884" s="23">
        <v>0</v>
      </c>
    </row>
    <row r="6885" spans="1:3" x14ac:dyDescent="0.25">
      <c r="A6885">
        <v>6884</v>
      </c>
      <c r="B6885" s="23">
        <v>534.4</v>
      </c>
      <c r="C6885" s="23">
        <v>0</v>
      </c>
    </row>
    <row r="6886" spans="1:3" x14ac:dyDescent="0.25">
      <c r="A6886">
        <v>6885</v>
      </c>
      <c r="B6886" s="23">
        <v>533.64300000000003</v>
      </c>
      <c r="C6886" s="23">
        <v>0</v>
      </c>
    </row>
    <row r="6887" spans="1:3" x14ac:dyDescent="0.25">
      <c r="A6887">
        <v>6886</v>
      </c>
      <c r="B6887" s="23">
        <v>532.41399999999999</v>
      </c>
      <c r="C6887" s="23">
        <v>0</v>
      </c>
    </row>
    <row r="6888" spans="1:3" x14ac:dyDescent="0.25">
      <c r="A6888">
        <v>6887</v>
      </c>
      <c r="B6888" s="23">
        <v>531.20240200000001</v>
      </c>
      <c r="C6888" s="23">
        <v>0</v>
      </c>
    </row>
    <row r="6889" spans="1:3" x14ac:dyDescent="0.25">
      <c r="A6889">
        <v>6888</v>
      </c>
      <c r="B6889" s="23">
        <v>526.4</v>
      </c>
      <c r="C6889" s="23">
        <v>0</v>
      </c>
    </row>
    <row r="6890" spans="1:3" x14ac:dyDescent="0.25">
      <c r="A6890">
        <v>6889</v>
      </c>
      <c r="B6890" s="23">
        <v>524.35245369999996</v>
      </c>
      <c r="C6890" s="23">
        <v>0</v>
      </c>
    </row>
    <row r="6891" spans="1:3" x14ac:dyDescent="0.25">
      <c r="A6891">
        <v>6890</v>
      </c>
      <c r="B6891" s="23">
        <v>520.87581420000004</v>
      </c>
      <c r="C6891" s="23">
        <v>0</v>
      </c>
    </row>
    <row r="6892" spans="1:3" x14ac:dyDescent="0.25">
      <c r="A6892">
        <v>6891</v>
      </c>
      <c r="B6892" s="23">
        <v>520.63199999999995</v>
      </c>
      <c r="C6892" s="23">
        <v>0</v>
      </c>
    </row>
    <row r="6893" spans="1:3" x14ac:dyDescent="0.25">
      <c r="A6893">
        <v>6892</v>
      </c>
      <c r="B6893" s="23">
        <v>516.86849119999999</v>
      </c>
      <c r="C6893" s="23">
        <v>0</v>
      </c>
    </row>
    <row r="6894" spans="1:3" x14ac:dyDescent="0.25">
      <c r="A6894">
        <v>6893</v>
      </c>
      <c r="B6894" s="23">
        <v>512.77934170000003</v>
      </c>
      <c r="C6894" s="23">
        <v>0</v>
      </c>
    </row>
    <row r="6895" spans="1:3" x14ac:dyDescent="0.25">
      <c r="A6895">
        <v>6894</v>
      </c>
      <c r="B6895" s="23">
        <v>511.43934539999998</v>
      </c>
      <c r="C6895" s="23">
        <v>0</v>
      </c>
    </row>
    <row r="6896" spans="1:3" x14ac:dyDescent="0.25">
      <c r="A6896">
        <v>6895</v>
      </c>
      <c r="B6896" s="23">
        <v>511.27271789999998</v>
      </c>
      <c r="C6896" s="23">
        <v>0</v>
      </c>
    </row>
    <row r="6897" spans="1:3" x14ac:dyDescent="0.25">
      <c r="A6897">
        <v>6896</v>
      </c>
      <c r="B6897" s="23">
        <v>506.27130299999999</v>
      </c>
      <c r="C6897" s="23">
        <v>0</v>
      </c>
    </row>
    <row r="6898" spans="1:3" x14ac:dyDescent="0.25">
      <c r="A6898">
        <v>6897</v>
      </c>
      <c r="B6898" s="23">
        <v>505.6</v>
      </c>
      <c r="C6898" s="23">
        <v>0</v>
      </c>
    </row>
    <row r="6899" spans="1:3" x14ac:dyDescent="0.25">
      <c r="A6899">
        <v>6898</v>
      </c>
      <c r="B6899" s="23">
        <v>505.6</v>
      </c>
      <c r="C6899" s="23">
        <v>0</v>
      </c>
    </row>
    <row r="6900" spans="1:3" x14ac:dyDescent="0.25">
      <c r="A6900">
        <v>6899</v>
      </c>
      <c r="B6900" s="23">
        <v>505.286</v>
      </c>
      <c r="C6900" s="23">
        <v>0</v>
      </c>
    </row>
    <row r="6901" spans="1:3" x14ac:dyDescent="0.25">
      <c r="A6901">
        <v>6900</v>
      </c>
      <c r="B6901" s="23">
        <v>504</v>
      </c>
      <c r="C6901" s="23">
        <v>0</v>
      </c>
    </row>
    <row r="6902" spans="1:3" x14ac:dyDescent="0.25">
      <c r="A6902">
        <v>6901</v>
      </c>
      <c r="B6902" s="23">
        <v>504</v>
      </c>
      <c r="C6902" s="23">
        <v>0</v>
      </c>
    </row>
    <row r="6903" spans="1:3" x14ac:dyDescent="0.25">
      <c r="A6903">
        <v>6902</v>
      </c>
      <c r="B6903" s="23">
        <v>503.24799999999999</v>
      </c>
      <c r="C6903" s="23">
        <v>0</v>
      </c>
    </row>
    <row r="6904" spans="1:3" x14ac:dyDescent="0.25">
      <c r="A6904">
        <v>6903</v>
      </c>
      <c r="B6904" s="23">
        <v>503.2</v>
      </c>
      <c r="C6904" s="23">
        <v>0</v>
      </c>
    </row>
    <row r="6905" spans="1:3" x14ac:dyDescent="0.25">
      <c r="A6905">
        <v>6904</v>
      </c>
      <c r="B6905" s="23">
        <v>502.0395833</v>
      </c>
      <c r="C6905" s="23">
        <v>0</v>
      </c>
    </row>
    <row r="6906" spans="1:3" x14ac:dyDescent="0.25">
      <c r="A6906">
        <v>6905</v>
      </c>
      <c r="B6906" s="23">
        <v>502.0395833</v>
      </c>
      <c r="C6906" s="23">
        <v>0</v>
      </c>
    </row>
    <row r="6907" spans="1:3" x14ac:dyDescent="0.25">
      <c r="A6907">
        <v>6906</v>
      </c>
      <c r="B6907" s="23">
        <v>501.6</v>
      </c>
      <c r="C6907" s="23">
        <v>0</v>
      </c>
    </row>
    <row r="6908" spans="1:3" x14ac:dyDescent="0.25">
      <c r="A6908">
        <v>6907</v>
      </c>
      <c r="B6908" s="23">
        <v>500.197</v>
      </c>
      <c r="C6908" s="23">
        <v>0</v>
      </c>
    </row>
    <row r="6909" spans="1:3" x14ac:dyDescent="0.25">
      <c r="A6909">
        <v>6908</v>
      </c>
      <c r="B6909" s="23">
        <v>498.73500000000001</v>
      </c>
      <c r="C6909" s="23">
        <v>0</v>
      </c>
    </row>
    <row r="6910" spans="1:3" x14ac:dyDescent="0.25">
      <c r="A6910">
        <v>6909</v>
      </c>
      <c r="B6910" s="23">
        <v>498.4</v>
      </c>
      <c r="C6910" s="23">
        <v>0</v>
      </c>
    </row>
    <row r="6911" spans="1:3" x14ac:dyDescent="0.25">
      <c r="A6911">
        <v>6910</v>
      </c>
      <c r="B6911" s="23">
        <v>498.4</v>
      </c>
      <c r="C6911" s="23">
        <v>0</v>
      </c>
    </row>
    <row r="6912" spans="1:3" x14ac:dyDescent="0.25">
      <c r="A6912">
        <v>6911</v>
      </c>
      <c r="B6912" s="23">
        <v>498.4</v>
      </c>
      <c r="C6912" s="23">
        <v>0</v>
      </c>
    </row>
    <row r="6913" spans="1:3" x14ac:dyDescent="0.25">
      <c r="A6913">
        <v>6912</v>
      </c>
      <c r="B6913" s="23">
        <v>497.6</v>
      </c>
      <c r="C6913" s="23">
        <v>0</v>
      </c>
    </row>
    <row r="6914" spans="1:3" x14ac:dyDescent="0.25">
      <c r="A6914">
        <v>6913</v>
      </c>
      <c r="B6914" s="23">
        <v>496.79506270000002</v>
      </c>
      <c r="C6914" s="23">
        <v>0</v>
      </c>
    </row>
    <row r="6915" spans="1:3" x14ac:dyDescent="0.25">
      <c r="A6915">
        <v>6914</v>
      </c>
      <c r="B6915" s="23">
        <v>496.46136569999999</v>
      </c>
      <c r="C6915" s="23">
        <v>0</v>
      </c>
    </row>
    <row r="6916" spans="1:3" x14ac:dyDescent="0.25">
      <c r="A6916">
        <v>6915</v>
      </c>
      <c r="B6916" s="23">
        <v>496.46136569999999</v>
      </c>
      <c r="C6916" s="23">
        <v>0</v>
      </c>
    </row>
    <row r="6917" spans="1:3" x14ac:dyDescent="0.25">
      <c r="A6917">
        <v>6916</v>
      </c>
      <c r="B6917" s="23">
        <v>496.46136569999999</v>
      </c>
      <c r="C6917" s="23">
        <v>0</v>
      </c>
    </row>
    <row r="6918" spans="1:3" x14ac:dyDescent="0.25">
      <c r="A6918">
        <v>6917</v>
      </c>
      <c r="B6918" s="23">
        <v>495.66447749999998</v>
      </c>
      <c r="C6918" s="23">
        <v>0</v>
      </c>
    </row>
    <row r="6919" spans="1:3" x14ac:dyDescent="0.25">
      <c r="A6919">
        <v>6918</v>
      </c>
      <c r="B6919" s="23">
        <v>495.60491400000001</v>
      </c>
      <c r="C6919" s="23">
        <v>0</v>
      </c>
    </row>
    <row r="6920" spans="1:3" x14ac:dyDescent="0.25">
      <c r="A6920">
        <v>6919</v>
      </c>
      <c r="B6920" s="23">
        <v>490.41</v>
      </c>
      <c r="C6920" s="23">
        <v>0</v>
      </c>
    </row>
    <row r="6921" spans="1:3" x14ac:dyDescent="0.25">
      <c r="A6921">
        <v>6920</v>
      </c>
      <c r="B6921" s="23">
        <v>489.88799999999998</v>
      </c>
      <c r="C6921" s="23">
        <v>0</v>
      </c>
    </row>
    <row r="6922" spans="1:3" x14ac:dyDescent="0.25">
      <c r="A6922">
        <v>6921</v>
      </c>
      <c r="B6922" s="23">
        <v>487.2</v>
      </c>
      <c r="C6922" s="23">
        <v>0</v>
      </c>
    </row>
    <row r="6923" spans="1:3" x14ac:dyDescent="0.25">
      <c r="A6923">
        <v>6922</v>
      </c>
      <c r="B6923" s="23">
        <v>485.77768409999999</v>
      </c>
      <c r="C6923" s="23">
        <v>0</v>
      </c>
    </row>
    <row r="6924" spans="1:3" x14ac:dyDescent="0.25">
      <c r="A6924">
        <v>6923</v>
      </c>
      <c r="B6924" s="23">
        <v>485.6</v>
      </c>
      <c r="C6924" s="23">
        <v>0</v>
      </c>
    </row>
    <row r="6925" spans="1:3" x14ac:dyDescent="0.25">
      <c r="A6925">
        <v>6924</v>
      </c>
      <c r="B6925" s="23">
        <v>485.30493059999998</v>
      </c>
      <c r="C6925" s="23">
        <v>0</v>
      </c>
    </row>
    <row r="6926" spans="1:3" x14ac:dyDescent="0.25">
      <c r="A6926">
        <v>6925</v>
      </c>
      <c r="B6926" s="23">
        <v>484.8</v>
      </c>
      <c r="C6926" s="23">
        <v>0</v>
      </c>
    </row>
    <row r="6927" spans="1:3" x14ac:dyDescent="0.25">
      <c r="A6927">
        <v>6926</v>
      </c>
      <c r="B6927" s="23">
        <v>483.71115409999999</v>
      </c>
      <c r="C6927" s="23">
        <v>0</v>
      </c>
    </row>
    <row r="6928" spans="1:3" x14ac:dyDescent="0.25">
      <c r="A6928">
        <v>6927</v>
      </c>
      <c r="B6928" s="23">
        <v>482.5196358</v>
      </c>
      <c r="C6928" s="23">
        <v>0</v>
      </c>
    </row>
    <row r="6929" spans="1:3" x14ac:dyDescent="0.25">
      <c r="A6929">
        <v>6928</v>
      </c>
      <c r="B6929" s="23">
        <v>481.14699999999999</v>
      </c>
      <c r="C6929" s="23">
        <v>0</v>
      </c>
    </row>
    <row r="6930" spans="1:3" x14ac:dyDescent="0.25">
      <c r="A6930">
        <v>6929</v>
      </c>
      <c r="B6930" s="23">
        <v>480.8</v>
      </c>
      <c r="C6930" s="23">
        <v>0</v>
      </c>
    </row>
    <row r="6931" spans="1:3" x14ac:dyDescent="0.25">
      <c r="A6931">
        <v>6930</v>
      </c>
      <c r="B6931" s="23">
        <v>479.27547499999997</v>
      </c>
      <c r="C6931" s="23">
        <v>0</v>
      </c>
    </row>
    <row r="6932" spans="1:3" x14ac:dyDescent="0.25">
      <c r="A6932">
        <v>6931</v>
      </c>
      <c r="B6932" s="23">
        <v>478.92982469999998</v>
      </c>
      <c r="C6932" s="23">
        <v>0</v>
      </c>
    </row>
    <row r="6933" spans="1:3" x14ac:dyDescent="0.25">
      <c r="A6933">
        <v>6932</v>
      </c>
      <c r="B6933" s="23">
        <v>478.66906499999999</v>
      </c>
      <c r="C6933" s="23">
        <v>0</v>
      </c>
    </row>
    <row r="6934" spans="1:3" x14ac:dyDescent="0.25">
      <c r="A6934">
        <v>6933</v>
      </c>
      <c r="B6934" s="23">
        <v>477.6</v>
      </c>
      <c r="C6934" s="23">
        <v>0</v>
      </c>
    </row>
    <row r="6935" spans="1:3" x14ac:dyDescent="0.25">
      <c r="A6935">
        <v>6934</v>
      </c>
      <c r="B6935" s="23">
        <v>475.74227180000003</v>
      </c>
      <c r="C6935" s="23">
        <v>0</v>
      </c>
    </row>
    <row r="6936" spans="1:3" x14ac:dyDescent="0.25">
      <c r="A6936">
        <v>6935</v>
      </c>
      <c r="B6936" s="23">
        <v>472</v>
      </c>
      <c r="C6936" s="23">
        <v>0</v>
      </c>
    </row>
    <row r="6937" spans="1:3" x14ac:dyDescent="0.25">
      <c r="A6937">
        <v>6936</v>
      </c>
      <c r="B6937" s="23">
        <v>472</v>
      </c>
      <c r="C6937" s="23">
        <v>0</v>
      </c>
    </row>
    <row r="6938" spans="1:3" x14ac:dyDescent="0.25">
      <c r="A6938">
        <v>6937</v>
      </c>
      <c r="B6938" s="23">
        <v>470.57523020000002</v>
      </c>
      <c r="C6938" s="23">
        <v>0</v>
      </c>
    </row>
    <row r="6939" spans="1:3" x14ac:dyDescent="0.25">
      <c r="A6939">
        <v>6938</v>
      </c>
      <c r="B6939" s="23">
        <v>470.16405420000001</v>
      </c>
      <c r="C6939" s="23">
        <v>0</v>
      </c>
    </row>
    <row r="6940" spans="1:3" x14ac:dyDescent="0.25">
      <c r="A6940">
        <v>6939</v>
      </c>
      <c r="B6940" s="23">
        <v>469.18798620000001</v>
      </c>
      <c r="C6940" s="23">
        <v>0</v>
      </c>
    </row>
    <row r="6941" spans="1:3" x14ac:dyDescent="0.25">
      <c r="A6941">
        <v>6940</v>
      </c>
      <c r="B6941" s="23">
        <v>467.2</v>
      </c>
      <c r="C6941" s="23">
        <v>0</v>
      </c>
    </row>
    <row r="6942" spans="1:3" x14ac:dyDescent="0.25">
      <c r="A6942">
        <v>6941</v>
      </c>
      <c r="B6942" s="23">
        <v>465.38272490000003</v>
      </c>
      <c r="C6942" s="23">
        <v>0</v>
      </c>
    </row>
    <row r="6943" spans="1:3" x14ac:dyDescent="0.25">
      <c r="A6943">
        <v>6942</v>
      </c>
      <c r="B6943" s="23">
        <v>460.31599999999997</v>
      </c>
      <c r="C6943" s="23">
        <v>0</v>
      </c>
    </row>
    <row r="6944" spans="1:3" x14ac:dyDescent="0.25">
      <c r="A6944">
        <v>6943</v>
      </c>
      <c r="B6944" s="23">
        <v>458.959</v>
      </c>
      <c r="C6944" s="23">
        <v>0</v>
      </c>
    </row>
    <row r="6945" spans="1:3" x14ac:dyDescent="0.25">
      <c r="A6945">
        <v>6944</v>
      </c>
      <c r="B6945" s="23">
        <v>457.786</v>
      </c>
      <c r="C6945" s="23">
        <v>0</v>
      </c>
    </row>
    <row r="6946" spans="1:3" x14ac:dyDescent="0.25">
      <c r="A6946">
        <v>6945</v>
      </c>
      <c r="B6946" s="23">
        <v>455.68700000000001</v>
      </c>
      <c r="C6946" s="23">
        <v>0</v>
      </c>
    </row>
    <row r="6947" spans="1:3" x14ac:dyDescent="0.25">
      <c r="A6947">
        <v>6946</v>
      </c>
      <c r="B6947" s="23">
        <v>453.9145072</v>
      </c>
      <c r="C6947" s="23">
        <v>0</v>
      </c>
    </row>
    <row r="6948" spans="1:3" x14ac:dyDescent="0.25">
      <c r="A6948">
        <v>6947</v>
      </c>
      <c r="B6948" s="23">
        <v>452.84161130000001</v>
      </c>
      <c r="C6948" s="23">
        <v>0</v>
      </c>
    </row>
    <row r="6949" spans="1:3" x14ac:dyDescent="0.25">
      <c r="A6949">
        <v>6948</v>
      </c>
      <c r="B6949" s="23">
        <v>451.69799999999998</v>
      </c>
      <c r="C6949" s="23">
        <v>0</v>
      </c>
    </row>
    <row r="6950" spans="1:3" x14ac:dyDescent="0.25">
      <c r="A6950">
        <v>6949</v>
      </c>
      <c r="B6950" s="23">
        <v>451.24799999999999</v>
      </c>
      <c r="C6950" s="23">
        <v>0</v>
      </c>
    </row>
    <row r="6951" spans="1:3" x14ac:dyDescent="0.25">
      <c r="A6951">
        <v>6950</v>
      </c>
      <c r="B6951" s="23">
        <v>450.4</v>
      </c>
      <c r="C6951" s="23">
        <v>0</v>
      </c>
    </row>
    <row r="6952" spans="1:3" x14ac:dyDescent="0.25">
      <c r="A6952">
        <v>6951</v>
      </c>
      <c r="B6952" s="23">
        <v>448.64807209999998</v>
      </c>
      <c r="C6952" s="23">
        <v>0</v>
      </c>
    </row>
    <row r="6953" spans="1:3" x14ac:dyDescent="0.25">
      <c r="A6953">
        <v>6952</v>
      </c>
      <c r="B6953" s="23">
        <v>445.51499999999999</v>
      </c>
      <c r="C6953" s="23">
        <v>0</v>
      </c>
    </row>
    <row r="6954" spans="1:3" x14ac:dyDescent="0.25">
      <c r="A6954">
        <v>6953</v>
      </c>
      <c r="B6954" s="23">
        <v>442.96899999999999</v>
      </c>
      <c r="C6954" s="23">
        <v>0</v>
      </c>
    </row>
    <row r="6955" spans="1:3" x14ac:dyDescent="0.25">
      <c r="A6955">
        <v>6954</v>
      </c>
      <c r="B6955" s="23">
        <v>442.79048189999997</v>
      </c>
      <c r="C6955" s="23">
        <v>0</v>
      </c>
    </row>
    <row r="6956" spans="1:3" x14ac:dyDescent="0.25">
      <c r="A6956">
        <v>6955</v>
      </c>
      <c r="B6956" s="23">
        <v>440.81031130000002</v>
      </c>
      <c r="C6956" s="23">
        <v>0</v>
      </c>
    </row>
    <row r="6957" spans="1:3" x14ac:dyDescent="0.25">
      <c r="A6957">
        <v>6956</v>
      </c>
      <c r="B6957" s="23">
        <v>437.88400000000001</v>
      </c>
      <c r="C6957" s="23">
        <v>0</v>
      </c>
    </row>
    <row r="6958" spans="1:3" x14ac:dyDescent="0.25">
      <c r="A6958">
        <v>6957</v>
      </c>
      <c r="B6958" s="23">
        <v>436.24113510000001</v>
      </c>
      <c r="C6958" s="23">
        <v>0</v>
      </c>
    </row>
    <row r="6959" spans="1:3" x14ac:dyDescent="0.25">
      <c r="A6959">
        <v>6958</v>
      </c>
      <c r="B6959" s="23">
        <v>433.4498423</v>
      </c>
      <c r="C6959" s="23">
        <v>0</v>
      </c>
    </row>
    <row r="6960" spans="1:3" x14ac:dyDescent="0.25">
      <c r="A6960">
        <v>6959</v>
      </c>
      <c r="B6960" s="23">
        <v>433.137</v>
      </c>
      <c r="C6960" s="23">
        <v>0</v>
      </c>
    </row>
    <row r="6961" spans="1:3" x14ac:dyDescent="0.25">
      <c r="A6961">
        <v>6960</v>
      </c>
      <c r="B6961" s="23">
        <v>432.66199999999998</v>
      </c>
      <c r="C6961" s="23">
        <v>0</v>
      </c>
    </row>
    <row r="6962" spans="1:3" x14ac:dyDescent="0.25">
      <c r="A6962">
        <v>6961</v>
      </c>
      <c r="B6962" s="23">
        <v>431.2</v>
      </c>
      <c r="C6962" s="23">
        <v>0</v>
      </c>
    </row>
    <row r="6963" spans="1:3" x14ac:dyDescent="0.25">
      <c r="A6963">
        <v>6962</v>
      </c>
      <c r="B6963" s="23">
        <v>426.08937329999998</v>
      </c>
      <c r="C6963" s="23">
        <v>0</v>
      </c>
    </row>
    <row r="6964" spans="1:3" x14ac:dyDescent="0.25">
      <c r="A6964">
        <v>6963</v>
      </c>
      <c r="B6964" s="23">
        <v>424</v>
      </c>
      <c r="C6964" s="23">
        <v>0</v>
      </c>
    </row>
    <row r="6965" spans="1:3" x14ac:dyDescent="0.25">
      <c r="A6965">
        <v>6964</v>
      </c>
      <c r="B6965" s="23">
        <v>423.39786789999999</v>
      </c>
      <c r="C6965" s="23">
        <v>0</v>
      </c>
    </row>
    <row r="6966" spans="1:3" x14ac:dyDescent="0.25">
      <c r="A6966">
        <v>6965</v>
      </c>
      <c r="B6966" s="23">
        <v>423.12299999999999</v>
      </c>
      <c r="C6966" s="23">
        <v>0</v>
      </c>
    </row>
    <row r="6967" spans="1:3" x14ac:dyDescent="0.25">
      <c r="A6967">
        <v>6966</v>
      </c>
      <c r="B6967" s="23">
        <v>422.94719659999998</v>
      </c>
      <c r="C6967" s="23">
        <v>0</v>
      </c>
    </row>
    <row r="6968" spans="1:3" x14ac:dyDescent="0.25">
      <c r="A6968">
        <v>6967</v>
      </c>
      <c r="B6968" s="23">
        <v>421.6</v>
      </c>
      <c r="C6968" s="23">
        <v>0</v>
      </c>
    </row>
    <row r="6969" spans="1:3" x14ac:dyDescent="0.25">
      <c r="A6969">
        <v>6968</v>
      </c>
      <c r="B6969" s="23">
        <v>419.9600959</v>
      </c>
      <c r="C6969" s="23">
        <v>0</v>
      </c>
    </row>
    <row r="6970" spans="1:3" x14ac:dyDescent="0.25">
      <c r="A6970">
        <v>6969</v>
      </c>
      <c r="B6970" s="23">
        <v>416.8</v>
      </c>
      <c r="C6970" s="23">
        <v>0</v>
      </c>
    </row>
    <row r="6971" spans="1:3" x14ac:dyDescent="0.25">
      <c r="A6971">
        <v>6970</v>
      </c>
      <c r="B6971" s="23">
        <v>415.99</v>
      </c>
      <c r="C6971" s="23">
        <v>0</v>
      </c>
    </row>
    <row r="6972" spans="1:3" x14ac:dyDescent="0.25">
      <c r="A6972">
        <v>6971</v>
      </c>
      <c r="B6972" s="23">
        <v>414.37191719999998</v>
      </c>
      <c r="C6972" s="23">
        <v>0</v>
      </c>
    </row>
    <row r="6973" spans="1:3" x14ac:dyDescent="0.25">
      <c r="A6973">
        <v>6972</v>
      </c>
      <c r="B6973" s="23">
        <v>413.60899999999998</v>
      </c>
      <c r="C6973" s="23">
        <v>0</v>
      </c>
    </row>
    <row r="6974" spans="1:3" x14ac:dyDescent="0.25">
      <c r="A6974">
        <v>6973</v>
      </c>
      <c r="B6974" s="23">
        <v>413.15699999999998</v>
      </c>
      <c r="C6974" s="23">
        <v>0</v>
      </c>
    </row>
    <row r="6975" spans="1:3" x14ac:dyDescent="0.25">
      <c r="A6975">
        <v>6974</v>
      </c>
      <c r="B6975" s="23">
        <v>412.00017860000003</v>
      </c>
      <c r="C6975" s="23">
        <v>0</v>
      </c>
    </row>
    <row r="6976" spans="1:3" x14ac:dyDescent="0.25">
      <c r="A6976">
        <v>6975</v>
      </c>
      <c r="B6976" s="23">
        <v>410.82900000000001</v>
      </c>
      <c r="C6976" s="23">
        <v>0</v>
      </c>
    </row>
    <row r="6977" spans="1:3" x14ac:dyDescent="0.25">
      <c r="A6977">
        <v>6976</v>
      </c>
      <c r="B6977" s="23">
        <v>410.4</v>
      </c>
      <c r="C6977" s="23">
        <v>0</v>
      </c>
    </row>
    <row r="6978" spans="1:3" x14ac:dyDescent="0.25">
      <c r="A6978">
        <v>6977</v>
      </c>
      <c r="B6978" s="23">
        <v>408.80366070000002</v>
      </c>
      <c r="C6978" s="23">
        <v>0</v>
      </c>
    </row>
    <row r="6979" spans="1:3" x14ac:dyDescent="0.25">
      <c r="A6979">
        <v>6978</v>
      </c>
      <c r="B6979" s="23">
        <v>408.03</v>
      </c>
      <c r="C6979" s="23">
        <v>0</v>
      </c>
    </row>
    <row r="6980" spans="1:3" x14ac:dyDescent="0.25">
      <c r="A6980">
        <v>6979</v>
      </c>
      <c r="B6980" s="23">
        <v>407.54599999999999</v>
      </c>
      <c r="C6980" s="23">
        <v>0</v>
      </c>
    </row>
    <row r="6981" spans="1:3" x14ac:dyDescent="0.25">
      <c r="A6981">
        <v>6980</v>
      </c>
      <c r="B6981" s="23">
        <v>406.46145589999998</v>
      </c>
      <c r="C6981" s="23">
        <v>0</v>
      </c>
    </row>
    <row r="6982" spans="1:3" x14ac:dyDescent="0.25">
      <c r="A6982">
        <v>6981</v>
      </c>
      <c r="B6982" s="23">
        <v>406.44287930000002</v>
      </c>
      <c r="C6982" s="23">
        <v>0</v>
      </c>
    </row>
    <row r="6983" spans="1:3" x14ac:dyDescent="0.25">
      <c r="A6983">
        <v>6982</v>
      </c>
      <c r="B6983" s="23">
        <v>403.19013630000001</v>
      </c>
      <c r="C6983" s="23">
        <v>0</v>
      </c>
    </row>
    <row r="6984" spans="1:3" x14ac:dyDescent="0.25">
      <c r="A6984">
        <v>6983</v>
      </c>
      <c r="B6984" s="23">
        <v>402.4</v>
      </c>
      <c r="C6984" s="23">
        <v>0</v>
      </c>
    </row>
    <row r="6985" spans="1:3" x14ac:dyDescent="0.25">
      <c r="A6985">
        <v>6984</v>
      </c>
      <c r="B6985" s="23">
        <v>400.8347784</v>
      </c>
      <c r="C6985" s="23">
        <v>0</v>
      </c>
    </row>
    <row r="6986" spans="1:3" x14ac:dyDescent="0.25">
      <c r="A6986">
        <v>6985</v>
      </c>
      <c r="B6986" s="23">
        <v>399.10098690000001</v>
      </c>
      <c r="C6986" s="23">
        <v>0</v>
      </c>
    </row>
    <row r="6987" spans="1:3" x14ac:dyDescent="0.25">
      <c r="A6987">
        <v>6986</v>
      </c>
      <c r="B6987" s="23">
        <v>397.78944630000001</v>
      </c>
      <c r="C6987" s="23">
        <v>0</v>
      </c>
    </row>
    <row r="6988" spans="1:3" x14ac:dyDescent="0.25">
      <c r="A6988">
        <v>6987</v>
      </c>
      <c r="B6988" s="23">
        <v>397.6</v>
      </c>
      <c r="C6988" s="23">
        <v>0</v>
      </c>
    </row>
    <row r="6989" spans="1:3" x14ac:dyDescent="0.25">
      <c r="A6989">
        <v>6988</v>
      </c>
      <c r="B6989" s="23">
        <v>396.46</v>
      </c>
      <c r="C6989" s="23">
        <v>0</v>
      </c>
    </row>
    <row r="6990" spans="1:3" x14ac:dyDescent="0.25">
      <c r="A6990">
        <v>6989</v>
      </c>
      <c r="B6990" s="23">
        <v>395.23177820000001</v>
      </c>
      <c r="C6990" s="23">
        <v>0</v>
      </c>
    </row>
    <row r="6991" spans="1:3" x14ac:dyDescent="0.25">
      <c r="A6991">
        <v>6990</v>
      </c>
      <c r="B6991" s="23">
        <v>394.4</v>
      </c>
      <c r="C6991" s="23">
        <v>0</v>
      </c>
    </row>
    <row r="6992" spans="1:3" x14ac:dyDescent="0.25">
      <c r="A6992">
        <v>6991</v>
      </c>
      <c r="B6992" s="23">
        <v>393.16699999999997</v>
      </c>
      <c r="C6992" s="23">
        <v>0</v>
      </c>
    </row>
    <row r="6993" spans="1:3" x14ac:dyDescent="0.25">
      <c r="A6993">
        <v>6992</v>
      </c>
      <c r="B6993" s="23">
        <v>392.55834770000001</v>
      </c>
      <c r="C6993" s="23">
        <v>0</v>
      </c>
    </row>
    <row r="6994" spans="1:3" x14ac:dyDescent="0.25">
      <c r="A6994">
        <v>6993</v>
      </c>
      <c r="B6994" s="23">
        <v>390.92268799999999</v>
      </c>
      <c r="C6994" s="23">
        <v>0</v>
      </c>
    </row>
    <row r="6995" spans="1:3" x14ac:dyDescent="0.25">
      <c r="A6995">
        <v>6994</v>
      </c>
      <c r="B6995" s="23">
        <v>390.4</v>
      </c>
      <c r="C6995" s="23">
        <v>0</v>
      </c>
    </row>
    <row r="6996" spans="1:3" x14ac:dyDescent="0.25">
      <c r="A6996">
        <v>6995</v>
      </c>
      <c r="B6996" s="23">
        <v>390.1048581</v>
      </c>
      <c r="C6996" s="23">
        <v>0</v>
      </c>
    </row>
    <row r="6997" spans="1:3" x14ac:dyDescent="0.25">
      <c r="A6997">
        <v>6996</v>
      </c>
      <c r="B6997" s="23">
        <v>389.91199999999998</v>
      </c>
      <c r="C6997" s="23">
        <v>0</v>
      </c>
    </row>
    <row r="6998" spans="1:3" x14ac:dyDescent="0.25">
      <c r="A6998">
        <v>6997</v>
      </c>
      <c r="B6998" s="23">
        <v>389.32799999999997</v>
      </c>
      <c r="C6998" s="23">
        <v>0</v>
      </c>
    </row>
    <row r="6999" spans="1:3" x14ac:dyDescent="0.25">
      <c r="A6999">
        <v>6998</v>
      </c>
      <c r="B6999" s="23">
        <v>388.46919830000002</v>
      </c>
      <c r="C6999" s="23">
        <v>0</v>
      </c>
    </row>
    <row r="7000" spans="1:3" x14ac:dyDescent="0.25">
      <c r="A7000">
        <v>6999</v>
      </c>
      <c r="B7000" s="23">
        <v>387.2</v>
      </c>
      <c r="C7000" s="23">
        <v>0</v>
      </c>
    </row>
    <row r="7001" spans="1:3" x14ac:dyDescent="0.25">
      <c r="A7001">
        <v>7000</v>
      </c>
      <c r="B7001" s="23">
        <v>386.83353849999997</v>
      </c>
      <c r="C7001" s="23">
        <v>0</v>
      </c>
    </row>
    <row r="7002" spans="1:3" x14ac:dyDescent="0.25">
      <c r="A7002">
        <v>7001</v>
      </c>
      <c r="B7002" s="23">
        <v>385.6939021</v>
      </c>
      <c r="C7002" s="23">
        <v>0</v>
      </c>
    </row>
    <row r="7003" spans="1:3" x14ac:dyDescent="0.25">
      <c r="A7003">
        <v>7002</v>
      </c>
      <c r="B7003" s="23">
        <v>385.52199999999999</v>
      </c>
      <c r="C7003" s="23">
        <v>0</v>
      </c>
    </row>
    <row r="7004" spans="1:3" x14ac:dyDescent="0.25">
      <c r="A7004">
        <v>7003</v>
      </c>
      <c r="B7004" s="23">
        <v>384.02242910000001</v>
      </c>
      <c r="C7004" s="23">
        <v>0</v>
      </c>
    </row>
    <row r="7005" spans="1:3" x14ac:dyDescent="0.25">
      <c r="A7005">
        <v>7004</v>
      </c>
      <c r="B7005" s="23">
        <v>384</v>
      </c>
      <c r="C7005" s="23">
        <v>0</v>
      </c>
    </row>
    <row r="7006" spans="1:3" x14ac:dyDescent="0.25">
      <c r="A7006">
        <v>7005</v>
      </c>
      <c r="B7006" s="23">
        <v>382.4</v>
      </c>
      <c r="C7006" s="23">
        <v>0</v>
      </c>
    </row>
    <row r="7007" spans="1:3" x14ac:dyDescent="0.25">
      <c r="A7007">
        <v>7006</v>
      </c>
      <c r="B7007" s="23">
        <v>382.4</v>
      </c>
      <c r="C7007" s="23">
        <v>0</v>
      </c>
    </row>
    <row r="7008" spans="1:3" x14ac:dyDescent="0.25">
      <c r="A7008">
        <v>7007</v>
      </c>
      <c r="B7008" s="23">
        <v>381.83306720000002</v>
      </c>
      <c r="C7008" s="23">
        <v>0</v>
      </c>
    </row>
    <row r="7009" spans="1:3" x14ac:dyDescent="0.25">
      <c r="A7009">
        <v>7008</v>
      </c>
      <c r="B7009" s="23">
        <v>381.6</v>
      </c>
      <c r="C7009" s="23">
        <v>0</v>
      </c>
    </row>
    <row r="7010" spans="1:3" x14ac:dyDescent="0.25">
      <c r="A7010">
        <v>7009</v>
      </c>
      <c r="B7010" s="23">
        <v>380.8</v>
      </c>
      <c r="C7010" s="23">
        <v>0</v>
      </c>
    </row>
    <row r="7011" spans="1:3" x14ac:dyDescent="0.25">
      <c r="A7011">
        <v>7010</v>
      </c>
      <c r="B7011" s="23">
        <v>380</v>
      </c>
      <c r="C7011" s="23">
        <v>0</v>
      </c>
    </row>
    <row r="7012" spans="1:3" x14ac:dyDescent="0.25">
      <c r="A7012">
        <v>7011</v>
      </c>
      <c r="B7012" s="23">
        <v>378.67189999999999</v>
      </c>
      <c r="C7012" s="23">
        <v>0</v>
      </c>
    </row>
    <row r="7013" spans="1:3" x14ac:dyDescent="0.25">
      <c r="A7013">
        <v>7012</v>
      </c>
      <c r="B7013" s="23">
        <v>378.4</v>
      </c>
      <c r="C7013" s="23">
        <v>0</v>
      </c>
    </row>
    <row r="7014" spans="1:3" x14ac:dyDescent="0.25">
      <c r="A7014">
        <v>7013</v>
      </c>
      <c r="B7014" s="23">
        <v>378.4</v>
      </c>
      <c r="C7014" s="23">
        <v>0</v>
      </c>
    </row>
    <row r="7015" spans="1:3" x14ac:dyDescent="0.25">
      <c r="A7015">
        <v>7014</v>
      </c>
      <c r="B7015" s="23">
        <v>378.0492893</v>
      </c>
      <c r="C7015" s="23">
        <v>0</v>
      </c>
    </row>
    <row r="7016" spans="1:3" x14ac:dyDescent="0.25">
      <c r="A7016">
        <v>7015</v>
      </c>
      <c r="B7016" s="23">
        <v>376.92813159999997</v>
      </c>
      <c r="C7016" s="23">
        <v>0</v>
      </c>
    </row>
    <row r="7017" spans="1:3" x14ac:dyDescent="0.25">
      <c r="A7017">
        <v>7016</v>
      </c>
      <c r="B7017" s="23">
        <v>375.58800000000002</v>
      </c>
      <c r="C7017" s="23">
        <v>0</v>
      </c>
    </row>
    <row r="7018" spans="1:3" x14ac:dyDescent="0.25">
      <c r="A7018">
        <v>7017</v>
      </c>
      <c r="B7018" s="23">
        <v>375.38391999999999</v>
      </c>
      <c r="C7018" s="23">
        <v>0</v>
      </c>
    </row>
    <row r="7019" spans="1:3" x14ac:dyDescent="0.25">
      <c r="A7019">
        <v>7018</v>
      </c>
      <c r="B7019" s="23">
        <v>375.33699999999999</v>
      </c>
      <c r="C7019" s="23">
        <v>0</v>
      </c>
    </row>
    <row r="7020" spans="1:3" x14ac:dyDescent="0.25">
      <c r="A7020">
        <v>7019</v>
      </c>
      <c r="B7020" s="23">
        <v>371.37645049999998</v>
      </c>
      <c r="C7020" s="23">
        <v>0</v>
      </c>
    </row>
    <row r="7021" spans="1:3" x14ac:dyDescent="0.25">
      <c r="A7021">
        <v>7020</v>
      </c>
      <c r="B7021" s="23">
        <v>369.65911080000001</v>
      </c>
      <c r="C7021" s="23">
        <v>0</v>
      </c>
    </row>
    <row r="7022" spans="1:3" x14ac:dyDescent="0.25">
      <c r="A7022">
        <v>7021</v>
      </c>
      <c r="B7022" s="23">
        <v>369.6</v>
      </c>
      <c r="C7022" s="23">
        <v>0</v>
      </c>
    </row>
    <row r="7023" spans="1:3" x14ac:dyDescent="0.25">
      <c r="A7023">
        <v>7022</v>
      </c>
      <c r="B7023" s="23">
        <v>368.8</v>
      </c>
      <c r="C7023" s="23">
        <v>0</v>
      </c>
    </row>
    <row r="7024" spans="1:3" x14ac:dyDescent="0.25">
      <c r="A7024">
        <v>7023</v>
      </c>
      <c r="B7024" s="23">
        <v>368.1623611</v>
      </c>
      <c r="C7024" s="23">
        <v>0</v>
      </c>
    </row>
    <row r="7025" spans="1:3" x14ac:dyDescent="0.25">
      <c r="A7025">
        <v>7024</v>
      </c>
      <c r="B7025" s="23">
        <v>367.36547289999999</v>
      </c>
      <c r="C7025" s="23">
        <v>0</v>
      </c>
    </row>
    <row r="7026" spans="1:3" x14ac:dyDescent="0.25">
      <c r="A7026">
        <v>7025</v>
      </c>
      <c r="B7026" s="23">
        <v>367.2</v>
      </c>
      <c r="C7026" s="23">
        <v>0</v>
      </c>
    </row>
    <row r="7027" spans="1:3" x14ac:dyDescent="0.25">
      <c r="A7027">
        <v>7026</v>
      </c>
      <c r="B7027" s="23">
        <v>365.56996129999999</v>
      </c>
      <c r="C7027" s="23">
        <v>0</v>
      </c>
    </row>
    <row r="7028" spans="1:3" x14ac:dyDescent="0.25">
      <c r="A7028">
        <v>7027</v>
      </c>
      <c r="B7028" s="23">
        <v>364.7608219</v>
      </c>
      <c r="C7028" s="23">
        <v>0</v>
      </c>
    </row>
    <row r="7029" spans="1:3" x14ac:dyDescent="0.25">
      <c r="A7029">
        <v>7028</v>
      </c>
      <c r="B7029" s="23">
        <v>364.69299999999998</v>
      </c>
      <c r="C7029" s="23">
        <v>0</v>
      </c>
    </row>
    <row r="7030" spans="1:3" x14ac:dyDescent="0.25">
      <c r="A7030">
        <v>7029</v>
      </c>
      <c r="B7030" s="23">
        <v>364.51705750000002</v>
      </c>
      <c r="C7030" s="23">
        <v>0</v>
      </c>
    </row>
    <row r="7031" spans="1:3" x14ac:dyDescent="0.25">
      <c r="A7031">
        <v>7030</v>
      </c>
      <c r="B7031" s="23">
        <v>364.50532720000001</v>
      </c>
      <c r="C7031" s="23">
        <v>0</v>
      </c>
    </row>
    <row r="7032" spans="1:3" x14ac:dyDescent="0.25">
      <c r="A7032">
        <v>7031</v>
      </c>
      <c r="B7032" s="23">
        <v>362.29864179999998</v>
      </c>
      <c r="C7032" s="23">
        <v>0</v>
      </c>
    </row>
    <row r="7033" spans="1:3" x14ac:dyDescent="0.25">
      <c r="A7033">
        <v>7032</v>
      </c>
      <c r="B7033" s="23">
        <v>361.6</v>
      </c>
      <c r="C7033" s="23">
        <v>0</v>
      </c>
    </row>
    <row r="7034" spans="1:3" x14ac:dyDescent="0.25">
      <c r="A7034">
        <v>7033</v>
      </c>
      <c r="B7034" s="23">
        <v>357.94816630000003</v>
      </c>
      <c r="C7034" s="23">
        <v>0</v>
      </c>
    </row>
    <row r="7035" spans="1:3" x14ac:dyDescent="0.25">
      <c r="A7035">
        <v>7034</v>
      </c>
      <c r="B7035" s="23">
        <v>357.6</v>
      </c>
      <c r="C7035" s="23">
        <v>0</v>
      </c>
    </row>
    <row r="7036" spans="1:3" x14ac:dyDescent="0.25">
      <c r="A7036">
        <v>7035</v>
      </c>
      <c r="B7036" s="23">
        <v>355.54700000000003</v>
      </c>
      <c r="C7036" s="23">
        <v>0</v>
      </c>
    </row>
    <row r="7037" spans="1:3" x14ac:dyDescent="0.25">
      <c r="A7037">
        <v>7036</v>
      </c>
      <c r="B7037" s="23">
        <v>354.69122299999998</v>
      </c>
      <c r="C7037" s="23">
        <v>0</v>
      </c>
    </row>
    <row r="7038" spans="1:3" x14ac:dyDescent="0.25">
      <c r="A7038">
        <v>7037</v>
      </c>
      <c r="B7038" s="23">
        <v>354.4</v>
      </c>
      <c r="C7038" s="23">
        <v>0</v>
      </c>
    </row>
    <row r="7039" spans="1:3" x14ac:dyDescent="0.25">
      <c r="A7039">
        <v>7038</v>
      </c>
      <c r="B7039" s="23">
        <v>354.4</v>
      </c>
      <c r="C7039" s="23">
        <v>0</v>
      </c>
    </row>
    <row r="7040" spans="1:3" x14ac:dyDescent="0.25">
      <c r="A7040">
        <v>7039</v>
      </c>
      <c r="B7040" s="23">
        <v>353.74700000000001</v>
      </c>
      <c r="C7040" s="23">
        <v>0</v>
      </c>
    </row>
    <row r="7041" spans="1:3" x14ac:dyDescent="0.25">
      <c r="A7041">
        <v>7040</v>
      </c>
      <c r="B7041" s="23">
        <v>352</v>
      </c>
      <c r="C7041" s="23">
        <v>0</v>
      </c>
    </row>
    <row r="7042" spans="1:3" x14ac:dyDescent="0.25">
      <c r="A7042">
        <v>7041</v>
      </c>
      <c r="B7042" s="23">
        <v>348.83</v>
      </c>
      <c r="C7042" s="23">
        <v>0</v>
      </c>
    </row>
    <row r="7043" spans="1:3" x14ac:dyDescent="0.25">
      <c r="A7043">
        <v>7042</v>
      </c>
      <c r="B7043" s="23">
        <v>345.786</v>
      </c>
      <c r="C7043" s="23">
        <v>0</v>
      </c>
    </row>
    <row r="7044" spans="1:3" x14ac:dyDescent="0.25">
      <c r="A7044">
        <v>7043</v>
      </c>
      <c r="B7044" s="23">
        <v>345.29754930000001</v>
      </c>
      <c r="C7044" s="23">
        <v>0</v>
      </c>
    </row>
    <row r="7045" spans="1:3" x14ac:dyDescent="0.25">
      <c r="A7045">
        <v>7044</v>
      </c>
      <c r="B7045" s="23">
        <v>344.91668970000001</v>
      </c>
      <c r="C7045" s="23">
        <v>0</v>
      </c>
    </row>
    <row r="7046" spans="1:3" x14ac:dyDescent="0.25">
      <c r="A7046">
        <v>7045</v>
      </c>
      <c r="B7046" s="23">
        <v>344.1836141</v>
      </c>
      <c r="C7046" s="23">
        <v>0</v>
      </c>
    </row>
    <row r="7047" spans="1:3" x14ac:dyDescent="0.25">
      <c r="A7047">
        <v>7046</v>
      </c>
      <c r="B7047" s="23">
        <v>343.65800000000002</v>
      </c>
      <c r="C7047" s="23">
        <v>0</v>
      </c>
    </row>
    <row r="7048" spans="1:3" x14ac:dyDescent="0.25">
      <c r="A7048">
        <v>7047</v>
      </c>
      <c r="B7048" s="23">
        <v>342.4</v>
      </c>
      <c r="C7048" s="23">
        <v>0</v>
      </c>
    </row>
    <row r="7049" spans="1:3" x14ac:dyDescent="0.25">
      <c r="A7049">
        <v>7048</v>
      </c>
      <c r="B7049" s="23">
        <v>341.85279960000003</v>
      </c>
      <c r="C7049" s="23">
        <v>0</v>
      </c>
    </row>
    <row r="7050" spans="1:3" x14ac:dyDescent="0.25">
      <c r="A7050">
        <v>7049</v>
      </c>
      <c r="B7050" s="23">
        <v>341.45600000000002</v>
      </c>
      <c r="C7050" s="23">
        <v>0</v>
      </c>
    </row>
    <row r="7051" spans="1:3" x14ac:dyDescent="0.25">
      <c r="A7051">
        <v>7050</v>
      </c>
      <c r="B7051" s="23">
        <v>341.06816140000001</v>
      </c>
      <c r="C7051" s="23">
        <v>0</v>
      </c>
    </row>
    <row r="7052" spans="1:3" x14ac:dyDescent="0.25">
      <c r="A7052">
        <v>7051</v>
      </c>
      <c r="B7052" s="23">
        <v>339.25799999999998</v>
      </c>
      <c r="C7052" s="23">
        <v>0</v>
      </c>
    </row>
    <row r="7053" spans="1:3" x14ac:dyDescent="0.25">
      <c r="A7053">
        <v>7052</v>
      </c>
      <c r="B7053" s="23">
        <v>338.77418210000002</v>
      </c>
      <c r="C7053" s="23">
        <v>0</v>
      </c>
    </row>
    <row r="7054" spans="1:3" x14ac:dyDescent="0.25">
      <c r="A7054">
        <v>7053</v>
      </c>
      <c r="B7054" s="23">
        <v>337.39699999999999</v>
      </c>
      <c r="C7054" s="23">
        <v>0</v>
      </c>
    </row>
    <row r="7055" spans="1:3" x14ac:dyDescent="0.25">
      <c r="A7055">
        <v>7054</v>
      </c>
      <c r="B7055" s="23">
        <v>335.666</v>
      </c>
      <c r="C7055" s="23">
        <v>0</v>
      </c>
    </row>
    <row r="7056" spans="1:3" x14ac:dyDescent="0.25">
      <c r="A7056">
        <v>7055</v>
      </c>
      <c r="B7056" s="23">
        <v>335.2</v>
      </c>
      <c r="C7056" s="23">
        <v>0</v>
      </c>
    </row>
    <row r="7057" spans="1:3" x14ac:dyDescent="0.25">
      <c r="A7057">
        <v>7056</v>
      </c>
      <c r="B7057" s="23">
        <v>334.36035470000002</v>
      </c>
      <c r="C7057" s="23">
        <v>0</v>
      </c>
    </row>
    <row r="7058" spans="1:3" x14ac:dyDescent="0.25">
      <c r="A7058">
        <v>7057</v>
      </c>
      <c r="B7058" s="23">
        <v>333.8961673</v>
      </c>
      <c r="C7058" s="23">
        <v>0</v>
      </c>
    </row>
    <row r="7059" spans="1:3" x14ac:dyDescent="0.25">
      <c r="A7059">
        <v>7058</v>
      </c>
      <c r="B7059" s="23">
        <v>333.85300000000001</v>
      </c>
      <c r="C7059" s="23">
        <v>0</v>
      </c>
    </row>
    <row r="7060" spans="1:3" x14ac:dyDescent="0.25">
      <c r="A7060">
        <v>7059</v>
      </c>
      <c r="B7060" s="23">
        <v>333.75127670000001</v>
      </c>
      <c r="C7060" s="23">
        <v>0</v>
      </c>
    </row>
    <row r="7061" spans="1:3" x14ac:dyDescent="0.25">
      <c r="A7061">
        <v>7060</v>
      </c>
      <c r="B7061" s="23">
        <v>332.22399999999999</v>
      </c>
      <c r="C7061" s="23">
        <v>0</v>
      </c>
    </row>
    <row r="7062" spans="1:3" x14ac:dyDescent="0.25">
      <c r="A7062">
        <v>7061</v>
      </c>
      <c r="B7062" s="23">
        <v>332.03893579999999</v>
      </c>
      <c r="C7062" s="23">
        <v>0</v>
      </c>
    </row>
    <row r="7063" spans="1:3" x14ac:dyDescent="0.25">
      <c r="A7063">
        <v>7062</v>
      </c>
      <c r="B7063" s="23">
        <v>331.61275439999997</v>
      </c>
      <c r="C7063" s="23">
        <v>0</v>
      </c>
    </row>
    <row r="7064" spans="1:3" x14ac:dyDescent="0.25">
      <c r="A7064">
        <v>7063</v>
      </c>
      <c r="B7064" s="23">
        <v>331.2</v>
      </c>
      <c r="C7064" s="23">
        <v>0</v>
      </c>
    </row>
    <row r="7065" spans="1:3" x14ac:dyDescent="0.25">
      <c r="A7065">
        <v>7064</v>
      </c>
      <c r="B7065" s="23">
        <v>330.44799999999998</v>
      </c>
      <c r="C7065" s="23">
        <v>0</v>
      </c>
    </row>
    <row r="7066" spans="1:3" x14ac:dyDescent="0.25">
      <c r="A7066">
        <v>7065</v>
      </c>
      <c r="B7066" s="23">
        <v>329.91172619999998</v>
      </c>
      <c r="C7066" s="23">
        <v>0</v>
      </c>
    </row>
    <row r="7067" spans="1:3" x14ac:dyDescent="0.25">
      <c r="A7067">
        <v>7066</v>
      </c>
      <c r="B7067" s="23">
        <v>329.48899999999998</v>
      </c>
      <c r="C7067" s="23">
        <v>0</v>
      </c>
    </row>
    <row r="7068" spans="1:3" x14ac:dyDescent="0.25">
      <c r="A7068">
        <v>7067</v>
      </c>
      <c r="B7068" s="23">
        <v>329.02</v>
      </c>
      <c r="C7068" s="23">
        <v>0</v>
      </c>
    </row>
    <row r="7069" spans="1:3" x14ac:dyDescent="0.25">
      <c r="A7069">
        <v>7068</v>
      </c>
      <c r="B7069" s="23">
        <v>328.2073815</v>
      </c>
      <c r="C7069" s="23">
        <v>0</v>
      </c>
    </row>
    <row r="7070" spans="1:3" x14ac:dyDescent="0.25">
      <c r="A7070">
        <v>7069</v>
      </c>
      <c r="B7070" s="23">
        <v>325.60000000000002</v>
      </c>
      <c r="C7070" s="23">
        <v>0</v>
      </c>
    </row>
    <row r="7071" spans="1:3" x14ac:dyDescent="0.25">
      <c r="A7071">
        <v>7070</v>
      </c>
      <c r="B7071" s="23">
        <v>324.8</v>
      </c>
      <c r="C7071" s="23">
        <v>0</v>
      </c>
    </row>
    <row r="7072" spans="1:3" x14ac:dyDescent="0.25">
      <c r="A7072">
        <v>7071</v>
      </c>
      <c r="B7072" s="23">
        <v>324.56</v>
      </c>
      <c r="C7072" s="23">
        <v>0</v>
      </c>
    </row>
    <row r="7073" spans="1:3" x14ac:dyDescent="0.25">
      <c r="A7073">
        <v>7072</v>
      </c>
      <c r="B7073" s="23">
        <v>324.33350860000002</v>
      </c>
      <c r="C7073" s="23">
        <v>0</v>
      </c>
    </row>
    <row r="7074" spans="1:3" x14ac:dyDescent="0.25">
      <c r="A7074">
        <v>7073</v>
      </c>
      <c r="B7074" s="23">
        <v>324.22892810000002</v>
      </c>
      <c r="C7074" s="23">
        <v>0</v>
      </c>
    </row>
    <row r="7075" spans="1:3" x14ac:dyDescent="0.25">
      <c r="A7075">
        <v>7074</v>
      </c>
      <c r="B7075" s="23">
        <v>323.04280699999998</v>
      </c>
      <c r="C7075" s="23">
        <v>0</v>
      </c>
    </row>
    <row r="7076" spans="1:3" x14ac:dyDescent="0.25">
      <c r="A7076">
        <v>7075</v>
      </c>
      <c r="B7076" s="23">
        <v>322.85899999999998</v>
      </c>
      <c r="C7076" s="23">
        <v>0</v>
      </c>
    </row>
    <row r="7077" spans="1:3" x14ac:dyDescent="0.25">
      <c r="A7077">
        <v>7076</v>
      </c>
      <c r="B7077" s="23">
        <v>322.6468878</v>
      </c>
      <c r="C7077" s="23">
        <v>0</v>
      </c>
    </row>
    <row r="7078" spans="1:3" x14ac:dyDescent="0.25">
      <c r="A7078">
        <v>7077</v>
      </c>
      <c r="B7078" s="23">
        <v>320.01799999999997</v>
      </c>
      <c r="C7078" s="23">
        <v>0</v>
      </c>
    </row>
    <row r="7079" spans="1:3" x14ac:dyDescent="0.25">
      <c r="A7079">
        <v>7078</v>
      </c>
      <c r="B7079" s="23">
        <v>318.77322099999998</v>
      </c>
      <c r="C7079" s="23">
        <v>0</v>
      </c>
    </row>
    <row r="7080" spans="1:3" x14ac:dyDescent="0.25">
      <c r="A7080">
        <v>7079</v>
      </c>
      <c r="B7080" s="23">
        <v>318.39999999999998</v>
      </c>
      <c r="C7080" s="23">
        <v>0</v>
      </c>
    </row>
    <row r="7081" spans="1:3" x14ac:dyDescent="0.25">
      <c r="A7081">
        <v>7080</v>
      </c>
      <c r="B7081" s="23">
        <v>318.39999999999998</v>
      </c>
      <c r="C7081" s="23">
        <v>0</v>
      </c>
    </row>
    <row r="7082" spans="1:3" x14ac:dyDescent="0.25">
      <c r="A7082">
        <v>7081</v>
      </c>
      <c r="B7082" s="23">
        <v>317.15899999999999</v>
      </c>
      <c r="C7082" s="23">
        <v>0</v>
      </c>
    </row>
    <row r="7083" spans="1:3" x14ac:dyDescent="0.25">
      <c r="A7083">
        <v>7082</v>
      </c>
      <c r="B7083" s="23">
        <v>316</v>
      </c>
      <c r="C7083" s="23">
        <v>0</v>
      </c>
    </row>
    <row r="7084" spans="1:3" x14ac:dyDescent="0.25">
      <c r="A7084">
        <v>7083</v>
      </c>
      <c r="B7084" s="23">
        <v>315.60700000000003</v>
      </c>
      <c r="C7084" s="23">
        <v>0</v>
      </c>
    </row>
    <row r="7085" spans="1:3" x14ac:dyDescent="0.25">
      <c r="A7085">
        <v>7084</v>
      </c>
      <c r="B7085" s="23">
        <v>315.351</v>
      </c>
      <c r="C7085" s="23">
        <v>0</v>
      </c>
    </row>
    <row r="7086" spans="1:3" x14ac:dyDescent="0.25">
      <c r="A7086">
        <v>7085</v>
      </c>
      <c r="B7086" s="23">
        <v>315.11399999999998</v>
      </c>
      <c r="C7086" s="23">
        <v>0</v>
      </c>
    </row>
    <row r="7087" spans="1:3" x14ac:dyDescent="0.25">
      <c r="A7087">
        <v>7086</v>
      </c>
      <c r="B7087" s="23">
        <v>314.69200000000001</v>
      </c>
      <c r="C7087" s="23">
        <v>0</v>
      </c>
    </row>
    <row r="7088" spans="1:3" x14ac:dyDescent="0.25">
      <c r="A7088">
        <v>7087</v>
      </c>
      <c r="B7088" s="23">
        <v>313.79199999999997</v>
      </c>
      <c r="C7088" s="23">
        <v>0</v>
      </c>
    </row>
    <row r="7089" spans="1:3" x14ac:dyDescent="0.25">
      <c r="A7089">
        <v>7088</v>
      </c>
      <c r="B7089" s="23">
        <v>313.22199999999998</v>
      </c>
      <c r="C7089" s="23">
        <v>0</v>
      </c>
    </row>
    <row r="7090" spans="1:3" x14ac:dyDescent="0.25">
      <c r="A7090">
        <v>7089</v>
      </c>
      <c r="B7090" s="23">
        <v>311.517</v>
      </c>
      <c r="C7090" s="23">
        <v>0</v>
      </c>
    </row>
    <row r="7091" spans="1:3" x14ac:dyDescent="0.25">
      <c r="A7091">
        <v>7090</v>
      </c>
      <c r="B7091" s="23">
        <v>311.49200000000002</v>
      </c>
      <c r="C7091" s="23">
        <v>0</v>
      </c>
    </row>
    <row r="7092" spans="1:3" x14ac:dyDescent="0.25">
      <c r="A7092">
        <v>7091</v>
      </c>
      <c r="B7092" s="23">
        <v>309.60000000000002</v>
      </c>
      <c r="C7092" s="23">
        <v>0</v>
      </c>
    </row>
    <row r="7093" spans="1:3" x14ac:dyDescent="0.25">
      <c r="A7093">
        <v>7092</v>
      </c>
      <c r="B7093" s="23">
        <v>309.22139600000003</v>
      </c>
      <c r="C7093" s="23">
        <v>0</v>
      </c>
    </row>
    <row r="7094" spans="1:3" x14ac:dyDescent="0.25">
      <c r="A7094">
        <v>7093</v>
      </c>
      <c r="B7094" s="23">
        <v>308.8</v>
      </c>
      <c r="C7094" s="23">
        <v>0</v>
      </c>
    </row>
    <row r="7095" spans="1:3" x14ac:dyDescent="0.25">
      <c r="A7095">
        <v>7094</v>
      </c>
      <c r="B7095" s="23">
        <v>308.01617060000001</v>
      </c>
      <c r="C7095" s="23">
        <v>0</v>
      </c>
    </row>
    <row r="7096" spans="1:3" x14ac:dyDescent="0.25">
      <c r="A7096">
        <v>7095</v>
      </c>
      <c r="B7096" s="23">
        <v>307.59885580000002</v>
      </c>
      <c r="C7096" s="23">
        <v>0</v>
      </c>
    </row>
    <row r="7097" spans="1:3" x14ac:dyDescent="0.25">
      <c r="A7097">
        <v>7096</v>
      </c>
      <c r="B7097" s="23">
        <v>307.34800000000001</v>
      </c>
      <c r="C7097" s="23">
        <v>0</v>
      </c>
    </row>
    <row r="7098" spans="1:3" x14ac:dyDescent="0.25">
      <c r="A7098">
        <v>7097</v>
      </c>
      <c r="B7098" s="23">
        <v>307.065</v>
      </c>
      <c r="C7098" s="23">
        <v>0</v>
      </c>
    </row>
    <row r="7099" spans="1:3" x14ac:dyDescent="0.25">
      <c r="A7099">
        <v>7098</v>
      </c>
      <c r="B7099" s="23">
        <v>306.26911589999997</v>
      </c>
      <c r="C7099" s="23">
        <v>0</v>
      </c>
    </row>
    <row r="7100" spans="1:3" x14ac:dyDescent="0.25">
      <c r="A7100">
        <v>7099</v>
      </c>
      <c r="B7100" s="23">
        <v>306.26029039999997</v>
      </c>
      <c r="C7100" s="23">
        <v>0</v>
      </c>
    </row>
    <row r="7101" spans="1:3" x14ac:dyDescent="0.25">
      <c r="A7101">
        <v>7100</v>
      </c>
      <c r="B7101" s="23">
        <v>305.86837930000002</v>
      </c>
      <c r="C7101" s="23">
        <v>0</v>
      </c>
    </row>
    <row r="7102" spans="1:3" x14ac:dyDescent="0.25">
      <c r="A7102">
        <v>7101</v>
      </c>
      <c r="B7102" s="23">
        <v>305.60000000000002</v>
      </c>
      <c r="C7102" s="23">
        <v>0</v>
      </c>
    </row>
    <row r="7103" spans="1:3" x14ac:dyDescent="0.25">
      <c r="A7103">
        <v>7102</v>
      </c>
      <c r="B7103" s="23">
        <v>305.60000000000002</v>
      </c>
      <c r="C7103" s="23">
        <v>0</v>
      </c>
    </row>
    <row r="7104" spans="1:3" x14ac:dyDescent="0.25">
      <c r="A7104">
        <v>7103</v>
      </c>
      <c r="B7104" s="23">
        <v>304.53899999999999</v>
      </c>
      <c r="C7104" s="23">
        <v>0</v>
      </c>
    </row>
    <row r="7105" spans="1:3" x14ac:dyDescent="0.25">
      <c r="A7105">
        <v>7104</v>
      </c>
      <c r="B7105" s="23">
        <v>304.41130290000001</v>
      </c>
      <c r="C7105" s="23">
        <v>0</v>
      </c>
    </row>
    <row r="7106" spans="1:3" x14ac:dyDescent="0.25">
      <c r="A7106">
        <v>7105</v>
      </c>
      <c r="B7106" s="23">
        <v>304.1926636</v>
      </c>
      <c r="C7106" s="23">
        <v>0</v>
      </c>
    </row>
    <row r="7107" spans="1:3" x14ac:dyDescent="0.25">
      <c r="A7107">
        <v>7106</v>
      </c>
      <c r="B7107" s="23">
        <v>303.9311447</v>
      </c>
      <c r="C7107" s="23">
        <v>0</v>
      </c>
    </row>
    <row r="7108" spans="1:3" x14ac:dyDescent="0.25">
      <c r="A7108">
        <v>7107</v>
      </c>
      <c r="B7108" s="23">
        <v>303.41488959999998</v>
      </c>
      <c r="C7108" s="23">
        <v>0</v>
      </c>
    </row>
    <row r="7109" spans="1:3" x14ac:dyDescent="0.25">
      <c r="A7109">
        <v>7108</v>
      </c>
      <c r="B7109" s="23">
        <v>303.41488959999998</v>
      </c>
      <c r="C7109" s="23">
        <v>0</v>
      </c>
    </row>
    <row r="7110" spans="1:3" x14ac:dyDescent="0.25">
      <c r="A7110">
        <v>7109</v>
      </c>
      <c r="B7110" s="23">
        <v>303.35442990000001</v>
      </c>
      <c r="C7110" s="23">
        <v>0</v>
      </c>
    </row>
    <row r="7111" spans="1:3" x14ac:dyDescent="0.25">
      <c r="A7111">
        <v>7110</v>
      </c>
      <c r="B7111" s="23">
        <v>302.70337760000001</v>
      </c>
      <c r="C7111" s="23">
        <v>0</v>
      </c>
    </row>
    <row r="7112" spans="1:3" x14ac:dyDescent="0.25">
      <c r="A7112">
        <v>7111</v>
      </c>
      <c r="B7112" s="23">
        <v>302.53681410000002</v>
      </c>
      <c r="C7112" s="23">
        <v>0</v>
      </c>
    </row>
    <row r="7113" spans="1:3" x14ac:dyDescent="0.25">
      <c r="A7113">
        <v>7112</v>
      </c>
      <c r="B7113" s="23">
        <v>302.39999999999998</v>
      </c>
      <c r="C7113" s="23">
        <v>0</v>
      </c>
    </row>
    <row r="7114" spans="1:3" x14ac:dyDescent="0.25">
      <c r="A7114">
        <v>7113</v>
      </c>
      <c r="B7114" s="23">
        <v>302.11200000000002</v>
      </c>
      <c r="C7114" s="23">
        <v>0</v>
      </c>
    </row>
    <row r="7115" spans="1:3" x14ac:dyDescent="0.25">
      <c r="A7115">
        <v>7114</v>
      </c>
      <c r="B7115" s="23">
        <v>301.35700000000003</v>
      </c>
      <c r="C7115" s="23">
        <v>0</v>
      </c>
    </row>
    <row r="7116" spans="1:3" x14ac:dyDescent="0.25">
      <c r="A7116">
        <v>7115</v>
      </c>
      <c r="B7116" s="23">
        <v>301.22375</v>
      </c>
      <c r="C7116" s="23">
        <v>0</v>
      </c>
    </row>
    <row r="7117" spans="1:3" x14ac:dyDescent="0.25">
      <c r="A7117">
        <v>7116</v>
      </c>
      <c r="B7117" s="23">
        <v>300.67507599999999</v>
      </c>
      <c r="C7117" s="23">
        <v>0</v>
      </c>
    </row>
    <row r="7118" spans="1:3" x14ac:dyDescent="0.25">
      <c r="A7118">
        <v>7117</v>
      </c>
      <c r="B7118" s="23">
        <v>299.71600000000001</v>
      </c>
      <c r="C7118" s="23">
        <v>0</v>
      </c>
    </row>
    <row r="7119" spans="1:3" x14ac:dyDescent="0.25">
      <c r="A7119">
        <v>7118</v>
      </c>
      <c r="B7119" s="23">
        <v>299.59199999999998</v>
      </c>
      <c r="C7119" s="23">
        <v>0</v>
      </c>
    </row>
    <row r="7120" spans="1:3" x14ac:dyDescent="0.25">
      <c r="A7120">
        <v>7119</v>
      </c>
      <c r="B7120" s="23">
        <v>299.2</v>
      </c>
      <c r="C7120" s="23">
        <v>0</v>
      </c>
    </row>
    <row r="7121" spans="1:3" x14ac:dyDescent="0.25">
      <c r="A7121">
        <v>7120</v>
      </c>
      <c r="B7121" s="23">
        <v>298.51799999999997</v>
      </c>
      <c r="C7121" s="23">
        <v>0</v>
      </c>
    </row>
    <row r="7122" spans="1:3" x14ac:dyDescent="0.25">
      <c r="A7122">
        <v>7121</v>
      </c>
      <c r="B7122" s="23">
        <v>298.50791029999999</v>
      </c>
      <c r="C7122" s="23">
        <v>0</v>
      </c>
    </row>
    <row r="7123" spans="1:3" x14ac:dyDescent="0.25">
      <c r="A7123">
        <v>7122</v>
      </c>
      <c r="B7123" s="23">
        <v>298.39999999999998</v>
      </c>
      <c r="C7123" s="23">
        <v>0</v>
      </c>
    </row>
    <row r="7124" spans="1:3" x14ac:dyDescent="0.25">
      <c r="A7124">
        <v>7123</v>
      </c>
      <c r="B7124" s="23">
        <v>298.36799999999999</v>
      </c>
      <c r="C7124" s="23">
        <v>0</v>
      </c>
    </row>
    <row r="7125" spans="1:3" x14ac:dyDescent="0.25">
      <c r="A7125">
        <v>7124</v>
      </c>
      <c r="B7125" s="23">
        <v>298.2131531</v>
      </c>
      <c r="C7125" s="23">
        <v>0</v>
      </c>
    </row>
    <row r="7126" spans="1:3" x14ac:dyDescent="0.25">
      <c r="A7126">
        <v>7125</v>
      </c>
      <c r="B7126" s="23">
        <v>297.30500000000001</v>
      </c>
      <c r="C7126" s="23">
        <v>0</v>
      </c>
    </row>
    <row r="7127" spans="1:3" x14ac:dyDescent="0.25">
      <c r="A7127">
        <v>7126</v>
      </c>
      <c r="B7127" s="23">
        <v>296.8</v>
      </c>
      <c r="C7127" s="23">
        <v>0</v>
      </c>
    </row>
    <row r="7128" spans="1:3" x14ac:dyDescent="0.25">
      <c r="A7128">
        <v>7127</v>
      </c>
      <c r="B7128" s="23">
        <v>296.8</v>
      </c>
      <c r="C7128" s="23">
        <v>0</v>
      </c>
    </row>
    <row r="7129" spans="1:3" x14ac:dyDescent="0.25">
      <c r="A7129">
        <v>7128</v>
      </c>
      <c r="B7129" s="23">
        <v>296.8</v>
      </c>
      <c r="C7129" s="23">
        <v>0</v>
      </c>
    </row>
    <row r="7130" spans="1:3" x14ac:dyDescent="0.25">
      <c r="A7130">
        <v>7129</v>
      </c>
      <c r="B7130" s="23">
        <v>296.79038509999998</v>
      </c>
      <c r="C7130" s="23">
        <v>0</v>
      </c>
    </row>
    <row r="7131" spans="1:3" x14ac:dyDescent="0.25">
      <c r="A7131">
        <v>7130</v>
      </c>
      <c r="B7131" s="23">
        <v>296.10399999999998</v>
      </c>
      <c r="C7131" s="23">
        <v>0</v>
      </c>
    </row>
    <row r="7132" spans="1:3" x14ac:dyDescent="0.25">
      <c r="A7132">
        <v>7131</v>
      </c>
      <c r="B7132" s="23">
        <v>296</v>
      </c>
      <c r="C7132" s="23">
        <v>0</v>
      </c>
    </row>
    <row r="7133" spans="1:3" x14ac:dyDescent="0.25">
      <c r="A7133">
        <v>7132</v>
      </c>
      <c r="B7133" s="23">
        <v>296</v>
      </c>
      <c r="C7133" s="23">
        <v>0</v>
      </c>
    </row>
    <row r="7134" spans="1:3" x14ac:dyDescent="0.25">
      <c r="A7134">
        <v>7133</v>
      </c>
      <c r="B7134" s="23">
        <v>295.64553239999998</v>
      </c>
      <c r="C7134" s="23">
        <v>0</v>
      </c>
    </row>
    <row r="7135" spans="1:3" x14ac:dyDescent="0.25">
      <c r="A7135">
        <v>7134</v>
      </c>
      <c r="B7135" s="23">
        <v>295.44002590000002</v>
      </c>
      <c r="C7135" s="23">
        <v>0</v>
      </c>
    </row>
    <row r="7136" spans="1:3" x14ac:dyDescent="0.25">
      <c r="A7136">
        <v>7135</v>
      </c>
      <c r="B7136" s="23">
        <v>294.90600000000001</v>
      </c>
      <c r="C7136" s="23">
        <v>0</v>
      </c>
    </row>
    <row r="7137" spans="1:3" x14ac:dyDescent="0.25">
      <c r="A7137">
        <v>7136</v>
      </c>
      <c r="B7137" s="23">
        <v>293.60093089999998</v>
      </c>
      <c r="C7137" s="23">
        <v>0</v>
      </c>
    </row>
    <row r="7138" spans="1:3" x14ac:dyDescent="0.25">
      <c r="A7138">
        <v>7137</v>
      </c>
      <c r="B7138" s="23">
        <v>293.60000000000002</v>
      </c>
      <c r="C7138" s="23">
        <v>0</v>
      </c>
    </row>
    <row r="7139" spans="1:3" x14ac:dyDescent="0.25">
      <c r="A7139">
        <v>7138</v>
      </c>
      <c r="B7139" s="23">
        <v>293.45800000000003</v>
      </c>
      <c r="C7139" s="23">
        <v>0</v>
      </c>
    </row>
    <row r="7140" spans="1:3" x14ac:dyDescent="0.25">
      <c r="A7140">
        <v>7139</v>
      </c>
      <c r="B7140" s="23">
        <v>292.8</v>
      </c>
      <c r="C7140" s="23">
        <v>0</v>
      </c>
    </row>
    <row r="7141" spans="1:3" x14ac:dyDescent="0.25">
      <c r="A7141">
        <v>7140</v>
      </c>
      <c r="B7141" s="23">
        <v>292.7309644</v>
      </c>
      <c r="C7141" s="23">
        <v>0</v>
      </c>
    </row>
    <row r="7142" spans="1:3" x14ac:dyDescent="0.25">
      <c r="A7142">
        <v>7141</v>
      </c>
      <c r="B7142" s="23">
        <v>292.66969920000003</v>
      </c>
      <c r="C7142" s="23">
        <v>0</v>
      </c>
    </row>
    <row r="7143" spans="1:3" x14ac:dyDescent="0.25">
      <c r="A7143">
        <v>7142</v>
      </c>
      <c r="B7143" s="23">
        <v>292</v>
      </c>
      <c r="C7143" s="23">
        <v>0</v>
      </c>
    </row>
    <row r="7144" spans="1:3" x14ac:dyDescent="0.25">
      <c r="A7144">
        <v>7143</v>
      </c>
      <c r="B7144" s="23">
        <v>292</v>
      </c>
      <c r="C7144" s="23">
        <v>0</v>
      </c>
    </row>
    <row r="7145" spans="1:3" x14ac:dyDescent="0.25">
      <c r="A7145">
        <v>7144</v>
      </c>
      <c r="B7145" s="23">
        <v>291.2</v>
      </c>
      <c r="C7145" s="23">
        <v>0</v>
      </c>
    </row>
    <row r="7146" spans="1:3" x14ac:dyDescent="0.25">
      <c r="A7146">
        <v>7145</v>
      </c>
      <c r="B7146" s="23">
        <v>291.2</v>
      </c>
      <c r="C7146" s="23">
        <v>0</v>
      </c>
    </row>
    <row r="7147" spans="1:3" x14ac:dyDescent="0.25">
      <c r="A7147">
        <v>7146</v>
      </c>
      <c r="B7147" s="23">
        <v>291.07600480000002</v>
      </c>
      <c r="C7147" s="23">
        <v>0</v>
      </c>
    </row>
    <row r="7148" spans="1:3" x14ac:dyDescent="0.25">
      <c r="A7148">
        <v>7147</v>
      </c>
      <c r="B7148" s="23">
        <v>290.15300000000002</v>
      </c>
      <c r="C7148" s="23">
        <v>0</v>
      </c>
    </row>
    <row r="7149" spans="1:3" x14ac:dyDescent="0.25">
      <c r="A7149">
        <v>7148</v>
      </c>
      <c r="B7149" s="23">
        <v>289.91253990000001</v>
      </c>
      <c r="C7149" s="23">
        <v>0</v>
      </c>
    </row>
    <row r="7150" spans="1:3" x14ac:dyDescent="0.25">
      <c r="A7150">
        <v>7149</v>
      </c>
      <c r="B7150" s="23">
        <v>289.79794149999998</v>
      </c>
      <c r="C7150" s="23">
        <v>0</v>
      </c>
    </row>
    <row r="7151" spans="1:3" x14ac:dyDescent="0.25">
      <c r="A7151">
        <v>7150</v>
      </c>
      <c r="B7151" s="23">
        <v>288.99900000000002</v>
      </c>
      <c r="C7151" s="23">
        <v>0</v>
      </c>
    </row>
    <row r="7152" spans="1:3" x14ac:dyDescent="0.25">
      <c r="A7152">
        <v>7151</v>
      </c>
      <c r="B7152" s="23">
        <v>288.8</v>
      </c>
      <c r="C7152" s="23">
        <v>0</v>
      </c>
    </row>
    <row r="7153" spans="1:3" x14ac:dyDescent="0.25">
      <c r="A7153">
        <v>7152</v>
      </c>
      <c r="B7153" s="23">
        <v>288.15199999999999</v>
      </c>
      <c r="C7153" s="23">
        <v>0</v>
      </c>
    </row>
    <row r="7154" spans="1:3" x14ac:dyDescent="0.25">
      <c r="A7154">
        <v>7153</v>
      </c>
      <c r="B7154" s="23">
        <v>287.755</v>
      </c>
      <c r="C7154" s="23">
        <v>0</v>
      </c>
    </row>
    <row r="7155" spans="1:3" x14ac:dyDescent="0.25">
      <c r="A7155">
        <v>7154</v>
      </c>
      <c r="B7155" s="23">
        <v>287.65019619999998</v>
      </c>
      <c r="C7155" s="23">
        <v>0</v>
      </c>
    </row>
    <row r="7156" spans="1:3" x14ac:dyDescent="0.25">
      <c r="A7156">
        <v>7155</v>
      </c>
      <c r="B7156" s="23">
        <v>287.46712689999998</v>
      </c>
      <c r="C7156" s="23">
        <v>0</v>
      </c>
    </row>
    <row r="7157" spans="1:3" x14ac:dyDescent="0.25">
      <c r="A7157">
        <v>7156</v>
      </c>
      <c r="B7157" s="23">
        <v>287.43449349999997</v>
      </c>
      <c r="C7157" s="23">
        <v>0</v>
      </c>
    </row>
    <row r="7158" spans="1:3" x14ac:dyDescent="0.25">
      <c r="A7158">
        <v>7157</v>
      </c>
      <c r="B7158" s="23">
        <v>287.2</v>
      </c>
      <c r="C7158" s="23">
        <v>0</v>
      </c>
    </row>
    <row r="7159" spans="1:3" x14ac:dyDescent="0.25">
      <c r="A7159">
        <v>7158</v>
      </c>
      <c r="B7159" s="23">
        <v>287.2</v>
      </c>
      <c r="C7159" s="23">
        <v>0</v>
      </c>
    </row>
    <row r="7160" spans="1:3" x14ac:dyDescent="0.25">
      <c r="A7160">
        <v>7159</v>
      </c>
      <c r="B7160" s="23">
        <v>287.07299999999998</v>
      </c>
      <c r="C7160" s="23">
        <v>0</v>
      </c>
    </row>
    <row r="7161" spans="1:3" x14ac:dyDescent="0.25">
      <c r="A7161">
        <v>7160</v>
      </c>
      <c r="B7161" s="23">
        <v>286.40466400000003</v>
      </c>
      <c r="C7161" s="23">
        <v>0</v>
      </c>
    </row>
    <row r="7162" spans="1:3" x14ac:dyDescent="0.25">
      <c r="A7162">
        <v>7161</v>
      </c>
      <c r="B7162" s="23">
        <v>286.34899999999999</v>
      </c>
      <c r="C7162" s="23">
        <v>0</v>
      </c>
    </row>
    <row r="7163" spans="1:3" x14ac:dyDescent="0.25">
      <c r="A7163">
        <v>7162</v>
      </c>
      <c r="B7163" s="23">
        <v>285.60000000000002</v>
      </c>
      <c r="C7163" s="23">
        <v>0</v>
      </c>
    </row>
    <row r="7164" spans="1:3" x14ac:dyDescent="0.25">
      <c r="A7164">
        <v>7163</v>
      </c>
      <c r="B7164" s="23">
        <v>285.13631240000001</v>
      </c>
      <c r="C7164" s="23">
        <v>0</v>
      </c>
    </row>
    <row r="7165" spans="1:3" x14ac:dyDescent="0.25">
      <c r="A7165">
        <v>7164</v>
      </c>
      <c r="B7165" s="23">
        <v>285.12200000000001</v>
      </c>
      <c r="C7165" s="23">
        <v>0</v>
      </c>
    </row>
    <row r="7166" spans="1:3" x14ac:dyDescent="0.25">
      <c r="A7166">
        <v>7165</v>
      </c>
      <c r="B7166" s="23">
        <v>284.8</v>
      </c>
      <c r="C7166" s="23">
        <v>0</v>
      </c>
    </row>
    <row r="7167" spans="1:3" x14ac:dyDescent="0.25">
      <c r="A7167">
        <v>7166</v>
      </c>
      <c r="B7167" s="23">
        <v>284.35937419999999</v>
      </c>
      <c r="C7167" s="23">
        <v>0</v>
      </c>
    </row>
    <row r="7168" spans="1:3" x14ac:dyDescent="0.25">
      <c r="A7168">
        <v>7167</v>
      </c>
      <c r="B7168" s="23">
        <v>284.24299999999999</v>
      </c>
      <c r="C7168" s="23">
        <v>0</v>
      </c>
    </row>
    <row r="7169" spans="1:3" x14ac:dyDescent="0.25">
      <c r="A7169">
        <v>7168</v>
      </c>
      <c r="B7169" s="23">
        <v>284.01295649999997</v>
      </c>
      <c r="C7169" s="23">
        <v>0</v>
      </c>
    </row>
    <row r="7170" spans="1:3" x14ac:dyDescent="0.25">
      <c r="A7170">
        <v>7169</v>
      </c>
      <c r="B7170" s="23">
        <v>283.69220899999999</v>
      </c>
      <c r="C7170" s="23">
        <v>0</v>
      </c>
    </row>
    <row r="7171" spans="1:3" x14ac:dyDescent="0.25">
      <c r="A7171">
        <v>7170</v>
      </c>
      <c r="B7171" s="23">
        <v>283.58243599999997</v>
      </c>
      <c r="C7171" s="23">
        <v>0</v>
      </c>
    </row>
    <row r="7172" spans="1:3" x14ac:dyDescent="0.25">
      <c r="A7172">
        <v>7171</v>
      </c>
      <c r="B7172" s="23">
        <v>283.37900000000002</v>
      </c>
      <c r="C7172" s="23">
        <v>0</v>
      </c>
    </row>
    <row r="7173" spans="1:3" x14ac:dyDescent="0.25">
      <c r="A7173">
        <v>7172</v>
      </c>
      <c r="B7173" s="23">
        <v>282.80549780000001</v>
      </c>
      <c r="C7173" s="23">
        <v>0</v>
      </c>
    </row>
    <row r="7174" spans="1:3" x14ac:dyDescent="0.25">
      <c r="A7174">
        <v>7173</v>
      </c>
      <c r="B7174" s="23">
        <v>282.40892880000001</v>
      </c>
      <c r="C7174" s="23">
        <v>0</v>
      </c>
    </row>
    <row r="7175" spans="1:3" x14ac:dyDescent="0.25">
      <c r="A7175">
        <v>7174</v>
      </c>
      <c r="B7175" s="23">
        <v>282.39999999999998</v>
      </c>
      <c r="C7175" s="23">
        <v>0</v>
      </c>
    </row>
    <row r="7176" spans="1:3" x14ac:dyDescent="0.25">
      <c r="A7176">
        <v>7175</v>
      </c>
      <c r="B7176" s="23">
        <v>282.15131239999999</v>
      </c>
      <c r="C7176" s="23">
        <v>0</v>
      </c>
    </row>
    <row r="7177" spans="1:3" x14ac:dyDescent="0.25">
      <c r="A7177">
        <v>7176</v>
      </c>
      <c r="B7177" s="23">
        <v>281.96899999999999</v>
      </c>
      <c r="C7177" s="23">
        <v>0</v>
      </c>
    </row>
    <row r="7178" spans="1:3" x14ac:dyDescent="0.25">
      <c r="A7178">
        <v>7177</v>
      </c>
      <c r="B7178" s="23">
        <v>281.78868</v>
      </c>
      <c r="C7178" s="23">
        <v>0</v>
      </c>
    </row>
    <row r="7179" spans="1:3" x14ac:dyDescent="0.25">
      <c r="A7179">
        <v>7178</v>
      </c>
      <c r="B7179" s="23">
        <v>281.69099999999997</v>
      </c>
      <c r="C7179" s="23">
        <v>0</v>
      </c>
    </row>
    <row r="7180" spans="1:3" x14ac:dyDescent="0.25">
      <c r="A7180">
        <v>7179</v>
      </c>
      <c r="B7180" s="23">
        <v>281.37900000000002</v>
      </c>
      <c r="C7180" s="23">
        <v>0</v>
      </c>
    </row>
    <row r="7181" spans="1:3" x14ac:dyDescent="0.25">
      <c r="A7181">
        <v>7180</v>
      </c>
      <c r="B7181" s="23">
        <v>281.27999999999997</v>
      </c>
      <c r="C7181" s="23">
        <v>0</v>
      </c>
    </row>
    <row r="7182" spans="1:3" x14ac:dyDescent="0.25">
      <c r="A7182">
        <v>7181</v>
      </c>
      <c r="B7182" s="23">
        <v>281.16800000000001</v>
      </c>
      <c r="C7182" s="23">
        <v>0</v>
      </c>
    </row>
    <row r="7183" spans="1:3" x14ac:dyDescent="0.25">
      <c r="A7183">
        <v>7182</v>
      </c>
      <c r="B7183" s="23">
        <v>280.8</v>
      </c>
      <c r="C7183" s="23">
        <v>0</v>
      </c>
    </row>
    <row r="7184" spans="1:3" x14ac:dyDescent="0.25">
      <c r="A7184">
        <v>7183</v>
      </c>
      <c r="B7184" s="23">
        <v>280.47468329999998</v>
      </c>
      <c r="C7184" s="23">
        <v>0</v>
      </c>
    </row>
    <row r="7185" spans="1:3" x14ac:dyDescent="0.25">
      <c r="A7185">
        <v>7184</v>
      </c>
      <c r="B7185" s="23">
        <v>280.40422330000001</v>
      </c>
      <c r="C7185" s="23">
        <v>0</v>
      </c>
    </row>
    <row r="7186" spans="1:3" x14ac:dyDescent="0.25">
      <c r="A7186">
        <v>7185</v>
      </c>
      <c r="B7186" s="23">
        <v>280.18590080000001</v>
      </c>
      <c r="C7186" s="23">
        <v>0</v>
      </c>
    </row>
    <row r="7187" spans="1:3" x14ac:dyDescent="0.25">
      <c r="A7187">
        <v>7186</v>
      </c>
      <c r="B7187" s="23">
        <v>279.8453634</v>
      </c>
      <c r="C7187" s="23">
        <v>0</v>
      </c>
    </row>
    <row r="7188" spans="1:3" x14ac:dyDescent="0.25">
      <c r="A7188">
        <v>7187</v>
      </c>
      <c r="B7188" s="23">
        <v>279.70776790000002</v>
      </c>
      <c r="C7188" s="23">
        <v>0</v>
      </c>
    </row>
    <row r="7189" spans="1:3" x14ac:dyDescent="0.25">
      <c r="A7189">
        <v>7188</v>
      </c>
      <c r="B7189" s="23">
        <v>279.45980780000002</v>
      </c>
      <c r="C7189" s="23">
        <v>0</v>
      </c>
    </row>
    <row r="7190" spans="1:3" x14ac:dyDescent="0.25">
      <c r="A7190">
        <v>7189</v>
      </c>
      <c r="B7190" s="23">
        <v>279.2</v>
      </c>
      <c r="C7190" s="23">
        <v>0</v>
      </c>
    </row>
    <row r="7191" spans="1:3" x14ac:dyDescent="0.25">
      <c r="A7191">
        <v>7190</v>
      </c>
      <c r="B7191" s="23">
        <v>279.2</v>
      </c>
      <c r="C7191" s="23">
        <v>0</v>
      </c>
    </row>
    <row r="7192" spans="1:3" x14ac:dyDescent="0.25">
      <c r="A7192">
        <v>7191</v>
      </c>
      <c r="B7192" s="23">
        <v>278.9208069</v>
      </c>
      <c r="C7192" s="23">
        <v>0</v>
      </c>
    </row>
    <row r="7193" spans="1:3" x14ac:dyDescent="0.25">
      <c r="A7193">
        <v>7192</v>
      </c>
      <c r="B7193" s="23">
        <v>278.11399139999997</v>
      </c>
      <c r="C7193" s="23">
        <v>0</v>
      </c>
    </row>
    <row r="7194" spans="1:3" x14ac:dyDescent="0.25">
      <c r="A7194">
        <v>7193</v>
      </c>
      <c r="B7194" s="23">
        <v>276.42399999999998</v>
      </c>
      <c r="C7194" s="23">
        <v>0</v>
      </c>
    </row>
    <row r="7195" spans="1:3" x14ac:dyDescent="0.25">
      <c r="A7195">
        <v>7194</v>
      </c>
      <c r="B7195" s="23">
        <v>276.33</v>
      </c>
      <c r="C7195" s="23">
        <v>0</v>
      </c>
    </row>
    <row r="7196" spans="1:3" x14ac:dyDescent="0.25">
      <c r="A7196">
        <v>7195</v>
      </c>
      <c r="B7196" s="23">
        <v>276.25200000000001</v>
      </c>
      <c r="C7196" s="23">
        <v>0</v>
      </c>
    </row>
    <row r="7197" spans="1:3" x14ac:dyDescent="0.25">
      <c r="A7197">
        <v>7196</v>
      </c>
      <c r="B7197" s="23">
        <v>276.04904920000001</v>
      </c>
      <c r="C7197" s="23">
        <v>0</v>
      </c>
    </row>
    <row r="7198" spans="1:3" x14ac:dyDescent="0.25">
      <c r="A7198">
        <v>7197</v>
      </c>
      <c r="B7198" s="23">
        <v>276</v>
      </c>
      <c r="C7198" s="23">
        <v>0</v>
      </c>
    </row>
    <row r="7199" spans="1:3" x14ac:dyDescent="0.25">
      <c r="A7199">
        <v>7198</v>
      </c>
      <c r="B7199" s="23">
        <v>275.20995599999998</v>
      </c>
      <c r="C7199" s="23">
        <v>0</v>
      </c>
    </row>
    <row r="7200" spans="1:3" x14ac:dyDescent="0.25">
      <c r="A7200">
        <v>7199</v>
      </c>
      <c r="B7200" s="23">
        <v>275.2</v>
      </c>
      <c r="C7200" s="23">
        <v>0</v>
      </c>
    </row>
    <row r="7201" spans="1:3" x14ac:dyDescent="0.25">
      <c r="A7201">
        <v>7200</v>
      </c>
      <c r="B7201" s="23">
        <v>274.89219459999998</v>
      </c>
      <c r="C7201" s="23">
        <v>0</v>
      </c>
    </row>
    <row r="7202" spans="1:3" x14ac:dyDescent="0.25">
      <c r="A7202">
        <v>7201</v>
      </c>
      <c r="B7202" s="23">
        <v>274.39999999999998</v>
      </c>
      <c r="C7202" s="23">
        <v>0</v>
      </c>
    </row>
    <row r="7203" spans="1:3" x14ac:dyDescent="0.25">
      <c r="A7203">
        <v>7202</v>
      </c>
      <c r="B7203" s="23">
        <v>274.291</v>
      </c>
      <c r="C7203" s="23">
        <v>0</v>
      </c>
    </row>
    <row r="7204" spans="1:3" x14ac:dyDescent="0.25">
      <c r="A7204">
        <v>7203</v>
      </c>
      <c r="B7204" s="23">
        <v>273.57061640000001</v>
      </c>
      <c r="C7204" s="23">
        <v>0</v>
      </c>
    </row>
    <row r="7205" spans="1:3" x14ac:dyDescent="0.25">
      <c r="A7205">
        <v>7204</v>
      </c>
      <c r="B7205" s="23">
        <v>273.49400000000003</v>
      </c>
      <c r="C7205" s="23">
        <v>0</v>
      </c>
    </row>
    <row r="7206" spans="1:3" x14ac:dyDescent="0.25">
      <c r="A7206">
        <v>7205</v>
      </c>
      <c r="B7206" s="23">
        <v>273.04886570000002</v>
      </c>
      <c r="C7206" s="23">
        <v>0</v>
      </c>
    </row>
    <row r="7207" spans="1:3" x14ac:dyDescent="0.25">
      <c r="A7207">
        <v>7206</v>
      </c>
      <c r="B7207" s="23">
        <v>272.738</v>
      </c>
      <c r="C7207" s="23">
        <v>0</v>
      </c>
    </row>
    <row r="7208" spans="1:3" x14ac:dyDescent="0.25">
      <c r="A7208">
        <v>7207</v>
      </c>
      <c r="B7208" s="23">
        <v>272</v>
      </c>
      <c r="C7208" s="23">
        <v>0</v>
      </c>
    </row>
    <row r="7209" spans="1:3" x14ac:dyDescent="0.25">
      <c r="A7209">
        <v>7208</v>
      </c>
      <c r="B7209" s="23">
        <v>272</v>
      </c>
      <c r="C7209" s="23">
        <v>0</v>
      </c>
    </row>
    <row r="7210" spans="1:3" x14ac:dyDescent="0.25">
      <c r="A7210">
        <v>7209</v>
      </c>
      <c r="B7210" s="23">
        <v>271.40600000000001</v>
      </c>
      <c r="C7210" s="23">
        <v>0</v>
      </c>
    </row>
    <row r="7211" spans="1:3" x14ac:dyDescent="0.25">
      <c r="A7211">
        <v>7210</v>
      </c>
      <c r="B7211" s="23">
        <v>270.39999999999998</v>
      </c>
      <c r="C7211" s="23">
        <v>0</v>
      </c>
    </row>
    <row r="7212" spans="1:3" x14ac:dyDescent="0.25">
      <c r="A7212">
        <v>7211</v>
      </c>
      <c r="B7212" s="23">
        <v>270.33060360000002</v>
      </c>
      <c r="C7212" s="23">
        <v>0</v>
      </c>
    </row>
    <row r="7213" spans="1:3" x14ac:dyDescent="0.25">
      <c r="A7213">
        <v>7212</v>
      </c>
      <c r="B7213" s="23">
        <v>269.80528759999999</v>
      </c>
      <c r="C7213" s="23">
        <v>0</v>
      </c>
    </row>
    <row r="7214" spans="1:3" x14ac:dyDescent="0.25">
      <c r="A7214">
        <v>7213</v>
      </c>
      <c r="B7214" s="23">
        <v>269.60000000000002</v>
      </c>
      <c r="C7214" s="23">
        <v>0</v>
      </c>
    </row>
    <row r="7215" spans="1:3" x14ac:dyDescent="0.25">
      <c r="A7215">
        <v>7214</v>
      </c>
      <c r="B7215" s="23">
        <v>269.3482209</v>
      </c>
      <c r="C7215" s="23">
        <v>0</v>
      </c>
    </row>
    <row r="7216" spans="1:3" x14ac:dyDescent="0.25">
      <c r="A7216">
        <v>7215</v>
      </c>
      <c r="B7216" s="23">
        <v>269.15899999999999</v>
      </c>
      <c r="C7216" s="23">
        <v>0</v>
      </c>
    </row>
    <row r="7217" spans="1:3" x14ac:dyDescent="0.25">
      <c r="A7217">
        <v>7216</v>
      </c>
      <c r="B7217" s="23">
        <v>269.00400000000002</v>
      </c>
      <c r="C7217" s="23">
        <v>0</v>
      </c>
    </row>
    <row r="7218" spans="1:3" x14ac:dyDescent="0.25">
      <c r="A7218">
        <v>7217</v>
      </c>
      <c r="B7218" s="23">
        <v>268.45544960000001</v>
      </c>
      <c r="C7218" s="23">
        <v>0</v>
      </c>
    </row>
    <row r="7219" spans="1:3" x14ac:dyDescent="0.25">
      <c r="A7219">
        <v>7218</v>
      </c>
      <c r="B7219" s="23">
        <v>268.36415940000001</v>
      </c>
      <c r="C7219" s="23">
        <v>0</v>
      </c>
    </row>
    <row r="7220" spans="1:3" x14ac:dyDescent="0.25">
      <c r="A7220">
        <v>7219</v>
      </c>
      <c r="B7220" s="23">
        <v>268</v>
      </c>
      <c r="C7220" s="23">
        <v>0</v>
      </c>
    </row>
    <row r="7221" spans="1:3" x14ac:dyDescent="0.25">
      <c r="A7221">
        <v>7220</v>
      </c>
      <c r="B7221" s="23">
        <v>268</v>
      </c>
      <c r="C7221" s="23">
        <v>0</v>
      </c>
    </row>
    <row r="7222" spans="1:3" x14ac:dyDescent="0.25">
      <c r="A7222">
        <v>7221</v>
      </c>
      <c r="B7222" s="23">
        <v>267.98399999999998</v>
      </c>
      <c r="C7222" s="23">
        <v>0</v>
      </c>
    </row>
    <row r="7223" spans="1:3" x14ac:dyDescent="0.25">
      <c r="A7223">
        <v>7222</v>
      </c>
      <c r="B7223" s="23">
        <v>267.28199999999998</v>
      </c>
      <c r="C7223" s="23">
        <v>0</v>
      </c>
    </row>
    <row r="7224" spans="1:3" x14ac:dyDescent="0.25">
      <c r="A7224">
        <v>7223</v>
      </c>
      <c r="B7224" s="23">
        <v>267.096</v>
      </c>
      <c r="C7224" s="23">
        <v>0</v>
      </c>
    </row>
    <row r="7225" spans="1:3" x14ac:dyDescent="0.25">
      <c r="A7225">
        <v>7224</v>
      </c>
      <c r="B7225" s="23">
        <v>266.39999999999998</v>
      </c>
      <c r="C7225" s="23">
        <v>0</v>
      </c>
    </row>
    <row r="7226" spans="1:3" x14ac:dyDescent="0.25">
      <c r="A7226">
        <v>7225</v>
      </c>
      <c r="B7226" s="23">
        <v>265.60991360000003</v>
      </c>
      <c r="C7226" s="23">
        <v>0</v>
      </c>
    </row>
    <row r="7227" spans="1:3" x14ac:dyDescent="0.25">
      <c r="A7227">
        <v>7226</v>
      </c>
      <c r="B7227" s="23">
        <v>264.8</v>
      </c>
      <c r="C7227" s="23">
        <v>0</v>
      </c>
    </row>
    <row r="7228" spans="1:3" x14ac:dyDescent="0.25">
      <c r="A7228">
        <v>7227</v>
      </c>
      <c r="B7228" s="23">
        <v>264.43700000000001</v>
      </c>
      <c r="C7228" s="23">
        <v>0</v>
      </c>
    </row>
    <row r="7229" spans="1:3" x14ac:dyDescent="0.25">
      <c r="A7229">
        <v>7228</v>
      </c>
      <c r="B7229" s="23">
        <v>264</v>
      </c>
      <c r="C7229" s="23">
        <v>0</v>
      </c>
    </row>
    <row r="7230" spans="1:3" x14ac:dyDescent="0.25">
      <c r="A7230">
        <v>7229</v>
      </c>
      <c r="B7230" s="23">
        <v>263.90600000000001</v>
      </c>
      <c r="C7230" s="23">
        <v>0</v>
      </c>
    </row>
    <row r="7231" spans="1:3" x14ac:dyDescent="0.25">
      <c r="A7231">
        <v>7230</v>
      </c>
      <c r="B7231" s="23">
        <v>262.52339499999999</v>
      </c>
      <c r="C7231" s="23">
        <v>0</v>
      </c>
    </row>
    <row r="7232" spans="1:3" x14ac:dyDescent="0.25">
      <c r="A7232">
        <v>7231</v>
      </c>
      <c r="B7232" s="23">
        <v>261.82816700000001</v>
      </c>
      <c r="C7232" s="23">
        <v>0</v>
      </c>
    </row>
    <row r="7233" spans="1:3" x14ac:dyDescent="0.25">
      <c r="A7233">
        <v>7232</v>
      </c>
      <c r="B7233" s="23">
        <v>261.60000000000002</v>
      </c>
      <c r="C7233" s="23">
        <v>0</v>
      </c>
    </row>
    <row r="7234" spans="1:3" x14ac:dyDescent="0.25">
      <c r="A7234">
        <v>7233</v>
      </c>
      <c r="B7234" s="23">
        <v>261.39987980000001</v>
      </c>
      <c r="C7234" s="23">
        <v>0</v>
      </c>
    </row>
    <row r="7235" spans="1:3" x14ac:dyDescent="0.25">
      <c r="A7235">
        <v>7234</v>
      </c>
      <c r="B7235" s="23">
        <v>261.249348</v>
      </c>
      <c r="C7235" s="23">
        <v>0</v>
      </c>
    </row>
    <row r="7236" spans="1:3" x14ac:dyDescent="0.25">
      <c r="A7236">
        <v>7235</v>
      </c>
      <c r="B7236" s="23">
        <v>260.8</v>
      </c>
      <c r="C7236" s="23">
        <v>0</v>
      </c>
    </row>
    <row r="7237" spans="1:3" x14ac:dyDescent="0.25">
      <c r="A7237">
        <v>7236</v>
      </c>
      <c r="B7237" s="23">
        <v>260.58245040000003</v>
      </c>
      <c r="C7237" s="23">
        <v>0</v>
      </c>
    </row>
    <row r="7238" spans="1:3" x14ac:dyDescent="0.25">
      <c r="A7238">
        <v>7237</v>
      </c>
      <c r="B7238" s="23">
        <v>260.27429059999997</v>
      </c>
      <c r="C7238" s="23">
        <v>0</v>
      </c>
    </row>
    <row r="7239" spans="1:3" x14ac:dyDescent="0.25">
      <c r="A7239">
        <v>7238</v>
      </c>
      <c r="B7239" s="23">
        <v>259.57698859999999</v>
      </c>
      <c r="C7239" s="23">
        <v>0</v>
      </c>
    </row>
    <row r="7240" spans="1:3" x14ac:dyDescent="0.25">
      <c r="A7240">
        <v>7239</v>
      </c>
      <c r="B7240" s="23">
        <v>259.2</v>
      </c>
      <c r="C7240" s="23">
        <v>0</v>
      </c>
    </row>
    <row r="7241" spans="1:3" x14ac:dyDescent="0.25">
      <c r="A7241">
        <v>7240</v>
      </c>
      <c r="B7241" s="23">
        <v>258.88499999999999</v>
      </c>
      <c r="C7241" s="23">
        <v>0</v>
      </c>
    </row>
    <row r="7242" spans="1:3" x14ac:dyDescent="0.25">
      <c r="A7242">
        <v>7241</v>
      </c>
      <c r="B7242" s="23">
        <v>258.72041419999999</v>
      </c>
      <c r="C7242" s="23">
        <v>0</v>
      </c>
    </row>
    <row r="7243" spans="1:3" x14ac:dyDescent="0.25">
      <c r="A7243">
        <v>7242</v>
      </c>
      <c r="B7243" s="23">
        <v>258.15100000000001</v>
      </c>
      <c r="C7243" s="23">
        <v>0</v>
      </c>
    </row>
    <row r="7244" spans="1:3" x14ac:dyDescent="0.25">
      <c r="A7244">
        <v>7243</v>
      </c>
      <c r="B7244" s="23">
        <v>257.37599999999998</v>
      </c>
      <c r="C7244" s="23">
        <v>0</v>
      </c>
    </row>
    <row r="7245" spans="1:3" x14ac:dyDescent="0.25">
      <c r="A7245">
        <v>7244</v>
      </c>
      <c r="B7245" s="23">
        <v>257.18700000000001</v>
      </c>
      <c r="C7245" s="23">
        <v>0</v>
      </c>
    </row>
    <row r="7246" spans="1:3" x14ac:dyDescent="0.25">
      <c r="A7246">
        <v>7245</v>
      </c>
      <c r="B7246" s="23">
        <v>256.8</v>
      </c>
      <c r="C7246" s="23">
        <v>0</v>
      </c>
    </row>
    <row r="7247" spans="1:3" x14ac:dyDescent="0.25">
      <c r="A7247">
        <v>7246</v>
      </c>
      <c r="B7247" s="23">
        <v>256.16500000000002</v>
      </c>
      <c r="C7247" s="23">
        <v>0</v>
      </c>
    </row>
    <row r="7248" spans="1:3" x14ac:dyDescent="0.25">
      <c r="A7248">
        <v>7247</v>
      </c>
      <c r="B7248" s="23">
        <v>256.12900000000002</v>
      </c>
      <c r="C7248" s="23">
        <v>0</v>
      </c>
    </row>
    <row r="7249" spans="1:3" x14ac:dyDescent="0.25">
      <c r="A7249">
        <v>7248</v>
      </c>
      <c r="B7249" s="23">
        <v>255.55304520000001</v>
      </c>
      <c r="C7249" s="23">
        <v>0</v>
      </c>
    </row>
    <row r="7250" spans="1:3" x14ac:dyDescent="0.25">
      <c r="A7250">
        <v>7249</v>
      </c>
      <c r="B7250" s="23">
        <v>255.34200000000001</v>
      </c>
      <c r="C7250" s="23">
        <v>0</v>
      </c>
    </row>
    <row r="7251" spans="1:3" x14ac:dyDescent="0.25">
      <c r="A7251">
        <v>7250</v>
      </c>
      <c r="B7251" s="23">
        <v>255.2</v>
      </c>
      <c r="C7251" s="23">
        <v>0</v>
      </c>
    </row>
    <row r="7252" spans="1:3" x14ac:dyDescent="0.25">
      <c r="A7252">
        <v>7251</v>
      </c>
      <c r="B7252" s="23">
        <v>254.785</v>
      </c>
      <c r="C7252" s="23">
        <v>0</v>
      </c>
    </row>
    <row r="7253" spans="1:3" x14ac:dyDescent="0.25">
      <c r="A7253">
        <v>7252</v>
      </c>
      <c r="B7253" s="23">
        <v>254.4</v>
      </c>
      <c r="C7253" s="23">
        <v>0</v>
      </c>
    </row>
    <row r="7254" spans="1:3" x14ac:dyDescent="0.25">
      <c r="A7254">
        <v>7253</v>
      </c>
      <c r="B7254" s="23">
        <v>251.84800000000001</v>
      </c>
      <c r="C7254" s="23">
        <v>0</v>
      </c>
    </row>
    <row r="7255" spans="1:3" x14ac:dyDescent="0.25">
      <c r="A7255">
        <v>7254</v>
      </c>
      <c r="B7255" s="23">
        <v>251.672</v>
      </c>
      <c r="C7255" s="23">
        <v>0</v>
      </c>
    </row>
    <row r="7256" spans="1:3" x14ac:dyDescent="0.25">
      <c r="A7256">
        <v>7255</v>
      </c>
      <c r="B7256" s="23">
        <v>251.6319455</v>
      </c>
      <c r="C7256" s="23">
        <v>0</v>
      </c>
    </row>
    <row r="7257" spans="1:3" x14ac:dyDescent="0.25">
      <c r="A7257">
        <v>7256</v>
      </c>
      <c r="B7257" s="23">
        <v>251.40894180000001</v>
      </c>
      <c r="C7257" s="23">
        <v>0</v>
      </c>
    </row>
    <row r="7258" spans="1:3" x14ac:dyDescent="0.25">
      <c r="A7258">
        <v>7257</v>
      </c>
      <c r="B7258" s="23">
        <v>250.68299999999999</v>
      </c>
      <c r="C7258" s="23">
        <v>0</v>
      </c>
    </row>
    <row r="7259" spans="1:3" x14ac:dyDescent="0.25">
      <c r="A7259">
        <v>7258</v>
      </c>
      <c r="B7259" s="23">
        <v>249.95655160000001</v>
      </c>
      <c r="C7259" s="23">
        <v>0</v>
      </c>
    </row>
    <row r="7260" spans="1:3" x14ac:dyDescent="0.25">
      <c r="A7260">
        <v>7259</v>
      </c>
      <c r="B7260" s="23">
        <v>248.78046140000001</v>
      </c>
      <c r="C7260" s="23">
        <v>0</v>
      </c>
    </row>
    <row r="7261" spans="1:3" x14ac:dyDescent="0.25">
      <c r="A7261">
        <v>7260</v>
      </c>
      <c r="B7261" s="23">
        <v>248.715</v>
      </c>
      <c r="C7261" s="23">
        <v>0</v>
      </c>
    </row>
    <row r="7262" spans="1:3" x14ac:dyDescent="0.25">
      <c r="A7262">
        <v>7261</v>
      </c>
      <c r="B7262" s="23">
        <v>247.84327970000001</v>
      </c>
      <c r="C7262" s="23">
        <v>0</v>
      </c>
    </row>
    <row r="7263" spans="1:3" x14ac:dyDescent="0.25">
      <c r="A7263">
        <v>7262</v>
      </c>
      <c r="B7263" s="23">
        <v>247.44024300000001</v>
      </c>
      <c r="C7263" s="23">
        <v>0</v>
      </c>
    </row>
    <row r="7264" spans="1:3" x14ac:dyDescent="0.25">
      <c r="A7264">
        <v>7263</v>
      </c>
      <c r="B7264" s="23">
        <v>246.5741544</v>
      </c>
      <c r="C7264" s="23">
        <v>0</v>
      </c>
    </row>
    <row r="7265" spans="1:3" x14ac:dyDescent="0.25">
      <c r="A7265">
        <v>7264</v>
      </c>
      <c r="B7265" s="23">
        <v>246.4</v>
      </c>
      <c r="C7265" s="23">
        <v>0</v>
      </c>
    </row>
    <row r="7266" spans="1:3" x14ac:dyDescent="0.25">
      <c r="A7266">
        <v>7265</v>
      </c>
      <c r="B7266" s="23">
        <v>246.14599999999999</v>
      </c>
      <c r="C7266" s="23">
        <v>0</v>
      </c>
    </row>
    <row r="7267" spans="1:3" x14ac:dyDescent="0.25">
      <c r="A7267">
        <v>7266</v>
      </c>
      <c r="B7267" s="23">
        <v>245.6</v>
      </c>
      <c r="C7267" s="23">
        <v>0</v>
      </c>
    </row>
    <row r="7268" spans="1:3" x14ac:dyDescent="0.25">
      <c r="A7268">
        <v>7267</v>
      </c>
      <c r="B7268" s="23">
        <v>244.58790870000001</v>
      </c>
      <c r="C7268" s="23">
        <v>0</v>
      </c>
    </row>
    <row r="7269" spans="1:3" x14ac:dyDescent="0.25">
      <c r="A7269">
        <v>7268</v>
      </c>
      <c r="B7269" s="23">
        <v>244.4169823</v>
      </c>
      <c r="C7269" s="23">
        <v>0</v>
      </c>
    </row>
    <row r="7270" spans="1:3" x14ac:dyDescent="0.25">
      <c r="A7270">
        <v>7269</v>
      </c>
      <c r="B7270" s="23">
        <v>243.99199999999999</v>
      </c>
      <c r="C7270" s="23">
        <v>0</v>
      </c>
    </row>
    <row r="7271" spans="1:3" x14ac:dyDescent="0.25">
      <c r="A7271">
        <v>7270</v>
      </c>
      <c r="B7271" s="23">
        <v>243.81141880000001</v>
      </c>
      <c r="C7271" s="23">
        <v>0</v>
      </c>
    </row>
    <row r="7272" spans="1:3" x14ac:dyDescent="0.25">
      <c r="A7272">
        <v>7271</v>
      </c>
      <c r="B7272" s="23">
        <v>243.71330760000001</v>
      </c>
      <c r="C7272" s="23">
        <v>0</v>
      </c>
    </row>
    <row r="7273" spans="1:3" x14ac:dyDescent="0.25">
      <c r="A7273">
        <v>7272</v>
      </c>
      <c r="B7273" s="23">
        <v>243.4564925</v>
      </c>
      <c r="C7273" s="23">
        <v>0</v>
      </c>
    </row>
    <row r="7274" spans="1:3" x14ac:dyDescent="0.25">
      <c r="A7274">
        <v>7273</v>
      </c>
      <c r="B7274" s="23">
        <v>243.2</v>
      </c>
      <c r="C7274" s="23">
        <v>0</v>
      </c>
    </row>
    <row r="7275" spans="1:3" x14ac:dyDescent="0.25">
      <c r="A7275">
        <v>7274</v>
      </c>
      <c r="B7275" s="23">
        <v>243.2</v>
      </c>
      <c r="C7275" s="23">
        <v>0</v>
      </c>
    </row>
    <row r="7276" spans="1:3" x14ac:dyDescent="0.25">
      <c r="A7276">
        <v>7275</v>
      </c>
      <c r="B7276" s="23">
        <v>242.4</v>
      </c>
      <c r="C7276" s="23">
        <v>0</v>
      </c>
    </row>
    <row r="7277" spans="1:3" x14ac:dyDescent="0.25">
      <c r="A7277">
        <v>7276</v>
      </c>
      <c r="B7277" s="23">
        <v>241.54522460000001</v>
      </c>
      <c r="C7277" s="23">
        <v>0</v>
      </c>
    </row>
    <row r="7278" spans="1:3" x14ac:dyDescent="0.25">
      <c r="A7278">
        <v>7277</v>
      </c>
      <c r="B7278" s="23">
        <v>241.0486832</v>
      </c>
      <c r="C7278" s="23">
        <v>0</v>
      </c>
    </row>
    <row r="7279" spans="1:3" x14ac:dyDescent="0.25">
      <c r="A7279">
        <v>7278</v>
      </c>
      <c r="B7279" s="23">
        <v>240.54400000000001</v>
      </c>
      <c r="C7279" s="23">
        <v>0</v>
      </c>
    </row>
    <row r="7280" spans="1:3" x14ac:dyDescent="0.25">
      <c r="A7280">
        <v>7279</v>
      </c>
      <c r="B7280" s="23">
        <v>239.2969597</v>
      </c>
      <c r="C7280" s="23">
        <v>0</v>
      </c>
    </row>
    <row r="7281" spans="1:3" x14ac:dyDescent="0.25">
      <c r="A7281">
        <v>7280</v>
      </c>
      <c r="B7281" s="23">
        <v>239.2</v>
      </c>
      <c r="C7281" s="23">
        <v>0</v>
      </c>
    </row>
    <row r="7282" spans="1:3" x14ac:dyDescent="0.25">
      <c r="A7282">
        <v>7281</v>
      </c>
      <c r="B7282" s="23">
        <v>238.4</v>
      </c>
      <c r="C7282" s="23">
        <v>0</v>
      </c>
    </row>
    <row r="7283" spans="1:3" x14ac:dyDescent="0.25">
      <c r="A7283">
        <v>7282</v>
      </c>
      <c r="B7283" s="23">
        <v>237.6</v>
      </c>
      <c r="C7283" s="23">
        <v>0</v>
      </c>
    </row>
    <row r="7284" spans="1:3" x14ac:dyDescent="0.25">
      <c r="A7284">
        <v>7283</v>
      </c>
      <c r="B7284" s="23">
        <v>237.6</v>
      </c>
      <c r="C7284" s="23">
        <v>0</v>
      </c>
    </row>
    <row r="7285" spans="1:3" x14ac:dyDescent="0.25">
      <c r="A7285">
        <v>7284</v>
      </c>
      <c r="B7285" s="23">
        <v>237.6</v>
      </c>
      <c r="C7285" s="23">
        <v>0</v>
      </c>
    </row>
    <row r="7286" spans="1:3" x14ac:dyDescent="0.25">
      <c r="A7286">
        <v>7285</v>
      </c>
      <c r="B7286" s="23">
        <v>237.59526360000001</v>
      </c>
      <c r="C7286" s="23">
        <v>0</v>
      </c>
    </row>
    <row r="7287" spans="1:3" x14ac:dyDescent="0.25">
      <c r="A7287">
        <v>7286</v>
      </c>
      <c r="B7287" s="23">
        <v>236.4577299</v>
      </c>
      <c r="C7287" s="23">
        <v>0</v>
      </c>
    </row>
    <row r="7288" spans="1:3" x14ac:dyDescent="0.25">
      <c r="A7288">
        <v>7287</v>
      </c>
      <c r="B7288" s="23">
        <v>236.2454984</v>
      </c>
      <c r="C7288" s="23">
        <v>0</v>
      </c>
    </row>
    <row r="7289" spans="1:3" x14ac:dyDescent="0.25">
      <c r="A7289">
        <v>7288</v>
      </c>
      <c r="B7289" s="23">
        <v>236.18920700000001</v>
      </c>
      <c r="C7289" s="23">
        <v>0</v>
      </c>
    </row>
    <row r="7290" spans="1:3" x14ac:dyDescent="0.25">
      <c r="A7290">
        <v>7289</v>
      </c>
      <c r="B7290" s="23">
        <v>236.18920700000001</v>
      </c>
      <c r="C7290" s="23">
        <v>0</v>
      </c>
    </row>
    <row r="7291" spans="1:3" x14ac:dyDescent="0.25">
      <c r="A7291">
        <v>7290</v>
      </c>
      <c r="B7291" s="23">
        <v>236.03200000000001</v>
      </c>
      <c r="C7291" s="23">
        <v>0</v>
      </c>
    </row>
    <row r="7292" spans="1:3" x14ac:dyDescent="0.25">
      <c r="A7292">
        <v>7291</v>
      </c>
      <c r="B7292" s="23">
        <v>236</v>
      </c>
      <c r="C7292" s="23">
        <v>0</v>
      </c>
    </row>
    <row r="7293" spans="1:3" x14ac:dyDescent="0.25">
      <c r="A7293">
        <v>7292</v>
      </c>
      <c r="B7293" s="23">
        <v>235.767</v>
      </c>
      <c r="C7293" s="23">
        <v>0</v>
      </c>
    </row>
    <row r="7294" spans="1:3" x14ac:dyDescent="0.25">
      <c r="A7294">
        <v>7293</v>
      </c>
      <c r="B7294" s="23">
        <v>235.761</v>
      </c>
      <c r="C7294" s="23">
        <v>0</v>
      </c>
    </row>
    <row r="7295" spans="1:3" x14ac:dyDescent="0.25">
      <c r="A7295">
        <v>7294</v>
      </c>
      <c r="B7295" s="23">
        <v>235.5350086</v>
      </c>
      <c r="C7295" s="23">
        <v>0</v>
      </c>
    </row>
    <row r="7296" spans="1:3" x14ac:dyDescent="0.25">
      <c r="A7296">
        <v>7295</v>
      </c>
      <c r="B7296" s="23">
        <v>235.41226879999999</v>
      </c>
      <c r="C7296" s="23">
        <v>0</v>
      </c>
    </row>
    <row r="7297" spans="1:3" x14ac:dyDescent="0.25">
      <c r="A7297">
        <v>7296</v>
      </c>
      <c r="B7297" s="23">
        <v>235.20699999999999</v>
      </c>
      <c r="C7297" s="23">
        <v>0</v>
      </c>
    </row>
    <row r="7298" spans="1:3" x14ac:dyDescent="0.25">
      <c r="A7298">
        <v>7297</v>
      </c>
      <c r="B7298" s="23">
        <v>235.05453360000001</v>
      </c>
      <c r="C7298" s="23">
        <v>0</v>
      </c>
    </row>
    <row r="7299" spans="1:3" x14ac:dyDescent="0.25">
      <c r="A7299">
        <v>7298</v>
      </c>
      <c r="B7299" s="23">
        <v>234.947</v>
      </c>
      <c r="C7299" s="23">
        <v>0</v>
      </c>
    </row>
    <row r="7300" spans="1:3" x14ac:dyDescent="0.25">
      <c r="A7300">
        <v>7299</v>
      </c>
      <c r="B7300" s="23">
        <v>234.832528</v>
      </c>
      <c r="C7300" s="23">
        <v>0</v>
      </c>
    </row>
    <row r="7301" spans="1:3" x14ac:dyDescent="0.25">
      <c r="A7301">
        <v>7300</v>
      </c>
      <c r="B7301" s="23">
        <v>234.832528</v>
      </c>
      <c r="C7301" s="23">
        <v>0</v>
      </c>
    </row>
    <row r="7302" spans="1:3" x14ac:dyDescent="0.25">
      <c r="A7302">
        <v>7301</v>
      </c>
      <c r="B7302" s="23">
        <v>234.81299999999999</v>
      </c>
      <c r="C7302" s="23">
        <v>0</v>
      </c>
    </row>
    <row r="7303" spans="1:3" x14ac:dyDescent="0.25">
      <c r="A7303">
        <v>7302</v>
      </c>
      <c r="B7303" s="23">
        <v>234.45500000000001</v>
      </c>
      <c r="C7303" s="23">
        <v>0</v>
      </c>
    </row>
    <row r="7304" spans="1:3" x14ac:dyDescent="0.25">
      <c r="A7304">
        <v>7303</v>
      </c>
      <c r="B7304" s="23">
        <v>234.4</v>
      </c>
      <c r="C7304" s="23">
        <v>0</v>
      </c>
    </row>
    <row r="7305" spans="1:3" x14ac:dyDescent="0.25">
      <c r="A7305">
        <v>7304</v>
      </c>
      <c r="B7305" s="23">
        <v>234.4</v>
      </c>
      <c r="C7305" s="23">
        <v>0</v>
      </c>
    </row>
    <row r="7306" spans="1:3" x14ac:dyDescent="0.25">
      <c r="A7306">
        <v>7305</v>
      </c>
      <c r="B7306" s="23">
        <v>234.31969520000001</v>
      </c>
      <c r="C7306" s="23">
        <v>0</v>
      </c>
    </row>
    <row r="7307" spans="1:3" x14ac:dyDescent="0.25">
      <c r="A7307">
        <v>7306</v>
      </c>
      <c r="B7307" s="23">
        <v>233.76</v>
      </c>
      <c r="C7307" s="23">
        <v>0</v>
      </c>
    </row>
    <row r="7308" spans="1:3" x14ac:dyDescent="0.25">
      <c r="A7308">
        <v>7307</v>
      </c>
      <c r="B7308" s="23">
        <v>233.48825070000001</v>
      </c>
      <c r="C7308" s="23">
        <v>0</v>
      </c>
    </row>
    <row r="7309" spans="1:3" x14ac:dyDescent="0.25">
      <c r="A7309">
        <v>7308</v>
      </c>
      <c r="B7309" s="23">
        <v>233.43799999999999</v>
      </c>
      <c r="C7309" s="23">
        <v>0</v>
      </c>
    </row>
    <row r="7310" spans="1:3" x14ac:dyDescent="0.25">
      <c r="A7310">
        <v>7309</v>
      </c>
      <c r="B7310" s="23">
        <v>233.03399999999999</v>
      </c>
      <c r="C7310" s="23">
        <v>0</v>
      </c>
    </row>
    <row r="7311" spans="1:3" x14ac:dyDescent="0.25">
      <c r="A7311">
        <v>7310</v>
      </c>
      <c r="B7311" s="23">
        <v>232.26368909999999</v>
      </c>
      <c r="C7311" s="23">
        <v>0</v>
      </c>
    </row>
    <row r="7312" spans="1:3" x14ac:dyDescent="0.25">
      <c r="A7312">
        <v>7311</v>
      </c>
      <c r="B7312" s="23">
        <v>231.2</v>
      </c>
      <c r="C7312" s="23">
        <v>0</v>
      </c>
    </row>
    <row r="7313" spans="1:3" x14ac:dyDescent="0.25">
      <c r="A7313">
        <v>7312</v>
      </c>
      <c r="B7313" s="23">
        <v>231.095</v>
      </c>
      <c r="C7313" s="23">
        <v>0</v>
      </c>
    </row>
    <row r="7314" spans="1:3" x14ac:dyDescent="0.25">
      <c r="A7314">
        <v>7313</v>
      </c>
      <c r="B7314" s="23">
        <v>230.75063969999999</v>
      </c>
      <c r="C7314" s="23">
        <v>0</v>
      </c>
    </row>
    <row r="7315" spans="1:3" x14ac:dyDescent="0.25">
      <c r="A7315">
        <v>7314</v>
      </c>
      <c r="B7315" s="23">
        <v>230.75063969999999</v>
      </c>
      <c r="C7315" s="23">
        <v>0</v>
      </c>
    </row>
    <row r="7316" spans="1:3" x14ac:dyDescent="0.25">
      <c r="A7316">
        <v>7315</v>
      </c>
      <c r="B7316" s="23">
        <v>230.684</v>
      </c>
      <c r="C7316" s="23">
        <v>0</v>
      </c>
    </row>
    <row r="7317" spans="1:3" x14ac:dyDescent="0.25">
      <c r="A7317">
        <v>7316</v>
      </c>
      <c r="B7317" s="23">
        <v>230.65899999999999</v>
      </c>
      <c r="C7317" s="23">
        <v>0</v>
      </c>
    </row>
    <row r="7318" spans="1:3" x14ac:dyDescent="0.25">
      <c r="A7318">
        <v>7317</v>
      </c>
      <c r="B7318" s="23">
        <v>230.4</v>
      </c>
      <c r="C7318" s="23">
        <v>0</v>
      </c>
    </row>
    <row r="7319" spans="1:3" x14ac:dyDescent="0.25">
      <c r="A7319">
        <v>7318</v>
      </c>
      <c r="B7319" s="23">
        <v>230.4</v>
      </c>
      <c r="C7319" s="23">
        <v>0</v>
      </c>
    </row>
    <row r="7320" spans="1:3" x14ac:dyDescent="0.25">
      <c r="A7320">
        <v>7319</v>
      </c>
      <c r="B7320" s="23">
        <v>229.93</v>
      </c>
      <c r="C7320" s="23">
        <v>0</v>
      </c>
    </row>
    <row r="7321" spans="1:3" x14ac:dyDescent="0.25">
      <c r="A7321">
        <v>7320</v>
      </c>
      <c r="B7321" s="23">
        <v>229.19676340000001</v>
      </c>
      <c r="C7321" s="23">
        <v>0</v>
      </c>
    </row>
    <row r="7322" spans="1:3" x14ac:dyDescent="0.25">
      <c r="A7322">
        <v>7321</v>
      </c>
      <c r="B7322" s="23">
        <v>228.8</v>
      </c>
      <c r="C7322" s="23">
        <v>0</v>
      </c>
    </row>
    <row r="7323" spans="1:3" x14ac:dyDescent="0.25">
      <c r="A7323">
        <v>7322</v>
      </c>
      <c r="B7323" s="23">
        <v>228.61637289999999</v>
      </c>
      <c r="C7323" s="23">
        <v>0</v>
      </c>
    </row>
    <row r="7324" spans="1:3" x14ac:dyDescent="0.25">
      <c r="A7324">
        <v>7323</v>
      </c>
      <c r="B7324" s="23">
        <v>228.42662340000001</v>
      </c>
      <c r="C7324" s="23">
        <v>0</v>
      </c>
    </row>
    <row r="7325" spans="1:3" x14ac:dyDescent="0.25">
      <c r="A7325">
        <v>7324</v>
      </c>
      <c r="B7325" s="23">
        <v>228.21100000000001</v>
      </c>
      <c r="C7325" s="23">
        <v>0</v>
      </c>
    </row>
    <row r="7326" spans="1:3" x14ac:dyDescent="0.25">
      <c r="A7326">
        <v>7325</v>
      </c>
      <c r="B7326" s="23">
        <v>227.92568900000001</v>
      </c>
      <c r="C7326" s="23">
        <v>0</v>
      </c>
    </row>
    <row r="7327" spans="1:3" x14ac:dyDescent="0.25">
      <c r="A7327">
        <v>7326</v>
      </c>
      <c r="B7327" s="23">
        <v>227.84453360000001</v>
      </c>
      <c r="C7327" s="23">
        <v>0</v>
      </c>
    </row>
    <row r="7328" spans="1:3" x14ac:dyDescent="0.25">
      <c r="A7328">
        <v>7327</v>
      </c>
      <c r="B7328" s="23">
        <v>227.81200000000001</v>
      </c>
      <c r="C7328" s="23">
        <v>0</v>
      </c>
    </row>
    <row r="7329" spans="1:3" x14ac:dyDescent="0.25">
      <c r="A7329">
        <v>7328</v>
      </c>
      <c r="B7329" s="23">
        <v>227.642887</v>
      </c>
      <c r="C7329" s="23">
        <v>0</v>
      </c>
    </row>
    <row r="7330" spans="1:3" x14ac:dyDescent="0.25">
      <c r="A7330">
        <v>7329</v>
      </c>
      <c r="B7330" s="23">
        <v>227.2</v>
      </c>
      <c r="C7330" s="23">
        <v>0</v>
      </c>
    </row>
    <row r="7331" spans="1:3" x14ac:dyDescent="0.25">
      <c r="A7331">
        <v>7330</v>
      </c>
      <c r="B7331" s="23">
        <v>227.02133649999999</v>
      </c>
      <c r="C7331" s="23">
        <v>0</v>
      </c>
    </row>
    <row r="7332" spans="1:3" x14ac:dyDescent="0.25">
      <c r="A7332">
        <v>7331</v>
      </c>
      <c r="B7332" s="23">
        <v>226.70861880000001</v>
      </c>
      <c r="C7332" s="23">
        <v>0</v>
      </c>
    </row>
    <row r="7333" spans="1:3" x14ac:dyDescent="0.25">
      <c r="A7333">
        <v>7332</v>
      </c>
      <c r="B7333" s="23">
        <v>226.4</v>
      </c>
      <c r="C7333" s="23">
        <v>0</v>
      </c>
    </row>
    <row r="7334" spans="1:3" x14ac:dyDescent="0.25">
      <c r="A7334">
        <v>7333</v>
      </c>
      <c r="B7334" s="23">
        <v>226.31626510000001</v>
      </c>
      <c r="C7334" s="23">
        <v>0</v>
      </c>
    </row>
    <row r="7335" spans="1:3" x14ac:dyDescent="0.25">
      <c r="A7335">
        <v>7334</v>
      </c>
      <c r="B7335" s="23">
        <v>226.119742</v>
      </c>
      <c r="C7335" s="23">
        <v>0</v>
      </c>
    </row>
    <row r="7336" spans="1:3" x14ac:dyDescent="0.25">
      <c r="A7336">
        <v>7335</v>
      </c>
      <c r="B7336" s="23">
        <v>225.95699999999999</v>
      </c>
      <c r="C7336" s="23">
        <v>0</v>
      </c>
    </row>
    <row r="7337" spans="1:3" x14ac:dyDescent="0.25">
      <c r="A7337">
        <v>7336</v>
      </c>
      <c r="B7337" s="23">
        <v>225.678</v>
      </c>
      <c r="C7337" s="23">
        <v>0</v>
      </c>
    </row>
    <row r="7338" spans="1:3" x14ac:dyDescent="0.25">
      <c r="A7338">
        <v>7337</v>
      </c>
      <c r="B7338" s="23">
        <v>225.6</v>
      </c>
      <c r="C7338" s="23">
        <v>0</v>
      </c>
    </row>
    <row r="7339" spans="1:3" x14ac:dyDescent="0.25">
      <c r="A7339">
        <v>7338</v>
      </c>
      <c r="B7339" s="23">
        <v>225.14447989999999</v>
      </c>
      <c r="C7339" s="23">
        <v>0</v>
      </c>
    </row>
    <row r="7340" spans="1:3" x14ac:dyDescent="0.25">
      <c r="A7340">
        <v>7339</v>
      </c>
      <c r="B7340" s="23">
        <v>224.739</v>
      </c>
      <c r="C7340" s="23">
        <v>0</v>
      </c>
    </row>
    <row r="7341" spans="1:3" x14ac:dyDescent="0.25">
      <c r="A7341">
        <v>7340</v>
      </c>
      <c r="B7341" s="23">
        <v>224.53513430000001</v>
      </c>
      <c r="C7341" s="23">
        <v>0</v>
      </c>
    </row>
    <row r="7342" spans="1:3" x14ac:dyDescent="0.25">
      <c r="A7342">
        <v>7341</v>
      </c>
      <c r="B7342" s="23">
        <v>224.458</v>
      </c>
      <c r="C7342" s="23">
        <v>0</v>
      </c>
    </row>
    <row r="7343" spans="1:3" x14ac:dyDescent="0.25">
      <c r="A7343">
        <v>7342</v>
      </c>
      <c r="B7343" s="23">
        <v>224.03400920000001</v>
      </c>
      <c r="C7343" s="23">
        <v>0</v>
      </c>
    </row>
    <row r="7344" spans="1:3" x14ac:dyDescent="0.25">
      <c r="A7344">
        <v>7343</v>
      </c>
      <c r="B7344" s="23">
        <v>224.0097298</v>
      </c>
      <c r="C7344" s="23">
        <v>0</v>
      </c>
    </row>
    <row r="7345" spans="1:3" x14ac:dyDescent="0.25">
      <c r="A7345">
        <v>7344</v>
      </c>
      <c r="B7345" s="23">
        <v>224</v>
      </c>
      <c r="C7345" s="23">
        <v>0</v>
      </c>
    </row>
    <row r="7346" spans="1:3" x14ac:dyDescent="0.25">
      <c r="A7346">
        <v>7345</v>
      </c>
      <c r="B7346" s="23">
        <v>223.78158550000001</v>
      </c>
      <c r="C7346" s="23">
        <v>0</v>
      </c>
    </row>
    <row r="7347" spans="1:3" x14ac:dyDescent="0.25">
      <c r="A7347">
        <v>7346</v>
      </c>
      <c r="B7347" s="23">
        <v>223.75819609999999</v>
      </c>
      <c r="C7347" s="23">
        <v>0</v>
      </c>
    </row>
    <row r="7348" spans="1:3" x14ac:dyDescent="0.25">
      <c r="A7348">
        <v>7347</v>
      </c>
      <c r="B7348" s="23">
        <v>223.50962870000001</v>
      </c>
      <c r="C7348" s="23">
        <v>0</v>
      </c>
    </row>
    <row r="7349" spans="1:3" x14ac:dyDescent="0.25">
      <c r="A7349">
        <v>7348</v>
      </c>
      <c r="B7349" s="23">
        <v>223.2</v>
      </c>
      <c r="C7349" s="23">
        <v>0</v>
      </c>
    </row>
    <row r="7350" spans="1:3" x14ac:dyDescent="0.25">
      <c r="A7350">
        <v>7349</v>
      </c>
      <c r="B7350" s="23">
        <v>223.2</v>
      </c>
      <c r="C7350" s="23">
        <v>0</v>
      </c>
    </row>
    <row r="7351" spans="1:3" x14ac:dyDescent="0.25">
      <c r="A7351">
        <v>7350</v>
      </c>
      <c r="B7351" s="23">
        <v>222.3318155</v>
      </c>
      <c r="C7351" s="23">
        <v>0</v>
      </c>
    </row>
    <row r="7352" spans="1:3" x14ac:dyDescent="0.25">
      <c r="A7352">
        <v>7351</v>
      </c>
      <c r="B7352" s="23">
        <v>222.20431970000001</v>
      </c>
      <c r="C7352" s="23">
        <v>0</v>
      </c>
    </row>
    <row r="7353" spans="1:3" x14ac:dyDescent="0.25">
      <c r="A7353">
        <v>7352</v>
      </c>
      <c r="B7353" s="23">
        <v>221.63229899999999</v>
      </c>
      <c r="C7353" s="23">
        <v>0</v>
      </c>
    </row>
    <row r="7354" spans="1:3" x14ac:dyDescent="0.25">
      <c r="A7354">
        <v>7353</v>
      </c>
      <c r="B7354" s="23">
        <v>221.6</v>
      </c>
      <c r="C7354" s="23">
        <v>0</v>
      </c>
    </row>
    <row r="7355" spans="1:3" x14ac:dyDescent="0.25">
      <c r="A7355">
        <v>7354</v>
      </c>
      <c r="B7355" s="23">
        <v>221.19</v>
      </c>
      <c r="C7355" s="23">
        <v>0</v>
      </c>
    </row>
    <row r="7356" spans="1:3" x14ac:dyDescent="0.25">
      <c r="A7356">
        <v>7355</v>
      </c>
      <c r="B7356" s="23">
        <v>220.4507624</v>
      </c>
      <c r="C7356" s="23">
        <v>0</v>
      </c>
    </row>
    <row r="7357" spans="1:3" x14ac:dyDescent="0.25">
      <c r="A7357">
        <v>7356</v>
      </c>
      <c r="B7357" s="23">
        <v>220.23599999999999</v>
      </c>
      <c r="C7357" s="23">
        <v>0</v>
      </c>
    </row>
    <row r="7358" spans="1:3" x14ac:dyDescent="0.25">
      <c r="A7358">
        <v>7357</v>
      </c>
      <c r="B7358" s="23">
        <v>220</v>
      </c>
      <c r="C7358" s="23">
        <v>0</v>
      </c>
    </row>
    <row r="7359" spans="1:3" x14ac:dyDescent="0.25">
      <c r="A7359">
        <v>7358</v>
      </c>
      <c r="B7359" s="23">
        <v>219.87350520000001</v>
      </c>
      <c r="C7359" s="23">
        <v>0</v>
      </c>
    </row>
    <row r="7360" spans="1:3" x14ac:dyDescent="0.25">
      <c r="A7360">
        <v>7359</v>
      </c>
      <c r="B7360" s="23">
        <v>219.6374821</v>
      </c>
      <c r="C7360" s="23">
        <v>0</v>
      </c>
    </row>
    <row r="7361" spans="1:3" x14ac:dyDescent="0.25">
      <c r="A7361">
        <v>7360</v>
      </c>
      <c r="B7361" s="23">
        <v>218.57400000000001</v>
      </c>
      <c r="C7361" s="23">
        <v>0</v>
      </c>
    </row>
    <row r="7362" spans="1:3" x14ac:dyDescent="0.25">
      <c r="A7362">
        <v>7361</v>
      </c>
      <c r="B7362" s="23">
        <v>218.4</v>
      </c>
      <c r="C7362" s="23">
        <v>0</v>
      </c>
    </row>
    <row r="7363" spans="1:3" x14ac:dyDescent="0.25">
      <c r="A7363">
        <v>7362</v>
      </c>
      <c r="B7363" s="23">
        <v>217.41399999999999</v>
      </c>
      <c r="C7363" s="23">
        <v>0</v>
      </c>
    </row>
    <row r="7364" spans="1:3" x14ac:dyDescent="0.25">
      <c r="A7364">
        <v>7363</v>
      </c>
      <c r="B7364" s="23">
        <v>216.66300000000001</v>
      </c>
      <c r="C7364" s="23">
        <v>0</v>
      </c>
    </row>
    <row r="7365" spans="1:3" x14ac:dyDescent="0.25">
      <c r="A7365">
        <v>7364</v>
      </c>
      <c r="B7365" s="23">
        <v>216.30500000000001</v>
      </c>
      <c r="C7365" s="23">
        <v>0</v>
      </c>
    </row>
    <row r="7366" spans="1:3" x14ac:dyDescent="0.25">
      <c r="A7366">
        <v>7365</v>
      </c>
      <c r="B7366" s="23">
        <v>216.0102737</v>
      </c>
      <c r="C7366" s="23">
        <v>0</v>
      </c>
    </row>
    <row r="7367" spans="1:3" x14ac:dyDescent="0.25">
      <c r="A7367">
        <v>7366</v>
      </c>
      <c r="B7367" s="23">
        <v>215.28800000000001</v>
      </c>
      <c r="C7367" s="23">
        <v>0</v>
      </c>
    </row>
    <row r="7368" spans="1:3" x14ac:dyDescent="0.25">
      <c r="A7368">
        <v>7367</v>
      </c>
      <c r="B7368" s="23">
        <v>215.21187610000001</v>
      </c>
      <c r="C7368" s="23">
        <v>0</v>
      </c>
    </row>
    <row r="7369" spans="1:3" x14ac:dyDescent="0.25">
      <c r="A7369">
        <v>7368</v>
      </c>
      <c r="B7369" s="23">
        <v>213.6579997</v>
      </c>
      <c r="C7369" s="23">
        <v>0</v>
      </c>
    </row>
    <row r="7370" spans="1:3" x14ac:dyDescent="0.25">
      <c r="A7370">
        <v>7369</v>
      </c>
      <c r="B7370" s="23">
        <v>212.0399591</v>
      </c>
      <c r="C7370" s="23">
        <v>0</v>
      </c>
    </row>
    <row r="7371" spans="1:3" x14ac:dyDescent="0.25">
      <c r="A7371">
        <v>7370</v>
      </c>
      <c r="B7371" s="23">
        <v>211.97300000000001</v>
      </c>
      <c r="C7371" s="23">
        <v>0</v>
      </c>
    </row>
    <row r="7372" spans="1:3" x14ac:dyDescent="0.25">
      <c r="A7372">
        <v>7371</v>
      </c>
      <c r="B7372" s="23">
        <v>211.25200000000001</v>
      </c>
      <c r="C7372" s="23">
        <v>0</v>
      </c>
    </row>
    <row r="7373" spans="1:3" x14ac:dyDescent="0.25">
      <c r="A7373">
        <v>7372</v>
      </c>
      <c r="B7373" s="23">
        <v>211.14654709999999</v>
      </c>
      <c r="C7373" s="23">
        <v>0</v>
      </c>
    </row>
    <row r="7374" spans="1:3" x14ac:dyDescent="0.25">
      <c r="A7374">
        <v>7373</v>
      </c>
      <c r="B7374" s="23">
        <v>210.89400000000001</v>
      </c>
      <c r="C7374" s="23">
        <v>0</v>
      </c>
    </row>
    <row r="7375" spans="1:3" x14ac:dyDescent="0.25">
      <c r="A7375">
        <v>7374</v>
      </c>
      <c r="B7375" s="23">
        <v>210.65168449999999</v>
      </c>
      <c r="C7375" s="23">
        <v>0</v>
      </c>
    </row>
    <row r="7376" spans="1:3" x14ac:dyDescent="0.25">
      <c r="A7376">
        <v>7375</v>
      </c>
      <c r="B7376" s="23">
        <v>210.4</v>
      </c>
      <c r="C7376" s="23">
        <v>0</v>
      </c>
    </row>
    <row r="7377" spans="1:3" x14ac:dyDescent="0.25">
      <c r="A7377">
        <v>7376</v>
      </c>
      <c r="B7377" s="23">
        <v>210.34399999999999</v>
      </c>
      <c r="C7377" s="23">
        <v>0</v>
      </c>
    </row>
    <row r="7378" spans="1:3" x14ac:dyDescent="0.25">
      <c r="A7378">
        <v>7377</v>
      </c>
      <c r="B7378" s="23">
        <v>210.06951649999999</v>
      </c>
      <c r="C7378" s="23">
        <v>0</v>
      </c>
    </row>
    <row r="7379" spans="1:3" x14ac:dyDescent="0.25">
      <c r="A7379">
        <v>7378</v>
      </c>
      <c r="B7379" s="23">
        <v>209.928</v>
      </c>
      <c r="C7379" s="23">
        <v>0</v>
      </c>
    </row>
    <row r="7380" spans="1:3" x14ac:dyDescent="0.25">
      <c r="A7380">
        <v>7379</v>
      </c>
      <c r="B7380" s="23">
        <v>209.701807</v>
      </c>
      <c r="C7380" s="23">
        <v>0</v>
      </c>
    </row>
    <row r="7381" spans="1:3" x14ac:dyDescent="0.25">
      <c r="A7381">
        <v>7380</v>
      </c>
      <c r="B7381" s="23">
        <v>209.6</v>
      </c>
      <c r="C7381" s="23">
        <v>0</v>
      </c>
    </row>
    <row r="7382" spans="1:3" x14ac:dyDescent="0.25">
      <c r="A7382">
        <v>7381</v>
      </c>
      <c r="B7382" s="23">
        <v>209.471</v>
      </c>
      <c r="C7382" s="23">
        <v>0</v>
      </c>
    </row>
    <row r="7383" spans="1:3" x14ac:dyDescent="0.25">
      <c r="A7383">
        <v>7382</v>
      </c>
      <c r="B7383" s="23">
        <v>209.15897240000001</v>
      </c>
      <c r="C7383" s="23">
        <v>0</v>
      </c>
    </row>
    <row r="7384" spans="1:3" x14ac:dyDescent="0.25">
      <c r="A7384">
        <v>7383</v>
      </c>
      <c r="B7384" s="23">
        <v>207.88399999999999</v>
      </c>
      <c r="C7384" s="23">
        <v>0</v>
      </c>
    </row>
    <row r="7385" spans="1:3" x14ac:dyDescent="0.25">
      <c r="A7385">
        <v>7384</v>
      </c>
      <c r="B7385" s="23">
        <v>207.74486759999999</v>
      </c>
      <c r="C7385" s="23">
        <v>0</v>
      </c>
    </row>
    <row r="7386" spans="1:3" x14ac:dyDescent="0.25">
      <c r="A7386">
        <v>7385</v>
      </c>
      <c r="B7386" s="23">
        <v>207.67483680000001</v>
      </c>
      <c r="C7386" s="23">
        <v>0</v>
      </c>
    </row>
    <row r="7387" spans="1:3" x14ac:dyDescent="0.25">
      <c r="A7387">
        <v>7386</v>
      </c>
      <c r="B7387" s="23">
        <v>207.23093840000001</v>
      </c>
      <c r="C7387" s="23">
        <v>0</v>
      </c>
    </row>
    <row r="7388" spans="1:3" x14ac:dyDescent="0.25">
      <c r="A7388">
        <v>7387</v>
      </c>
      <c r="B7388" s="23">
        <v>207.2</v>
      </c>
      <c r="C7388" s="23">
        <v>0</v>
      </c>
    </row>
    <row r="7389" spans="1:3" x14ac:dyDescent="0.25">
      <c r="A7389">
        <v>7388</v>
      </c>
      <c r="B7389" s="23">
        <v>207.0753904</v>
      </c>
      <c r="C7389" s="23">
        <v>0</v>
      </c>
    </row>
    <row r="7390" spans="1:3" x14ac:dyDescent="0.25">
      <c r="A7390">
        <v>7389</v>
      </c>
      <c r="B7390" s="23">
        <v>206.51448790000001</v>
      </c>
      <c r="C7390" s="23">
        <v>0</v>
      </c>
    </row>
    <row r="7391" spans="1:3" x14ac:dyDescent="0.25">
      <c r="A7391">
        <v>7390</v>
      </c>
      <c r="B7391" s="23">
        <v>206.4</v>
      </c>
      <c r="C7391" s="23">
        <v>0</v>
      </c>
    </row>
    <row r="7392" spans="1:3" x14ac:dyDescent="0.25">
      <c r="A7392">
        <v>7391</v>
      </c>
      <c r="B7392" s="23">
        <v>206.36668700000001</v>
      </c>
      <c r="C7392" s="23">
        <v>0</v>
      </c>
    </row>
    <row r="7393" spans="1:3" x14ac:dyDescent="0.25">
      <c r="A7393">
        <v>7392</v>
      </c>
      <c r="B7393" s="23">
        <v>205.8623963</v>
      </c>
      <c r="C7393" s="23">
        <v>0</v>
      </c>
    </row>
    <row r="7394" spans="1:3" x14ac:dyDescent="0.25">
      <c r="A7394">
        <v>7393</v>
      </c>
      <c r="B7394" s="23">
        <v>205.30600000000001</v>
      </c>
      <c r="C7394" s="23">
        <v>0</v>
      </c>
    </row>
    <row r="7395" spans="1:3" x14ac:dyDescent="0.25">
      <c r="A7395">
        <v>7394</v>
      </c>
      <c r="B7395" s="23">
        <v>205.16218069999999</v>
      </c>
      <c r="C7395" s="23">
        <v>0</v>
      </c>
    </row>
    <row r="7396" spans="1:3" x14ac:dyDescent="0.25">
      <c r="A7396">
        <v>7395</v>
      </c>
      <c r="B7396" s="23">
        <v>205.13312010000001</v>
      </c>
      <c r="C7396" s="23">
        <v>0</v>
      </c>
    </row>
    <row r="7397" spans="1:3" x14ac:dyDescent="0.25">
      <c r="A7397">
        <v>7396</v>
      </c>
      <c r="B7397" s="23">
        <v>205.13</v>
      </c>
      <c r="C7397" s="23">
        <v>0</v>
      </c>
    </row>
    <row r="7398" spans="1:3" x14ac:dyDescent="0.25">
      <c r="A7398">
        <v>7397</v>
      </c>
      <c r="B7398" s="23">
        <v>204.82599999999999</v>
      </c>
      <c r="C7398" s="23">
        <v>0</v>
      </c>
    </row>
    <row r="7399" spans="1:3" x14ac:dyDescent="0.25">
      <c r="A7399">
        <v>7398</v>
      </c>
      <c r="B7399" s="23">
        <v>204.69300000000001</v>
      </c>
      <c r="C7399" s="23">
        <v>0</v>
      </c>
    </row>
    <row r="7400" spans="1:3" x14ac:dyDescent="0.25">
      <c r="A7400">
        <v>7399</v>
      </c>
      <c r="B7400" s="23">
        <v>204.59899999999999</v>
      </c>
      <c r="C7400" s="23">
        <v>0</v>
      </c>
    </row>
    <row r="7401" spans="1:3" x14ac:dyDescent="0.25">
      <c r="A7401">
        <v>7400</v>
      </c>
      <c r="B7401" s="23">
        <v>204</v>
      </c>
      <c r="C7401" s="23">
        <v>0</v>
      </c>
    </row>
    <row r="7402" spans="1:3" x14ac:dyDescent="0.25">
      <c r="A7402">
        <v>7401</v>
      </c>
      <c r="B7402" s="23">
        <v>204</v>
      </c>
      <c r="C7402" s="23">
        <v>0</v>
      </c>
    </row>
    <row r="7403" spans="1:3" x14ac:dyDescent="0.25">
      <c r="A7403">
        <v>7402</v>
      </c>
      <c r="B7403" s="23">
        <v>203.7793796</v>
      </c>
      <c r="C7403" s="23">
        <v>0</v>
      </c>
    </row>
    <row r="7404" spans="1:3" x14ac:dyDescent="0.25">
      <c r="A7404">
        <v>7403</v>
      </c>
      <c r="B7404" s="23">
        <v>203.767</v>
      </c>
      <c r="C7404" s="23">
        <v>0</v>
      </c>
    </row>
    <row r="7405" spans="1:3" x14ac:dyDescent="0.25">
      <c r="A7405">
        <v>7404</v>
      </c>
      <c r="B7405" s="23">
        <v>203.55780340000001</v>
      </c>
      <c r="C7405" s="23">
        <v>0</v>
      </c>
    </row>
    <row r="7406" spans="1:3" x14ac:dyDescent="0.25">
      <c r="A7406">
        <v>7405</v>
      </c>
      <c r="B7406" s="23">
        <v>203.54541040000001</v>
      </c>
      <c r="C7406" s="23">
        <v>0</v>
      </c>
    </row>
    <row r="7407" spans="1:3" x14ac:dyDescent="0.25">
      <c r="A7407">
        <v>7406</v>
      </c>
      <c r="B7407" s="23">
        <v>203.20649800000001</v>
      </c>
      <c r="C7407" s="23">
        <v>0</v>
      </c>
    </row>
    <row r="7408" spans="1:3" x14ac:dyDescent="0.25">
      <c r="A7408">
        <v>7407</v>
      </c>
      <c r="B7408" s="23">
        <v>203.2</v>
      </c>
      <c r="C7408" s="23">
        <v>0</v>
      </c>
    </row>
    <row r="7409" spans="1:3" x14ac:dyDescent="0.25">
      <c r="A7409">
        <v>7408</v>
      </c>
      <c r="B7409" s="23">
        <v>203.03</v>
      </c>
      <c r="C7409" s="23">
        <v>0</v>
      </c>
    </row>
    <row r="7410" spans="1:3" x14ac:dyDescent="0.25">
      <c r="A7410">
        <v>7409</v>
      </c>
      <c r="B7410" s="23">
        <v>202.72694999999999</v>
      </c>
      <c r="C7410" s="23">
        <v>0</v>
      </c>
    </row>
    <row r="7411" spans="1:3" x14ac:dyDescent="0.25">
      <c r="A7411">
        <v>7410</v>
      </c>
      <c r="B7411" s="23">
        <v>202.71299999999999</v>
      </c>
      <c r="C7411" s="23">
        <v>0</v>
      </c>
    </row>
    <row r="7412" spans="1:3" x14ac:dyDescent="0.25">
      <c r="A7412">
        <v>7411</v>
      </c>
      <c r="B7412" s="23">
        <v>202.417869</v>
      </c>
      <c r="C7412" s="23">
        <v>0</v>
      </c>
    </row>
    <row r="7413" spans="1:3" x14ac:dyDescent="0.25">
      <c r="A7413">
        <v>7412</v>
      </c>
      <c r="B7413" s="23">
        <v>201.44990340000001</v>
      </c>
      <c r="C7413" s="23">
        <v>0</v>
      </c>
    </row>
    <row r="7414" spans="1:3" x14ac:dyDescent="0.25">
      <c r="A7414">
        <v>7413</v>
      </c>
      <c r="B7414" s="23">
        <v>200.95693739999999</v>
      </c>
      <c r="C7414" s="23">
        <v>0</v>
      </c>
    </row>
    <row r="7415" spans="1:3" x14ac:dyDescent="0.25">
      <c r="A7415">
        <v>7414</v>
      </c>
      <c r="B7415" s="23">
        <v>200.8</v>
      </c>
      <c r="C7415" s="23">
        <v>0</v>
      </c>
    </row>
    <row r="7416" spans="1:3" x14ac:dyDescent="0.25">
      <c r="A7416">
        <v>7415</v>
      </c>
      <c r="B7416" s="23">
        <v>200</v>
      </c>
      <c r="C7416" s="23">
        <v>0</v>
      </c>
    </row>
    <row r="7417" spans="1:3" x14ac:dyDescent="0.25">
      <c r="A7417">
        <v>7416</v>
      </c>
      <c r="B7417" s="23">
        <v>199.819355</v>
      </c>
      <c r="C7417" s="23">
        <v>0</v>
      </c>
    </row>
    <row r="7418" spans="1:3" x14ac:dyDescent="0.25">
      <c r="A7418">
        <v>7417</v>
      </c>
      <c r="B7418" s="23">
        <v>199.55049339999999</v>
      </c>
      <c r="C7418" s="23">
        <v>0</v>
      </c>
    </row>
    <row r="7419" spans="1:3" x14ac:dyDescent="0.25">
      <c r="A7419">
        <v>7418</v>
      </c>
      <c r="B7419" s="23">
        <v>199.38758770000001</v>
      </c>
      <c r="C7419" s="23">
        <v>0</v>
      </c>
    </row>
    <row r="7420" spans="1:3" x14ac:dyDescent="0.25">
      <c r="A7420">
        <v>7419</v>
      </c>
      <c r="B7420" s="23">
        <v>199.2</v>
      </c>
      <c r="C7420" s="23">
        <v>0</v>
      </c>
    </row>
    <row r="7421" spans="1:3" x14ac:dyDescent="0.25">
      <c r="A7421">
        <v>7420</v>
      </c>
      <c r="B7421" s="23">
        <v>199.2</v>
      </c>
      <c r="C7421" s="23">
        <v>0</v>
      </c>
    </row>
    <row r="7422" spans="1:3" x14ac:dyDescent="0.25">
      <c r="A7422">
        <v>7421</v>
      </c>
      <c r="B7422" s="23">
        <v>199.03526059999999</v>
      </c>
      <c r="C7422" s="23">
        <v>0</v>
      </c>
    </row>
    <row r="7423" spans="1:3" x14ac:dyDescent="0.25">
      <c r="A7423">
        <v>7422</v>
      </c>
      <c r="B7423" s="23">
        <v>198.92142480000001</v>
      </c>
      <c r="C7423" s="23">
        <v>0</v>
      </c>
    </row>
    <row r="7424" spans="1:3" x14ac:dyDescent="0.25">
      <c r="A7424">
        <v>7423</v>
      </c>
      <c r="B7424" s="23">
        <v>198.79225880000001</v>
      </c>
      <c r="C7424" s="23">
        <v>0</v>
      </c>
    </row>
    <row r="7425" spans="1:3" x14ac:dyDescent="0.25">
      <c r="A7425">
        <v>7424</v>
      </c>
      <c r="B7425" s="23">
        <v>198.150982</v>
      </c>
      <c r="C7425" s="23">
        <v>0</v>
      </c>
    </row>
    <row r="7426" spans="1:3" x14ac:dyDescent="0.25">
      <c r="A7426">
        <v>7425</v>
      </c>
      <c r="B7426" s="23">
        <v>198.11923609999999</v>
      </c>
      <c r="C7426" s="23">
        <v>0</v>
      </c>
    </row>
    <row r="7427" spans="1:3" x14ac:dyDescent="0.25">
      <c r="A7427">
        <v>7426</v>
      </c>
      <c r="B7427" s="23">
        <v>197.93578890000001</v>
      </c>
      <c r="C7427" s="23">
        <v>0</v>
      </c>
    </row>
    <row r="7428" spans="1:3" x14ac:dyDescent="0.25">
      <c r="A7428">
        <v>7427</v>
      </c>
      <c r="B7428" s="23">
        <v>197.6</v>
      </c>
      <c r="C7428" s="23">
        <v>0</v>
      </c>
    </row>
    <row r="7429" spans="1:3" x14ac:dyDescent="0.25">
      <c r="A7429">
        <v>7428</v>
      </c>
      <c r="B7429" s="23">
        <v>197.34229790000001</v>
      </c>
      <c r="C7429" s="23">
        <v>0</v>
      </c>
    </row>
    <row r="7430" spans="1:3" x14ac:dyDescent="0.25">
      <c r="A7430">
        <v>7429</v>
      </c>
      <c r="B7430" s="23">
        <v>197.09700380000001</v>
      </c>
      <c r="C7430" s="23">
        <v>0</v>
      </c>
    </row>
    <row r="7431" spans="1:3" x14ac:dyDescent="0.25">
      <c r="A7431">
        <v>7430</v>
      </c>
      <c r="B7431" s="23">
        <v>197.08199999999999</v>
      </c>
      <c r="C7431" s="23">
        <v>0</v>
      </c>
    </row>
    <row r="7432" spans="1:3" x14ac:dyDescent="0.25">
      <c r="A7432">
        <v>7431</v>
      </c>
      <c r="B7432" s="23">
        <v>197.05799999999999</v>
      </c>
      <c r="C7432" s="23">
        <v>0</v>
      </c>
    </row>
    <row r="7433" spans="1:3" x14ac:dyDescent="0.25">
      <c r="A7433">
        <v>7432</v>
      </c>
      <c r="B7433" s="23">
        <v>196.40600000000001</v>
      </c>
      <c r="C7433" s="23">
        <v>0</v>
      </c>
    </row>
    <row r="7434" spans="1:3" x14ac:dyDescent="0.25">
      <c r="A7434">
        <v>7433</v>
      </c>
      <c r="B7434" s="23">
        <v>195.71691580000001</v>
      </c>
      <c r="C7434" s="23">
        <v>0</v>
      </c>
    </row>
    <row r="7435" spans="1:3" x14ac:dyDescent="0.25">
      <c r="A7435">
        <v>7434</v>
      </c>
      <c r="B7435" s="23">
        <v>195.46299999999999</v>
      </c>
      <c r="C7435" s="23">
        <v>0</v>
      </c>
    </row>
    <row r="7436" spans="1:3" x14ac:dyDescent="0.25">
      <c r="A7436">
        <v>7435</v>
      </c>
      <c r="B7436" s="23">
        <v>195.2</v>
      </c>
      <c r="C7436" s="23">
        <v>0</v>
      </c>
    </row>
    <row r="7437" spans="1:3" x14ac:dyDescent="0.25">
      <c r="A7437">
        <v>7436</v>
      </c>
      <c r="B7437" s="23">
        <v>195.0114834</v>
      </c>
      <c r="C7437" s="23">
        <v>0</v>
      </c>
    </row>
    <row r="7438" spans="1:3" x14ac:dyDescent="0.25">
      <c r="A7438">
        <v>7437</v>
      </c>
      <c r="B7438" s="23">
        <v>194.84020319999999</v>
      </c>
      <c r="C7438" s="23">
        <v>0</v>
      </c>
    </row>
    <row r="7439" spans="1:3" x14ac:dyDescent="0.25">
      <c r="A7439">
        <v>7438</v>
      </c>
      <c r="B7439" s="23">
        <v>194.696</v>
      </c>
      <c r="C7439" s="23">
        <v>0</v>
      </c>
    </row>
    <row r="7440" spans="1:3" x14ac:dyDescent="0.25">
      <c r="A7440">
        <v>7439</v>
      </c>
      <c r="B7440" s="23">
        <v>194.577</v>
      </c>
      <c r="C7440" s="23">
        <v>0</v>
      </c>
    </row>
    <row r="7441" spans="1:3" x14ac:dyDescent="0.25">
      <c r="A7441">
        <v>7440</v>
      </c>
      <c r="B7441" s="23">
        <v>193.99100000000001</v>
      </c>
      <c r="C7441" s="23">
        <v>0</v>
      </c>
    </row>
    <row r="7442" spans="1:3" x14ac:dyDescent="0.25">
      <c r="A7442">
        <v>7441</v>
      </c>
      <c r="B7442" s="23">
        <v>193.83099999999999</v>
      </c>
      <c r="C7442" s="23">
        <v>0</v>
      </c>
    </row>
    <row r="7443" spans="1:3" x14ac:dyDescent="0.25">
      <c r="A7443">
        <v>7442</v>
      </c>
      <c r="B7443" s="23">
        <v>193.6</v>
      </c>
      <c r="C7443" s="23">
        <v>0</v>
      </c>
    </row>
    <row r="7444" spans="1:3" x14ac:dyDescent="0.25">
      <c r="A7444">
        <v>7443</v>
      </c>
      <c r="B7444" s="23">
        <v>193.39149370000001</v>
      </c>
      <c r="C7444" s="23">
        <v>0</v>
      </c>
    </row>
    <row r="7445" spans="1:3" x14ac:dyDescent="0.25">
      <c r="A7445">
        <v>7444</v>
      </c>
      <c r="B7445" s="23">
        <v>193.0078049</v>
      </c>
      <c r="C7445" s="23">
        <v>0</v>
      </c>
    </row>
    <row r="7446" spans="1:3" x14ac:dyDescent="0.25">
      <c r="A7446">
        <v>7445</v>
      </c>
      <c r="B7446" s="23">
        <v>192.8</v>
      </c>
      <c r="C7446" s="23">
        <v>0</v>
      </c>
    </row>
    <row r="7447" spans="1:3" x14ac:dyDescent="0.25">
      <c r="A7447">
        <v>7446</v>
      </c>
      <c r="B7447" s="23">
        <v>192.7008098</v>
      </c>
      <c r="C7447" s="23">
        <v>0</v>
      </c>
    </row>
    <row r="7448" spans="1:3" x14ac:dyDescent="0.25">
      <c r="A7448">
        <v>7447</v>
      </c>
      <c r="B7448" s="23">
        <v>192.29599999999999</v>
      </c>
      <c r="C7448" s="23">
        <v>0</v>
      </c>
    </row>
    <row r="7449" spans="1:3" x14ac:dyDescent="0.25">
      <c r="A7449">
        <v>7448</v>
      </c>
      <c r="B7449" s="23">
        <v>192</v>
      </c>
      <c r="C7449" s="23">
        <v>0</v>
      </c>
    </row>
    <row r="7450" spans="1:3" x14ac:dyDescent="0.25">
      <c r="A7450">
        <v>7449</v>
      </c>
      <c r="B7450" s="23">
        <v>191.45</v>
      </c>
      <c r="C7450" s="23">
        <v>0</v>
      </c>
    </row>
    <row r="7451" spans="1:3" x14ac:dyDescent="0.25">
      <c r="A7451">
        <v>7450</v>
      </c>
      <c r="B7451" s="23">
        <v>191.37219450000001</v>
      </c>
      <c r="C7451" s="23">
        <v>0</v>
      </c>
    </row>
    <row r="7452" spans="1:3" x14ac:dyDescent="0.25">
      <c r="A7452">
        <v>7451</v>
      </c>
      <c r="B7452" s="23">
        <v>191.2</v>
      </c>
      <c r="C7452" s="23">
        <v>0</v>
      </c>
    </row>
    <row r="7453" spans="1:3" x14ac:dyDescent="0.25">
      <c r="A7453">
        <v>7452</v>
      </c>
      <c r="B7453" s="23">
        <v>189.76416169999999</v>
      </c>
      <c r="C7453" s="23">
        <v>0</v>
      </c>
    </row>
    <row r="7454" spans="1:3" x14ac:dyDescent="0.25">
      <c r="A7454">
        <v>7453</v>
      </c>
      <c r="B7454" s="23">
        <v>189.55252300000001</v>
      </c>
      <c r="C7454" s="23">
        <v>0</v>
      </c>
    </row>
    <row r="7455" spans="1:3" x14ac:dyDescent="0.25">
      <c r="A7455">
        <v>7454</v>
      </c>
      <c r="B7455" s="23">
        <v>188.5567063</v>
      </c>
      <c r="C7455" s="23">
        <v>0</v>
      </c>
    </row>
    <row r="7456" spans="1:3" x14ac:dyDescent="0.25">
      <c r="A7456">
        <v>7455</v>
      </c>
      <c r="B7456" s="23">
        <v>187.2</v>
      </c>
      <c r="C7456" s="23">
        <v>0</v>
      </c>
    </row>
    <row r="7457" spans="1:3" x14ac:dyDescent="0.25">
      <c r="A7457">
        <v>7456</v>
      </c>
      <c r="B7457" s="23">
        <v>186.91399999999999</v>
      </c>
      <c r="C7457" s="23">
        <v>0</v>
      </c>
    </row>
    <row r="7458" spans="1:3" x14ac:dyDescent="0.25">
      <c r="A7458">
        <v>7457</v>
      </c>
      <c r="B7458" s="23">
        <v>186.6657836</v>
      </c>
      <c r="C7458" s="23">
        <v>0</v>
      </c>
    </row>
    <row r="7459" spans="1:3" x14ac:dyDescent="0.25">
      <c r="A7459">
        <v>7458</v>
      </c>
      <c r="B7459" s="23">
        <v>186.46516339999999</v>
      </c>
      <c r="C7459" s="23">
        <v>0</v>
      </c>
    </row>
    <row r="7460" spans="1:3" x14ac:dyDescent="0.25">
      <c r="A7460">
        <v>7459</v>
      </c>
      <c r="B7460" s="23">
        <v>186.38900000000001</v>
      </c>
      <c r="C7460" s="23">
        <v>0</v>
      </c>
    </row>
    <row r="7461" spans="1:3" x14ac:dyDescent="0.25">
      <c r="A7461">
        <v>7460</v>
      </c>
      <c r="B7461" s="23">
        <v>186.08287970000001</v>
      </c>
      <c r="C7461" s="23">
        <v>0</v>
      </c>
    </row>
    <row r="7462" spans="1:3" x14ac:dyDescent="0.25">
      <c r="A7462">
        <v>7461</v>
      </c>
      <c r="B7462" s="23">
        <v>185.86799999999999</v>
      </c>
      <c r="C7462" s="23">
        <v>0</v>
      </c>
    </row>
    <row r="7463" spans="1:3" x14ac:dyDescent="0.25">
      <c r="A7463">
        <v>7462</v>
      </c>
      <c r="B7463" s="23">
        <v>185.68822520000001</v>
      </c>
      <c r="C7463" s="23">
        <v>0</v>
      </c>
    </row>
    <row r="7464" spans="1:3" x14ac:dyDescent="0.25">
      <c r="A7464">
        <v>7463</v>
      </c>
      <c r="B7464" s="23">
        <v>185.42</v>
      </c>
      <c r="C7464" s="23">
        <v>0</v>
      </c>
    </row>
    <row r="7465" spans="1:3" x14ac:dyDescent="0.25">
      <c r="A7465">
        <v>7464</v>
      </c>
      <c r="B7465" s="23">
        <v>185.39692489999999</v>
      </c>
      <c r="C7465" s="23">
        <v>0</v>
      </c>
    </row>
    <row r="7466" spans="1:3" x14ac:dyDescent="0.25">
      <c r="A7466">
        <v>7465</v>
      </c>
      <c r="B7466" s="23">
        <v>185.2026903</v>
      </c>
      <c r="C7466" s="23">
        <v>0</v>
      </c>
    </row>
    <row r="7467" spans="1:3" x14ac:dyDescent="0.25">
      <c r="A7467">
        <v>7466</v>
      </c>
      <c r="B7467" s="23">
        <v>184.12200000000001</v>
      </c>
      <c r="C7467" s="23">
        <v>0</v>
      </c>
    </row>
    <row r="7468" spans="1:3" x14ac:dyDescent="0.25">
      <c r="A7468">
        <v>7467</v>
      </c>
      <c r="B7468" s="23">
        <v>183.58199999999999</v>
      </c>
      <c r="C7468" s="23">
        <v>0</v>
      </c>
    </row>
    <row r="7469" spans="1:3" x14ac:dyDescent="0.25">
      <c r="A7469">
        <v>7468</v>
      </c>
      <c r="B7469" s="23">
        <v>183.44</v>
      </c>
      <c r="C7469" s="23">
        <v>0</v>
      </c>
    </row>
    <row r="7470" spans="1:3" x14ac:dyDescent="0.25">
      <c r="A7470">
        <v>7469</v>
      </c>
      <c r="B7470" s="23">
        <v>183.14448160000001</v>
      </c>
      <c r="C7470" s="23">
        <v>0</v>
      </c>
    </row>
    <row r="7471" spans="1:3" x14ac:dyDescent="0.25">
      <c r="A7471">
        <v>7470</v>
      </c>
      <c r="B7471" s="23">
        <v>183.06299999999999</v>
      </c>
      <c r="C7471" s="23">
        <v>0</v>
      </c>
    </row>
    <row r="7472" spans="1:3" x14ac:dyDescent="0.25">
      <c r="A7472">
        <v>7471</v>
      </c>
      <c r="B7472" s="23">
        <v>182.86791819999999</v>
      </c>
      <c r="C7472" s="23">
        <v>0</v>
      </c>
    </row>
    <row r="7473" spans="1:3" x14ac:dyDescent="0.25">
      <c r="A7473">
        <v>7472</v>
      </c>
      <c r="B7473" s="23">
        <v>182.07636460000001</v>
      </c>
      <c r="C7473" s="23">
        <v>0</v>
      </c>
    </row>
    <row r="7474" spans="1:3" x14ac:dyDescent="0.25">
      <c r="A7474">
        <v>7473</v>
      </c>
      <c r="B7474" s="23">
        <v>182.02600000000001</v>
      </c>
      <c r="C7474" s="23">
        <v>0</v>
      </c>
    </row>
    <row r="7475" spans="1:3" x14ac:dyDescent="0.25">
      <c r="A7475">
        <v>7474</v>
      </c>
      <c r="B7475" s="23">
        <v>182.01</v>
      </c>
      <c r="C7475" s="23">
        <v>0</v>
      </c>
    </row>
    <row r="7476" spans="1:3" x14ac:dyDescent="0.25">
      <c r="A7476">
        <v>7475</v>
      </c>
      <c r="B7476" s="23">
        <v>181.75860410000001</v>
      </c>
      <c r="C7476" s="23">
        <v>0</v>
      </c>
    </row>
    <row r="7477" spans="1:3" x14ac:dyDescent="0.25">
      <c r="A7477">
        <v>7476</v>
      </c>
      <c r="B7477" s="23">
        <v>181.67344159999999</v>
      </c>
      <c r="C7477" s="23">
        <v>0</v>
      </c>
    </row>
    <row r="7478" spans="1:3" x14ac:dyDescent="0.25">
      <c r="A7478">
        <v>7477</v>
      </c>
      <c r="B7478" s="23">
        <v>181.64986730000001</v>
      </c>
      <c r="C7478" s="23">
        <v>0</v>
      </c>
    </row>
    <row r="7479" spans="1:3" x14ac:dyDescent="0.25">
      <c r="A7479">
        <v>7478</v>
      </c>
      <c r="B7479" s="23">
        <v>181.636</v>
      </c>
      <c r="C7479" s="23">
        <v>0</v>
      </c>
    </row>
    <row r="7480" spans="1:3" x14ac:dyDescent="0.25">
      <c r="A7480">
        <v>7479</v>
      </c>
      <c r="B7480" s="23">
        <v>181.6015194</v>
      </c>
      <c r="C7480" s="23">
        <v>0</v>
      </c>
    </row>
    <row r="7481" spans="1:3" x14ac:dyDescent="0.25">
      <c r="A7481">
        <v>7480</v>
      </c>
      <c r="B7481" s="23">
        <v>181.35499999999999</v>
      </c>
      <c r="C7481" s="23">
        <v>0</v>
      </c>
    </row>
    <row r="7482" spans="1:3" x14ac:dyDescent="0.25">
      <c r="A7482">
        <v>7481</v>
      </c>
      <c r="B7482" s="23">
        <v>181.3020329</v>
      </c>
      <c r="C7482" s="23">
        <v>0</v>
      </c>
    </row>
    <row r="7483" spans="1:3" x14ac:dyDescent="0.25">
      <c r="A7483">
        <v>7482</v>
      </c>
      <c r="B7483" s="23">
        <v>181.16499999999999</v>
      </c>
      <c r="C7483" s="23">
        <v>0</v>
      </c>
    </row>
    <row r="7484" spans="1:3" x14ac:dyDescent="0.25">
      <c r="A7484">
        <v>7483</v>
      </c>
      <c r="B7484" s="23">
        <v>181.0159132</v>
      </c>
      <c r="C7484" s="23">
        <v>0</v>
      </c>
    </row>
    <row r="7485" spans="1:3" x14ac:dyDescent="0.25">
      <c r="A7485">
        <v>7484</v>
      </c>
      <c r="B7485" s="23">
        <v>180.5099323</v>
      </c>
      <c r="C7485" s="23">
        <v>0</v>
      </c>
    </row>
    <row r="7486" spans="1:3" x14ac:dyDescent="0.25">
      <c r="A7486">
        <v>7485</v>
      </c>
      <c r="B7486" s="23">
        <v>180</v>
      </c>
      <c r="C7486" s="23">
        <v>0</v>
      </c>
    </row>
    <row r="7487" spans="1:3" x14ac:dyDescent="0.25">
      <c r="A7487">
        <v>7486</v>
      </c>
      <c r="B7487" s="23">
        <v>180</v>
      </c>
      <c r="C7487" s="23">
        <v>0</v>
      </c>
    </row>
    <row r="7488" spans="1:3" x14ac:dyDescent="0.25">
      <c r="A7488">
        <v>7487</v>
      </c>
      <c r="B7488" s="23">
        <v>178.8940954</v>
      </c>
      <c r="C7488" s="23">
        <v>0</v>
      </c>
    </row>
    <row r="7489" spans="1:3" x14ac:dyDescent="0.25">
      <c r="A7489">
        <v>7488</v>
      </c>
      <c r="B7489" s="23">
        <v>178.8871316</v>
      </c>
      <c r="C7489" s="23">
        <v>0</v>
      </c>
    </row>
    <row r="7490" spans="1:3" x14ac:dyDescent="0.25">
      <c r="A7490">
        <v>7489</v>
      </c>
      <c r="B7490" s="23">
        <v>178.70400000000001</v>
      </c>
      <c r="C7490" s="23">
        <v>0</v>
      </c>
    </row>
    <row r="7491" spans="1:3" x14ac:dyDescent="0.25">
      <c r="A7491">
        <v>7490</v>
      </c>
      <c r="B7491" s="23">
        <v>177.79599999999999</v>
      </c>
      <c r="C7491" s="23">
        <v>0</v>
      </c>
    </row>
    <row r="7492" spans="1:3" x14ac:dyDescent="0.25">
      <c r="A7492">
        <v>7491</v>
      </c>
      <c r="B7492" s="23">
        <v>176.7969439</v>
      </c>
      <c r="C7492" s="23">
        <v>0</v>
      </c>
    </row>
    <row r="7493" spans="1:3" x14ac:dyDescent="0.25">
      <c r="A7493">
        <v>7492</v>
      </c>
      <c r="B7493" s="23">
        <v>176.3999293</v>
      </c>
      <c r="C7493" s="23">
        <v>0</v>
      </c>
    </row>
    <row r="7494" spans="1:3" x14ac:dyDescent="0.25">
      <c r="A7494">
        <v>7493</v>
      </c>
      <c r="B7494" s="23">
        <v>175.92323429999999</v>
      </c>
      <c r="C7494" s="23">
        <v>0</v>
      </c>
    </row>
    <row r="7495" spans="1:3" x14ac:dyDescent="0.25">
      <c r="A7495">
        <v>7494</v>
      </c>
      <c r="B7495" s="23">
        <v>174.4073357</v>
      </c>
      <c r="C7495" s="23">
        <v>0</v>
      </c>
    </row>
    <row r="7496" spans="1:3" x14ac:dyDescent="0.25">
      <c r="A7496">
        <v>7495</v>
      </c>
      <c r="B7496" s="23">
        <v>173.99</v>
      </c>
      <c r="C7496" s="23">
        <v>0</v>
      </c>
    </row>
    <row r="7497" spans="1:3" x14ac:dyDescent="0.25">
      <c r="A7497">
        <v>7496</v>
      </c>
      <c r="B7497" s="23">
        <v>173.6</v>
      </c>
      <c r="C7497" s="23">
        <v>0</v>
      </c>
    </row>
    <row r="7498" spans="1:3" x14ac:dyDescent="0.25">
      <c r="A7498">
        <v>7497</v>
      </c>
      <c r="B7498" s="23">
        <v>173.54</v>
      </c>
      <c r="C7498" s="23">
        <v>0</v>
      </c>
    </row>
    <row r="7499" spans="1:3" x14ac:dyDescent="0.25">
      <c r="A7499">
        <v>7498</v>
      </c>
      <c r="B7499" s="23">
        <v>172.67097649999999</v>
      </c>
      <c r="C7499" s="23">
        <v>0</v>
      </c>
    </row>
    <row r="7500" spans="1:3" x14ac:dyDescent="0.25">
      <c r="A7500">
        <v>7499</v>
      </c>
      <c r="B7500" s="23">
        <v>171.98029260000001</v>
      </c>
      <c r="C7500" s="23">
        <v>0</v>
      </c>
    </row>
    <row r="7501" spans="1:3" x14ac:dyDescent="0.25">
      <c r="A7501">
        <v>7500</v>
      </c>
      <c r="B7501" s="23">
        <v>171.8487331</v>
      </c>
      <c r="C7501" s="23">
        <v>0</v>
      </c>
    </row>
    <row r="7502" spans="1:3" x14ac:dyDescent="0.25">
      <c r="A7502">
        <v>7501</v>
      </c>
      <c r="B7502" s="23">
        <v>171.2</v>
      </c>
      <c r="C7502" s="23">
        <v>0</v>
      </c>
    </row>
    <row r="7503" spans="1:3" x14ac:dyDescent="0.25">
      <c r="A7503">
        <v>7502</v>
      </c>
      <c r="B7503" s="23">
        <v>170.769015</v>
      </c>
      <c r="C7503" s="23">
        <v>0</v>
      </c>
    </row>
    <row r="7504" spans="1:3" x14ac:dyDescent="0.25">
      <c r="A7504">
        <v>7503</v>
      </c>
      <c r="B7504" s="23">
        <v>170.64400000000001</v>
      </c>
      <c r="C7504" s="23">
        <v>0</v>
      </c>
    </row>
    <row r="7505" spans="1:3" x14ac:dyDescent="0.25">
      <c r="A7505">
        <v>7504</v>
      </c>
      <c r="B7505" s="23">
        <v>170.60499999999999</v>
      </c>
      <c r="C7505" s="23">
        <v>0</v>
      </c>
    </row>
    <row r="7506" spans="1:3" x14ac:dyDescent="0.25">
      <c r="A7506">
        <v>7505</v>
      </c>
      <c r="B7506" s="23">
        <v>169.6</v>
      </c>
      <c r="C7506" s="23">
        <v>0</v>
      </c>
    </row>
    <row r="7507" spans="1:3" x14ac:dyDescent="0.25">
      <c r="A7507">
        <v>7506</v>
      </c>
      <c r="B7507" s="23">
        <v>169.28176830000001</v>
      </c>
      <c r="C7507" s="23">
        <v>0</v>
      </c>
    </row>
    <row r="7508" spans="1:3" x14ac:dyDescent="0.25">
      <c r="A7508">
        <v>7507</v>
      </c>
      <c r="B7508" s="23">
        <v>168.65473750000001</v>
      </c>
      <c r="C7508" s="23">
        <v>0</v>
      </c>
    </row>
    <row r="7509" spans="1:3" x14ac:dyDescent="0.25">
      <c r="A7509">
        <v>7508</v>
      </c>
      <c r="B7509" s="23">
        <v>168.4729576</v>
      </c>
      <c r="C7509" s="23">
        <v>0</v>
      </c>
    </row>
    <row r="7510" spans="1:3" x14ac:dyDescent="0.25">
      <c r="A7510">
        <v>7509</v>
      </c>
      <c r="B7510" s="23">
        <v>168.345</v>
      </c>
      <c r="C7510" s="23">
        <v>0</v>
      </c>
    </row>
    <row r="7511" spans="1:3" x14ac:dyDescent="0.25">
      <c r="A7511">
        <v>7510</v>
      </c>
      <c r="B7511" s="23">
        <v>168.30812370000001</v>
      </c>
      <c r="C7511" s="23">
        <v>0</v>
      </c>
    </row>
    <row r="7512" spans="1:3" x14ac:dyDescent="0.25">
      <c r="A7512">
        <v>7511</v>
      </c>
      <c r="B7512" s="23">
        <v>168</v>
      </c>
      <c r="C7512" s="23">
        <v>0</v>
      </c>
    </row>
    <row r="7513" spans="1:3" x14ac:dyDescent="0.25">
      <c r="A7513">
        <v>7512</v>
      </c>
      <c r="B7513" s="23">
        <v>167.48307700000001</v>
      </c>
      <c r="C7513" s="23">
        <v>0</v>
      </c>
    </row>
    <row r="7514" spans="1:3" x14ac:dyDescent="0.25">
      <c r="A7514">
        <v>7513</v>
      </c>
      <c r="B7514" s="23">
        <v>167.04599999999999</v>
      </c>
      <c r="C7514" s="23">
        <v>0</v>
      </c>
    </row>
    <row r="7515" spans="1:3" x14ac:dyDescent="0.25">
      <c r="A7515">
        <v>7514</v>
      </c>
      <c r="B7515" s="23">
        <v>164.8</v>
      </c>
      <c r="C7515" s="23">
        <v>0</v>
      </c>
    </row>
    <row r="7516" spans="1:3" x14ac:dyDescent="0.25">
      <c r="A7516">
        <v>7515</v>
      </c>
      <c r="B7516" s="23">
        <v>164.7108944</v>
      </c>
      <c r="C7516" s="23">
        <v>0</v>
      </c>
    </row>
    <row r="7517" spans="1:3" x14ac:dyDescent="0.25">
      <c r="A7517">
        <v>7516</v>
      </c>
      <c r="B7517" s="23">
        <v>163.4920726</v>
      </c>
      <c r="C7517" s="23">
        <v>0</v>
      </c>
    </row>
    <row r="7518" spans="1:3" x14ac:dyDescent="0.25">
      <c r="A7518">
        <v>7517</v>
      </c>
      <c r="B7518" s="23">
        <v>163.19999999999999</v>
      </c>
      <c r="C7518" s="23">
        <v>0</v>
      </c>
    </row>
    <row r="7519" spans="1:3" x14ac:dyDescent="0.25">
      <c r="A7519">
        <v>7518</v>
      </c>
      <c r="B7519" s="23">
        <v>163.15701799999999</v>
      </c>
      <c r="C7519" s="23">
        <v>0</v>
      </c>
    </row>
    <row r="7520" spans="1:3" x14ac:dyDescent="0.25">
      <c r="A7520">
        <v>7519</v>
      </c>
      <c r="B7520" s="23">
        <v>162.56519840000001</v>
      </c>
      <c r="C7520" s="23">
        <v>0</v>
      </c>
    </row>
    <row r="7521" spans="1:3" x14ac:dyDescent="0.25">
      <c r="A7521">
        <v>7520</v>
      </c>
      <c r="B7521" s="23">
        <v>160.80000000000001</v>
      </c>
      <c r="C7521" s="23">
        <v>0</v>
      </c>
    </row>
    <row r="7522" spans="1:3" x14ac:dyDescent="0.25">
      <c r="A7522">
        <v>7521</v>
      </c>
      <c r="B7522" s="23">
        <v>160.732</v>
      </c>
      <c r="C7522" s="23">
        <v>0</v>
      </c>
    </row>
    <row r="7523" spans="1:3" x14ac:dyDescent="0.25">
      <c r="A7523">
        <v>7522</v>
      </c>
      <c r="B7523" s="23">
        <v>160.3938205</v>
      </c>
      <c r="C7523" s="23">
        <v>0</v>
      </c>
    </row>
    <row r="7524" spans="1:3" x14ac:dyDescent="0.25">
      <c r="A7524">
        <v>7523</v>
      </c>
      <c r="B7524" s="23">
        <v>160.06399999999999</v>
      </c>
      <c r="C7524" s="23">
        <v>0</v>
      </c>
    </row>
    <row r="7525" spans="1:3" x14ac:dyDescent="0.25">
      <c r="A7525">
        <v>7524</v>
      </c>
      <c r="B7525" s="23">
        <v>159.96640740000001</v>
      </c>
      <c r="C7525" s="23">
        <v>0</v>
      </c>
    </row>
    <row r="7526" spans="1:3" x14ac:dyDescent="0.25">
      <c r="A7526">
        <v>7525</v>
      </c>
      <c r="B7526" s="23">
        <v>159.60784140000001</v>
      </c>
      <c r="C7526" s="23">
        <v>0</v>
      </c>
    </row>
    <row r="7527" spans="1:3" x14ac:dyDescent="0.25">
      <c r="A7527">
        <v>7526</v>
      </c>
      <c r="B7527" s="23">
        <v>159.50800000000001</v>
      </c>
      <c r="C7527" s="23">
        <v>0</v>
      </c>
    </row>
    <row r="7528" spans="1:3" x14ac:dyDescent="0.25">
      <c r="A7528">
        <v>7527</v>
      </c>
      <c r="B7528" s="23">
        <v>158.4</v>
      </c>
      <c r="C7528" s="23">
        <v>0</v>
      </c>
    </row>
    <row r="7529" spans="1:3" x14ac:dyDescent="0.25">
      <c r="A7529">
        <v>7528</v>
      </c>
      <c r="B7529" s="23">
        <v>158.37200000000001</v>
      </c>
      <c r="C7529" s="23">
        <v>0</v>
      </c>
    </row>
    <row r="7530" spans="1:3" x14ac:dyDescent="0.25">
      <c r="A7530">
        <v>7529</v>
      </c>
      <c r="B7530" s="23">
        <v>157.40128139999999</v>
      </c>
      <c r="C7530" s="23">
        <v>0</v>
      </c>
    </row>
    <row r="7531" spans="1:3" x14ac:dyDescent="0.25">
      <c r="A7531">
        <v>7530</v>
      </c>
      <c r="B7531" s="23">
        <v>156.96</v>
      </c>
      <c r="C7531" s="23">
        <v>0</v>
      </c>
    </row>
    <row r="7532" spans="1:3" x14ac:dyDescent="0.25">
      <c r="A7532">
        <v>7531</v>
      </c>
      <c r="B7532" s="23">
        <v>156.89699999999999</v>
      </c>
      <c r="C7532" s="23">
        <v>0</v>
      </c>
    </row>
    <row r="7533" spans="1:3" x14ac:dyDescent="0.25">
      <c r="A7533">
        <v>7532</v>
      </c>
      <c r="B7533" s="23">
        <v>156.16457439999999</v>
      </c>
      <c r="C7533" s="23">
        <v>0</v>
      </c>
    </row>
    <row r="7534" spans="1:3" x14ac:dyDescent="0.25">
      <c r="A7534">
        <v>7533</v>
      </c>
      <c r="B7534" s="23">
        <v>155.6841426</v>
      </c>
      <c r="C7534" s="23">
        <v>0</v>
      </c>
    </row>
    <row r="7535" spans="1:3" x14ac:dyDescent="0.25">
      <c r="A7535">
        <v>7534</v>
      </c>
      <c r="B7535" s="23">
        <v>155.4038788</v>
      </c>
      <c r="C7535" s="23">
        <v>0</v>
      </c>
    </row>
    <row r="7536" spans="1:3" x14ac:dyDescent="0.25">
      <c r="A7536">
        <v>7535</v>
      </c>
      <c r="B7536" s="23">
        <v>155.4038788</v>
      </c>
      <c r="C7536" s="23">
        <v>0</v>
      </c>
    </row>
    <row r="7537" spans="1:3" x14ac:dyDescent="0.25">
      <c r="A7537">
        <v>7536</v>
      </c>
      <c r="B7537" s="23">
        <v>154.28497089999999</v>
      </c>
      <c r="C7537" s="23">
        <v>0</v>
      </c>
    </row>
    <row r="7538" spans="1:3" x14ac:dyDescent="0.25">
      <c r="A7538">
        <v>7537</v>
      </c>
      <c r="B7538" s="23">
        <v>153.6</v>
      </c>
      <c r="C7538" s="23">
        <v>0</v>
      </c>
    </row>
    <row r="7539" spans="1:3" x14ac:dyDescent="0.25">
      <c r="A7539">
        <v>7538</v>
      </c>
      <c r="B7539" s="23">
        <v>152.6908852</v>
      </c>
      <c r="C7539" s="23">
        <v>0</v>
      </c>
    </row>
    <row r="7540" spans="1:3" x14ac:dyDescent="0.25">
      <c r="A7540">
        <v>7539</v>
      </c>
      <c r="B7540" s="23">
        <v>152.29</v>
      </c>
      <c r="C7540" s="23">
        <v>0</v>
      </c>
    </row>
    <row r="7541" spans="1:3" x14ac:dyDescent="0.25">
      <c r="A7541">
        <v>7540</v>
      </c>
      <c r="B7541" s="23">
        <v>152.1163597</v>
      </c>
      <c r="C7541" s="23">
        <v>0</v>
      </c>
    </row>
    <row r="7542" spans="1:3" x14ac:dyDescent="0.25">
      <c r="A7542">
        <v>7541</v>
      </c>
      <c r="B7542" s="23">
        <v>151.28200000000001</v>
      </c>
      <c r="C7542" s="23">
        <v>0</v>
      </c>
    </row>
    <row r="7543" spans="1:3" x14ac:dyDescent="0.25">
      <c r="A7543">
        <v>7542</v>
      </c>
      <c r="B7543" s="23">
        <v>151.21100000000001</v>
      </c>
      <c r="C7543" s="23">
        <v>0</v>
      </c>
    </row>
    <row r="7544" spans="1:3" x14ac:dyDescent="0.25">
      <c r="A7544">
        <v>7543</v>
      </c>
      <c r="B7544" s="23">
        <v>150.53079199999999</v>
      </c>
      <c r="C7544" s="23">
        <v>0</v>
      </c>
    </row>
    <row r="7545" spans="1:3" x14ac:dyDescent="0.25">
      <c r="A7545">
        <v>7544</v>
      </c>
      <c r="B7545" s="23">
        <v>150.4</v>
      </c>
      <c r="C7545" s="23">
        <v>0</v>
      </c>
    </row>
    <row r="7546" spans="1:3" x14ac:dyDescent="0.25">
      <c r="A7546">
        <v>7545</v>
      </c>
      <c r="B7546" s="23">
        <v>149.6</v>
      </c>
      <c r="C7546" s="23">
        <v>0</v>
      </c>
    </row>
    <row r="7547" spans="1:3" x14ac:dyDescent="0.25">
      <c r="A7547">
        <v>7546</v>
      </c>
      <c r="B7547" s="23">
        <v>149.36199999999999</v>
      </c>
      <c r="C7547" s="23">
        <v>0</v>
      </c>
    </row>
    <row r="7548" spans="1:3" x14ac:dyDescent="0.25">
      <c r="A7548">
        <v>7547</v>
      </c>
      <c r="B7548" s="23">
        <v>148.80000000000001</v>
      </c>
      <c r="C7548" s="23">
        <v>0</v>
      </c>
    </row>
    <row r="7549" spans="1:3" x14ac:dyDescent="0.25">
      <c r="A7549">
        <v>7548</v>
      </c>
      <c r="B7549" s="23">
        <v>148.80000000000001</v>
      </c>
      <c r="C7549" s="23">
        <v>0</v>
      </c>
    </row>
    <row r="7550" spans="1:3" x14ac:dyDescent="0.25">
      <c r="A7550">
        <v>7549</v>
      </c>
      <c r="B7550" s="23">
        <v>148</v>
      </c>
      <c r="C7550" s="23">
        <v>0</v>
      </c>
    </row>
    <row r="7551" spans="1:3" x14ac:dyDescent="0.25">
      <c r="A7551">
        <v>7550</v>
      </c>
      <c r="B7551" s="23">
        <v>147.32633060000001</v>
      </c>
      <c r="C7551" s="23">
        <v>0</v>
      </c>
    </row>
    <row r="7552" spans="1:3" x14ac:dyDescent="0.25">
      <c r="A7552">
        <v>7551</v>
      </c>
      <c r="B7552" s="23">
        <v>147.249</v>
      </c>
      <c r="C7552" s="23">
        <v>0</v>
      </c>
    </row>
    <row r="7553" spans="1:3" x14ac:dyDescent="0.25">
      <c r="A7553">
        <v>7552</v>
      </c>
      <c r="B7553" s="23">
        <v>147.16284289999999</v>
      </c>
      <c r="C7553" s="23">
        <v>0</v>
      </c>
    </row>
    <row r="7554" spans="1:3" x14ac:dyDescent="0.25">
      <c r="A7554">
        <v>7553</v>
      </c>
      <c r="B7554" s="23">
        <v>145.63296130000001</v>
      </c>
      <c r="C7554" s="23">
        <v>0</v>
      </c>
    </row>
    <row r="7555" spans="1:3" x14ac:dyDescent="0.25">
      <c r="A7555">
        <v>7554</v>
      </c>
      <c r="B7555" s="23">
        <v>145.60721810000001</v>
      </c>
      <c r="C7555" s="23">
        <v>0</v>
      </c>
    </row>
    <row r="7556" spans="1:3" x14ac:dyDescent="0.25">
      <c r="A7556">
        <v>7555</v>
      </c>
      <c r="B7556" s="23">
        <v>144.5105016</v>
      </c>
      <c r="C7556" s="23">
        <v>0</v>
      </c>
    </row>
    <row r="7557" spans="1:3" x14ac:dyDescent="0.25">
      <c r="A7557">
        <v>7556</v>
      </c>
      <c r="B7557" s="23">
        <v>144.11000000000001</v>
      </c>
      <c r="C7557" s="23">
        <v>0</v>
      </c>
    </row>
    <row r="7558" spans="1:3" x14ac:dyDescent="0.25">
      <c r="A7558">
        <v>7557</v>
      </c>
      <c r="B7558" s="23">
        <v>142.4</v>
      </c>
      <c r="C7558" s="23">
        <v>0</v>
      </c>
    </row>
    <row r="7559" spans="1:3" x14ac:dyDescent="0.25">
      <c r="A7559">
        <v>7558</v>
      </c>
      <c r="B7559" s="23">
        <v>142.37100000000001</v>
      </c>
      <c r="C7559" s="23">
        <v>0</v>
      </c>
    </row>
    <row r="7560" spans="1:3" x14ac:dyDescent="0.25">
      <c r="A7560">
        <v>7559</v>
      </c>
      <c r="B7560" s="23">
        <v>141.4845712</v>
      </c>
      <c r="C7560" s="23">
        <v>0</v>
      </c>
    </row>
    <row r="7561" spans="1:3" x14ac:dyDescent="0.25">
      <c r="A7561">
        <v>7560</v>
      </c>
      <c r="B7561" s="23">
        <v>141.38200000000001</v>
      </c>
      <c r="C7561" s="23">
        <v>0</v>
      </c>
    </row>
    <row r="7562" spans="1:3" x14ac:dyDescent="0.25">
      <c r="A7562">
        <v>7561</v>
      </c>
      <c r="B7562" s="23">
        <v>140.80000000000001</v>
      </c>
      <c r="C7562" s="23">
        <v>0</v>
      </c>
    </row>
    <row r="7563" spans="1:3" x14ac:dyDescent="0.25">
      <c r="A7563">
        <v>7562</v>
      </c>
      <c r="B7563" s="23">
        <v>140</v>
      </c>
      <c r="C7563" s="23">
        <v>0</v>
      </c>
    </row>
    <row r="7564" spans="1:3" x14ac:dyDescent="0.25">
      <c r="A7564">
        <v>7563</v>
      </c>
      <c r="B7564" s="23">
        <v>139.94800000000001</v>
      </c>
      <c r="C7564" s="23">
        <v>0</v>
      </c>
    </row>
    <row r="7565" spans="1:3" x14ac:dyDescent="0.25">
      <c r="A7565">
        <v>7564</v>
      </c>
      <c r="B7565" s="23">
        <v>139.84891139999999</v>
      </c>
      <c r="C7565" s="23">
        <v>0</v>
      </c>
    </row>
    <row r="7566" spans="1:3" x14ac:dyDescent="0.25">
      <c r="A7566">
        <v>7565</v>
      </c>
      <c r="B7566" s="23">
        <v>139.19999999999999</v>
      </c>
      <c r="C7566" s="23">
        <v>0</v>
      </c>
    </row>
    <row r="7567" spans="1:3" x14ac:dyDescent="0.25">
      <c r="A7567">
        <v>7566</v>
      </c>
      <c r="B7567" s="23">
        <v>138.76875699999999</v>
      </c>
      <c r="C7567" s="23">
        <v>0</v>
      </c>
    </row>
    <row r="7568" spans="1:3" x14ac:dyDescent="0.25">
      <c r="A7568">
        <v>7567</v>
      </c>
      <c r="B7568" s="23">
        <v>138.494</v>
      </c>
      <c r="C7568" s="23">
        <v>0</v>
      </c>
    </row>
    <row r="7569" spans="1:3" x14ac:dyDescent="0.25">
      <c r="A7569">
        <v>7568</v>
      </c>
      <c r="B7569" s="23">
        <v>138.47904629999999</v>
      </c>
      <c r="C7569" s="23">
        <v>0</v>
      </c>
    </row>
    <row r="7570" spans="1:3" x14ac:dyDescent="0.25">
      <c r="A7570">
        <v>7569</v>
      </c>
      <c r="B7570" s="23">
        <v>138.4</v>
      </c>
      <c r="C7570" s="23">
        <v>0</v>
      </c>
    </row>
    <row r="7571" spans="1:3" x14ac:dyDescent="0.25">
      <c r="A7571">
        <v>7570</v>
      </c>
      <c r="B7571" s="23">
        <v>138.29499620000001</v>
      </c>
      <c r="C7571" s="23">
        <v>0</v>
      </c>
    </row>
    <row r="7572" spans="1:3" x14ac:dyDescent="0.25">
      <c r="A7572">
        <v>7571</v>
      </c>
      <c r="B7572" s="23">
        <v>138.27776119999999</v>
      </c>
      <c r="C7572" s="23">
        <v>0</v>
      </c>
    </row>
    <row r="7573" spans="1:3" x14ac:dyDescent="0.25">
      <c r="A7573">
        <v>7572</v>
      </c>
      <c r="B7573" s="23">
        <v>138.26683220000001</v>
      </c>
      <c r="C7573" s="23">
        <v>0</v>
      </c>
    </row>
    <row r="7574" spans="1:3" x14ac:dyDescent="0.25">
      <c r="A7574">
        <v>7573</v>
      </c>
      <c r="B7574" s="23">
        <v>137.63872610000001</v>
      </c>
      <c r="C7574" s="23">
        <v>0</v>
      </c>
    </row>
    <row r="7575" spans="1:3" x14ac:dyDescent="0.25">
      <c r="A7575">
        <v>7574</v>
      </c>
      <c r="B7575" s="23">
        <v>137.6</v>
      </c>
      <c r="C7575" s="23">
        <v>0</v>
      </c>
    </row>
    <row r="7576" spans="1:3" x14ac:dyDescent="0.25">
      <c r="A7576">
        <v>7575</v>
      </c>
      <c r="B7576" s="23">
        <v>137.55199999999999</v>
      </c>
      <c r="C7576" s="23">
        <v>0</v>
      </c>
    </row>
    <row r="7577" spans="1:3" x14ac:dyDescent="0.25">
      <c r="A7577">
        <v>7576</v>
      </c>
      <c r="B7577" s="23">
        <v>137.54224120000001</v>
      </c>
      <c r="C7577" s="23">
        <v>0</v>
      </c>
    </row>
    <row r="7578" spans="1:3" x14ac:dyDescent="0.25">
      <c r="A7578">
        <v>7577</v>
      </c>
      <c r="B7578" s="23">
        <v>136.80000000000001</v>
      </c>
      <c r="C7578" s="23">
        <v>0</v>
      </c>
    </row>
    <row r="7579" spans="1:3" x14ac:dyDescent="0.25">
      <c r="A7579">
        <v>7578</v>
      </c>
      <c r="B7579" s="23">
        <v>136.80000000000001</v>
      </c>
      <c r="C7579" s="23">
        <v>0</v>
      </c>
    </row>
    <row r="7580" spans="1:3" x14ac:dyDescent="0.25">
      <c r="A7580">
        <v>7579</v>
      </c>
      <c r="B7580" s="23">
        <v>136.26788690000001</v>
      </c>
      <c r="C7580" s="23">
        <v>0</v>
      </c>
    </row>
    <row r="7581" spans="1:3" x14ac:dyDescent="0.25">
      <c r="A7581">
        <v>7580</v>
      </c>
      <c r="B7581" s="23">
        <v>136.07120119999999</v>
      </c>
      <c r="C7581" s="23">
        <v>0</v>
      </c>
    </row>
    <row r="7582" spans="1:3" x14ac:dyDescent="0.25">
      <c r="A7582">
        <v>7581</v>
      </c>
      <c r="B7582" s="23">
        <v>135.91368069999999</v>
      </c>
      <c r="C7582" s="23">
        <v>0</v>
      </c>
    </row>
    <row r="7583" spans="1:3" x14ac:dyDescent="0.25">
      <c r="A7583">
        <v>7582</v>
      </c>
      <c r="B7583" s="23">
        <v>135.7597619</v>
      </c>
      <c r="C7583" s="23">
        <v>0</v>
      </c>
    </row>
    <row r="7584" spans="1:3" x14ac:dyDescent="0.25">
      <c r="A7584">
        <v>7583</v>
      </c>
      <c r="B7584" s="23">
        <v>135.505</v>
      </c>
      <c r="C7584" s="23">
        <v>0</v>
      </c>
    </row>
    <row r="7585" spans="1:3" x14ac:dyDescent="0.25">
      <c r="A7585">
        <v>7584</v>
      </c>
      <c r="B7585" s="23">
        <v>135.46</v>
      </c>
      <c r="C7585" s="23">
        <v>0</v>
      </c>
    </row>
    <row r="7586" spans="1:3" x14ac:dyDescent="0.25">
      <c r="A7586">
        <v>7585</v>
      </c>
      <c r="B7586" s="23">
        <v>135.19999999999999</v>
      </c>
      <c r="C7586" s="23">
        <v>0</v>
      </c>
    </row>
    <row r="7587" spans="1:3" x14ac:dyDescent="0.25">
      <c r="A7587">
        <v>7586</v>
      </c>
      <c r="B7587" s="23">
        <v>135.18724349999999</v>
      </c>
      <c r="C7587" s="23">
        <v>0</v>
      </c>
    </row>
    <row r="7588" spans="1:3" x14ac:dyDescent="0.25">
      <c r="A7588">
        <v>7587</v>
      </c>
      <c r="B7588" s="23">
        <v>134.63800000000001</v>
      </c>
      <c r="C7588" s="23">
        <v>0</v>
      </c>
    </row>
    <row r="7589" spans="1:3" x14ac:dyDescent="0.25">
      <c r="A7589">
        <v>7588</v>
      </c>
      <c r="B7589" s="23">
        <v>132.80000000000001</v>
      </c>
      <c r="C7589" s="23">
        <v>0</v>
      </c>
    </row>
    <row r="7590" spans="1:3" x14ac:dyDescent="0.25">
      <c r="A7590">
        <v>7589</v>
      </c>
      <c r="B7590" s="23">
        <v>132.61130990000001</v>
      </c>
      <c r="C7590" s="23">
        <v>0</v>
      </c>
    </row>
    <row r="7591" spans="1:3" x14ac:dyDescent="0.25">
      <c r="A7591">
        <v>7590</v>
      </c>
      <c r="B7591" s="23">
        <v>132.49473520000001</v>
      </c>
      <c r="C7591" s="23">
        <v>0</v>
      </c>
    </row>
    <row r="7592" spans="1:3" x14ac:dyDescent="0.25">
      <c r="A7592">
        <v>7591</v>
      </c>
      <c r="B7592" s="23">
        <v>132.42403830000001</v>
      </c>
      <c r="C7592" s="23">
        <v>0</v>
      </c>
    </row>
    <row r="7593" spans="1:3" x14ac:dyDescent="0.25">
      <c r="A7593">
        <v>7592</v>
      </c>
      <c r="B7593" s="23">
        <v>131.30255260000001</v>
      </c>
      <c r="C7593" s="23">
        <v>0</v>
      </c>
    </row>
    <row r="7594" spans="1:3" x14ac:dyDescent="0.25">
      <c r="A7594">
        <v>7593</v>
      </c>
      <c r="B7594" s="23">
        <v>130.6100533</v>
      </c>
      <c r="C7594" s="23">
        <v>0</v>
      </c>
    </row>
    <row r="7595" spans="1:3" x14ac:dyDescent="0.25">
      <c r="A7595">
        <v>7594</v>
      </c>
      <c r="B7595" s="23">
        <v>130.54875509999999</v>
      </c>
      <c r="C7595" s="23">
        <v>0</v>
      </c>
    </row>
    <row r="7596" spans="1:3" x14ac:dyDescent="0.25">
      <c r="A7596">
        <v>7595</v>
      </c>
      <c r="B7596" s="23">
        <v>129.98661190000001</v>
      </c>
      <c r="C7596" s="23">
        <v>0</v>
      </c>
    </row>
    <row r="7597" spans="1:3" x14ac:dyDescent="0.25">
      <c r="A7597">
        <v>7596</v>
      </c>
      <c r="B7597" s="23">
        <v>129.53700000000001</v>
      </c>
      <c r="C7597" s="23">
        <v>0</v>
      </c>
    </row>
    <row r="7598" spans="1:3" x14ac:dyDescent="0.25">
      <c r="A7598">
        <v>7597</v>
      </c>
      <c r="B7598" s="23">
        <v>128.80000000000001</v>
      </c>
      <c r="C7598" s="23">
        <v>0</v>
      </c>
    </row>
    <row r="7599" spans="1:3" x14ac:dyDescent="0.25">
      <c r="A7599">
        <v>7598</v>
      </c>
      <c r="B7599" s="23">
        <v>128.7160011</v>
      </c>
      <c r="C7599" s="23">
        <v>0</v>
      </c>
    </row>
    <row r="7600" spans="1:3" x14ac:dyDescent="0.25">
      <c r="A7600">
        <v>7599</v>
      </c>
      <c r="B7600" s="23">
        <v>127.2</v>
      </c>
      <c r="C7600" s="23">
        <v>0</v>
      </c>
    </row>
    <row r="7601" spans="1:3" x14ac:dyDescent="0.25">
      <c r="A7601">
        <v>7600</v>
      </c>
      <c r="B7601" s="23">
        <v>127.2</v>
      </c>
      <c r="C7601" s="23">
        <v>0</v>
      </c>
    </row>
    <row r="7602" spans="1:3" x14ac:dyDescent="0.25">
      <c r="A7602">
        <v>7601</v>
      </c>
      <c r="B7602" s="23">
        <v>127.2</v>
      </c>
      <c r="C7602" s="23">
        <v>0</v>
      </c>
    </row>
    <row r="7603" spans="1:3" x14ac:dyDescent="0.25">
      <c r="A7603">
        <v>7602</v>
      </c>
      <c r="B7603" s="23">
        <v>126.773</v>
      </c>
      <c r="C7603" s="23">
        <v>0</v>
      </c>
    </row>
    <row r="7604" spans="1:3" x14ac:dyDescent="0.25">
      <c r="A7604">
        <v>7603</v>
      </c>
      <c r="B7604" s="23">
        <v>126.64700000000001</v>
      </c>
      <c r="C7604" s="23">
        <v>0</v>
      </c>
    </row>
    <row r="7605" spans="1:3" x14ac:dyDescent="0.25">
      <c r="A7605">
        <v>7604</v>
      </c>
      <c r="B7605" s="23">
        <v>126.46530989999999</v>
      </c>
      <c r="C7605" s="23">
        <v>0</v>
      </c>
    </row>
    <row r="7606" spans="1:3" x14ac:dyDescent="0.25">
      <c r="A7606">
        <v>7605</v>
      </c>
      <c r="B7606" s="23">
        <v>126.4</v>
      </c>
      <c r="C7606" s="23">
        <v>0</v>
      </c>
    </row>
    <row r="7607" spans="1:3" x14ac:dyDescent="0.25">
      <c r="A7607">
        <v>7606</v>
      </c>
      <c r="B7607" s="23">
        <v>125.6</v>
      </c>
      <c r="C7607" s="23">
        <v>0</v>
      </c>
    </row>
    <row r="7608" spans="1:3" x14ac:dyDescent="0.25">
      <c r="A7608">
        <v>7607</v>
      </c>
      <c r="B7608" s="23">
        <v>124.8</v>
      </c>
      <c r="C7608" s="23">
        <v>0</v>
      </c>
    </row>
    <row r="7609" spans="1:3" x14ac:dyDescent="0.25">
      <c r="A7609">
        <v>7608</v>
      </c>
      <c r="B7609" s="23">
        <v>124.58329809999999</v>
      </c>
      <c r="C7609" s="23">
        <v>0</v>
      </c>
    </row>
    <row r="7610" spans="1:3" x14ac:dyDescent="0.25">
      <c r="A7610">
        <v>7609</v>
      </c>
      <c r="B7610" s="23">
        <v>124</v>
      </c>
      <c r="C7610" s="23">
        <v>0</v>
      </c>
    </row>
    <row r="7611" spans="1:3" x14ac:dyDescent="0.25">
      <c r="A7611">
        <v>7610</v>
      </c>
      <c r="B7611" s="23">
        <v>123.53317079999999</v>
      </c>
      <c r="C7611" s="23">
        <v>0</v>
      </c>
    </row>
    <row r="7612" spans="1:3" x14ac:dyDescent="0.25">
      <c r="A7612">
        <v>7611</v>
      </c>
      <c r="B7612" s="23">
        <v>123.2</v>
      </c>
      <c r="C7612" s="23">
        <v>0</v>
      </c>
    </row>
    <row r="7613" spans="1:3" x14ac:dyDescent="0.25">
      <c r="A7613">
        <v>7612</v>
      </c>
      <c r="B7613" s="23">
        <v>123.11848000000001</v>
      </c>
      <c r="C7613" s="23">
        <v>0</v>
      </c>
    </row>
    <row r="7614" spans="1:3" x14ac:dyDescent="0.25">
      <c r="A7614">
        <v>7613</v>
      </c>
      <c r="B7614" s="23">
        <v>122.7562326</v>
      </c>
      <c r="C7614" s="23">
        <v>0</v>
      </c>
    </row>
    <row r="7615" spans="1:3" x14ac:dyDescent="0.25">
      <c r="A7615">
        <v>7614</v>
      </c>
      <c r="B7615" s="23">
        <v>122.6744837</v>
      </c>
      <c r="C7615" s="23">
        <v>0</v>
      </c>
    </row>
    <row r="7616" spans="1:3" x14ac:dyDescent="0.25">
      <c r="A7616">
        <v>7615</v>
      </c>
      <c r="B7616" s="23">
        <v>122.023</v>
      </c>
      <c r="C7616" s="23">
        <v>0</v>
      </c>
    </row>
    <row r="7617" spans="1:3" x14ac:dyDescent="0.25">
      <c r="A7617">
        <v>7616</v>
      </c>
      <c r="B7617" s="23">
        <v>121.2023562</v>
      </c>
      <c r="C7617" s="23">
        <v>0</v>
      </c>
    </row>
    <row r="7618" spans="1:3" x14ac:dyDescent="0.25">
      <c r="A7618">
        <v>7617</v>
      </c>
      <c r="B7618" s="23">
        <v>120.42541799999999</v>
      </c>
      <c r="C7618" s="23">
        <v>0</v>
      </c>
    </row>
    <row r="7619" spans="1:3" x14ac:dyDescent="0.25">
      <c r="A7619">
        <v>7618</v>
      </c>
      <c r="B7619" s="23">
        <v>120</v>
      </c>
      <c r="C7619" s="23">
        <v>0</v>
      </c>
    </row>
    <row r="7620" spans="1:3" x14ac:dyDescent="0.25">
      <c r="A7620">
        <v>7619</v>
      </c>
      <c r="B7620" s="23">
        <v>120</v>
      </c>
      <c r="C7620" s="23">
        <v>0</v>
      </c>
    </row>
    <row r="7621" spans="1:3" x14ac:dyDescent="0.25">
      <c r="A7621">
        <v>7620</v>
      </c>
      <c r="B7621" s="23">
        <v>120</v>
      </c>
      <c r="C7621" s="23">
        <v>0</v>
      </c>
    </row>
    <row r="7622" spans="1:3" x14ac:dyDescent="0.25">
      <c r="A7622">
        <v>7621</v>
      </c>
      <c r="B7622" s="23">
        <v>119.9633776</v>
      </c>
      <c r="C7622" s="23">
        <v>0</v>
      </c>
    </row>
    <row r="7623" spans="1:3" x14ac:dyDescent="0.25">
      <c r="A7623">
        <v>7622</v>
      </c>
      <c r="B7623" s="23">
        <v>119.64100000000001</v>
      </c>
      <c r="C7623" s="23">
        <v>0</v>
      </c>
    </row>
    <row r="7624" spans="1:3" x14ac:dyDescent="0.25">
      <c r="A7624">
        <v>7623</v>
      </c>
      <c r="B7624" s="23">
        <v>119.5694711</v>
      </c>
      <c r="C7624" s="23">
        <v>0</v>
      </c>
    </row>
    <row r="7625" spans="1:3" x14ac:dyDescent="0.25">
      <c r="A7625">
        <v>7624</v>
      </c>
      <c r="B7625" s="23">
        <v>119.4031641</v>
      </c>
      <c r="C7625" s="23">
        <v>0</v>
      </c>
    </row>
    <row r="7626" spans="1:3" x14ac:dyDescent="0.25">
      <c r="A7626">
        <v>7625</v>
      </c>
      <c r="B7626" s="23">
        <v>118.7976318</v>
      </c>
      <c r="C7626" s="23">
        <v>0</v>
      </c>
    </row>
    <row r="7627" spans="1:3" x14ac:dyDescent="0.25">
      <c r="A7627">
        <v>7626</v>
      </c>
      <c r="B7627" s="23">
        <v>118.4</v>
      </c>
      <c r="C7627" s="23">
        <v>0</v>
      </c>
    </row>
    <row r="7628" spans="1:3" x14ac:dyDescent="0.25">
      <c r="A7628">
        <v>7627</v>
      </c>
      <c r="B7628" s="23">
        <v>118.4</v>
      </c>
      <c r="C7628" s="23">
        <v>0</v>
      </c>
    </row>
    <row r="7629" spans="1:3" x14ac:dyDescent="0.25">
      <c r="A7629">
        <v>7628</v>
      </c>
      <c r="B7629" s="23">
        <v>118.4</v>
      </c>
      <c r="C7629" s="23">
        <v>0</v>
      </c>
    </row>
    <row r="7630" spans="1:3" x14ac:dyDescent="0.25">
      <c r="A7630">
        <v>7629</v>
      </c>
      <c r="B7630" s="23">
        <v>117.6</v>
      </c>
      <c r="C7630" s="23">
        <v>0</v>
      </c>
    </row>
    <row r="7631" spans="1:3" x14ac:dyDescent="0.25">
      <c r="A7631">
        <v>7630</v>
      </c>
      <c r="B7631" s="23">
        <v>117.6</v>
      </c>
      <c r="C7631" s="23">
        <v>0</v>
      </c>
    </row>
    <row r="7632" spans="1:3" x14ac:dyDescent="0.25">
      <c r="A7632">
        <v>7631</v>
      </c>
      <c r="B7632" s="23">
        <v>117.348</v>
      </c>
      <c r="C7632" s="23">
        <v>0</v>
      </c>
    </row>
    <row r="7633" spans="1:3" x14ac:dyDescent="0.25">
      <c r="A7633">
        <v>7632</v>
      </c>
      <c r="B7633" s="23">
        <v>116.94967440000001</v>
      </c>
      <c r="C7633" s="23">
        <v>0</v>
      </c>
    </row>
    <row r="7634" spans="1:3" x14ac:dyDescent="0.25">
      <c r="A7634">
        <v>7633</v>
      </c>
      <c r="B7634" s="23">
        <v>116.8</v>
      </c>
      <c r="C7634" s="23">
        <v>0</v>
      </c>
    </row>
    <row r="7635" spans="1:3" x14ac:dyDescent="0.25">
      <c r="A7635">
        <v>7634</v>
      </c>
      <c r="B7635" s="23">
        <v>116.5407271</v>
      </c>
      <c r="C7635" s="23">
        <v>0</v>
      </c>
    </row>
    <row r="7636" spans="1:3" x14ac:dyDescent="0.25">
      <c r="A7636">
        <v>7635</v>
      </c>
      <c r="B7636" s="23">
        <v>116.1318445</v>
      </c>
      <c r="C7636" s="23">
        <v>0</v>
      </c>
    </row>
    <row r="7637" spans="1:3" x14ac:dyDescent="0.25">
      <c r="A7637">
        <v>7636</v>
      </c>
      <c r="B7637" s="23">
        <v>116</v>
      </c>
      <c r="C7637" s="23">
        <v>0</v>
      </c>
    </row>
    <row r="7638" spans="1:3" x14ac:dyDescent="0.25">
      <c r="A7638">
        <v>7637</v>
      </c>
      <c r="B7638" s="23">
        <v>116</v>
      </c>
      <c r="C7638" s="23">
        <v>0</v>
      </c>
    </row>
    <row r="7639" spans="1:3" x14ac:dyDescent="0.25">
      <c r="A7639">
        <v>7638</v>
      </c>
      <c r="B7639" s="23">
        <v>116</v>
      </c>
      <c r="C7639" s="23">
        <v>0</v>
      </c>
    </row>
    <row r="7640" spans="1:3" x14ac:dyDescent="0.25">
      <c r="A7640">
        <v>7639</v>
      </c>
      <c r="B7640" s="23">
        <v>115.476641</v>
      </c>
      <c r="C7640" s="23">
        <v>0</v>
      </c>
    </row>
    <row r="7641" spans="1:3" x14ac:dyDescent="0.25">
      <c r="A7641">
        <v>7640</v>
      </c>
      <c r="B7641" s="23">
        <v>115.2</v>
      </c>
      <c r="C7641" s="23">
        <v>0</v>
      </c>
    </row>
    <row r="7642" spans="1:3" x14ac:dyDescent="0.25">
      <c r="A7642">
        <v>7641</v>
      </c>
      <c r="B7642" s="23">
        <v>115.2</v>
      </c>
      <c r="C7642" s="23">
        <v>0</v>
      </c>
    </row>
    <row r="7643" spans="1:3" x14ac:dyDescent="0.25">
      <c r="A7643">
        <v>7642</v>
      </c>
      <c r="B7643" s="23">
        <v>115.054</v>
      </c>
      <c r="C7643" s="23">
        <v>0</v>
      </c>
    </row>
    <row r="7644" spans="1:3" x14ac:dyDescent="0.25">
      <c r="A7644">
        <v>7643</v>
      </c>
      <c r="B7644" s="23">
        <v>114.9868508</v>
      </c>
      <c r="C7644" s="23">
        <v>0</v>
      </c>
    </row>
    <row r="7645" spans="1:3" x14ac:dyDescent="0.25">
      <c r="A7645">
        <v>7644</v>
      </c>
      <c r="B7645" s="23">
        <v>114.9868508</v>
      </c>
      <c r="C7645" s="23">
        <v>0</v>
      </c>
    </row>
    <row r="7646" spans="1:3" x14ac:dyDescent="0.25">
      <c r="A7646">
        <v>7645</v>
      </c>
      <c r="B7646" s="23">
        <v>114.4</v>
      </c>
      <c r="C7646" s="23">
        <v>0</v>
      </c>
    </row>
    <row r="7647" spans="1:3" x14ac:dyDescent="0.25">
      <c r="A7647">
        <v>7646</v>
      </c>
      <c r="B7647" s="23">
        <v>114.4</v>
      </c>
      <c r="C7647" s="23">
        <v>0</v>
      </c>
    </row>
    <row r="7648" spans="1:3" x14ac:dyDescent="0.25">
      <c r="A7648">
        <v>7647</v>
      </c>
      <c r="B7648" s="23">
        <v>113.6783549</v>
      </c>
      <c r="C7648" s="23">
        <v>0</v>
      </c>
    </row>
    <row r="7649" spans="1:3" x14ac:dyDescent="0.25">
      <c r="A7649">
        <v>7648</v>
      </c>
      <c r="B7649" s="23">
        <v>113.6</v>
      </c>
      <c r="C7649" s="23">
        <v>0</v>
      </c>
    </row>
    <row r="7650" spans="1:3" x14ac:dyDescent="0.25">
      <c r="A7650">
        <v>7649</v>
      </c>
      <c r="B7650" s="23">
        <v>112.860525</v>
      </c>
      <c r="C7650" s="23">
        <v>0</v>
      </c>
    </row>
    <row r="7651" spans="1:3" x14ac:dyDescent="0.25">
      <c r="A7651">
        <v>7650</v>
      </c>
      <c r="B7651" s="23">
        <v>112.860525</v>
      </c>
      <c r="C7651" s="23">
        <v>0</v>
      </c>
    </row>
    <row r="7652" spans="1:3" x14ac:dyDescent="0.25">
      <c r="A7652">
        <v>7651</v>
      </c>
      <c r="B7652" s="23">
        <v>112.71638249999999</v>
      </c>
      <c r="C7652" s="23">
        <v>0</v>
      </c>
    </row>
    <row r="7653" spans="1:3" x14ac:dyDescent="0.25">
      <c r="A7653">
        <v>7652</v>
      </c>
      <c r="B7653" s="23">
        <v>112.6560362</v>
      </c>
      <c r="C7653" s="23">
        <v>0</v>
      </c>
    </row>
    <row r="7654" spans="1:3" x14ac:dyDescent="0.25">
      <c r="A7654">
        <v>7653</v>
      </c>
      <c r="B7654" s="23">
        <v>112.5998417</v>
      </c>
      <c r="C7654" s="23">
        <v>0</v>
      </c>
    </row>
    <row r="7655" spans="1:3" x14ac:dyDescent="0.25">
      <c r="A7655">
        <v>7654</v>
      </c>
      <c r="B7655" s="23">
        <v>111.879098</v>
      </c>
      <c r="C7655" s="23">
        <v>0</v>
      </c>
    </row>
    <row r="7656" spans="1:3" x14ac:dyDescent="0.25">
      <c r="A7656">
        <v>7655</v>
      </c>
      <c r="B7656" s="23">
        <v>111.2</v>
      </c>
      <c r="C7656" s="23">
        <v>0</v>
      </c>
    </row>
    <row r="7657" spans="1:3" x14ac:dyDescent="0.25">
      <c r="A7657">
        <v>7656</v>
      </c>
      <c r="B7657" s="23">
        <v>111.2</v>
      </c>
      <c r="C7657" s="23">
        <v>0</v>
      </c>
    </row>
    <row r="7658" spans="1:3" x14ac:dyDescent="0.25">
      <c r="A7658">
        <v>7657</v>
      </c>
      <c r="B7658" s="23">
        <v>110.4070353</v>
      </c>
      <c r="C7658" s="23">
        <v>0</v>
      </c>
    </row>
    <row r="7659" spans="1:3" x14ac:dyDescent="0.25">
      <c r="A7659">
        <v>7658</v>
      </c>
      <c r="B7659" s="23">
        <v>110.4</v>
      </c>
      <c r="C7659" s="23">
        <v>0</v>
      </c>
    </row>
    <row r="7660" spans="1:3" x14ac:dyDescent="0.25">
      <c r="A7660">
        <v>7659</v>
      </c>
      <c r="B7660" s="23">
        <v>110.4</v>
      </c>
      <c r="C7660" s="23">
        <v>0</v>
      </c>
    </row>
    <row r="7661" spans="1:3" x14ac:dyDescent="0.25">
      <c r="A7661">
        <v>7660</v>
      </c>
      <c r="B7661" s="23">
        <v>110.4</v>
      </c>
      <c r="C7661" s="23">
        <v>0</v>
      </c>
    </row>
    <row r="7662" spans="1:3" x14ac:dyDescent="0.25">
      <c r="A7662">
        <v>7661</v>
      </c>
      <c r="B7662" s="23">
        <v>110.4</v>
      </c>
      <c r="C7662" s="23">
        <v>0</v>
      </c>
    </row>
    <row r="7663" spans="1:3" x14ac:dyDescent="0.25">
      <c r="A7663">
        <v>7662</v>
      </c>
      <c r="B7663" s="23">
        <v>110.4</v>
      </c>
      <c r="C7663" s="23">
        <v>0</v>
      </c>
    </row>
    <row r="7664" spans="1:3" x14ac:dyDescent="0.25">
      <c r="A7664">
        <v>7663</v>
      </c>
      <c r="B7664" s="23">
        <v>110.328001</v>
      </c>
      <c r="C7664" s="23">
        <v>0</v>
      </c>
    </row>
    <row r="7665" spans="1:3" x14ac:dyDescent="0.25">
      <c r="A7665">
        <v>7664</v>
      </c>
      <c r="B7665" s="23">
        <v>110.259</v>
      </c>
      <c r="C7665" s="23">
        <v>0</v>
      </c>
    </row>
    <row r="7666" spans="1:3" x14ac:dyDescent="0.25">
      <c r="A7666">
        <v>7665</v>
      </c>
      <c r="B7666" s="23">
        <v>110.145</v>
      </c>
      <c r="C7666" s="23">
        <v>0</v>
      </c>
    </row>
    <row r="7667" spans="1:3" x14ac:dyDescent="0.25">
      <c r="A7667">
        <v>7666</v>
      </c>
      <c r="B7667" s="23">
        <v>109.818741</v>
      </c>
      <c r="C7667" s="23">
        <v>0</v>
      </c>
    </row>
    <row r="7668" spans="1:3" x14ac:dyDescent="0.25">
      <c r="A7668">
        <v>7667</v>
      </c>
      <c r="B7668" s="23">
        <v>109.6</v>
      </c>
      <c r="C7668" s="23">
        <v>0</v>
      </c>
    </row>
    <row r="7669" spans="1:3" x14ac:dyDescent="0.25">
      <c r="A7669">
        <v>7668</v>
      </c>
      <c r="B7669" s="23">
        <v>109.6</v>
      </c>
      <c r="C7669" s="23">
        <v>0</v>
      </c>
    </row>
    <row r="7670" spans="1:3" x14ac:dyDescent="0.25">
      <c r="A7670">
        <v>7669</v>
      </c>
      <c r="B7670" s="23">
        <v>109.6</v>
      </c>
      <c r="C7670" s="23">
        <v>0</v>
      </c>
    </row>
    <row r="7671" spans="1:3" x14ac:dyDescent="0.25">
      <c r="A7671">
        <v>7670</v>
      </c>
      <c r="B7671" s="23">
        <v>108.8</v>
      </c>
      <c r="C7671" s="23">
        <v>0</v>
      </c>
    </row>
    <row r="7672" spans="1:3" x14ac:dyDescent="0.25">
      <c r="A7672">
        <v>7671</v>
      </c>
      <c r="B7672" s="23">
        <v>108.8</v>
      </c>
      <c r="C7672" s="23">
        <v>0</v>
      </c>
    </row>
    <row r="7673" spans="1:3" x14ac:dyDescent="0.25">
      <c r="A7673">
        <v>7672</v>
      </c>
      <c r="B7673" s="23">
        <v>108.8</v>
      </c>
      <c r="C7673" s="23">
        <v>0</v>
      </c>
    </row>
    <row r="7674" spans="1:3" x14ac:dyDescent="0.25">
      <c r="A7674">
        <v>7673</v>
      </c>
      <c r="B7674" s="23">
        <v>108.8</v>
      </c>
      <c r="C7674" s="23">
        <v>0</v>
      </c>
    </row>
    <row r="7675" spans="1:3" x14ac:dyDescent="0.25">
      <c r="A7675">
        <v>7674</v>
      </c>
      <c r="B7675" s="23">
        <v>108.46673389999999</v>
      </c>
      <c r="C7675" s="23">
        <v>0</v>
      </c>
    </row>
    <row r="7676" spans="1:3" x14ac:dyDescent="0.25">
      <c r="A7676">
        <v>7675</v>
      </c>
      <c r="B7676" s="23">
        <v>108.3767989</v>
      </c>
      <c r="C7676" s="23">
        <v>0</v>
      </c>
    </row>
    <row r="7677" spans="1:3" x14ac:dyDescent="0.25">
      <c r="A7677">
        <v>7676</v>
      </c>
      <c r="B7677" s="23">
        <v>108.1214409</v>
      </c>
      <c r="C7677" s="23">
        <v>0</v>
      </c>
    </row>
    <row r="7678" spans="1:3" x14ac:dyDescent="0.25">
      <c r="A7678">
        <v>7677</v>
      </c>
      <c r="B7678" s="23">
        <v>108</v>
      </c>
      <c r="C7678" s="23">
        <v>0</v>
      </c>
    </row>
    <row r="7679" spans="1:3" x14ac:dyDescent="0.25">
      <c r="A7679">
        <v>7678</v>
      </c>
      <c r="B7679" s="23">
        <v>108</v>
      </c>
      <c r="C7679" s="23">
        <v>0</v>
      </c>
    </row>
    <row r="7680" spans="1:3" x14ac:dyDescent="0.25">
      <c r="A7680">
        <v>7679</v>
      </c>
      <c r="B7680" s="23">
        <v>108</v>
      </c>
      <c r="C7680" s="23">
        <v>0</v>
      </c>
    </row>
    <row r="7681" spans="1:3" x14ac:dyDescent="0.25">
      <c r="A7681">
        <v>7680</v>
      </c>
      <c r="B7681" s="23">
        <v>107.9944071</v>
      </c>
      <c r="C7681" s="23">
        <v>0</v>
      </c>
    </row>
    <row r="7682" spans="1:3" x14ac:dyDescent="0.25">
      <c r="A7682">
        <v>7681</v>
      </c>
      <c r="B7682" s="23">
        <v>107.21746899999999</v>
      </c>
      <c r="C7682" s="23">
        <v>0</v>
      </c>
    </row>
    <row r="7683" spans="1:3" x14ac:dyDescent="0.25">
      <c r="A7683">
        <v>7682</v>
      </c>
      <c r="B7683" s="23">
        <v>107.21746899999999</v>
      </c>
      <c r="C7683" s="23">
        <v>0</v>
      </c>
    </row>
    <row r="7684" spans="1:3" x14ac:dyDescent="0.25">
      <c r="A7684">
        <v>7683</v>
      </c>
      <c r="B7684" s="23">
        <v>107.21746899999999</v>
      </c>
      <c r="C7684" s="23">
        <v>0</v>
      </c>
    </row>
    <row r="7685" spans="1:3" x14ac:dyDescent="0.25">
      <c r="A7685">
        <v>7684</v>
      </c>
      <c r="B7685" s="23">
        <v>107.2</v>
      </c>
      <c r="C7685" s="23">
        <v>0</v>
      </c>
    </row>
    <row r="7686" spans="1:3" x14ac:dyDescent="0.25">
      <c r="A7686">
        <v>7685</v>
      </c>
      <c r="B7686" s="23">
        <v>107.2</v>
      </c>
      <c r="C7686" s="23">
        <v>0</v>
      </c>
    </row>
    <row r="7687" spans="1:3" x14ac:dyDescent="0.25">
      <c r="A7687">
        <v>7686</v>
      </c>
      <c r="B7687" s="23">
        <v>107.2</v>
      </c>
      <c r="C7687" s="23">
        <v>0</v>
      </c>
    </row>
    <row r="7688" spans="1:3" x14ac:dyDescent="0.25">
      <c r="A7688">
        <v>7687</v>
      </c>
      <c r="B7688" s="23">
        <v>107.13571570000001</v>
      </c>
      <c r="C7688" s="23">
        <v>0</v>
      </c>
    </row>
    <row r="7689" spans="1:3" x14ac:dyDescent="0.25">
      <c r="A7689">
        <v>7688</v>
      </c>
      <c r="B7689" s="23">
        <v>106.65040089999999</v>
      </c>
      <c r="C7689" s="23">
        <v>0</v>
      </c>
    </row>
    <row r="7690" spans="1:3" x14ac:dyDescent="0.25">
      <c r="A7690">
        <v>7689</v>
      </c>
      <c r="B7690" s="23">
        <v>106.65040089999999</v>
      </c>
      <c r="C7690" s="23">
        <v>0</v>
      </c>
    </row>
    <row r="7691" spans="1:3" x14ac:dyDescent="0.25">
      <c r="A7691">
        <v>7690</v>
      </c>
      <c r="B7691" s="23">
        <v>106.4</v>
      </c>
      <c r="C7691" s="23">
        <v>0</v>
      </c>
    </row>
    <row r="7692" spans="1:3" x14ac:dyDescent="0.25">
      <c r="A7692">
        <v>7691</v>
      </c>
      <c r="B7692" s="23">
        <v>106.4</v>
      </c>
      <c r="C7692" s="23">
        <v>0</v>
      </c>
    </row>
    <row r="7693" spans="1:3" x14ac:dyDescent="0.25">
      <c r="A7693">
        <v>7692</v>
      </c>
      <c r="B7693" s="23">
        <v>106.36532149999999</v>
      </c>
      <c r="C7693" s="23">
        <v>0</v>
      </c>
    </row>
    <row r="7694" spans="1:3" x14ac:dyDescent="0.25">
      <c r="A7694">
        <v>7693</v>
      </c>
      <c r="B7694" s="23">
        <v>106.18600000000001</v>
      </c>
      <c r="C7694" s="23">
        <v>0</v>
      </c>
    </row>
    <row r="7695" spans="1:3" x14ac:dyDescent="0.25">
      <c r="A7695">
        <v>7694</v>
      </c>
      <c r="B7695" s="23">
        <v>106.102</v>
      </c>
      <c r="C7695" s="23">
        <v>0</v>
      </c>
    </row>
    <row r="7696" spans="1:3" x14ac:dyDescent="0.25">
      <c r="A7696">
        <v>7695</v>
      </c>
      <c r="B7696" s="23">
        <v>105.9861343</v>
      </c>
      <c r="C7696" s="23">
        <v>0</v>
      </c>
    </row>
    <row r="7697" spans="1:3" x14ac:dyDescent="0.25">
      <c r="A7697">
        <v>7696</v>
      </c>
      <c r="B7697" s="23">
        <v>105.9148809</v>
      </c>
      <c r="C7697" s="23">
        <v>0</v>
      </c>
    </row>
    <row r="7698" spans="1:3" x14ac:dyDescent="0.25">
      <c r="A7698">
        <v>7697</v>
      </c>
      <c r="B7698" s="23">
        <v>105.6</v>
      </c>
      <c r="C7698" s="23">
        <v>0</v>
      </c>
    </row>
    <row r="7699" spans="1:3" x14ac:dyDescent="0.25">
      <c r="A7699">
        <v>7698</v>
      </c>
      <c r="B7699" s="23">
        <v>105.6</v>
      </c>
      <c r="C7699" s="23">
        <v>0</v>
      </c>
    </row>
    <row r="7700" spans="1:3" x14ac:dyDescent="0.25">
      <c r="A7700">
        <v>7699</v>
      </c>
      <c r="B7700" s="23">
        <v>105.6</v>
      </c>
      <c r="C7700" s="23">
        <v>0</v>
      </c>
    </row>
    <row r="7701" spans="1:3" x14ac:dyDescent="0.25">
      <c r="A7701">
        <v>7700</v>
      </c>
      <c r="B7701" s="23">
        <v>105.500056</v>
      </c>
      <c r="C7701" s="23">
        <v>0</v>
      </c>
    </row>
    <row r="7702" spans="1:3" x14ac:dyDescent="0.25">
      <c r="A7702">
        <v>7701</v>
      </c>
      <c r="B7702" s="23">
        <v>105.3491528</v>
      </c>
      <c r="C7702" s="23">
        <v>0</v>
      </c>
    </row>
    <row r="7703" spans="1:3" x14ac:dyDescent="0.25">
      <c r="A7703">
        <v>7702</v>
      </c>
      <c r="B7703" s="23">
        <v>105.232</v>
      </c>
      <c r="C7703" s="23">
        <v>0</v>
      </c>
    </row>
    <row r="7704" spans="1:3" x14ac:dyDescent="0.25">
      <c r="A7704">
        <v>7703</v>
      </c>
      <c r="B7704" s="23">
        <v>105.189246</v>
      </c>
      <c r="C7704" s="23">
        <v>0</v>
      </c>
    </row>
    <row r="7705" spans="1:3" x14ac:dyDescent="0.25">
      <c r="A7705">
        <v>7704</v>
      </c>
      <c r="B7705" s="23">
        <v>105.189246</v>
      </c>
      <c r="C7705" s="23">
        <v>0</v>
      </c>
    </row>
    <row r="7706" spans="1:3" x14ac:dyDescent="0.25">
      <c r="A7706">
        <v>7705</v>
      </c>
      <c r="B7706" s="23">
        <v>105.17936090000001</v>
      </c>
      <c r="C7706" s="23">
        <v>0</v>
      </c>
    </row>
    <row r="7707" spans="1:3" x14ac:dyDescent="0.25">
      <c r="A7707">
        <v>7706</v>
      </c>
      <c r="B7707" s="23">
        <v>104.8866544</v>
      </c>
      <c r="C7707" s="23">
        <v>0</v>
      </c>
    </row>
    <row r="7708" spans="1:3" x14ac:dyDescent="0.25">
      <c r="A7708">
        <v>7707</v>
      </c>
      <c r="B7708" s="23">
        <v>104.8866544</v>
      </c>
      <c r="C7708" s="23">
        <v>0</v>
      </c>
    </row>
    <row r="7709" spans="1:3" x14ac:dyDescent="0.25">
      <c r="A7709">
        <v>7708</v>
      </c>
      <c r="B7709" s="23">
        <v>104.8</v>
      </c>
      <c r="C7709" s="23">
        <v>0</v>
      </c>
    </row>
    <row r="7710" spans="1:3" x14ac:dyDescent="0.25">
      <c r="A7710">
        <v>7709</v>
      </c>
      <c r="B7710" s="23">
        <v>104.8</v>
      </c>
      <c r="C7710" s="23">
        <v>0</v>
      </c>
    </row>
    <row r="7711" spans="1:3" x14ac:dyDescent="0.25">
      <c r="A7711">
        <v>7710</v>
      </c>
      <c r="B7711" s="23">
        <v>104.8</v>
      </c>
      <c r="C7711" s="23">
        <v>0</v>
      </c>
    </row>
    <row r="7712" spans="1:3" x14ac:dyDescent="0.25">
      <c r="A7712">
        <v>7711</v>
      </c>
      <c r="B7712" s="23">
        <v>104.8</v>
      </c>
      <c r="C7712" s="23">
        <v>0</v>
      </c>
    </row>
    <row r="7713" spans="1:3" x14ac:dyDescent="0.25">
      <c r="A7713">
        <v>7712</v>
      </c>
      <c r="B7713" s="23">
        <v>104.26900000000001</v>
      </c>
      <c r="C7713" s="23">
        <v>0</v>
      </c>
    </row>
    <row r="7714" spans="1:3" x14ac:dyDescent="0.25">
      <c r="A7714">
        <v>7713</v>
      </c>
      <c r="B7714" s="23">
        <v>104.10971619999999</v>
      </c>
      <c r="C7714" s="23">
        <v>0</v>
      </c>
    </row>
    <row r="7715" spans="1:3" x14ac:dyDescent="0.25">
      <c r="A7715">
        <v>7714</v>
      </c>
      <c r="B7715" s="23">
        <v>104.10971619999999</v>
      </c>
      <c r="C7715" s="23">
        <v>0</v>
      </c>
    </row>
    <row r="7716" spans="1:3" x14ac:dyDescent="0.25">
      <c r="A7716">
        <v>7715</v>
      </c>
      <c r="B7716" s="23">
        <v>104</v>
      </c>
      <c r="C7716" s="23">
        <v>0</v>
      </c>
    </row>
    <row r="7717" spans="1:3" x14ac:dyDescent="0.25">
      <c r="A7717">
        <v>7716</v>
      </c>
      <c r="B7717" s="23">
        <v>104</v>
      </c>
      <c r="C7717" s="23">
        <v>0</v>
      </c>
    </row>
    <row r="7718" spans="1:3" x14ac:dyDescent="0.25">
      <c r="A7718">
        <v>7717</v>
      </c>
      <c r="B7718" s="23">
        <v>103.8643962</v>
      </c>
      <c r="C7718" s="23">
        <v>0</v>
      </c>
    </row>
    <row r="7719" spans="1:3" x14ac:dyDescent="0.25">
      <c r="A7719">
        <v>7718</v>
      </c>
      <c r="B7719" s="23">
        <v>103.3327781</v>
      </c>
      <c r="C7719" s="23">
        <v>0</v>
      </c>
    </row>
    <row r="7720" spans="1:3" x14ac:dyDescent="0.25">
      <c r="A7720">
        <v>7719</v>
      </c>
      <c r="B7720" s="23">
        <v>103.2926415</v>
      </c>
      <c r="C7720" s="23">
        <v>0</v>
      </c>
    </row>
    <row r="7721" spans="1:3" x14ac:dyDescent="0.25">
      <c r="A7721">
        <v>7720</v>
      </c>
      <c r="B7721" s="23">
        <v>103.221</v>
      </c>
      <c r="C7721" s="23">
        <v>0</v>
      </c>
    </row>
    <row r="7722" spans="1:3" x14ac:dyDescent="0.25">
      <c r="A7722">
        <v>7721</v>
      </c>
      <c r="B7722" s="23">
        <v>103.2</v>
      </c>
      <c r="C7722" s="23">
        <v>0</v>
      </c>
    </row>
    <row r="7723" spans="1:3" x14ac:dyDescent="0.25">
      <c r="A7723">
        <v>7722</v>
      </c>
      <c r="B7723" s="23">
        <v>103.2</v>
      </c>
      <c r="C7723" s="23">
        <v>0</v>
      </c>
    </row>
    <row r="7724" spans="1:3" x14ac:dyDescent="0.25">
      <c r="A7724">
        <v>7723</v>
      </c>
      <c r="B7724" s="23">
        <v>103.2</v>
      </c>
      <c r="C7724" s="23">
        <v>0</v>
      </c>
    </row>
    <row r="7725" spans="1:3" x14ac:dyDescent="0.25">
      <c r="A7725">
        <v>7724</v>
      </c>
      <c r="B7725" s="23">
        <v>103.2</v>
      </c>
      <c r="C7725" s="23">
        <v>0</v>
      </c>
    </row>
    <row r="7726" spans="1:3" x14ac:dyDescent="0.25">
      <c r="A7726">
        <v>7725</v>
      </c>
      <c r="B7726" s="23">
        <v>102.491</v>
      </c>
      <c r="C7726" s="23">
        <v>0</v>
      </c>
    </row>
    <row r="7727" spans="1:3" x14ac:dyDescent="0.25">
      <c r="A7727">
        <v>7726</v>
      </c>
      <c r="B7727" s="23">
        <v>102.4</v>
      </c>
      <c r="C7727" s="23">
        <v>0</v>
      </c>
    </row>
    <row r="7728" spans="1:3" x14ac:dyDescent="0.25">
      <c r="A7728">
        <v>7727</v>
      </c>
      <c r="B7728" s="23">
        <v>102.4</v>
      </c>
      <c r="C7728" s="23">
        <v>0</v>
      </c>
    </row>
    <row r="7729" spans="1:3" x14ac:dyDescent="0.25">
      <c r="A7729">
        <v>7728</v>
      </c>
      <c r="B7729" s="23">
        <v>102.4</v>
      </c>
      <c r="C7729" s="23">
        <v>0</v>
      </c>
    </row>
    <row r="7730" spans="1:3" x14ac:dyDescent="0.25">
      <c r="A7730">
        <v>7729</v>
      </c>
      <c r="B7730" s="23">
        <v>102.2287364</v>
      </c>
      <c r="C7730" s="23">
        <v>0</v>
      </c>
    </row>
    <row r="7731" spans="1:3" x14ac:dyDescent="0.25">
      <c r="A7731">
        <v>7730</v>
      </c>
      <c r="B7731" s="23">
        <v>102.2287364</v>
      </c>
      <c r="C7731" s="23">
        <v>0</v>
      </c>
    </row>
    <row r="7732" spans="1:3" x14ac:dyDescent="0.25">
      <c r="A7732">
        <v>7731</v>
      </c>
      <c r="B7732" s="23">
        <v>102.2287364</v>
      </c>
      <c r="C7732" s="23">
        <v>0</v>
      </c>
    </row>
    <row r="7733" spans="1:3" x14ac:dyDescent="0.25">
      <c r="A7733">
        <v>7732</v>
      </c>
      <c r="B7733" s="23">
        <v>102.2212181</v>
      </c>
      <c r="C7733" s="23">
        <v>0</v>
      </c>
    </row>
    <row r="7734" spans="1:3" x14ac:dyDescent="0.25">
      <c r="A7734">
        <v>7733</v>
      </c>
      <c r="B7734" s="23">
        <v>102.069</v>
      </c>
      <c r="C7734" s="23">
        <v>0</v>
      </c>
    </row>
    <row r="7735" spans="1:3" x14ac:dyDescent="0.25">
      <c r="A7735">
        <v>7734</v>
      </c>
      <c r="B7735" s="23">
        <v>101.77890170000001</v>
      </c>
      <c r="C7735" s="23">
        <v>0</v>
      </c>
    </row>
    <row r="7736" spans="1:3" x14ac:dyDescent="0.25">
      <c r="A7736">
        <v>7735</v>
      </c>
      <c r="B7736" s="23">
        <v>101.77890170000001</v>
      </c>
      <c r="C7736" s="23">
        <v>0</v>
      </c>
    </row>
    <row r="7737" spans="1:3" x14ac:dyDescent="0.25">
      <c r="A7737">
        <v>7736</v>
      </c>
      <c r="B7737" s="23">
        <v>101.77890170000001</v>
      </c>
      <c r="C7737" s="23">
        <v>0</v>
      </c>
    </row>
    <row r="7738" spans="1:3" x14ac:dyDescent="0.25">
      <c r="A7738">
        <v>7737</v>
      </c>
      <c r="B7738" s="23">
        <v>101.6</v>
      </c>
      <c r="C7738" s="23">
        <v>0</v>
      </c>
    </row>
    <row r="7739" spans="1:3" x14ac:dyDescent="0.25">
      <c r="A7739">
        <v>7738</v>
      </c>
      <c r="B7739" s="23">
        <v>101.6</v>
      </c>
      <c r="C7739" s="23">
        <v>0</v>
      </c>
    </row>
    <row r="7740" spans="1:3" x14ac:dyDescent="0.25">
      <c r="A7740">
        <v>7739</v>
      </c>
      <c r="B7740" s="23">
        <v>101.6</v>
      </c>
      <c r="C7740" s="23">
        <v>0</v>
      </c>
    </row>
    <row r="7741" spans="1:3" x14ac:dyDescent="0.25">
      <c r="A7741">
        <v>7740</v>
      </c>
      <c r="B7741" s="23">
        <v>101.6</v>
      </c>
      <c r="C7741" s="23">
        <v>0</v>
      </c>
    </row>
    <row r="7742" spans="1:3" x14ac:dyDescent="0.25">
      <c r="A7742">
        <v>7741</v>
      </c>
      <c r="B7742" s="23">
        <v>101.6</v>
      </c>
      <c r="C7742" s="23">
        <v>0</v>
      </c>
    </row>
    <row r="7743" spans="1:3" x14ac:dyDescent="0.25">
      <c r="A7743">
        <v>7742</v>
      </c>
      <c r="B7743" s="23">
        <v>101.6</v>
      </c>
      <c r="C7743" s="23">
        <v>0</v>
      </c>
    </row>
    <row r="7744" spans="1:3" x14ac:dyDescent="0.25">
      <c r="A7744">
        <v>7743</v>
      </c>
      <c r="B7744" s="23">
        <v>101.6</v>
      </c>
      <c r="C7744" s="23">
        <v>0</v>
      </c>
    </row>
    <row r="7745" spans="1:3" x14ac:dyDescent="0.25">
      <c r="A7745">
        <v>7744</v>
      </c>
      <c r="B7745" s="23">
        <v>101.6</v>
      </c>
      <c r="C7745" s="23">
        <v>0</v>
      </c>
    </row>
    <row r="7746" spans="1:3" x14ac:dyDescent="0.25">
      <c r="A7746">
        <v>7745</v>
      </c>
      <c r="B7746" s="23">
        <v>101.6</v>
      </c>
      <c r="C7746" s="23">
        <v>0</v>
      </c>
    </row>
    <row r="7747" spans="1:3" x14ac:dyDescent="0.25">
      <c r="A7747">
        <v>7746</v>
      </c>
      <c r="B7747" s="23">
        <v>101.473266</v>
      </c>
      <c r="C7747" s="23">
        <v>0</v>
      </c>
    </row>
    <row r="7748" spans="1:3" x14ac:dyDescent="0.25">
      <c r="A7748">
        <v>7747</v>
      </c>
      <c r="B7748" s="23">
        <v>101.2048049</v>
      </c>
      <c r="C7748" s="23">
        <v>0</v>
      </c>
    </row>
    <row r="7749" spans="1:3" x14ac:dyDescent="0.25">
      <c r="A7749">
        <v>7748</v>
      </c>
      <c r="B7749" s="23">
        <v>101.182</v>
      </c>
      <c r="C7749" s="23">
        <v>0</v>
      </c>
    </row>
    <row r="7750" spans="1:3" x14ac:dyDescent="0.25">
      <c r="A7750">
        <v>7749</v>
      </c>
      <c r="B7750" s="23">
        <v>101.0019635</v>
      </c>
      <c r="C7750" s="23">
        <v>0</v>
      </c>
    </row>
    <row r="7751" spans="1:3" x14ac:dyDescent="0.25">
      <c r="A7751">
        <v>7750</v>
      </c>
      <c r="B7751" s="23">
        <v>100.98399999999999</v>
      </c>
      <c r="C7751" s="23">
        <v>0</v>
      </c>
    </row>
    <row r="7752" spans="1:3" x14ac:dyDescent="0.25">
      <c r="A7752">
        <v>7751</v>
      </c>
      <c r="B7752" s="23">
        <v>100.8</v>
      </c>
      <c r="C7752" s="23">
        <v>0</v>
      </c>
    </row>
    <row r="7753" spans="1:3" x14ac:dyDescent="0.25">
      <c r="A7753">
        <v>7752</v>
      </c>
      <c r="B7753" s="23">
        <v>100.8</v>
      </c>
      <c r="C7753" s="23">
        <v>0</v>
      </c>
    </row>
    <row r="7754" spans="1:3" x14ac:dyDescent="0.25">
      <c r="A7754">
        <v>7753</v>
      </c>
      <c r="B7754" s="23">
        <v>100.8</v>
      </c>
      <c r="C7754" s="23">
        <v>0</v>
      </c>
    </row>
    <row r="7755" spans="1:3" x14ac:dyDescent="0.25">
      <c r="A7755">
        <v>7754</v>
      </c>
      <c r="B7755" s="23">
        <v>100.7662409</v>
      </c>
      <c r="C7755" s="23">
        <v>0</v>
      </c>
    </row>
    <row r="7756" spans="1:3" x14ac:dyDescent="0.25">
      <c r="A7756">
        <v>7755</v>
      </c>
      <c r="B7756" s="23">
        <v>100.7662409</v>
      </c>
      <c r="C7756" s="23">
        <v>0</v>
      </c>
    </row>
    <row r="7757" spans="1:3" x14ac:dyDescent="0.25">
      <c r="A7757">
        <v>7756</v>
      </c>
      <c r="B7757" s="23">
        <v>100.7662409</v>
      </c>
      <c r="C7757" s="23">
        <v>0</v>
      </c>
    </row>
    <row r="7758" spans="1:3" x14ac:dyDescent="0.25">
      <c r="A7758">
        <v>7757</v>
      </c>
      <c r="B7758" s="23">
        <v>100.5930766</v>
      </c>
      <c r="C7758" s="23">
        <v>0</v>
      </c>
    </row>
    <row r="7759" spans="1:3" x14ac:dyDescent="0.25">
      <c r="A7759">
        <v>7758</v>
      </c>
      <c r="B7759" s="23">
        <v>100.5930766</v>
      </c>
      <c r="C7759" s="23">
        <v>0</v>
      </c>
    </row>
    <row r="7760" spans="1:3" x14ac:dyDescent="0.25">
      <c r="A7760">
        <v>7759</v>
      </c>
      <c r="B7760" s="23">
        <v>100.5930766</v>
      </c>
      <c r="C7760" s="23">
        <v>0</v>
      </c>
    </row>
    <row r="7761" spans="1:3" x14ac:dyDescent="0.25">
      <c r="A7761">
        <v>7760</v>
      </c>
      <c r="B7761" s="23">
        <v>100.5930766</v>
      </c>
      <c r="C7761" s="23">
        <v>0</v>
      </c>
    </row>
    <row r="7762" spans="1:3" x14ac:dyDescent="0.25">
      <c r="A7762">
        <v>7761</v>
      </c>
      <c r="B7762" s="23">
        <v>100.24542</v>
      </c>
      <c r="C7762" s="23">
        <v>0</v>
      </c>
    </row>
    <row r="7763" spans="1:3" x14ac:dyDescent="0.25">
      <c r="A7763">
        <v>7762</v>
      </c>
      <c r="B7763" s="23">
        <v>100.2250253</v>
      </c>
      <c r="C7763" s="23">
        <v>0</v>
      </c>
    </row>
    <row r="7764" spans="1:3" x14ac:dyDescent="0.25">
      <c r="A7764">
        <v>7763</v>
      </c>
      <c r="B7764" s="23">
        <v>100.2250253</v>
      </c>
      <c r="C7764" s="23">
        <v>0</v>
      </c>
    </row>
    <row r="7765" spans="1:3" x14ac:dyDescent="0.25">
      <c r="A7765">
        <v>7764</v>
      </c>
      <c r="B7765" s="23">
        <v>100.03072090000001</v>
      </c>
      <c r="C7765" s="23">
        <v>0</v>
      </c>
    </row>
    <row r="7766" spans="1:3" x14ac:dyDescent="0.25">
      <c r="A7766">
        <v>7765</v>
      </c>
      <c r="B7766" s="23">
        <v>100.03072090000001</v>
      </c>
      <c r="C7766" s="23">
        <v>0</v>
      </c>
    </row>
    <row r="7767" spans="1:3" x14ac:dyDescent="0.25">
      <c r="A7767">
        <v>7766</v>
      </c>
      <c r="B7767" s="23">
        <v>100.012</v>
      </c>
      <c r="C7767" s="23">
        <v>0</v>
      </c>
    </row>
    <row r="7768" spans="1:3" x14ac:dyDescent="0.25">
      <c r="A7768">
        <v>7767</v>
      </c>
      <c r="B7768" s="23">
        <v>100</v>
      </c>
      <c r="C7768" s="23">
        <v>0</v>
      </c>
    </row>
    <row r="7769" spans="1:3" x14ac:dyDescent="0.25">
      <c r="A7769">
        <v>7768</v>
      </c>
      <c r="B7769" s="23">
        <v>100</v>
      </c>
      <c r="C7769" s="23">
        <v>0</v>
      </c>
    </row>
    <row r="7770" spans="1:3" x14ac:dyDescent="0.25">
      <c r="A7770">
        <v>7769</v>
      </c>
      <c r="B7770" s="23">
        <v>100</v>
      </c>
      <c r="C7770" s="23">
        <v>0</v>
      </c>
    </row>
    <row r="7771" spans="1:3" x14ac:dyDescent="0.25">
      <c r="A7771">
        <v>7770</v>
      </c>
      <c r="B7771" s="23">
        <v>100</v>
      </c>
      <c r="C7771" s="23">
        <v>0</v>
      </c>
    </row>
    <row r="7772" spans="1:3" x14ac:dyDescent="0.25">
      <c r="A7772">
        <v>7771</v>
      </c>
      <c r="B7772" s="23">
        <v>100</v>
      </c>
      <c r="C7772" s="23">
        <v>0</v>
      </c>
    </row>
    <row r="7773" spans="1:3" x14ac:dyDescent="0.25">
      <c r="A7773">
        <v>7772</v>
      </c>
      <c r="B7773" s="23">
        <v>100</v>
      </c>
      <c r="C7773" s="23">
        <v>0</v>
      </c>
    </row>
    <row r="7774" spans="1:3" x14ac:dyDescent="0.25">
      <c r="A7774">
        <v>7773</v>
      </c>
      <c r="B7774" s="23">
        <v>100</v>
      </c>
      <c r="C7774" s="23">
        <v>0</v>
      </c>
    </row>
    <row r="7775" spans="1:3" x14ac:dyDescent="0.25">
      <c r="A7775">
        <v>7774</v>
      </c>
      <c r="B7775" s="23">
        <v>99.775246719999998</v>
      </c>
      <c r="C7775" s="23">
        <v>0</v>
      </c>
    </row>
    <row r="7776" spans="1:3" x14ac:dyDescent="0.25">
      <c r="A7776">
        <v>7775</v>
      </c>
      <c r="B7776" s="23">
        <v>99.536463870000006</v>
      </c>
      <c r="C7776" s="23">
        <v>0</v>
      </c>
    </row>
    <row r="7777" spans="1:3" x14ac:dyDescent="0.25">
      <c r="A7777">
        <v>7776</v>
      </c>
      <c r="B7777" s="23">
        <v>99.448087150000006</v>
      </c>
      <c r="C7777" s="23">
        <v>0</v>
      </c>
    </row>
    <row r="7778" spans="1:3" x14ac:dyDescent="0.25">
      <c r="A7778">
        <v>7777</v>
      </c>
      <c r="B7778" s="23">
        <v>99.260999999999996</v>
      </c>
      <c r="C7778" s="23">
        <v>0</v>
      </c>
    </row>
    <row r="7779" spans="1:3" x14ac:dyDescent="0.25">
      <c r="A7779">
        <v>7778</v>
      </c>
      <c r="B7779" s="23">
        <v>99.2</v>
      </c>
      <c r="C7779" s="23">
        <v>0</v>
      </c>
    </row>
    <row r="7780" spans="1:3" x14ac:dyDescent="0.25">
      <c r="A7780">
        <v>7779</v>
      </c>
      <c r="B7780" s="23">
        <v>99.2</v>
      </c>
      <c r="C7780" s="23">
        <v>0</v>
      </c>
    </row>
    <row r="7781" spans="1:3" x14ac:dyDescent="0.25">
      <c r="A7781">
        <v>7780</v>
      </c>
      <c r="B7781" s="23">
        <v>99.2</v>
      </c>
      <c r="C7781" s="23">
        <v>0</v>
      </c>
    </row>
    <row r="7782" spans="1:3" x14ac:dyDescent="0.25">
      <c r="A7782">
        <v>7781</v>
      </c>
      <c r="B7782" s="23">
        <v>99.2</v>
      </c>
      <c r="C7782" s="23">
        <v>0</v>
      </c>
    </row>
    <row r="7783" spans="1:3" x14ac:dyDescent="0.25">
      <c r="A7783">
        <v>7782</v>
      </c>
      <c r="B7783" s="23">
        <v>99.2</v>
      </c>
      <c r="C7783" s="23">
        <v>0</v>
      </c>
    </row>
    <row r="7784" spans="1:3" x14ac:dyDescent="0.25">
      <c r="A7784">
        <v>7783</v>
      </c>
      <c r="B7784" s="23">
        <v>99.2</v>
      </c>
      <c r="C7784" s="23">
        <v>0</v>
      </c>
    </row>
    <row r="7785" spans="1:3" x14ac:dyDescent="0.25">
      <c r="A7785">
        <v>7784</v>
      </c>
      <c r="B7785" s="23">
        <v>99.126628980000007</v>
      </c>
      <c r="C7785" s="23">
        <v>0</v>
      </c>
    </row>
    <row r="7786" spans="1:3" x14ac:dyDescent="0.25">
      <c r="A7786">
        <v>7785</v>
      </c>
      <c r="B7786" s="23">
        <v>98.957416820000006</v>
      </c>
      <c r="C7786" s="23">
        <v>0</v>
      </c>
    </row>
    <row r="7787" spans="1:3" x14ac:dyDescent="0.25">
      <c r="A7787">
        <v>7786</v>
      </c>
      <c r="B7787" s="23">
        <v>98.957416820000006</v>
      </c>
      <c r="C7787" s="23">
        <v>0</v>
      </c>
    </row>
    <row r="7788" spans="1:3" x14ac:dyDescent="0.25">
      <c r="A7788">
        <v>7787</v>
      </c>
      <c r="B7788" s="23">
        <v>98.957416820000006</v>
      </c>
      <c r="C7788" s="23">
        <v>0</v>
      </c>
    </row>
    <row r="7789" spans="1:3" x14ac:dyDescent="0.25">
      <c r="A7789">
        <v>7788</v>
      </c>
      <c r="B7789" s="23">
        <v>98.846000000000004</v>
      </c>
      <c r="C7789" s="23">
        <v>0</v>
      </c>
    </row>
    <row r="7790" spans="1:3" x14ac:dyDescent="0.25">
      <c r="A7790">
        <v>7789</v>
      </c>
      <c r="B7790" s="23">
        <v>98.671148970000004</v>
      </c>
      <c r="C7790" s="23">
        <v>0</v>
      </c>
    </row>
    <row r="7791" spans="1:3" x14ac:dyDescent="0.25">
      <c r="A7791">
        <v>7790</v>
      </c>
      <c r="B7791" s="23">
        <v>98.671148970000004</v>
      </c>
      <c r="C7791" s="23">
        <v>0</v>
      </c>
    </row>
    <row r="7792" spans="1:3" x14ac:dyDescent="0.25">
      <c r="A7792">
        <v>7791</v>
      </c>
      <c r="B7792" s="23">
        <v>98.671148970000004</v>
      </c>
      <c r="C7792" s="23">
        <v>0</v>
      </c>
    </row>
    <row r="7793" spans="1:3" x14ac:dyDescent="0.25">
      <c r="A7793">
        <v>7792</v>
      </c>
      <c r="B7793" s="23">
        <v>98.671148970000004</v>
      </c>
      <c r="C7793" s="23">
        <v>0</v>
      </c>
    </row>
    <row r="7794" spans="1:3" x14ac:dyDescent="0.25">
      <c r="A7794">
        <v>7793</v>
      </c>
      <c r="B7794" s="23">
        <v>98.671148970000004</v>
      </c>
      <c r="C7794" s="23">
        <v>0</v>
      </c>
    </row>
    <row r="7795" spans="1:3" x14ac:dyDescent="0.25">
      <c r="A7795">
        <v>7794</v>
      </c>
      <c r="B7795" s="23">
        <v>98.55968086</v>
      </c>
      <c r="C7795" s="23">
        <v>0</v>
      </c>
    </row>
    <row r="7796" spans="1:3" x14ac:dyDescent="0.25">
      <c r="A7796">
        <v>7795</v>
      </c>
      <c r="B7796" s="23">
        <v>98.4</v>
      </c>
      <c r="C7796" s="23">
        <v>0</v>
      </c>
    </row>
    <row r="7797" spans="1:3" x14ac:dyDescent="0.25">
      <c r="A7797">
        <v>7796</v>
      </c>
      <c r="B7797" s="23">
        <v>98.4</v>
      </c>
      <c r="C7797" s="23">
        <v>0</v>
      </c>
    </row>
    <row r="7798" spans="1:3" x14ac:dyDescent="0.25">
      <c r="A7798">
        <v>7797</v>
      </c>
      <c r="B7798" s="23">
        <v>98.4</v>
      </c>
      <c r="C7798" s="23">
        <v>0</v>
      </c>
    </row>
    <row r="7799" spans="1:3" x14ac:dyDescent="0.25">
      <c r="A7799">
        <v>7798</v>
      </c>
      <c r="B7799" s="23">
        <v>98.4</v>
      </c>
      <c r="C7799" s="23">
        <v>0</v>
      </c>
    </row>
    <row r="7800" spans="1:3" x14ac:dyDescent="0.25">
      <c r="A7800">
        <v>7799</v>
      </c>
      <c r="B7800" s="23">
        <v>98.4</v>
      </c>
      <c r="C7800" s="23">
        <v>0</v>
      </c>
    </row>
    <row r="7801" spans="1:3" x14ac:dyDescent="0.25">
      <c r="A7801">
        <v>7800</v>
      </c>
      <c r="B7801" s="23">
        <v>98.4</v>
      </c>
      <c r="C7801" s="23">
        <v>0</v>
      </c>
    </row>
    <row r="7802" spans="1:3" x14ac:dyDescent="0.25">
      <c r="A7802">
        <v>7801</v>
      </c>
      <c r="B7802" s="23">
        <v>98.4</v>
      </c>
      <c r="C7802" s="23">
        <v>0</v>
      </c>
    </row>
    <row r="7803" spans="1:3" x14ac:dyDescent="0.25">
      <c r="A7803">
        <v>7802</v>
      </c>
      <c r="B7803" s="23">
        <v>98.4</v>
      </c>
      <c r="C7803" s="23">
        <v>0</v>
      </c>
    </row>
    <row r="7804" spans="1:3" x14ac:dyDescent="0.25">
      <c r="A7804">
        <v>7803</v>
      </c>
      <c r="B7804" s="23">
        <v>98.247</v>
      </c>
      <c r="C7804" s="23">
        <v>0</v>
      </c>
    </row>
    <row r="7805" spans="1:3" x14ac:dyDescent="0.25">
      <c r="A7805">
        <v>7804</v>
      </c>
      <c r="B7805" s="23">
        <v>97.635999999999996</v>
      </c>
      <c r="C7805" s="23">
        <v>0</v>
      </c>
    </row>
    <row r="7806" spans="1:3" x14ac:dyDescent="0.25">
      <c r="A7806">
        <v>7805</v>
      </c>
      <c r="B7806" s="23">
        <v>97.6</v>
      </c>
      <c r="C7806" s="23">
        <v>0</v>
      </c>
    </row>
    <row r="7807" spans="1:3" x14ac:dyDescent="0.25">
      <c r="A7807">
        <v>7806</v>
      </c>
      <c r="B7807" s="23">
        <v>97.6</v>
      </c>
      <c r="C7807" s="23">
        <v>0</v>
      </c>
    </row>
    <row r="7808" spans="1:3" x14ac:dyDescent="0.25">
      <c r="A7808">
        <v>7807</v>
      </c>
      <c r="B7808" s="23">
        <v>97.321757039999994</v>
      </c>
      <c r="C7808" s="23">
        <v>0</v>
      </c>
    </row>
    <row r="7809" spans="1:3" x14ac:dyDescent="0.25">
      <c r="A7809">
        <v>7808</v>
      </c>
      <c r="B7809" s="23">
        <v>97.256223730000002</v>
      </c>
      <c r="C7809" s="23">
        <v>0</v>
      </c>
    </row>
    <row r="7810" spans="1:3" x14ac:dyDescent="0.25">
      <c r="A7810">
        <v>7809</v>
      </c>
      <c r="B7810" s="23">
        <v>97.220363759999998</v>
      </c>
      <c r="C7810" s="23">
        <v>0</v>
      </c>
    </row>
    <row r="7811" spans="1:3" x14ac:dyDescent="0.25">
      <c r="A7811">
        <v>7810</v>
      </c>
      <c r="B7811" s="23">
        <v>97.117272610000001</v>
      </c>
      <c r="C7811" s="23">
        <v>0</v>
      </c>
    </row>
    <row r="7812" spans="1:3" x14ac:dyDescent="0.25">
      <c r="A7812">
        <v>7811</v>
      </c>
      <c r="B7812" s="23">
        <v>96.820999999999998</v>
      </c>
      <c r="C7812" s="23">
        <v>0</v>
      </c>
    </row>
    <row r="7813" spans="1:3" x14ac:dyDescent="0.25">
      <c r="A7813">
        <v>7812</v>
      </c>
      <c r="B7813" s="23">
        <v>96.805000000000007</v>
      </c>
      <c r="C7813" s="23">
        <v>0</v>
      </c>
    </row>
    <row r="7814" spans="1:3" x14ac:dyDescent="0.25">
      <c r="A7814">
        <v>7813</v>
      </c>
      <c r="B7814" s="23">
        <v>96.8</v>
      </c>
      <c r="C7814" s="23">
        <v>0</v>
      </c>
    </row>
    <row r="7815" spans="1:3" x14ac:dyDescent="0.25">
      <c r="A7815">
        <v>7814</v>
      </c>
      <c r="B7815" s="23">
        <v>96.8</v>
      </c>
      <c r="C7815" s="23">
        <v>0</v>
      </c>
    </row>
    <row r="7816" spans="1:3" x14ac:dyDescent="0.25">
      <c r="A7816">
        <v>7815</v>
      </c>
      <c r="B7816" s="23">
        <v>96.8</v>
      </c>
      <c r="C7816" s="23">
        <v>0</v>
      </c>
    </row>
    <row r="7817" spans="1:3" x14ac:dyDescent="0.25">
      <c r="A7817">
        <v>7816</v>
      </c>
      <c r="B7817" s="23">
        <v>96.8</v>
      </c>
      <c r="C7817" s="23">
        <v>0</v>
      </c>
    </row>
    <row r="7818" spans="1:3" x14ac:dyDescent="0.25">
      <c r="A7818">
        <v>7817</v>
      </c>
      <c r="B7818" s="23">
        <v>96.8</v>
      </c>
      <c r="C7818" s="23">
        <v>0</v>
      </c>
    </row>
    <row r="7819" spans="1:3" x14ac:dyDescent="0.25">
      <c r="A7819">
        <v>7818</v>
      </c>
      <c r="B7819" s="23">
        <v>96.8</v>
      </c>
      <c r="C7819" s="23">
        <v>0</v>
      </c>
    </row>
    <row r="7820" spans="1:3" x14ac:dyDescent="0.25">
      <c r="A7820">
        <v>7819</v>
      </c>
      <c r="B7820" s="23">
        <v>96.8</v>
      </c>
      <c r="C7820" s="23">
        <v>0</v>
      </c>
    </row>
    <row r="7821" spans="1:3" x14ac:dyDescent="0.25">
      <c r="A7821">
        <v>7820</v>
      </c>
      <c r="B7821" s="23">
        <v>96.8</v>
      </c>
      <c r="C7821" s="23">
        <v>0</v>
      </c>
    </row>
    <row r="7822" spans="1:3" x14ac:dyDescent="0.25">
      <c r="A7822">
        <v>7821</v>
      </c>
      <c r="B7822" s="23">
        <v>96.540729499999998</v>
      </c>
      <c r="C7822" s="23">
        <v>0</v>
      </c>
    </row>
    <row r="7823" spans="1:3" x14ac:dyDescent="0.25">
      <c r="A7823">
        <v>7822</v>
      </c>
      <c r="B7823" s="23">
        <v>96.503927149999996</v>
      </c>
      <c r="C7823" s="23">
        <v>0</v>
      </c>
    </row>
    <row r="7824" spans="1:3" x14ac:dyDescent="0.25">
      <c r="A7824">
        <v>7823</v>
      </c>
      <c r="B7824" s="23">
        <v>96.444393840000004</v>
      </c>
      <c r="C7824" s="23">
        <v>0</v>
      </c>
    </row>
    <row r="7825" spans="1:3" x14ac:dyDescent="0.25">
      <c r="A7825">
        <v>7824</v>
      </c>
      <c r="B7825" s="23">
        <v>96.428456080000004</v>
      </c>
      <c r="C7825" s="23">
        <v>0</v>
      </c>
    </row>
    <row r="7826" spans="1:3" x14ac:dyDescent="0.25">
      <c r="A7826">
        <v>7825</v>
      </c>
      <c r="B7826" s="23">
        <v>96.423475530000005</v>
      </c>
      <c r="C7826" s="23">
        <v>0</v>
      </c>
    </row>
    <row r="7827" spans="1:3" x14ac:dyDescent="0.25">
      <c r="A7827">
        <v>7826</v>
      </c>
      <c r="B7827" s="23">
        <v>96.340334429999999</v>
      </c>
      <c r="C7827" s="23">
        <v>0</v>
      </c>
    </row>
    <row r="7828" spans="1:3" x14ac:dyDescent="0.25">
      <c r="A7828">
        <v>7827</v>
      </c>
      <c r="B7828" s="23">
        <v>96.007000000000005</v>
      </c>
      <c r="C7828" s="23">
        <v>0</v>
      </c>
    </row>
    <row r="7829" spans="1:3" x14ac:dyDescent="0.25">
      <c r="A7829">
        <v>7828</v>
      </c>
      <c r="B7829" s="23">
        <v>96</v>
      </c>
      <c r="C7829" s="23">
        <v>0</v>
      </c>
    </row>
    <row r="7830" spans="1:3" x14ac:dyDescent="0.25">
      <c r="A7830">
        <v>7829</v>
      </c>
      <c r="B7830" s="23">
        <v>96</v>
      </c>
      <c r="C7830" s="23">
        <v>0</v>
      </c>
    </row>
    <row r="7831" spans="1:3" x14ac:dyDescent="0.25">
      <c r="A7831">
        <v>7830</v>
      </c>
      <c r="B7831" s="23">
        <v>96</v>
      </c>
      <c r="C7831" s="23">
        <v>0</v>
      </c>
    </row>
    <row r="7832" spans="1:3" x14ac:dyDescent="0.25">
      <c r="A7832">
        <v>7831</v>
      </c>
      <c r="B7832" s="23">
        <v>96</v>
      </c>
      <c r="C7832" s="23">
        <v>0</v>
      </c>
    </row>
    <row r="7833" spans="1:3" x14ac:dyDescent="0.25">
      <c r="A7833">
        <v>7832</v>
      </c>
      <c r="B7833" s="23">
        <v>96</v>
      </c>
      <c r="C7833" s="23">
        <v>0</v>
      </c>
    </row>
    <row r="7834" spans="1:3" x14ac:dyDescent="0.25">
      <c r="A7834">
        <v>7833</v>
      </c>
      <c r="B7834" s="23">
        <v>95.686097259999997</v>
      </c>
      <c r="C7834" s="23">
        <v>0</v>
      </c>
    </row>
    <row r="7835" spans="1:3" x14ac:dyDescent="0.25">
      <c r="A7835">
        <v>7834</v>
      </c>
      <c r="B7835" s="23">
        <v>95.633560070000001</v>
      </c>
      <c r="C7835" s="23">
        <v>0</v>
      </c>
    </row>
    <row r="7836" spans="1:3" x14ac:dyDescent="0.25">
      <c r="A7836">
        <v>7835</v>
      </c>
      <c r="B7836" s="23">
        <v>95.626587299999997</v>
      </c>
      <c r="C7836" s="23">
        <v>0</v>
      </c>
    </row>
    <row r="7837" spans="1:3" x14ac:dyDescent="0.25">
      <c r="A7837">
        <v>7836</v>
      </c>
      <c r="B7837" s="23">
        <v>95.617600830000001</v>
      </c>
      <c r="C7837" s="23">
        <v>0</v>
      </c>
    </row>
    <row r="7838" spans="1:3" x14ac:dyDescent="0.25">
      <c r="A7838">
        <v>7837</v>
      </c>
      <c r="B7838" s="23">
        <v>95.414806819999995</v>
      </c>
      <c r="C7838" s="23">
        <v>0</v>
      </c>
    </row>
    <row r="7839" spans="1:3" x14ac:dyDescent="0.25">
      <c r="A7839">
        <v>7838</v>
      </c>
      <c r="B7839" s="23">
        <v>95.361999999999995</v>
      </c>
      <c r="C7839" s="23">
        <v>0</v>
      </c>
    </row>
    <row r="7840" spans="1:3" x14ac:dyDescent="0.25">
      <c r="A7840">
        <v>7839</v>
      </c>
      <c r="B7840" s="23">
        <v>95.215000000000003</v>
      </c>
      <c r="C7840" s="23">
        <v>0</v>
      </c>
    </row>
    <row r="7841" spans="1:3" x14ac:dyDescent="0.25">
      <c r="A7841">
        <v>7840</v>
      </c>
      <c r="B7841" s="23">
        <v>95.2</v>
      </c>
      <c r="C7841" s="23">
        <v>0</v>
      </c>
    </row>
    <row r="7842" spans="1:3" x14ac:dyDescent="0.25">
      <c r="A7842">
        <v>7841</v>
      </c>
      <c r="B7842" s="23">
        <v>95.2</v>
      </c>
      <c r="C7842" s="23">
        <v>0</v>
      </c>
    </row>
    <row r="7843" spans="1:3" x14ac:dyDescent="0.25">
      <c r="A7843">
        <v>7842</v>
      </c>
      <c r="B7843" s="23">
        <v>95.2</v>
      </c>
      <c r="C7843" s="23">
        <v>0</v>
      </c>
    </row>
    <row r="7844" spans="1:3" x14ac:dyDescent="0.25">
      <c r="A7844">
        <v>7843</v>
      </c>
      <c r="B7844" s="23">
        <v>95.2</v>
      </c>
      <c r="C7844" s="23">
        <v>0</v>
      </c>
    </row>
    <row r="7845" spans="1:3" x14ac:dyDescent="0.25">
      <c r="A7845">
        <v>7844</v>
      </c>
      <c r="B7845" s="23">
        <v>95.06</v>
      </c>
      <c r="C7845" s="23">
        <v>0</v>
      </c>
    </row>
    <row r="7846" spans="1:3" x14ac:dyDescent="0.25">
      <c r="A7846">
        <v>7845</v>
      </c>
      <c r="B7846" s="23">
        <v>94.991068940000005</v>
      </c>
      <c r="C7846" s="23">
        <v>0</v>
      </c>
    </row>
    <row r="7847" spans="1:3" x14ac:dyDescent="0.25">
      <c r="A7847">
        <v>7846</v>
      </c>
      <c r="B7847" s="23">
        <v>94.896000000000001</v>
      </c>
      <c r="C7847" s="23">
        <v>0</v>
      </c>
    </row>
    <row r="7848" spans="1:3" x14ac:dyDescent="0.25">
      <c r="A7848">
        <v>7847</v>
      </c>
      <c r="B7848" s="23">
        <v>94.882080830000007</v>
      </c>
      <c r="C7848" s="23">
        <v>0</v>
      </c>
    </row>
    <row r="7849" spans="1:3" x14ac:dyDescent="0.25">
      <c r="A7849">
        <v>7848</v>
      </c>
      <c r="B7849" s="23">
        <v>94.868267369999998</v>
      </c>
      <c r="C7849" s="23">
        <v>0</v>
      </c>
    </row>
    <row r="7850" spans="1:3" x14ac:dyDescent="0.25">
      <c r="A7850">
        <v>7849</v>
      </c>
      <c r="B7850" s="23">
        <v>94.868267369999998</v>
      </c>
      <c r="C7850" s="23">
        <v>0</v>
      </c>
    </row>
    <row r="7851" spans="1:3" x14ac:dyDescent="0.25">
      <c r="A7851">
        <v>7850</v>
      </c>
      <c r="B7851" s="23">
        <v>94.868267369999998</v>
      </c>
      <c r="C7851" s="23">
        <v>0</v>
      </c>
    </row>
    <row r="7852" spans="1:3" x14ac:dyDescent="0.25">
      <c r="A7852">
        <v>7851</v>
      </c>
      <c r="B7852" s="23">
        <v>94.844640729999995</v>
      </c>
      <c r="C7852" s="23">
        <v>0</v>
      </c>
    </row>
    <row r="7853" spans="1:3" x14ac:dyDescent="0.25">
      <c r="A7853">
        <v>7852</v>
      </c>
      <c r="B7853" s="23">
        <v>94.829699070000004</v>
      </c>
      <c r="C7853" s="23">
        <v>0</v>
      </c>
    </row>
    <row r="7854" spans="1:3" x14ac:dyDescent="0.25">
      <c r="A7854">
        <v>7853</v>
      </c>
      <c r="B7854" s="23">
        <v>94.829699070000004</v>
      </c>
      <c r="C7854" s="23">
        <v>0</v>
      </c>
    </row>
    <row r="7855" spans="1:3" x14ac:dyDescent="0.25">
      <c r="A7855">
        <v>7854</v>
      </c>
      <c r="B7855" s="23">
        <v>94.790999999999997</v>
      </c>
      <c r="C7855" s="23">
        <v>0</v>
      </c>
    </row>
    <row r="7856" spans="1:3" x14ac:dyDescent="0.25">
      <c r="A7856">
        <v>7855</v>
      </c>
      <c r="B7856" s="23">
        <v>94.436000000000007</v>
      </c>
      <c r="C7856" s="23">
        <v>0</v>
      </c>
    </row>
    <row r="7857" spans="1:3" x14ac:dyDescent="0.25">
      <c r="A7857">
        <v>7856</v>
      </c>
      <c r="B7857" s="23">
        <v>94.4</v>
      </c>
      <c r="C7857" s="23">
        <v>0</v>
      </c>
    </row>
    <row r="7858" spans="1:3" x14ac:dyDescent="0.25">
      <c r="A7858">
        <v>7857</v>
      </c>
      <c r="B7858" s="23">
        <v>94.4</v>
      </c>
      <c r="C7858" s="23">
        <v>0</v>
      </c>
    </row>
    <row r="7859" spans="1:3" x14ac:dyDescent="0.25">
      <c r="A7859">
        <v>7858</v>
      </c>
      <c r="B7859" s="23">
        <v>94.4</v>
      </c>
      <c r="C7859" s="23">
        <v>0</v>
      </c>
    </row>
    <row r="7860" spans="1:3" x14ac:dyDescent="0.25">
      <c r="A7860">
        <v>7859</v>
      </c>
      <c r="B7860" s="23">
        <v>94.4</v>
      </c>
      <c r="C7860" s="23">
        <v>0</v>
      </c>
    </row>
    <row r="7861" spans="1:3" x14ac:dyDescent="0.25">
      <c r="A7861">
        <v>7860</v>
      </c>
      <c r="B7861" s="23">
        <v>94.4</v>
      </c>
      <c r="C7861" s="23">
        <v>0</v>
      </c>
    </row>
    <row r="7862" spans="1:3" x14ac:dyDescent="0.25">
      <c r="A7862">
        <v>7861</v>
      </c>
      <c r="B7862" s="23">
        <v>94.4</v>
      </c>
      <c r="C7862" s="23">
        <v>0</v>
      </c>
    </row>
    <row r="7863" spans="1:3" x14ac:dyDescent="0.25">
      <c r="A7863">
        <v>7862</v>
      </c>
      <c r="B7863" s="23">
        <v>94.4</v>
      </c>
      <c r="C7863" s="23">
        <v>0</v>
      </c>
    </row>
    <row r="7864" spans="1:3" x14ac:dyDescent="0.25">
      <c r="A7864">
        <v>7863</v>
      </c>
      <c r="B7864" s="23">
        <v>94.4</v>
      </c>
      <c r="C7864" s="23">
        <v>0</v>
      </c>
    </row>
    <row r="7865" spans="1:3" x14ac:dyDescent="0.25">
      <c r="A7865">
        <v>7864</v>
      </c>
      <c r="B7865" s="23">
        <v>94.4</v>
      </c>
      <c r="C7865" s="23">
        <v>0</v>
      </c>
    </row>
    <row r="7866" spans="1:3" x14ac:dyDescent="0.25">
      <c r="A7866">
        <v>7865</v>
      </c>
      <c r="B7866" s="23">
        <v>94.146560820000005</v>
      </c>
      <c r="C7866" s="23">
        <v>0</v>
      </c>
    </row>
    <row r="7867" spans="1:3" x14ac:dyDescent="0.25">
      <c r="A7867">
        <v>7866</v>
      </c>
      <c r="B7867" s="23">
        <v>94.146560820000005</v>
      </c>
      <c r="C7867" s="23">
        <v>0</v>
      </c>
    </row>
    <row r="7868" spans="1:3" x14ac:dyDescent="0.25">
      <c r="A7868">
        <v>7867</v>
      </c>
      <c r="B7868" s="23">
        <v>94.05</v>
      </c>
      <c r="C7868" s="23">
        <v>0</v>
      </c>
    </row>
    <row r="7869" spans="1:3" x14ac:dyDescent="0.25">
      <c r="A7869">
        <v>7868</v>
      </c>
      <c r="B7869" s="23">
        <v>94.032810850000004</v>
      </c>
      <c r="C7869" s="23">
        <v>0</v>
      </c>
    </row>
    <row r="7870" spans="1:3" x14ac:dyDescent="0.25">
      <c r="A7870">
        <v>7869</v>
      </c>
      <c r="B7870" s="23">
        <v>94.032810850000004</v>
      </c>
      <c r="C7870" s="23">
        <v>0</v>
      </c>
    </row>
    <row r="7871" spans="1:3" x14ac:dyDescent="0.25">
      <c r="A7871">
        <v>7870</v>
      </c>
      <c r="B7871" s="23">
        <v>94.032810850000004</v>
      </c>
      <c r="C7871" s="23">
        <v>0</v>
      </c>
    </row>
    <row r="7872" spans="1:3" x14ac:dyDescent="0.25">
      <c r="A7872">
        <v>7871</v>
      </c>
      <c r="B7872" s="23">
        <v>94.032810850000004</v>
      </c>
      <c r="C7872" s="23">
        <v>0</v>
      </c>
    </row>
    <row r="7873" spans="1:3" x14ac:dyDescent="0.25">
      <c r="A7873">
        <v>7872</v>
      </c>
      <c r="B7873" s="23">
        <v>94.032810850000004</v>
      </c>
      <c r="C7873" s="23">
        <v>0</v>
      </c>
    </row>
    <row r="7874" spans="1:3" x14ac:dyDescent="0.25">
      <c r="A7874">
        <v>7873</v>
      </c>
      <c r="B7874" s="23">
        <v>94.009519890000007</v>
      </c>
      <c r="C7874" s="23">
        <v>0</v>
      </c>
    </row>
    <row r="7875" spans="1:3" x14ac:dyDescent="0.25">
      <c r="A7875">
        <v>7874</v>
      </c>
      <c r="B7875" s="23">
        <v>93.6</v>
      </c>
      <c r="C7875" s="23">
        <v>0</v>
      </c>
    </row>
    <row r="7876" spans="1:3" x14ac:dyDescent="0.25">
      <c r="A7876">
        <v>7875</v>
      </c>
      <c r="B7876" s="23">
        <v>93.6</v>
      </c>
      <c r="C7876" s="23">
        <v>0</v>
      </c>
    </row>
    <row r="7877" spans="1:3" x14ac:dyDescent="0.25">
      <c r="A7877">
        <v>7876</v>
      </c>
      <c r="B7877" s="23">
        <v>93.6</v>
      </c>
      <c r="C7877" s="23">
        <v>0</v>
      </c>
    </row>
    <row r="7878" spans="1:3" x14ac:dyDescent="0.25">
      <c r="A7878">
        <v>7877</v>
      </c>
      <c r="B7878" s="23">
        <v>93.6</v>
      </c>
      <c r="C7878" s="23">
        <v>0</v>
      </c>
    </row>
    <row r="7879" spans="1:3" x14ac:dyDescent="0.25">
      <c r="A7879">
        <v>7878</v>
      </c>
      <c r="B7879" s="23">
        <v>93.6</v>
      </c>
      <c r="C7879" s="23">
        <v>0</v>
      </c>
    </row>
    <row r="7880" spans="1:3" x14ac:dyDescent="0.25">
      <c r="A7880">
        <v>7879</v>
      </c>
      <c r="B7880" s="23">
        <v>93.6</v>
      </c>
      <c r="C7880" s="23">
        <v>0</v>
      </c>
    </row>
    <row r="7881" spans="1:3" x14ac:dyDescent="0.25">
      <c r="A7881">
        <v>7880</v>
      </c>
      <c r="B7881" s="23">
        <v>93.6</v>
      </c>
      <c r="C7881" s="23">
        <v>0</v>
      </c>
    </row>
    <row r="7882" spans="1:3" x14ac:dyDescent="0.25">
      <c r="A7882">
        <v>7881</v>
      </c>
      <c r="B7882" s="23">
        <v>93.6</v>
      </c>
      <c r="C7882" s="23">
        <v>0</v>
      </c>
    </row>
    <row r="7883" spans="1:3" x14ac:dyDescent="0.25">
      <c r="A7883">
        <v>7882</v>
      </c>
      <c r="B7883" s="23">
        <v>93.6</v>
      </c>
      <c r="C7883" s="23">
        <v>0</v>
      </c>
    </row>
    <row r="7884" spans="1:3" x14ac:dyDescent="0.25">
      <c r="A7884">
        <v>7883</v>
      </c>
      <c r="B7884" s="23">
        <v>93.6</v>
      </c>
      <c r="C7884" s="23">
        <v>0</v>
      </c>
    </row>
    <row r="7885" spans="1:3" x14ac:dyDescent="0.25">
      <c r="A7885">
        <v>7884</v>
      </c>
      <c r="B7885" s="23">
        <v>93.6</v>
      </c>
      <c r="C7885" s="23">
        <v>0</v>
      </c>
    </row>
    <row r="7886" spans="1:3" x14ac:dyDescent="0.25">
      <c r="A7886">
        <v>7885</v>
      </c>
      <c r="B7886" s="23">
        <v>93.6</v>
      </c>
      <c r="C7886" s="23">
        <v>0</v>
      </c>
    </row>
    <row r="7887" spans="1:3" x14ac:dyDescent="0.25">
      <c r="A7887">
        <v>7886</v>
      </c>
      <c r="B7887" s="23">
        <v>93.6</v>
      </c>
      <c r="C7887" s="23">
        <v>0</v>
      </c>
    </row>
    <row r="7888" spans="1:3" x14ac:dyDescent="0.25">
      <c r="A7888">
        <v>7887</v>
      </c>
      <c r="B7888" s="23">
        <v>93.6</v>
      </c>
      <c r="C7888" s="23">
        <v>0</v>
      </c>
    </row>
    <row r="7889" spans="1:3" x14ac:dyDescent="0.25">
      <c r="A7889">
        <v>7888</v>
      </c>
      <c r="B7889" s="23">
        <v>93.6</v>
      </c>
      <c r="C7889" s="23">
        <v>0</v>
      </c>
    </row>
    <row r="7890" spans="1:3" x14ac:dyDescent="0.25">
      <c r="A7890">
        <v>7889</v>
      </c>
      <c r="B7890" s="23">
        <v>93.6</v>
      </c>
      <c r="C7890" s="23">
        <v>0</v>
      </c>
    </row>
    <row r="7891" spans="1:3" x14ac:dyDescent="0.25">
      <c r="A7891">
        <v>7890</v>
      </c>
      <c r="B7891" s="23">
        <v>93.6</v>
      </c>
      <c r="C7891" s="23">
        <v>0</v>
      </c>
    </row>
    <row r="7892" spans="1:3" x14ac:dyDescent="0.25">
      <c r="A7892">
        <v>7891</v>
      </c>
      <c r="B7892" s="23">
        <v>93.411040810000003</v>
      </c>
      <c r="C7892" s="23">
        <v>0</v>
      </c>
    </row>
    <row r="7893" spans="1:3" x14ac:dyDescent="0.25">
      <c r="A7893">
        <v>7892</v>
      </c>
      <c r="B7893" s="23">
        <v>93.411040810000003</v>
      </c>
      <c r="C7893" s="23">
        <v>0</v>
      </c>
    </row>
    <row r="7894" spans="1:3" x14ac:dyDescent="0.25">
      <c r="A7894">
        <v>7893</v>
      </c>
      <c r="B7894" s="23">
        <v>93.277000000000001</v>
      </c>
      <c r="C7894" s="23">
        <v>0</v>
      </c>
    </row>
    <row r="7895" spans="1:3" x14ac:dyDescent="0.25">
      <c r="A7895">
        <v>7894</v>
      </c>
      <c r="B7895" s="23">
        <v>93.235922619999997</v>
      </c>
      <c r="C7895" s="23">
        <v>0</v>
      </c>
    </row>
    <row r="7896" spans="1:3" x14ac:dyDescent="0.25">
      <c r="A7896">
        <v>7895</v>
      </c>
      <c r="B7896" s="23">
        <v>93.235922619999997</v>
      </c>
      <c r="C7896" s="23">
        <v>0</v>
      </c>
    </row>
    <row r="7897" spans="1:3" x14ac:dyDescent="0.25">
      <c r="A7897">
        <v>7896</v>
      </c>
      <c r="B7897" s="23">
        <v>93.235922619999997</v>
      </c>
      <c r="C7897" s="23">
        <v>0</v>
      </c>
    </row>
    <row r="7898" spans="1:3" x14ac:dyDescent="0.25">
      <c r="A7898">
        <v>7897</v>
      </c>
      <c r="B7898" s="23">
        <v>93.235922619999997</v>
      </c>
      <c r="C7898" s="23">
        <v>0</v>
      </c>
    </row>
    <row r="7899" spans="1:3" x14ac:dyDescent="0.25">
      <c r="A7899">
        <v>7898</v>
      </c>
      <c r="B7899" s="23">
        <v>93.235922619999997</v>
      </c>
      <c r="C7899" s="23">
        <v>0</v>
      </c>
    </row>
    <row r="7900" spans="1:3" x14ac:dyDescent="0.25">
      <c r="A7900">
        <v>7899</v>
      </c>
      <c r="B7900" s="23">
        <v>93.235922619999997</v>
      </c>
      <c r="C7900" s="23">
        <v>0</v>
      </c>
    </row>
    <row r="7901" spans="1:3" x14ac:dyDescent="0.25">
      <c r="A7901">
        <v>7900</v>
      </c>
      <c r="B7901" s="23">
        <v>93.235922619999997</v>
      </c>
      <c r="C7901" s="23">
        <v>0</v>
      </c>
    </row>
    <row r="7902" spans="1:3" x14ac:dyDescent="0.25">
      <c r="A7902">
        <v>7901</v>
      </c>
      <c r="B7902" s="23">
        <v>93.235922619999997</v>
      </c>
      <c r="C7902" s="23">
        <v>0</v>
      </c>
    </row>
    <row r="7903" spans="1:3" x14ac:dyDescent="0.25">
      <c r="A7903">
        <v>7902</v>
      </c>
      <c r="B7903" s="23">
        <v>93.235922619999997</v>
      </c>
      <c r="C7903" s="23">
        <v>0</v>
      </c>
    </row>
    <row r="7904" spans="1:3" x14ac:dyDescent="0.25">
      <c r="A7904">
        <v>7903</v>
      </c>
      <c r="B7904" s="23">
        <v>93.235922619999997</v>
      </c>
      <c r="C7904" s="23">
        <v>0</v>
      </c>
    </row>
    <row r="7905" spans="1:3" x14ac:dyDescent="0.25">
      <c r="A7905">
        <v>7904</v>
      </c>
      <c r="B7905" s="23">
        <v>93.232607590000001</v>
      </c>
      <c r="C7905" s="23">
        <v>0</v>
      </c>
    </row>
    <row r="7906" spans="1:3" x14ac:dyDescent="0.25">
      <c r="A7906">
        <v>7905</v>
      </c>
      <c r="B7906" s="23">
        <v>93.232607590000001</v>
      </c>
      <c r="C7906" s="23">
        <v>0</v>
      </c>
    </row>
    <row r="7907" spans="1:3" x14ac:dyDescent="0.25">
      <c r="A7907">
        <v>7906</v>
      </c>
      <c r="B7907" s="23">
        <v>93.232581710000005</v>
      </c>
      <c r="C7907" s="23">
        <v>0</v>
      </c>
    </row>
    <row r="7908" spans="1:3" x14ac:dyDescent="0.25">
      <c r="A7908">
        <v>7907</v>
      </c>
      <c r="B7908" s="23">
        <v>92.844690409999998</v>
      </c>
      <c r="C7908" s="23">
        <v>0</v>
      </c>
    </row>
    <row r="7909" spans="1:3" x14ac:dyDescent="0.25">
      <c r="A7909">
        <v>7908</v>
      </c>
      <c r="B7909" s="23">
        <v>92.8</v>
      </c>
      <c r="C7909" s="23">
        <v>0</v>
      </c>
    </row>
    <row r="7910" spans="1:3" x14ac:dyDescent="0.25">
      <c r="A7910">
        <v>7909</v>
      </c>
      <c r="B7910" s="23">
        <v>92.8</v>
      </c>
      <c r="C7910" s="23">
        <v>0</v>
      </c>
    </row>
    <row r="7911" spans="1:3" x14ac:dyDescent="0.25">
      <c r="A7911">
        <v>7910</v>
      </c>
      <c r="B7911" s="23">
        <v>92.8</v>
      </c>
      <c r="C7911" s="23">
        <v>0</v>
      </c>
    </row>
    <row r="7912" spans="1:3" x14ac:dyDescent="0.25">
      <c r="A7912">
        <v>7911</v>
      </c>
      <c r="B7912" s="23">
        <v>92.8</v>
      </c>
      <c r="C7912" s="23">
        <v>0</v>
      </c>
    </row>
    <row r="7913" spans="1:3" x14ac:dyDescent="0.25">
      <c r="A7913">
        <v>7912</v>
      </c>
      <c r="B7913" s="23">
        <v>92.8</v>
      </c>
      <c r="C7913" s="23">
        <v>0</v>
      </c>
    </row>
    <row r="7914" spans="1:3" x14ac:dyDescent="0.25">
      <c r="A7914">
        <v>7913</v>
      </c>
      <c r="B7914" s="23">
        <v>92.8</v>
      </c>
      <c r="C7914" s="23">
        <v>0</v>
      </c>
    </row>
    <row r="7915" spans="1:3" x14ac:dyDescent="0.25">
      <c r="A7915">
        <v>7914</v>
      </c>
      <c r="B7915" s="23">
        <v>92.8</v>
      </c>
      <c r="C7915" s="23">
        <v>0</v>
      </c>
    </row>
    <row r="7916" spans="1:3" x14ac:dyDescent="0.25">
      <c r="A7916">
        <v>7915</v>
      </c>
      <c r="B7916" s="23">
        <v>92.8</v>
      </c>
      <c r="C7916" s="23">
        <v>0</v>
      </c>
    </row>
    <row r="7917" spans="1:3" x14ac:dyDescent="0.25">
      <c r="A7917">
        <v>7916</v>
      </c>
      <c r="B7917" s="23">
        <v>92.8</v>
      </c>
      <c r="C7917" s="23">
        <v>0</v>
      </c>
    </row>
    <row r="7918" spans="1:3" x14ac:dyDescent="0.25">
      <c r="A7918">
        <v>7917</v>
      </c>
      <c r="B7918" s="23">
        <v>92.8</v>
      </c>
      <c r="C7918" s="23">
        <v>0</v>
      </c>
    </row>
    <row r="7919" spans="1:3" x14ac:dyDescent="0.25">
      <c r="A7919">
        <v>7918</v>
      </c>
      <c r="B7919" s="23">
        <v>92.8</v>
      </c>
      <c r="C7919" s="23">
        <v>0</v>
      </c>
    </row>
    <row r="7920" spans="1:3" x14ac:dyDescent="0.25">
      <c r="A7920">
        <v>7919</v>
      </c>
      <c r="B7920" s="23">
        <v>92.8</v>
      </c>
      <c r="C7920" s="23">
        <v>0</v>
      </c>
    </row>
    <row r="7921" spans="1:3" x14ac:dyDescent="0.25">
      <c r="A7921">
        <v>7920</v>
      </c>
      <c r="B7921" s="23">
        <v>92.707999999999998</v>
      </c>
      <c r="C7921" s="23">
        <v>0</v>
      </c>
    </row>
    <row r="7922" spans="1:3" x14ac:dyDescent="0.25">
      <c r="A7922">
        <v>7921</v>
      </c>
      <c r="B7922" s="23">
        <v>92.675520809999995</v>
      </c>
      <c r="C7922" s="23">
        <v>0</v>
      </c>
    </row>
    <row r="7923" spans="1:3" x14ac:dyDescent="0.25">
      <c r="A7923">
        <v>7922</v>
      </c>
      <c r="B7923" s="23">
        <v>92.675520809999995</v>
      </c>
      <c r="C7923" s="23">
        <v>0</v>
      </c>
    </row>
    <row r="7924" spans="1:3" x14ac:dyDescent="0.25">
      <c r="A7924">
        <v>7923</v>
      </c>
      <c r="B7924" s="23">
        <v>92.439034390000003</v>
      </c>
      <c r="C7924" s="23">
        <v>0</v>
      </c>
    </row>
    <row r="7925" spans="1:3" x14ac:dyDescent="0.25">
      <c r="A7925">
        <v>7924</v>
      </c>
      <c r="B7925" s="23">
        <v>92.439034390000003</v>
      </c>
      <c r="C7925" s="23">
        <v>0</v>
      </c>
    </row>
    <row r="7926" spans="1:3" x14ac:dyDescent="0.25">
      <c r="A7926">
        <v>7925</v>
      </c>
      <c r="B7926" s="23">
        <v>92.439034390000003</v>
      </c>
      <c r="C7926" s="23">
        <v>0</v>
      </c>
    </row>
    <row r="7927" spans="1:3" x14ac:dyDescent="0.25">
      <c r="A7927">
        <v>7926</v>
      </c>
      <c r="B7927" s="23">
        <v>92.439034390000003</v>
      </c>
      <c r="C7927" s="23">
        <v>0</v>
      </c>
    </row>
    <row r="7928" spans="1:3" x14ac:dyDescent="0.25">
      <c r="A7928">
        <v>7927</v>
      </c>
      <c r="B7928" s="23">
        <v>92.439034390000003</v>
      </c>
      <c r="C7928" s="23">
        <v>0</v>
      </c>
    </row>
    <row r="7929" spans="1:3" x14ac:dyDescent="0.25">
      <c r="A7929">
        <v>7928</v>
      </c>
      <c r="B7929" s="23">
        <v>92.439034390000003</v>
      </c>
      <c r="C7929" s="23">
        <v>0</v>
      </c>
    </row>
    <row r="7930" spans="1:3" x14ac:dyDescent="0.25">
      <c r="A7930">
        <v>7929</v>
      </c>
      <c r="B7930" s="23">
        <v>92.414777700000002</v>
      </c>
      <c r="C7930" s="23">
        <v>0</v>
      </c>
    </row>
    <row r="7931" spans="1:3" x14ac:dyDescent="0.25">
      <c r="A7931">
        <v>7930</v>
      </c>
      <c r="B7931" s="23">
        <v>92.414777700000002</v>
      </c>
      <c r="C7931" s="23">
        <v>0</v>
      </c>
    </row>
    <row r="7932" spans="1:3" x14ac:dyDescent="0.25">
      <c r="A7932">
        <v>7931</v>
      </c>
      <c r="B7932" s="23">
        <v>92.160407019999994</v>
      </c>
      <c r="C7932" s="23">
        <v>0</v>
      </c>
    </row>
    <row r="7933" spans="1:3" x14ac:dyDescent="0.25">
      <c r="A7933">
        <v>7932</v>
      </c>
      <c r="B7933" s="23">
        <v>92.13</v>
      </c>
      <c r="C7933" s="23">
        <v>0</v>
      </c>
    </row>
    <row r="7934" spans="1:3" x14ac:dyDescent="0.25">
      <c r="A7934">
        <v>7933</v>
      </c>
      <c r="B7934" s="23">
        <v>92</v>
      </c>
      <c r="C7934" s="23">
        <v>0</v>
      </c>
    </row>
    <row r="7935" spans="1:3" x14ac:dyDescent="0.25">
      <c r="A7935">
        <v>7934</v>
      </c>
      <c r="B7935" s="23">
        <v>92</v>
      </c>
      <c r="C7935" s="23">
        <v>0</v>
      </c>
    </row>
    <row r="7936" spans="1:3" x14ac:dyDescent="0.25">
      <c r="A7936">
        <v>7935</v>
      </c>
      <c r="B7936" s="23">
        <v>92</v>
      </c>
      <c r="C7936" s="23">
        <v>0</v>
      </c>
    </row>
    <row r="7937" spans="1:3" x14ac:dyDescent="0.25">
      <c r="A7937">
        <v>7936</v>
      </c>
      <c r="B7937" s="23">
        <v>92</v>
      </c>
      <c r="C7937" s="23">
        <v>0</v>
      </c>
    </row>
    <row r="7938" spans="1:3" x14ac:dyDescent="0.25">
      <c r="A7938">
        <v>7937</v>
      </c>
      <c r="B7938" s="23">
        <v>92</v>
      </c>
      <c r="C7938" s="23">
        <v>0</v>
      </c>
    </row>
    <row r="7939" spans="1:3" x14ac:dyDescent="0.25">
      <c r="A7939">
        <v>7938</v>
      </c>
      <c r="B7939" s="23">
        <v>91.951033600000002</v>
      </c>
      <c r="C7939" s="23">
        <v>0</v>
      </c>
    </row>
    <row r="7940" spans="1:3" x14ac:dyDescent="0.25">
      <c r="A7940">
        <v>7939</v>
      </c>
      <c r="B7940" s="23">
        <v>91.940000800000007</v>
      </c>
      <c r="C7940" s="23">
        <v>0</v>
      </c>
    </row>
    <row r="7941" spans="1:3" x14ac:dyDescent="0.25">
      <c r="A7941">
        <v>7940</v>
      </c>
      <c r="B7941" s="23">
        <v>91.940000800000007</v>
      </c>
      <c r="C7941" s="23">
        <v>0</v>
      </c>
    </row>
    <row r="7942" spans="1:3" x14ac:dyDescent="0.25">
      <c r="A7942">
        <v>7941</v>
      </c>
      <c r="B7942" s="23">
        <v>91.688953670000004</v>
      </c>
      <c r="C7942" s="23">
        <v>0</v>
      </c>
    </row>
    <row r="7943" spans="1:3" x14ac:dyDescent="0.25">
      <c r="A7943">
        <v>7942</v>
      </c>
      <c r="B7943" s="23">
        <v>91.676201539999994</v>
      </c>
      <c r="C7943" s="23">
        <v>0</v>
      </c>
    </row>
    <row r="7944" spans="1:3" x14ac:dyDescent="0.25">
      <c r="A7944">
        <v>7943</v>
      </c>
      <c r="B7944" s="23">
        <v>91.642146159999996</v>
      </c>
      <c r="C7944" s="23">
        <v>0</v>
      </c>
    </row>
    <row r="7945" spans="1:3" x14ac:dyDescent="0.25">
      <c r="A7945">
        <v>7944</v>
      </c>
      <c r="B7945" s="23">
        <v>91.642146159999996</v>
      </c>
      <c r="C7945" s="23">
        <v>0</v>
      </c>
    </row>
    <row r="7946" spans="1:3" x14ac:dyDescent="0.25">
      <c r="A7946">
        <v>7945</v>
      </c>
      <c r="B7946" s="23">
        <v>91.596947799999995</v>
      </c>
      <c r="C7946" s="23">
        <v>0</v>
      </c>
    </row>
    <row r="7947" spans="1:3" x14ac:dyDescent="0.25">
      <c r="A7947">
        <v>7946</v>
      </c>
      <c r="B7947" s="23">
        <v>91.596947799999995</v>
      </c>
      <c r="C7947" s="23">
        <v>0</v>
      </c>
    </row>
    <row r="7948" spans="1:3" x14ac:dyDescent="0.25">
      <c r="A7948">
        <v>7947</v>
      </c>
      <c r="B7948" s="23">
        <v>91.204480799999999</v>
      </c>
      <c r="C7948" s="23">
        <v>0</v>
      </c>
    </row>
    <row r="7949" spans="1:3" x14ac:dyDescent="0.25">
      <c r="A7949">
        <v>7948</v>
      </c>
      <c r="B7949" s="23">
        <v>91.204480799999999</v>
      </c>
      <c r="C7949" s="23">
        <v>0</v>
      </c>
    </row>
    <row r="7950" spans="1:3" x14ac:dyDescent="0.25">
      <c r="A7950">
        <v>7949</v>
      </c>
      <c r="B7950" s="23">
        <v>91.2</v>
      </c>
      <c r="C7950" s="23">
        <v>0</v>
      </c>
    </row>
    <row r="7951" spans="1:3" x14ac:dyDescent="0.25">
      <c r="A7951">
        <v>7950</v>
      </c>
      <c r="B7951" s="23">
        <v>91.2</v>
      </c>
      <c r="C7951" s="23">
        <v>0</v>
      </c>
    </row>
    <row r="7952" spans="1:3" x14ac:dyDescent="0.25">
      <c r="A7952">
        <v>7951</v>
      </c>
      <c r="B7952" s="23">
        <v>91.2</v>
      </c>
      <c r="C7952" s="23">
        <v>0</v>
      </c>
    </row>
    <row r="7953" spans="1:3" x14ac:dyDescent="0.25">
      <c r="A7953">
        <v>7952</v>
      </c>
      <c r="B7953" s="23">
        <v>91.2</v>
      </c>
      <c r="C7953" s="23">
        <v>0</v>
      </c>
    </row>
    <row r="7954" spans="1:3" x14ac:dyDescent="0.25">
      <c r="A7954">
        <v>7953</v>
      </c>
      <c r="B7954" s="23">
        <v>91.2</v>
      </c>
      <c r="C7954" s="23">
        <v>0</v>
      </c>
    </row>
    <row r="7955" spans="1:3" x14ac:dyDescent="0.25">
      <c r="A7955">
        <v>7954</v>
      </c>
      <c r="B7955" s="23">
        <v>91.2</v>
      </c>
      <c r="C7955" s="23">
        <v>0</v>
      </c>
    </row>
    <row r="7956" spans="1:3" x14ac:dyDescent="0.25">
      <c r="A7956">
        <v>7955</v>
      </c>
      <c r="B7956" s="23">
        <v>91.2</v>
      </c>
      <c r="C7956" s="23">
        <v>0</v>
      </c>
    </row>
    <row r="7957" spans="1:3" x14ac:dyDescent="0.25">
      <c r="A7957">
        <v>7956</v>
      </c>
      <c r="B7957" s="23">
        <v>91.2</v>
      </c>
      <c r="C7957" s="23">
        <v>0</v>
      </c>
    </row>
    <row r="7958" spans="1:3" x14ac:dyDescent="0.25">
      <c r="A7958">
        <v>7957</v>
      </c>
      <c r="B7958" s="23">
        <v>91.2</v>
      </c>
      <c r="C7958" s="23">
        <v>0</v>
      </c>
    </row>
    <row r="7959" spans="1:3" x14ac:dyDescent="0.25">
      <c r="A7959">
        <v>7958</v>
      </c>
      <c r="B7959" s="23">
        <v>91.2</v>
      </c>
      <c r="C7959" s="23">
        <v>0</v>
      </c>
    </row>
    <row r="7960" spans="1:3" x14ac:dyDescent="0.25">
      <c r="A7960">
        <v>7959</v>
      </c>
      <c r="B7960" s="23">
        <v>91.2</v>
      </c>
      <c r="C7960" s="23">
        <v>0</v>
      </c>
    </row>
    <row r="7961" spans="1:3" x14ac:dyDescent="0.25">
      <c r="A7961">
        <v>7960</v>
      </c>
      <c r="B7961" s="23">
        <v>91.2</v>
      </c>
      <c r="C7961" s="23">
        <v>0</v>
      </c>
    </row>
    <row r="7962" spans="1:3" x14ac:dyDescent="0.25">
      <c r="A7962">
        <v>7961</v>
      </c>
      <c r="B7962" s="23">
        <v>91.2</v>
      </c>
      <c r="C7962" s="23">
        <v>0</v>
      </c>
    </row>
    <row r="7963" spans="1:3" x14ac:dyDescent="0.25">
      <c r="A7963">
        <v>7962</v>
      </c>
      <c r="B7963" s="23">
        <v>91.2</v>
      </c>
      <c r="C7963" s="23">
        <v>0</v>
      </c>
    </row>
    <row r="7964" spans="1:3" x14ac:dyDescent="0.25">
      <c r="A7964">
        <v>7963</v>
      </c>
      <c r="B7964" s="23">
        <v>91.2</v>
      </c>
      <c r="C7964" s="23">
        <v>0</v>
      </c>
    </row>
    <row r="7965" spans="1:3" x14ac:dyDescent="0.25">
      <c r="A7965">
        <v>7964</v>
      </c>
      <c r="B7965" s="23">
        <v>91.2</v>
      </c>
      <c r="C7965" s="23">
        <v>0</v>
      </c>
    </row>
    <row r="7966" spans="1:3" x14ac:dyDescent="0.25">
      <c r="A7966">
        <v>7965</v>
      </c>
      <c r="B7966" s="23">
        <v>91.170275579999995</v>
      </c>
      <c r="C7966" s="23">
        <v>0</v>
      </c>
    </row>
    <row r="7967" spans="1:3" x14ac:dyDescent="0.25">
      <c r="A7967">
        <v>7966</v>
      </c>
      <c r="B7967" s="23">
        <v>90.852560990000001</v>
      </c>
      <c r="C7967" s="23">
        <v>0</v>
      </c>
    </row>
    <row r="7968" spans="1:3" x14ac:dyDescent="0.25">
      <c r="A7968">
        <v>7967</v>
      </c>
      <c r="B7968" s="23">
        <v>90.845257939999996</v>
      </c>
      <c r="C7968" s="23">
        <v>0</v>
      </c>
    </row>
    <row r="7969" spans="1:3" x14ac:dyDescent="0.25">
      <c r="A7969">
        <v>7968</v>
      </c>
      <c r="B7969" s="23">
        <v>90.845257939999996</v>
      </c>
      <c r="C7969" s="23">
        <v>0</v>
      </c>
    </row>
    <row r="7970" spans="1:3" x14ac:dyDescent="0.25">
      <c r="A7970">
        <v>7969</v>
      </c>
      <c r="B7970" s="23">
        <v>90.845257939999996</v>
      </c>
      <c r="C7970" s="23">
        <v>0</v>
      </c>
    </row>
    <row r="7971" spans="1:3" x14ac:dyDescent="0.25">
      <c r="A7971">
        <v>7970</v>
      </c>
      <c r="B7971" s="23">
        <v>90.845257939999996</v>
      </c>
      <c r="C7971" s="23">
        <v>0</v>
      </c>
    </row>
    <row r="7972" spans="1:3" x14ac:dyDescent="0.25">
      <c r="A7972">
        <v>7971</v>
      </c>
      <c r="B7972" s="23">
        <v>90.845257939999996</v>
      </c>
      <c r="C7972" s="23">
        <v>0</v>
      </c>
    </row>
    <row r="7973" spans="1:3" x14ac:dyDescent="0.25">
      <c r="A7973">
        <v>7972</v>
      </c>
      <c r="B7973" s="23">
        <v>90.845257939999996</v>
      </c>
      <c r="C7973" s="23">
        <v>0</v>
      </c>
    </row>
    <row r="7974" spans="1:3" x14ac:dyDescent="0.25">
      <c r="A7974">
        <v>7973</v>
      </c>
      <c r="B7974" s="23">
        <v>90.638000000000005</v>
      </c>
      <c r="C7974" s="23">
        <v>0</v>
      </c>
    </row>
    <row r="7975" spans="1:3" x14ac:dyDescent="0.25">
      <c r="A7975">
        <v>7974</v>
      </c>
      <c r="B7975" s="23">
        <v>90.468960789999997</v>
      </c>
      <c r="C7975" s="23">
        <v>0</v>
      </c>
    </row>
    <row r="7976" spans="1:3" x14ac:dyDescent="0.25">
      <c r="A7976">
        <v>7975</v>
      </c>
      <c r="B7976" s="23">
        <v>90.468960789999997</v>
      </c>
      <c r="C7976" s="23">
        <v>0</v>
      </c>
    </row>
    <row r="7977" spans="1:3" x14ac:dyDescent="0.25">
      <c r="A7977">
        <v>7976</v>
      </c>
      <c r="B7977" s="23">
        <v>90.454999999999998</v>
      </c>
      <c r="C7977" s="23">
        <v>0</v>
      </c>
    </row>
    <row r="7978" spans="1:3" x14ac:dyDescent="0.25">
      <c r="A7978">
        <v>7977</v>
      </c>
      <c r="B7978" s="23">
        <v>90.4</v>
      </c>
      <c r="C7978" s="23">
        <v>0</v>
      </c>
    </row>
    <row r="7979" spans="1:3" x14ac:dyDescent="0.25">
      <c r="A7979">
        <v>7978</v>
      </c>
      <c r="B7979" s="23">
        <v>90.4</v>
      </c>
      <c r="C7979" s="23">
        <v>0</v>
      </c>
    </row>
    <row r="7980" spans="1:3" x14ac:dyDescent="0.25">
      <c r="A7980">
        <v>7979</v>
      </c>
      <c r="B7980" s="23">
        <v>90.4</v>
      </c>
      <c r="C7980" s="23">
        <v>0</v>
      </c>
    </row>
    <row r="7981" spans="1:3" x14ac:dyDescent="0.25">
      <c r="A7981">
        <v>7980</v>
      </c>
      <c r="B7981" s="23">
        <v>90.4</v>
      </c>
      <c r="C7981" s="23">
        <v>0</v>
      </c>
    </row>
    <row r="7982" spans="1:3" x14ac:dyDescent="0.25">
      <c r="A7982">
        <v>7981</v>
      </c>
      <c r="B7982" s="23">
        <v>90.4</v>
      </c>
      <c r="C7982" s="23">
        <v>0</v>
      </c>
    </row>
    <row r="7983" spans="1:3" x14ac:dyDescent="0.25">
      <c r="A7983">
        <v>7982</v>
      </c>
      <c r="B7983" s="23">
        <v>90.093000000000004</v>
      </c>
      <c r="C7983" s="23">
        <v>0</v>
      </c>
    </row>
    <row r="7984" spans="1:3" x14ac:dyDescent="0.25">
      <c r="A7984">
        <v>7983</v>
      </c>
      <c r="B7984" s="23">
        <v>90.048369710000003</v>
      </c>
      <c r="C7984" s="23">
        <v>0</v>
      </c>
    </row>
    <row r="7985" spans="1:3" x14ac:dyDescent="0.25">
      <c r="A7985">
        <v>7984</v>
      </c>
      <c r="B7985" s="23">
        <v>90.048369710000003</v>
      </c>
      <c r="C7985" s="23">
        <v>0</v>
      </c>
    </row>
    <row r="7986" spans="1:3" x14ac:dyDescent="0.25">
      <c r="A7986">
        <v>7985</v>
      </c>
      <c r="B7986" s="23">
        <v>90.035481090000005</v>
      </c>
      <c r="C7986" s="23">
        <v>0</v>
      </c>
    </row>
    <row r="7987" spans="1:3" x14ac:dyDescent="0.25">
      <c r="A7987">
        <v>7986</v>
      </c>
      <c r="B7987" s="23">
        <v>90.021150230000003</v>
      </c>
      <c r="C7987" s="23">
        <v>0</v>
      </c>
    </row>
    <row r="7988" spans="1:3" x14ac:dyDescent="0.25">
      <c r="A7988">
        <v>7987</v>
      </c>
      <c r="B7988" s="23">
        <v>89.771142569999995</v>
      </c>
      <c r="C7988" s="23">
        <v>0</v>
      </c>
    </row>
    <row r="7989" spans="1:3" x14ac:dyDescent="0.25">
      <c r="A7989">
        <v>7988</v>
      </c>
      <c r="B7989" s="23">
        <v>89.742563849999996</v>
      </c>
      <c r="C7989" s="23">
        <v>0</v>
      </c>
    </row>
    <row r="7990" spans="1:3" x14ac:dyDescent="0.25">
      <c r="A7990">
        <v>7989</v>
      </c>
      <c r="B7990" s="23">
        <v>89.69</v>
      </c>
      <c r="C7990" s="23">
        <v>0</v>
      </c>
    </row>
    <row r="7991" spans="1:3" x14ac:dyDescent="0.25">
      <c r="A7991">
        <v>7990</v>
      </c>
      <c r="B7991" s="23">
        <v>89.626000000000005</v>
      </c>
      <c r="C7991" s="23">
        <v>0</v>
      </c>
    </row>
    <row r="7992" spans="1:3" x14ac:dyDescent="0.25">
      <c r="A7992">
        <v>7991</v>
      </c>
      <c r="B7992" s="23">
        <v>89.61</v>
      </c>
      <c r="C7992" s="23">
        <v>0</v>
      </c>
    </row>
    <row r="7993" spans="1:3" x14ac:dyDescent="0.25">
      <c r="A7993">
        <v>7992</v>
      </c>
      <c r="B7993" s="23">
        <v>89.6</v>
      </c>
      <c r="C7993" s="23">
        <v>0</v>
      </c>
    </row>
    <row r="7994" spans="1:3" x14ac:dyDescent="0.25">
      <c r="A7994">
        <v>7993</v>
      </c>
      <c r="B7994" s="23">
        <v>89.6</v>
      </c>
      <c r="C7994" s="23">
        <v>0</v>
      </c>
    </row>
    <row r="7995" spans="1:3" x14ac:dyDescent="0.25">
      <c r="A7995">
        <v>7994</v>
      </c>
      <c r="B7995" s="23">
        <v>89.6</v>
      </c>
      <c r="C7995" s="23">
        <v>0</v>
      </c>
    </row>
    <row r="7996" spans="1:3" x14ac:dyDescent="0.25">
      <c r="A7996">
        <v>7995</v>
      </c>
      <c r="B7996" s="23">
        <v>89.6</v>
      </c>
      <c r="C7996" s="23">
        <v>0</v>
      </c>
    </row>
    <row r="7997" spans="1:3" x14ac:dyDescent="0.25">
      <c r="A7997">
        <v>7996</v>
      </c>
      <c r="B7997" s="23">
        <v>89.6</v>
      </c>
      <c r="C7997" s="23">
        <v>0</v>
      </c>
    </row>
    <row r="7998" spans="1:3" x14ac:dyDescent="0.25">
      <c r="A7998">
        <v>7997</v>
      </c>
      <c r="B7998" s="23">
        <v>89.6</v>
      </c>
      <c r="C7998" s="23">
        <v>0</v>
      </c>
    </row>
    <row r="7999" spans="1:3" x14ac:dyDescent="0.25">
      <c r="A7999">
        <v>7998</v>
      </c>
      <c r="B7999" s="23">
        <v>89.6</v>
      </c>
      <c r="C7999" s="23">
        <v>0</v>
      </c>
    </row>
    <row r="8000" spans="1:3" x14ac:dyDescent="0.25">
      <c r="A8000">
        <v>7999</v>
      </c>
      <c r="B8000" s="23">
        <v>89.6</v>
      </c>
      <c r="C8000" s="23">
        <v>0</v>
      </c>
    </row>
    <row r="8001" spans="1:3" x14ac:dyDescent="0.25">
      <c r="A8001">
        <v>8000</v>
      </c>
      <c r="B8001" s="23">
        <v>89.6</v>
      </c>
      <c r="C8001" s="23">
        <v>0</v>
      </c>
    </row>
    <row r="8002" spans="1:3" x14ac:dyDescent="0.25">
      <c r="A8002">
        <v>8001</v>
      </c>
      <c r="B8002" s="23">
        <v>89.6</v>
      </c>
      <c r="C8002" s="23">
        <v>0</v>
      </c>
    </row>
    <row r="8003" spans="1:3" x14ac:dyDescent="0.25">
      <c r="A8003">
        <v>8002</v>
      </c>
      <c r="B8003" s="23">
        <v>89.6</v>
      </c>
      <c r="C8003" s="23">
        <v>0</v>
      </c>
    </row>
    <row r="8004" spans="1:3" x14ac:dyDescent="0.25">
      <c r="A8004">
        <v>8003</v>
      </c>
      <c r="B8004" s="23">
        <v>89.489000000000004</v>
      </c>
      <c r="C8004" s="23">
        <v>0</v>
      </c>
    </row>
    <row r="8005" spans="1:3" x14ac:dyDescent="0.25">
      <c r="A8005">
        <v>8004</v>
      </c>
      <c r="B8005" s="23">
        <v>89.474143260000005</v>
      </c>
      <c r="C8005" s="23">
        <v>0</v>
      </c>
    </row>
    <row r="8006" spans="1:3" x14ac:dyDescent="0.25">
      <c r="A8006">
        <v>8005</v>
      </c>
      <c r="B8006" s="23">
        <v>89.331999999999994</v>
      </c>
      <c r="C8006" s="23">
        <v>0</v>
      </c>
    </row>
    <row r="8007" spans="1:3" x14ac:dyDescent="0.25">
      <c r="A8007">
        <v>8006</v>
      </c>
      <c r="B8007" s="23">
        <v>89.251481479999995</v>
      </c>
      <c r="C8007" s="23">
        <v>0</v>
      </c>
    </row>
    <row r="8008" spans="1:3" x14ac:dyDescent="0.25">
      <c r="A8008">
        <v>8007</v>
      </c>
      <c r="B8008" s="23">
        <v>89.171999999999997</v>
      </c>
      <c r="C8008" s="23">
        <v>0</v>
      </c>
    </row>
    <row r="8009" spans="1:3" x14ac:dyDescent="0.25">
      <c r="A8009">
        <v>8008</v>
      </c>
      <c r="B8009" s="23">
        <v>89.143458129999999</v>
      </c>
      <c r="C8009" s="23">
        <v>0</v>
      </c>
    </row>
    <row r="8010" spans="1:3" x14ac:dyDescent="0.25">
      <c r="A8010">
        <v>8009</v>
      </c>
      <c r="B8010" s="23">
        <v>89.143458129999999</v>
      </c>
      <c r="C8010" s="23">
        <v>0</v>
      </c>
    </row>
    <row r="8011" spans="1:3" x14ac:dyDescent="0.25">
      <c r="A8011">
        <v>8010</v>
      </c>
      <c r="B8011" s="23">
        <v>89.120999999999995</v>
      </c>
      <c r="C8011" s="23">
        <v>0</v>
      </c>
    </row>
    <row r="8012" spans="1:3" x14ac:dyDescent="0.25">
      <c r="A8012">
        <v>8011</v>
      </c>
      <c r="B8012" s="23">
        <v>88.997920780000001</v>
      </c>
      <c r="C8012" s="23">
        <v>0</v>
      </c>
    </row>
    <row r="8013" spans="1:3" x14ac:dyDescent="0.25">
      <c r="A8013">
        <v>8012</v>
      </c>
      <c r="B8013" s="23">
        <v>88.997920780000001</v>
      </c>
      <c r="C8013" s="23">
        <v>0</v>
      </c>
    </row>
    <row r="8014" spans="1:3" x14ac:dyDescent="0.25">
      <c r="A8014">
        <v>8013</v>
      </c>
      <c r="B8014" s="23">
        <v>88.984523920000001</v>
      </c>
      <c r="C8014" s="23">
        <v>0</v>
      </c>
    </row>
    <row r="8015" spans="1:3" x14ac:dyDescent="0.25">
      <c r="A8015">
        <v>8014</v>
      </c>
      <c r="B8015" s="23">
        <v>88.8</v>
      </c>
      <c r="C8015" s="23">
        <v>0</v>
      </c>
    </row>
    <row r="8016" spans="1:3" x14ac:dyDescent="0.25">
      <c r="A8016">
        <v>8015</v>
      </c>
      <c r="B8016" s="23">
        <v>88.8</v>
      </c>
      <c r="C8016" s="23">
        <v>0</v>
      </c>
    </row>
    <row r="8017" spans="1:3" x14ac:dyDescent="0.25">
      <c r="A8017">
        <v>8016</v>
      </c>
      <c r="B8017" s="23">
        <v>88.8</v>
      </c>
      <c r="C8017" s="23">
        <v>0</v>
      </c>
    </row>
    <row r="8018" spans="1:3" x14ac:dyDescent="0.25">
      <c r="A8018">
        <v>8017</v>
      </c>
      <c r="B8018" s="23">
        <v>88.8</v>
      </c>
      <c r="C8018" s="23">
        <v>0</v>
      </c>
    </row>
    <row r="8019" spans="1:3" x14ac:dyDescent="0.25">
      <c r="A8019">
        <v>8018</v>
      </c>
      <c r="B8019" s="23">
        <v>88.8</v>
      </c>
      <c r="C8019" s="23">
        <v>0</v>
      </c>
    </row>
    <row r="8020" spans="1:3" x14ac:dyDescent="0.25">
      <c r="A8020">
        <v>8019</v>
      </c>
      <c r="B8020" s="23">
        <v>88.8</v>
      </c>
      <c r="C8020" s="23">
        <v>0</v>
      </c>
    </row>
    <row r="8021" spans="1:3" x14ac:dyDescent="0.25">
      <c r="A8021">
        <v>8020</v>
      </c>
      <c r="B8021" s="23">
        <v>88.673205940000003</v>
      </c>
      <c r="C8021" s="23">
        <v>0</v>
      </c>
    </row>
    <row r="8022" spans="1:3" x14ac:dyDescent="0.25">
      <c r="A8022">
        <v>8021</v>
      </c>
      <c r="B8022" s="23">
        <v>88.652000000000001</v>
      </c>
      <c r="C8022" s="23">
        <v>0</v>
      </c>
    </row>
    <row r="8023" spans="1:3" x14ac:dyDescent="0.25">
      <c r="A8023">
        <v>8022</v>
      </c>
      <c r="B8023" s="23">
        <v>88.61</v>
      </c>
      <c r="C8023" s="23">
        <v>0</v>
      </c>
    </row>
    <row r="8024" spans="1:3" x14ac:dyDescent="0.25">
      <c r="A8024">
        <v>8023</v>
      </c>
      <c r="B8024" s="23">
        <v>88.454593250000002</v>
      </c>
      <c r="C8024" s="23">
        <v>0</v>
      </c>
    </row>
    <row r="8025" spans="1:3" x14ac:dyDescent="0.25">
      <c r="A8025">
        <v>8024</v>
      </c>
      <c r="B8025" s="23">
        <v>88.454593250000002</v>
      </c>
      <c r="C8025" s="23">
        <v>0</v>
      </c>
    </row>
    <row r="8026" spans="1:3" x14ac:dyDescent="0.25">
      <c r="A8026">
        <v>8025</v>
      </c>
      <c r="B8026" s="23">
        <v>88.454593250000002</v>
      </c>
      <c r="C8026" s="23">
        <v>0</v>
      </c>
    </row>
    <row r="8027" spans="1:3" x14ac:dyDescent="0.25">
      <c r="A8027">
        <v>8026</v>
      </c>
      <c r="B8027" s="23">
        <v>88.454593250000002</v>
      </c>
      <c r="C8027" s="23">
        <v>0</v>
      </c>
    </row>
    <row r="8028" spans="1:3" x14ac:dyDescent="0.25">
      <c r="A8028">
        <v>8027</v>
      </c>
      <c r="B8028" s="23">
        <v>88.454593250000002</v>
      </c>
      <c r="C8028" s="23">
        <v>0</v>
      </c>
    </row>
    <row r="8029" spans="1:3" x14ac:dyDescent="0.25">
      <c r="A8029">
        <v>8028</v>
      </c>
      <c r="B8029" s="23">
        <v>88.363452870000003</v>
      </c>
      <c r="C8029" s="23">
        <v>0</v>
      </c>
    </row>
    <row r="8030" spans="1:3" x14ac:dyDescent="0.25">
      <c r="A8030">
        <v>8029</v>
      </c>
      <c r="B8030" s="23">
        <v>88.32562824</v>
      </c>
      <c r="C8030" s="23">
        <v>0</v>
      </c>
    </row>
    <row r="8031" spans="1:3" x14ac:dyDescent="0.25">
      <c r="A8031">
        <v>8030</v>
      </c>
      <c r="B8031" s="23">
        <v>88.32562824</v>
      </c>
      <c r="C8031" s="23">
        <v>0</v>
      </c>
    </row>
    <row r="8032" spans="1:3" x14ac:dyDescent="0.25">
      <c r="A8032">
        <v>8031</v>
      </c>
      <c r="B8032" s="23">
        <v>88.32562824</v>
      </c>
      <c r="C8032" s="23">
        <v>0</v>
      </c>
    </row>
    <row r="8033" spans="1:3" x14ac:dyDescent="0.25">
      <c r="A8033">
        <v>8032</v>
      </c>
      <c r="B8033" s="23">
        <v>88.32562824</v>
      </c>
      <c r="C8033" s="23">
        <v>0</v>
      </c>
    </row>
    <row r="8034" spans="1:3" x14ac:dyDescent="0.25">
      <c r="A8034">
        <v>8033</v>
      </c>
      <c r="B8034" s="23">
        <v>88.307168930000003</v>
      </c>
      <c r="C8034" s="23">
        <v>0</v>
      </c>
    </row>
    <row r="8035" spans="1:3" x14ac:dyDescent="0.25">
      <c r="A8035">
        <v>8034</v>
      </c>
      <c r="B8035" s="23">
        <v>88.307000000000002</v>
      </c>
      <c r="C8035" s="23">
        <v>0</v>
      </c>
    </row>
    <row r="8036" spans="1:3" x14ac:dyDescent="0.25">
      <c r="A8036">
        <v>8035</v>
      </c>
      <c r="B8036" s="23">
        <v>88.265332299999997</v>
      </c>
      <c r="C8036" s="23">
        <v>0</v>
      </c>
    </row>
    <row r="8037" spans="1:3" x14ac:dyDescent="0.25">
      <c r="A8037">
        <v>8036</v>
      </c>
      <c r="B8037" s="23">
        <v>88.263999999999996</v>
      </c>
      <c r="C8037" s="23">
        <v>0</v>
      </c>
    </row>
    <row r="8038" spans="1:3" x14ac:dyDescent="0.25">
      <c r="A8038">
        <v>8037</v>
      </c>
      <c r="B8038" s="23">
        <v>88.262400769999999</v>
      </c>
      <c r="C8038" s="23">
        <v>0</v>
      </c>
    </row>
    <row r="8039" spans="1:3" x14ac:dyDescent="0.25">
      <c r="A8039">
        <v>8038</v>
      </c>
      <c r="B8039" s="23">
        <v>88.262400769999999</v>
      </c>
      <c r="C8039" s="23">
        <v>0</v>
      </c>
    </row>
    <row r="8040" spans="1:3" x14ac:dyDescent="0.25">
      <c r="A8040">
        <v>8039</v>
      </c>
      <c r="B8040" s="23">
        <v>88.262</v>
      </c>
      <c r="C8040" s="23">
        <v>0</v>
      </c>
    </row>
    <row r="8041" spans="1:3" x14ac:dyDescent="0.25">
      <c r="A8041">
        <v>8040</v>
      </c>
      <c r="B8041" s="23">
        <v>88.18</v>
      </c>
      <c r="C8041" s="23">
        <v>0</v>
      </c>
    </row>
    <row r="8042" spans="1:3" x14ac:dyDescent="0.25">
      <c r="A8042">
        <v>8041</v>
      </c>
      <c r="B8042" s="23">
        <v>88.081999999999994</v>
      </c>
      <c r="C8042" s="23">
        <v>0</v>
      </c>
    </row>
    <row r="8043" spans="1:3" x14ac:dyDescent="0.25">
      <c r="A8043">
        <v>8042</v>
      </c>
      <c r="B8043" s="23">
        <v>88.025153549999999</v>
      </c>
      <c r="C8043" s="23">
        <v>0</v>
      </c>
    </row>
    <row r="8044" spans="1:3" x14ac:dyDescent="0.25">
      <c r="A8044">
        <v>8043</v>
      </c>
      <c r="B8044" s="23">
        <v>88</v>
      </c>
      <c r="C8044" s="23">
        <v>0</v>
      </c>
    </row>
    <row r="8045" spans="1:3" x14ac:dyDescent="0.25">
      <c r="A8045">
        <v>8044</v>
      </c>
      <c r="B8045" s="23">
        <v>88</v>
      </c>
      <c r="C8045" s="23">
        <v>0</v>
      </c>
    </row>
    <row r="8046" spans="1:3" x14ac:dyDescent="0.25">
      <c r="A8046">
        <v>8045</v>
      </c>
      <c r="B8046" s="23">
        <v>88</v>
      </c>
      <c r="C8046" s="23">
        <v>0</v>
      </c>
    </row>
    <row r="8047" spans="1:3" x14ac:dyDescent="0.25">
      <c r="A8047">
        <v>8046</v>
      </c>
      <c r="B8047" s="23">
        <v>88</v>
      </c>
      <c r="C8047" s="23">
        <v>0</v>
      </c>
    </row>
    <row r="8048" spans="1:3" x14ac:dyDescent="0.25">
      <c r="A8048">
        <v>8047</v>
      </c>
      <c r="B8048" s="23">
        <v>88</v>
      </c>
      <c r="C8048" s="23">
        <v>0</v>
      </c>
    </row>
    <row r="8049" spans="1:3" x14ac:dyDescent="0.25">
      <c r="A8049">
        <v>8048</v>
      </c>
      <c r="B8049" s="23">
        <v>88</v>
      </c>
      <c r="C8049" s="23">
        <v>0</v>
      </c>
    </row>
    <row r="8050" spans="1:3" x14ac:dyDescent="0.25">
      <c r="A8050">
        <v>8049</v>
      </c>
      <c r="B8050" s="23">
        <v>88</v>
      </c>
      <c r="C8050" s="23">
        <v>0</v>
      </c>
    </row>
    <row r="8051" spans="1:3" x14ac:dyDescent="0.25">
      <c r="A8051">
        <v>8050</v>
      </c>
      <c r="B8051" s="23">
        <v>88</v>
      </c>
      <c r="C8051" s="23">
        <v>0</v>
      </c>
    </row>
    <row r="8052" spans="1:3" x14ac:dyDescent="0.25">
      <c r="A8052">
        <v>8051</v>
      </c>
      <c r="B8052" s="23">
        <v>87.963510880000001</v>
      </c>
      <c r="C8052" s="23">
        <v>0</v>
      </c>
    </row>
    <row r="8053" spans="1:3" x14ac:dyDescent="0.25">
      <c r="A8053">
        <v>8052</v>
      </c>
      <c r="B8053" s="23">
        <v>87.886044670000004</v>
      </c>
      <c r="C8053" s="23">
        <v>0</v>
      </c>
    </row>
    <row r="8054" spans="1:3" x14ac:dyDescent="0.25">
      <c r="A8054">
        <v>8053</v>
      </c>
      <c r="B8054" s="23">
        <v>87.84742894</v>
      </c>
      <c r="C8054" s="23">
        <v>0</v>
      </c>
    </row>
    <row r="8055" spans="1:3" x14ac:dyDescent="0.25">
      <c r="A8055">
        <v>8054</v>
      </c>
      <c r="B8055" s="23">
        <v>87.813999999999993</v>
      </c>
      <c r="C8055" s="23">
        <v>0</v>
      </c>
    </row>
    <row r="8056" spans="1:3" x14ac:dyDescent="0.25">
      <c r="A8056">
        <v>8055</v>
      </c>
      <c r="B8056" s="23">
        <v>87.738</v>
      </c>
      <c r="C8056" s="23">
        <v>0</v>
      </c>
    </row>
    <row r="8057" spans="1:3" x14ac:dyDescent="0.25">
      <c r="A8057">
        <v>8056</v>
      </c>
      <c r="B8057" s="23">
        <v>87.682000000000002</v>
      </c>
      <c r="C8057" s="23">
        <v>0</v>
      </c>
    </row>
    <row r="8058" spans="1:3" x14ac:dyDescent="0.25">
      <c r="A8058">
        <v>8057</v>
      </c>
      <c r="B8058" s="23">
        <v>87.657705030000002</v>
      </c>
      <c r="C8058" s="23">
        <v>0</v>
      </c>
    </row>
    <row r="8059" spans="1:3" x14ac:dyDescent="0.25">
      <c r="A8059">
        <v>8058</v>
      </c>
      <c r="B8059" s="23">
        <v>87.657705030000002</v>
      </c>
      <c r="C8059" s="23">
        <v>0</v>
      </c>
    </row>
    <row r="8060" spans="1:3" x14ac:dyDescent="0.25">
      <c r="A8060">
        <v>8059</v>
      </c>
      <c r="B8060" s="23">
        <v>87.657705030000002</v>
      </c>
      <c r="C8060" s="23">
        <v>0</v>
      </c>
    </row>
    <row r="8061" spans="1:3" x14ac:dyDescent="0.25">
      <c r="A8061">
        <v>8060</v>
      </c>
      <c r="B8061" s="23">
        <v>87.657705030000002</v>
      </c>
      <c r="C8061" s="23">
        <v>0</v>
      </c>
    </row>
    <row r="8062" spans="1:3" x14ac:dyDescent="0.25">
      <c r="A8062">
        <v>8061</v>
      </c>
      <c r="B8062" s="23">
        <v>87.657705030000002</v>
      </c>
      <c r="C8062" s="23">
        <v>0</v>
      </c>
    </row>
    <row r="8063" spans="1:3" x14ac:dyDescent="0.25">
      <c r="A8063">
        <v>8062</v>
      </c>
      <c r="B8063" s="23">
        <v>87.657705030000002</v>
      </c>
      <c r="C8063" s="23">
        <v>0</v>
      </c>
    </row>
    <row r="8064" spans="1:3" x14ac:dyDescent="0.25">
      <c r="A8064">
        <v>8063</v>
      </c>
      <c r="B8064" s="23">
        <v>87.657705030000002</v>
      </c>
      <c r="C8064" s="23">
        <v>0</v>
      </c>
    </row>
    <row r="8065" spans="1:3" x14ac:dyDescent="0.25">
      <c r="A8065">
        <v>8064</v>
      </c>
      <c r="B8065" s="23">
        <v>87.641999999999996</v>
      </c>
      <c r="C8065" s="23">
        <v>0</v>
      </c>
    </row>
    <row r="8066" spans="1:3" x14ac:dyDescent="0.25">
      <c r="A8066">
        <v>8065</v>
      </c>
      <c r="B8066" s="23">
        <v>87.507798350000002</v>
      </c>
      <c r="C8066" s="23">
        <v>0</v>
      </c>
    </row>
    <row r="8067" spans="1:3" x14ac:dyDescent="0.25">
      <c r="A8067">
        <v>8066</v>
      </c>
      <c r="B8067" s="23">
        <v>87.355973710000001</v>
      </c>
      <c r="C8067" s="23">
        <v>0</v>
      </c>
    </row>
    <row r="8068" spans="1:3" x14ac:dyDescent="0.25">
      <c r="A8068">
        <v>8067</v>
      </c>
      <c r="B8068" s="23">
        <v>87.301097540000001</v>
      </c>
      <c r="C8068" s="23">
        <v>0</v>
      </c>
    </row>
    <row r="8069" spans="1:3" x14ac:dyDescent="0.25">
      <c r="A8069">
        <v>8068</v>
      </c>
      <c r="B8069" s="23">
        <v>87.2</v>
      </c>
      <c r="C8069" s="23">
        <v>0</v>
      </c>
    </row>
    <row r="8070" spans="1:3" x14ac:dyDescent="0.25">
      <c r="A8070">
        <v>8069</v>
      </c>
      <c r="B8070" s="23">
        <v>87.2</v>
      </c>
      <c r="C8070" s="23">
        <v>0</v>
      </c>
    </row>
    <row r="8071" spans="1:3" x14ac:dyDescent="0.25">
      <c r="A8071">
        <v>8070</v>
      </c>
      <c r="B8071" s="23">
        <v>87.2</v>
      </c>
      <c r="C8071" s="23">
        <v>0</v>
      </c>
    </row>
    <row r="8072" spans="1:3" x14ac:dyDescent="0.25">
      <c r="A8072">
        <v>8071</v>
      </c>
      <c r="B8072" s="23">
        <v>87.2</v>
      </c>
      <c r="C8072" s="23">
        <v>0</v>
      </c>
    </row>
    <row r="8073" spans="1:3" x14ac:dyDescent="0.25">
      <c r="A8073">
        <v>8072</v>
      </c>
      <c r="B8073" s="23">
        <v>87.2</v>
      </c>
      <c r="C8073" s="23">
        <v>0</v>
      </c>
    </row>
    <row r="8074" spans="1:3" x14ac:dyDescent="0.25">
      <c r="A8074">
        <v>8073</v>
      </c>
      <c r="B8074" s="23">
        <v>87.2</v>
      </c>
      <c r="C8074" s="23">
        <v>0</v>
      </c>
    </row>
    <row r="8075" spans="1:3" x14ac:dyDescent="0.25">
      <c r="A8075">
        <v>8074</v>
      </c>
      <c r="B8075" s="23">
        <v>87.2</v>
      </c>
      <c r="C8075" s="23">
        <v>0</v>
      </c>
    </row>
    <row r="8076" spans="1:3" x14ac:dyDescent="0.25">
      <c r="A8076">
        <v>8075</v>
      </c>
      <c r="B8076" s="23">
        <v>87.2</v>
      </c>
      <c r="C8076" s="23">
        <v>0</v>
      </c>
    </row>
    <row r="8077" spans="1:3" x14ac:dyDescent="0.25">
      <c r="A8077">
        <v>8076</v>
      </c>
      <c r="B8077" s="23">
        <v>87.2</v>
      </c>
      <c r="C8077" s="23">
        <v>0</v>
      </c>
    </row>
    <row r="8078" spans="1:3" x14ac:dyDescent="0.25">
      <c r="A8078">
        <v>8077</v>
      </c>
      <c r="B8078" s="23">
        <v>87.2</v>
      </c>
      <c r="C8078" s="23">
        <v>0</v>
      </c>
    </row>
    <row r="8079" spans="1:3" x14ac:dyDescent="0.25">
      <c r="A8079">
        <v>8078</v>
      </c>
      <c r="B8079" s="23">
        <v>87.2</v>
      </c>
      <c r="C8079" s="23">
        <v>0</v>
      </c>
    </row>
    <row r="8080" spans="1:3" x14ac:dyDescent="0.25">
      <c r="A8080">
        <v>8079</v>
      </c>
      <c r="B8080" s="23">
        <v>87.2</v>
      </c>
      <c r="C8080" s="23">
        <v>0</v>
      </c>
    </row>
    <row r="8081" spans="1:3" x14ac:dyDescent="0.25">
      <c r="A8081">
        <v>8080</v>
      </c>
      <c r="B8081" s="23">
        <v>87.2</v>
      </c>
      <c r="C8081" s="23">
        <v>0</v>
      </c>
    </row>
    <row r="8082" spans="1:3" x14ac:dyDescent="0.25">
      <c r="A8082">
        <v>8081</v>
      </c>
      <c r="B8082" s="23">
        <v>87.2</v>
      </c>
      <c r="C8082" s="23">
        <v>0</v>
      </c>
    </row>
    <row r="8083" spans="1:3" x14ac:dyDescent="0.25">
      <c r="A8083">
        <v>8082</v>
      </c>
      <c r="B8083" s="23">
        <v>87.2</v>
      </c>
      <c r="C8083" s="23">
        <v>0</v>
      </c>
    </row>
    <row r="8084" spans="1:3" x14ac:dyDescent="0.25">
      <c r="A8084">
        <v>8083</v>
      </c>
      <c r="B8084" s="23">
        <v>87.2</v>
      </c>
      <c r="C8084" s="23">
        <v>0</v>
      </c>
    </row>
    <row r="8085" spans="1:3" x14ac:dyDescent="0.25">
      <c r="A8085">
        <v>8084</v>
      </c>
      <c r="B8085" s="23">
        <v>87.088999999999999</v>
      </c>
      <c r="C8085" s="23">
        <v>0</v>
      </c>
    </row>
    <row r="8086" spans="1:3" x14ac:dyDescent="0.25">
      <c r="A8086">
        <v>8085</v>
      </c>
      <c r="B8086" s="23">
        <v>87.026172149999994</v>
      </c>
      <c r="C8086" s="23">
        <v>0</v>
      </c>
    </row>
    <row r="8087" spans="1:3" x14ac:dyDescent="0.25">
      <c r="A8087">
        <v>8086</v>
      </c>
      <c r="B8087" s="23">
        <v>86.909276090000006</v>
      </c>
      <c r="C8087" s="23">
        <v>0</v>
      </c>
    </row>
    <row r="8088" spans="1:3" x14ac:dyDescent="0.25">
      <c r="A8088">
        <v>8087</v>
      </c>
      <c r="B8088" s="23">
        <v>86.860816799999995</v>
      </c>
      <c r="C8088" s="23">
        <v>0</v>
      </c>
    </row>
    <row r="8089" spans="1:3" x14ac:dyDescent="0.25">
      <c r="A8089">
        <v>8088</v>
      </c>
      <c r="B8089" s="23">
        <v>86.860816799999995</v>
      </c>
      <c r="C8089" s="23">
        <v>0</v>
      </c>
    </row>
    <row r="8090" spans="1:3" x14ac:dyDescent="0.25">
      <c r="A8090">
        <v>8089</v>
      </c>
      <c r="B8090" s="23">
        <v>86.860816799999995</v>
      </c>
      <c r="C8090" s="23">
        <v>0</v>
      </c>
    </row>
    <row r="8091" spans="1:3" x14ac:dyDescent="0.25">
      <c r="A8091">
        <v>8090</v>
      </c>
      <c r="B8091" s="23">
        <v>86.860816799999995</v>
      </c>
      <c r="C8091" s="23">
        <v>0</v>
      </c>
    </row>
    <row r="8092" spans="1:3" x14ac:dyDescent="0.25">
      <c r="A8092">
        <v>8091</v>
      </c>
      <c r="B8092" s="23">
        <v>86.860816799999995</v>
      </c>
      <c r="C8092" s="23">
        <v>0</v>
      </c>
    </row>
    <row r="8093" spans="1:3" x14ac:dyDescent="0.25">
      <c r="A8093">
        <v>8092</v>
      </c>
      <c r="B8093" s="23">
        <v>86.860816799999995</v>
      </c>
      <c r="C8093" s="23">
        <v>0</v>
      </c>
    </row>
    <row r="8094" spans="1:3" x14ac:dyDescent="0.25">
      <c r="A8094">
        <v>8093</v>
      </c>
      <c r="B8094" s="23">
        <v>86.860816799999995</v>
      </c>
      <c r="C8094" s="23">
        <v>0</v>
      </c>
    </row>
    <row r="8095" spans="1:3" x14ac:dyDescent="0.25">
      <c r="A8095">
        <v>8094</v>
      </c>
      <c r="B8095" s="23">
        <v>86.860816799999995</v>
      </c>
      <c r="C8095" s="23">
        <v>0</v>
      </c>
    </row>
    <row r="8096" spans="1:3" x14ac:dyDescent="0.25">
      <c r="A8096">
        <v>8095</v>
      </c>
      <c r="B8096" s="23">
        <v>86.860816799999995</v>
      </c>
      <c r="C8096" s="23">
        <v>0</v>
      </c>
    </row>
    <row r="8097" spans="1:3" x14ac:dyDescent="0.25">
      <c r="A8097">
        <v>8096</v>
      </c>
      <c r="B8097" s="23">
        <v>86.860816799999995</v>
      </c>
      <c r="C8097" s="23">
        <v>0</v>
      </c>
    </row>
    <row r="8098" spans="1:3" x14ac:dyDescent="0.25">
      <c r="A8098">
        <v>8097</v>
      </c>
      <c r="B8098" s="23">
        <v>86.860816799999995</v>
      </c>
      <c r="C8098" s="23">
        <v>0</v>
      </c>
    </row>
    <row r="8099" spans="1:3" x14ac:dyDescent="0.25">
      <c r="A8099">
        <v>8098</v>
      </c>
      <c r="B8099" s="23">
        <v>86.860816799999995</v>
      </c>
      <c r="C8099" s="23">
        <v>0</v>
      </c>
    </row>
    <row r="8100" spans="1:3" x14ac:dyDescent="0.25">
      <c r="A8100">
        <v>8099</v>
      </c>
      <c r="B8100" s="23">
        <v>86.801000000000002</v>
      </c>
      <c r="C8100" s="23">
        <v>0</v>
      </c>
    </row>
    <row r="8101" spans="1:3" x14ac:dyDescent="0.25">
      <c r="A8101">
        <v>8100</v>
      </c>
      <c r="B8101" s="23">
        <v>86.791360760000003</v>
      </c>
      <c r="C8101" s="23">
        <v>0</v>
      </c>
    </row>
    <row r="8102" spans="1:3" x14ac:dyDescent="0.25">
      <c r="A8102">
        <v>8101</v>
      </c>
      <c r="B8102" s="23">
        <v>86.787000000000006</v>
      </c>
      <c r="C8102" s="23">
        <v>0</v>
      </c>
    </row>
    <row r="8103" spans="1:3" x14ac:dyDescent="0.25">
      <c r="A8103">
        <v>8102</v>
      </c>
      <c r="B8103" s="23">
        <v>86.784999999999997</v>
      </c>
      <c r="C8103" s="23">
        <v>0</v>
      </c>
    </row>
    <row r="8104" spans="1:3" x14ac:dyDescent="0.25">
      <c r="A8104">
        <v>8103</v>
      </c>
      <c r="B8104" s="23">
        <v>86.750248560000003</v>
      </c>
      <c r="C8104" s="23">
        <v>0</v>
      </c>
    </row>
    <row r="8105" spans="1:3" x14ac:dyDescent="0.25">
      <c r="A8105">
        <v>8104</v>
      </c>
      <c r="B8105" s="23">
        <v>86.74</v>
      </c>
      <c r="C8105" s="23">
        <v>0</v>
      </c>
    </row>
    <row r="8106" spans="1:3" x14ac:dyDescent="0.25">
      <c r="A8106">
        <v>8105</v>
      </c>
      <c r="B8106" s="23">
        <v>86.689968460000003</v>
      </c>
      <c r="C8106" s="23">
        <v>0</v>
      </c>
    </row>
    <row r="8107" spans="1:3" x14ac:dyDescent="0.25">
      <c r="A8107">
        <v>8106</v>
      </c>
      <c r="B8107" s="23">
        <v>86.689968460000003</v>
      </c>
      <c r="C8107" s="23">
        <v>0</v>
      </c>
    </row>
    <row r="8108" spans="1:3" x14ac:dyDescent="0.25">
      <c r="A8108">
        <v>8107</v>
      </c>
      <c r="B8108" s="23">
        <v>86.655000000000001</v>
      </c>
      <c r="C8108" s="23">
        <v>0</v>
      </c>
    </row>
    <row r="8109" spans="1:3" x14ac:dyDescent="0.25">
      <c r="A8109">
        <v>8108</v>
      </c>
      <c r="B8109" s="23">
        <v>86.617000000000004</v>
      </c>
      <c r="C8109" s="23">
        <v>0</v>
      </c>
    </row>
    <row r="8110" spans="1:3" x14ac:dyDescent="0.25">
      <c r="A8110">
        <v>8109</v>
      </c>
      <c r="B8110" s="23">
        <v>86.551884520000002</v>
      </c>
      <c r="C8110" s="23">
        <v>0</v>
      </c>
    </row>
    <row r="8111" spans="1:3" x14ac:dyDescent="0.25">
      <c r="A8111">
        <v>8110</v>
      </c>
      <c r="B8111" s="23">
        <v>86.449423249999995</v>
      </c>
      <c r="C8111" s="23">
        <v>0</v>
      </c>
    </row>
    <row r="8112" spans="1:3" x14ac:dyDescent="0.25">
      <c r="A8112">
        <v>8111</v>
      </c>
      <c r="B8112" s="23">
        <v>86.436999999999998</v>
      </c>
      <c r="C8112" s="23">
        <v>0</v>
      </c>
    </row>
    <row r="8113" spans="1:3" x14ac:dyDescent="0.25">
      <c r="A8113">
        <v>8112</v>
      </c>
      <c r="B8113" s="23">
        <v>86.4</v>
      </c>
      <c r="C8113" s="23">
        <v>0</v>
      </c>
    </row>
    <row r="8114" spans="1:3" x14ac:dyDescent="0.25">
      <c r="A8114">
        <v>8113</v>
      </c>
      <c r="B8114" s="23">
        <v>86.4</v>
      </c>
      <c r="C8114" s="23">
        <v>0</v>
      </c>
    </row>
    <row r="8115" spans="1:3" x14ac:dyDescent="0.25">
      <c r="A8115">
        <v>8114</v>
      </c>
      <c r="B8115" s="23">
        <v>86.4</v>
      </c>
      <c r="C8115" s="23">
        <v>0</v>
      </c>
    </row>
    <row r="8116" spans="1:3" x14ac:dyDescent="0.25">
      <c r="A8116">
        <v>8115</v>
      </c>
      <c r="B8116" s="23">
        <v>86.4</v>
      </c>
      <c r="C8116" s="23">
        <v>0</v>
      </c>
    </row>
    <row r="8117" spans="1:3" x14ac:dyDescent="0.25">
      <c r="A8117">
        <v>8116</v>
      </c>
      <c r="B8117" s="23">
        <v>86.4</v>
      </c>
      <c r="C8117" s="23">
        <v>0</v>
      </c>
    </row>
    <row r="8118" spans="1:3" x14ac:dyDescent="0.25">
      <c r="A8118">
        <v>8117</v>
      </c>
      <c r="B8118" s="23">
        <v>86.4</v>
      </c>
      <c r="C8118" s="23">
        <v>0</v>
      </c>
    </row>
    <row r="8119" spans="1:3" x14ac:dyDescent="0.25">
      <c r="A8119">
        <v>8118</v>
      </c>
      <c r="B8119" s="23">
        <v>86.4</v>
      </c>
      <c r="C8119" s="23">
        <v>0</v>
      </c>
    </row>
    <row r="8120" spans="1:3" x14ac:dyDescent="0.25">
      <c r="A8120">
        <v>8119</v>
      </c>
      <c r="B8120" s="23">
        <v>86.4</v>
      </c>
      <c r="C8120" s="23">
        <v>0</v>
      </c>
    </row>
    <row r="8121" spans="1:3" x14ac:dyDescent="0.25">
      <c r="A8121">
        <v>8120</v>
      </c>
      <c r="B8121" s="23">
        <v>86.4</v>
      </c>
      <c r="C8121" s="23">
        <v>0</v>
      </c>
    </row>
    <row r="8122" spans="1:3" x14ac:dyDescent="0.25">
      <c r="A8122">
        <v>8121</v>
      </c>
      <c r="B8122" s="23">
        <v>86.4</v>
      </c>
      <c r="C8122" s="23">
        <v>0</v>
      </c>
    </row>
    <row r="8123" spans="1:3" x14ac:dyDescent="0.25">
      <c r="A8123">
        <v>8122</v>
      </c>
      <c r="B8123" s="23">
        <v>86.4</v>
      </c>
      <c r="C8123" s="23">
        <v>0</v>
      </c>
    </row>
    <row r="8124" spans="1:3" x14ac:dyDescent="0.25">
      <c r="A8124">
        <v>8123</v>
      </c>
      <c r="B8124" s="23">
        <v>86.317936689999996</v>
      </c>
      <c r="C8124" s="23">
        <v>0</v>
      </c>
    </row>
    <row r="8125" spans="1:3" x14ac:dyDescent="0.25">
      <c r="A8125">
        <v>8124</v>
      </c>
      <c r="B8125" s="23">
        <v>86.280084500000001</v>
      </c>
      <c r="C8125" s="23">
        <v>0</v>
      </c>
    </row>
    <row r="8126" spans="1:3" x14ac:dyDescent="0.25">
      <c r="A8126">
        <v>8125</v>
      </c>
      <c r="B8126" s="23">
        <v>86.063928570000002</v>
      </c>
      <c r="C8126" s="23">
        <v>0</v>
      </c>
    </row>
    <row r="8127" spans="1:3" x14ac:dyDescent="0.25">
      <c r="A8127">
        <v>8126</v>
      </c>
      <c r="B8127" s="23">
        <v>86.063928570000002</v>
      </c>
      <c r="C8127" s="23">
        <v>0</v>
      </c>
    </row>
    <row r="8128" spans="1:3" x14ac:dyDescent="0.25">
      <c r="A8128">
        <v>8127</v>
      </c>
      <c r="B8128" s="23">
        <v>86.063928570000002</v>
      </c>
      <c r="C8128" s="23">
        <v>0</v>
      </c>
    </row>
    <row r="8129" spans="1:3" x14ac:dyDescent="0.25">
      <c r="A8129">
        <v>8128</v>
      </c>
      <c r="B8129" s="23">
        <v>86.063928570000002</v>
      </c>
      <c r="C8129" s="23">
        <v>0</v>
      </c>
    </row>
    <row r="8130" spans="1:3" x14ac:dyDescent="0.25">
      <c r="A8130">
        <v>8129</v>
      </c>
      <c r="B8130" s="23">
        <v>86.063928570000002</v>
      </c>
      <c r="C8130" s="23">
        <v>0</v>
      </c>
    </row>
    <row r="8131" spans="1:3" x14ac:dyDescent="0.25">
      <c r="A8131">
        <v>8130</v>
      </c>
      <c r="B8131" s="23">
        <v>86.055840750000002</v>
      </c>
      <c r="C8131" s="23">
        <v>0</v>
      </c>
    </row>
    <row r="8132" spans="1:3" x14ac:dyDescent="0.25">
      <c r="A8132">
        <v>8131</v>
      </c>
      <c r="B8132" s="23">
        <v>86.055840750000002</v>
      </c>
      <c r="C8132" s="23">
        <v>0</v>
      </c>
    </row>
    <row r="8133" spans="1:3" x14ac:dyDescent="0.25">
      <c r="A8133">
        <v>8132</v>
      </c>
      <c r="B8133" s="23">
        <v>86.055840750000002</v>
      </c>
      <c r="C8133" s="23">
        <v>0</v>
      </c>
    </row>
    <row r="8134" spans="1:3" x14ac:dyDescent="0.25">
      <c r="A8134">
        <v>8133</v>
      </c>
      <c r="B8134" s="23">
        <v>86.02</v>
      </c>
      <c r="C8134" s="23">
        <v>0</v>
      </c>
    </row>
    <row r="8135" spans="1:3" x14ac:dyDescent="0.25">
      <c r="A8135">
        <v>8134</v>
      </c>
      <c r="B8135" s="23">
        <v>85.97</v>
      </c>
      <c r="C8135" s="23">
        <v>0</v>
      </c>
    </row>
    <row r="8136" spans="1:3" x14ac:dyDescent="0.25">
      <c r="A8136">
        <v>8135</v>
      </c>
      <c r="B8136" s="23">
        <v>85.872138570000004</v>
      </c>
      <c r="C8136" s="23">
        <v>0</v>
      </c>
    </row>
    <row r="8137" spans="1:3" x14ac:dyDescent="0.25">
      <c r="A8137">
        <v>8136</v>
      </c>
      <c r="B8137" s="23">
        <v>85.748999999999995</v>
      </c>
      <c r="C8137" s="23">
        <v>0</v>
      </c>
    </row>
    <row r="8138" spans="1:3" x14ac:dyDescent="0.25">
      <c r="A8138">
        <v>8137</v>
      </c>
      <c r="B8138" s="23">
        <v>85.719589499999998</v>
      </c>
      <c r="C8138" s="23">
        <v>0</v>
      </c>
    </row>
    <row r="8139" spans="1:3" x14ac:dyDescent="0.25">
      <c r="A8139">
        <v>8138</v>
      </c>
      <c r="B8139" s="23">
        <v>85.685406659999998</v>
      </c>
      <c r="C8139" s="23">
        <v>0</v>
      </c>
    </row>
    <row r="8140" spans="1:3" x14ac:dyDescent="0.25">
      <c r="A8140">
        <v>8139</v>
      </c>
      <c r="B8140" s="23">
        <v>85.644804339999993</v>
      </c>
      <c r="C8140" s="23">
        <v>0</v>
      </c>
    </row>
    <row r="8141" spans="1:3" x14ac:dyDescent="0.25">
      <c r="A8141">
        <v>8140</v>
      </c>
      <c r="B8141" s="23">
        <v>85.644804339999993</v>
      </c>
      <c r="C8141" s="23">
        <v>0</v>
      </c>
    </row>
    <row r="8142" spans="1:3" x14ac:dyDescent="0.25">
      <c r="A8142">
        <v>8141</v>
      </c>
      <c r="B8142" s="23">
        <v>85.638010989999998</v>
      </c>
      <c r="C8142" s="23">
        <v>0</v>
      </c>
    </row>
    <row r="8143" spans="1:3" x14ac:dyDescent="0.25">
      <c r="A8143">
        <v>8142</v>
      </c>
      <c r="B8143" s="23">
        <v>85.6</v>
      </c>
      <c r="C8143" s="23">
        <v>0</v>
      </c>
    </row>
    <row r="8144" spans="1:3" x14ac:dyDescent="0.25">
      <c r="A8144">
        <v>8143</v>
      </c>
      <c r="B8144" s="23">
        <v>85.6</v>
      </c>
      <c r="C8144" s="23">
        <v>0</v>
      </c>
    </row>
    <row r="8145" spans="1:3" x14ac:dyDescent="0.25">
      <c r="A8145">
        <v>8144</v>
      </c>
      <c r="B8145" s="23">
        <v>85.6</v>
      </c>
      <c r="C8145" s="23">
        <v>0</v>
      </c>
    </row>
    <row r="8146" spans="1:3" x14ac:dyDescent="0.25">
      <c r="A8146">
        <v>8145</v>
      </c>
      <c r="B8146" s="23">
        <v>85.6</v>
      </c>
      <c r="C8146" s="23">
        <v>0</v>
      </c>
    </row>
    <row r="8147" spans="1:3" x14ac:dyDescent="0.25">
      <c r="A8147">
        <v>8146</v>
      </c>
      <c r="B8147" s="23">
        <v>85.6</v>
      </c>
      <c r="C8147" s="23">
        <v>0</v>
      </c>
    </row>
    <row r="8148" spans="1:3" x14ac:dyDescent="0.25">
      <c r="A8148">
        <v>8147</v>
      </c>
      <c r="B8148" s="23">
        <v>85.6</v>
      </c>
      <c r="C8148" s="23">
        <v>0</v>
      </c>
    </row>
    <row r="8149" spans="1:3" x14ac:dyDescent="0.25">
      <c r="A8149">
        <v>8148</v>
      </c>
      <c r="B8149" s="23">
        <v>85.6</v>
      </c>
      <c r="C8149" s="23">
        <v>0</v>
      </c>
    </row>
    <row r="8150" spans="1:3" x14ac:dyDescent="0.25">
      <c r="A8150">
        <v>8149</v>
      </c>
      <c r="B8150" s="23">
        <v>85.6</v>
      </c>
      <c r="C8150" s="23">
        <v>0</v>
      </c>
    </row>
    <row r="8151" spans="1:3" x14ac:dyDescent="0.25">
      <c r="A8151">
        <v>8150</v>
      </c>
      <c r="B8151" s="23">
        <v>85.542836059999999</v>
      </c>
      <c r="C8151" s="23">
        <v>0</v>
      </c>
    </row>
    <row r="8152" spans="1:3" x14ac:dyDescent="0.25">
      <c r="A8152">
        <v>8151</v>
      </c>
      <c r="B8152" s="23">
        <v>85.466999999999999</v>
      </c>
      <c r="C8152" s="23">
        <v>0</v>
      </c>
    </row>
    <row r="8153" spans="1:3" x14ac:dyDescent="0.25">
      <c r="A8153">
        <v>8152</v>
      </c>
      <c r="B8153" s="23">
        <v>85.339176710000004</v>
      </c>
      <c r="C8153" s="23">
        <v>0</v>
      </c>
    </row>
    <row r="8154" spans="1:3" x14ac:dyDescent="0.25">
      <c r="A8154">
        <v>8153</v>
      </c>
      <c r="B8154" s="23">
        <v>85.32032074</v>
      </c>
      <c r="C8154" s="23">
        <v>0</v>
      </c>
    </row>
    <row r="8155" spans="1:3" x14ac:dyDescent="0.25">
      <c r="A8155">
        <v>8154</v>
      </c>
      <c r="B8155" s="23">
        <v>85.32032074</v>
      </c>
      <c r="C8155" s="23">
        <v>0</v>
      </c>
    </row>
    <row r="8156" spans="1:3" x14ac:dyDescent="0.25">
      <c r="A8156">
        <v>8155</v>
      </c>
      <c r="B8156" s="23">
        <v>85.278189609999998</v>
      </c>
      <c r="C8156" s="23">
        <v>0</v>
      </c>
    </row>
    <row r="8157" spans="1:3" x14ac:dyDescent="0.25">
      <c r="A8157">
        <v>8156</v>
      </c>
      <c r="B8157" s="23">
        <v>85.267040339999994</v>
      </c>
      <c r="C8157" s="23">
        <v>0</v>
      </c>
    </row>
    <row r="8158" spans="1:3" x14ac:dyDescent="0.25">
      <c r="A8158">
        <v>8157</v>
      </c>
      <c r="B8158" s="23">
        <v>85.267040339999994</v>
      </c>
      <c r="C8158" s="23">
        <v>0</v>
      </c>
    </row>
    <row r="8159" spans="1:3" x14ac:dyDescent="0.25">
      <c r="A8159">
        <v>8158</v>
      </c>
      <c r="B8159" s="23">
        <v>85.13455768</v>
      </c>
      <c r="C8159" s="23">
        <v>0</v>
      </c>
    </row>
    <row r="8160" spans="1:3" x14ac:dyDescent="0.25">
      <c r="A8160">
        <v>8159</v>
      </c>
      <c r="B8160" s="23">
        <v>84.954120430000003</v>
      </c>
      <c r="C8160" s="23">
        <v>0</v>
      </c>
    </row>
    <row r="8161" spans="1:3" x14ac:dyDescent="0.25">
      <c r="A8161">
        <v>8160</v>
      </c>
      <c r="B8161" s="23">
        <v>84.8</v>
      </c>
      <c r="C8161" s="23">
        <v>0</v>
      </c>
    </row>
    <row r="8162" spans="1:3" x14ac:dyDescent="0.25">
      <c r="A8162">
        <v>8161</v>
      </c>
      <c r="B8162" s="23">
        <v>84.8</v>
      </c>
      <c r="C8162" s="23">
        <v>0</v>
      </c>
    </row>
    <row r="8163" spans="1:3" x14ac:dyDescent="0.25">
      <c r="A8163">
        <v>8162</v>
      </c>
      <c r="B8163" s="23">
        <v>84.8</v>
      </c>
      <c r="C8163" s="23">
        <v>0</v>
      </c>
    </row>
    <row r="8164" spans="1:3" x14ac:dyDescent="0.25">
      <c r="A8164">
        <v>8163</v>
      </c>
      <c r="B8164" s="23">
        <v>84.8</v>
      </c>
      <c r="C8164" s="23">
        <v>0</v>
      </c>
    </row>
    <row r="8165" spans="1:3" x14ac:dyDescent="0.25">
      <c r="A8165">
        <v>8164</v>
      </c>
      <c r="B8165" s="23">
        <v>84.8</v>
      </c>
      <c r="C8165" s="23">
        <v>0</v>
      </c>
    </row>
    <row r="8166" spans="1:3" x14ac:dyDescent="0.25">
      <c r="A8166">
        <v>8165</v>
      </c>
      <c r="B8166" s="23">
        <v>84.741</v>
      </c>
      <c r="C8166" s="23">
        <v>0</v>
      </c>
    </row>
    <row r="8167" spans="1:3" x14ac:dyDescent="0.25">
      <c r="A8167">
        <v>8166</v>
      </c>
      <c r="B8167" s="23">
        <v>84.584800740000006</v>
      </c>
      <c r="C8167" s="23">
        <v>0</v>
      </c>
    </row>
    <row r="8168" spans="1:3" x14ac:dyDescent="0.25">
      <c r="A8168">
        <v>8167</v>
      </c>
      <c r="B8168" s="23">
        <v>84.557000000000002</v>
      </c>
      <c r="C8168" s="23">
        <v>0</v>
      </c>
    </row>
    <row r="8169" spans="1:3" x14ac:dyDescent="0.25">
      <c r="A8169">
        <v>8168</v>
      </c>
      <c r="B8169" s="23">
        <v>84.507000000000005</v>
      </c>
      <c r="C8169" s="23">
        <v>0</v>
      </c>
    </row>
    <row r="8170" spans="1:3" x14ac:dyDescent="0.25">
      <c r="A8170">
        <v>8169</v>
      </c>
      <c r="B8170" s="23">
        <v>84.470152119999995</v>
      </c>
      <c r="C8170" s="23">
        <v>0</v>
      </c>
    </row>
    <row r="8171" spans="1:3" x14ac:dyDescent="0.25">
      <c r="A8171">
        <v>8170</v>
      </c>
      <c r="B8171" s="23">
        <v>84.470152119999995</v>
      </c>
      <c r="C8171" s="23">
        <v>0</v>
      </c>
    </row>
    <row r="8172" spans="1:3" x14ac:dyDescent="0.25">
      <c r="A8172">
        <v>8171</v>
      </c>
      <c r="B8172" s="23">
        <v>84.470152119999995</v>
      </c>
      <c r="C8172" s="23">
        <v>0</v>
      </c>
    </row>
    <row r="8173" spans="1:3" x14ac:dyDescent="0.25">
      <c r="A8173">
        <v>8172</v>
      </c>
      <c r="B8173" s="23">
        <v>84.462000000000003</v>
      </c>
      <c r="C8173" s="23">
        <v>0</v>
      </c>
    </row>
    <row r="8174" spans="1:3" x14ac:dyDescent="0.25">
      <c r="A8174">
        <v>8173</v>
      </c>
      <c r="B8174" s="23">
        <v>84.445999999999998</v>
      </c>
      <c r="C8174" s="23">
        <v>0</v>
      </c>
    </row>
    <row r="8175" spans="1:3" x14ac:dyDescent="0.25">
      <c r="A8175">
        <v>8174</v>
      </c>
      <c r="B8175" s="23">
        <v>84.411381610000007</v>
      </c>
      <c r="C8175" s="23">
        <v>0</v>
      </c>
    </row>
    <row r="8176" spans="1:3" x14ac:dyDescent="0.25">
      <c r="A8176">
        <v>8175</v>
      </c>
      <c r="B8176" s="23">
        <v>84.322999999999993</v>
      </c>
      <c r="C8176" s="23">
        <v>0</v>
      </c>
    </row>
    <row r="8177" spans="1:3" x14ac:dyDescent="0.25">
      <c r="A8177">
        <v>8176</v>
      </c>
      <c r="B8177" s="23">
        <v>84.298763800000003</v>
      </c>
      <c r="C8177" s="23">
        <v>0</v>
      </c>
    </row>
    <row r="8178" spans="1:3" x14ac:dyDescent="0.25">
      <c r="A8178">
        <v>8177</v>
      </c>
      <c r="B8178" s="23">
        <v>84.283225040000005</v>
      </c>
      <c r="C8178" s="23">
        <v>0</v>
      </c>
    </row>
    <row r="8179" spans="1:3" x14ac:dyDescent="0.25">
      <c r="A8179">
        <v>8178</v>
      </c>
      <c r="B8179" s="23">
        <v>84.228097320000003</v>
      </c>
      <c r="C8179" s="23">
        <v>0</v>
      </c>
    </row>
    <row r="8180" spans="1:3" x14ac:dyDescent="0.25">
      <c r="A8180">
        <v>8179</v>
      </c>
      <c r="B8180" s="23">
        <v>84.178291799999997</v>
      </c>
      <c r="C8180" s="23">
        <v>0</v>
      </c>
    </row>
    <row r="8181" spans="1:3" x14ac:dyDescent="0.25">
      <c r="A8181">
        <v>8180</v>
      </c>
      <c r="B8181" s="23">
        <v>84.042000000000002</v>
      </c>
      <c r="C8181" s="23">
        <v>0</v>
      </c>
    </row>
    <row r="8182" spans="1:3" x14ac:dyDescent="0.25">
      <c r="A8182">
        <v>8181</v>
      </c>
      <c r="B8182" s="23">
        <v>84</v>
      </c>
      <c r="C8182" s="23">
        <v>0</v>
      </c>
    </row>
    <row r="8183" spans="1:3" x14ac:dyDescent="0.25">
      <c r="A8183">
        <v>8182</v>
      </c>
      <c r="B8183" s="23">
        <v>84</v>
      </c>
      <c r="C8183" s="23">
        <v>0</v>
      </c>
    </row>
    <row r="8184" spans="1:3" x14ac:dyDescent="0.25">
      <c r="A8184">
        <v>8183</v>
      </c>
      <c r="B8184" s="23">
        <v>84</v>
      </c>
      <c r="C8184" s="23">
        <v>0</v>
      </c>
    </row>
    <row r="8185" spans="1:3" x14ac:dyDescent="0.25">
      <c r="A8185">
        <v>8184</v>
      </c>
      <c r="B8185" s="23">
        <v>83.995007509999994</v>
      </c>
      <c r="C8185" s="23">
        <v>0</v>
      </c>
    </row>
    <row r="8186" spans="1:3" x14ac:dyDescent="0.25">
      <c r="A8186">
        <v>8185</v>
      </c>
      <c r="B8186" s="23">
        <v>83.849280730000004</v>
      </c>
      <c r="C8186" s="23">
        <v>0</v>
      </c>
    </row>
    <row r="8187" spans="1:3" x14ac:dyDescent="0.25">
      <c r="A8187">
        <v>8186</v>
      </c>
      <c r="B8187" s="23">
        <v>83.849280730000004</v>
      </c>
      <c r="C8187" s="23">
        <v>0</v>
      </c>
    </row>
    <row r="8188" spans="1:3" x14ac:dyDescent="0.25">
      <c r="A8188">
        <v>8187</v>
      </c>
      <c r="B8188" s="23">
        <v>83.715100519999993</v>
      </c>
      <c r="C8188" s="23">
        <v>0</v>
      </c>
    </row>
    <row r="8189" spans="1:3" x14ac:dyDescent="0.25">
      <c r="A8189">
        <v>8188</v>
      </c>
      <c r="B8189" s="23">
        <v>83.673263890000001</v>
      </c>
      <c r="C8189" s="23">
        <v>0</v>
      </c>
    </row>
    <row r="8190" spans="1:3" x14ac:dyDescent="0.25">
      <c r="A8190">
        <v>8189</v>
      </c>
      <c r="B8190" s="23">
        <v>83.572752620000003</v>
      </c>
      <c r="C8190" s="23">
        <v>0</v>
      </c>
    </row>
    <row r="8191" spans="1:3" x14ac:dyDescent="0.25">
      <c r="A8191">
        <v>8190</v>
      </c>
      <c r="B8191" s="23">
        <v>83.418999999999997</v>
      </c>
      <c r="C8191" s="23">
        <v>0</v>
      </c>
    </row>
    <row r="8192" spans="1:3" x14ac:dyDescent="0.25">
      <c r="A8192">
        <v>8191</v>
      </c>
      <c r="B8192" s="23">
        <v>83.41864889</v>
      </c>
      <c r="C8192" s="23">
        <v>0</v>
      </c>
    </row>
    <row r="8193" spans="1:3" x14ac:dyDescent="0.25">
      <c r="A8193">
        <v>8192</v>
      </c>
      <c r="B8193" s="23">
        <v>83.41864889</v>
      </c>
      <c r="C8193" s="23">
        <v>0</v>
      </c>
    </row>
    <row r="8194" spans="1:3" x14ac:dyDescent="0.25">
      <c r="A8194">
        <v>8193</v>
      </c>
      <c r="B8194" s="23">
        <v>83.41864889</v>
      </c>
      <c r="C8194" s="23">
        <v>0</v>
      </c>
    </row>
    <row r="8195" spans="1:3" x14ac:dyDescent="0.25">
      <c r="A8195">
        <v>8194</v>
      </c>
      <c r="B8195" s="23">
        <v>83.396000000000001</v>
      </c>
      <c r="C8195" s="23">
        <v>0</v>
      </c>
    </row>
    <row r="8196" spans="1:3" x14ac:dyDescent="0.25">
      <c r="A8196">
        <v>8195</v>
      </c>
      <c r="B8196" s="23">
        <v>83.254000000000005</v>
      </c>
      <c r="C8196" s="23">
        <v>0</v>
      </c>
    </row>
    <row r="8197" spans="1:3" x14ac:dyDescent="0.25">
      <c r="A8197">
        <v>8196</v>
      </c>
      <c r="B8197" s="23">
        <v>83.2</v>
      </c>
      <c r="C8197" s="23">
        <v>0</v>
      </c>
    </row>
    <row r="8198" spans="1:3" x14ac:dyDescent="0.25">
      <c r="A8198">
        <v>8197</v>
      </c>
      <c r="B8198" s="23">
        <v>83.2</v>
      </c>
      <c r="C8198" s="23">
        <v>0</v>
      </c>
    </row>
    <row r="8199" spans="1:3" x14ac:dyDescent="0.25">
      <c r="A8199">
        <v>8198</v>
      </c>
      <c r="B8199" s="23">
        <v>83.071613279999994</v>
      </c>
      <c r="C8199" s="23">
        <v>0</v>
      </c>
    </row>
    <row r="8200" spans="1:3" x14ac:dyDescent="0.25">
      <c r="A8200">
        <v>8199</v>
      </c>
      <c r="B8200" s="23">
        <v>82.933000000000007</v>
      </c>
      <c r="C8200" s="23">
        <v>0</v>
      </c>
    </row>
    <row r="8201" spans="1:3" x14ac:dyDescent="0.25">
      <c r="A8201">
        <v>8200</v>
      </c>
      <c r="B8201" s="23">
        <v>82.930165619999997</v>
      </c>
      <c r="C8201" s="23">
        <v>0</v>
      </c>
    </row>
    <row r="8202" spans="1:3" x14ac:dyDescent="0.25">
      <c r="A8202">
        <v>8201</v>
      </c>
      <c r="B8202" s="23">
        <v>82.891999999999996</v>
      </c>
      <c r="C8202" s="23">
        <v>0</v>
      </c>
    </row>
    <row r="8203" spans="1:3" x14ac:dyDescent="0.25">
      <c r="A8203">
        <v>8202</v>
      </c>
      <c r="B8203" s="23">
        <v>82.882068709999999</v>
      </c>
      <c r="C8203" s="23">
        <v>0</v>
      </c>
    </row>
    <row r="8204" spans="1:3" x14ac:dyDescent="0.25">
      <c r="A8204">
        <v>8203</v>
      </c>
      <c r="B8204" s="23">
        <v>82.876375659999994</v>
      </c>
      <c r="C8204" s="23">
        <v>0</v>
      </c>
    </row>
    <row r="8205" spans="1:3" x14ac:dyDescent="0.25">
      <c r="A8205">
        <v>8204</v>
      </c>
      <c r="B8205" s="23">
        <v>82.775000000000006</v>
      </c>
      <c r="C8205" s="23">
        <v>0</v>
      </c>
    </row>
    <row r="8206" spans="1:3" x14ac:dyDescent="0.25">
      <c r="A8206">
        <v>8205</v>
      </c>
      <c r="B8206" s="23">
        <v>82.665000000000006</v>
      </c>
      <c r="C8206" s="23">
        <v>0</v>
      </c>
    </row>
    <row r="8207" spans="1:3" x14ac:dyDescent="0.25">
      <c r="A8207">
        <v>8206</v>
      </c>
      <c r="B8207" s="23">
        <v>82.653999999999996</v>
      </c>
      <c r="C8207" s="23">
        <v>0</v>
      </c>
    </row>
    <row r="8208" spans="1:3" x14ac:dyDescent="0.25">
      <c r="A8208">
        <v>8207</v>
      </c>
      <c r="B8208" s="23">
        <v>82.638000000000005</v>
      </c>
      <c r="C8208" s="23">
        <v>0</v>
      </c>
    </row>
    <row r="8209" spans="1:3" x14ac:dyDescent="0.25">
      <c r="A8209">
        <v>8208</v>
      </c>
      <c r="B8209" s="23">
        <v>82.610414210000002</v>
      </c>
      <c r="C8209" s="23">
        <v>0</v>
      </c>
    </row>
    <row r="8210" spans="1:3" x14ac:dyDescent="0.25">
      <c r="A8210">
        <v>8209</v>
      </c>
      <c r="B8210" s="23">
        <v>82.600819000000001</v>
      </c>
      <c r="C8210" s="23">
        <v>0</v>
      </c>
    </row>
    <row r="8211" spans="1:3" x14ac:dyDescent="0.25">
      <c r="A8211">
        <v>8210</v>
      </c>
      <c r="B8211" s="23">
        <v>82.453028790000005</v>
      </c>
      <c r="C8211" s="23">
        <v>0</v>
      </c>
    </row>
    <row r="8212" spans="1:3" x14ac:dyDescent="0.25">
      <c r="A8212">
        <v>8211</v>
      </c>
      <c r="B8212" s="23">
        <v>82.403000000000006</v>
      </c>
      <c r="C8212" s="23">
        <v>0</v>
      </c>
    </row>
    <row r="8213" spans="1:3" x14ac:dyDescent="0.25">
      <c r="A8213">
        <v>8212</v>
      </c>
      <c r="B8213" s="23">
        <v>82.4</v>
      </c>
      <c r="C8213" s="23">
        <v>0</v>
      </c>
    </row>
    <row r="8214" spans="1:3" x14ac:dyDescent="0.25">
      <c r="A8214">
        <v>8213</v>
      </c>
      <c r="B8214" s="23">
        <v>82.387434720000002</v>
      </c>
      <c r="C8214" s="23">
        <v>0</v>
      </c>
    </row>
    <row r="8215" spans="1:3" x14ac:dyDescent="0.25">
      <c r="A8215">
        <v>8214</v>
      </c>
      <c r="B8215" s="23">
        <v>82.378240719999994</v>
      </c>
      <c r="C8215" s="23">
        <v>0</v>
      </c>
    </row>
    <row r="8216" spans="1:3" x14ac:dyDescent="0.25">
      <c r="A8216">
        <v>8215</v>
      </c>
      <c r="B8216" s="23">
        <v>82.378240719999994</v>
      </c>
      <c r="C8216" s="23">
        <v>0</v>
      </c>
    </row>
    <row r="8217" spans="1:3" x14ac:dyDescent="0.25">
      <c r="A8217">
        <v>8216</v>
      </c>
      <c r="B8217" s="23">
        <v>82.378240719999994</v>
      </c>
      <c r="C8217" s="23">
        <v>0</v>
      </c>
    </row>
    <row r="8218" spans="1:3" x14ac:dyDescent="0.25">
      <c r="A8218">
        <v>8217</v>
      </c>
      <c r="B8218" s="23">
        <v>82.378240719999994</v>
      </c>
      <c r="C8218" s="23">
        <v>0</v>
      </c>
    </row>
    <row r="8219" spans="1:3" x14ac:dyDescent="0.25">
      <c r="A8219">
        <v>8218</v>
      </c>
      <c r="B8219" s="23">
        <v>82.343456660000001</v>
      </c>
      <c r="C8219" s="23">
        <v>0</v>
      </c>
    </row>
    <row r="8220" spans="1:3" x14ac:dyDescent="0.25">
      <c r="A8220">
        <v>8219</v>
      </c>
      <c r="B8220" s="23">
        <v>82.33249945</v>
      </c>
      <c r="C8220" s="23">
        <v>0</v>
      </c>
    </row>
    <row r="8221" spans="1:3" x14ac:dyDescent="0.25">
      <c r="A8221">
        <v>8220</v>
      </c>
      <c r="B8221" s="23">
        <v>82.316561680000007</v>
      </c>
      <c r="C8221" s="23">
        <v>0</v>
      </c>
    </row>
    <row r="8222" spans="1:3" x14ac:dyDescent="0.25">
      <c r="A8222">
        <v>8221</v>
      </c>
      <c r="B8222" s="23">
        <v>82.191384810000002</v>
      </c>
      <c r="C8222" s="23">
        <v>0</v>
      </c>
    </row>
    <row r="8223" spans="1:3" x14ac:dyDescent="0.25">
      <c r="A8223">
        <v>8222</v>
      </c>
      <c r="B8223" s="23">
        <v>82.082475759999994</v>
      </c>
      <c r="C8223" s="23">
        <v>0</v>
      </c>
    </row>
    <row r="8224" spans="1:3" x14ac:dyDescent="0.25">
      <c r="A8224">
        <v>8223</v>
      </c>
      <c r="B8224" s="23">
        <v>82.07948743</v>
      </c>
      <c r="C8224" s="23">
        <v>0</v>
      </c>
    </row>
    <row r="8225" spans="1:3" x14ac:dyDescent="0.25">
      <c r="A8225">
        <v>8224</v>
      </c>
      <c r="B8225" s="23">
        <v>82.070515119999996</v>
      </c>
      <c r="C8225" s="23">
        <v>0</v>
      </c>
    </row>
    <row r="8226" spans="1:3" x14ac:dyDescent="0.25">
      <c r="A8226">
        <v>8225</v>
      </c>
      <c r="B8226" s="23">
        <v>82.011652029999993</v>
      </c>
      <c r="C8226" s="23">
        <v>0</v>
      </c>
    </row>
    <row r="8227" spans="1:3" x14ac:dyDescent="0.25">
      <c r="A8227">
        <v>8226</v>
      </c>
      <c r="B8227" s="23">
        <v>81.838272660000001</v>
      </c>
      <c r="C8227" s="23">
        <v>0</v>
      </c>
    </row>
    <row r="8228" spans="1:3" x14ac:dyDescent="0.25">
      <c r="A8228">
        <v>8227</v>
      </c>
      <c r="B8228" s="23">
        <v>81.795000000000002</v>
      </c>
      <c r="C8228" s="23">
        <v>0</v>
      </c>
    </row>
    <row r="8229" spans="1:3" x14ac:dyDescent="0.25">
      <c r="A8229">
        <v>8228</v>
      </c>
      <c r="B8229" s="23">
        <v>81.782989110000003</v>
      </c>
      <c r="C8229" s="23">
        <v>0</v>
      </c>
    </row>
    <row r="8230" spans="1:3" x14ac:dyDescent="0.25">
      <c r="A8230">
        <v>8229</v>
      </c>
      <c r="B8230" s="23">
        <v>81.642720710000006</v>
      </c>
      <c r="C8230" s="23">
        <v>0</v>
      </c>
    </row>
    <row r="8231" spans="1:3" x14ac:dyDescent="0.25">
      <c r="A8231">
        <v>8230</v>
      </c>
      <c r="B8231" s="23">
        <v>81.599999999999994</v>
      </c>
      <c r="C8231" s="23">
        <v>0</v>
      </c>
    </row>
    <row r="8232" spans="1:3" x14ac:dyDescent="0.25">
      <c r="A8232">
        <v>8231</v>
      </c>
      <c r="B8232" s="23">
        <v>81.599999999999994</v>
      </c>
      <c r="C8232" s="23">
        <v>0</v>
      </c>
    </row>
    <row r="8233" spans="1:3" x14ac:dyDescent="0.25">
      <c r="A8233">
        <v>8232</v>
      </c>
      <c r="B8233" s="23">
        <v>81.599999999999994</v>
      </c>
      <c r="C8233" s="23">
        <v>0</v>
      </c>
    </row>
    <row r="8234" spans="1:3" x14ac:dyDescent="0.25">
      <c r="A8234">
        <v>8233</v>
      </c>
      <c r="B8234" s="23">
        <v>81.599999999999994</v>
      </c>
      <c r="C8234" s="23">
        <v>0</v>
      </c>
    </row>
    <row r="8235" spans="1:3" x14ac:dyDescent="0.25">
      <c r="A8235">
        <v>8234</v>
      </c>
      <c r="B8235" s="23">
        <v>81.599999999999994</v>
      </c>
      <c r="C8235" s="23">
        <v>0</v>
      </c>
    </row>
    <row r="8236" spans="1:3" x14ac:dyDescent="0.25">
      <c r="A8236">
        <v>8235</v>
      </c>
      <c r="B8236" s="23">
        <v>81.599999999999994</v>
      </c>
      <c r="C8236" s="23">
        <v>0</v>
      </c>
    </row>
    <row r="8237" spans="1:3" x14ac:dyDescent="0.25">
      <c r="A8237">
        <v>8236</v>
      </c>
      <c r="B8237" s="23">
        <v>81.515000000000001</v>
      </c>
      <c r="C8237" s="23">
        <v>0</v>
      </c>
    </row>
    <row r="8238" spans="1:3" x14ac:dyDescent="0.25">
      <c r="A8238">
        <v>8237</v>
      </c>
      <c r="B8238" s="23">
        <v>81.500700899999998</v>
      </c>
      <c r="C8238" s="23">
        <v>0</v>
      </c>
    </row>
    <row r="8239" spans="1:3" x14ac:dyDescent="0.25">
      <c r="A8239">
        <v>8238</v>
      </c>
      <c r="B8239" s="23">
        <v>81.500700899999998</v>
      </c>
      <c r="C8239" s="23">
        <v>0</v>
      </c>
    </row>
    <row r="8240" spans="1:3" x14ac:dyDescent="0.25">
      <c r="A8240">
        <v>8239</v>
      </c>
      <c r="B8240" s="23">
        <v>81.435000000000002</v>
      </c>
      <c r="C8240" s="23">
        <v>0</v>
      </c>
    </row>
    <row r="8241" spans="1:3" x14ac:dyDescent="0.25">
      <c r="A8241">
        <v>8240</v>
      </c>
      <c r="B8241" s="23">
        <v>81.361999999999995</v>
      </c>
      <c r="C8241" s="23">
        <v>0</v>
      </c>
    </row>
    <row r="8242" spans="1:3" x14ac:dyDescent="0.25">
      <c r="A8242">
        <v>8241</v>
      </c>
      <c r="B8242" s="23">
        <v>81.282599210000001</v>
      </c>
      <c r="C8242" s="23">
        <v>0</v>
      </c>
    </row>
    <row r="8243" spans="1:3" x14ac:dyDescent="0.25">
      <c r="A8243">
        <v>8242</v>
      </c>
      <c r="B8243" s="23">
        <v>81.253</v>
      </c>
      <c r="C8243" s="23">
        <v>0</v>
      </c>
    </row>
    <row r="8244" spans="1:3" x14ac:dyDescent="0.25">
      <c r="A8244">
        <v>8243</v>
      </c>
      <c r="B8244" s="23">
        <v>81.198526689999994</v>
      </c>
      <c r="C8244" s="23">
        <v>0</v>
      </c>
    </row>
    <row r="8245" spans="1:3" x14ac:dyDescent="0.25">
      <c r="A8245">
        <v>8244</v>
      </c>
      <c r="B8245" s="23">
        <v>81.197929830000007</v>
      </c>
      <c r="C8245" s="23">
        <v>0</v>
      </c>
    </row>
    <row r="8246" spans="1:3" x14ac:dyDescent="0.25">
      <c r="A8246">
        <v>8245</v>
      </c>
      <c r="B8246" s="23">
        <v>81.183999999999997</v>
      </c>
      <c r="C8246" s="23">
        <v>0</v>
      </c>
    </row>
    <row r="8247" spans="1:3" x14ac:dyDescent="0.25">
      <c r="A8247">
        <v>8246</v>
      </c>
      <c r="B8247" s="23">
        <v>81.118241010000006</v>
      </c>
      <c r="C8247" s="23">
        <v>0</v>
      </c>
    </row>
    <row r="8248" spans="1:3" x14ac:dyDescent="0.25">
      <c r="A8248">
        <v>8247</v>
      </c>
      <c r="B8248" s="23">
        <v>81.102000000000004</v>
      </c>
      <c r="C8248" s="23">
        <v>0</v>
      </c>
    </row>
    <row r="8249" spans="1:3" x14ac:dyDescent="0.25">
      <c r="A8249">
        <v>8248</v>
      </c>
      <c r="B8249" s="23">
        <v>81.045524959999995</v>
      </c>
      <c r="C8249" s="23">
        <v>0</v>
      </c>
    </row>
    <row r="8250" spans="1:3" x14ac:dyDescent="0.25">
      <c r="A8250">
        <v>8249</v>
      </c>
      <c r="B8250" s="23">
        <v>80.965159220000004</v>
      </c>
      <c r="C8250" s="23">
        <v>0</v>
      </c>
    </row>
    <row r="8251" spans="1:3" x14ac:dyDescent="0.25">
      <c r="A8251">
        <v>8250</v>
      </c>
      <c r="B8251" s="23">
        <v>80.965159220000004</v>
      </c>
      <c r="C8251" s="23">
        <v>0</v>
      </c>
    </row>
    <row r="8252" spans="1:3" x14ac:dyDescent="0.25">
      <c r="A8252">
        <v>8251</v>
      </c>
      <c r="B8252" s="23">
        <v>80.936948939999994</v>
      </c>
      <c r="C8252" s="23">
        <v>0</v>
      </c>
    </row>
    <row r="8253" spans="1:3" x14ac:dyDescent="0.25">
      <c r="A8253">
        <v>8252</v>
      </c>
      <c r="B8253" s="23">
        <v>80.868217329999993</v>
      </c>
      <c r="C8253" s="23">
        <v>0</v>
      </c>
    </row>
    <row r="8254" spans="1:3" x14ac:dyDescent="0.25">
      <c r="A8254">
        <v>8253</v>
      </c>
      <c r="B8254" s="23">
        <v>80.818972130000006</v>
      </c>
      <c r="C8254" s="23">
        <v>0</v>
      </c>
    </row>
    <row r="8255" spans="1:3" x14ac:dyDescent="0.25">
      <c r="A8255">
        <v>8254</v>
      </c>
      <c r="B8255" s="23">
        <v>80.810016989999994</v>
      </c>
      <c r="C8255" s="23">
        <v>0</v>
      </c>
    </row>
    <row r="8256" spans="1:3" x14ac:dyDescent="0.25">
      <c r="A8256">
        <v>8255</v>
      </c>
      <c r="B8256" s="23">
        <v>80.810016989999994</v>
      </c>
      <c r="C8256" s="23">
        <v>0</v>
      </c>
    </row>
    <row r="8257" spans="1:3" x14ac:dyDescent="0.25">
      <c r="A8257">
        <v>8256</v>
      </c>
      <c r="B8257" s="23">
        <v>80.810016989999994</v>
      </c>
      <c r="C8257" s="23">
        <v>0</v>
      </c>
    </row>
    <row r="8258" spans="1:3" x14ac:dyDescent="0.25">
      <c r="A8258">
        <v>8257</v>
      </c>
      <c r="B8258" s="23">
        <v>80.8</v>
      </c>
      <c r="C8258" s="23">
        <v>0</v>
      </c>
    </row>
    <row r="8259" spans="1:3" x14ac:dyDescent="0.25">
      <c r="A8259">
        <v>8258</v>
      </c>
      <c r="B8259" s="23">
        <v>80.786536280000007</v>
      </c>
      <c r="C8259" s="23">
        <v>0</v>
      </c>
    </row>
    <row r="8260" spans="1:3" x14ac:dyDescent="0.25">
      <c r="A8260">
        <v>8259</v>
      </c>
      <c r="B8260" s="23">
        <v>80.774000000000001</v>
      </c>
      <c r="C8260" s="23">
        <v>0</v>
      </c>
    </row>
    <row r="8261" spans="1:3" x14ac:dyDescent="0.25">
      <c r="A8261">
        <v>8260</v>
      </c>
      <c r="B8261" s="23">
        <v>80.760999999999996</v>
      </c>
      <c r="C8261" s="23">
        <v>0</v>
      </c>
    </row>
    <row r="8262" spans="1:3" x14ac:dyDescent="0.25">
      <c r="A8262">
        <v>8261</v>
      </c>
      <c r="B8262" s="23">
        <v>80.614831499999994</v>
      </c>
      <c r="C8262" s="23">
        <v>0</v>
      </c>
    </row>
    <row r="8263" spans="1:3" x14ac:dyDescent="0.25">
      <c r="A8263">
        <v>8262</v>
      </c>
      <c r="B8263" s="23">
        <v>80.578999999999994</v>
      </c>
      <c r="C8263" s="23">
        <v>0</v>
      </c>
    </row>
    <row r="8264" spans="1:3" x14ac:dyDescent="0.25">
      <c r="A8264">
        <v>8263</v>
      </c>
      <c r="B8264" s="23">
        <v>80.506</v>
      </c>
      <c r="C8264" s="23">
        <v>0</v>
      </c>
    </row>
    <row r="8265" spans="1:3" x14ac:dyDescent="0.25">
      <c r="A8265">
        <v>8264</v>
      </c>
      <c r="B8265" s="23">
        <v>80.484999999999999</v>
      </c>
      <c r="C8265" s="23">
        <v>0</v>
      </c>
    </row>
    <row r="8266" spans="1:3" x14ac:dyDescent="0.25">
      <c r="A8266">
        <v>8265</v>
      </c>
      <c r="B8266" s="23">
        <v>80.474999999999994</v>
      </c>
      <c r="C8266" s="23">
        <v>0</v>
      </c>
    </row>
    <row r="8267" spans="1:3" x14ac:dyDescent="0.25">
      <c r="A8267">
        <v>8266</v>
      </c>
      <c r="B8267" s="23">
        <v>80.459812110000001</v>
      </c>
      <c r="C8267" s="23">
        <v>0</v>
      </c>
    </row>
    <row r="8268" spans="1:3" x14ac:dyDescent="0.25">
      <c r="A8268">
        <v>8267</v>
      </c>
      <c r="B8268" s="23">
        <v>80.446862679999995</v>
      </c>
      <c r="C8268" s="23">
        <v>0</v>
      </c>
    </row>
    <row r="8269" spans="1:3" x14ac:dyDescent="0.25">
      <c r="A8269">
        <v>8268</v>
      </c>
      <c r="B8269" s="23">
        <v>80.265570609999997</v>
      </c>
      <c r="C8269" s="23">
        <v>0</v>
      </c>
    </row>
    <row r="8270" spans="1:3" x14ac:dyDescent="0.25">
      <c r="A8270">
        <v>8269</v>
      </c>
      <c r="B8270" s="23">
        <v>80.192854550000007</v>
      </c>
      <c r="C8270" s="23">
        <v>0</v>
      </c>
    </row>
    <row r="8271" spans="1:3" x14ac:dyDescent="0.25">
      <c r="A8271">
        <v>8270</v>
      </c>
      <c r="B8271" s="23">
        <v>80.161975139999996</v>
      </c>
      <c r="C8271" s="23">
        <v>0</v>
      </c>
    </row>
    <row r="8272" spans="1:3" x14ac:dyDescent="0.25">
      <c r="A8272">
        <v>8271</v>
      </c>
      <c r="B8272" s="23">
        <v>80.119333089999998</v>
      </c>
      <c r="C8272" s="23">
        <v>0</v>
      </c>
    </row>
    <row r="8273" spans="1:3" x14ac:dyDescent="0.25">
      <c r="A8273">
        <v>8272</v>
      </c>
      <c r="B8273" s="23">
        <v>80.078000000000003</v>
      </c>
      <c r="C8273" s="23">
        <v>0</v>
      </c>
    </row>
    <row r="8274" spans="1:3" x14ac:dyDescent="0.25">
      <c r="A8274">
        <v>8273</v>
      </c>
      <c r="B8274" s="23">
        <v>80</v>
      </c>
      <c r="C8274" s="23">
        <v>0</v>
      </c>
    </row>
    <row r="8275" spans="1:3" x14ac:dyDescent="0.25">
      <c r="A8275">
        <v>8274</v>
      </c>
      <c r="B8275" s="23">
        <v>80</v>
      </c>
      <c r="C8275" s="23">
        <v>0</v>
      </c>
    </row>
    <row r="8276" spans="1:3" x14ac:dyDescent="0.25">
      <c r="A8276">
        <v>8275</v>
      </c>
      <c r="B8276" s="23">
        <v>80</v>
      </c>
      <c r="C8276" s="23">
        <v>0</v>
      </c>
    </row>
    <row r="8277" spans="1:3" x14ac:dyDescent="0.25">
      <c r="A8277">
        <v>8276</v>
      </c>
      <c r="B8277" s="23">
        <v>80</v>
      </c>
      <c r="C8277" s="23">
        <v>0</v>
      </c>
    </row>
    <row r="8278" spans="1:3" x14ac:dyDescent="0.25">
      <c r="A8278">
        <v>8277</v>
      </c>
      <c r="B8278" s="23">
        <v>79.923000000000002</v>
      </c>
      <c r="C8278" s="23">
        <v>0</v>
      </c>
    </row>
    <row r="8279" spans="1:3" x14ac:dyDescent="0.25">
      <c r="A8279">
        <v>8278</v>
      </c>
      <c r="B8279" s="23">
        <v>79.796000000000006</v>
      </c>
      <c r="C8279" s="23">
        <v>0</v>
      </c>
    </row>
    <row r="8280" spans="1:3" x14ac:dyDescent="0.25">
      <c r="A8280">
        <v>8279</v>
      </c>
      <c r="B8280" s="23">
        <v>79.766519349999996</v>
      </c>
      <c r="C8280" s="23">
        <v>0</v>
      </c>
    </row>
    <row r="8281" spans="1:3" x14ac:dyDescent="0.25">
      <c r="A8281">
        <v>8280</v>
      </c>
      <c r="B8281" s="23">
        <v>79.68882275</v>
      </c>
      <c r="C8281" s="23">
        <v>0</v>
      </c>
    </row>
    <row r="8282" spans="1:3" x14ac:dyDescent="0.25">
      <c r="A8282">
        <v>8281</v>
      </c>
      <c r="B8282" s="23">
        <v>79.68882275</v>
      </c>
      <c r="C8282" s="23">
        <v>0</v>
      </c>
    </row>
    <row r="8283" spans="1:3" x14ac:dyDescent="0.25">
      <c r="A8283">
        <v>8282</v>
      </c>
      <c r="B8283" s="23">
        <v>79.68882275</v>
      </c>
      <c r="C8283" s="23">
        <v>0</v>
      </c>
    </row>
    <row r="8284" spans="1:3" x14ac:dyDescent="0.25">
      <c r="A8284">
        <v>8283</v>
      </c>
      <c r="B8284" s="23">
        <v>79.66</v>
      </c>
      <c r="C8284" s="23">
        <v>0</v>
      </c>
    </row>
    <row r="8285" spans="1:3" x14ac:dyDescent="0.25">
      <c r="A8285">
        <v>8284</v>
      </c>
      <c r="B8285" s="23">
        <v>79.653000000000006</v>
      </c>
      <c r="C8285" s="23">
        <v>0</v>
      </c>
    </row>
    <row r="8286" spans="1:3" x14ac:dyDescent="0.25">
      <c r="A8286">
        <v>8285</v>
      </c>
      <c r="B8286" s="23">
        <v>79.485616250000007</v>
      </c>
      <c r="C8286" s="23">
        <v>0</v>
      </c>
    </row>
    <row r="8287" spans="1:3" x14ac:dyDescent="0.25">
      <c r="A8287">
        <v>8286</v>
      </c>
      <c r="B8287" s="23">
        <v>79.437073130000002</v>
      </c>
      <c r="C8287" s="23">
        <v>0</v>
      </c>
    </row>
    <row r="8288" spans="1:3" x14ac:dyDescent="0.25">
      <c r="A8288">
        <v>8287</v>
      </c>
      <c r="B8288" s="23">
        <v>79.428649179999994</v>
      </c>
      <c r="C8288" s="23">
        <v>0</v>
      </c>
    </row>
    <row r="8289" spans="1:3" x14ac:dyDescent="0.25">
      <c r="A8289">
        <v>8288</v>
      </c>
      <c r="B8289" s="23">
        <v>79.428649179999994</v>
      </c>
      <c r="C8289" s="23">
        <v>0</v>
      </c>
    </row>
    <row r="8290" spans="1:3" x14ac:dyDescent="0.25">
      <c r="A8290">
        <v>8289</v>
      </c>
      <c r="B8290" s="23">
        <v>79.355056619999999</v>
      </c>
      <c r="C8290" s="23">
        <v>0</v>
      </c>
    </row>
    <row r="8291" spans="1:3" x14ac:dyDescent="0.25">
      <c r="A8291">
        <v>8290</v>
      </c>
      <c r="B8291" s="23">
        <v>79.350145249999997</v>
      </c>
      <c r="C8291" s="23">
        <v>0</v>
      </c>
    </row>
    <row r="8292" spans="1:3" x14ac:dyDescent="0.25">
      <c r="A8292">
        <v>8291</v>
      </c>
      <c r="B8292" s="23">
        <v>79.343172480000007</v>
      </c>
      <c r="C8292" s="23">
        <v>0</v>
      </c>
    </row>
    <row r="8293" spans="1:3" x14ac:dyDescent="0.25">
      <c r="A8293">
        <v>8292</v>
      </c>
      <c r="B8293" s="23">
        <v>79.281000000000006</v>
      </c>
      <c r="C8293" s="23">
        <v>0</v>
      </c>
    </row>
    <row r="8294" spans="1:3" x14ac:dyDescent="0.25">
      <c r="A8294">
        <v>8293</v>
      </c>
      <c r="B8294" s="23">
        <v>79.239999999999995</v>
      </c>
      <c r="C8294" s="23">
        <v>0</v>
      </c>
    </row>
    <row r="8295" spans="1:3" x14ac:dyDescent="0.25">
      <c r="A8295">
        <v>8294</v>
      </c>
      <c r="B8295" s="23">
        <v>79.2</v>
      </c>
      <c r="C8295" s="23">
        <v>0</v>
      </c>
    </row>
    <row r="8296" spans="1:3" x14ac:dyDescent="0.25">
      <c r="A8296">
        <v>8295</v>
      </c>
      <c r="B8296" s="23">
        <v>79.2</v>
      </c>
      <c r="C8296" s="23">
        <v>0</v>
      </c>
    </row>
    <row r="8297" spans="1:3" x14ac:dyDescent="0.25">
      <c r="A8297">
        <v>8296</v>
      </c>
      <c r="B8297" s="23">
        <v>79.066999999999993</v>
      </c>
      <c r="C8297" s="23">
        <v>0</v>
      </c>
    </row>
    <row r="8298" spans="1:3" x14ac:dyDescent="0.25">
      <c r="A8298">
        <v>8297</v>
      </c>
      <c r="B8298" s="23">
        <v>79.057000000000002</v>
      </c>
      <c r="C8298" s="23">
        <v>0</v>
      </c>
    </row>
    <row r="8299" spans="1:3" x14ac:dyDescent="0.25">
      <c r="A8299">
        <v>8298</v>
      </c>
      <c r="B8299" s="23">
        <v>78.972619460000004</v>
      </c>
      <c r="C8299" s="23">
        <v>0</v>
      </c>
    </row>
    <row r="8300" spans="1:3" x14ac:dyDescent="0.25">
      <c r="A8300">
        <v>8299</v>
      </c>
      <c r="B8300" s="23">
        <v>78.931778929999993</v>
      </c>
      <c r="C8300" s="23">
        <v>0</v>
      </c>
    </row>
    <row r="8301" spans="1:3" x14ac:dyDescent="0.25">
      <c r="A8301">
        <v>8300</v>
      </c>
      <c r="B8301" s="23">
        <v>78.900999999999996</v>
      </c>
      <c r="C8301" s="23">
        <v>0</v>
      </c>
    </row>
    <row r="8302" spans="1:3" x14ac:dyDescent="0.25">
      <c r="A8302">
        <v>8301</v>
      </c>
      <c r="B8302" s="23">
        <v>78.852999999999994</v>
      </c>
      <c r="C8302" s="23">
        <v>0</v>
      </c>
    </row>
    <row r="8303" spans="1:3" x14ac:dyDescent="0.25">
      <c r="A8303">
        <v>8302</v>
      </c>
      <c r="B8303" s="23">
        <v>78.837631290000004</v>
      </c>
      <c r="C8303" s="23">
        <v>0</v>
      </c>
    </row>
    <row r="8304" spans="1:3" x14ac:dyDescent="0.25">
      <c r="A8304">
        <v>8303</v>
      </c>
      <c r="B8304" s="23">
        <v>78.759451859999999</v>
      </c>
      <c r="C8304" s="23">
        <v>0</v>
      </c>
    </row>
    <row r="8305" spans="1:3" x14ac:dyDescent="0.25">
      <c r="A8305">
        <v>8304</v>
      </c>
      <c r="B8305" s="23">
        <v>78.737965279999997</v>
      </c>
      <c r="C8305" s="23">
        <v>0</v>
      </c>
    </row>
    <row r="8306" spans="1:3" x14ac:dyDescent="0.25">
      <c r="A8306">
        <v>8305</v>
      </c>
      <c r="B8306" s="23">
        <v>78.737965279999997</v>
      </c>
      <c r="C8306" s="23">
        <v>0</v>
      </c>
    </row>
    <row r="8307" spans="1:3" x14ac:dyDescent="0.25">
      <c r="A8307">
        <v>8306</v>
      </c>
      <c r="B8307" s="23">
        <v>78.737965279999997</v>
      </c>
      <c r="C8307" s="23">
        <v>0</v>
      </c>
    </row>
    <row r="8308" spans="1:3" x14ac:dyDescent="0.25">
      <c r="A8308">
        <v>8307</v>
      </c>
      <c r="B8308" s="23">
        <v>78.737965279999997</v>
      </c>
      <c r="C8308" s="23">
        <v>0</v>
      </c>
    </row>
    <row r="8309" spans="1:3" x14ac:dyDescent="0.25">
      <c r="A8309">
        <v>8308</v>
      </c>
      <c r="B8309" s="23">
        <v>78.70064069</v>
      </c>
      <c r="C8309" s="23">
        <v>0</v>
      </c>
    </row>
    <row r="8310" spans="1:3" x14ac:dyDescent="0.25">
      <c r="A8310">
        <v>8309</v>
      </c>
      <c r="B8310" s="23">
        <v>78.594097550000001</v>
      </c>
      <c r="C8310" s="23">
        <v>0</v>
      </c>
    </row>
    <row r="8311" spans="1:3" x14ac:dyDescent="0.25">
      <c r="A8311">
        <v>8310</v>
      </c>
      <c r="B8311" s="23">
        <v>78.546284249999999</v>
      </c>
      <c r="C8311" s="23">
        <v>0</v>
      </c>
    </row>
    <row r="8312" spans="1:3" x14ac:dyDescent="0.25">
      <c r="A8312">
        <v>8311</v>
      </c>
      <c r="B8312" s="23">
        <v>78.511669549999993</v>
      </c>
      <c r="C8312" s="23">
        <v>0</v>
      </c>
    </row>
    <row r="8313" spans="1:3" x14ac:dyDescent="0.25">
      <c r="A8313">
        <v>8312</v>
      </c>
      <c r="B8313" s="23">
        <v>78.42</v>
      </c>
      <c r="C8313" s="23">
        <v>0</v>
      </c>
    </row>
    <row r="8314" spans="1:3" x14ac:dyDescent="0.25">
      <c r="A8314">
        <v>8313</v>
      </c>
      <c r="B8314" s="23">
        <v>78.400000000000006</v>
      </c>
      <c r="C8314" s="23">
        <v>0</v>
      </c>
    </row>
    <row r="8315" spans="1:3" x14ac:dyDescent="0.25">
      <c r="A8315">
        <v>8314</v>
      </c>
      <c r="B8315" s="23">
        <v>78.400000000000006</v>
      </c>
      <c r="C8315" s="23">
        <v>0</v>
      </c>
    </row>
    <row r="8316" spans="1:3" x14ac:dyDescent="0.25">
      <c r="A8316">
        <v>8315</v>
      </c>
      <c r="B8316" s="23">
        <v>78.321524100000005</v>
      </c>
      <c r="C8316" s="23">
        <v>0</v>
      </c>
    </row>
    <row r="8317" spans="1:3" x14ac:dyDescent="0.25">
      <c r="A8317">
        <v>8316</v>
      </c>
      <c r="B8317" s="23">
        <v>78.114968500000003</v>
      </c>
      <c r="C8317" s="23">
        <v>0</v>
      </c>
    </row>
    <row r="8318" spans="1:3" x14ac:dyDescent="0.25">
      <c r="A8318">
        <v>8317</v>
      </c>
      <c r="B8318" s="23">
        <v>78.047281369999993</v>
      </c>
      <c r="C8318" s="23">
        <v>0</v>
      </c>
    </row>
    <row r="8319" spans="1:3" x14ac:dyDescent="0.25">
      <c r="A8319">
        <v>8318</v>
      </c>
      <c r="B8319" s="23">
        <v>77.693839659999995</v>
      </c>
      <c r="C8319" s="23">
        <v>0</v>
      </c>
    </row>
    <row r="8320" spans="1:3" x14ac:dyDescent="0.25">
      <c r="A8320">
        <v>8319</v>
      </c>
      <c r="B8320" s="23">
        <v>77.625</v>
      </c>
      <c r="C8320" s="23">
        <v>0</v>
      </c>
    </row>
    <row r="8321" spans="1:3" x14ac:dyDescent="0.25">
      <c r="A8321">
        <v>8320</v>
      </c>
      <c r="B8321" s="23">
        <v>77.599999999999994</v>
      </c>
      <c r="C8321" s="23">
        <v>0</v>
      </c>
    </row>
    <row r="8322" spans="1:3" x14ac:dyDescent="0.25">
      <c r="A8322">
        <v>8321</v>
      </c>
      <c r="B8322" s="23">
        <v>77.379044690000001</v>
      </c>
      <c r="C8322" s="23">
        <v>0</v>
      </c>
    </row>
    <row r="8323" spans="1:3" x14ac:dyDescent="0.25">
      <c r="A8323">
        <v>8322</v>
      </c>
      <c r="B8323" s="23">
        <v>77.356597460000003</v>
      </c>
      <c r="C8323" s="23">
        <v>0</v>
      </c>
    </row>
    <row r="8324" spans="1:3" x14ac:dyDescent="0.25">
      <c r="A8324">
        <v>8323</v>
      </c>
      <c r="B8324" s="23">
        <v>77.356597460000003</v>
      </c>
      <c r="C8324" s="23">
        <v>0</v>
      </c>
    </row>
    <row r="8325" spans="1:3" x14ac:dyDescent="0.25">
      <c r="A8325">
        <v>8324</v>
      </c>
      <c r="B8325" s="23">
        <v>77.356597460000003</v>
      </c>
      <c r="C8325" s="23">
        <v>0</v>
      </c>
    </row>
    <row r="8326" spans="1:3" x14ac:dyDescent="0.25">
      <c r="A8326">
        <v>8325</v>
      </c>
      <c r="B8326" s="23">
        <v>77.075999999999993</v>
      </c>
      <c r="C8326" s="23">
        <v>0</v>
      </c>
    </row>
    <row r="8327" spans="1:3" x14ac:dyDescent="0.25">
      <c r="A8327">
        <v>8326</v>
      </c>
      <c r="B8327" s="23">
        <v>76.987081570000001</v>
      </c>
      <c r="C8327" s="23">
        <v>0</v>
      </c>
    </row>
    <row r="8328" spans="1:3" x14ac:dyDescent="0.25">
      <c r="A8328">
        <v>8327</v>
      </c>
      <c r="B8328" s="23">
        <v>76.876009760000002</v>
      </c>
      <c r="C8328" s="23">
        <v>0</v>
      </c>
    </row>
    <row r="8329" spans="1:3" x14ac:dyDescent="0.25">
      <c r="A8329">
        <v>8328</v>
      </c>
      <c r="B8329" s="23">
        <v>76.8</v>
      </c>
      <c r="C8329" s="23">
        <v>0</v>
      </c>
    </row>
    <row r="8330" spans="1:3" x14ac:dyDescent="0.25">
      <c r="A8330">
        <v>8329</v>
      </c>
      <c r="B8330" s="23">
        <v>76.8</v>
      </c>
      <c r="C8330" s="23">
        <v>0</v>
      </c>
    </row>
    <row r="8331" spans="1:3" x14ac:dyDescent="0.25">
      <c r="A8331">
        <v>8330</v>
      </c>
      <c r="B8331" s="23">
        <v>76.8</v>
      </c>
      <c r="C8331" s="23">
        <v>0</v>
      </c>
    </row>
    <row r="8332" spans="1:3" x14ac:dyDescent="0.25">
      <c r="A8332">
        <v>8331</v>
      </c>
      <c r="B8332" s="23">
        <v>76.8</v>
      </c>
      <c r="C8332" s="23">
        <v>0</v>
      </c>
    </row>
    <row r="8333" spans="1:3" x14ac:dyDescent="0.25">
      <c r="A8333">
        <v>8332</v>
      </c>
      <c r="B8333" s="23">
        <v>76.776196279999994</v>
      </c>
      <c r="C8333" s="23">
        <v>0</v>
      </c>
    </row>
    <row r="8334" spans="1:3" x14ac:dyDescent="0.25">
      <c r="A8334">
        <v>8333</v>
      </c>
      <c r="B8334" s="23">
        <v>76.614000000000004</v>
      </c>
      <c r="C8334" s="23">
        <v>0</v>
      </c>
    </row>
    <row r="8335" spans="1:3" x14ac:dyDescent="0.25">
      <c r="A8335">
        <v>8334</v>
      </c>
      <c r="B8335" s="23">
        <v>76.501269840000006</v>
      </c>
      <c r="C8335" s="23">
        <v>0</v>
      </c>
    </row>
    <row r="8336" spans="1:3" x14ac:dyDescent="0.25">
      <c r="A8336">
        <v>8335</v>
      </c>
      <c r="B8336" s="23">
        <v>76.201428629999995</v>
      </c>
      <c r="C8336" s="23">
        <v>0</v>
      </c>
    </row>
    <row r="8337" spans="1:3" x14ac:dyDescent="0.25">
      <c r="A8337">
        <v>8336</v>
      </c>
      <c r="B8337" s="23">
        <v>76.02</v>
      </c>
      <c r="C8337" s="23">
        <v>0</v>
      </c>
    </row>
    <row r="8338" spans="1:3" x14ac:dyDescent="0.25">
      <c r="A8338">
        <v>8337</v>
      </c>
      <c r="B8338" s="23">
        <v>76</v>
      </c>
      <c r="C8338" s="23">
        <v>0</v>
      </c>
    </row>
    <row r="8339" spans="1:3" x14ac:dyDescent="0.25">
      <c r="A8339">
        <v>8338</v>
      </c>
      <c r="B8339" s="23">
        <v>76</v>
      </c>
      <c r="C8339" s="23">
        <v>0</v>
      </c>
    </row>
    <row r="8340" spans="1:3" x14ac:dyDescent="0.25">
      <c r="A8340">
        <v>8339</v>
      </c>
      <c r="B8340" s="23">
        <v>75.975229650000003</v>
      </c>
      <c r="C8340" s="23">
        <v>0</v>
      </c>
    </row>
    <row r="8341" spans="1:3" x14ac:dyDescent="0.25">
      <c r="A8341">
        <v>8340</v>
      </c>
      <c r="B8341" s="23">
        <v>75.749030669999996</v>
      </c>
      <c r="C8341" s="23">
        <v>0</v>
      </c>
    </row>
    <row r="8342" spans="1:3" x14ac:dyDescent="0.25">
      <c r="A8342">
        <v>8341</v>
      </c>
      <c r="B8342" s="23">
        <v>75.724303820000003</v>
      </c>
      <c r="C8342" s="23">
        <v>0</v>
      </c>
    </row>
    <row r="8343" spans="1:3" x14ac:dyDescent="0.25">
      <c r="A8343">
        <v>8342</v>
      </c>
      <c r="B8343" s="23">
        <v>75.611000000000004</v>
      </c>
      <c r="C8343" s="23">
        <v>0</v>
      </c>
    </row>
    <row r="8344" spans="1:3" x14ac:dyDescent="0.25">
      <c r="A8344">
        <v>8343</v>
      </c>
      <c r="B8344" s="23">
        <v>75.453000000000003</v>
      </c>
      <c r="C8344" s="23">
        <v>0</v>
      </c>
    </row>
    <row r="8345" spans="1:3" x14ac:dyDescent="0.25">
      <c r="A8345">
        <v>8344</v>
      </c>
      <c r="B8345" s="23">
        <v>75.31689471</v>
      </c>
      <c r="C8345" s="23">
        <v>0</v>
      </c>
    </row>
    <row r="8346" spans="1:3" x14ac:dyDescent="0.25">
      <c r="A8346">
        <v>8345</v>
      </c>
      <c r="B8346" s="23">
        <v>75.284545750000007</v>
      </c>
      <c r="C8346" s="23">
        <v>0</v>
      </c>
    </row>
    <row r="8347" spans="1:3" x14ac:dyDescent="0.25">
      <c r="A8347">
        <v>8346</v>
      </c>
      <c r="B8347" s="23">
        <v>75.2</v>
      </c>
      <c r="C8347" s="23">
        <v>0</v>
      </c>
    </row>
    <row r="8348" spans="1:3" x14ac:dyDescent="0.25">
      <c r="A8348">
        <v>8347</v>
      </c>
      <c r="B8348" s="23">
        <v>75.162999999999997</v>
      </c>
      <c r="C8348" s="23">
        <v>0</v>
      </c>
    </row>
    <row r="8349" spans="1:3" x14ac:dyDescent="0.25">
      <c r="A8349">
        <v>8348</v>
      </c>
      <c r="B8349" s="23">
        <v>75.159509290000003</v>
      </c>
      <c r="C8349" s="23">
        <v>0</v>
      </c>
    </row>
    <row r="8350" spans="1:3" x14ac:dyDescent="0.25">
      <c r="A8350">
        <v>8349</v>
      </c>
      <c r="B8350" s="23">
        <v>74.960999999999999</v>
      </c>
      <c r="C8350" s="23">
        <v>0</v>
      </c>
    </row>
    <row r="8351" spans="1:3" x14ac:dyDescent="0.25">
      <c r="A8351">
        <v>8350</v>
      </c>
      <c r="B8351" s="23">
        <v>74.903000000000006</v>
      </c>
      <c r="C8351" s="23">
        <v>0</v>
      </c>
    </row>
    <row r="8352" spans="1:3" x14ac:dyDescent="0.25">
      <c r="A8352">
        <v>8351</v>
      </c>
      <c r="B8352" s="23">
        <v>74.870637310000006</v>
      </c>
      <c r="C8352" s="23">
        <v>0</v>
      </c>
    </row>
    <row r="8353" spans="1:3" x14ac:dyDescent="0.25">
      <c r="A8353">
        <v>8352</v>
      </c>
      <c r="B8353" s="23">
        <v>74.669423030000004</v>
      </c>
      <c r="C8353" s="23">
        <v>0</v>
      </c>
    </row>
    <row r="8354" spans="1:3" x14ac:dyDescent="0.25">
      <c r="A8354">
        <v>8353</v>
      </c>
      <c r="B8354" s="23">
        <v>74.649000000000001</v>
      </c>
      <c r="C8354" s="23">
        <v>0</v>
      </c>
    </row>
    <row r="8355" spans="1:3" x14ac:dyDescent="0.25">
      <c r="A8355">
        <v>8354</v>
      </c>
      <c r="B8355" s="23">
        <v>74.611648630000005</v>
      </c>
      <c r="C8355" s="23">
        <v>0</v>
      </c>
    </row>
    <row r="8356" spans="1:3" x14ac:dyDescent="0.25">
      <c r="A8356">
        <v>8355</v>
      </c>
      <c r="B8356" s="23">
        <v>74.593861840000002</v>
      </c>
      <c r="C8356" s="23">
        <v>0</v>
      </c>
    </row>
    <row r="8357" spans="1:3" x14ac:dyDescent="0.25">
      <c r="A8357">
        <v>8356</v>
      </c>
      <c r="B8357" s="23">
        <v>74.593861840000002</v>
      </c>
      <c r="C8357" s="23">
        <v>0</v>
      </c>
    </row>
    <row r="8358" spans="1:3" x14ac:dyDescent="0.25">
      <c r="A8358">
        <v>8357</v>
      </c>
      <c r="B8358" s="23">
        <v>74.478999999999999</v>
      </c>
      <c r="C8358" s="23">
        <v>0</v>
      </c>
    </row>
    <row r="8359" spans="1:3" x14ac:dyDescent="0.25">
      <c r="A8359">
        <v>8358</v>
      </c>
      <c r="B8359" s="23">
        <v>74.453999999999994</v>
      </c>
      <c r="C8359" s="23">
        <v>0</v>
      </c>
    </row>
    <row r="8360" spans="1:3" x14ac:dyDescent="0.25">
      <c r="A8360">
        <v>8359</v>
      </c>
      <c r="B8360" s="23">
        <v>74.358636619999999</v>
      </c>
      <c r="C8360" s="23">
        <v>0</v>
      </c>
    </row>
    <row r="8361" spans="1:3" x14ac:dyDescent="0.25">
      <c r="A8361">
        <v>8360</v>
      </c>
      <c r="B8361" s="23">
        <v>74.164395110000001</v>
      </c>
      <c r="C8361" s="23">
        <v>0</v>
      </c>
    </row>
    <row r="8362" spans="1:3" x14ac:dyDescent="0.25">
      <c r="A8362">
        <v>8361</v>
      </c>
      <c r="B8362" s="23">
        <v>73.997909649999997</v>
      </c>
      <c r="C8362" s="23">
        <v>0</v>
      </c>
    </row>
    <row r="8363" spans="1:3" x14ac:dyDescent="0.25">
      <c r="A8363">
        <v>8362</v>
      </c>
      <c r="B8363" s="23">
        <v>73.903177929999998</v>
      </c>
      <c r="C8363" s="23">
        <v>0</v>
      </c>
    </row>
    <row r="8364" spans="1:3" x14ac:dyDescent="0.25">
      <c r="A8364">
        <v>8363</v>
      </c>
      <c r="B8364" s="23">
        <v>73.28</v>
      </c>
      <c r="C8364" s="23">
        <v>0</v>
      </c>
    </row>
    <row r="8365" spans="1:3" x14ac:dyDescent="0.25">
      <c r="A8365">
        <v>8364</v>
      </c>
      <c r="B8365" s="23">
        <v>73.062877900000004</v>
      </c>
      <c r="C8365" s="23">
        <v>0</v>
      </c>
    </row>
    <row r="8366" spans="1:3" x14ac:dyDescent="0.25">
      <c r="A8366">
        <v>8365</v>
      </c>
      <c r="B8366" s="23">
        <v>73.025053260000007</v>
      </c>
      <c r="C8366" s="23">
        <v>0</v>
      </c>
    </row>
    <row r="8367" spans="1:3" x14ac:dyDescent="0.25">
      <c r="A8367">
        <v>8366</v>
      </c>
      <c r="B8367" s="23">
        <v>72.99496164</v>
      </c>
      <c r="C8367" s="23">
        <v>0</v>
      </c>
    </row>
    <row r="8368" spans="1:3" x14ac:dyDescent="0.25">
      <c r="A8368">
        <v>8367</v>
      </c>
      <c r="B8368" s="23">
        <v>72.920680079999997</v>
      </c>
      <c r="C8368" s="23">
        <v>0</v>
      </c>
    </row>
    <row r="8369" spans="1:3" x14ac:dyDescent="0.25">
      <c r="A8369">
        <v>8368</v>
      </c>
      <c r="B8369" s="23">
        <v>72.8</v>
      </c>
      <c r="C8369" s="23">
        <v>0</v>
      </c>
    </row>
    <row r="8370" spans="1:3" x14ac:dyDescent="0.25">
      <c r="A8370">
        <v>8369</v>
      </c>
      <c r="B8370" s="23">
        <v>72.8</v>
      </c>
      <c r="C8370" s="23">
        <v>0</v>
      </c>
    </row>
    <row r="8371" spans="1:3" x14ac:dyDescent="0.25">
      <c r="A8371">
        <v>8370</v>
      </c>
      <c r="B8371" s="23">
        <v>72.8</v>
      </c>
      <c r="C8371" s="23">
        <v>0</v>
      </c>
    </row>
    <row r="8372" spans="1:3" x14ac:dyDescent="0.25">
      <c r="A8372">
        <v>8371</v>
      </c>
      <c r="B8372" s="23">
        <v>72.771000000000001</v>
      </c>
      <c r="C8372" s="23">
        <v>0</v>
      </c>
    </row>
    <row r="8373" spans="1:3" x14ac:dyDescent="0.25">
      <c r="A8373">
        <v>8372</v>
      </c>
      <c r="B8373" s="23">
        <v>72.487941500000005</v>
      </c>
      <c r="C8373" s="23">
        <v>0</v>
      </c>
    </row>
    <row r="8374" spans="1:3" x14ac:dyDescent="0.25">
      <c r="A8374">
        <v>8373</v>
      </c>
      <c r="B8374" s="23">
        <v>72</v>
      </c>
      <c r="C8374" s="23">
        <v>0</v>
      </c>
    </row>
    <row r="8375" spans="1:3" x14ac:dyDescent="0.25">
      <c r="A8375">
        <v>8374</v>
      </c>
      <c r="B8375" s="23">
        <v>71.831126220000002</v>
      </c>
      <c r="C8375" s="23">
        <v>0</v>
      </c>
    </row>
    <row r="8376" spans="1:3" x14ac:dyDescent="0.25">
      <c r="A8376">
        <v>8375</v>
      </c>
      <c r="B8376" s="23">
        <v>71.56521291</v>
      </c>
      <c r="C8376" s="23">
        <v>0</v>
      </c>
    </row>
    <row r="8377" spans="1:3" x14ac:dyDescent="0.25">
      <c r="A8377">
        <v>8376</v>
      </c>
      <c r="B8377" s="23">
        <v>71.47</v>
      </c>
      <c r="C8377" s="23">
        <v>0</v>
      </c>
    </row>
    <row r="8378" spans="1:3" x14ac:dyDescent="0.25">
      <c r="A8378">
        <v>8377</v>
      </c>
      <c r="B8378" s="23">
        <v>71.433000000000007</v>
      </c>
      <c r="C8378" s="23">
        <v>0</v>
      </c>
    </row>
    <row r="8379" spans="1:3" x14ac:dyDescent="0.25">
      <c r="A8379">
        <v>8378</v>
      </c>
      <c r="B8379" s="23">
        <v>70.537999999999997</v>
      </c>
      <c r="C8379" s="23">
        <v>0</v>
      </c>
    </row>
    <row r="8380" spans="1:3" x14ac:dyDescent="0.25">
      <c r="A8380">
        <v>8379</v>
      </c>
      <c r="B8380" s="23">
        <v>70.449758399999993</v>
      </c>
      <c r="C8380" s="23">
        <v>0</v>
      </c>
    </row>
    <row r="8381" spans="1:3" x14ac:dyDescent="0.25">
      <c r="A8381">
        <v>8380</v>
      </c>
      <c r="B8381" s="23">
        <v>70.333370639999998</v>
      </c>
      <c r="C8381" s="23">
        <v>0</v>
      </c>
    </row>
    <row r="8382" spans="1:3" x14ac:dyDescent="0.25">
      <c r="A8382">
        <v>8381</v>
      </c>
      <c r="B8382" s="23">
        <v>69.873999999999995</v>
      </c>
      <c r="C8382" s="23">
        <v>0</v>
      </c>
    </row>
    <row r="8383" spans="1:3" x14ac:dyDescent="0.25">
      <c r="A8383">
        <v>8382</v>
      </c>
      <c r="B8383" s="23">
        <v>69.844999999999999</v>
      </c>
      <c r="C8383" s="23">
        <v>0</v>
      </c>
    </row>
    <row r="8384" spans="1:3" x14ac:dyDescent="0.25">
      <c r="A8384">
        <v>8383</v>
      </c>
      <c r="B8384" s="23">
        <v>69.75</v>
      </c>
      <c r="C8384" s="23">
        <v>0</v>
      </c>
    </row>
    <row r="8385" spans="1:3" x14ac:dyDescent="0.25">
      <c r="A8385">
        <v>8384</v>
      </c>
      <c r="B8385" s="23">
        <v>69.555999999999997</v>
      </c>
      <c r="C8385" s="23">
        <v>0</v>
      </c>
    </row>
    <row r="8386" spans="1:3" x14ac:dyDescent="0.25">
      <c r="A8386">
        <v>8385</v>
      </c>
      <c r="B8386" s="23">
        <v>69.058999999999997</v>
      </c>
      <c r="C8386" s="23">
        <v>0</v>
      </c>
    </row>
    <row r="8387" spans="1:3" x14ac:dyDescent="0.25">
      <c r="A8387">
        <v>8386</v>
      </c>
      <c r="B8387" s="23">
        <v>68.887</v>
      </c>
      <c r="C8387" s="23">
        <v>0</v>
      </c>
    </row>
    <row r="8388" spans="1:3" x14ac:dyDescent="0.25">
      <c r="A8388">
        <v>8387</v>
      </c>
      <c r="B8388" s="23">
        <v>68.8</v>
      </c>
      <c r="C8388" s="23">
        <v>0</v>
      </c>
    </row>
    <row r="8389" spans="1:3" x14ac:dyDescent="0.25">
      <c r="A8389">
        <v>8388</v>
      </c>
      <c r="B8389" s="23">
        <v>68.697710850000007</v>
      </c>
      <c r="C8389" s="23">
        <v>0</v>
      </c>
    </row>
    <row r="8390" spans="1:3" x14ac:dyDescent="0.25">
      <c r="A8390">
        <v>8389</v>
      </c>
      <c r="B8390" s="23">
        <v>68.403999999999996</v>
      </c>
      <c r="C8390" s="23">
        <v>0</v>
      </c>
    </row>
    <row r="8391" spans="1:3" x14ac:dyDescent="0.25">
      <c r="A8391">
        <v>8390</v>
      </c>
      <c r="B8391" s="23">
        <v>67.2</v>
      </c>
      <c r="C8391" s="23">
        <v>0</v>
      </c>
    </row>
    <row r="8392" spans="1:3" x14ac:dyDescent="0.25">
      <c r="A8392">
        <v>8391</v>
      </c>
      <c r="B8392" s="23">
        <v>66.996338879999996</v>
      </c>
      <c r="C8392" s="23">
        <v>0</v>
      </c>
    </row>
    <row r="8393" spans="1:3" x14ac:dyDescent="0.25">
      <c r="A8393">
        <v>8392</v>
      </c>
      <c r="B8393" s="23">
        <v>66.932320579999995</v>
      </c>
      <c r="C8393" s="23">
        <v>0</v>
      </c>
    </row>
    <row r="8394" spans="1:3" x14ac:dyDescent="0.25">
      <c r="A8394">
        <v>8393</v>
      </c>
      <c r="B8394" s="23">
        <v>66.864999999999995</v>
      </c>
      <c r="C8394" s="23">
        <v>0</v>
      </c>
    </row>
    <row r="8395" spans="1:3" x14ac:dyDescent="0.25">
      <c r="A8395">
        <v>8394</v>
      </c>
      <c r="B8395" s="23">
        <v>66.305654970000006</v>
      </c>
      <c r="C8395" s="23">
        <v>0</v>
      </c>
    </row>
    <row r="8396" spans="1:3" x14ac:dyDescent="0.25">
      <c r="A8396">
        <v>8395</v>
      </c>
      <c r="B8396" s="23">
        <v>66.072000000000003</v>
      </c>
      <c r="C8396" s="23">
        <v>0</v>
      </c>
    </row>
    <row r="8397" spans="1:3" x14ac:dyDescent="0.25">
      <c r="A8397">
        <v>8396</v>
      </c>
      <c r="B8397" s="23">
        <v>65.492000000000004</v>
      </c>
      <c r="C8397" s="23">
        <v>0</v>
      </c>
    </row>
    <row r="8398" spans="1:3" x14ac:dyDescent="0.25">
      <c r="A8398">
        <v>8397</v>
      </c>
      <c r="B8398" s="23">
        <v>65.31</v>
      </c>
      <c r="C8398" s="23">
        <v>0</v>
      </c>
    </row>
    <row r="8399" spans="1:3" x14ac:dyDescent="0.25">
      <c r="A8399">
        <v>8398</v>
      </c>
      <c r="B8399" s="23">
        <v>64.271000000000001</v>
      </c>
      <c r="C8399" s="23">
        <v>0</v>
      </c>
    </row>
    <row r="8400" spans="1:3" x14ac:dyDescent="0.25">
      <c r="A8400">
        <v>8399</v>
      </c>
      <c r="B8400" s="23">
        <v>64.132999999999996</v>
      </c>
      <c r="C8400" s="23">
        <v>0</v>
      </c>
    </row>
    <row r="8401" spans="1:3" x14ac:dyDescent="0.25">
      <c r="A8401">
        <v>8400</v>
      </c>
      <c r="B8401" s="23">
        <v>63.569000000000003</v>
      </c>
      <c r="C8401" s="23">
        <v>0</v>
      </c>
    </row>
    <row r="8402" spans="1:3" x14ac:dyDescent="0.25">
      <c r="A8402">
        <v>8401</v>
      </c>
      <c r="B8402" s="23">
        <v>62.387</v>
      </c>
      <c r="C8402" s="23">
        <v>0</v>
      </c>
    </row>
    <row r="8403" spans="1:3" x14ac:dyDescent="0.25">
      <c r="A8403">
        <v>8402</v>
      </c>
      <c r="B8403" s="23">
        <v>62.252000000000002</v>
      </c>
      <c r="C8403" s="23">
        <v>0</v>
      </c>
    </row>
    <row r="8404" spans="1:3" x14ac:dyDescent="0.25">
      <c r="A8404">
        <v>8403</v>
      </c>
      <c r="B8404" s="23">
        <v>60.615000000000002</v>
      </c>
      <c r="C8404" s="23">
        <v>0</v>
      </c>
    </row>
    <row r="8405" spans="1:3" x14ac:dyDescent="0.25">
      <c r="A8405">
        <v>8404</v>
      </c>
      <c r="B8405" s="23">
        <v>60.338000000000001</v>
      </c>
      <c r="C8405" s="23">
        <v>0</v>
      </c>
    </row>
    <row r="8406" spans="1:3" x14ac:dyDescent="0.25">
      <c r="A8406">
        <v>8405</v>
      </c>
      <c r="B8406" s="23">
        <v>60.106000000000002</v>
      </c>
      <c r="C8406" s="23">
        <v>0</v>
      </c>
    </row>
    <row r="8407" spans="1:3" x14ac:dyDescent="0.25">
      <c r="A8407">
        <v>8406</v>
      </c>
      <c r="B8407" s="23">
        <v>59.935000000000002</v>
      </c>
      <c r="C8407" s="23">
        <v>0</v>
      </c>
    </row>
    <row r="8408" spans="1:3" x14ac:dyDescent="0.25">
      <c r="A8408">
        <v>8407</v>
      </c>
      <c r="B8408" s="23">
        <v>59.771000000000001</v>
      </c>
      <c r="C8408" s="23">
        <v>0</v>
      </c>
    </row>
    <row r="8409" spans="1:3" x14ac:dyDescent="0.25">
      <c r="A8409">
        <v>8408</v>
      </c>
      <c r="B8409" s="23">
        <v>59.139000000000003</v>
      </c>
      <c r="C8409" s="23">
        <v>0</v>
      </c>
    </row>
    <row r="8410" spans="1:3" x14ac:dyDescent="0.25">
      <c r="A8410">
        <v>8409</v>
      </c>
      <c r="B8410" s="23">
        <v>57.64</v>
      </c>
      <c r="C8410" s="23">
        <v>0</v>
      </c>
    </row>
    <row r="8411" spans="1:3" x14ac:dyDescent="0.25">
      <c r="A8411">
        <v>8410</v>
      </c>
      <c r="B8411" s="23">
        <v>57.444000000000003</v>
      </c>
      <c r="C8411" s="23">
        <v>0</v>
      </c>
    </row>
    <row r="8412" spans="1:3" x14ac:dyDescent="0.25">
      <c r="A8412">
        <v>8411</v>
      </c>
      <c r="B8412" s="23">
        <v>56.963000000000001</v>
      </c>
      <c r="C8412" s="23">
        <v>0</v>
      </c>
    </row>
    <row r="8413" spans="1:3" x14ac:dyDescent="0.25">
      <c r="A8413">
        <v>8412</v>
      </c>
      <c r="B8413" s="23">
        <v>44.716000000000001</v>
      </c>
      <c r="C8413" s="23">
        <v>0</v>
      </c>
    </row>
    <row r="8414" spans="1:3" x14ac:dyDescent="0.25">
      <c r="A8414">
        <v>8413</v>
      </c>
      <c r="B8414" s="23">
        <v>39.491</v>
      </c>
      <c r="C8414" s="23">
        <v>0</v>
      </c>
    </row>
    <row r="8415" spans="1:3" x14ac:dyDescent="0.25">
      <c r="A8415">
        <v>8414</v>
      </c>
      <c r="B8415" s="23">
        <v>37.99</v>
      </c>
      <c r="C8415" s="23">
        <v>0</v>
      </c>
    </row>
    <row r="8416" spans="1:3" x14ac:dyDescent="0.25">
      <c r="A8416">
        <v>8415</v>
      </c>
      <c r="B8416" s="23">
        <v>0</v>
      </c>
      <c r="C8416" s="23">
        <v>0</v>
      </c>
    </row>
    <row r="8417" spans="1:3" x14ac:dyDescent="0.25">
      <c r="A8417">
        <v>8416</v>
      </c>
      <c r="B8417" s="23">
        <v>0</v>
      </c>
      <c r="C8417" s="23">
        <v>0</v>
      </c>
    </row>
    <row r="8418" spans="1:3" x14ac:dyDescent="0.25">
      <c r="A8418">
        <v>8417</v>
      </c>
      <c r="B8418" s="23">
        <v>0</v>
      </c>
      <c r="C8418" s="23">
        <v>0</v>
      </c>
    </row>
    <row r="8419" spans="1:3" x14ac:dyDescent="0.25">
      <c r="A8419">
        <v>8418</v>
      </c>
      <c r="B8419" s="23">
        <v>0</v>
      </c>
      <c r="C8419" s="23">
        <v>0</v>
      </c>
    </row>
    <row r="8420" spans="1:3" x14ac:dyDescent="0.25">
      <c r="A8420">
        <v>8419</v>
      </c>
      <c r="B8420" s="23">
        <v>0</v>
      </c>
      <c r="C8420" s="23">
        <v>0</v>
      </c>
    </row>
    <row r="8421" spans="1:3" x14ac:dyDescent="0.25">
      <c r="A8421">
        <v>8420</v>
      </c>
      <c r="B8421" s="23">
        <v>0</v>
      </c>
      <c r="C8421" s="23">
        <v>0</v>
      </c>
    </row>
    <row r="8422" spans="1:3" x14ac:dyDescent="0.25">
      <c r="A8422">
        <v>8421</v>
      </c>
      <c r="B8422" s="23">
        <v>0</v>
      </c>
      <c r="C8422" s="23">
        <v>0</v>
      </c>
    </row>
    <row r="8423" spans="1:3" x14ac:dyDescent="0.25">
      <c r="A8423">
        <v>8422</v>
      </c>
      <c r="B8423" s="23">
        <v>0</v>
      </c>
      <c r="C8423" s="23">
        <v>0</v>
      </c>
    </row>
    <row r="8424" spans="1:3" x14ac:dyDescent="0.25">
      <c r="A8424">
        <v>8423</v>
      </c>
      <c r="B8424" s="23">
        <v>0</v>
      </c>
      <c r="C8424" s="23">
        <v>0</v>
      </c>
    </row>
    <row r="8425" spans="1:3" x14ac:dyDescent="0.25">
      <c r="A8425">
        <v>8424</v>
      </c>
      <c r="B8425" s="23">
        <v>0</v>
      </c>
      <c r="C8425" s="23">
        <v>0</v>
      </c>
    </row>
    <row r="8426" spans="1:3" x14ac:dyDescent="0.25">
      <c r="A8426">
        <v>8425</v>
      </c>
      <c r="B8426" s="23">
        <v>0</v>
      </c>
      <c r="C8426" s="23">
        <v>0</v>
      </c>
    </row>
    <row r="8427" spans="1:3" x14ac:dyDescent="0.25">
      <c r="A8427">
        <v>8426</v>
      </c>
      <c r="B8427" s="23">
        <v>0</v>
      </c>
      <c r="C8427" s="23">
        <v>0</v>
      </c>
    </row>
    <row r="8428" spans="1:3" x14ac:dyDescent="0.25">
      <c r="A8428">
        <v>8427</v>
      </c>
      <c r="B8428" s="23">
        <v>0</v>
      </c>
      <c r="C8428" s="23">
        <v>0</v>
      </c>
    </row>
    <row r="8429" spans="1:3" x14ac:dyDescent="0.25">
      <c r="A8429">
        <v>8428</v>
      </c>
      <c r="B8429" s="23">
        <v>0</v>
      </c>
      <c r="C8429" s="23">
        <v>0</v>
      </c>
    </row>
    <row r="8430" spans="1:3" x14ac:dyDescent="0.25">
      <c r="A8430">
        <v>8429</v>
      </c>
      <c r="B8430" s="23">
        <v>0</v>
      </c>
      <c r="C8430" s="23">
        <v>0</v>
      </c>
    </row>
    <row r="8431" spans="1:3" x14ac:dyDescent="0.25">
      <c r="A8431">
        <v>8430</v>
      </c>
      <c r="B8431" s="23">
        <v>0</v>
      </c>
      <c r="C8431" s="23">
        <v>0</v>
      </c>
    </row>
    <row r="8432" spans="1:3" x14ac:dyDescent="0.25">
      <c r="A8432">
        <v>8431</v>
      </c>
      <c r="B8432" s="23">
        <v>0</v>
      </c>
      <c r="C8432" s="23">
        <v>0</v>
      </c>
    </row>
    <row r="8433" spans="1:3" x14ac:dyDescent="0.25">
      <c r="A8433">
        <v>8432</v>
      </c>
      <c r="B8433" s="23">
        <v>0</v>
      </c>
      <c r="C8433" s="23">
        <v>0</v>
      </c>
    </row>
    <row r="8434" spans="1:3" x14ac:dyDescent="0.25">
      <c r="A8434">
        <v>8433</v>
      </c>
      <c r="B8434" s="23">
        <v>0</v>
      </c>
      <c r="C8434" s="23">
        <v>0</v>
      </c>
    </row>
    <row r="8435" spans="1:3" x14ac:dyDescent="0.25">
      <c r="A8435">
        <v>8434</v>
      </c>
      <c r="B8435" s="23">
        <v>0</v>
      </c>
      <c r="C8435" s="23">
        <v>0</v>
      </c>
    </row>
    <row r="8436" spans="1:3" x14ac:dyDescent="0.25">
      <c r="A8436">
        <v>8435</v>
      </c>
      <c r="B8436" s="23">
        <v>0</v>
      </c>
      <c r="C8436" s="23">
        <v>0</v>
      </c>
    </row>
    <row r="8437" spans="1:3" x14ac:dyDescent="0.25">
      <c r="A8437">
        <v>8436</v>
      </c>
      <c r="B8437" s="23">
        <v>0</v>
      </c>
      <c r="C8437" s="23">
        <v>0</v>
      </c>
    </row>
    <row r="8438" spans="1:3" x14ac:dyDescent="0.25">
      <c r="A8438">
        <v>8437</v>
      </c>
      <c r="B8438" s="23">
        <v>0</v>
      </c>
      <c r="C8438" s="23">
        <v>0</v>
      </c>
    </row>
    <row r="8439" spans="1:3" x14ac:dyDescent="0.25">
      <c r="A8439">
        <v>8438</v>
      </c>
      <c r="B8439" s="23">
        <v>0</v>
      </c>
      <c r="C8439" s="23">
        <v>0</v>
      </c>
    </row>
    <row r="8440" spans="1:3" x14ac:dyDescent="0.25">
      <c r="A8440">
        <v>8439</v>
      </c>
      <c r="B8440" s="23">
        <v>0</v>
      </c>
      <c r="C8440" s="23">
        <v>0</v>
      </c>
    </row>
    <row r="8441" spans="1:3" x14ac:dyDescent="0.25">
      <c r="A8441">
        <v>8440</v>
      </c>
      <c r="B8441" s="23">
        <v>0</v>
      </c>
      <c r="C8441" s="23">
        <v>0</v>
      </c>
    </row>
    <row r="8442" spans="1:3" x14ac:dyDescent="0.25">
      <c r="A8442">
        <v>8441</v>
      </c>
      <c r="B8442" s="23">
        <v>0</v>
      </c>
      <c r="C8442" s="23">
        <v>0</v>
      </c>
    </row>
    <row r="8443" spans="1:3" x14ac:dyDescent="0.25">
      <c r="A8443">
        <v>8442</v>
      </c>
      <c r="B8443" s="23">
        <v>0</v>
      </c>
      <c r="C8443" s="23">
        <v>0</v>
      </c>
    </row>
    <row r="8444" spans="1:3" x14ac:dyDescent="0.25">
      <c r="A8444">
        <v>8443</v>
      </c>
      <c r="B8444" s="23">
        <v>0</v>
      </c>
      <c r="C8444" s="23">
        <v>0</v>
      </c>
    </row>
    <row r="8445" spans="1:3" x14ac:dyDescent="0.25">
      <c r="A8445">
        <v>8444</v>
      </c>
      <c r="B8445" s="23">
        <v>0</v>
      </c>
      <c r="C8445" s="23">
        <v>0</v>
      </c>
    </row>
    <row r="8446" spans="1:3" x14ac:dyDescent="0.25">
      <c r="A8446">
        <v>8445</v>
      </c>
      <c r="B8446" s="23">
        <v>0</v>
      </c>
      <c r="C8446" s="23">
        <v>0</v>
      </c>
    </row>
    <row r="8447" spans="1:3" x14ac:dyDescent="0.25">
      <c r="A8447">
        <v>8446</v>
      </c>
      <c r="B8447" s="23">
        <v>0</v>
      </c>
      <c r="C8447" s="23">
        <v>0</v>
      </c>
    </row>
    <row r="8448" spans="1:3" x14ac:dyDescent="0.25">
      <c r="A8448">
        <v>8447</v>
      </c>
      <c r="B8448" s="23">
        <v>0</v>
      </c>
      <c r="C8448" s="23">
        <v>0</v>
      </c>
    </row>
    <row r="8449" spans="1:3" x14ac:dyDescent="0.25">
      <c r="A8449">
        <v>8448</v>
      </c>
      <c r="B8449" s="23">
        <v>0</v>
      </c>
      <c r="C8449" s="23">
        <v>0</v>
      </c>
    </row>
    <row r="8450" spans="1:3" x14ac:dyDescent="0.25">
      <c r="A8450">
        <v>8449</v>
      </c>
      <c r="B8450" s="23">
        <v>0</v>
      </c>
      <c r="C8450" s="23">
        <v>0</v>
      </c>
    </row>
    <row r="8451" spans="1:3" x14ac:dyDescent="0.25">
      <c r="A8451">
        <v>8450</v>
      </c>
      <c r="B8451" s="23">
        <v>0</v>
      </c>
      <c r="C8451" s="23">
        <v>0</v>
      </c>
    </row>
    <row r="8452" spans="1:3" x14ac:dyDescent="0.25">
      <c r="A8452">
        <v>8451</v>
      </c>
      <c r="B8452" s="23">
        <v>0</v>
      </c>
      <c r="C8452" s="23">
        <v>0</v>
      </c>
    </row>
    <row r="8453" spans="1:3" x14ac:dyDescent="0.25">
      <c r="A8453">
        <v>8452</v>
      </c>
      <c r="B8453" s="23">
        <v>0</v>
      </c>
      <c r="C8453" s="23">
        <v>0</v>
      </c>
    </row>
    <row r="8454" spans="1:3" x14ac:dyDescent="0.25">
      <c r="A8454">
        <v>8453</v>
      </c>
      <c r="B8454" s="23">
        <v>0</v>
      </c>
      <c r="C8454" s="23">
        <v>0</v>
      </c>
    </row>
    <row r="8455" spans="1:3" x14ac:dyDescent="0.25">
      <c r="A8455">
        <v>8454</v>
      </c>
      <c r="B8455" s="23">
        <v>0</v>
      </c>
      <c r="C8455" s="23">
        <v>0</v>
      </c>
    </row>
    <row r="8456" spans="1:3" x14ac:dyDescent="0.25">
      <c r="A8456">
        <v>8455</v>
      </c>
      <c r="B8456" s="23">
        <v>0</v>
      </c>
      <c r="C8456" s="23">
        <v>0</v>
      </c>
    </row>
    <row r="8457" spans="1:3" x14ac:dyDescent="0.25">
      <c r="A8457">
        <v>8456</v>
      </c>
      <c r="B8457" s="23">
        <v>0</v>
      </c>
      <c r="C8457" s="23">
        <v>0</v>
      </c>
    </row>
    <row r="8458" spans="1:3" x14ac:dyDescent="0.25">
      <c r="A8458">
        <v>8457</v>
      </c>
      <c r="B8458" s="23">
        <v>0</v>
      </c>
      <c r="C8458" s="23">
        <v>0</v>
      </c>
    </row>
    <row r="8459" spans="1:3" x14ac:dyDescent="0.25">
      <c r="A8459">
        <v>8458</v>
      </c>
      <c r="B8459" s="23">
        <v>0</v>
      </c>
      <c r="C8459" s="23">
        <v>0</v>
      </c>
    </row>
    <row r="8460" spans="1:3" x14ac:dyDescent="0.25">
      <c r="A8460">
        <v>8459</v>
      </c>
      <c r="B8460" s="23">
        <v>0</v>
      </c>
      <c r="C8460" s="23">
        <v>0</v>
      </c>
    </row>
    <row r="8461" spans="1:3" x14ac:dyDescent="0.25">
      <c r="A8461">
        <v>8460</v>
      </c>
      <c r="B8461" s="23">
        <v>0</v>
      </c>
      <c r="C8461" s="23">
        <v>0</v>
      </c>
    </row>
    <row r="8462" spans="1:3" x14ac:dyDescent="0.25">
      <c r="A8462">
        <v>8461</v>
      </c>
      <c r="B8462" s="23">
        <v>0</v>
      </c>
      <c r="C8462" s="23">
        <v>0</v>
      </c>
    </row>
    <row r="8463" spans="1:3" x14ac:dyDescent="0.25">
      <c r="A8463">
        <v>8462</v>
      </c>
      <c r="B8463" s="23">
        <v>0</v>
      </c>
      <c r="C8463" s="23">
        <v>0</v>
      </c>
    </row>
    <row r="8464" spans="1:3" x14ac:dyDescent="0.25">
      <c r="A8464">
        <v>8463</v>
      </c>
      <c r="B8464" s="23">
        <v>0</v>
      </c>
      <c r="C8464" s="23">
        <v>0</v>
      </c>
    </row>
    <row r="8465" spans="1:3" x14ac:dyDescent="0.25">
      <c r="A8465">
        <v>8464</v>
      </c>
      <c r="B8465" s="23">
        <v>0</v>
      </c>
      <c r="C8465" s="23">
        <v>0</v>
      </c>
    </row>
    <row r="8466" spans="1:3" x14ac:dyDescent="0.25">
      <c r="A8466">
        <v>8465</v>
      </c>
      <c r="B8466" s="23">
        <v>0</v>
      </c>
      <c r="C8466" s="23">
        <v>0</v>
      </c>
    </row>
    <row r="8467" spans="1:3" x14ac:dyDescent="0.25">
      <c r="A8467">
        <v>8466</v>
      </c>
      <c r="B8467" s="23">
        <v>0</v>
      </c>
      <c r="C8467" s="23">
        <v>0</v>
      </c>
    </row>
    <row r="8468" spans="1:3" x14ac:dyDescent="0.25">
      <c r="A8468">
        <v>8467</v>
      </c>
      <c r="B8468" s="23">
        <v>0</v>
      </c>
      <c r="C8468" s="23">
        <v>0</v>
      </c>
    </row>
    <row r="8469" spans="1:3" x14ac:dyDescent="0.25">
      <c r="A8469">
        <v>8468</v>
      </c>
      <c r="B8469" s="23">
        <v>0</v>
      </c>
      <c r="C8469" s="23">
        <v>0</v>
      </c>
    </row>
    <row r="8470" spans="1:3" x14ac:dyDescent="0.25">
      <c r="A8470">
        <v>8469</v>
      </c>
      <c r="B8470" s="23">
        <v>0</v>
      </c>
      <c r="C8470" s="23">
        <v>0</v>
      </c>
    </row>
    <row r="8471" spans="1:3" x14ac:dyDescent="0.25">
      <c r="A8471">
        <v>8470</v>
      </c>
      <c r="B8471" s="23">
        <v>0</v>
      </c>
      <c r="C8471" s="23">
        <v>0</v>
      </c>
    </row>
    <row r="8472" spans="1:3" x14ac:dyDescent="0.25">
      <c r="A8472">
        <v>8471</v>
      </c>
      <c r="B8472" s="23">
        <v>0</v>
      </c>
      <c r="C8472" s="23">
        <v>0</v>
      </c>
    </row>
    <row r="8473" spans="1:3" x14ac:dyDescent="0.25">
      <c r="A8473">
        <v>8472</v>
      </c>
      <c r="B8473" s="23">
        <v>0</v>
      </c>
      <c r="C8473" s="23">
        <v>0</v>
      </c>
    </row>
    <row r="8474" spans="1:3" x14ac:dyDescent="0.25">
      <c r="A8474">
        <v>8473</v>
      </c>
      <c r="B8474" s="23">
        <v>0</v>
      </c>
      <c r="C8474" s="23">
        <v>0</v>
      </c>
    </row>
    <row r="8475" spans="1:3" x14ac:dyDescent="0.25">
      <c r="A8475">
        <v>8474</v>
      </c>
      <c r="B8475" s="23">
        <v>0</v>
      </c>
      <c r="C8475" s="23">
        <v>0</v>
      </c>
    </row>
    <row r="8476" spans="1:3" x14ac:dyDescent="0.25">
      <c r="A8476">
        <v>8475</v>
      </c>
      <c r="B8476" s="23">
        <v>0</v>
      </c>
      <c r="C8476" s="23">
        <v>0</v>
      </c>
    </row>
    <row r="8477" spans="1:3" x14ac:dyDescent="0.25">
      <c r="A8477">
        <v>8476</v>
      </c>
      <c r="B8477" s="23">
        <v>0</v>
      </c>
      <c r="C8477" s="23">
        <v>0</v>
      </c>
    </row>
    <row r="8478" spans="1:3" x14ac:dyDescent="0.25">
      <c r="A8478">
        <v>8477</v>
      </c>
      <c r="B8478" s="23">
        <v>0</v>
      </c>
      <c r="C8478" s="23">
        <v>0</v>
      </c>
    </row>
    <row r="8479" spans="1:3" x14ac:dyDescent="0.25">
      <c r="A8479">
        <v>8478</v>
      </c>
      <c r="B8479" s="23">
        <v>0</v>
      </c>
      <c r="C8479" s="23">
        <v>0</v>
      </c>
    </row>
    <row r="8480" spans="1:3" x14ac:dyDescent="0.25">
      <c r="A8480">
        <v>8479</v>
      </c>
      <c r="B8480" s="23">
        <v>0</v>
      </c>
      <c r="C8480" s="23">
        <v>0</v>
      </c>
    </row>
    <row r="8481" spans="1:3" x14ac:dyDescent="0.25">
      <c r="A8481">
        <v>8480</v>
      </c>
      <c r="B8481" s="23">
        <v>0</v>
      </c>
      <c r="C8481" s="23">
        <v>0</v>
      </c>
    </row>
    <row r="8482" spans="1:3" x14ac:dyDescent="0.25">
      <c r="A8482">
        <v>8481</v>
      </c>
      <c r="B8482" s="23">
        <v>0</v>
      </c>
      <c r="C8482" s="23">
        <v>0</v>
      </c>
    </row>
    <row r="8483" spans="1:3" x14ac:dyDescent="0.25">
      <c r="A8483">
        <v>8482</v>
      </c>
      <c r="B8483" s="23">
        <v>0</v>
      </c>
      <c r="C8483" s="23">
        <v>0</v>
      </c>
    </row>
    <row r="8484" spans="1:3" x14ac:dyDescent="0.25">
      <c r="A8484">
        <v>8483</v>
      </c>
      <c r="B8484" s="23">
        <v>0</v>
      </c>
      <c r="C8484" s="23">
        <v>0</v>
      </c>
    </row>
    <row r="8485" spans="1:3" x14ac:dyDescent="0.25">
      <c r="A8485">
        <v>8484</v>
      </c>
      <c r="B8485" s="23">
        <v>0</v>
      </c>
      <c r="C8485" s="23">
        <v>0</v>
      </c>
    </row>
    <row r="8486" spans="1:3" x14ac:dyDescent="0.25">
      <c r="A8486">
        <v>8485</v>
      </c>
      <c r="B8486" s="23">
        <v>0</v>
      </c>
      <c r="C8486" s="23">
        <v>0</v>
      </c>
    </row>
    <row r="8487" spans="1:3" x14ac:dyDescent="0.25">
      <c r="A8487">
        <v>8486</v>
      </c>
      <c r="B8487" s="23">
        <v>0</v>
      </c>
      <c r="C8487" s="23">
        <v>0</v>
      </c>
    </row>
    <row r="8488" spans="1:3" x14ac:dyDescent="0.25">
      <c r="A8488">
        <v>8487</v>
      </c>
      <c r="B8488" s="23">
        <v>0</v>
      </c>
      <c r="C8488" s="23">
        <v>0</v>
      </c>
    </row>
    <row r="8489" spans="1:3" x14ac:dyDescent="0.25">
      <c r="A8489">
        <v>8488</v>
      </c>
      <c r="B8489" s="23">
        <v>0</v>
      </c>
      <c r="C8489" s="23">
        <v>0</v>
      </c>
    </row>
    <row r="8490" spans="1:3" x14ac:dyDescent="0.25">
      <c r="A8490">
        <v>8489</v>
      </c>
      <c r="B8490" s="23">
        <v>0</v>
      </c>
      <c r="C8490" s="23">
        <v>0</v>
      </c>
    </row>
    <row r="8491" spans="1:3" x14ac:dyDescent="0.25">
      <c r="A8491">
        <v>8490</v>
      </c>
      <c r="B8491" s="23">
        <v>0</v>
      </c>
      <c r="C8491" s="23">
        <v>0</v>
      </c>
    </row>
    <row r="8492" spans="1:3" x14ac:dyDescent="0.25">
      <c r="A8492">
        <v>8491</v>
      </c>
      <c r="B8492" s="23">
        <v>0</v>
      </c>
      <c r="C8492" s="23">
        <v>0</v>
      </c>
    </row>
    <row r="8493" spans="1:3" x14ac:dyDescent="0.25">
      <c r="A8493">
        <v>8492</v>
      </c>
      <c r="B8493" s="23">
        <v>0</v>
      </c>
      <c r="C8493" s="23">
        <v>0</v>
      </c>
    </row>
    <row r="8494" spans="1:3" x14ac:dyDescent="0.25">
      <c r="A8494">
        <v>8493</v>
      </c>
      <c r="B8494" s="23">
        <v>0</v>
      </c>
      <c r="C8494" s="23">
        <v>0</v>
      </c>
    </row>
    <row r="8495" spans="1:3" x14ac:dyDescent="0.25">
      <c r="A8495">
        <v>8494</v>
      </c>
      <c r="B8495" s="23">
        <v>0</v>
      </c>
      <c r="C8495" s="23">
        <v>0</v>
      </c>
    </row>
    <row r="8496" spans="1:3" x14ac:dyDescent="0.25">
      <c r="A8496">
        <v>8495</v>
      </c>
      <c r="B8496" s="23">
        <v>0</v>
      </c>
      <c r="C8496" s="23">
        <v>0</v>
      </c>
    </row>
    <row r="8497" spans="1:3" x14ac:dyDescent="0.25">
      <c r="A8497">
        <v>8496</v>
      </c>
      <c r="B8497" s="23">
        <v>0</v>
      </c>
      <c r="C8497" s="23">
        <v>0</v>
      </c>
    </row>
    <row r="8498" spans="1:3" x14ac:dyDescent="0.25">
      <c r="A8498">
        <v>8497</v>
      </c>
      <c r="B8498" s="23">
        <v>0</v>
      </c>
      <c r="C8498" s="23">
        <v>0</v>
      </c>
    </row>
    <row r="8499" spans="1:3" x14ac:dyDescent="0.25">
      <c r="A8499">
        <v>8498</v>
      </c>
      <c r="B8499" s="23">
        <v>0</v>
      </c>
      <c r="C8499" s="23">
        <v>0</v>
      </c>
    </row>
    <row r="8500" spans="1:3" x14ac:dyDescent="0.25">
      <c r="A8500">
        <v>8499</v>
      </c>
      <c r="B8500" s="23">
        <v>0</v>
      </c>
      <c r="C8500" s="23">
        <v>0</v>
      </c>
    </row>
    <row r="8501" spans="1:3" x14ac:dyDescent="0.25">
      <c r="A8501">
        <v>8500</v>
      </c>
      <c r="B8501" s="23">
        <v>0</v>
      </c>
      <c r="C8501" s="23">
        <v>0</v>
      </c>
    </row>
    <row r="8502" spans="1:3" x14ac:dyDescent="0.25">
      <c r="A8502">
        <v>8501</v>
      </c>
      <c r="B8502" s="23">
        <v>0</v>
      </c>
      <c r="C8502" s="23">
        <v>0</v>
      </c>
    </row>
    <row r="8503" spans="1:3" x14ac:dyDescent="0.25">
      <c r="A8503">
        <v>8502</v>
      </c>
      <c r="B8503" s="23">
        <v>0</v>
      </c>
      <c r="C8503" s="23">
        <v>0</v>
      </c>
    </row>
    <row r="8504" spans="1:3" x14ac:dyDescent="0.25">
      <c r="A8504">
        <v>8503</v>
      </c>
      <c r="B8504" s="23">
        <v>0</v>
      </c>
      <c r="C8504" s="23">
        <v>0</v>
      </c>
    </row>
    <row r="8505" spans="1:3" x14ac:dyDescent="0.25">
      <c r="A8505">
        <v>8504</v>
      </c>
      <c r="B8505" s="23">
        <v>0</v>
      </c>
      <c r="C8505" s="23">
        <v>0</v>
      </c>
    </row>
    <row r="8506" spans="1:3" x14ac:dyDescent="0.25">
      <c r="A8506">
        <v>8505</v>
      </c>
      <c r="B8506" s="23">
        <v>0</v>
      </c>
      <c r="C8506" s="23">
        <v>0</v>
      </c>
    </row>
    <row r="8507" spans="1:3" x14ac:dyDescent="0.25">
      <c r="A8507">
        <v>8506</v>
      </c>
      <c r="B8507" s="23">
        <v>0</v>
      </c>
      <c r="C8507" s="23">
        <v>0</v>
      </c>
    </row>
    <row r="8508" spans="1:3" x14ac:dyDescent="0.25">
      <c r="A8508">
        <v>8507</v>
      </c>
      <c r="B8508" s="23">
        <v>0</v>
      </c>
      <c r="C8508" s="23">
        <v>0</v>
      </c>
    </row>
    <row r="8509" spans="1:3" x14ac:dyDescent="0.25">
      <c r="A8509">
        <v>8508</v>
      </c>
      <c r="B8509" s="23">
        <v>0</v>
      </c>
      <c r="C8509" s="23">
        <v>0</v>
      </c>
    </row>
    <row r="8510" spans="1:3" x14ac:dyDescent="0.25">
      <c r="A8510">
        <v>8509</v>
      </c>
      <c r="B8510" s="23">
        <v>0</v>
      </c>
      <c r="C8510" s="23">
        <v>0</v>
      </c>
    </row>
    <row r="8511" spans="1:3" x14ac:dyDescent="0.25">
      <c r="A8511">
        <v>8510</v>
      </c>
      <c r="B8511" s="23">
        <v>0</v>
      </c>
      <c r="C8511" s="23">
        <v>0</v>
      </c>
    </row>
    <row r="8512" spans="1:3" x14ac:dyDescent="0.25">
      <c r="A8512">
        <v>8511</v>
      </c>
      <c r="B8512" s="23">
        <v>0</v>
      </c>
      <c r="C8512" s="23">
        <v>0</v>
      </c>
    </row>
    <row r="8513" spans="1:3" x14ac:dyDescent="0.25">
      <c r="A8513">
        <v>8512</v>
      </c>
      <c r="B8513" s="23">
        <v>0</v>
      </c>
      <c r="C8513" s="23">
        <v>0</v>
      </c>
    </row>
    <row r="8514" spans="1:3" x14ac:dyDescent="0.25">
      <c r="A8514">
        <v>8513</v>
      </c>
      <c r="B8514" s="23">
        <v>0</v>
      </c>
      <c r="C8514" s="23">
        <v>0</v>
      </c>
    </row>
    <row r="8515" spans="1:3" x14ac:dyDescent="0.25">
      <c r="A8515">
        <v>8514</v>
      </c>
      <c r="B8515" s="23">
        <v>0</v>
      </c>
      <c r="C8515" s="23">
        <v>0</v>
      </c>
    </row>
    <row r="8516" spans="1:3" x14ac:dyDescent="0.25">
      <c r="A8516">
        <v>8515</v>
      </c>
      <c r="B8516" s="23">
        <v>0</v>
      </c>
      <c r="C8516" s="23">
        <v>0</v>
      </c>
    </row>
    <row r="8517" spans="1:3" x14ac:dyDescent="0.25">
      <c r="A8517">
        <v>8516</v>
      </c>
      <c r="B8517" s="23">
        <v>0</v>
      </c>
      <c r="C8517" s="23">
        <v>0</v>
      </c>
    </row>
    <row r="8518" spans="1:3" x14ac:dyDescent="0.25">
      <c r="A8518">
        <v>8517</v>
      </c>
      <c r="B8518" s="23">
        <v>0</v>
      </c>
      <c r="C8518" s="23">
        <v>0</v>
      </c>
    </row>
    <row r="8519" spans="1:3" x14ac:dyDescent="0.25">
      <c r="A8519">
        <v>8518</v>
      </c>
      <c r="B8519" s="23">
        <v>0</v>
      </c>
      <c r="C8519" s="23">
        <v>0</v>
      </c>
    </row>
    <row r="8520" spans="1:3" x14ac:dyDescent="0.25">
      <c r="A8520">
        <v>8519</v>
      </c>
      <c r="B8520" s="23">
        <v>0</v>
      </c>
      <c r="C8520" s="23">
        <v>0</v>
      </c>
    </row>
    <row r="8521" spans="1:3" x14ac:dyDescent="0.25">
      <c r="A8521">
        <v>8520</v>
      </c>
      <c r="B8521" s="23">
        <v>0</v>
      </c>
      <c r="C8521" s="23">
        <v>0</v>
      </c>
    </row>
    <row r="8522" spans="1:3" x14ac:dyDescent="0.25">
      <c r="A8522">
        <v>8521</v>
      </c>
      <c r="B8522" s="23">
        <v>0</v>
      </c>
      <c r="C8522" s="23">
        <v>0</v>
      </c>
    </row>
    <row r="8523" spans="1:3" x14ac:dyDescent="0.25">
      <c r="A8523">
        <v>8522</v>
      </c>
      <c r="B8523" s="23">
        <v>0</v>
      </c>
      <c r="C8523" s="23">
        <v>0</v>
      </c>
    </row>
    <row r="8524" spans="1:3" x14ac:dyDescent="0.25">
      <c r="A8524">
        <v>8523</v>
      </c>
      <c r="B8524" s="23">
        <v>0</v>
      </c>
      <c r="C8524" s="23">
        <v>0</v>
      </c>
    </row>
    <row r="8525" spans="1:3" x14ac:dyDescent="0.25">
      <c r="A8525">
        <v>8524</v>
      </c>
      <c r="B8525" s="23">
        <v>0</v>
      </c>
      <c r="C8525" s="23">
        <v>0</v>
      </c>
    </row>
    <row r="8526" spans="1:3" x14ac:dyDescent="0.25">
      <c r="A8526">
        <v>8525</v>
      </c>
      <c r="B8526" s="23">
        <v>0</v>
      </c>
      <c r="C8526" s="23">
        <v>0</v>
      </c>
    </row>
    <row r="8527" spans="1:3" x14ac:dyDescent="0.25">
      <c r="A8527">
        <v>8526</v>
      </c>
      <c r="B8527" s="23">
        <v>0</v>
      </c>
      <c r="C8527" s="23">
        <v>0</v>
      </c>
    </row>
    <row r="8528" spans="1:3" x14ac:dyDescent="0.25">
      <c r="A8528">
        <v>8527</v>
      </c>
      <c r="B8528" s="23">
        <v>0</v>
      </c>
      <c r="C8528" s="23">
        <v>0</v>
      </c>
    </row>
    <row r="8529" spans="1:3" x14ac:dyDescent="0.25">
      <c r="A8529">
        <v>8528</v>
      </c>
      <c r="B8529" s="23">
        <v>0</v>
      </c>
      <c r="C8529" s="23">
        <v>0</v>
      </c>
    </row>
    <row r="8530" spans="1:3" x14ac:dyDescent="0.25">
      <c r="A8530">
        <v>8529</v>
      </c>
      <c r="B8530" s="23">
        <v>0</v>
      </c>
      <c r="C8530" s="23">
        <v>0</v>
      </c>
    </row>
    <row r="8531" spans="1:3" x14ac:dyDescent="0.25">
      <c r="A8531">
        <v>8530</v>
      </c>
      <c r="B8531" s="23">
        <v>0</v>
      </c>
      <c r="C8531" s="23">
        <v>0</v>
      </c>
    </row>
    <row r="8532" spans="1:3" x14ac:dyDescent="0.25">
      <c r="A8532">
        <v>8531</v>
      </c>
      <c r="B8532" s="23">
        <v>0</v>
      </c>
      <c r="C8532" s="23">
        <v>0</v>
      </c>
    </row>
    <row r="8533" spans="1:3" x14ac:dyDescent="0.25">
      <c r="A8533">
        <v>8532</v>
      </c>
      <c r="B8533" s="23">
        <v>0</v>
      </c>
      <c r="C8533" s="23">
        <v>0</v>
      </c>
    </row>
    <row r="8534" spans="1:3" x14ac:dyDescent="0.25">
      <c r="A8534">
        <v>8533</v>
      </c>
      <c r="B8534" s="23">
        <v>0</v>
      </c>
      <c r="C8534" s="23">
        <v>0</v>
      </c>
    </row>
    <row r="8535" spans="1:3" x14ac:dyDescent="0.25">
      <c r="A8535">
        <v>8534</v>
      </c>
      <c r="B8535" s="23">
        <v>0</v>
      </c>
      <c r="C8535" s="23">
        <v>0</v>
      </c>
    </row>
    <row r="8536" spans="1:3" x14ac:dyDescent="0.25">
      <c r="A8536">
        <v>8535</v>
      </c>
      <c r="B8536" s="23">
        <v>0</v>
      </c>
      <c r="C8536" s="23">
        <v>0</v>
      </c>
    </row>
    <row r="8537" spans="1:3" x14ac:dyDescent="0.25">
      <c r="A8537">
        <v>8536</v>
      </c>
      <c r="B8537" s="23">
        <v>0</v>
      </c>
      <c r="C8537" s="23">
        <v>0</v>
      </c>
    </row>
    <row r="8538" spans="1:3" x14ac:dyDescent="0.25">
      <c r="A8538">
        <v>8537</v>
      </c>
      <c r="B8538" s="23">
        <v>0</v>
      </c>
      <c r="C8538" s="23">
        <v>0</v>
      </c>
    </row>
    <row r="8539" spans="1:3" x14ac:dyDescent="0.25">
      <c r="A8539">
        <v>8538</v>
      </c>
      <c r="B8539" s="23">
        <v>0</v>
      </c>
      <c r="C8539" s="23">
        <v>0</v>
      </c>
    </row>
    <row r="8540" spans="1:3" x14ac:dyDescent="0.25">
      <c r="A8540">
        <v>8539</v>
      </c>
      <c r="B8540" s="23">
        <v>0</v>
      </c>
      <c r="C8540" s="23">
        <v>0</v>
      </c>
    </row>
    <row r="8541" spans="1:3" x14ac:dyDescent="0.25">
      <c r="A8541">
        <v>8540</v>
      </c>
      <c r="B8541" s="23">
        <v>0</v>
      </c>
      <c r="C8541" s="23">
        <v>0</v>
      </c>
    </row>
    <row r="8542" spans="1:3" x14ac:dyDescent="0.25">
      <c r="A8542">
        <v>8541</v>
      </c>
      <c r="B8542" s="23">
        <v>0</v>
      </c>
      <c r="C8542" s="23">
        <v>0</v>
      </c>
    </row>
    <row r="8543" spans="1:3" x14ac:dyDescent="0.25">
      <c r="A8543">
        <v>8542</v>
      </c>
      <c r="B8543" s="23">
        <v>0</v>
      </c>
      <c r="C8543" s="23">
        <v>0</v>
      </c>
    </row>
    <row r="8544" spans="1:3" x14ac:dyDescent="0.25">
      <c r="A8544">
        <v>8543</v>
      </c>
      <c r="B8544" s="23">
        <v>0</v>
      </c>
      <c r="C8544" s="23">
        <v>0</v>
      </c>
    </row>
    <row r="8545" spans="1:3" x14ac:dyDescent="0.25">
      <c r="A8545">
        <v>8544</v>
      </c>
      <c r="B8545" s="23">
        <v>0</v>
      </c>
      <c r="C8545" s="23">
        <v>0</v>
      </c>
    </row>
    <row r="8546" spans="1:3" x14ac:dyDescent="0.25">
      <c r="A8546">
        <v>8545</v>
      </c>
      <c r="B8546" s="23">
        <v>0</v>
      </c>
      <c r="C8546" s="23">
        <v>0</v>
      </c>
    </row>
    <row r="8547" spans="1:3" x14ac:dyDescent="0.25">
      <c r="A8547">
        <v>8546</v>
      </c>
      <c r="B8547" s="23">
        <v>0</v>
      </c>
      <c r="C8547" s="23">
        <v>0</v>
      </c>
    </row>
    <row r="8548" spans="1:3" x14ac:dyDescent="0.25">
      <c r="A8548">
        <v>8547</v>
      </c>
      <c r="B8548" s="23">
        <v>0</v>
      </c>
      <c r="C8548" s="23">
        <v>0</v>
      </c>
    </row>
    <row r="8549" spans="1:3" x14ac:dyDescent="0.25">
      <c r="A8549">
        <v>8548</v>
      </c>
      <c r="B8549" s="23">
        <v>0</v>
      </c>
      <c r="C8549" s="23">
        <v>0</v>
      </c>
    </row>
    <row r="8550" spans="1:3" x14ac:dyDescent="0.25">
      <c r="A8550">
        <v>8549</v>
      </c>
      <c r="B8550" s="23">
        <v>0</v>
      </c>
      <c r="C8550" s="23">
        <v>0</v>
      </c>
    </row>
    <row r="8551" spans="1:3" x14ac:dyDescent="0.25">
      <c r="A8551">
        <v>8550</v>
      </c>
      <c r="B8551" s="23">
        <v>0</v>
      </c>
      <c r="C8551" s="23">
        <v>0</v>
      </c>
    </row>
    <row r="8552" spans="1:3" x14ac:dyDescent="0.25">
      <c r="A8552">
        <v>8551</v>
      </c>
      <c r="B8552" s="23">
        <v>0</v>
      </c>
      <c r="C8552" s="23">
        <v>0</v>
      </c>
    </row>
    <row r="8553" spans="1:3" x14ac:dyDescent="0.25">
      <c r="A8553">
        <v>8552</v>
      </c>
      <c r="B8553" s="23">
        <v>0</v>
      </c>
      <c r="C8553" s="23">
        <v>0</v>
      </c>
    </row>
    <row r="8554" spans="1:3" x14ac:dyDescent="0.25">
      <c r="A8554">
        <v>8553</v>
      </c>
      <c r="B8554" s="23">
        <v>0</v>
      </c>
      <c r="C8554" s="23">
        <v>0</v>
      </c>
    </row>
    <row r="8555" spans="1:3" x14ac:dyDescent="0.25">
      <c r="A8555">
        <v>8554</v>
      </c>
      <c r="B8555" s="23">
        <v>0</v>
      </c>
      <c r="C8555" s="23">
        <v>0</v>
      </c>
    </row>
    <row r="8556" spans="1:3" x14ac:dyDescent="0.25">
      <c r="A8556">
        <v>8555</v>
      </c>
      <c r="B8556" s="23">
        <v>0</v>
      </c>
      <c r="C8556" s="23">
        <v>0</v>
      </c>
    </row>
    <row r="8557" spans="1:3" x14ac:dyDescent="0.25">
      <c r="A8557">
        <v>8556</v>
      </c>
      <c r="B8557" s="23">
        <v>0</v>
      </c>
      <c r="C8557" s="23">
        <v>0</v>
      </c>
    </row>
    <row r="8558" spans="1:3" x14ac:dyDescent="0.25">
      <c r="A8558">
        <v>8557</v>
      </c>
      <c r="B8558" s="23">
        <v>0</v>
      </c>
      <c r="C8558" s="23">
        <v>0</v>
      </c>
    </row>
    <row r="8559" spans="1:3" x14ac:dyDescent="0.25">
      <c r="A8559">
        <v>8558</v>
      </c>
      <c r="B8559" s="23">
        <v>0</v>
      </c>
      <c r="C8559" s="23">
        <v>0</v>
      </c>
    </row>
    <row r="8560" spans="1:3" x14ac:dyDescent="0.25">
      <c r="A8560">
        <v>8559</v>
      </c>
      <c r="B8560" s="23">
        <v>0</v>
      </c>
      <c r="C8560" s="23">
        <v>0</v>
      </c>
    </row>
    <row r="8561" spans="1:3" x14ac:dyDescent="0.25">
      <c r="A8561">
        <v>8560</v>
      </c>
      <c r="B8561" s="23">
        <v>0</v>
      </c>
      <c r="C8561" s="23">
        <v>0</v>
      </c>
    </row>
    <row r="8562" spans="1:3" x14ac:dyDescent="0.25">
      <c r="A8562">
        <v>8561</v>
      </c>
      <c r="B8562" s="23">
        <v>0</v>
      </c>
      <c r="C8562" s="23">
        <v>0</v>
      </c>
    </row>
    <row r="8563" spans="1:3" x14ac:dyDescent="0.25">
      <c r="A8563">
        <v>8562</v>
      </c>
      <c r="B8563" s="23">
        <v>0</v>
      </c>
      <c r="C8563" s="23">
        <v>0</v>
      </c>
    </row>
    <row r="8564" spans="1:3" x14ac:dyDescent="0.25">
      <c r="A8564">
        <v>8563</v>
      </c>
      <c r="B8564" s="23">
        <v>0</v>
      </c>
      <c r="C8564" s="23">
        <v>0</v>
      </c>
    </row>
    <row r="8565" spans="1:3" x14ac:dyDescent="0.25">
      <c r="A8565">
        <v>8564</v>
      </c>
      <c r="B8565" s="23">
        <v>0</v>
      </c>
      <c r="C8565" s="23">
        <v>0</v>
      </c>
    </row>
    <row r="8566" spans="1:3" x14ac:dyDescent="0.25">
      <c r="A8566">
        <v>8565</v>
      </c>
      <c r="B8566" s="23">
        <v>0</v>
      </c>
      <c r="C8566" s="23">
        <v>0</v>
      </c>
    </row>
    <row r="8567" spans="1:3" x14ac:dyDescent="0.25">
      <c r="A8567">
        <v>8566</v>
      </c>
      <c r="B8567" s="23">
        <v>0</v>
      </c>
      <c r="C8567" s="23">
        <v>0</v>
      </c>
    </row>
    <row r="8568" spans="1:3" x14ac:dyDescent="0.25">
      <c r="A8568">
        <v>8567</v>
      </c>
      <c r="B8568" s="23">
        <v>0</v>
      </c>
      <c r="C8568" s="23">
        <v>0</v>
      </c>
    </row>
    <row r="8569" spans="1:3" x14ac:dyDescent="0.25">
      <c r="A8569">
        <v>8568</v>
      </c>
      <c r="B8569" s="23">
        <v>0</v>
      </c>
      <c r="C8569" s="23">
        <v>0</v>
      </c>
    </row>
    <row r="8570" spans="1:3" x14ac:dyDescent="0.25">
      <c r="A8570">
        <v>8569</v>
      </c>
      <c r="B8570" s="23">
        <v>0</v>
      </c>
      <c r="C8570" s="23">
        <v>0</v>
      </c>
    </row>
    <row r="8571" spans="1:3" x14ac:dyDescent="0.25">
      <c r="A8571">
        <v>8570</v>
      </c>
      <c r="B8571" s="23">
        <v>0</v>
      </c>
      <c r="C8571" s="23">
        <v>0</v>
      </c>
    </row>
    <row r="8572" spans="1:3" x14ac:dyDescent="0.25">
      <c r="A8572">
        <v>8571</v>
      </c>
      <c r="B8572" s="23">
        <v>0</v>
      </c>
      <c r="C8572" s="23">
        <v>0</v>
      </c>
    </row>
    <row r="8573" spans="1:3" x14ac:dyDescent="0.25">
      <c r="A8573">
        <v>8572</v>
      </c>
      <c r="B8573" s="23">
        <v>0</v>
      </c>
      <c r="C8573" s="23">
        <v>0</v>
      </c>
    </row>
    <row r="8574" spans="1:3" x14ac:dyDescent="0.25">
      <c r="A8574">
        <v>8573</v>
      </c>
      <c r="B8574" s="23">
        <v>0</v>
      </c>
      <c r="C8574" s="23">
        <v>0</v>
      </c>
    </row>
    <row r="8575" spans="1:3" x14ac:dyDescent="0.25">
      <c r="A8575">
        <v>8574</v>
      </c>
      <c r="B8575" s="23">
        <v>0</v>
      </c>
      <c r="C8575" s="23">
        <v>0</v>
      </c>
    </row>
    <row r="8576" spans="1:3" x14ac:dyDescent="0.25">
      <c r="A8576">
        <v>8575</v>
      </c>
      <c r="B8576" s="23">
        <v>0</v>
      </c>
      <c r="C8576" s="23">
        <v>0</v>
      </c>
    </row>
    <row r="8577" spans="1:3" x14ac:dyDescent="0.25">
      <c r="A8577">
        <v>8576</v>
      </c>
      <c r="B8577" s="23">
        <v>0</v>
      </c>
      <c r="C8577" s="23">
        <v>0</v>
      </c>
    </row>
    <row r="8578" spans="1:3" x14ac:dyDescent="0.25">
      <c r="A8578">
        <v>8577</v>
      </c>
      <c r="B8578" s="23">
        <v>0</v>
      </c>
      <c r="C8578" s="23">
        <v>0</v>
      </c>
    </row>
    <row r="8579" spans="1:3" x14ac:dyDescent="0.25">
      <c r="A8579">
        <v>8578</v>
      </c>
      <c r="B8579" s="23">
        <v>0</v>
      </c>
      <c r="C8579" s="23">
        <v>0</v>
      </c>
    </row>
    <row r="8580" spans="1:3" x14ac:dyDescent="0.25">
      <c r="A8580">
        <v>8579</v>
      </c>
      <c r="B8580" s="23">
        <v>0</v>
      </c>
      <c r="C8580" s="23">
        <v>0</v>
      </c>
    </row>
    <row r="8581" spans="1:3" x14ac:dyDescent="0.25">
      <c r="A8581">
        <v>8580</v>
      </c>
      <c r="B8581" s="23">
        <v>0</v>
      </c>
      <c r="C8581" s="23">
        <v>0</v>
      </c>
    </row>
    <row r="8582" spans="1:3" x14ac:dyDescent="0.25">
      <c r="A8582">
        <v>8581</v>
      </c>
      <c r="B8582" s="23">
        <v>0</v>
      </c>
      <c r="C8582" s="23">
        <v>0</v>
      </c>
    </row>
    <row r="8583" spans="1:3" x14ac:dyDescent="0.25">
      <c r="A8583">
        <v>8582</v>
      </c>
      <c r="B8583" s="23">
        <v>0</v>
      </c>
      <c r="C8583" s="23">
        <v>0</v>
      </c>
    </row>
    <row r="8584" spans="1:3" x14ac:dyDescent="0.25">
      <c r="A8584">
        <v>8583</v>
      </c>
      <c r="B8584" s="23">
        <v>0</v>
      </c>
      <c r="C8584" s="23">
        <v>0</v>
      </c>
    </row>
    <row r="8585" spans="1:3" x14ac:dyDescent="0.25">
      <c r="A8585">
        <v>8584</v>
      </c>
      <c r="B8585" s="23">
        <v>0</v>
      </c>
      <c r="C8585" s="23">
        <v>0</v>
      </c>
    </row>
    <row r="8586" spans="1:3" x14ac:dyDescent="0.25">
      <c r="A8586">
        <v>8585</v>
      </c>
      <c r="B8586" s="23">
        <v>0</v>
      </c>
      <c r="C8586" s="23">
        <v>0</v>
      </c>
    </row>
    <row r="8587" spans="1:3" x14ac:dyDescent="0.25">
      <c r="A8587">
        <v>8586</v>
      </c>
      <c r="B8587" s="23">
        <v>0</v>
      </c>
      <c r="C8587" s="23">
        <v>0</v>
      </c>
    </row>
    <row r="8588" spans="1:3" x14ac:dyDescent="0.25">
      <c r="A8588">
        <v>8587</v>
      </c>
      <c r="B8588" s="23">
        <v>0</v>
      </c>
      <c r="C8588" s="23">
        <v>0</v>
      </c>
    </row>
    <row r="8589" spans="1:3" x14ac:dyDescent="0.25">
      <c r="A8589">
        <v>8588</v>
      </c>
      <c r="B8589" s="23">
        <v>0</v>
      </c>
      <c r="C8589" s="23">
        <v>0</v>
      </c>
    </row>
    <row r="8590" spans="1:3" x14ac:dyDescent="0.25">
      <c r="A8590">
        <v>8589</v>
      </c>
      <c r="B8590" s="23">
        <v>0</v>
      </c>
      <c r="C8590" s="23">
        <v>0</v>
      </c>
    </row>
    <row r="8591" spans="1:3" x14ac:dyDescent="0.25">
      <c r="A8591">
        <v>8590</v>
      </c>
      <c r="B8591" s="23">
        <v>0</v>
      </c>
      <c r="C8591" s="23">
        <v>0</v>
      </c>
    </row>
    <row r="8592" spans="1:3" x14ac:dyDescent="0.25">
      <c r="A8592">
        <v>8591</v>
      </c>
      <c r="B8592" s="23">
        <v>0</v>
      </c>
      <c r="C8592" s="23">
        <v>0</v>
      </c>
    </row>
    <row r="8593" spans="1:3" x14ac:dyDescent="0.25">
      <c r="A8593">
        <v>8592</v>
      </c>
      <c r="B8593" s="23">
        <v>0</v>
      </c>
      <c r="C8593" s="23">
        <v>0</v>
      </c>
    </row>
    <row r="8594" spans="1:3" x14ac:dyDescent="0.25">
      <c r="A8594">
        <v>8593</v>
      </c>
      <c r="B8594" s="23">
        <v>0</v>
      </c>
      <c r="C8594" s="23">
        <v>0</v>
      </c>
    </row>
    <row r="8595" spans="1:3" x14ac:dyDescent="0.25">
      <c r="A8595">
        <v>8594</v>
      </c>
      <c r="B8595" s="23">
        <v>0</v>
      </c>
      <c r="C8595" s="23">
        <v>0</v>
      </c>
    </row>
    <row r="8596" spans="1:3" x14ac:dyDescent="0.25">
      <c r="A8596">
        <v>8595</v>
      </c>
      <c r="B8596" s="23">
        <v>0</v>
      </c>
      <c r="C8596" s="23">
        <v>0</v>
      </c>
    </row>
    <row r="8597" spans="1:3" x14ac:dyDescent="0.25">
      <c r="A8597">
        <v>8596</v>
      </c>
      <c r="B8597" s="23">
        <v>0</v>
      </c>
      <c r="C8597" s="23">
        <v>0</v>
      </c>
    </row>
    <row r="8598" spans="1:3" x14ac:dyDescent="0.25">
      <c r="A8598">
        <v>8597</v>
      </c>
      <c r="B8598" s="23">
        <v>0</v>
      </c>
      <c r="C8598" s="23">
        <v>0</v>
      </c>
    </row>
    <row r="8599" spans="1:3" x14ac:dyDescent="0.25">
      <c r="A8599">
        <v>8598</v>
      </c>
      <c r="B8599" s="23">
        <v>0</v>
      </c>
      <c r="C8599" s="23">
        <v>0</v>
      </c>
    </row>
    <row r="8600" spans="1:3" x14ac:dyDescent="0.25">
      <c r="A8600">
        <v>8599</v>
      </c>
      <c r="B8600" s="23">
        <v>0</v>
      </c>
      <c r="C8600" s="23">
        <v>0</v>
      </c>
    </row>
    <row r="8601" spans="1:3" x14ac:dyDescent="0.25">
      <c r="A8601">
        <v>8600</v>
      </c>
      <c r="B8601" s="23">
        <v>0</v>
      </c>
      <c r="C8601" s="23">
        <v>0</v>
      </c>
    </row>
    <row r="8602" spans="1:3" x14ac:dyDescent="0.25">
      <c r="A8602">
        <v>8601</v>
      </c>
      <c r="B8602" s="23">
        <v>0</v>
      </c>
      <c r="C8602" s="23">
        <v>0</v>
      </c>
    </row>
    <row r="8603" spans="1:3" x14ac:dyDescent="0.25">
      <c r="A8603">
        <v>8602</v>
      </c>
      <c r="B8603" s="23">
        <v>0</v>
      </c>
      <c r="C8603" s="23">
        <v>0</v>
      </c>
    </row>
    <row r="8604" spans="1:3" x14ac:dyDescent="0.25">
      <c r="A8604">
        <v>8603</v>
      </c>
      <c r="B8604" s="23">
        <v>0</v>
      </c>
      <c r="C8604" s="23">
        <v>0</v>
      </c>
    </row>
    <row r="8605" spans="1:3" x14ac:dyDescent="0.25">
      <c r="A8605">
        <v>8604</v>
      </c>
      <c r="B8605" s="23">
        <v>0</v>
      </c>
      <c r="C8605" s="23">
        <v>0</v>
      </c>
    </row>
    <row r="8606" spans="1:3" x14ac:dyDescent="0.25">
      <c r="A8606">
        <v>8605</v>
      </c>
      <c r="B8606" s="23">
        <v>0</v>
      </c>
      <c r="C8606" s="23">
        <v>0</v>
      </c>
    </row>
    <row r="8607" spans="1:3" x14ac:dyDescent="0.25">
      <c r="A8607">
        <v>8606</v>
      </c>
      <c r="B8607" s="23">
        <v>0</v>
      </c>
      <c r="C8607" s="23">
        <v>0</v>
      </c>
    </row>
    <row r="8608" spans="1:3" x14ac:dyDescent="0.25">
      <c r="A8608">
        <v>8607</v>
      </c>
      <c r="B8608" s="23">
        <v>0</v>
      </c>
      <c r="C8608" s="23">
        <v>0</v>
      </c>
    </row>
    <row r="8609" spans="1:3" x14ac:dyDescent="0.25">
      <c r="A8609">
        <v>8608</v>
      </c>
      <c r="B8609" s="23">
        <v>0</v>
      </c>
      <c r="C8609" s="23">
        <v>0</v>
      </c>
    </row>
    <row r="8610" spans="1:3" x14ac:dyDescent="0.25">
      <c r="A8610">
        <v>8609</v>
      </c>
      <c r="B8610" s="23">
        <v>0</v>
      </c>
      <c r="C8610" s="23">
        <v>0</v>
      </c>
    </row>
    <row r="8611" spans="1:3" x14ac:dyDescent="0.25">
      <c r="A8611">
        <v>8610</v>
      </c>
      <c r="B8611" s="23">
        <v>0</v>
      </c>
      <c r="C8611" s="23">
        <v>0</v>
      </c>
    </row>
    <row r="8612" spans="1:3" x14ac:dyDescent="0.25">
      <c r="A8612">
        <v>8611</v>
      </c>
      <c r="B8612" s="23">
        <v>0</v>
      </c>
      <c r="C8612" s="23">
        <v>0</v>
      </c>
    </row>
    <row r="8613" spans="1:3" x14ac:dyDescent="0.25">
      <c r="A8613">
        <v>8612</v>
      </c>
      <c r="B8613" s="23">
        <v>0</v>
      </c>
      <c r="C8613" s="23">
        <v>0</v>
      </c>
    </row>
    <row r="8614" spans="1:3" x14ac:dyDescent="0.25">
      <c r="A8614">
        <v>8613</v>
      </c>
      <c r="B8614" s="23">
        <v>0</v>
      </c>
      <c r="C8614" s="23">
        <v>0</v>
      </c>
    </row>
    <row r="8615" spans="1:3" x14ac:dyDescent="0.25">
      <c r="A8615">
        <v>8614</v>
      </c>
      <c r="B8615" s="23">
        <v>0</v>
      </c>
      <c r="C8615" s="23">
        <v>0</v>
      </c>
    </row>
    <row r="8616" spans="1:3" x14ac:dyDescent="0.25">
      <c r="A8616">
        <v>8615</v>
      </c>
      <c r="B8616" s="23">
        <v>0</v>
      </c>
      <c r="C8616" s="23">
        <v>0</v>
      </c>
    </row>
    <row r="8617" spans="1:3" x14ac:dyDescent="0.25">
      <c r="A8617">
        <v>8616</v>
      </c>
      <c r="B8617" s="23">
        <v>0</v>
      </c>
      <c r="C8617" s="23">
        <v>0</v>
      </c>
    </row>
    <row r="8618" spans="1:3" x14ac:dyDescent="0.25">
      <c r="A8618">
        <v>8617</v>
      </c>
      <c r="B8618" s="23">
        <v>0</v>
      </c>
      <c r="C8618" s="23">
        <v>0</v>
      </c>
    </row>
    <row r="8619" spans="1:3" x14ac:dyDescent="0.25">
      <c r="A8619">
        <v>8618</v>
      </c>
      <c r="B8619" s="23">
        <v>0</v>
      </c>
      <c r="C8619" s="23">
        <v>0</v>
      </c>
    </row>
    <row r="8620" spans="1:3" x14ac:dyDescent="0.25">
      <c r="A8620">
        <v>8619</v>
      </c>
      <c r="B8620" s="23">
        <v>0</v>
      </c>
      <c r="C8620" s="23">
        <v>0</v>
      </c>
    </row>
    <row r="8621" spans="1:3" x14ac:dyDescent="0.25">
      <c r="A8621">
        <v>8620</v>
      </c>
      <c r="B8621" s="23">
        <v>0</v>
      </c>
      <c r="C8621" s="23">
        <v>0</v>
      </c>
    </row>
    <row r="8622" spans="1:3" x14ac:dyDescent="0.25">
      <c r="A8622">
        <v>8621</v>
      </c>
      <c r="B8622" s="23">
        <v>0</v>
      </c>
      <c r="C8622" s="23">
        <v>0</v>
      </c>
    </row>
    <row r="8623" spans="1:3" x14ac:dyDescent="0.25">
      <c r="A8623">
        <v>8622</v>
      </c>
      <c r="B8623" s="23">
        <v>0</v>
      </c>
      <c r="C8623" s="23">
        <v>0</v>
      </c>
    </row>
    <row r="8624" spans="1:3" x14ac:dyDescent="0.25">
      <c r="A8624">
        <v>8623</v>
      </c>
      <c r="B8624" s="23">
        <v>0</v>
      </c>
      <c r="C8624" s="23">
        <v>0</v>
      </c>
    </row>
    <row r="8625" spans="1:3" x14ac:dyDescent="0.25">
      <c r="A8625">
        <v>8624</v>
      </c>
      <c r="B8625" s="23">
        <v>0</v>
      </c>
      <c r="C8625" s="23">
        <v>0</v>
      </c>
    </row>
    <row r="8626" spans="1:3" x14ac:dyDescent="0.25">
      <c r="A8626">
        <v>8625</v>
      </c>
      <c r="B8626" s="23">
        <v>0</v>
      </c>
      <c r="C8626" s="23">
        <v>0</v>
      </c>
    </row>
    <row r="8627" spans="1:3" x14ac:dyDescent="0.25">
      <c r="A8627">
        <v>8626</v>
      </c>
      <c r="B8627" s="23">
        <v>0</v>
      </c>
      <c r="C8627" s="23">
        <v>0</v>
      </c>
    </row>
    <row r="8628" spans="1:3" x14ac:dyDescent="0.25">
      <c r="A8628">
        <v>8627</v>
      </c>
      <c r="B8628" s="23">
        <v>0</v>
      </c>
      <c r="C8628" s="23">
        <v>0</v>
      </c>
    </row>
    <row r="8629" spans="1:3" x14ac:dyDescent="0.25">
      <c r="A8629">
        <v>8628</v>
      </c>
      <c r="B8629" s="23">
        <v>0</v>
      </c>
      <c r="C8629" s="23">
        <v>0</v>
      </c>
    </row>
    <row r="8630" spans="1:3" x14ac:dyDescent="0.25">
      <c r="A8630">
        <v>8629</v>
      </c>
      <c r="B8630" s="23">
        <v>0</v>
      </c>
      <c r="C8630" s="23">
        <v>0</v>
      </c>
    </row>
    <row r="8631" spans="1:3" x14ac:dyDescent="0.25">
      <c r="A8631">
        <v>8630</v>
      </c>
      <c r="B8631" s="23">
        <v>0</v>
      </c>
      <c r="C8631" s="23">
        <v>0</v>
      </c>
    </row>
    <row r="8632" spans="1:3" x14ac:dyDescent="0.25">
      <c r="A8632">
        <v>8631</v>
      </c>
      <c r="B8632" s="23">
        <v>0</v>
      </c>
      <c r="C8632" s="23">
        <v>0</v>
      </c>
    </row>
    <row r="8633" spans="1:3" x14ac:dyDescent="0.25">
      <c r="A8633">
        <v>8632</v>
      </c>
      <c r="B8633" s="23">
        <v>0</v>
      </c>
      <c r="C8633" s="23">
        <v>0</v>
      </c>
    </row>
    <row r="8634" spans="1:3" x14ac:dyDescent="0.25">
      <c r="A8634">
        <v>8633</v>
      </c>
      <c r="B8634" s="23">
        <v>0</v>
      </c>
      <c r="C8634" s="23">
        <v>0</v>
      </c>
    </row>
    <row r="8635" spans="1:3" x14ac:dyDescent="0.25">
      <c r="A8635">
        <v>8634</v>
      </c>
      <c r="B8635" s="23">
        <v>0</v>
      </c>
      <c r="C8635" s="23">
        <v>0</v>
      </c>
    </row>
    <row r="8636" spans="1:3" x14ac:dyDescent="0.25">
      <c r="A8636">
        <v>8635</v>
      </c>
      <c r="B8636" s="23">
        <v>0</v>
      </c>
      <c r="C8636" s="23">
        <v>0</v>
      </c>
    </row>
    <row r="8637" spans="1:3" x14ac:dyDescent="0.25">
      <c r="A8637">
        <v>8636</v>
      </c>
      <c r="B8637" s="23">
        <v>0</v>
      </c>
      <c r="C8637" s="23">
        <v>0</v>
      </c>
    </row>
    <row r="8638" spans="1:3" x14ac:dyDescent="0.25">
      <c r="A8638">
        <v>8637</v>
      </c>
      <c r="B8638" s="23">
        <v>0</v>
      </c>
      <c r="C8638" s="23">
        <v>0</v>
      </c>
    </row>
    <row r="8639" spans="1:3" x14ac:dyDescent="0.25">
      <c r="A8639">
        <v>8638</v>
      </c>
      <c r="B8639" s="23">
        <v>0</v>
      </c>
      <c r="C8639" s="23">
        <v>0</v>
      </c>
    </row>
    <row r="8640" spans="1:3" x14ac:dyDescent="0.25">
      <c r="A8640">
        <v>8639</v>
      </c>
      <c r="B8640" s="23">
        <v>0</v>
      </c>
      <c r="C8640" s="23">
        <v>0</v>
      </c>
    </row>
    <row r="8641" spans="1:3" x14ac:dyDescent="0.25">
      <c r="A8641">
        <v>8640</v>
      </c>
      <c r="B8641" s="23">
        <v>0</v>
      </c>
      <c r="C8641" s="23">
        <v>0</v>
      </c>
    </row>
    <row r="8642" spans="1:3" x14ac:dyDescent="0.25">
      <c r="A8642">
        <v>8641</v>
      </c>
      <c r="B8642" s="23">
        <v>0</v>
      </c>
      <c r="C8642" s="23">
        <v>0</v>
      </c>
    </row>
    <row r="8643" spans="1:3" x14ac:dyDescent="0.25">
      <c r="A8643">
        <v>8642</v>
      </c>
      <c r="B8643" s="23">
        <v>0</v>
      </c>
      <c r="C8643" s="23">
        <v>0</v>
      </c>
    </row>
    <row r="8644" spans="1:3" x14ac:dyDescent="0.25">
      <c r="A8644">
        <v>8643</v>
      </c>
      <c r="B8644" s="23">
        <v>0</v>
      </c>
      <c r="C8644" s="23">
        <v>0</v>
      </c>
    </row>
    <row r="8645" spans="1:3" x14ac:dyDescent="0.25">
      <c r="A8645">
        <v>8644</v>
      </c>
      <c r="B8645" s="23">
        <v>0</v>
      </c>
      <c r="C8645" s="23">
        <v>0</v>
      </c>
    </row>
    <row r="8646" spans="1:3" x14ac:dyDescent="0.25">
      <c r="A8646">
        <v>8645</v>
      </c>
      <c r="B8646" s="23">
        <v>0</v>
      </c>
      <c r="C8646" s="23">
        <v>0</v>
      </c>
    </row>
    <row r="8647" spans="1:3" x14ac:dyDescent="0.25">
      <c r="A8647">
        <v>8646</v>
      </c>
      <c r="B8647" s="23">
        <v>0</v>
      </c>
      <c r="C8647" s="23">
        <v>0</v>
      </c>
    </row>
    <row r="8648" spans="1:3" x14ac:dyDescent="0.25">
      <c r="A8648">
        <v>8647</v>
      </c>
      <c r="B8648" s="23">
        <v>0</v>
      </c>
      <c r="C8648" s="23">
        <v>0</v>
      </c>
    </row>
    <row r="8649" spans="1:3" x14ac:dyDescent="0.25">
      <c r="A8649">
        <v>8648</v>
      </c>
      <c r="B8649" s="23">
        <v>0</v>
      </c>
      <c r="C8649" s="23">
        <v>0</v>
      </c>
    </row>
    <row r="8650" spans="1:3" x14ac:dyDescent="0.25">
      <c r="A8650">
        <v>8649</v>
      </c>
      <c r="B8650" s="23">
        <v>0</v>
      </c>
      <c r="C8650" s="23">
        <v>0</v>
      </c>
    </row>
    <row r="8651" spans="1:3" x14ac:dyDescent="0.25">
      <c r="A8651">
        <v>8650</v>
      </c>
      <c r="B8651" s="23">
        <v>0</v>
      </c>
      <c r="C8651" s="23">
        <v>0</v>
      </c>
    </row>
    <row r="8652" spans="1:3" x14ac:dyDescent="0.25">
      <c r="A8652">
        <v>8651</v>
      </c>
      <c r="B8652" s="23">
        <v>0</v>
      </c>
      <c r="C8652" s="23">
        <v>0</v>
      </c>
    </row>
    <row r="8653" spans="1:3" x14ac:dyDescent="0.25">
      <c r="A8653">
        <v>8652</v>
      </c>
      <c r="B8653" s="23">
        <v>0</v>
      </c>
      <c r="C8653" s="23">
        <v>0</v>
      </c>
    </row>
    <row r="8654" spans="1:3" x14ac:dyDescent="0.25">
      <c r="A8654">
        <v>8653</v>
      </c>
      <c r="B8654" s="23">
        <v>0</v>
      </c>
      <c r="C8654" s="23">
        <v>0</v>
      </c>
    </row>
    <row r="8655" spans="1:3" x14ac:dyDescent="0.25">
      <c r="A8655">
        <v>8654</v>
      </c>
      <c r="B8655" s="23">
        <v>0</v>
      </c>
      <c r="C8655" s="23">
        <v>0</v>
      </c>
    </row>
    <row r="8656" spans="1:3" x14ac:dyDescent="0.25">
      <c r="A8656">
        <v>8655</v>
      </c>
      <c r="B8656" s="23">
        <v>0</v>
      </c>
      <c r="C8656" s="23">
        <v>0</v>
      </c>
    </row>
    <row r="8657" spans="1:3" x14ac:dyDescent="0.25">
      <c r="A8657">
        <v>8656</v>
      </c>
      <c r="B8657" s="23">
        <v>0</v>
      </c>
      <c r="C8657" s="23">
        <v>0</v>
      </c>
    </row>
    <row r="8658" spans="1:3" x14ac:dyDescent="0.25">
      <c r="A8658">
        <v>8657</v>
      </c>
      <c r="B8658" s="23">
        <v>0</v>
      </c>
      <c r="C8658" s="23">
        <v>0</v>
      </c>
    </row>
    <row r="8659" spans="1:3" x14ac:dyDescent="0.25">
      <c r="A8659">
        <v>8658</v>
      </c>
      <c r="B8659" s="23">
        <v>0</v>
      </c>
      <c r="C8659" s="23">
        <v>0</v>
      </c>
    </row>
    <row r="8660" spans="1:3" x14ac:dyDescent="0.25">
      <c r="A8660">
        <v>8659</v>
      </c>
      <c r="B8660" s="23">
        <v>0</v>
      </c>
      <c r="C8660" s="23">
        <v>0</v>
      </c>
    </row>
    <row r="8661" spans="1:3" x14ac:dyDescent="0.25">
      <c r="A8661">
        <v>8660</v>
      </c>
      <c r="B8661" s="23">
        <v>0</v>
      </c>
      <c r="C8661" s="23">
        <v>0</v>
      </c>
    </row>
    <row r="8662" spans="1:3" x14ac:dyDescent="0.25">
      <c r="A8662">
        <v>8661</v>
      </c>
      <c r="B8662" s="23">
        <v>0</v>
      </c>
      <c r="C8662" s="23">
        <v>0</v>
      </c>
    </row>
    <row r="8663" spans="1:3" x14ac:dyDescent="0.25">
      <c r="A8663">
        <v>8662</v>
      </c>
      <c r="B8663" s="23">
        <v>0</v>
      </c>
      <c r="C8663" s="23">
        <v>0</v>
      </c>
    </row>
    <row r="8664" spans="1:3" x14ac:dyDescent="0.25">
      <c r="A8664">
        <v>8663</v>
      </c>
      <c r="B8664" s="23">
        <v>0</v>
      </c>
      <c r="C8664" s="23">
        <v>0</v>
      </c>
    </row>
    <row r="8665" spans="1:3" x14ac:dyDescent="0.25">
      <c r="A8665">
        <v>8664</v>
      </c>
      <c r="B8665" s="23">
        <v>0</v>
      </c>
      <c r="C8665" s="23">
        <v>0</v>
      </c>
    </row>
    <row r="8666" spans="1:3" x14ac:dyDescent="0.25">
      <c r="A8666">
        <v>8665</v>
      </c>
      <c r="B8666" s="23">
        <v>0</v>
      </c>
      <c r="C8666" s="23">
        <v>0</v>
      </c>
    </row>
    <row r="8667" spans="1:3" x14ac:dyDescent="0.25">
      <c r="A8667">
        <v>8666</v>
      </c>
      <c r="B8667" s="23">
        <v>0</v>
      </c>
      <c r="C8667" s="23">
        <v>0</v>
      </c>
    </row>
    <row r="8668" spans="1:3" x14ac:dyDescent="0.25">
      <c r="A8668">
        <v>8667</v>
      </c>
      <c r="B8668" s="23">
        <v>0</v>
      </c>
      <c r="C8668" s="23">
        <v>0</v>
      </c>
    </row>
    <row r="8669" spans="1:3" x14ac:dyDescent="0.25">
      <c r="A8669">
        <v>8668</v>
      </c>
      <c r="B8669" s="23">
        <v>0</v>
      </c>
      <c r="C8669" s="23">
        <v>0</v>
      </c>
    </row>
    <row r="8670" spans="1:3" x14ac:dyDescent="0.25">
      <c r="A8670">
        <v>8669</v>
      </c>
      <c r="B8670" s="23">
        <v>0</v>
      </c>
      <c r="C8670" s="23">
        <v>0</v>
      </c>
    </row>
    <row r="8671" spans="1:3" x14ac:dyDescent="0.25">
      <c r="A8671">
        <v>8670</v>
      </c>
      <c r="B8671" s="23">
        <v>0</v>
      </c>
      <c r="C8671" s="23">
        <v>0</v>
      </c>
    </row>
    <row r="8672" spans="1:3" x14ac:dyDescent="0.25">
      <c r="A8672">
        <v>8671</v>
      </c>
      <c r="B8672" s="23">
        <v>0</v>
      </c>
      <c r="C8672" s="23">
        <v>0</v>
      </c>
    </row>
    <row r="8673" spans="1:3" x14ac:dyDescent="0.25">
      <c r="A8673">
        <v>8672</v>
      </c>
      <c r="B8673" s="23">
        <v>0</v>
      </c>
      <c r="C8673" s="23">
        <v>0</v>
      </c>
    </row>
    <row r="8674" spans="1:3" x14ac:dyDescent="0.25">
      <c r="A8674">
        <v>8673</v>
      </c>
      <c r="B8674" s="23">
        <v>0</v>
      </c>
      <c r="C8674" s="23">
        <v>0</v>
      </c>
    </row>
    <row r="8675" spans="1:3" x14ac:dyDescent="0.25">
      <c r="A8675">
        <v>8674</v>
      </c>
      <c r="B8675" s="23">
        <v>0</v>
      </c>
      <c r="C8675" s="23">
        <v>0</v>
      </c>
    </row>
    <row r="8676" spans="1:3" x14ac:dyDescent="0.25">
      <c r="A8676">
        <v>8675</v>
      </c>
      <c r="B8676" s="23">
        <v>0</v>
      </c>
      <c r="C8676" s="23">
        <v>0</v>
      </c>
    </row>
    <row r="8677" spans="1:3" x14ac:dyDescent="0.25">
      <c r="A8677">
        <v>8676</v>
      </c>
      <c r="B8677" s="23">
        <v>0</v>
      </c>
      <c r="C8677" s="23">
        <v>0</v>
      </c>
    </row>
    <row r="8678" spans="1:3" x14ac:dyDescent="0.25">
      <c r="A8678">
        <v>8677</v>
      </c>
      <c r="B8678" s="23">
        <v>0</v>
      </c>
      <c r="C8678" s="23">
        <v>0</v>
      </c>
    </row>
    <row r="8679" spans="1:3" x14ac:dyDescent="0.25">
      <c r="A8679">
        <v>8678</v>
      </c>
      <c r="B8679" s="23">
        <v>0</v>
      </c>
      <c r="C8679" s="23">
        <v>0</v>
      </c>
    </row>
    <row r="8680" spans="1:3" x14ac:dyDescent="0.25">
      <c r="A8680">
        <v>8679</v>
      </c>
      <c r="B8680" s="23">
        <v>0</v>
      </c>
      <c r="C8680" s="23">
        <v>0</v>
      </c>
    </row>
    <row r="8681" spans="1:3" x14ac:dyDescent="0.25">
      <c r="A8681">
        <v>8680</v>
      </c>
      <c r="B8681" s="23">
        <v>0</v>
      </c>
      <c r="C8681" s="23">
        <v>0</v>
      </c>
    </row>
    <row r="8682" spans="1:3" x14ac:dyDescent="0.25">
      <c r="A8682">
        <v>8681</v>
      </c>
      <c r="B8682" s="23">
        <v>0</v>
      </c>
      <c r="C8682" s="23">
        <v>0</v>
      </c>
    </row>
    <row r="8683" spans="1:3" x14ac:dyDescent="0.25">
      <c r="A8683">
        <v>8682</v>
      </c>
      <c r="B8683" s="23">
        <v>0</v>
      </c>
      <c r="C8683" s="23">
        <v>0</v>
      </c>
    </row>
    <row r="8684" spans="1:3" x14ac:dyDescent="0.25">
      <c r="A8684">
        <v>8683</v>
      </c>
      <c r="B8684" s="23">
        <v>0</v>
      </c>
      <c r="C8684" s="23">
        <v>0</v>
      </c>
    </row>
    <row r="8685" spans="1:3" x14ac:dyDescent="0.25">
      <c r="A8685">
        <v>8684</v>
      </c>
      <c r="B8685" s="23">
        <v>0</v>
      </c>
      <c r="C8685" s="23">
        <v>0</v>
      </c>
    </row>
    <row r="8686" spans="1:3" x14ac:dyDescent="0.25">
      <c r="A8686">
        <v>8685</v>
      </c>
      <c r="B8686" s="23">
        <v>0</v>
      </c>
      <c r="C8686" s="23">
        <v>0</v>
      </c>
    </row>
    <row r="8687" spans="1:3" x14ac:dyDescent="0.25">
      <c r="A8687">
        <v>8686</v>
      </c>
      <c r="B8687" s="23">
        <v>0</v>
      </c>
      <c r="C8687" s="23">
        <v>0</v>
      </c>
    </row>
    <row r="8688" spans="1:3" x14ac:dyDescent="0.25">
      <c r="A8688">
        <v>8687</v>
      </c>
      <c r="B8688" s="23">
        <v>0</v>
      </c>
      <c r="C8688" s="23">
        <v>0</v>
      </c>
    </row>
    <row r="8689" spans="1:3" x14ac:dyDescent="0.25">
      <c r="A8689">
        <v>8688</v>
      </c>
      <c r="B8689" s="23">
        <v>0</v>
      </c>
      <c r="C8689" s="23">
        <v>0</v>
      </c>
    </row>
    <row r="8690" spans="1:3" x14ac:dyDescent="0.25">
      <c r="A8690">
        <v>8689</v>
      </c>
      <c r="B8690" s="23">
        <v>0</v>
      </c>
      <c r="C8690" s="23">
        <v>0</v>
      </c>
    </row>
    <row r="8691" spans="1:3" x14ac:dyDescent="0.25">
      <c r="A8691">
        <v>8690</v>
      </c>
      <c r="B8691" s="23">
        <v>0</v>
      </c>
      <c r="C8691" s="23">
        <v>0</v>
      </c>
    </row>
    <row r="8692" spans="1:3" x14ac:dyDescent="0.25">
      <c r="A8692">
        <v>8691</v>
      </c>
      <c r="B8692" s="23">
        <v>0</v>
      </c>
      <c r="C8692" s="23">
        <v>0</v>
      </c>
    </row>
    <row r="8693" spans="1:3" x14ac:dyDescent="0.25">
      <c r="A8693">
        <v>8692</v>
      </c>
      <c r="B8693" s="23">
        <v>0</v>
      </c>
      <c r="C8693" s="23">
        <v>0</v>
      </c>
    </row>
    <row r="8694" spans="1:3" x14ac:dyDescent="0.25">
      <c r="A8694">
        <v>8693</v>
      </c>
      <c r="B8694" s="23">
        <v>0</v>
      </c>
      <c r="C8694" s="23">
        <v>0</v>
      </c>
    </row>
    <row r="8695" spans="1:3" x14ac:dyDescent="0.25">
      <c r="A8695">
        <v>8694</v>
      </c>
      <c r="B8695" s="23">
        <v>0</v>
      </c>
      <c r="C8695" s="23">
        <v>0</v>
      </c>
    </row>
    <row r="8696" spans="1:3" x14ac:dyDescent="0.25">
      <c r="A8696">
        <v>8695</v>
      </c>
      <c r="B8696" s="23">
        <v>0</v>
      </c>
      <c r="C8696" s="23">
        <v>0</v>
      </c>
    </row>
    <row r="8697" spans="1:3" x14ac:dyDescent="0.25">
      <c r="A8697">
        <v>8696</v>
      </c>
      <c r="B8697" s="23">
        <v>0</v>
      </c>
      <c r="C8697" s="23">
        <v>0</v>
      </c>
    </row>
    <row r="8698" spans="1:3" x14ac:dyDescent="0.25">
      <c r="A8698">
        <v>8697</v>
      </c>
      <c r="B8698" s="23">
        <v>0</v>
      </c>
      <c r="C8698" s="23">
        <v>0</v>
      </c>
    </row>
    <row r="8699" spans="1:3" x14ac:dyDescent="0.25">
      <c r="A8699">
        <v>8698</v>
      </c>
      <c r="B8699" s="23">
        <v>0</v>
      </c>
      <c r="C8699" s="23">
        <v>0</v>
      </c>
    </row>
    <row r="8700" spans="1:3" x14ac:dyDescent="0.25">
      <c r="A8700">
        <v>8699</v>
      </c>
      <c r="B8700" s="23">
        <v>0</v>
      </c>
      <c r="C8700" s="23">
        <v>0</v>
      </c>
    </row>
    <row r="8701" spans="1:3" x14ac:dyDescent="0.25">
      <c r="A8701">
        <v>8700</v>
      </c>
      <c r="B8701" s="23">
        <v>0</v>
      </c>
      <c r="C8701" s="23">
        <v>0</v>
      </c>
    </row>
    <row r="8702" spans="1:3" x14ac:dyDescent="0.25">
      <c r="A8702">
        <v>8701</v>
      </c>
      <c r="B8702" s="23">
        <v>0</v>
      </c>
      <c r="C8702" s="23">
        <v>0</v>
      </c>
    </row>
    <row r="8703" spans="1:3" x14ac:dyDescent="0.25">
      <c r="A8703">
        <v>8702</v>
      </c>
      <c r="B8703" s="23">
        <v>0</v>
      </c>
      <c r="C8703" s="23">
        <v>0</v>
      </c>
    </row>
    <row r="8704" spans="1:3" x14ac:dyDescent="0.25">
      <c r="A8704">
        <v>8703</v>
      </c>
      <c r="B8704" s="23">
        <v>0</v>
      </c>
      <c r="C8704" s="23">
        <v>0</v>
      </c>
    </row>
    <row r="8705" spans="1:3" x14ac:dyDescent="0.25">
      <c r="A8705">
        <v>8704</v>
      </c>
      <c r="B8705" s="23">
        <v>0</v>
      </c>
      <c r="C8705" s="23">
        <v>0</v>
      </c>
    </row>
    <row r="8706" spans="1:3" x14ac:dyDescent="0.25">
      <c r="A8706">
        <v>8705</v>
      </c>
      <c r="B8706" s="23">
        <v>0</v>
      </c>
      <c r="C8706" s="23">
        <v>0</v>
      </c>
    </row>
    <row r="8707" spans="1:3" x14ac:dyDescent="0.25">
      <c r="A8707">
        <v>8706</v>
      </c>
      <c r="B8707" s="23">
        <v>0</v>
      </c>
      <c r="C8707" s="23">
        <v>0</v>
      </c>
    </row>
    <row r="8708" spans="1:3" x14ac:dyDescent="0.25">
      <c r="A8708">
        <v>8707</v>
      </c>
      <c r="B8708" s="23">
        <v>0</v>
      </c>
      <c r="C8708" s="23">
        <v>0</v>
      </c>
    </row>
    <row r="8709" spans="1:3" x14ac:dyDescent="0.25">
      <c r="A8709">
        <v>8708</v>
      </c>
      <c r="B8709" s="23">
        <v>0</v>
      </c>
      <c r="C8709" s="23">
        <v>0</v>
      </c>
    </row>
    <row r="8710" spans="1:3" x14ac:dyDescent="0.25">
      <c r="A8710">
        <v>8709</v>
      </c>
      <c r="B8710" s="23">
        <v>0</v>
      </c>
      <c r="C8710" s="23">
        <v>0</v>
      </c>
    </row>
    <row r="8711" spans="1:3" x14ac:dyDescent="0.25">
      <c r="A8711">
        <v>8710</v>
      </c>
      <c r="B8711" s="23">
        <v>0</v>
      </c>
      <c r="C8711" s="23">
        <v>0</v>
      </c>
    </row>
    <row r="8712" spans="1:3" x14ac:dyDescent="0.25">
      <c r="A8712">
        <v>8711</v>
      </c>
      <c r="B8712" s="23">
        <v>0</v>
      </c>
      <c r="C8712" s="23">
        <v>0</v>
      </c>
    </row>
    <row r="8713" spans="1:3" x14ac:dyDescent="0.25">
      <c r="A8713">
        <v>8712</v>
      </c>
      <c r="B8713" s="23">
        <v>0</v>
      </c>
      <c r="C8713" s="23">
        <v>0</v>
      </c>
    </row>
    <row r="8714" spans="1:3" x14ac:dyDescent="0.25">
      <c r="A8714">
        <v>8713</v>
      </c>
      <c r="B8714" s="23">
        <v>0</v>
      </c>
      <c r="C8714" s="23">
        <v>0</v>
      </c>
    </row>
    <row r="8715" spans="1:3" x14ac:dyDescent="0.25">
      <c r="A8715">
        <v>8714</v>
      </c>
      <c r="B8715" s="23">
        <v>0</v>
      </c>
      <c r="C8715" s="23">
        <v>0</v>
      </c>
    </row>
    <row r="8716" spans="1:3" x14ac:dyDescent="0.25">
      <c r="A8716">
        <v>8715</v>
      </c>
      <c r="B8716" s="23">
        <v>0</v>
      </c>
      <c r="C8716" s="23">
        <v>0</v>
      </c>
    </row>
    <row r="8717" spans="1:3" x14ac:dyDescent="0.25">
      <c r="A8717">
        <v>8716</v>
      </c>
      <c r="B8717" s="23">
        <v>0</v>
      </c>
      <c r="C8717" s="23">
        <v>0</v>
      </c>
    </row>
    <row r="8718" spans="1:3" x14ac:dyDescent="0.25">
      <c r="A8718">
        <v>8717</v>
      </c>
      <c r="B8718" s="23">
        <v>0</v>
      </c>
      <c r="C8718" s="23">
        <v>0</v>
      </c>
    </row>
    <row r="8719" spans="1:3" x14ac:dyDescent="0.25">
      <c r="A8719">
        <v>8718</v>
      </c>
      <c r="B8719" s="23">
        <v>0</v>
      </c>
      <c r="C8719" s="23">
        <v>0</v>
      </c>
    </row>
    <row r="8720" spans="1:3" x14ac:dyDescent="0.25">
      <c r="A8720">
        <v>8719</v>
      </c>
      <c r="B8720" s="23">
        <v>0</v>
      </c>
      <c r="C8720" s="23">
        <v>0</v>
      </c>
    </row>
    <row r="8721" spans="1:3" x14ac:dyDescent="0.25">
      <c r="A8721">
        <v>8720</v>
      </c>
      <c r="B8721" s="23">
        <v>0</v>
      </c>
      <c r="C8721" s="23">
        <v>0</v>
      </c>
    </row>
    <row r="8722" spans="1:3" x14ac:dyDescent="0.25">
      <c r="A8722">
        <v>8721</v>
      </c>
      <c r="B8722" s="23">
        <v>0</v>
      </c>
      <c r="C8722" s="23">
        <v>0</v>
      </c>
    </row>
    <row r="8723" spans="1:3" x14ac:dyDescent="0.25">
      <c r="A8723">
        <v>8722</v>
      </c>
      <c r="B8723" s="23">
        <v>0</v>
      </c>
      <c r="C8723" s="23">
        <v>0</v>
      </c>
    </row>
    <row r="8724" spans="1:3" x14ac:dyDescent="0.25">
      <c r="A8724">
        <v>8723</v>
      </c>
      <c r="B8724" s="23">
        <v>0</v>
      </c>
      <c r="C8724" s="23">
        <v>0</v>
      </c>
    </row>
    <row r="8725" spans="1:3" x14ac:dyDescent="0.25">
      <c r="A8725">
        <v>8724</v>
      </c>
      <c r="B8725" s="23">
        <v>0</v>
      </c>
      <c r="C8725" s="23">
        <v>0</v>
      </c>
    </row>
    <row r="8726" spans="1:3" x14ac:dyDescent="0.25">
      <c r="A8726">
        <v>8725</v>
      </c>
      <c r="B8726" s="23">
        <v>0</v>
      </c>
      <c r="C8726" s="23">
        <v>0</v>
      </c>
    </row>
    <row r="8727" spans="1:3" x14ac:dyDescent="0.25">
      <c r="A8727">
        <v>8726</v>
      </c>
      <c r="B8727" s="23">
        <v>0</v>
      </c>
      <c r="C8727" s="23">
        <v>0</v>
      </c>
    </row>
    <row r="8728" spans="1:3" x14ac:dyDescent="0.25">
      <c r="A8728">
        <v>8727</v>
      </c>
      <c r="B8728" s="23">
        <v>0</v>
      </c>
      <c r="C8728" s="23">
        <v>0</v>
      </c>
    </row>
    <row r="8729" spans="1:3" x14ac:dyDescent="0.25">
      <c r="A8729">
        <v>8728</v>
      </c>
      <c r="B8729" s="23">
        <v>0</v>
      </c>
      <c r="C8729" s="23">
        <v>0</v>
      </c>
    </row>
    <row r="8730" spans="1:3" x14ac:dyDescent="0.25">
      <c r="A8730">
        <v>8729</v>
      </c>
      <c r="B8730" s="23">
        <v>0</v>
      </c>
      <c r="C8730" s="23">
        <v>0</v>
      </c>
    </row>
    <row r="8731" spans="1:3" x14ac:dyDescent="0.25">
      <c r="A8731">
        <v>8730</v>
      </c>
      <c r="B8731" s="23">
        <v>0</v>
      </c>
      <c r="C8731" s="23">
        <v>0</v>
      </c>
    </row>
    <row r="8732" spans="1:3" x14ac:dyDescent="0.25">
      <c r="A8732">
        <v>8731</v>
      </c>
      <c r="B8732" s="23">
        <v>0</v>
      </c>
      <c r="C8732" s="23">
        <v>0</v>
      </c>
    </row>
    <row r="8733" spans="1:3" x14ac:dyDescent="0.25">
      <c r="A8733">
        <v>8732</v>
      </c>
      <c r="B8733" s="23">
        <v>0</v>
      </c>
      <c r="C8733" s="23">
        <v>0</v>
      </c>
    </row>
    <row r="8734" spans="1:3" x14ac:dyDescent="0.25">
      <c r="A8734">
        <v>8733</v>
      </c>
      <c r="B8734" s="23">
        <v>0</v>
      </c>
      <c r="C8734" s="23">
        <v>0</v>
      </c>
    </row>
    <row r="8735" spans="1:3" x14ac:dyDescent="0.25">
      <c r="A8735">
        <v>8734</v>
      </c>
      <c r="B8735" s="23">
        <v>0</v>
      </c>
      <c r="C8735" s="23">
        <v>0</v>
      </c>
    </row>
    <row r="8736" spans="1:3" x14ac:dyDescent="0.25">
      <c r="A8736">
        <v>8735</v>
      </c>
      <c r="B8736" s="23">
        <v>0</v>
      </c>
      <c r="C8736" s="23">
        <v>0</v>
      </c>
    </row>
    <row r="8737" spans="1:3" x14ac:dyDescent="0.25">
      <c r="A8737">
        <v>8736</v>
      </c>
      <c r="B8737" s="23">
        <v>0</v>
      </c>
      <c r="C8737" s="23">
        <v>0</v>
      </c>
    </row>
    <row r="8738" spans="1:3" x14ac:dyDescent="0.25">
      <c r="A8738">
        <v>8737</v>
      </c>
      <c r="B8738" s="23">
        <v>0</v>
      </c>
      <c r="C8738" s="23">
        <v>0</v>
      </c>
    </row>
    <row r="8739" spans="1:3" x14ac:dyDescent="0.25">
      <c r="A8739">
        <v>8738</v>
      </c>
      <c r="B8739" s="23">
        <v>0</v>
      </c>
      <c r="C8739" s="23">
        <v>0</v>
      </c>
    </row>
    <row r="8740" spans="1:3" x14ac:dyDescent="0.25">
      <c r="A8740">
        <v>8739</v>
      </c>
      <c r="B8740" s="23">
        <v>0</v>
      </c>
      <c r="C8740" s="23">
        <v>0</v>
      </c>
    </row>
    <row r="8741" spans="1:3" x14ac:dyDescent="0.25">
      <c r="A8741">
        <v>8740</v>
      </c>
      <c r="B8741" s="23">
        <v>0</v>
      </c>
      <c r="C8741" s="23">
        <v>0</v>
      </c>
    </row>
    <row r="8742" spans="1:3" x14ac:dyDescent="0.25">
      <c r="A8742">
        <v>8741</v>
      </c>
      <c r="B8742" s="23">
        <v>0</v>
      </c>
      <c r="C8742" s="23">
        <v>0</v>
      </c>
    </row>
    <row r="8743" spans="1:3" x14ac:dyDescent="0.25">
      <c r="A8743">
        <v>8742</v>
      </c>
      <c r="B8743" s="23">
        <v>0</v>
      </c>
      <c r="C8743" s="23">
        <v>0</v>
      </c>
    </row>
    <row r="8744" spans="1:3" x14ac:dyDescent="0.25">
      <c r="A8744">
        <v>8743</v>
      </c>
      <c r="B8744" s="23">
        <v>0</v>
      </c>
      <c r="C8744" s="23">
        <v>0</v>
      </c>
    </row>
    <row r="8745" spans="1:3" x14ac:dyDescent="0.25">
      <c r="A8745">
        <v>8744</v>
      </c>
      <c r="B8745" s="23">
        <v>0</v>
      </c>
      <c r="C8745" s="23">
        <v>0</v>
      </c>
    </row>
    <row r="8746" spans="1:3" x14ac:dyDescent="0.25">
      <c r="A8746">
        <v>8745</v>
      </c>
      <c r="B8746" s="23">
        <v>0</v>
      </c>
      <c r="C8746" s="23">
        <v>0</v>
      </c>
    </row>
    <row r="8747" spans="1:3" x14ac:dyDescent="0.25">
      <c r="A8747">
        <v>8746</v>
      </c>
      <c r="B8747" s="23">
        <v>0</v>
      </c>
      <c r="C8747" s="23">
        <v>0</v>
      </c>
    </row>
    <row r="8748" spans="1:3" x14ac:dyDescent="0.25">
      <c r="A8748">
        <v>8747</v>
      </c>
      <c r="B8748" s="23">
        <v>0</v>
      </c>
      <c r="C8748" s="23">
        <v>0</v>
      </c>
    </row>
    <row r="8749" spans="1:3" x14ac:dyDescent="0.25">
      <c r="A8749">
        <v>8748</v>
      </c>
      <c r="B8749" s="23">
        <v>0</v>
      </c>
      <c r="C8749" s="23">
        <v>0</v>
      </c>
    </row>
    <row r="8750" spans="1:3" x14ac:dyDescent="0.25">
      <c r="A8750">
        <v>8749</v>
      </c>
      <c r="B8750" s="23">
        <v>0</v>
      </c>
      <c r="C8750" s="23">
        <v>0</v>
      </c>
    </row>
    <row r="8751" spans="1:3" x14ac:dyDescent="0.25">
      <c r="A8751">
        <v>8750</v>
      </c>
      <c r="B8751" s="23">
        <v>0</v>
      </c>
      <c r="C8751" s="23">
        <v>0</v>
      </c>
    </row>
    <row r="8752" spans="1:3" x14ac:dyDescent="0.25">
      <c r="A8752">
        <v>8751</v>
      </c>
      <c r="B8752" s="23">
        <v>0</v>
      </c>
      <c r="C8752" s="23">
        <v>0</v>
      </c>
    </row>
    <row r="8753" spans="1:3" x14ac:dyDescent="0.25">
      <c r="A8753">
        <v>8752</v>
      </c>
      <c r="B8753" s="23">
        <v>0</v>
      </c>
      <c r="C8753" s="23">
        <v>0</v>
      </c>
    </row>
    <row r="8754" spans="1:3" x14ac:dyDescent="0.25">
      <c r="A8754">
        <v>8753</v>
      </c>
      <c r="B8754" s="23">
        <v>0</v>
      </c>
      <c r="C8754" s="23">
        <v>0</v>
      </c>
    </row>
    <row r="8755" spans="1:3" x14ac:dyDescent="0.25">
      <c r="A8755">
        <v>8754</v>
      </c>
      <c r="B8755" s="23">
        <v>0</v>
      </c>
      <c r="C8755" s="23">
        <v>0</v>
      </c>
    </row>
    <row r="8756" spans="1:3" x14ac:dyDescent="0.25">
      <c r="A8756">
        <v>8755</v>
      </c>
      <c r="B8756" s="23">
        <v>0</v>
      </c>
      <c r="C8756" s="23">
        <v>0</v>
      </c>
    </row>
    <row r="8757" spans="1:3" x14ac:dyDescent="0.25">
      <c r="A8757">
        <v>8756</v>
      </c>
      <c r="B8757" s="23">
        <v>0</v>
      </c>
      <c r="C8757" s="23">
        <v>0</v>
      </c>
    </row>
    <row r="8758" spans="1:3" x14ac:dyDescent="0.25">
      <c r="A8758">
        <v>8757</v>
      </c>
      <c r="B8758" s="23">
        <v>0</v>
      </c>
      <c r="C8758" s="23">
        <v>0</v>
      </c>
    </row>
    <row r="8759" spans="1:3" x14ac:dyDescent="0.25">
      <c r="A8759">
        <v>8758</v>
      </c>
      <c r="B8759" s="23">
        <v>0</v>
      </c>
      <c r="C8759" s="23">
        <v>0</v>
      </c>
    </row>
    <row r="8760" spans="1:3" x14ac:dyDescent="0.25">
      <c r="A8760">
        <v>8759</v>
      </c>
      <c r="B8760" s="23">
        <v>0</v>
      </c>
      <c r="C8760" s="23">
        <v>0</v>
      </c>
    </row>
    <row r="8761" spans="1:3" x14ac:dyDescent="0.25">
      <c r="A8761">
        <v>8760</v>
      </c>
      <c r="B8761" s="23">
        <v>0</v>
      </c>
      <c r="C8761" s="23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36</vt:i4>
      </vt:variant>
    </vt:vector>
  </HeadingPairs>
  <TitlesOfParts>
    <vt:vector size="47" baseType="lpstr">
      <vt:lpstr>Cover</vt:lpstr>
      <vt:lpstr>Executive Summary</vt:lpstr>
      <vt:lpstr>Assumptions</vt:lpstr>
      <vt:lpstr>Model Basis</vt:lpstr>
      <vt:lpstr>Pro Forma (Audit)</vt:lpstr>
      <vt:lpstr>FX Sensitivity</vt:lpstr>
      <vt:lpstr>Buyer Analysis</vt:lpstr>
      <vt:lpstr>Developer Returns</vt:lpstr>
      <vt:lpstr>Technical Results</vt:lpstr>
      <vt:lpstr>Dispatch Profile</vt:lpstr>
      <vt:lpstr>Load Duration</vt:lpstr>
      <vt:lpstr>BASE_DEMAND_SAVINGS</vt:lpstr>
      <vt:lpstr>BASE_ENERGY_REV</vt:lpstr>
      <vt:lpstr>BASE_GRID_ARB</vt:lpstr>
      <vt:lpstr>BASE_SERVED_RETAIL</vt:lpstr>
      <vt:lpstr>BAU_BILL_Y1</vt:lpstr>
      <vt:lpstr>BAU_DEMAND_Y1</vt:lpstr>
      <vt:lpstr>BESS_CAPEX</vt:lpstr>
      <vt:lpstr>BESS_DEP_YEARS</vt:lpstr>
      <vt:lpstr>CIT_CLOCK_CAP_YEAR</vt:lpstr>
      <vt:lpstr>CIT_HOLIDAY_YEARS</vt:lpstr>
      <vt:lpstr>CIT_LOSS_CF_YEARS</vt:lpstr>
      <vt:lpstr>CIT_RATE</vt:lpstr>
      <vt:lpstr>CIT_REDUCED_FRACTION</vt:lpstr>
      <vt:lpstr>CIT_REDUCED_YEARS</vt:lpstr>
      <vt:lpstr>DEBT_FRACTION</vt:lpstr>
      <vt:lpstr>DEBT_PAYMENT</vt:lpstr>
      <vt:lpstr>DEBT_PRINCIPAL</vt:lpstr>
      <vt:lpstr>DEBT_RATE</vt:lpstr>
      <vt:lpstr>DEBT_TERM_YEARS</vt:lpstr>
      <vt:lpstr>DEMAND_SHARE</vt:lpstr>
      <vt:lpstr>DISC_RATE</vt:lpstr>
      <vt:lpstr>EQUITY_INVESTMENT</vt:lpstr>
      <vt:lpstr>ESC_CAPACITY</vt:lpstr>
      <vt:lpstr>ESC_ENERGY</vt:lpstr>
      <vt:lpstr>ESC_OM</vt:lpstr>
      <vt:lpstr>ESCO_DISCOUNT</vt:lpstr>
      <vt:lpstr>FX_VND_PER_USD</vt:lpstr>
      <vt:lpstr>OM_YEAR1</vt:lpstr>
      <vt:lpstr>OPT_BILL_Y1</vt:lpstr>
      <vt:lpstr>OPT_DEMAND_Y1</vt:lpstr>
      <vt:lpstr>OTHER_CAPEX</vt:lpstr>
      <vt:lpstr>PROJECT_YEARS</vt:lpstr>
      <vt:lpstr>PV_CAPEX</vt:lpstr>
      <vt:lpstr>PV_DEGRADATION</vt:lpstr>
      <vt:lpstr>PV_DEP_YEARS</vt:lpstr>
      <vt:lpstr>TOTAL_CAPEX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 Huy</cp:lastModifiedBy>
  <dcterms:created xsi:type="dcterms:W3CDTF">2026-07-09T02:56:08Z</dcterms:created>
  <dcterms:modified xsi:type="dcterms:W3CDTF">2026-07-09T03:01:42Z</dcterms:modified>
</cp:coreProperties>
</file>